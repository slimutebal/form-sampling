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uhantoro\Documents\00. New Era\QADR\Form_Checker\"/>
    </mc:Choice>
  </mc:AlternateContent>
  <xr:revisionPtr revIDLastSave="0" documentId="13_ncr:1_{10A60390-06F8-41A6-859B-363D9D614090}" xr6:coauthVersionLast="47" xr6:coauthVersionMax="47" xr10:uidLastSave="{00000000-0000-0000-0000-000000000000}"/>
  <bookViews>
    <workbookView xWindow="-120" yWindow="-120" windowWidth="29040" windowHeight="15720" activeTab="3" xr2:uid="{835CD540-7571-41D9-9259-BA9987EB7625}"/>
  </bookViews>
  <sheets>
    <sheet name="Rules" sheetId="5" r:id="rId1"/>
    <sheet name="Truck" sheetId="1" r:id="rId2"/>
    <sheet name="Regist" sheetId="11" r:id="rId3"/>
    <sheet name="Fleet_Det" sheetId="18" r:id="rId4"/>
    <sheet name="Pile_01" sheetId="13" r:id="rId5"/>
    <sheet name="Pile_02" sheetId="34" r:id="rId6"/>
    <sheet name="Pile_03" sheetId="35" r:id="rId7"/>
    <sheet name="Pile_04" sheetId="36" r:id="rId8"/>
    <sheet name="Pile_05" sheetId="37" r:id="rId9"/>
    <sheet name="Pile_06" sheetId="39" r:id="rId10"/>
    <sheet name="Sample_Pos" sheetId="14" r:id="rId11"/>
    <sheet name="Report" sheetId="16" r:id="rId12"/>
  </sheets>
  <definedNames>
    <definedName name="_xlnm._FilterDatabase" localSheetId="0" hidden="1">Rules!$S$1:$S$2530</definedName>
    <definedName name="Date">Regist!$H$1</definedName>
    <definedName name="Fleet_Dest">Fleet_Det!$G$7</definedName>
    <definedName name="Fleet_Truck">_xlfn.LAMBDA(_xlpm.p_input,   _xlfn.LET(     _xlpm.baris_idx, IFERROR(MATCH(_xlpm.p_input, List_Front, 0), ""),     _xlpm.hasil_final, IF(       _xlpm.baris_idx = "",       "",       _xlfn.LET(         _xlpm.truk_valid, INDEX(_xlfn.ANCHORARRAY(Fleet_Det!$CE$4), _xlpm.baris_idx, ),         _xlpm.fleet_str, INDEX(List_Unit_Fleet, _xlpm.baris_idx),         _xlpm.daftar_truk, IFERROR(_xlfn.TEXTSPLIT(_xlpm.fleet_str, "|"), ""),         _xlpm.daftar_truk_vec, _xlfn.TOCOL(_xlpm.daftar_truk, 1),         _xlpm.hasil, _xlfn._xlws.FILTER(_xlpm.daftar_truk_vec, ISNUMBER(MATCH(_xlpm.daftar_truk_vec, _xlpm.truk_valid, 0)), ""),         IF(_xlpm.hasil = "", "", _xlfn.TOROW(_xlfn._xlws.SORT(_xlfn.UNIQUE(_xlpm.hasil))))       )     ),     _xlpm.hasil_final   ) )</definedName>
    <definedName name="GET_TRUCK">_xlfn.LAMBDA(_xlpm.p_input,    _xlfn.LET(     _xlpm.baris_idx, MATCH(_xlpm.p_input, List_Front, 0),      _xlpm.truk_valid, INDEX(_xlfn.ANCHORARRAY(Fleet_Det!$CE$4), _xlpm.baris_idx, ),      _xlpm.fleet_str, INDEX(List_Unit_Fleet, _xlpm.baris_idx),      _xlpm.daftar_truk, IFERROR(_xlfn.TEXTSPLIT(_xlpm.fleet_str, "|"), ""),      _xlpm.daftar_truk_vec, _xlfn.TOCOL(_xlpm.daftar_truk, 1),      _xlpm.hasil, _xlfn._xlws.FILTER(_xlpm.daftar_truk_vec, ISNUMBER(MATCH(_xlpm.daftar_truk_vec, _xlpm.truk_valid, 0)), ""),      _xlfn.TOROW(_xlfn._xlws.SORT(_xlfn.UNIQUE(_xlpm.hasil)))   ) )</definedName>
    <definedName name="Input_Fleet_Dest" localSheetId="3">INDEX(_xlfn.ANCHORARRAY(Fleet_Det!$AB$4), ROW(Front_Des[[#This Row],[Dest]])-ROW(Front_Des[#Headers]),)</definedName>
    <definedName name="Input_Fleet_Identic" localSheetId="3">INDEX(_xlfn.ANCHORARRAY(Fleet_Det!$BL$4),ROW(Front_Des[[#This Row],[Fleet Reff]])-ROW(Front_Des[#Headers]),)</definedName>
    <definedName name="Input_Fleet_Truck" localSheetId="3">INDEX(_xlfn.ANCHORARRAY(Fleet_Det!$CE$4),ROW(Front_Des[[#This Row],[Dest]])-ROW(Front_Des[#Headers]),)</definedName>
    <definedName name="Input_Pile" localSheetId="2">INDEX(_xlfn.ANCHORARRAY(Regist!$AO$8),ROW(Sample_Pending[[#This Row],[Pile_ID]])-ROW(Sample_Pending[#Headers]),)</definedName>
    <definedName name="Input_Truck" localSheetId="4">INDEX(_xlfn.ANCHORARRAY(Pile_01!$AP$5),ROW(HLG_01[[#This Row],[Truck_ID]])-ROW(HLG_01[#Headers]),)</definedName>
    <definedName name="Input_Truck" localSheetId="5">INDEX(_xlfn.ANCHORARRAY(Pile_02!$AP$5),ROW(HLG_02[[#This Row],[Truck_ID]])-ROW(HLG_02[#Headers]),)</definedName>
    <definedName name="Input_Truck" localSheetId="6">INDEX(_xlfn.ANCHORARRAY(Pile_03!$AP$5),ROW(HLG_03[[#This Row],[Truck_ID]])-ROW(HLG_03[#Headers]),)</definedName>
    <definedName name="Input_Truck" localSheetId="7">INDEX(_xlfn.ANCHORARRAY(Pile_04!$AP$5),ROW(HLG_04[[#This Row],[Truck_ID]])-ROW(HLG_04[#Headers]),)</definedName>
    <definedName name="Input_Truck" localSheetId="8">INDEX(_xlfn.ANCHORARRAY(Pile_05!$AP$5),ROW(HLG_05[[#This Row],[Truck_ID]])-ROW(HLG_05[#Headers]),)</definedName>
    <definedName name="Input_Truck" localSheetId="9">INDEX(_xlfn.ANCHORARRAY(Pile_06!$AP$5),ROW(HLG_06[[#This Row],[Truck_ID]])-ROW(HLG_06[#Headers]),)</definedName>
    <definedName name="List_Front">_xlfn.ANCHORARRAY(Fleet_Det!$A$4)</definedName>
    <definedName name="List_Unit_Fleet">_xlfn.ANCHORARRAY(Fleet_Det!$AA$4)</definedName>
    <definedName name="Pilih_Truck" localSheetId="4">IFERROR(GET_TRUCK(INDEX(HLG_01[Front_ID], ROW() - ROW(HLG_01[#Headers]))),   "" )</definedName>
    <definedName name="Report_Header">_xlfn.ANCHORARRAY(Regist!$AH$1)</definedName>
    <definedName name="Shift">Regist!$I$1</definedName>
    <definedName name="Smpl_Pos_IncrFrom" localSheetId="10">INDEX(_xlfn.ANCHORARRAY(Sample_Pos!$BZ$3),ROW(Sample_Pos[[#This Row],[Batch]])-ROW(Sample_Pos[#Headers]),)</definedName>
    <definedName name="Smpl_Pos_IncrTo" localSheetId="10">_xlfn.LET(     _xlpm.full_row, Sample_Pos!Smpl_Pos_IncrFrom,     _xlpm.val_f, INDEX(Sample_Pos[[#This Row],[Rit_F]], 1),     _xlpm.start_pos, IFERROR(MATCH(_xlpm.val_f, _xlpm.full_row, 0), 1),     _xlpm.end_pos, COLUMNS(_xlpm.full_row) - COUNTBLANK(_xlpm.full_row),     INDEX(_xlpm.full_row, 1, _xlpm.start_pos):INDEX(_xlpm.full_row, 1, _xlpm.end_pos) )</definedName>
    <definedName name="Truck_ID">_xlfn.ANCHORARRAY(Truck!$A$2)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Z2" i="13" l="1" a="1"/>
  <c r="Z2" i="13" s="1"/>
  <c r="F2" i="13"/>
  <c r="AP5" i="13" a="1"/>
  <c r="AP5" i="13" s="1"/>
  <c r="AC4" i="18" a="1"/>
  <c r="AC4" i="18" s="1"/>
  <c r="AB4" i="18" a="1"/>
  <c r="AB4" i="18" s="1"/>
  <c r="AA4" i="18" a="1"/>
  <c r="AA4" i="18" s="1"/>
  <c r="BL4" i="18" a="1"/>
  <c r="BL4" i="18" s="1"/>
  <c r="H8" i="11" l="1" a="1"/>
  <c r="H8" i="11" s="1"/>
  <c r="V3" i="14" l="1" a="1"/>
  <c r="F3" i="14" a="1"/>
  <c r="F3" i="14" s="1"/>
  <c r="C1" i="14" a="1"/>
  <c r="C1" i="14" s="1"/>
  <c r="B1" i="14" a="1"/>
  <c r="B1" i="14" s="1"/>
  <c r="F299" i="39" a="1"/>
  <c r="F299" i="39" s="1"/>
  <c r="F292" i="39" a="1"/>
  <c r="F292" i="39" s="1"/>
  <c r="F291" i="39" a="1"/>
  <c r="F291" i="39" s="1"/>
  <c r="F173" i="39" a="1"/>
  <c r="F173" i="39" s="1"/>
  <c r="G146" i="39" a="1"/>
  <c r="G146" i="39" s="1"/>
  <c r="H146" i="39" s="1"/>
  <c r="G140" i="39" a="1"/>
  <c r="G140" i="39" s="1"/>
  <c r="H140" i="39" s="1"/>
  <c r="F58" i="39" a="1"/>
  <c r="F58" i="39" s="1"/>
  <c r="G57" i="39" a="1"/>
  <c r="G57" i="39" s="1"/>
  <c r="H57" i="39" s="1"/>
  <c r="G56" i="39" a="1"/>
  <c r="G56" i="39" s="1"/>
  <c r="H56" i="39" s="1"/>
  <c r="G2" i="39"/>
  <c r="F544" i="39" s="1" a="1"/>
  <c r="F544" i="39" s="1"/>
  <c r="F2" i="39"/>
  <c r="A1" i="39" a="1"/>
  <c r="A1" i="39" s="1"/>
  <c r="F239" i="37" a="1"/>
  <c r="F239" i="37" s="1"/>
  <c r="G2" i="37"/>
  <c r="G621" i="37" s="1" a="1"/>
  <c r="G621" i="37" s="1"/>
  <c r="H621" i="37" s="1"/>
  <c r="F2" i="37"/>
  <c r="A1" i="37" a="1"/>
  <c r="A1" i="37" s="1"/>
  <c r="F612" i="36" a="1"/>
  <c r="F612" i="36" s="1"/>
  <c r="G604" i="36" a="1"/>
  <c r="G604" i="36" s="1"/>
  <c r="H604" i="36" s="1"/>
  <c r="F604" i="36" a="1"/>
  <c r="F604" i="36" s="1"/>
  <c r="F595" i="36" a="1"/>
  <c r="F595" i="36" s="1"/>
  <c r="G594" i="36" a="1"/>
  <c r="G594" i="36" s="1"/>
  <c r="H594" i="36" s="1"/>
  <c r="F593" i="36" a="1"/>
  <c r="F593" i="36" s="1"/>
  <c r="G592" i="36" a="1"/>
  <c r="G592" i="36" s="1"/>
  <c r="H592" i="36" s="1"/>
  <c r="F584" i="36" a="1"/>
  <c r="F584" i="36" s="1"/>
  <c r="F583" i="36" a="1"/>
  <c r="F583" i="36" s="1"/>
  <c r="F581" i="36" a="1"/>
  <c r="F581" i="36" s="1"/>
  <c r="F568" i="36" a="1"/>
  <c r="F568" i="36" s="1"/>
  <c r="G562" i="36" a="1"/>
  <c r="G562" i="36" s="1"/>
  <c r="H562" i="36" s="1"/>
  <c r="F555" i="36" a="1"/>
  <c r="F555" i="36" s="1"/>
  <c r="G549" i="36" a="1"/>
  <c r="G549" i="36" s="1"/>
  <c r="H549" i="36" s="1"/>
  <c r="F548" i="36" a="1"/>
  <c r="F548" i="36" s="1"/>
  <c r="F542" i="36" a="1"/>
  <c r="F542" i="36" s="1"/>
  <c r="G522" i="36" a="1"/>
  <c r="G522" i="36" s="1"/>
  <c r="H522" i="36" s="1"/>
  <c r="F520" i="36" a="1"/>
  <c r="F520" i="36" s="1"/>
  <c r="G515" i="36" a="1"/>
  <c r="G515" i="36" s="1"/>
  <c r="H515" i="36" s="1"/>
  <c r="G510" i="36" a="1"/>
  <c r="G510" i="36" s="1"/>
  <c r="H510" i="36" s="1"/>
  <c r="G500" i="36" a="1"/>
  <c r="G500" i="36" s="1"/>
  <c r="H500" i="36" s="1"/>
  <c r="F495" i="36" a="1"/>
  <c r="F495" i="36" s="1"/>
  <c r="F486" i="36" a="1"/>
  <c r="F486" i="36" s="1"/>
  <c r="F484" i="36" a="1"/>
  <c r="F484" i="36" s="1"/>
  <c r="F482" i="36" a="1"/>
  <c r="F482" i="36" s="1"/>
  <c r="G481" i="36" a="1"/>
  <c r="G481" i="36" s="1"/>
  <c r="H481" i="36" s="1"/>
  <c r="F480" i="36" a="1"/>
  <c r="F480" i="36" s="1"/>
  <c r="G475" i="36" a="1"/>
  <c r="G475" i="36" s="1"/>
  <c r="H475" i="36" s="1"/>
  <c r="G474" i="36" a="1"/>
  <c r="G474" i="36" s="1"/>
  <c r="H474" i="36" s="1"/>
  <c r="G471" i="36" a="1"/>
  <c r="G471" i="36" s="1"/>
  <c r="H471" i="36" s="1"/>
  <c r="F471" i="36" a="1"/>
  <c r="F471" i="36" s="1"/>
  <c r="I471" i="36" s="1"/>
  <c r="F469" i="36" a="1"/>
  <c r="F469" i="36" s="1"/>
  <c r="G431" i="36" a="1"/>
  <c r="G431" i="36" s="1"/>
  <c r="H431" i="36" s="1"/>
  <c r="F430" i="36" a="1"/>
  <c r="F430" i="36" s="1"/>
  <c r="G425" i="36" a="1"/>
  <c r="G425" i="36" s="1"/>
  <c r="H425" i="36" s="1"/>
  <c r="F422" i="36" a="1"/>
  <c r="F422" i="36" s="1"/>
  <c r="G421" i="36" a="1"/>
  <c r="G421" i="36" s="1"/>
  <c r="H421" i="36" s="1"/>
  <c r="F421" i="36" a="1"/>
  <c r="F421" i="36" s="1"/>
  <c r="I421" i="36" s="1"/>
  <c r="F420" i="36" a="1"/>
  <c r="F420" i="36" s="1"/>
  <c r="F416" i="36" a="1"/>
  <c r="F416" i="36" s="1"/>
  <c r="G410" i="36" a="1"/>
  <c r="G410" i="36" s="1"/>
  <c r="H410" i="36" s="1"/>
  <c r="G406" i="36" a="1"/>
  <c r="G406" i="36" s="1"/>
  <c r="H406" i="36" s="1"/>
  <c r="F402" i="36" a="1"/>
  <c r="F402" i="36" s="1"/>
  <c r="F399" i="36" a="1"/>
  <c r="F399" i="36" s="1"/>
  <c r="F396" i="36" a="1"/>
  <c r="F396" i="36" s="1"/>
  <c r="F393" i="36" a="1"/>
  <c r="F393" i="36" s="1"/>
  <c r="G382" i="36" a="1"/>
  <c r="G382" i="36" s="1"/>
  <c r="H382" i="36" s="1"/>
  <c r="F373" i="36" a="1"/>
  <c r="F373" i="36" s="1"/>
  <c r="G360" i="36" a="1"/>
  <c r="G360" i="36" s="1"/>
  <c r="H360" i="36" s="1"/>
  <c r="G357" i="36" a="1"/>
  <c r="G357" i="36" s="1"/>
  <c r="H357" i="36" s="1"/>
  <c r="G355" i="36" a="1"/>
  <c r="G355" i="36" s="1"/>
  <c r="H355" i="36" s="1"/>
  <c r="G353" i="36" a="1"/>
  <c r="G353" i="36" s="1"/>
  <c r="H353" i="36" s="1"/>
  <c r="G348" i="36" a="1"/>
  <c r="G348" i="36" s="1"/>
  <c r="H348" i="36" s="1"/>
  <c r="G345" i="36" a="1"/>
  <c r="G345" i="36" s="1"/>
  <c r="H345" i="36" s="1"/>
  <c r="G344" i="36" a="1"/>
  <c r="G344" i="36" s="1"/>
  <c r="H344" i="36" s="1"/>
  <c r="G343" i="36" a="1"/>
  <c r="G343" i="36" s="1"/>
  <c r="H343" i="36" s="1"/>
  <c r="F333" i="36" a="1"/>
  <c r="F333" i="36" s="1"/>
  <c r="F325" i="36" a="1"/>
  <c r="F325" i="36" s="1"/>
  <c r="G311" i="36" a="1"/>
  <c r="G311" i="36" s="1"/>
  <c r="H311" i="36" s="1"/>
  <c r="F311" i="36" a="1"/>
  <c r="F311" i="36" s="1"/>
  <c r="I311" i="36" s="1"/>
  <c r="G310" i="36" a="1"/>
  <c r="G310" i="36" s="1"/>
  <c r="H310" i="36" s="1"/>
  <c r="F310" i="36" a="1"/>
  <c r="F310" i="36" s="1"/>
  <c r="I310" i="36" s="1"/>
  <c r="G309" i="36" a="1"/>
  <c r="G309" i="36" s="1"/>
  <c r="H309" i="36" s="1"/>
  <c r="G300" i="36" a="1"/>
  <c r="G300" i="36" s="1"/>
  <c r="H300" i="36" s="1"/>
  <c r="G284" i="36" a="1"/>
  <c r="G284" i="36" s="1"/>
  <c r="H284" i="36" s="1"/>
  <c r="G283" i="36" a="1"/>
  <c r="G283" i="36" s="1"/>
  <c r="H283" i="36" s="1"/>
  <c r="G281" i="36" a="1"/>
  <c r="G281" i="36" s="1"/>
  <c r="H281" i="36" s="1"/>
  <c r="G267" i="36" a="1"/>
  <c r="G267" i="36" s="1"/>
  <c r="H267" i="36" s="1"/>
  <c r="F259" i="36" a="1"/>
  <c r="F259" i="36" s="1"/>
  <c r="F258" i="36" a="1"/>
  <c r="F258" i="36" s="1"/>
  <c r="G252" i="36" a="1"/>
  <c r="G252" i="36" s="1"/>
  <c r="H252" i="36" s="1"/>
  <c r="G250" i="36" a="1"/>
  <c r="G250" i="36" s="1"/>
  <c r="H250" i="36" s="1"/>
  <c r="F250" i="36" a="1"/>
  <c r="F250" i="36" s="1"/>
  <c r="I250" i="36" s="1"/>
  <c r="F248" i="36" a="1"/>
  <c r="F248" i="36" s="1"/>
  <c r="F247" i="36" a="1"/>
  <c r="F247" i="36" s="1"/>
  <c r="G246" i="36" a="1"/>
  <c r="G246" i="36" s="1"/>
  <c r="H246" i="36" s="1"/>
  <c r="F246" i="36" a="1"/>
  <c r="F246" i="36" s="1"/>
  <c r="F245" i="36" a="1"/>
  <c r="F245" i="36" s="1"/>
  <c r="G242" i="36" a="1"/>
  <c r="G242" i="36" s="1"/>
  <c r="H242" i="36" s="1"/>
  <c r="G238" i="36" a="1"/>
  <c r="G238" i="36" s="1"/>
  <c r="H238" i="36" s="1"/>
  <c r="F216" i="36" a="1"/>
  <c r="F216" i="36" s="1"/>
  <c r="G215" i="36" a="1"/>
  <c r="G215" i="36" s="1"/>
  <c r="H215" i="36" s="1"/>
  <c r="G214" i="36" a="1"/>
  <c r="G214" i="36" s="1"/>
  <c r="H214" i="36" s="1"/>
  <c r="F211" i="36" a="1"/>
  <c r="F211" i="36" s="1"/>
  <c r="F210" i="36" a="1"/>
  <c r="F210" i="36" s="1"/>
  <c r="G206" i="36" a="1"/>
  <c r="G206" i="36" s="1"/>
  <c r="H206" i="36" s="1"/>
  <c r="G204" i="36" a="1"/>
  <c r="G204" i="36" s="1"/>
  <c r="H204" i="36" s="1"/>
  <c r="F203" i="36" a="1"/>
  <c r="F203" i="36" s="1"/>
  <c r="F200" i="36" a="1"/>
  <c r="F200" i="36" s="1"/>
  <c r="F199" i="36" a="1"/>
  <c r="F199" i="36" s="1"/>
  <c r="F197" i="36" a="1"/>
  <c r="F197" i="36" s="1"/>
  <c r="F196" i="36" a="1"/>
  <c r="F196" i="36" s="1"/>
  <c r="G190" i="36" a="1"/>
  <c r="G190" i="36" s="1"/>
  <c r="H190" i="36" s="1"/>
  <c r="F187" i="36" a="1"/>
  <c r="F187" i="36" s="1"/>
  <c r="F186" i="36" a="1"/>
  <c r="F186" i="36" s="1"/>
  <c r="G181" i="36" a="1"/>
  <c r="G181" i="36" s="1"/>
  <c r="H181" i="36" s="1"/>
  <c r="G173" i="36" a="1"/>
  <c r="G173" i="36" s="1"/>
  <c r="H173" i="36" s="1"/>
  <c r="G172" i="36" a="1"/>
  <c r="G172" i="36" s="1"/>
  <c r="H172" i="36" s="1"/>
  <c r="F172" i="36" a="1"/>
  <c r="F172" i="36" s="1"/>
  <c r="G165" i="36" a="1"/>
  <c r="G165" i="36" s="1"/>
  <c r="H165" i="36" s="1"/>
  <c r="F165" i="36" a="1"/>
  <c r="F165" i="36" s="1"/>
  <c r="G161" i="36" a="1"/>
  <c r="G161" i="36" s="1"/>
  <c r="H161" i="36" s="1"/>
  <c r="G157" i="36" a="1"/>
  <c r="G157" i="36" s="1"/>
  <c r="H157" i="36" s="1"/>
  <c r="G152" i="36" a="1"/>
  <c r="G152" i="36" s="1"/>
  <c r="H152" i="36" s="1"/>
  <c r="G146" i="36" a="1"/>
  <c r="G146" i="36" s="1"/>
  <c r="H146" i="36" s="1"/>
  <c r="G145" i="36" a="1"/>
  <c r="G145" i="36" s="1"/>
  <c r="H145" i="36" s="1"/>
  <c r="G144" i="36" a="1"/>
  <c r="G144" i="36" s="1"/>
  <c r="H144" i="36" s="1"/>
  <c r="F143" i="36" a="1"/>
  <c r="F143" i="36" s="1"/>
  <c r="G140" i="36" a="1"/>
  <c r="G140" i="36" s="1"/>
  <c r="H140" i="36" s="1"/>
  <c r="F140" i="36" a="1"/>
  <c r="F140" i="36" s="1"/>
  <c r="I140" i="36" s="1"/>
  <c r="G139" i="36" a="1"/>
  <c r="G139" i="36" s="1"/>
  <c r="H139" i="36" s="1"/>
  <c r="G136" i="36" a="1"/>
  <c r="G136" i="36" s="1"/>
  <c r="H136" i="36" s="1"/>
  <c r="F127" i="36" a="1"/>
  <c r="F127" i="36" s="1"/>
  <c r="G121" i="36" a="1"/>
  <c r="G121" i="36" s="1"/>
  <c r="H121" i="36" s="1"/>
  <c r="G117" i="36" a="1"/>
  <c r="G117" i="36" s="1"/>
  <c r="H117" i="36" s="1"/>
  <c r="F113" i="36" a="1"/>
  <c r="F113" i="36" s="1"/>
  <c r="F111" i="36" a="1"/>
  <c r="F111" i="36" s="1"/>
  <c r="G110" i="36" a="1"/>
  <c r="G110" i="36" s="1"/>
  <c r="H110" i="36" s="1"/>
  <c r="G108" i="36" a="1"/>
  <c r="G108" i="36" s="1"/>
  <c r="H108" i="36" s="1"/>
  <c r="G107" i="36" a="1"/>
  <c r="G107" i="36" s="1"/>
  <c r="H107" i="36" s="1"/>
  <c r="G106" i="36" a="1"/>
  <c r="G106" i="36" s="1"/>
  <c r="H106" i="36" s="1"/>
  <c r="G105" i="36" a="1"/>
  <c r="G105" i="36" s="1"/>
  <c r="H105" i="36" s="1"/>
  <c r="G104" i="36" a="1"/>
  <c r="G104" i="36" s="1"/>
  <c r="H104" i="36" s="1"/>
  <c r="F103" i="36" a="1"/>
  <c r="F103" i="36" s="1"/>
  <c r="G100" i="36" a="1"/>
  <c r="G100" i="36" s="1"/>
  <c r="H100" i="36" s="1"/>
  <c r="G98" i="36" a="1"/>
  <c r="G98" i="36" s="1"/>
  <c r="H98" i="36" s="1"/>
  <c r="G96" i="36" a="1"/>
  <c r="G96" i="36" s="1"/>
  <c r="H96" i="36" s="1"/>
  <c r="F90" i="36" a="1"/>
  <c r="F90" i="36" s="1"/>
  <c r="F79" i="36" a="1"/>
  <c r="F79" i="36" s="1"/>
  <c r="G77" i="36" a="1"/>
  <c r="G77" i="36" s="1"/>
  <c r="H77" i="36" s="1"/>
  <c r="F77" i="36" a="1"/>
  <c r="F77" i="36" s="1"/>
  <c r="F75" i="36" a="1"/>
  <c r="F75" i="36" s="1"/>
  <c r="G72" i="36" a="1"/>
  <c r="G72" i="36" s="1"/>
  <c r="H72" i="36" s="1"/>
  <c r="F72" i="36" a="1"/>
  <c r="F72" i="36" s="1"/>
  <c r="I72" i="36" s="1"/>
  <c r="G71" i="36" a="1"/>
  <c r="G71" i="36" s="1"/>
  <c r="H71" i="36" s="1"/>
  <c r="F71" i="36" a="1"/>
  <c r="F71" i="36" s="1"/>
  <c r="G70" i="36" a="1"/>
  <c r="G70" i="36" s="1"/>
  <c r="H70" i="36" s="1"/>
  <c r="G67" i="36" a="1"/>
  <c r="G67" i="36" s="1"/>
  <c r="H67" i="36" s="1"/>
  <c r="F67" i="36" a="1"/>
  <c r="F67" i="36" s="1"/>
  <c r="I67" i="36" s="1"/>
  <c r="G63" i="36" a="1"/>
  <c r="G63" i="36" s="1"/>
  <c r="H63" i="36" s="1"/>
  <c r="G59" i="36" a="1"/>
  <c r="G59" i="36" s="1"/>
  <c r="H59" i="36" s="1"/>
  <c r="G54" i="36" a="1"/>
  <c r="G54" i="36" s="1"/>
  <c r="H54" i="36" s="1"/>
  <c r="F54" i="36" a="1"/>
  <c r="F54" i="36" s="1"/>
  <c r="F50" i="36" a="1"/>
  <c r="F50" i="36" s="1"/>
  <c r="G41" i="36" a="1"/>
  <c r="G41" i="36" s="1"/>
  <c r="H41" i="36" s="1"/>
  <c r="F41" i="36" a="1"/>
  <c r="F41" i="36" s="1"/>
  <c r="I41" i="36" s="1"/>
  <c r="G39" i="36" a="1"/>
  <c r="G39" i="36" s="1"/>
  <c r="H39" i="36" s="1"/>
  <c r="G38" i="36" a="1"/>
  <c r="G38" i="36" s="1"/>
  <c r="H38" i="36" s="1"/>
  <c r="F38" i="36" a="1"/>
  <c r="F38" i="36" s="1"/>
  <c r="I38" i="36" s="1"/>
  <c r="G37" i="36" a="1"/>
  <c r="G37" i="36" s="1"/>
  <c r="H37" i="36" s="1"/>
  <c r="G31" i="36" a="1"/>
  <c r="G31" i="36" s="1"/>
  <c r="H31" i="36" s="1"/>
  <c r="F30" i="36" a="1"/>
  <c r="F30" i="36" s="1"/>
  <c r="G26" i="36" a="1"/>
  <c r="G26" i="36" s="1"/>
  <c r="H26" i="36" s="1"/>
  <c r="G25" i="36" a="1"/>
  <c r="G25" i="36" s="1"/>
  <c r="H25" i="36" s="1"/>
  <c r="F24" i="36" a="1"/>
  <c r="F24" i="36" s="1"/>
  <c r="G21" i="36" a="1"/>
  <c r="G21" i="36" s="1"/>
  <c r="H21" i="36" s="1"/>
  <c r="F21" i="36" a="1"/>
  <c r="F21" i="36" s="1"/>
  <c r="F20" i="36" a="1"/>
  <c r="F20" i="36" s="1"/>
  <c r="F18" i="36" a="1"/>
  <c r="F18" i="36" s="1"/>
  <c r="G13" i="36" a="1"/>
  <c r="G13" i="36" s="1"/>
  <c r="H13" i="36" s="1"/>
  <c r="F8" i="36" a="1"/>
  <c r="F8" i="36" s="1"/>
  <c r="G7" i="36" a="1"/>
  <c r="G7" i="36" s="1"/>
  <c r="H7" i="36" s="1"/>
  <c r="F7" i="36" a="1"/>
  <c r="F7" i="36" s="1"/>
  <c r="I7" i="36" s="1"/>
  <c r="G2" i="36"/>
  <c r="G578" i="36" s="1" a="1"/>
  <c r="G578" i="36" s="1"/>
  <c r="H578" i="36" s="1"/>
  <c r="F2" i="36"/>
  <c r="A1" i="36" a="1"/>
  <c r="A1" i="36" s="1"/>
  <c r="G2" i="35"/>
  <c r="G602" i="35" s="1" a="1"/>
  <c r="G602" i="35" s="1"/>
  <c r="H602" i="35" s="1"/>
  <c r="F2" i="35"/>
  <c r="A1" i="35" a="1"/>
  <c r="A1" i="35" s="1"/>
  <c r="G2" i="34"/>
  <c r="G618" i="34" s="1" a="1"/>
  <c r="G618" i="34" s="1"/>
  <c r="H618" i="34" s="1"/>
  <c r="F2" i="34"/>
  <c r="A1" i="34" a="1"/>
  <c r="A1" i="34" s="1"/>
  <c r="B4" i="18" a="1"/>
  <c r="B4" i="18" s="1"/>
  <c r="AO8" i="11" a="1"/>
  <c r="AO8" i="11" s="1"/>
  <c r="D1" i="11" a="1"/>
  <c r="D1" i="11" s="1"/>
  <c r="AD8" i="11" a="1"/>
  <c r="AD8" i="11" s="1"/>
  <c r="A1" i="13" a="1"/>
  <c r="A1" i="13" s="1"/>
  <c r="A4" i="18" a="1"/>
  <c r="G2" i="13"/>
  <c r="G275" i="13" s="1" a="1"/>
  <c r="G275" i="13" s="1"/>
  <c r="H275" i="13" s="1"/>
  <c r="AJ2" i="13" a="1"/>
  <c r="V3" i="14" l="1"/>
  <c r="O3" i="13" a="1"/>
  <c r="AJ2" i="13"/>
  <c r="I165" i="36"/>
  <c r="AH1" i="11" a="1"/>
  <c r="AH1" i="11" s="1"/>
  <c r="I77" i="36"/>
  <c r="I54" i="36"/>
  <c r="I172" i="36"/>
  <c r="I246" i="36"/>
  <c r="I71" i="36"/>
  <c r="I21" i="36"/>
  <c r="I604" i="36"/>
  <c r="F434" i="37" a="1"/>
  <c r="F434" i="37" s="1"/>
  <c r="F436" i="37" a="1"/>
  <c r="F436" i="37" s="1"/>
  <c r="G14" i="37" a="1"/>
  <c r="G14" i="37" s="1"/>
  <c r="H14" i="37" s="1"/>
  <c r="F569" i="37" a="1"/>
  <c r="F569" i="37" s="1"/>
  <c r="G23" i="37" a="1"/>
  <c r="G23" i="37" s="1"/>
  <c r="H23" i="37" s="1"/>
  <c r="F69" i="37" a="1"/>
  <c r="F69" i="37" s="1"/>
  <c r="F140" i="37" a="1"/>
  <c r="F140" i="37" s="1"/>
  <c r="G204" i="37" a="1"/>
  <c r="G204" i="37" s="1"/>
  <c r="H204" i="37" s="1"/>
  <c r="F285" i="37" a="1"/>
  <c r="F285" i="37" s="1"/>
  <c r="G363" i="37" a="1"/>
  <c r="G363" i="37" s="1"/>
  <c r="H363" i="37" s="1"/>
  <c r="G468" i="37" a="1"/>
  <c r="G468" i="37" s="1"/>
  <c r="H468" i="37" s="1"/>
  <c r="G592" i="37" a="1"/>
  <c r="G592" i="37" s="1"/>
  <c r="H592" i="37" s="1"/>
  <c r="G25" i="39" a="1"/>
  <c r="G25" i="39" s="1"/>
  <c r="H25" i="39" s="1"/>
  <c r="F110" i="39" a="1"/>
  <c r="F110" i="39" s="1"/>
  <c r="G201" i="39" a="1"/>
  <c r="G201" i="39" s="1"/>
  <c r="H201" i="39" s="1"/>
  <c r="F39" i="36" a="1"/>
  <c r="F39" i="36" s="1"/>
  <c r="I39" i="36" s="1"/>
  <c r="G75" i="36" a="1"/>
  <c r="G75" i="36" s="1"/>
  <c r="H75" i="36" s="1"/>
  <c r="G113" i="36" a="1"/>
  <c r="G113" i="36" s="1"/>
  <c r="H113" i="36" s="1"/>
  <c r="G168" i="36" a="1"/>
  <c r="G168" i="36" s="1"/>
  <c r="H168" i="36" s="1"/>
  <c r="F212" i="36" a="1"/>
  <c r="F212" i="36" s="1"/>
  <c r="G273" i="36" a="1"/>
  <c r="G273" i="36" s="1"/>
  <c r="H273" i="36" s="1"/>
  <c r="G354" i="36" a="1"/>
  <c r="G354" i="36" s="1"/>
  <c r="H354" i="36" s="1"/>
  <c r="G423" i="36" a="1"/>
  <c r="G423" i="36" s="1"/>
  <c r="H423" i="36" s="1"/>
  <c r="F511" i="36" a="1"/>
  <c r="F511" i="36" s="1"/>
  <c r="F600" i="36" a="1"/>
  <c r="F600" i="36" s="1"/>
  <c r="G27" i="37" a="1"/>
  <c r="G27" i="37" s="1"/>
  <c r="H27" i="37" s="1"/>
  <c r="G73" i="37" a="1"/>
  <c r="G73" i="37" s="1"/>
  <c r="H73" i="37" s="1"/>
  <c r="G140" i="37" a="1"/>
  <c r="G140" i="37" s="1"/>
  <c r="H140" i="37" s="1"/>
  <c r="G205" i="37" a="1"/>
  <c r="G205" i="37" s="1"/>
  <c r="H205" i="37" s="1"/>
  <c r="G294" i="37" a="1"/>
  <c r="G294" i="37" s="1"/>
  <c r="H294" i="37" s="1"/>
  <c r="F368" i="37" a="1"/>
  <c r="F368" i="37" s="1"/>
  <c r="G470" i="37" a="1"/>
  <c r="G470" i="37" s="1"/>
  <c r="H470" i="37" s="1"/>
  <c r="F596" i="37" a="1"/>
  <c r="F596" i="37" s="1"/>
  <c r="F29" i="39" a="1"/>
  <c r="F29" i="39" s="1"/>
  <c r="G110" i="39" a="1"/>
  <c r="G110" i="39" s="1"/>
  <c r="H110" i="39" s="1"/>
  <c r="F210" i="39" a="1"/>
  <c r="F210" i="39" s="1"/>
  <c r="F53" i="37" a="1"/>
  <c r="F53" i="37" s="1"/>
  <c r="G184" i="37" a="1"/>
  <c r="G184" i="37" s="1"/>
  <c r="H184" i="37" s="1"/>
  <c r="G433" i="37" a="1"/>
  <c r="G433" i="37" s="1"/>
  <c r="H433" i="37" s="1"/>
  <c r="G64" i="39" a="1"/>
  <c r="G64" i="39" s="1"/>
  <c r="H64" i="39" s="1"/>
  <c r="G12" i="39" a="1"/>
  <c r="G12" i="39" s="1"/>
  <c r="H12" i="39" s="1"/>
  <c r="G19" i="39" a="1"/>
  <c r="G19" i="39" s="1"/>
  <c r="H19" i="39" s="1"/>
  <c r="G202" i="37" a="1"/>
  <c r="G202" i="37" s="1"/>
  <c r="H202" i="37" s="1"/>
  <c r="F75" i="37" a="1"/>
  <c r="F75" i="37" s="1"/>
  <c r="G29" i="37" a="1"/>
  <c r="G29" i="37" s="1"/>
  <c r="H29" i="37" s="1"/>
  <c r="G33" i="37" a="1"/>
  <c r="G33" i="37" s="1"/>
  <c r="H33" i="37" s="1"/>
  <c r="G8" i="36" a="1"/>
  <c r="G8" i="36" s="1"/>
  <c r="G127" i="36" a="1"/>
  <c r="G127" i="36" s="1"/>
  <c r="F174" i="36" a="1"/>
  <c r="F174" i="36" s="1"/>
  <c r="G223" i="36" a="1"/>
  <c r="G223" i="36" s="1"/>
  <c r="H223" i="36" s="1"/>
  <c r="F287" i="36" a="1"/>
  <c r="F287" i="36" s="1"/>
  <c r="F362" i="36" a="1"/>
  <c r="F362" i="36" s="1"/>
  <c r="G446" i="36" a="1"/>
  <c r="G446" i="36" s="1"/>
  <c r="H446" i="36" s="1"/>
  <c r="F523" i="36" a="1"/>
  <c r="F523" i="36" s="1"/>
  <c r="F614" i="36" a="1"/>
  <c r="F614" i="36" s="1"/>
  <c r="G34" i="37" a="1"/>
  <c r="G34" i="37" s="1"/>
  <c r="H34" i="37" s="1"/>
  <c r="G94" i="37" a="1"/>
  <c r="G94" i="37" s="1"/>
  <c r="H94" i="37" s="1"/>
  <c r="F154" i="37" a="1"/>
  <c r="F154" i="37" s="1"/>
  <c r="G214" i="37" a="1"/>
  <c r="G214" i="37" s="1"/>
  <c r="H214" i="37" s="1"/>
  <c r="G305" i="37" a="1"/>
  <c r="G305" i="37" s="1"/>
  <c r="H305" i="37" s="1"/>
  <c r="G384" i="37" a="1"/>
  <c r="G384" i="37" s="1"/>
  <c r="H384" i="37" s="1"/>
  <c r="G508" i="37" a="1"/>
  <c r="G508" i="37" s="1"/>
  <c r="H508" i="37" s="1"/>
  <c r="F611" i="37" a="1"/>
  <c r="F611" i="37" s="1"/>
  <c r="G35" i="39" a="1"/>
  <c r="G35" i="39" s="1"/>
  <c r="H35" i="39" s="1"/>
  <c r="G128" i="39" a="1"/>
  <c r="G128" i="39" s="1"/>
  <c r="H128" i="39" s="1"/>
  <c r="F262" i="39" a="1"/>
  <c r="F262" i="39" s="1"/>
  <c r="F55" i="37" a="1"/>
  <c r="F55" i="37" s="1"/>
  <c r="G186" i="37" a="1"/>
  <c r="G186" i="37" s="1"/>
  <c r="H186" i="37" s="1"/>
  <c r="G187" i="39" a="1"/>
  <c r="G187" i="39" s="1"/>
  <c r="H187" i="39" s="1"/>
  <c r="F196" i="37" a="1"/>
  <c r="F196" i="37" s="1"/>
  <c r="F17" i="39" a="1"/>
  <c r="F17" i="39" s="1"/>
  <c r="I17" i="39" s="1"/>
  <c r="G130" i="37" a="1"/>
  <c r="G130" i="37" s="1"/>
  <c r="H130" i="37" s="1"/>
  <c r="F347" i="37" a="1"/>
  <c r="F347" i="37" s="1"/>
  <c r="G18" i="39" a="1"/>
  <c r="G18" i="39" s="1"/>
  <c r="H18" i="39" s="1"/>
  <c r="G342" i="39" a="1"/>
  <c r="G342" i="39" s="1"/>
  <c r="H342" i="39" s="1"/>
  <c r="G63" i="37" a="1"/>
  <c r="G63" i="37" s="1"/>
  <c r="H63" i="37" s="1"/>
  <c r="F80" i="39" a="1"/>
  <c r="F80" i="39" s="1"/>
  <c r="F68" i="37" a="1"/>
  <c r="F68" i="37" s="1"/>
  <c r="G355" i="37" a="1"/>
  <c r="G355" i="37" s="1"/>
  <c r="H355" i="37" s="1"/>
  <c r="F81" i="39" a="1"/>
  <c r="F81" i="39" s="1"/>
  <c r="F204" i="37" a="1"/>
  <c r="F204" i="37" s="1"/>
  <c r="G459" i="37" a="1"/>
  <c r="G459" i="37" s="1"/>
  <c r="H459" i="37" s="1"/>
  <c r="F25" i="39" a="1"/>
  <c r="F25" i="39" s="1"/>
  <c r="F29" i="37" a="1"/>
  <c r="F29" i="37" s="1"/>
  <c r="G300" i="37" a="1"/>
  <c r="G300" i="37" s="1"/>
  <c r="H300" i="37" s="1"/>
  <c r="F597" i="37" a="1"/>
  <c r="F597" i="37" s="1"/>
  <c r="F211" i="39" a="1"/>
  <c r="F211" i="39" s="1"/>
  <c r="G375" i="37" a="1"/>
  <c r="G375" i="37" s="1"/>
  <c r="H375" i="37" s="1"/>
  <c r="F31" i="39" a="1"/>
  <c r="F31" i="39" s="1"/>
  <c r="G148" i="37" a="1"/>
  <c r="G148" i="37" s="1"/>
  <c r="H148" i="37" s="1"/>
  <c r="F302" i="37" a="1"/>
  <c r="F302" i="37" s="1"/>
  <c r="F493" i="37" a="1"/>
  <c r="F493" i="37" s="1"/>
  <c r="F32" i="39" a="1"/>
  <c r="F32" i="39" s="1"/>
  <c r="F120" i="39" a="1"/>
  <c r="F120" i="39" s="1"/>
  <c r="G79" i="36" a="1"/>
  <c r="G79" i="36" s="1"/>
  <c r="H79" i="36" s="1"/>
  <c r="G9" i="36" a="1"/>
  <c r="G9" i="36" s="1"/>
  <c r="H9" i="36" s="1"/>
  <c r="G46" i="36" a="1"/>
  <c r="G46" i="36" s="1"/>
  <c r="H46" i="36" s="1"/>
  <c r="G80" i="36" a="1"/>
  <c r="G80" i="36" s="1"/>
  <c r="H80" i="36" s="1"/>
  <c r="F130" i="36" a="1"/>
  <c r="F130" i="36" s="1"/>
  <c r="G176" i="36" a="1"/>
  <c r="G176" i="36" s="1"/>
  <c r="H176" i="36" s="1"/>
  <c r="F229" i="36" a="1"/>
  <c r="F229" i="36" s="1"/>
  <c r="G288" i="36" a="1"/>
  <c r="G288" i="36" s="1"/>
  <c r="H288" i="36" s="1"/>
  <c r="G366" i="36" a="1"/>
  <c r="G366" i="36" s="1"/>
  <c r="H366" i="36" s="1"/>
  <c r="F456" i="36" a="1"/>
  <c r="F456" i="36" s="1"/>
  <c r="F532" i="36" a="1"/>
  <c r="F532" i="36" s="1"/>
  <c r="G619" i="36" a="1"/>
  <c r="G619" i="36" s="1"/>
  <c r="H619" i="36" s="1"/>
  <c r="G36" i="37" a="1"/>
  <c r="G36" i="37" s="1"/>
  <c r="H36" i="37" s="1"/>
  <c r="G96" i="37" a="1"/>
  <c r="G96" i="37" s="1"/>
  <c r="H96" i="37" s="1"/>
  <c r="G154" i="37" a="1"/>
  <c r="G154" i="37" s="1"/>
  <c r="H154" i="37" s="1"/>
  <c r="F222" i="37" a="1"/>
  <c r="F222" i="37" s="1"/>
  <c r="F309" i="37" a="1"/>
  <c r="F309" i="37" s="1"/>
  <c r="G388" i="37" a="1"/>
  <c r="G388" i="37" s="1"/>
  <c r="H388" i="37" s="1"/>
  <c r="G515" i="37" a="1"/>
  <c r="G515" i="37" s="1"/>
  <c r="H515" i="37" s="1"/>
  <c r="G611" i="37" a="1"/>
  <c r="G611" i="37" s="1"/>
  <c r="H611" i="37" s="1"/>
  <c r="G36" i="39" a="1"/>
  <c r="G36" i="39" s="1"/>
  <c r="H36" i="39" s="1"/>
  <c r="F129" i="39" a="1"/>
  <c r="F129" i="39" s="1"/>
  <c r="I129" i="39" s="1"/>
  <c r="F273" i="39" a="1"/>
  <c r="F273" i="39" s="1"/>
  <c r="G8" i="37" a="1"/>
  <c r="G8" i="37" s="1"/>
  <c r="H8" i="37" s="1"/>
  <c r="F116" i="37" a="1"/>
  <c r="F116" i="37" s="1"/>
  <c r="F323" i="37" a="1"/>
  <c r="F323" i="37" s="1"/>
  <c r="G533" i="37" a="1"/>
  <c r="G533" i="37" s="1"/>
  <c r="H533" i="37" s="1"/>
  <c r="F9" i="37" a="1"/>
  <c r="F9" i="37" s="1"/>
  <c r="G116" i="37" a="1"/>
  <c r="G116" i="37" s="1"/>
  <c r="H116" i="37" s="1"/>
  <c r="G323" i="37" a="1"/>
  <c r="G323" i="37" s="1"/>
  <c r="H323" i="37" s="1"/>
  <c r="G311" i="39" a="1"/>
  <c r="G311" i="39" s="1"/>
  <c r="H311" i="39" s="1"/>
  <c r="F13" i="39" a="1"/>
  <c r="F13" i="39" s="1"/>
  <c r="G139" i="37" a="1"/>
  <c r="G139" i="37" s="1"/>
  <c r="H139" i="37" s="1"/>
  <c r="F363" i="37" a="1"/>
  <c r="F363" i="37" s="1"/>
  <c r="F201" i="39" a="1"/>
  <c r="F201" i="39" s="1"/>
  <c r="F147" i="37" a="1"/>
  <c r="F147" i="37" s="1"/>
  <c r="F375" i="37" a="1"/>
  <c r="F375" i="37" s="1"/>
  <c r="G29" i="39" a="1"/>
  <c r="G29" i="39" s="1"/>
  <c r="H29" i="39" s="1"/>
  <c r="G147" i="37" a="1"/>
  <c r="G147" i="37" s="1"/>
  <c r="H147" i="37" s="1"/>
  <c r="G301" i="37" a="1"/>
  <c r="G301" i="37" s="1"/>
  <c r="H301" i="37" s="1"/>
  <c r="G597" i="37" a="1"/>
  <c r="G597" i="37" s="1"/>
  <c r="H597" i="37" s="1"/>
  <c r="F216" i="39" a="1"/>
  <c r="F216" i="39" s="1"/>
  <c r="F10" i="36" a="1"/>
  <c r="F10" i="36" s="1"/>
  <c r="F47" i="36" a="1"/>
  <c r="F47" i="36" s="1"/>
  <c r="G83" i="36" a="1"/>
  <c r="G83" i="36" s="1"/>
  <c r="H83" i="36" s="1"/>
  <c r="G130" i="36" a="1"/>
  <c r="G130" i="36" s="1"/>
  <c r="H130" i="36" s="1"/>
  <c r="F177" i="36" a="1"/>
  <c r="F177" i="36" s="1"/>
  <c r="G232" i="36" a="1"/>
  <c r="G232" i="36" s="1"/>
  <c r="H232" i="36" s="1"/>
  <c r="F292" i="36" a="1"/>
  <c r="F292" i="36" s="1"/>
  <c r="G367" i="36" a="1"/>
  <c r="G367" i="36" s="1"/>
  <c r="H367" i="36" s="1"/>
  <c r="G462" i="36" a="1"/>
  <c r="G462" i="36" s="1"/>
  <c r="H462" i="36" s="1"/>
  <c r="F534" i="36" a="1"/>
  <c r="F534" i="36" s="1"/>
  <c r="G623" i="36" a="1"/>
  <c r="G623" i="36" s="1"/>
  <c r="H623" i="36" s="1"/>
  <c r="F40" i="37" a="1"/>
  <c r="F40" i="37" s="1"/>
  <c r="G101" i="37" a="1"/>
  <c r="G101" i="37" s="1"/>
  <c r="H101" i="37" s="1"/>
  <c r="F157" i="37" a="1"/>
  <c r="F157" i="37" s="1"/>
  <c r="F229" i="37" a="1"/>
  <c r="F229" i="37" s="1"/>
  <c r="G309" i="37" a="1"/>
  <c r="G309" i="37" s="1"/>
  <c r="H309" i="37" s="1"/>
  <c r="G390" i="37" a="1"/>
  <c r="G390" i="37" s="1"/>
  <c r="H390" i="37" s="1"/>
  <c r="G516" i="37" a="1"/>
  <c r="G516" i="37" s="1"/>
  <c r="H516" i="37" s="1"/>
  <c r="F612" i="37" a="1"/>
  <c r="F612" i="37" s="1"/>
  <c r="F51" i="39" a="1"/>
  <c r="F51" i="39" s="1"/>
  <c r="I51" i="39" s="1"/>
  <c r="F130" i="39" a="1"/>
  <c r="F130" i="39" s="1"/>
  <c r="G273" i="39" a="1"/>
  <c r="G273" i="39" s="1"/>
  <c r="H273" i="39" s="1"/>
  <c r="F108" i="37" a="1"/>
  <c r="F108" i="37" s="1"/>
  <c r="I108" i="37" s="1"/>
  <c r="G314" i="37" a="1"/>
  <c r="G314" i="37" s="1"/>
  <c r="H314" i="37" s="1"/>
  <c r="F8" i="37" a="1"/>
  <c r="F8" i="37" s="1"/>
  <c r="F111" i="37" a="1"/>
  <c r="F111" i="37" s="1"/>
  <c r="F321" i="37" a="1"/>
  <c r="F321" i="37" s="1"/>
  <c r="I321" i="37" s="1"/>
  <c r="G532" i="37" a="1"/>
  <c r="G532" i="37" s="1"/>
  <c r="H532" i="37" s="1"/>
  <c r="G54" i="37" a="1"/>
  <c r="G54" i="37" s="1"/>
  <c r="H54" i="37" s="1"/>
  <c r="F186" i="37" a="1"/>
  <c r="F186" i="37" s="1"/>
  <c r="F544" i="37" a="1"/>
  <c r="F544" i="37" s="1"/>
  <c r="F175" i="39" a="1"/>
  <c r="F175" i="39" s="1"/>
  <c r="F119" i="37" a="1"/>
  <c r="F119" i="37" s="1"/>
  <c r="G323" i="39" a="1"/>
  <c r="G323" i="39" s="1"/>
  <c r="H323" i="39" s="1"/>
  <c r="F264" i="37" a="1"/>
  <c r="F264" i="37" s="1"/>
  <c r="F72" i="39" a="1"/>
  <c r="F72" i="39" s="1"/>
  <c r="F17" i="37" a="1"/>
  <c r="F17" i="37" s="1"/>
  <c r="F197" i="37" a="1"/>
  <c r="F197" i="37" s="1"/>
  <c r="F448" i="37" a="1"/>
  <c r="F448" i="37" s="1"/>
  <c r="G74" i="39" a="1"/>
  <c r="G74" i="39" s="1"/>
  <c r="H74" i="39" s="1"/>
  <c r="G17" i="37" a="1"/>
  <c r="G17" i="37" s="1"/>
  <c r="H17" i="37" s="1"/>
  <c r="F454" i="37" a="1"/>
  <c r="F454" i="37" s="1"/>
  <c r="F137" i="37" a="1"/>
  <c r="F137" i="37" s="1"/>
  <c r="F459" i="37" a="1"/>
  <c r="F459" i="37" s="1"/>
  <c r="I459" i="37" s="1"/>
  <c r="F24" i="39" a="1"/>
  <c r="F24" i="39" s="1"/>
  <c r="F23" i="37" a="1"/>
  <c r="F23" i="37" s="1"/>
  <c r="G273" i="37" a="1"/>
  <c r="G273" i="37" s="1"/>
  <c r="H273" i="37" s="1"/>
  <c r="G588" i="37" a="1"/>
  <c r="G588" i="37" s="1"/>
  <c r="H588" i="37" s="1"/>
  <c r="G106" i="39" a="1"/>
  <c r="G106" i="39" s="1"/>
  <c r="H106" i="39" s="1"/>
  <c r="F210" i="37" a="1"/>
  <c r="F210" i="37" s="1"/>
  <c r="F471" i="37" a="1"/>
  <c r="F471" i="37" s="1"/>
  <c r="F117" i="39" a="1"/>
  <c r="F117" i="39" s="1"/>
  <c r="G88" i="37" a="1"/>
  <c r="G88" i="37" s="1"/>
  <c r="H88" i="37" s="1"/>
  <c r="F211" i="37" a="1"/>
  <c r="F211" i="37" s="1"/>
  <c r="G479" i="37" a="1"/>
  <c r="G479" i="37" s="1"/>
  <c r="H479" i="37" s="1"/>
  <c r="G117" i="39" a="1"/>
  <c r="G117" i="39" s="1"/>
  <c r="H117" i="39" s="1"/>
  <c r="F90" i="37" a="1"/>
  <c r="F90" i="37" s="1"/>
  <c r="G211" i="37" a="1"/>
  <c r="G211" i="37" s="1"/>
  <c r="H211" i="37" s="1"/>
  <c r="F380" i="37" a="1"/>
  <c r="F380" i="37" s="1"/>
  <c r="G599" i="37" a="1"/>
  <c r="G599" i="37" s="1"/>
  <c r="H599" i="37" s="1"/>
  <c r="G224" i="39" a="1"/>
  <c r="G224" i="39" s="1"/>
  <c r="H224" i="39" s="1"/>
  <c r="F46" i="36" a="1"/>
  <c r="F46" i="36" s="1"/>
  <c r="F12" i="36" a="1"/>
  <c r="F12" i="36" s="1"/>
  <c r="G48" i="36" a="1"/>
  <c r="G48" i="36" s="1"/>
  <c r="H48" i="36" s="1"/>
  <c r="G86" i="36" a="1"/>
  <c r="G86" i="36" s="1"/>
  <c r="H86" i="36" s="1"/>
  <c r="F136" i="36" a="1"/>
  <c r="F136" i="36" s="1"/>
  <c r="I136" i="36" s="1"/>
  <c r="G180" i="36" a="1"/>
  <c r="G180" i="36" s="1"/>
  <c r="H180" i="36" s="1"/>
  <c r="F238" i="36" a="1"/>
  <c r="F238" i="36" s="1"/>
  <c r="I238" i="36" s="1"/>
  <c r="G295" i="36" a="1"/>
  <c r="G295" i="36" s="1"/>
  <c r="H295" i="36" s="1"/>
  <c r="F371" i="36" a="1"/>
  <c r="F371" i="36" s="1"/>
  <c r="G468" i="36" a="1"/>
  <c r="G468" i="36" s="1"/>
  <c r="H468" i="36" s="1"/>
  <c r="G537" i="36" a="1"/>
  <c r="G537" i="36" s="1"/>
  <c r="H537" i="36" s="1"/>
  <c r="F626" i="36" a="1"/>
  <c r="F626" i="36" s="1"/>
  <c r="F47" i="37" a="1"/>
  <c r="F47" i="37" s="1"/>
  <c r="G102" i="37" a="1"/>
  <c r="G102" i="37" s="1"/>
  <c r="H102" i="37" s="1"/>
  <c r="G160" i="37" a="1"/>
  <c r="G160" i="37" s="1"/>
  <c r="H160" i="37" s="1"/>
  <c r="F237" i="37" a="1"/>
  <c r="F237" i="37" s="1"/>
  <c r="F311" i="37" a="1"/>
  <c r="F311" i="37" s="1"/>
  <c r="G398" i="37" a="1"/>
  <c r="G398" i="37" s="1"/>
  <c r="H398" i="37" s="1"/>
  <c r="G517" i="37" a="1"/>
  <c r="G517" i="37" s="1"/>
  <c r="H517" i="37" s="1"/>
  <c r="G612" i="37" a="1"/>
  <c r="G612" i="37" s="1"/>
  <c r="H612" i="37" s="1"/>
  <c r="G51" i="39" a="1"/>
  <c r="G51" i="39" s="1"/>
  <c r="H51" i="39" s="1"/>
  <c r="G135" i="39" a="1"/>
  <c r="G135" i="39" s="1"/>
  <c r="H135" i="39" s="1"/>
  <c r="F279" i="39" a="1"/>
  <c r="F279" i="39" s="1"/>
  <c r="F49" i="37" a="1"/>
  <c r="F49" i="37" s="1"/>
  <c r="G626" i="37" a="1"/>
  <c r="G626" i="37" s="1"/>
  <c r="H626" i="37" s="1"/>
  <c r="G245" i="37" a="1"/>
  <c r="G245" i="37" s="1"/>
  <c r="H245" i="37" s="1"/>
  <c r="F255" i="37" a="1"/>
  <c r="F255" i="37" s="1"/>
  <c r="G9" i="37" a="1"/>
  <c r="G9" i="37" s="1"/>
  <c r="H9" i="37" s="1"/>
  <c r="F118" i="37" a="1"/>
  <c r="F118" i="37" s="1"/>
  <c r="F257" i="37" a="1"/>
  <c r="F257" i="37" s="1"/>
  <c r="F330" i="37" a="1"/>
  <c r="F330" i="37" s="1"/>
  <c r="F546" i="37" a="1"/>
  <c r="F546" i="37" s="1"/>
  <c r="G65" i="39" a="1"/>
  <c r="G65" i="39" s="1"/>
  <c r="H65" i="39" s="1"/>
  <c r="G315" i="39" a="1"/>
  <c r="G315" i="39" s="1"/>
  <c r="H315" i="39" s="1"/>
  <c r="F14" i="37" a="1"/>
  <c r="F14" i="37" s="1"/>
  <c r="G188" i="37" a="1"/>
  <c r="G188" i="37" s="1"/>
  <c r="H188" i="37" s="1"/>
  <c r="G257" i="37" a="1"/>
  <c r="G257" i="37" s="1"/>
  <c r="H257" i="37" s="1"/>
  <c r="G333" i="37" a="1"/>
  <c r="G333" i="37" s="1"/>
  <c r="H333" i="37" s="1"/>
  <c r="F548" i="37" a="1"/>
  <c r="F548" i="37" s="1"/>
  <c r="F66" i="39" a="1"/>
  <c r="F66" i="39" s="1"/>
  <c r="F60" i="37" a="1"/>
  <c r="F60" i="37" s="1"/>
  <c r="G345" i="37" a="1"/>
  <c r="G345" i="37" s="1"/>
  <c r="H345" i="37" s="1"/>
  <c r="G445" i="37" a="1"/>
  <c r="G445" i="37" s="1"/>
  <c r="H445" i="37" s="1"/>
  <c r="G553" i="37" a="1"/>
  <c r="G553" i="37" s="1"/>
  <c r="H553" i="37" s="1"/>
  <c r="G188" i="39" a="1"/>
  <c r="G188" i="39" s="1"/>
  <c r="H188" i="39" s="1"/>
  <c r="G134" i="37" a="1"/>
  <c r="G134" i="37" s="1"/>
  <c r="H134" i="37" s="1"/>
  <c r="F267" i="37" a="1"/>
  <c r="F267" i="37" s="1"/>
  <c r="I267" i="37" s="1"/>
  <c r="G350" i="37" a="1"/>
  <c r="G350" i="37" s="1"/>
  <c r="H350" i="37" s="1"/>
  <c r="F559" i="37" a="1"/>
  <c r="F559" i="37" s="1"/>
  <c r="G196" i="39" a="1"/>
  <c r="G196" i="39" s="1"/>
  <c r="H196" i="39" s="1"/>
  <c r="F562" i="39" a="1"/>
  <c r="F562" i="39" s="1"/>
  <c r="F271" i="37" a="1"/>
  <c r="F271" i="37" s="1"/>
  <c r="F197" i="39" a="1"/>
  <c r="F197" i="39" s="1"/>
  <c r="G68" i="37" a="1"/>
  <c r="G68" i="37" s="1"/>
  <c r="H68" i="37" s="1"/>
  <c r="G47" i="37" a="1"/>
  <c r="G47" i="37" s="1"/>
  <c r="H47" i="37" s="1"/>
  <c r="G103" i="37" a="1"/>
  <c r="G103" i="37" s="1"/>
  <c r="H103" i="37" s="1"/>
  <c r="F161" i="37" a="1"/>
  <c r="F161" i="37" s="1"/>
  <c r="G237" i="37" a="1"/>
  <c r="G237" i="37" s="1"/>
  <c r="H237" i="37" s="1"/>
  <c r="F313" i="37" a="1"/>
  <c r="F313" i="37" s="1"/>
  <c r="F401" i="37" a="1"/>
  <c r="F401" i="37" s="1"/>
  <c r="G521" i="37" a="1"/>
  <c r="G521" i="37" s="1"/>
  <c r="H521" i="37" s="1"/>
  <c r="F621" i="37" a="1"/>
  <c r="F621" i="37" s="1"/>
  <c r="I621" i="37" s="1"/>
  <c r="F55" i="39" a="1"/>
  <c r="F55" i="39" s="1"/>
  <c r="G136" i="39" a="1"/>
  <c r="G136" i="39" s="1"/>
  <c r="H136" i="39" s="1"/>
  <c r="G279" i="39" a="1"/>
  <c r="G279" i="39" s="1"/>
  <c r="H279" i="39" s="1"/>
  <c r="G164" i="37" a="1"/>
  <c r="G164" i="37" s="1"/>
  <c r="H164" i="37" s="1"/>
  <c r="F425" i="37" a="1"/>
  <c r="F425" i="37" s="1"/>
  <c r="G529" i="37" a="1"/>
  <c r="G529" i="37" s="1"/>
  <c r="H529" i="37" s="1"/>
  <c r="F50" i="37" a="1"/>
  <c r="F50" i="37" s="1"/>
  <c r="F177" i="37" a="1"/>
  <c r="F177" i="37" s="1"/>
  <c r="I177" i="37" s="1"/>
  <c r="F432" i="37" a="1"/>
  <c r="F432" i="37" s="1"/>
  <c r="F248" i="37" a="1"/>
  <c r="F248" i="37" s="1"/>
  <c r="G434" i="37" a="1"/>
  <c r="G434" i="37" s="1"/>
  <c r="H434" i="37" s="1"/>
  <c r="G55" i="37" a="1"/>
  <c r="G55" i="37" s="1"/>
  <c r="H55" i="37" s="1"/>
  <c r="F188" i="39" a="1"/>
  <c r="F188" i="39" s="1"/>
  <c r="I188" i="39" s="1"/>
  <c r="F124" i="37" a="1"/>
  <c r="F124" i="37" s="1"/>
  <c r="F341" i="39" a="1"/>
  <c r="F341" i="39" s="1"/>
  <c r="G62" i="37" a="1"/>
  <c r="G62" i="37" s="1"/>
  <c r="H62" i="37" s="1"/>
  <c r="G266" i="37" a="1"/>
  <c r="G266" i="37" s="1"/>
  <c r="H266" i="37" s="1"/>
  <c r="F557" i="37" a="1"/>
  <c r="F557" i="37" s="1"/>
  <c r="F196" i="39" a="1"/>
  <c r="F196" i="39" s="1"/>
  <c r="G197" i="37" a="1"/>
  <c r="G197" i="37" s="1"/>
  <c r="H197" i="37" s="1"/>
  <c r="F22" i="37" a="1"/>
  <c r="F22" i="37" s="1"/>
  <c r="G14" i="36" a="1"/>
  <c r="G14" i="36" s="1"/>
  <c r="H14" i="36" s="1"/>
  <c r="F51" i="36" a="1"/>
  <c r="F51" i="36" s="1"/>
  <c r="F94" i="36" a="1"/>
  <c r="F94" i="36" s="1"/>
  <c r="F137" i="36" a="1"/>
  <c r="F137" i="36" s="1"/>
  <c r="G182" i="36" a="1"/>
  <c r="G182" i="36" s="1"/>
  <c r="H182" i="36" s="1"/>
  <c r="F239" i="36" a="1"/>
  <c r="F239" i="36" s="1"/>
  <c r="G301" i="36" a="1"/>
  <c r="G301" i="36" s="1"/>
  <c r="H301" i="36" s="1"/>
  <c r="F379" i="36" a="1"/>
  <c r="F379" i="36" s="1"/>
  <c r="G470" i="36" a="1"/>
  <c r="G470" i="36" s="1"/>
  <c r="H470" i="36" s="1"/>
  <c r="F547" i="36" a="1"/>
  <c r="F547" i="36" s="1"/>
  <c r="G48" i="37" a="1"/>
  <c r="G48" i="37" s="1"/>
  <c r="H48" i="37" s="1"/>
  <c r="G105" i="37" a="1"/>
  <c r="G105" i="37" s="1"/>
  <c r="H105" i="37" s="1"/>
  <c r="G162" i="37" a="1"/>
  <c r="G162" i="37" s="1"/>
  <c r="H162" i="37" s="1"/>
  <c r="F238" i="37" a="1"/>
  <c r="F238" i="37" s="1"/>
  <c r="F314" i="37" a="1"/>
  <c r="F314" i="37" s="1"/>
  <c r="F414" i="37" a="1"/>
  <c r="F414" i="37" s="1"/>
  <c r="F522" i="37" a="1"/>
  <c r="F522" i="37" s="1"/>
  <c r="F626" i="37" a="1"/>
  <c r="F626" i="37" s="1"/>
  <c r="F56" i="39" a="1"/>
  <c r="F56" i="39" s="1"/>
  <c r="I56" i="39" s="1"/>
  <c r="F137" i="39" a="1"/>
  <c r="F137" i="39" s="1"/>
  <c r="G290" i="39" a="1"/>
  <c r="G290" i="39" s="1"/>
  <c r="H290" i="39" s="1"/>
  <c r="G58" i="36" a="1"/>
  <c r="G58" i="36" s="1"/>
  <c r="H58" i="36" s="1"/>
  <c r="G85" i="36" a="1"/>
  <c r="G85" i="36" s="1"/>
  <c r="H85" i="36" s="1"/>
  <c r="F117" i="36" a="1"/>
  <c r="F117" i="36" s="1"/>
  <c r="I117" i="36" s="1"/>
  <c r="F152" i="36" a="1"/>
  <c r="F152" i="36" s="1"/>
  <c r="I152" i="36" s="1"/>
  <c r="G186" i="36" a="1"/>
  <c r="G186" i="36" s="1"/>
  <c r="G225" i="36" a="1"/>
  <c r="G225" i="36" s="1"/>
  <c r="H225" i="36" s="1"/>
  <c r="G263" i="36" a="1"/>
  <c r="G263" i="36" s="1"/>
  <c r="H263" i="36" s="1"/>
  <c r="G318" i="36" a="1"/>
  <c r="G318" i="36" s="1"/>
  <c r="H318" i="36" s="1"/>
  <c r="G377" i="36" a="1"/>
  <c r="G377" i="36" s="1"/>
  <c r="H377" i="36" s="1"/>
  <c r="F431" i="36" a="1"/>
  <c r="F431" i="36" s="1"/>
  <c r="I431" i="36" s="1"/>
  <c r="G491" i="36" a="1"/>
  <c r="G491" i="36" s="1"/>
  <c r="H491" i="36" s="1"/>
  <c r="F562" i="36" a="1"/>
  <c r="F562" i="36" s="1"/>
  <c r="I562" i="36" s="1"/>
  <c r="F625" i="36" a="1"/>
  <c r="F625" i="36" s="1"/>
  <c r="G69" i="37" a="1"/>
  <c r="G69" i="37" s="1"/>
  <c r="H69" i="37" s="1"/>
  <c r="G119" i="37" a="1"/>
  <c r="G119" i="37" s="1"/>
  <c r="H119" i="37" s="1"/>
  <c r="F164" i="37" a="1"/>
  <c r="F164" i="37" s="1"/>
  <c r="I164" i="37" s="1"/>
  <c r="G212" i="37" a="1"/>
  <c r="G212" i="37" s="1"/>
  <c r="H212" i="37" s="1"/>
  <c r="F273" i="37" a="1"/>
  <c r="F273" i="37" s="1"/>
  <c r="F325" i="37" a="1"/>
  <c r="F325" i="37" s="1"/>
  <c r="G399" i="37" a="1"/>
  <c r="G399" i="37" s="1"/>
  <c r="H399" i="37" s="1"/>
  <c r="G471" i="37" a="1"/>
  <c r="G471" i="37" s="1"/>
  <c r="H471" i="37" s="1"/>
  <c r="G557" i="37" a="1"/>
  <c r="G557" i="37" s="1"/>
  <c r="H557" i="37" s="1"/>
  <c r="F38" i="39" a="1"/>
  <c r="F38" i="39" s="1"/>
  <c r="F84" i="39" a="1"/>
  <c r="F84" i="39" s="1"/>
  <c r="F147" i="39" a="1"/>
  <c r="F147" i="39" s="1"/>
  <c r="F227" i="39" a="1"/>
  <c r="F227" i="39" s="1"/>
  <c r="F351" i="39" a="1"/>
  <c r="F351" i="39" s="1"/>
  <c r="E3" i="14" a="1"/>
  <c r="E3" i="14" s="1"/>
  <c r="G3" i="14" s="1" a="1"/>
  <c r="G3" i="14" s="1"/>
  <c r="BZ3" i="14" a="1"/>
  <c r="G38" i="39" a="1"/>
  <c r="G38" i="39" s="1"/>
  <c r="H38" i="39" s="1"/>
  <c r="G84" i="39" a="1"/>
  <c r="G84" i="39" s="1"/>
  <c r="H84" i="39" s="1"/>
  <c r="G149" i="39" a="1"/>
  <c r="G149" i="39" s="1"/>
  <c r="H149" i="39" s="1"/>
  <c r="G231" i="39" a="1"/>
  <c r="G231" i="39" s="1"/>
  <c r="H231" i="39" s="1"/>
  <c r="F370" i="39" a="1"/>
  <c r="F370" i="39" s="1"/>
  <c r="G30" i="36" a="1"/>
  <c r="G30" i="36" s="1"/>
  <c r="H30" i="36" s="1"/>
  <c r="G60" i="36" a="1"/>
  <c r="G60" i="36" s="1"/>
  <c r="H60" i="36" s="1"/>
  <c r="G87" i="36" a="1"/>
  <c r="G87" i="36" s="1"/>
  <c r="H87" i="36" s="1"/>
  <c r="F119" i="36" a="1"/>
  <c r="F119" i="36" s="1"/>
  <c r="F153" i="36" a="1"/>
  <c r="F153" i="36" s="1"/>
  <c r="G187" i="36" a="1"/>
  <c r="G187" i="36" s="1"/>
  <c r="H187" i="36" s="1"/>
  <c r="G229" i="36" a="1"/>
  <c r="G229" i="36" s="1"/>
  <c r="H229" i="36" s="1"/>
  <c r="G269" i="36" a="1"/>
  <c r="G269" i="36" s="1"/>
  <c r="H269" i="36" s="1"/>
  <c r="F326" i="36" a="1"/>
  <c r="F326" i="36" s="1"/>
  <c r="G381" i="36" a="1"/>
  <c r="G381" i="36" s="1"/>
  <c r="H381" i="36" s="1"/>
  <c r="F441" i="36" a="1"/>
  <c r="F441" i="36" s="1"/>
  <c r="F496" i="36" a="1"/>
  <c r="F496" i="36" s="1"/>
  <c r="F563" i="36" a="1"/>
  <c r="F563" i="36" s="1"/>
  <c r="F629" i="36" a="1"/>
  <c r="F629" i="36" s="1"/>
  <c r="F37" i="37" a="1"/>
  <c r="F37" i="37" s="1"/>
  <c r="F74" i="37" a="1"/>
  <c r="F74" i="37" s="1"/>
  <c r="G124" i="37" a="1"/>
  <c r="G124" i="37" s="1"/>
  <c r="H124" i="37" s="1"/>
  <c r="G170" i="37" a="1"/>
  <c r="G170" i="37" s="1"/>
  <c r="H170" i="37" s="1"/>
  <c r="F218" i="37" a="1"/>
  <c r="F218" i="37" s="1"/>
  <c r="F275" i="37" a="1"/>
  <c r="F275" i="37" s="1"/>
  <c r="F331" i="37" a="1"/>
  <c r="F331" i="37" s="1"/>
  <c r="G401" i="37" a="1"/>
  <c r="G401" i="37" s="1"/>
  <c r="H401" i="37" s="1"/>
  <c r="G480" i="37" a="1"/>
  <c r="G480" i="37" s="1"/>
  <c r="H480" i="37" s="1"/>
  <c r="F560" i="37" a="1"/>
  <c r="F560" i="37" s="1"/>
  <c r="F5" i="39" a="1"/>
  <c r="F5" i="39" s="1"/>
  <c r="I5" i="39" s="1"/>
  <c r="G42" i="39" a="1"/>
  <c r="G42" i="39" s="1"/>
  <c r="H42" i="39" s="1"/>
  <c r="F89" i="39" a="1"/>
  <c r="F89" i="39" s="1"/>
  <c r="F150" i="39" a="1"/>
  <c r="F150" i="39" s="1"/>
  <c r="F240" i="39" a="1"/>
  <c r="F240" i="39" s="1"/>
  <c r="F371" i="39" a="1"/>
  <c r="F371" i="39" s="1"/>
  <c r="F31" i="36" a="1"/>
  <c r="F31" i="36" s="1"/>
  <c r="I31" i="36" s="1"/>
  <c r="F62" i="36" a="1"/>
  <c r="F62" i="36" s="1"/>
  <c r="F88" i="36" a="1"/>
  <c r="F88" i="36" s="1"/>
  <c r="G119" i="36" a="1"/>
  <c r="G119" i="36" s="1"/>
  <c r="H119" i="36" s="1"/>
  <c r="F156" i="36" a="1"/>
  <c r="F156" i="36" s="1"/>
  <c r="F189" i="36" a="1"/>
  <c r="F189" i="36" s="1"/>
  <c r="F230" i="36" a="1"/>
  <c r="F230" i="36" s="1"/>
  <c r="F272" i="36" a="1"/>
  <c r="F272" i="36" s="1"/>
  <c r="F329" i="36" a="1"/>
  <c r="F329" i="36" s="1"/>
  <c r="F382" i="36" a="1"/>
  <c r="F382" i="36" s="1"/>
  <c r="I382" i="36" s="1"/>
  <c r="G442" i="36" a="1"/>
  <c r="G442" i="36" s="1"/>
  <c r="H442" i="36" s="1"/>
  <c r="G498" i="36" a="1"/>
  <c r="G498" i="36" s="1"/>
  <c r="H498" i="36" s="1"/>
  <c r="F567" i="36" a="1"/>
  <c r="F567" i="36" s="1"/>
  <c r="G630" i="36" a="1"/>
  <c r="G630" i="36" s="1"/>
  <c r="H630" i="36" s="1"/>
  <c r="G37" i="37" a="1"/>
  <c r="G37" i="37" s="1"/>
  <c r="H37" i="37" s="1"/>
  <c r="G74" i="37" a="1"/>
  <c r="G74" i="37" s="1"/>
  <c r="H74" i="37" s="1"/>
  <c r="F126" i="37" a="1"/>
  <c r="F126" i="37" s="1"/>
  <c r="F171" i="37" a="1"/>
  <c r="F171" i="37" s="1"/>
  <c r="I171" i="37" s="1"/>
  <c r="G221" i="37" a="1"/>
  <c r="G221" i="37" s="1"/>
  <c r="H221" i="37" s="1"/>
  <c r="G280" i="37" a="1"/>
  <c r="G280" i="37" s="1"/>
  <c r="H280" i="37" s="1"/>
  <c r="G332" i="37" a="1"/>
  <c r="G332" i="37" s="1"/>
  <c r="H332" i="37" s="1"/>
  <c r="F408" i="37" a="1"/>
  <c r="F408" i="37" s="1"/>
  <c r="G484" i="37" a="1"/>
  <c r="G484" i="37" s="1"/>
  <c r="H484" i="37" s="1"/>
  <c r="G561" i="37" a="1"/>
  <c r="G561" i="37" s="1"/>
  <c r="H561" i="37" s="1"/>
  <c r="G5" i="39" a="1"/>
  <c r="G5" i="39" s="1"/>
  <c r="H5" i="39" s="1"/>
  <c r="G44" i="39" a="1"/>
  <c r="G44" i="39" s="1"/>
  <c r="H44" i="39" s="1"/>
  <c r="G91" i="39" a="1"/>
  <c r="G91" i="39" s="1"/>
  <c r="H91" i="39" s="1"/>
  <c r="G158" i="39" a="1"/>
  <c r="G158" i="39" s="1"/>
  <c r="H158" i="39" s="1"/>
  <c r="G240" i="39" a="1"/>
  <c r="G240" i="39" s="1"/>
  <c r="H240" i="39" s="1"/>
  <c r="G425" i="39" a="1"/>
  <c r="G425" i="39" s="1"/>
  <c r="H425" i="39" s="1"/>
  <c r="F7" i="39" a="1"/>
  <c r="F7" i="39" s="1"/>
  <c r="F92" i="39" a="1"/>
  <c r="F92" i="39" s="1"/>
  <c r="F426" i="39" a="1"/>
  <c r="F426" i="39" s="1"/>
  <c r="G34" i="36" a="1"/>
  <c r="G34" i="36" s="1"/>
  <c r="H34" i="36" s="1"/>
  <c r="G64" i="36" a="1"/>
  <c r="G64" i="36" s="1"/>
  <c r="H64" i="36" s="1"/>
  <c r="F92" i="36" a="1"/>
  <c r="F92" i="36" s="1"/>
  <c r="I92" i="36" s="1"/>
  <c r="F122" i="36" a="1"/>
  <c r="F122" i="36" s="1"/>
  <c r="F160" i="36" a="1"/>
  <c r="F160" i="36" s="1"/>
  <c r="F194" i="36" a="1"/>
  <c r="F194" i="36" s="1"/>
  <c r="I194" i="36" s="1"/>
  <c r="G233" i="36" a="1"/>
  <c r="G233" i="36" s="1"/>
  <c r="H233" i="36" s="1"/>
  <c r="F277" i="36" a="1"/>
  <c r="F277" i="36" s="1"/>
  <c r="G333" i="36" a="1"/>
  <c r="G333" i="36" s="1"/>
  <c r="F383" i="36" a="1"/>
  <c r="F383" i="36" s="1"/>
  <c r="G449" i="36" a="1"/>
  <c r="G449" i="36" s="1"/>
  <c r="H449" i="36" s="1"/>
  <c r="G506" i="36" a="1"/>
  <c r="G506" i="36" s="1"/>
  <c r="H506" i="36" s="1"/>
  <c r="F574" i="36" a="1"/>
  <c r="F574" i="36" s="1"/>
  <c r="G42" i="37" a="1"/>
  <c r="G42" i="37" s="1"/>
  <c r="H42" i="37" s="1"/>
  <c r="G80" i="37" a="1"/>
  <c r="G80" i="37" s="1"/>
  <c r="H80" i="37" s="1"/>
  <c r="F131" i="37" a="1"/>
  <c r="F131" i="37" s="1"/>
  <c r="G177" i="37" a="1"/>
  <c r="G177" i="37" s="1"/>
  <c r="H177" i="37" s="1"/>
  <c r="G222" i="37" a="1"/>
  <c r="G222" i="37" s="1"/>
  <c r="H222" i="37" s="1"/>
  <c r="G285" i="37" a="1"/>
  <c r="G285" i="37" s="1"/>
  <c r="H285" i="37" s="1"/>
  <c r="F341" i="37" a="1"/>
  <c r="F341" i="37" s="1"/>
  <c r="G414" i="37" a="1"/>
  <c r="G414" i="37" s="1"/>
  <c r="H414" i="37" s="1"/>
  <c r="G493" i="37" a="1"/>
  <c r="G493" i="37" s="1"/>
  <c r="H493" i="37" s="1"/>
  <c r="F570" i="37" a="1"/>
  <c r="F570" i="37" s="1"/>
  <c r="I570" i="37" s="1"/>
  <c r="G7" i="39" a="1"/>
  <c r="G7" i="39" s="1"/>
  <c r="H7" i="39" s="1"/>
  <c r="F48" i="39" a="1"/>
  <c r="F48" i="39" s="1"/>
  <c r="G99" i="39" a="1"/>
  <c r="G99" i="39" s="1"/>
  <c r="H99" i="39" s="1"/>
  <c r="G168" i="39" a="1"/>
  <c r="G168" i="39" s="1"/>
  <c r="H168" i="39" s="1"/>
  <c r="G241" i="39" a="1"/>
  <c r="G241" i="39" s="1"/>
  <c r="H241" i="39" s="1"/>
  <c r="F490" i="39" a="1"/>
  <c r="F490" i="39" s="1"/>
  <c r="G45" i="39" a="1"/>
  <c r="G45" i="39" s="1"/>
  <c r="H45" i="39" s="1"/>
  <c r="F162" i="39" a="1"/>
  <c r="F162" i="39" s="1"/>
  <c r="F241" i="39" a="1"/>
  <c r="F241" i="39" s="1"/>
  <c r="G5" i="36" a="1"/>
  <c r="G5" i="36" s="1"/>
  <c r="H5" i="36" s="1"/>
  <c r="F37" i="36" a="1"/>
  <c r="F37" i="36" s="1"/>
  <c r="I37" i="36" s="1"/>
  <c r="F66" i="36" a="1"/>
  <c r="F66" i="36" s="1"/>
  <c r="G92" i="36" a="1"/>
  <c r="G92" i="36" s="1"/>
  <c r="H92" i="36" s="1"/>
  <c r="F123" i="36" a="1"/>
  <c r="F123" i="36" s="1"/>
  <c r="G160" i="36" a="1"/>
  <c r="G160" i="36" s="1"/>
  <c r="H160" i="36" s="1"/>
  <c r="G194" i="36" a="1"/>
  <c r="G194" i="36" s="1"/>
  <c r="H194" i="36" s="1"/>
  <c r="G234" i="36" a="1"/>
  <c r="G234" i="36" s="1"/>
  <c r="H234" i="36" s="1"/>
  <c r="G277" i="36" a="1"/>
  <c r="G277" i="36" s="1"/>
  <c r="H277" i="36" s="1"/>
  <c r="F335" i="36" a="1"/>
  <c r="F335" i="36" s="1"/>
  <c r="I335" i="36" s="1"/>
  <c r="F387" i="36" a="1"/>
  <c r="F387" i="36" s="1"/>
  <c r="G450" i="36" a="1"/>
  <c r="G450" i="36" s="1"/>
  <c r="H450" i="36" s="1"/>
  <c r="G509" i="36" a="1"/>
  <c r="G509" i="36" s="1"/>
  <c r="H509" i="36" s="1"/>
  <c r="F578" i="36" a="1"/>
  <c r="F578" i="36" s="1"/>
  <c r="I578" i="36" s="1"/>
  <c r="F43" i="37" a="1"/>
  <c r="F43" i="37" s="1"/>
  <c r="F81" i="37" a="1"/>
  <c r="F81" i="37" s="1"/>
  <c r="G131" i="37" a="1"/>
  <c r="G131" i="37" s="1"/>
  <c r="H131" i="37" s="1"/>
  <c r="F178" i="37" a="1"/>
  <c r="F178" i="37" s="1"/>
  <c r="F228" i="37" a="1"/>
  <c r="F228" i="37" s="1"/>
  <c r="G291" i="37" a="1"/>
  <c r="G291" i="37" s="1"/>
  <c r="H291" i="37" s="1"/>
  <c r="G342" i="37" a="1"/>
  <c r="G342" i="37" s="1"/>
  <c r="H342" i="37" s="1"/>
  <c r="F419" i="37" a="1"/>
  <c r="F419" i="37" s="1"/>
  <c r="G505" i="37" a="1"/>
  <c r="G505" i="37" s="1"/>
  <c r="H505" i="37" s="1"/>
  <c r="G570" i="37" a="1"/>
  <c r="G570" i="37" s="1"/>
  <c r="H570" i="37" s="1"/>
  <c r="F11" i="39" a="1"/>
  <c r="F11" i="39" s="1"/>
  <c r="F49" i="39" a="1"/>
  <c r="F49" i="39" s="1"/>
  <c r="G100" i="39" a="1"/>
  <c r="G100" i="39" s="1"/>
  <c r="H100" i="39" s="1"/>
  <c r="F172" i="39" a="1"/>
  <c r="F172" i="39" s="1"/>
  <c r="G245" i="39" a="1"/>
  <c r="G245" i="39" s="1"/>
  <c r="H245" i="39" s="1"/>
  <c r="F540" i="39" a="1"/>
  <c r="F540" i="39" s="1"/>
  <c r="G93" i="36" a="1"/>
  <c r="G93" i="36" s="1"/>
  <c r="H93" i="36" s="1"/>
  <c r="F124" i="36" a="1"/>
  <c r="F124" i="36" s="1"/>
  <c r="F161" i="36" a="1"/>
  <c r="F161" i="36" s="1"/>
  <c r="I161" i="36" s="1"/>
  <c r="F195" i="36" a="1"/>
  <c r="F195" i="36" s="1"/>
  <c r="G236" i="36" a="1"/>
  <c r="G236" i="36" s="1"/>
  <c r="H236" i="36" s="1"/>
  <c r="G279" i="36" a="1"/>
  <c r="G279" i="36" s="1"/>
  <c r="H279" i="36" s="1"/>
  <c r="G342" i="36" a="1"/>
  <c r="G342" i="36" s="1"/>
  <c r="H342" i="36" s="1"/>
  <c r="G391" i="36" a="1"/>
  <c r="G391" i="36" s="1"/>
  <c r="H391" i="36" s="1"/>
  <c r="G454" i="36" a="1"/>
  <c r="G454" i="36" s="1"/>
  <c r="H454" i="36" s="1"/>
  <c r="F510" i="36" a="1"/>
  <c r="F510" i="36" s="1"/>
  <c r="I510" i="36" s="1"/>
  <c r="G83" i="37" a="1"/>
  <c r="G83" i="37" s="1"/>
  <c r="H83" i="37" s="1"/>
  <c r="G133" i="37" a="1"/>
  <c r="G133" i="37" s="1"/>
  <c r="H133" i="37" s="1"/>
  <c r="G178" i="37" a="1"/>
  <c r="G178" i="37" s="1"/>
  <c r="H178" i="37" s="1"/>
  <c r="G228" i="37" a="1"/>
  <c r="G228" i="37" s="1"/>
  <c r="H228" i="37" s="1"/>
  <c r="F292" i="37" a="1"/>
  <c r="F292" i="37" s="1"/>
  <c r="G344" i="37" a="1"/>
  <c r="G344" i="37" s="1"/>
  <c r="H344" i="37" s="1"/>
  <c r="G423" i="37" a="1"/>
  <c r="G423" i="37" s="1"/>
  <c r="H423" i="37" s="1"/>
  <c r="G506" i="37" a="1"/>
  <c r="G506" i="37" s="1"/>
  <c r="H506" i="37" s="1"/>
  <c r="F583" i="37" a="1"/>
  <c r="F583" i="37" s="1"/>
  <c r="G11" i="39" a="1"/>
  <c r="G11" i="39" s="1"/>
  <c r="H11" i="39" s="1"/>
  <c r="F50" i="39" a="1"/>
  <c r="F50" i="39" s="1"/>
  <c r="G101" i="39" a="1"/>
  <c r="G101" i="39" s="1"/>
  <c r="H101" i="39" s="1"/>
  <c r="G172" i="39" a="1"/>
  <c r="G172" i="39" s="1"/>
  <c r="H172" i="39" s="1"/>
  <c r="F255" i="39" a="1"/>
  <c r="F255" i="39" s="1"/>
  <c r="I255" i="39" s="1"/>
  <c r="G201" i="35" a="1"/>
  <c r="G201" i="35" s="1"/>
  <c r="H201" i="35" s="1"/>
  <c r="F507" i="35" a="1"/>
  <c r="F507" i="35" s="1"/>
  <c r="I507" i="35" s="1"/>
  <c r="G205" i="35" a="1"/>
  <c r="G205" i="35" s="1"/>
  <c r="H205" i="35" s="1"/>
  <c r="G603" i="35" a="1"/>
  <c r="G603" i="35" s="1"/>
  <c r="H603" i="35" s="1"/>
  <c r="F206" i="35" a="1"/>
  <c r="F206" i="35" s="1"/>
  <c r="F6" i="35" a="1"/>
  <c r="F6" i="35" s="1"/>
  <c r="G6" i="35" a="1"/>
  <c r="G6" i="35" s="1"/>
  <c r="H6" i="35" s="1"/>
  <c r="G47" i="35" a="1"/>
  <c r="G47" i="35" s="1"/>
  <c r="H47" i="35" s="1"/>
  <c r="G57" i="35" a="1"/>
  <c r="G57" i="35" s="1"/>
  <c r="H57" i="35" s="1"/>
  <c r="G98" i="35" a="1"/>
  <c r="G98" i="35" s="1"/>
  <c r="H98" i="35" s="1"/>
  <c r="F311" i="35" a="1"/>
  <c r="F311" i="35" s="1"/>
  <c r="G99" i="35" a="1"/>
  <c r="G99" i="35" s="1"/>
  <c r="H99" i="35" s="1"/>
  <c r="F315" i="35" a="1"/>
  <c r="F315" i="35" s="1"/>
  <c r="G608" i="35" a="1"/>
  <c r="G608" i="35" s="1"/>
  <c r="H608" i="35" s="1"/>
  <c r="G240" i="35" a="1"/>
  <c r="G240" i="35" s="1"/>
  <c r="H240" i="35" s="1"/>
  <c r="F629" i="35" a="1"/>
  <c r="F629" i="35" s="1"/>
  <c r="F252" i="35" a="1"/>
  <c r="F252" i="35" s="1"/>
  <c r="F55" i="35" a="1"/>
  <c r="F55" i="35" s="1"/>
  <c r="G300" i="35" a="1"/>
  <c r="G300" i="35" s="1"/>
  <c r="H300" i="35" s="1"/>
  <c r="G315" i="35" a="1"/>
  <c r="G315" i="35" s="1"/>
  <c r="H315" i="35" s="1"/>
  <c r="G107" i="35" a="1"/>
  <c r="G107" i="35" s="1"/>
  <c r="H107" i="35" s="1"/>
  <c r="F145" i="35" a="1"/>
  <c r="F145" i="35" s="1"/>
  <c r="F393" i="35" a="1"/>
  <c r="F393" i="35" s="1"/>
  <c r="G499" i="35" a="1"/>
  <c r="G499" i="35" s="1"/>
  <c r="H499" i="35" s="1"/>
  <c r="F633" i="35" a="1"/>
  <c r="F633" i="35" s="1"/>
  <c r="F301" i="35" a="1"/>
  <c r="F301" i="35" s="1"/>
  <c r="G380" i="35" a="1"/>
  <c r="G380" i="35" s="1"/>
  <c r="H380" i="35" s="1"/>
  <c r="G393" i="35" a="1"/>
  <c r="G393" i="35" s="1"/>
  <c r="H393" i="35" s="1"/>
  <c r="F148" i="35" a="1"/>
  <c r="F148" i="35" s="1"/>
  <c r="F398" i="35" a="1"/>
  <c r="F398" i="35" s="1"/>
  <c r="F198" i="35" a="1"/>
  <c r="F198" i="35" s="1"/>
  <c r="F242" i="35" a="1"/>
  <c r="F242" i="35" s="1"/>
  <c r="F50" i="35" a="1"/>
  <c r="F50" i="35" s="1"/>
  <c r="F253" i="35" a="1"/>
  <c r="F253" i="35" s="1"/>
  <c r="G384" i="35" a="1"/>
  <c r="G384" i="35" s="1"/>
  <c r="H384" i="35" s="1"/>
  <c r="G149" i="35" a="1"/>
  <c r="G149" i="35" s="1"/>
  <c r="H149" i="35" s="1"/>
  <c r="F474" i="35" a="1"/>
  <c r="F474" i="35" s="1"/>
  <c r="G620" i="35" a="1"/>
  <c r="G620" i="35" s="1"/>
  <c r="H620" i="35" s="1"/>
  <c r="G145" i="35" a="1"/>
  <c r="G145" i="35" s="1"/>
  <c r="H145" i="35" s="1"/>
  <c r="F150" i="35" a="1"/>
  <c r="F150" i="35" s="1"/>
  <c r="G479" i="35" a="1"/>
  <c r="G479" i="35" s="1"/>
  <c r="H479" i="35" s="1"/>
  <c r="G5" i="35" a="1"/>
  <c r="G5" i="35" s="1"/>
  <c r="H5" i="35" s="1"/>
  <c r="F249" i="35" a="1"/>
  <c r="F249" i="35" s="1"/>
  <c r="F62" i="35" a="1"/>
  <c r="F62" i="35" s="1"/>
  <c r="I62" i="35" s="1"/>
  <c r="G104" i="35" a="1"/>
  <c r="G104" i="35" s="1"/>
  <c r="H104" i="35" s="1"/>
  <c r="F108" i="35" a="1"/>
  <c r="F108" i="35" s="1"/>
  <c r="F193" i="35" a="1"/>
  <c r="F193" i="35" s="1"/>
  <c r="G495" i="35" a="1"/>
  <c r="G495" i="35" s="1"/>
  <c r="H495" i="35" s="1"/>
  <c r="G54" i="35" a="1"/>
  <c r="G54" i="35" s="1"/>
  <c r="H54" i="35" s="1"/>
  <c r="F103" i="35" a="1"/>
  <c r="F103" i="35" s="1"/>
  <c r="G146" i="35" a="1"/>
  <c r="G146" i="35" s="1"/>
  <c r="H146" i="35" s="1"/>
  <c r="G200" i="35" a="1"/>
  <c r="G200" i="35" s="1"/>
  <c r="H200" i="35" s="1"/>
  <c r="F244" i="35" a="1"/>
  <c r="F244" i="35" s="1"/>
  <c r="F304" i="35" a="1"/>
  <c r="F304" i="35" s="1"/>
  <c r="F387" i="35" a="1"/>
  <c r="F387" i="35" s="1"/>
  <c r="G490" i="35" a="1"/>
  <c r="G490" i="35" s="1"/>
  <c r="H490" i="35" s="1"/>
  <c r="G610" i="35" a="1"/>
  <c r="G610" i="35" s="1"/>
  <c r="H610" i="35" s="1"/>
  <c r="G206" i="35" a="1"/>
  <c r="G206" i="35" s="1"/>
  <c r="H206" i="35" s="1"/>
  <c r="G10" i="35" a="1"/>
  <c r="G10" i="35" s="1"/>
  <c r="H10" i="35" s="1"/>
  <c r="F512" i="35" a="1"/>
  <c r="F512" i="35" s="1"/>
  <c r="G263" i="35" a="1"/>
  <c r="G263" i="35" s="1"/>
  <c r="H263" i="35" s="1"/>
  <c r="F17" i="35" a="1"/>
  <c r="F17" i="35" s="1"/>
  <c r="F524" i="35" a="1"/>
  <c r="F524" i="35" s="1"/>
  <c r="G19" i="35" a="1"/>
  <c r="G19" i="35" s="1"/>
  <c r="H19" i="35" s="1"/>
  <c r="F73" i="35" a="1"/>
  <c r="F73" i="35" s="1"/>
  <c r="F124" i="35" a="1"/>
  <c r="F124" i="35" s="1"/>
  <c r="G158" i="35" a="1"/>
  <c r="G158" i="35" s="1"/>
  <c r="H158" i="35" s="1"/>
  <c r="F214" i="35" a="1"/>
  <c r="F214" i="35" s="1"/>
  <c r="F269" i="35" a="1"/>
  <c r="F269" i="35" s="1"/>
  <c r="F329" i="35" a="1"/>
  <c r="F329" i="35" s="1"/>
  <c r="F428" i="35" a="1"/>
  <c r="F428" i="35" s="1"/>
  <c r="G526" i="35" a="1"/>
  <c r="G526" i="35" s="1"/>
  <c r="H526" i="35" s="1"/>
  <c r="F21" i="35" a="1"/>
  <c r="F21" i="35" s="1"/>
  <c r="F74" i="35" a="1"/>
  <c r="F74" i="35" s="1"/>
  <c r="F125" i="35" a="1"/>
  <c r="F125" i="35" s="1"/>
  <c r="G161" i="35" a="1"/>
  <c r="G161" i="35" s="1"/>
  <c r="H161" i="35" s="1"/>
  <c r="F215" i="35" a="1"/>
  <c r="F215" i="35" s="1"/>
  <c r="G270" i="35" a="1"/>
  <c r="G270" i="35" s="1"/>
  <c r="H270" i="35" s="1"/>
  <c r="G335" i="35" a="1"/>
  <c r="G335" i="35" s="1"/>
  <c r="H335" i="35" s="1"/>
  <c r="G429" i="35" a="1"/>
  <c r="G429" i="35" s="1"/>
  <c r="H429" i="35" s="1"/>
  <c r="G569" i="35" a="1"/>
  <c r="G569" i="35" s="1"/>
  <c r="H569" i="35" s="1"/>
  <c r="G9" i="35" a="1"/>
  <c r="G9" i="35" s="1"/>
  <c r="H9" i="35" s="1"/>
  <c r="G317" i="35" a="1"/>
  <c r="G317" i="35" s="1"/>
  <c r="H317" i="35" s="1"/>
  <c r="G66" i="35" a="1"/>
  <c r="G66" i="35" s="1"/>
  <c r="H66" i="35" s="1"/>
  <c r="F416" i="35" a="1"/>
  <c r="F416" i="35" s="1"/>
  <c r="G324" i="35" a="1"/>
  <c r="G324" i="35" s="1"/>
  <c r="H324" i="35" s="1"/>
  <c r="F71" i="35" a="1"/>
  <c r="F71" i="35" s="1"/>
  <c r="F425" i="35" a="1"/>
  <c r="F425" i="35" s="1"/>
  <c r="I425" i="35" s="1"/>
  <c r="F128" i="35" a="1"/>
  <c r="F128" i="35" s="1"/>
  <c r="F572" i="35" a="1"/>
  <c r="F572" i="35" s="1"/>
  <c r="G128" i="35" a="1"/>
  <c r="G128" i="35" s="1"/>
  <c r="H128" i="35" s="1"/>
  <c r="G572" i="35" a="1"/>
  <c r="G572" i="35" s="1"/>
  <c r="H572" i="35" s="1"/>
  <c r="F130" i="35" a="1"/>
  <c r="F130" i="35" s="1"/>
  <c r="F579" i="35" a="1"/>
  <c r="F579" i="35" s="1"/>
  <c r="G280" i="35" a="1"/>
  <c r="G280" i="35" s="1"/>
  <c r="H280" i="35" s="1"/>
  <c r="G439" i="35" a="1"/>
  <c r="G439" i="35" s="1"/>
  <c r="H439" i="35" s="1"/>
  <c r="F28" i="35" a="1"/>
  <c r="F28" i="35" s="1"/>
  <c r="F83" i="35" a="1"/>
  <c r="F83" i="35" s="1"/>
  <c r="F132" i="35" a="1"/>
  <c r="F132" i="35" s="1"/>
  <c r="G179" i="35" a="1"/>
  <c r="G179" i="35" s="1"/>
  <c r="H179" i="35" s="1"/>
  <c r="F224" i="35" a="1"/>
  <c r="F224" i="35" s="1"/>
  <c r="F284" i="35" a="1"/>
  <c r="F284" i="35" s="1"/>
  <c r="F350" i="35" a="1"/>
  <c r="F350" i="35" s="1"/>
  <c r="F440" i="35" a="1"/>
  <c r="F440" i="35" s="1"/>
  <c r="G583" i="35" a="1"/>
  <c r="G583" i="35" s="1"/>
  <c r="H583" i="35" s="1"/>
  <c r="G415" i="35" a="1"/>
  <c r="G415" i="35" s="1"/>
  <c r="H415" i="35" s="1"/>
  <c r="G261" i="35" a="1"/>
  <c r="G261" i="35" s="1"/>
  <c r="H261" i="35" s="1"/>
  <c r="F12" i="35" a="1"/>
  <c r="F12" i="35" s="1"/>
  <c r="G513" i="35" a="1"/>
  <c r="G513" i="35" s="1"/>
  <c r="H513" i="35" s="1"/>
  <c r="F121" i="35" a="1"/>
  <c r="F121" i="35" s="1"/>
  <c r="I121" i="35" s="1"/>
  <c r="G21" i="35" a="1"/>
  <c r="G21" i="35" s="1"/>
  <c r="H21" i="35" s="1"/>
  <c r="G430" i="35" a="1"/>
  <c r="G430" i="35" s="1"/>
  <c r="H430" i="35" s="1"/>
  <c r="F24" i="35" a="1"/>
  <c r="F24" i="35" s="1"/>
  <c r="F341" i="35" a="1"/>
  <c r="F341" i="35" s="1"/>
  <c r="F82" i="35" a="1"/>
  <c r="F82" i="35" s="1"/>
  <c r="I82" i="35" s="1"/>
  <c r="F439" i="35" a="1"/>
  <c r="F439" i="35" s="1"/>
  <c r="F131" i="35" a="1"/>
  <c r="F131" i="35" s="1"/>
  <c r="F583" i="35" a="1"/>
  <c r="F583" i="35" s="1"/>
  <c r="F32" i="35" a="1"/>
  <c r="F32" i="35" s="1"/>
  <c r="G86" i="35" a="1"/>
  <c r="G86" i="35" s="1"/>
  <c r="H86" i="35" s="1"/>
  <c r="F133" i="35" a="1"/>
  <c r="F133" i="35" s="1"/>
  <c r="F180" i="35" a="1"/>
  <c r="F180" i="35" s="1"/>
  <c r="F228" i="35" a="1"/>
  <c r="F228" i="35" s="1"/>
  <c r="F290" i="35" a="1"/>
  <c r="F290" i="35" s="1"/>
  <c r="G350" i="35" a="1"/>
  <c r="G350" i="35" s="1"/>
  <c r="H350" i="35" s="1"/>
  <c r="G445" i="35" a="1"/>
  <c r="G445" i="35" s="1"/>
  <c r="H445" i="35" s="1"/>
  <c r="F588" i="35" a="1"/>
  <c r="F588" i="35" s="1"/>
  <c r="G62" i="35" a="1"/>
  <c r="G62" i="35" s="1"/>
  <c r="H62" i="35" s="1"/>
  <c r="G508" i="35" a="1"/>
  <c r="G508" i="35" s="1"/>
  <c r="H508" i="35" s="1"/>
  <c r="G322" i="35" a="1"/>
  <c r="G322" i="35" s="1"/>
  <c r="H322" i="35" s="1"/>
  <c r="F70" i="35" a="1"/>
  <c r="F70" i="35" s="1"/>
  <c r="F422" i="35" a="1"/>
  <c r="F422" i="35" s="1"/>
  <c r="I422" i="35" s="1"/>
  <c r="G156" i="35" a="1"/>
  <c r="G156" i="35" s="1"/>
  <c r="H156" i="35" s="1"/>
  <c r="G74" i="35" a="1"/>
  <c r="G74" i="35" s="1"/>
  <c r="H74" i="35" s="1"/>
  <c r="G336" i="35" a="1"/>
  <c r="G336" i="35" s="1"/>
  <c r="H336" i="35" s="1"/>
  <c r="G79" i="35" a="1"/>
  <c r="G79" i="35" s="1"/>
  <c r="H79" i="35" s="1"/>
  <c r="F438" i="35" a="1"/>
  <c r="F438" i="35" s="1"/>
  <c r="F25" i="35" a="1"/>
  <c r="F25" i="35" s="1"/>
  <c r="F219" i="35" a="1"/>
  <c r="F219" i="35" s="1"/>
  <c r="F27" i="35" a="1"/>
  <c r="F27" i="35" s="1"/>
  <c r="F348" i="35" a="1"/>
  <c r="F348" i="35" s="1"/>
  <c r="F35" i="35" a="1"/>
  <c r="F35" i="35" s="1"/>
  <c r="F88" i="35" a="1"/>
  <c r="F88" i="35" s="1"/>
  <c r="G136" i="35" a="1"/>
  <c r="G136" i="35" s="1"/>
  <c r="H136" i="35" s="1"/>
  <c r="G183" i="35" a="1"/>
  <c r="G183" i="35" s="1"/>
  <c r="H183" i="35" s="1"/>
  <c r="G232" i="35" a="1"/>
  <c r="G232" i="35" s="1"/>
  <c r="H232" i="35" s="1"/>
  <c r="F294" i="35" a="1"/>
  <c r="F294" i="35" s="1"/>
  <c r="G355" i="35" a="1"/>
  <c r="G355" i="35" s="1"/>
  <c r="H355" i="35" s="1"/>
  <c r="F453" i="35" a="1"/>
  <c r="F453" i="35" s="1"/>
  <c r="F589" i="35" a="1"/>
  <c r="F589" i="35" s="1"/>
  <c r="G153" i="35" a="1"/>
  <c r="G153" i="35" s="1"/>
  <c r="H153" i="35" s="1"/>
  <c r="F207" i="35" a="1"/>
  <c r="F207" i="35" s="1"/>
  <c r="G209" i="35" a="1"/>
  <c r="G209" i="35" s="1"/>
  <c r="H209" i="35" s="1"/>
  <c r="F265" i="35" a="1"/>
  <c r="F265" i="35" s="1"/>
  <c r="G273" i="35" a="1"/>
  <c r="G273" i="35" s="1"/>
  <c r="H273" i="35" s="1"/>
  <c r="G218" i="35" a="1"/>
  <c r="G218" i="35" s="1"/>
  <c r="H218" i="35" s="1"/>
  <c r="F342" i="35" a="1"/>
  <c r="F342" i="35" s="1"/>
  <c r="G223" i="35" a="1"/>
  <c r="G223" i="35" s="1"/>
  <c r="H223" i="35" s="1"/>
  <c r="F36" i="35" a="1"/>
  <c r="F36" i="35" s="1"/>
  <c r="G90" i="35" a="1"/>
  <c r="G90" i="35" s="1"/>
  <c r="H90" i="35" s="1"/>
  <c r="G137" i="35" a="1"/>
  <c r="G137" i="35" s="1"/>
  <c r="H137" i="35" s="1"/>
  <c r="G184" i="35" a="1"/>
  <c r="G184" i="35" s="1"/>
  <c r="H184" i="35" s="1"/>
  <c r="G233" i="35" a="1"/>
  <c r="G233" i="35" s="1"/>
  <c r="H233" i="35" s="1"/>
  <c r="G294" i="35" a="1"/>
  <c r="G294" i="35" s="1"/>
  <c r="H294" i="35" s="1"/>
  <c r="G356" i="35" a="1"/>
  <c r="G356" i="35" s="1"/>
  <c r="H356" i="35" s="1"/>
  <c r="F456" i="35" a="1"/>
  <c r="F456" i="35" s="1"/>
  <c r="G589" i="35" a="1"/>
  <c r="G589" i="35" s="1"/>
  <c r="H589" i="35" s="1"/>
  <c r="G254" i="35" a="1"/>
  <c r="G254" i="35" s="1"/>
  <c r="H254" i="35" s="1"/>
  <c r="F154" i="35" a="1"/>
  <c r="F154" i="35" s="1"/>
  <c r="G119" i="35" a="1"/>
  <c r="G119" i="35" s="1"/>
  <c r="H119" i="35" s="1"/>
  <c r="F210" i="35" a="1"/>
  <c r="F210" i="35" s="1"/>
  <c r="F218" i="35" a="1"/>
  <c r="F218" i="35" s="1"/>
  <c r="F275" i="35" a="1"/>
  <c r="F275" i="35" s="1"/>
  <c r="G279" i="35" a="1"/>
  <c r="G279" i="35" s="1"/>
  <c r="H279" i="35" s="1"/>
  <c r="G174" i="35" a="1"/>
  <c r="G174" i="35" s="1"/>
  <c r="H174" i="35" s="1"/>
  <c r="G36" i="35" a="1"/>
  <c r="G36" i="35" s="1"/>
  <c r="H36" i="35" s="1"/>
  <c r="F91" i="35" a="1"/>
  <c r="F91" i="35" s="1"/>
  <c r="I91" i="35" s="1"/>
  <c r="G140" i="35" a="1"/>
  <c r="G140" i="35" s="1"/>
  <c r="H140" i="35" s="1"/>
  <c r="G188" i="35" a="1"/>
  <c r="G188" i="35" s="1"/>
  <c r="H188" i="35" s="1"/>
  <c r="F236" i="35" a="1"/>
  <c r="F236" i="35" s="1"/>
  <c r="G295" i="35" a="1"/>
  <c r="G295" i="35" s="1"/>
  <c r="H295" i="35" s="1"/>
  <c r="F366" i="35" a="1"/>
  <c r="F366" i="35" s="1"/>
  <c r="G460" i="35" a="1"/>
  <c r="G460" i="35" s="1"/>
  <c r="H460" i="35" s="1"/>
  <c r="G598" i="35" a="1"/>
  <c r="G598" i="35" s="1"/>
  <c r="H598" i="35" s="1"/>
  <c r="F113" i="35" a="1"/>
  <c r="F113" i="35" s="1"/>
  <c r="F115" i="35" a="1"/>
  <c r="F115" i="35" s="1"/>
  <c r="F156" i="35" a="1"/>
  <c r="F156" i="35" s="1"/>
  <c r="G328" i="35" a="1"/>
  <c r="G328" i="35" s="1"/>
  <c r="H328" i="35" s="1"/>
  <c r="F165" i="35" a="1"/>
  <c r="F165" i="35" s="1"/>
  <c r="G170" i="35" a="1"/>
  <c r="G170" i="35" s="1"/>
  <c r="H170" i="35" s="1"/>
  <c r="F171" i="35" a="1"/>
  <c r="F171" i="35" s="1"/>
  <c r="G82" i="35" a="1"/>
  <c r="G82" i="35" s="1"/>
  <c r="H82" i="35" s="1"/>
  <c r="F40" i="35" a="1"/>
  <c r="F40" i="35" s="1"/>
  <c r="G95" i="35" a="1"/>
  <c r="G95" i="35" s="1"/>
  <c r="H95" i="35" s="1"/>
  <c r="F141" i="35" a="1"/>
  <c r="F141" i="35" s="1"/>
  <c r="F192" i="35" a="1"/>
  <c r="F192" i="35" s="1"/>
  <c r="G236" i="35" a="1"/>
  <c r="G236" i="35" s="1"/>
  <c r="H236" i="35" s="1"/>
  <c r="F300" i="35" a="1"/>
  <c r="F300" i="35" s="1"/>
  <c r="I300" i="35" s="1"/>
  <c r="F370" i="35" a="1"/>
  <c r="F370" i="35" s="1"/>
  <c r="G463" i="35" a="1"/>
  <c r="G463" i="35" s="1"/>
  <c r="H463" i="35" s="1"/>
  <c r="G85" i="34" a="1"/>
  <c r="G85" i="34" s="1"/>
  <c r="H85" i="34" s="1"/>
  <c r="F437" i="34" a="1"/>
  <c r="F437" i="34" s="1"/>
  <c r="G67" i="34" a="1"/>
  <c r="G67" i="34" s="1"/>
  <c r="H67" i="34" s="1"/>
  <c r="F401" i="34" a="1"/>
  <c r="F401" i="34" s="1"/>
  <c r="G107" i="34" a="1"/>
  <c r="G107" i="34" s="1"/>
  <c r="H107" i="34" s="1"/>
  <c r="G406" i="34" a="1"/>
  <c r="G406" i="34" s="1"/>
  <c r="H406" i="34" s="1"/>
  <c r="G50" i="34" a="1"/>
  <c r="G50" i="34" s="1"/>
  <c r="H50" i="34" s="1"/>
  <c r="F259" i="34" a="1"/>
  <c r="F259" i="34" s="1"/>
  <c r="G129" i="34" a="1"/>
  <c r="G129" i="34" s="1"/>
  <c r="H129" i="34" s="1"/>
  <c r="G593" i="34" a="1"/>
  <c r="G593" i="34" s="1"/>
  <c r="H593" i="34" s="1"/>
  <c r="F52" i="34" a="1"/>
  <c r="F52" i="34" s="1"/>
  <c r="F216" i="34" a="1"/>
  <c r="F216" i="34" s="1"/>
  <c r="F514" i="34" a="1"/>
  <c r="F514" i="34" s="1"/>
  <c r="G217" i="34" a="1"/>
  <c r="G217" i="34" s="1"/>
  <c r="H217" i="34" s="1"/>
  <c r="F609" i="34" a="1"/>
  <c r="F609" i="34" s="1"/>
  <c r="F93" i="34" a="1"/>
  <c r="F93" i="34" s="1"/>
  <c r="F25" i="34" a="1"/>
  <c r="F25" i="34" s="1"/>
  <c r="G199" i="34" a="1"/>
  <c r="G199" i="34" s="1"/>
  <c r="H199" i="34" s="1"/>
  <c r="F452" i="34" a="1"/>
  <c r="F452" i="34" s="1"/>
  <c r="G25" i="34" a="1"/>
  <c r="G25" i="34" s="1"/>
  <c r="H25" i="34" s="1"/>
  <c r="F200" i="34" a="1"/>
  <c r="F200" i="34" s="1"/>
  <c r="G485" i="34" a="1"/>
  <c r="G485" i="34" s="1"/>
  <c r="H485" i="34" s="1"/>
  <c r="F117" i="34" a="1"/>
  <c r="F117" i="34" s="1"/>
  <c r="I117" i="34" s="1"/>
  <c r="G268" i="34" a="1"/>
  <c r="G268" i="34" s="1"/>
  <c r="H268" i="34" s="1"/>
  <c r="G519" i="34" a="1"/>
  <c r="G519" i="34" s="1"/>
  <c r="H519" i="34" s="1"/>
  <c r="F242" i="34" a="1"/>
  <c r="F242" i="34" s="1"/>
  <c r="F158" i="34" a="1"/>
  <c r="F158" i="34" s="1"/>
  <c r="F383" i="34" a="1"/>
  <c r="F383" i="34" s="1"/>
  <c r="G13" i="34" a="1"/>
  <c r="G13" i="34" s="1"/>
  <c r="H13" i="34" s="1"/>
  <c r="F140" i="34" a="1"/>
  <c r="F140" i="34" s="1"/>
  <c r="F309" i="34" a="1"/>
  <c r="F309" i="34" s="1"/>
  <c r="G16" i="34" a="1"/>
  <c r="G16" i="34" s="1"/>
  <c r="H16" i="34" s="1"/>
  <c r="F31" i="34" a="1"/>
  <c r="F31" i="34" s="1"/>
  <c r="F45" i="34" a="1"/>
  <c r="F45" i="34" s="1"/>
  <c r="F64" i="34" a="1"/>
  <c r="F64" i="34" s="1"/>
  <c r="G83" i="34" a="1"/>
  <c r="G83" i="34" s="1"/>
  <c r="H83" i="34" s="1"/>
  <c r="G104" i="34" a="1"/>
  <c r="G104" i="34" s="1"/>
  <c r="H104" i="34" s="1"/>
  <c r="G123" i="34" a="1"/>
  <c r="G123" i="34" s="1"/>
  <c r="H123" i="34" s="1"/>
  <c r="G144" i="34" a="1"/>
  <c r="G144" i="34" s="1"/>
  <c r="H144" i="34" s="1"/>
  <c r="G162" i="34" a="1"/>
  <c r="G162" i="34" s="1"/>
  <c r="H162" i="34" s="1"/>
  <c r="F185" i="34" a="1"/>
  <c r="F185" i="34" s="1"/>
  <c r="G209" i="34" a="1"/>
  <c r="G209" i="34" s="1"/>
  <c r="H209" i="34" s="1"/>
  <c r="F230" i="34" a="1"/>
  <c r="F230" i="34" s="1"/>
  <c r="F250" i="34" a="1"/>
  <c r="F250" i="34" s="1"/>
  <c r="F276" i="34" a="1"/>
  <c r="F276" i="34" s="1"/>
  <c r="G315" i="34" a="1"/>
  <c r="G315" i="34" s="1"/>
  <c r="H315" i="34" s="1"/>
  <c r="G357" i="34" a="1"/>
  <c r="G357" i="34" s="1"/>
  <c r="H357" i="34" s="1"/>
  <c r="G395" i="34" a="1"/>
  <c r="G395" i="34" s="1"/>
  <c r="H395" i="34" s="1"/>
  <c r="F433" i="34" a="1"/>
  <c r="F433" i="34" s="1"/>
  <c r="F469" i="34" a="1"/>
  <c r="F469" i="34" s="1"/>
  <c r="I469" i="34" s="1"/>
  <c r="G501" i="34" a="1"/>
  <c r="G501" i="34" s="1"/>
  <c r="H501" i="34" s="1"/>
  <c r="G533" i="34" a="1"/>
  <c r="G533" i="34" s="1"/>
  <c r="H533" i="34" s="1"/>
  <c r="G572" i="34" a="1"/>
  <c r="G572" i="34" s="1"/>
  <c r="H572" i="34" s="1"/>
  <c r="F258" i="34" a="1"/>
  <c r="F258" i="34" s="1"/>
  <c r="G127" i="34" a="1"/>
  <c r="G127" i="34" s="1"/>
  <c r="H127" i="34" s="1"/>
  <c r="G323" i="34" a="1"/>
  <c r="G323" i="34" s="1"/>
  <c r="H323" i="34" s="1"/>
  <c r="F35" i="34" a="1"/>
  <c r="F35" i="34" s="1"/>
  <c r="F283" i="34" a="1"/>
  <c r="F283" i="34" s="1"/>
  <c r="G51" i="34" a="1"/>
  <c r="G51" i="34" s="1"/>
  <c r="H51" i="34" s="1"/>
  <c r="F326" i="34" a="1"/>
  <c r="F326" i="34" s="1"/>
  <c r="G130" i="34" a="1"/>
  <c r="G130" i="34" s="1"/>
  <c r="H130" i="34" s="1"/>
  <c r="G545" i="34" a="1"/>
  <c r="G545" i="34" s="1"/>
  <c r="H545" i="34" s="1"/>
  <c r="G92" i="34" a="1"/>
  <c r="G92" i="34" s="1"/>
  <c r="H92" i="34" s="1"/>
  <c r="F331" i="34" a="1"/>
  <c r="F331" i="34" s="1"/>
  <c r="G7" i="34" a="1"/>
  <c r="G7" i="34" s="1"/>
  <c r="H7" i="34" s="1"/>
  <c r="G173" i="34" a="1"/>
  <c r="G173" i="34" s="1"/>
  <c r="H173" i="34" s="1"/>
  <c r="F56" i="34" a="1"/>
  <c r="F56" i="34" s="1"/>
  <c r="F239" i="34" a="1"/>
  <c r="F239" i="34" s="1"/>
  <c r="F557" i="34" a="1"/>
  <c r="F557" i="34" s="1"/>
  <c r="F155" i="34" a="1"/>
  <c r="F155" i="34" s="1"/>
  <c r="G416" i="34" a="1"/>
  <c r="G416" i="34" s="1"/>
  <c r="H416" i="34" s="1"/>
  <c r="G39" i="34" a="1"/>
  <c r="G39" i="34" s="1"/>
  <c r="H39" i="34" s="1"/>
  <c r="F202" i="34" a="1"/>
  <c r="F202" i="34" s="1"/>
  <c r="F418" i="34" a="1"/>
  <c r="F418" i="34" s="1"/>
  <c r="F27" i="34" a="1"/>
  <c r="F27" i="34" s="1"/>
  <c r="G179" i="34" a="1"/>
  <c r="G179" i="34" s="1"/>
  <c r="H179" i="34" s="1"/>
  <c r="F420" i="34" a="1"/>
  <c r="F420" i="34" s="1"/>
  <c r="F13" i="34" a="1"/>
  <c r="F13" i="34" s="1"/>
  <c r="G203" i="34" a="1"/>
  <c r="G203" i="34" s="1"/>
  <c r="H203" i="34" s="1"/>
  <c r="G521" i="34" a="1"/>
  <c r="G521" i="34" s="1"/>
  <c r="H521" i="34" s="1"/>
  <c r="F61" i="34" a="1"/>
  <c r="F61" i="34" s="1"/>
  <c r="F205" i="34" a="1"/>
  <c r="F205" i="34" s="1"/>
  <c r="G17" i="34" a="1"/>
  <c r="G17" i="34" s="1"/>
  <c r="H17" i="34" s="1"/>
  <c r="G31" i="34" a="1"/>
  <c r="G31" i="34" s="1"/>
  <c r="H31" i="34" s="1"/>
  <c r="G45" i="34" a="1"/>
  <c r="G45" i="34" s="1"/>
  <c r="H45" i="34" s="1"/>
  <c r="G64" i="34" a="1"/>
  <c r="G64" i="34" s="1"/>
  <c r="H64" i="34" s="1"/>
  <c r="G84" i="34" a="1"/>
  <c r="G84" i="34" s="1"/>
  <c r="H84" i="34" s="1"/>
  <c r="F105" i="34" a="1"/>
  <c r="F105" i="34" s="1"/>
  <c r="F125" i="34" a="1"/>
  <c r="F125" i="34" s="1"/>
  <c r="F145" i="34" a="1"/>
  <c r="F145" i="34" s="1"/>
  <c r="F163" i="34" a="1"/>
  <c r="F163" i="34" s="1"/>
  <c r="G185" i="34" a="1"/>
  <c r="G185" i="34" s="1"/>
  <c r="H185" i="34" s="1"/>
  <c r="F210" i="34" a="1"/>
  <c r="F210" i="34" s="1"/>
  <c r="F231" i="34" a="1"/>
  <c r="F231" i="34" s="1"/>
  <c r="G250" i="34" a="1"/>
  <c r="G250" i="34" s="1"/>
  <c r="H250" i="34" s="1"/>
  <c r="G276" i="34" a="1"/>
  <c r="G276" i="34" s="1"/>
  <c r="H276" i="34" s="1"/>
  <c r="F316" i="34" a="1"/>
  <c r="F316" i="34" s="1"/>
  <c r="F359" i="34" a="1"/>
  <c r="F359" i="34" s="1"/>
  <c r="F397" i="34" a="1"/>
  <c r="F397" i="34" s="1"/>
  <c r="F435" i="34" a="1"/>
  <c r="F435" i="34" s="1"/>
  <c r="G469" i="34" a="1"/>
  <c r="G469" i="34" s="1"/>
  <c r="H469" i="34" s="1"/>
  <c r="G502" i="34" a="1"/>
  <c r="G502" i="34" s="1"/>
  <c r="H502" i="34" s="1"/>
  <c r="G535" i="34" a="1"/>
  <c r="G535" i="34" s="1"/>
  <c r="H535" i="34" s="1"/>
  <c r="G574" i="34" a="1"/>
  <c r="G574" i="34" s="1"/>
  <c r="H574" i="34" s="1"/>
  <c r="F49" i="34" a="1"/>
  <c r="F49" i="34" s="1"/>
  <c r="F279" i="34" a="1"/>
  <c r="F279" i="34" s="1"/>
  <c r="F127" i="34" a="1"/>
  <c r="F127" i="34" s="1"/>
  <c r="G441" i="34" a="1"/>
  <c r="G441" i="34" s="1"/>
  <c r="H441" i="34" s="1"/>
  <c r="F50" i="34" a="1"/>
  <c r="F50" i="34" s="1"/>
  <c r="F443" i="34" a="1"/>
  <c r="F443" i="34" s="1"/>
  <c r="G148" i="34" a="1"/>
  <c r="G148" i="34" s="1"/>
  <c r="H148" i="34" s="1"/>
  <c r="F592" i="34" a="1"/>
  <c r="F592" i="34" s="1"/>
  <c r="F169" i="34" a="1"/>
  <c r="F169" i="34" s="1"/>
  <c r="F544" i="34" a="1"/>
  <c r="F544" i="34" s="1"/>
  <c r="F22" i="34" a="1"/>
  <c r="F22" i="34" s="1"/>
  <c r="F193" i="34" a="1"/>
  <c r="F193" i="34" s="1"/>
  <c r="G410" i="34" a="1"/>
  <c r="G410" i="34" s="1"/>
  <c r="H410" i="34" s="1"/>
  <c r="F7" i="34" a="1"/>
  <c r="F7" i="34" s="1"/>
  <c r="G171" i="34" a="1"/>
  <c r="G171" i="34" s="1"/>
  <c r="H171" i="34" s="1"/>
  <c r="F412" i="34" a="1"/>
  <c r="F412" i="34" s="1"/>
  <c r="G73" i="34" a="1"/>
  <c r="G73" i="34" s="1"/>
  <c r="H73" i="34" s="1"/>
  <c r="F238" i="34" a="1"/>
  <c r="F238" i="34" s="1"/>
  <c r="G135" i="34" a="1"/>
  <c r="G135" i="34" s="1"/>
  <c r="H135" i="34" s="1"/>
  <c r="F378" i="34" a="1"/>
  <c r="F378" i="34" s="1"/>
  <c r="G38" i="34" a="1"/>
  <c r="G38" i="34" s="1"/>
  <c r="H38" i="34" s="1"/>
  <c r="G220" i="34" a="1"/>
  <c r="G220" i="34" s="1"/>
  <c r="H220" i="34" s="1"/>
  <c r="G518" i="34" a="1"/>
  <c r="G518" i="34" s="1"/>
  <c r="H518" i="34" s="1"/>
  <c r="F59" i="34" a="1"/>
  <c r="F59" i="34" s="1"/>
  <c r="G240" i="34" a="1"/>
  <c r="G240" i="34" s="1"/>
  <c r="H240" i="34" s="1"/>
  <c r="F486" i="34" a="1"/>
  <c r="F486" i="34" s="1"/>
  <c r="G59" i="34" a="1"/>
  <c r="G59" i="34" s="1"/>
  <c r="H59" i="34" s="1"/>
  <c r="F222" i="34" a="1"/>
  <c r="F222" i="34" s="1"/>
  <c r="F623" i="34" a="1"/>
  <c r="F623" i="34" s="1"/>
  <c r="G78" i="34" a="1"/>
  <c r="G78" i="34" s="1"/>
  <c r="H78" i="34" s="1"/>
  <c r="G242" i="34" a="1"/>
  <c r="G242" i="34" s="1"/>
  <c r="H242" i="34" s="1"/>
  <c r="G459" i="34" a="1"/>
  <c r="G459" i="34" s="1"/>
  <c r="H459" i="34" s="1"/>
  <c r="F18" i="34" a="1"/>
  <c r="F18" i="34" s="1"/>
  <c r="F33" i="34" a="1"/>
  <c r="F33" i="34" s="1"/>
  <c r="F46" i="34" a="1"/>
  <c r="F46" i="34" s="1"/>
  <c r="F66" i="34" a="1"/>
  <c r="F66" i="34" s="1"/>
  <c r="F85" i="34" a="1"/>
  <c r="F85" i="34" s="1"/>
  <c r="G105" i="34" a="1"/>
  <c r="G105" i="34" s="1"/>
  <c r="H105" i="34" s="1"/>
  <c r="G125" i="34" a="1"/>
  <c r="G125" i="34" s="1"/>
  <c r="H125" i="34" s="1"/>
  <c r="G145" i="34" a="1"/>
  <c r="G145" i="34" s="1"/>
  <c r="H145" i="34" s="1"/>
  <c r="G163" i="34" a="1"/>
  <c r="G163" i="34" s="1"/>
  <c r="H163" i="34" s="1"/>
  <c r="F186" i="34" a="1"/>
  <c r="F186" i="34" s="1"/>
  <c r="G210" i="34" a="1"/>
  <c r="G210" i="34" s="1"/>
  <c r="H210" i="34" s="1"/>
  <c r="F232" i="34" a="1"/>
  <c r="F232" i="34" s="1"/>
  <c r="G253" i="34" a="1"/>
  <c r="G253" i="34" s="1"/>
  <c r="H253" i="34" s="1"/>
  <c r="F277" i="34" a="1"/>
  <c r="F277" i="34" s="1"/>
  <c r="G316" i="34" a="1"/>
  <c r="G316" i="34" s="1"/>
  <c r="H316" i="34" s="1"/>
  <c r="G363" i="34" a="1"/>
  <c r="G363" i="34" s="1"/>
  <c r="H363" i="34" s="1"/>
  <c r="F400" i="34" a="1"/>
  <c r="F400" i="34" s="1"/>
  <c r="G435" i="34" a="1"/>
  <c r="G435" i="34" s="1"/>
  <c r="H435" i="34" s="1"/>
  <c r="F473" i="34" a="1"/>
  <c r="F473" i="34" s="1"/>
  <c r="F503" i="34" a="1"/>
  <c r="F503" i="34" s="1"/>
  <c r="F537" i="34" a="1"/>
  <c r="F537" i="34" s="1"/>
  <c r="G577" i="34" a="1"/>
  <c r="G577" i="34" s="1"/>
  <c r="H577" i="34" s="1"/>
  <c r="G66" i="34" a="1"/>
  <c r="G66" i="34" s="1"/>
  <c r="H66" i="34" s="1"/>
  <c r="F165" i="34" a="1"/>
  <c r="F165" i="34" s="1"/>
  <c r="F257" i="34" a="1"/>
  <c r="F257" i="34" s="1"/>
  <c r="G505" i="34" a="1"/>
  <c r="G505" i="34" s="1"/>
  <c r="H505" i="34" s="1"/>
  <c r="G19" i="34" a="1"/>
  <c r="G19" i="34" s="1"/>
  <c r="H19" i="34" s="1"/>
  <c r="G147" i="34" a="1"/>
  <c r="G147" i="34" s="1"/>
  <c r="H147" i="34" s="1"/>
  <c r="G233" i="34" a="1"/>
  <c r="G233" i="34" s="1"/>
  <c r="H233" i="34" s="1"/>
  <c r="F540" i="34" a="1"/>
  <c r="F540" i="34" s="1"/>
  <c r="F148" i="34" a="1"/>
  <c r="F148" i="34" s="1"/>
  <c r="F235" i="34" a="1"/>
  <c r="F235" i="34" s="1"/>
  <c r="G508" i="34" a="1"/>
  <c r="G508" i="34" s="1"/>
  <c r="H508" i="34" s="1"/>
  <c r="G5" i="34" a="1"/>
  <c r="G5" i="34" s="1"/>
  <c r="H5" i="34" s="1"/>
  <c r="F129" i="34" a="1"/>
  <c r="F129" i="34" s="1"/>
  <c r="G235" i="34" a="1"/>
  <c r="G235" i="34" s="1"/>
  <c r="H235" i="34" s="1"/>
  <c r="F477" i="34" a="1"/>
  <c r="F477" i="34" s="1"/>
  <c r="F6" i="34" a="1"/>
  <c r="F6" i="34" s="1"/>
  <c r="G71" i="34" a="1"/>
  <c r="G71" i="34" s="1"/>
  <c r="H71" i="34" s="1"/>
  <c r="G215" i="34" a="1"/>
  <c r="G215" i="34" s="1"/>
  <c r="H215" i="34" s="1"/>
  <c r="F284" i="34" a="1"/>
  <c r="F284" i="34" s="1"/>
  <c r="G289" i="34" a="1"/>
  <c r="G289" i="34" s="1"/>
  <c r="H289" i="34" s="1"/>
  <c r="G126" i="34" a="1"/>
  <c r="G126" i="34" s="1"/>
  <c r="H126" i="34" s="1"/>
  <c r="F364" i="34" a="1"/>
  <c r="F364" i="34" s="1"/>
  <c r="F34" i="34" a="1"/>
  <c r="F34" i="34" s="1"/>
  <c r="F280" i="34" a="1"/>
  <c r="F280" i="34" s="1"/>
  <c r="F68" i="34" a="1"/>
  <c r="F68" i="34" s="1"/>
  <c r="G258" i="34" a="1"/>
  <c r="G258" i="34" s="1"/>
  <c r="H258" i="34" s="1"/>
  <c r="G88" i="34" a="1"/>
  <c r="G88" i="34" s="1"/>
  <c r="H88" i="34" s="1"/>
  <c r="F407" i="34" a="1"/>
  <c r="F407" i="34" s="1"/>
  <c r="F89" i="34" a="1"/>
  <c r="F89" i="34" s="1"/>
  <c r="G512" i="34" a="1"/>
  <c r="G512" i="34" s="1"/>
  <c r="H512" i="34" s="1"/>
  <c r="G150" i="34" a="1"/>
  <c r="G150" i="34" s="1"/>
  <c r="H150" i="34" s="1"/>
  <c r="F447" i="34" a="1"/>
  <c r="F447" i="34" s="1"/>
  <c r="G52" i="34" a="1"/>
  <c r="G52" i="34" s="1"/>
  <c r="H52" i="34" s="1"/>
  <c r="G237" i="34" a="1"/>
  <c r="G237" i="34" s="1"/>
  <c r="H237" i="34" s="1"/>
  <c r="G448" i="34" a="1"/>
  <c r="G448" i="34" s="1"/>
  <c r="H448" i="34" s="1"/>
  <c r="G53" i="34" a="1"/>
  <c r="G53" i="34" s="1"/>
  <c r="H53" i="34" s="1"/>
  <c r="F218" i="34" a="1"/>
  <c r="F218" i="34" s="1"/>
  <c r="G264" i="34" a="1"/>
  <c r="G264" i="34" s="1"/>
  <c r="H264" i="34" s="1"/>
  <c r="G290" i="34" a="1"/>
  <c r="G290" i="34" s="1"/>
  <c r="H290" i="34" s="1"/>
  <c r="F332" i="34" a="1"/>
  <c r="F332" i="34" s="1"/>
  <c r="F376" i="34" a="1"/>
  <c r="F376" i="34" s="1"/>
  <c r="G413" i="34" a="1"/>
  <c r="G413" i="34" s="1"/>
  <c r="H413" i="34" s="1"/>
  <c r="G449" i="34" a="1"/>
  <c r="G449" i="34" s="1"/>
  <c r="H449" i="34" s="1"/>
  <c r="F481" i="34" a="1"/>
  <c r="F481" i="34" s="1"/>
  <c r="F517" i="34" a="1"/>
  <c r="F517" i="34" s="1"/>
  <c r="F552" i="34" a="1"/>
  <c r="F552" i="34" s="1"/>
  <c r="G609" i="34" a="1"/>
  <c r="G609" i="34" s="1"/>
  <c r="H609" i="34" s="1"/>
  <c r="G9" i="34" a="1"/>
  <c r="G9" i="34" s="1"/>
  <c r="H9" i="34" s="1"/>
  <c r="F24" i="34" a="1"/>
  <c r="F24" i="34" s="1"/>
  <c r="G37" i="34" a="1"/>
  <c r="G37" i="34" s="1"/>
  <c r="H37" i="34" s="1"/>
  <c r="G55" i="34" a="1"/>
  <c r="G55" i="34" s="1"/>
  <c r="H55" i="34" s="1"/>
  <c r="G74" i="34" a="1"/>
  <c r="G74" i="34" s="1"/>
  <c r="H74" i="34" s="1"/>
  <c r="F94" i="34" a="1"/>
  <c r="F94" i="34" s="1"/>
  <c r="G112" i="34" a="1"/>
  <c r="G112" i="34" s="1"/>
  <c r="H112" i="34" s="1"/>
  <c r="G134" i="34" a="1"/>
  <c r="G134" i="34" s="1"/>
  <c r="H134" i="34" s="1"/>
  <c r="F153" i="34" a="1"/>
  <c r="F153" i="34" s="1"/>
  <c r="F175" i="34" a="1"/>
  <c r="F175" i="34" s="1"/>
  <c r="F199" i="34" a="1"/>
  <c r="F199" i="34" s="1"/>
  <c r="I199" i="34" s="1"/>
  <c r="F219" i="34" a="1"/>
  <c r="F219" i="34" s="1"/>
  <c r="G238" i="34" a="1"/>
  <c r="G238" i="34" s="1"/>
  <c r="H238" i="34" s="1"/>
  <c r="F265" i="34" a="1"/>
  <c r="F265" i="34" s="1"/>
  <c r="F291" i="34" a="1"/>
  <c r="F291" i="34" s="1"/>
  <c r="G332" i="34" a="1"/>
  <c r="G332" i="34" s="1"/>
  <c r="H332" i="34" s="1"/>
  <c r="F377" i="34" a="1"/>
  <c r="F377" i="34" s="1"/>
  <c r="G415" i="34" a="1"/>
  <c r="G415" i="34" s="1"/>
  <c r="H415" i="34" s="1"/>
  <c r="F451" i="34" a="1"/>
  <c r="F451" i="34" s="1"/>
  <c r="G483" i="34" a="1"/>
  <c r="G483" i="34" s="1"/>
  <c r="H483" i="34" s="1"/>
  <c r="G517" i="34" a="1"/>
  <c r="G517" i="34" s="1"/>
  <c r="H517" i="34" s="1"/>
  <c r="G554" i="34" a="1"/>
  <c r="G554" i="34" s="1"/>
  <c r="H554" i="34" s="1"/>
  <c r="G614" i="34" a="1"/>
  <c r="G614" i="34" s="1"/>
  <c r="H614" i="34" s="1"/>
  <c r="F211" i="34" a="1"/>
  <c r="F211" i="34" s="1"/>
  <c r="G581" i="34" a="1"/>
  <c r="G581" i="34" s="1"/>
  <c r="H581" i="34" s="1"/>
  <c r="G165" i="34" a="1"/>
  <c r="G165" i="34" s="1"/>
  <c r="H165" i="34" s="1"/>
  <c r="F507" i="34" a="1"/>
  <c r="F507" i="34" s="1"/>
  <c r="F20" i="34" a="1"/>
  <c r="F20" i="34" s="1"/>
  <c r="F213" i="34" a="1"/>
  <c r="F213" i="34" s="1"/>
  <c r="G586" i="34" a="1"/>
  <c r="G586" i="34" s="1"/>
  <c r="H586" i="34" s="1"/>
  <c r="G167" i="34" a="1"/>
  <c r="G167" i="34" s="1"/>
  <c r="H167" i="34" s="1"/>
  <c r="G509" i="34" a="1"/>
  <c r="G509" i="34" s="1"/>
  <c r="H509" i="34" s="1"/>
  <c r="G445" i="34" a="1"/>
  <c r="G445" i="34" s="1"/>
  <c r="H445" i="34" s="1"/>
  <c r="G106" i="34" a="1"/>
  <c r="G106" i="34" s="1"/>
  <c r="H106" i="34" s="1"/>
  <c r="F233" i="34" a="1"/>
  <c r="F233" i="34" s="1"/>
  <c r="F539" i="34" a="1"/>
  <c r="F539" i="34" s="1"/>
  <c r="F107" i="34" a="1"/>
  <c r="F107" i="34" s="1"/>
  <c r="G212" i="34" a="1"/>
  <c r="G212" i="34" s="1"/>
  <c r="H212" i="34" s="1"/>
  <c r="F586" i="34" a="1"/>
  <c r="F586" i="34" s="1"/>
  <c r="F166" i="34" a="1"/>
  <c r="F166" i="34" s="1"/>
  <c r="F476" i="34" a="1"/>
  <c r="F476" i="34" s="1"/>
  <c r="G20" i="34" a="1"/>
  <c r="G20" i="34" s="1"/>
  <c r="H20" i="34" s="1"/>
  <c r="F214" i="34" a="1"/>
  <c r="F214" i="34" s="1"/>
  <c r="F368" i="34" a="1"/>
  <c r="F368" i="34" s="1"/>
  <c r="F21" i="34" a="1"/>
  <c r="F21" i="34" s="1"/>
  <c r="F150" i="34" a="1"/>
  <c r="F150" i="34" s="1"/>
  <c r="G259" i="34" a="1"/>
  <c r="G259" i="34" s="1"/>
  <c r="H259" i="34" s="1"/>
  <c r="F36" i="34" a="1"/>
  <c r="F36" i="34" s="1"/>
  <c r="F92" i="34" a="1"/>
  <c r="F92" i="34" s="1"/>
  <c r="G236" i="34" a="1"/>
  <c r="G236" i="34" s="1"/>
  <c r="H236" i="34" s="1"/>
  <c r="F478" i="34" a="1"/>
  <c r="F478" i="34" s="1"/>
  <c r="G36" i="34" a="1"/>
  <c r="G36" i="34" s="1"/>
  <c r="H36" i="34" s="1"/>
  <c r="F132" i="34" a="1"/>
  <c r="F132" i="34" s="1"/>
  <c r="F263" i="34" a="1"/>
  <c r="F263" i="34" s="1"/>
  <c r="G550" i="34" a="1"/>
  <c r="G550" i="34" s="1"/>
  <c r="H550" i="34" s="1"/>
  <c r="F37" i="34" a="1"/>
  <c r="F37" i="34" s="1"/>
  <c r="I37" i="34" s="1"/>
  <c r="F133" i="34" a="1"/>
  <c r="F133" i="34" s="1"/>
  <c r="G194" i="34" a="1"/>
  <c r="G194" i="34" s="1"/>
  <c r="H194" i="34" s="1"/>
  <c r="F95" i="34" a="1"/>
  <c r="F95" i="34" s="1"/>
  <c r="F176" i="34" a="1"/>
  <c r="F176" i="34" s="1"/>
  <c r="G293" i="34" a="1"/>
  <c r="G293" i="34" s="1"/>
  <c r="H293" i="34" s="1"/>
  <c r="F518" i="34" a="1"/>
  <c r="F518" i="34" s="1"/>
  <c r="I518" i="34" s="1"/>
  <c r="F57" i="34" a="1"/>
  <c r="F57" i="34" s="1"/>
  <c r="F115" i="34" a="1"/>
  <c r="F115" i="34" s="1"/>
  <c r="F294" i="34" a="1"/>
  <c r="F294" i="34" s="1"/>
  <c r="F454" i="34" a="1"/>
  <c r="F454" i="34" s="1"/>
  <c r="I454" i="34" s="1"/>
  <c r="G11" i="34" a="1"/>
  <c r="G11" i="34" s="1"/>
  <c r="H11" i="34" s="1"/>
  <c r="F97" i="34" a="1"/>
  <c r="F97" i="34" s="1"/>
  <c r="G156" i="34" a="1"/>
  <c r="G156" i="34" s="1"/>
  <c r="H156" i="34" s="1"/>
  <c r="F339" i="34" a="1"/>
  <c r="F339" i="34" s="1"/>
  <c r="F561" i="34" a="1"/>
  <c r="F561" i="34" s="1"/>
  <c r="I561" i="34" s="1"/>
  <c r="F12" i="34" a="1"/>
  <c r="F12" i="34" s="1"/>
  <c r="G117" i="34" a="1"/>
  <c r="G117" i="34" s="1"/>
  <c r="H117" i="34" s="1"/>
  <c r="G202" i="34" a="1"/>
  <c r="G202" i="34" s="1"/>
  <c r="H202" i="34" s="1"/>
  <c r="F340" i="34" a="1"/>
  <c r="F340" i="34" s="1"/>
  <c r="G561" i="34" a="1"/>
  <c r="G561" i="34" s="1"/>
  <c r="H561" i="34" s="1"/>
  <c r="F60" i="34" a="1"/>
  <c r="F60" i="34" s="1"/>
  <c r="F139" i="34" a="1"/>
  <c r="F139" i="34" s="1"/>
  <c r="F306" i="34" a="1"/>
  <c r="F306" i="34" s="1"/>
  <c r="G489" i="34" a="1"/>
  <c r="G489" i="34" s="1"/>
  <c r="H489" i="34" s="1"/>
  <c r="F99" i="34" a="1"/>
  <c r="F99" i="34" s="1"/>
  <c r="I99" i="34" s="1"/>
  <c r="F14" i="34" a="1"/>
  <c r="F14" i="34" s="1"/>
  <c r="I14" i="34" s="1"/>
  <c r="G28" i="34" a="1"/>
  <c r="G28" i="34" s="1"/>
  <c r="H28" i="34" s="1"/>
  <c r="G41" i="34" a="1"/>
  <c r="G41" i="34" s="1"/>
  <c r="H41" i="34" s="1"/>
  <c r="G61" i="34" a="1"/>
  <c r="G61" i="34" s="1"/>
  <c r="H61" i="34" s="1"/>
  <c r="G80" i="34" a="1"/>
  <c r="G80" i="34" s="1"/>
  <c r="H80" i="34" s="1"/>
  <c r="F100" i="34" a="1"/>
  <c r="F100" i="34" s="1"/>
  <c r="I100" i="34" s="1"/>
  <c r="F120" i="34" a="1"/>
  <c r="F120" i="34" s="1"/>
  <c r="G140" i="34" a="1"/>
  <c r="G140" i="34" s="1"/>
  <c r="H140" i="34" s="1"/>
  <c r="G159" i="34" a="1"/>
  <c r="G159" i="34" s="1"/>
  <c r="H159" i="34" s="1"/>
  <c r="F182" i="34" a="1"/>
  <c r="F182" i="34" s="1"/>
  <c r="G205" i="34" a="1"/>
  <c r="G205" i="34" s="1"/>
  <c r="H205" i="34" s="1"/>
  <c r="G226" i="34" a="1"/>
  <c r="G226" i="34" s="1"/>
  <c r="H226" i="34" s="1"/>
  <c r="G244" i="34" a="1"/>
  <c r="G244" i="34" s="1"/>
  <c r="H244" i="34" s="1"/>
  <c r="F273" i="34" a="1"/>
  <c r="F273" i="34" s="1"/>
  <c r="G311" i="34" a="1"/>
  <c r="G311" i="34" s="1"/>
  <c r="H311" i="34" s="1"/>
  <c r="G347" i="34" a="1"/>
  <c r="G347" i="34" s="1"/>
  <c r="H347" i="34" s="1"/>
  <c r="G386" i="34" a="1"/>
  <c r="G386" i="34" s="1"/>
  <c r="H386" i="34" s="1"/>
  <c r="F424" i="34" a="1"/>
  <c r="F424" i="34" s="1"/>
  <c r="G462" i="34" a="1"/>
  <c r="G462" i="34" s="1"/>
  <c r="H462" i="34" s="1"/>
  <c r="F495" i="34" a="1"/>
  <c r="F495" i="34" s="1"/>
  <c r="G527" i="34" a="1"/>
  <c r="G527" i="34" s="1"/>
  <c r="H527" i="34" s="1"/>
  <c r="G566" i="34" a="1"/>
  <c r="G566" i="34" s="1"/>
  <c r="H566" i="34" s="1"/>
  <c r="G631" i="34" a="1"/>
  <c r="G631" i="34" s="1"/>
  <c r="H631" i="34" s="1"/>
  <c r="F147" i="34" a="1"/>
  <c r="F147" i="34" s="1"/>
  <c r="G400" i="34" a="1"/>
  <c r="G400" i="34" s="1"/>
  <c r="H400" i="34" s="1"/>
  <c r="G49" i="34" a="1"/>
  <c r="G49" i="34" s="1"/>
  <c r="H49" i="34" s="1"/>
  <c r="G365" i="34" a="1"/>
  <c r="G365" i="34" s="1"/>
  <c r="H365" i="34" s="1"/>
  <c r="F87" i="34" a="1"/>
  <c r="F87" i="34" s="1"/>
  <c r="G280" i="34" a="1"/>
  <c r="G280" i="34" s="1"/>
  <c r="H280" i="34" s="1"/>
  <c r="G68" i="34" a="1"/>
  <c r="G68" i="34" s="1"/>
  <c r="H68" i="34" s="1"/>
  <c r="G444" i="34" a="1"/>
  <c r="G444" i="34" s="1"/>
  <c r="H444" i="34" s="1"/>
  <c r="G108" i="34" a="1"/>
  <c r="G108" i="34" s="1"/>
  <c r="H108" i="34" s="1"/>
  <c r="G477" i="34" a="1"/>
  <c r="G477" i="34" s="1"/>
  <c r="H477" i="34" s="1"/>
  <c r="F110" i="34" a="1"/>
  <c r="F110" i="34" s="1"/>
  <c r="G326" i="34" a="1"/>
  <c r="G326" i="34" s="1"/>
  <c r="H326" i="34" s="1"/>
  <c r="G110" i="34" a="1"/>
  <c r="G110" i="34" s="1"/>
  <c r="H110" i="34" s="1"/>
  <c r="G375" i="34" a="1"/>
  <c r="G375" i="34" s="1"/>
  <c r="H375" i="34" s="1"/>
  <c r="F23" i="34" a="1"/>
  <c r="F23" i="34" s="1"/>
  <c r="G152" i="34" a="1"/>
  <c r="G152" i="34" s="1"/>
  <c r="H152" i="34" s="1"/>
  <c r="F38" i="34" a="1"/>
  <c r="F38" i="34" s="1"/>
  <c r="F220" i="34" a="1"/>
  <c r="F220" i="34" s="1"/>
  <c r="I220" i="34" s="1"/>
  <c r="F485" i="34" a="1"/>
  <c r="F485" i="34" s="1"/>
  <c r="G10" i="34" a="1"/>
  <c r="G10" i="34" s="1"/>
  <c r="H10" i="34" s="1"/>
  <c r="F178" i="34" a="1"/>
  <c r="F178" i="34" s="1"/>
  <c r="F379" i="34" a="1"/>
  <c r="F379" i="34" s="1"/>
  <c r="G97" i="34" a="1"/>
  <c r="G97" i="34" s="1"/>
  <c r="H97" i="34" s="1"/>
  <c r="F304" i="34" a="1"/>
  <c r="F304" i="34" s="1"/>
  <c r="G488" i="34" a="1"/>
  <c r="G488" i="34" s="1"/>
  <c r="H488" i="34" s="1"/>
  <c r="F98" i="34" a="1"/>
  <c r="F98" i="34" s="1"/>
  <c r="F271" i="34" a="1"/>
  <c r="F271" i="34" s="1"/>
  <c r="F626" i="34" a="1"/>
  <c r="F626" i="34" s="1"/>
  <c r="F119" i="34" a="1"/>
  <c r="F119" i="34" s="1"/>
  <c r="F244" i="34" a="1"/>
  <c r="F244" i="34" s="1"/>
  <c r="F386" i="34" a="1"/>
  <c r="F386" i="34" s="1"/>
  <c r="G525" i="34" a="1"/>
  <c r="G525" i="34" s="1"/>
  <c r="H525" i="34" s="1"/>
  <c r="F29" i="34" a="1"/>
  <c r="F29" i="34" s="1"/>
  <c r="F81" i="34" a="1"/>
  <c r="F81" i="34" s="1"/>
  <c r="G100" i="34" a="1"/>
  <c r="G100" i="34" s="1"/>
  <c r="H100" i="34" s="1"/>
  <c r="G121" i="34" a="1"/>
  <c r="G121" i="34" s="1"/>
  <c r="H121" i="34" s="1"/>
  <c r="F142" i="34" a="1"/>
  <c r="F142" i="34" s="1"/>
  <c r="F160" i="34" a="1"/>
  <c r="F160" i="34" s="1"/>
  <c r="F183" i="34" a="1"/>
  <c r="F183" i="34" s="1"/>
  <c r="F207" i="34" a="1"/>
  <c r="F207" i="34" s="1"/>
  <c r="I207" i="34" s="1"/>
  <c r="G227" i="34" a="1"/>
  <c r="G227" i="34" s="1"/>
  <c r="H227" i="34" s="1"/>
  <c r="G246" i="34" a="1"/>
  <c r="G246" i="34" s="1"/>
  <c r="H246" i="34" s="1"/>
  <c r="G273" i="34" a="1"/>
  <c r="G273" i="34" s="1"/>
  <c r="H273" i="34" s="1"/>
  <c r="G312" i="34" a="1"/>
  <c r="G312" i="34" s="1"/>
  <c r="H312" i="34" s="1"/>
  <c r="G349" i="34" a="1"/>
  <c r="G349" i="34" s="1"/>
  <c r="H349" i="34" s="1"/>
  <c r="G387" i="34" a="1"/>
  <c r="G387" i="34" s="1"/>
  <c r="H387" i="34" s="1"/>
  <c r="G428" i="34" a="1"/>
  <c r="G428" i="34" s="1"/>
  <c r="H428" i="34" s="1"/>
  <c r="G465" i="34" a="1"/>
  <c r="G465" i="34" s="1"/>
  <c r="H465" i="34" s="1"/>
  <c r="G496" i="34" a="1"/>
  <c r="G496" i="34" s="1"/>
  <c r="H496" i="34" s="1"/>
  <c r="G528" i="34" a="1"/>
  <c r="G528" i="34" s="1"/>
  <c r="H528" i="34" s="1"/>
  <c r="F568" i="34" a="1"/>
  <c r="F568" i="34" s="1"/>
  <c r="G636" i="34" a="1"/>
  <c r="G636" i="34" s="1"/>
  <c r="H636" i="34" s="1"/>
  <c r="G33" i="34" a="1"/>
  <c r="G33" i="34" s="1"/>
  <c r="H33" i="34" s="1"/>
  <c r="F319" i="34" a="1"/>
  <c r="F319" i="34" s="1"/>
  <c r="F86" i="34" a="1"/>
  <c r="F86" i="34" s="1"/>
  <c r="G321" i="34" a="1"/>
  <c r="G321" i="34" s="1"/>
  <c r="H321" i="34" s="1"/>
  <c r="G34" i="34" a="1"/>
  <c r="G34" i="34" s="1"/>
  <c r="H34" i="34" s="1"/>
  <c r="F367" i="34" a="1"/>
  <c r="F367" i="34" s="1"/>
  <c r="F108" i="34" a="1"/>
  <c r="F108" i="34" s="1"/>
  <c r="F324" i="34" a="1"/>
  <c r="F324" i="34" s="1"/>
  <c r="F192" i="34" a="1"/>
  <c r="F192" i="34" s="1"/>
  <c r="F373" i="34" a="1"/>
  <c r="F373" i="34" s="1"/>
  <c r="G6" i="34" a="1"/>
  <c r="G6" i="34" s="1"/>
  <c r="H6" i="34" s="1"/>
  <c r="F171" i="34" a="1"/>
  <c r="F171" i="34" s="1"/>
  <c r="I171" i="34" s="1"/>
  <c r="G373" i="34" a="1"/>
  <c r="G373" i="34" s="1"/>
  <c r="H373" i="34" s="1"/>
  <c r="G22" i="34" a="1"/>
  <c r="G22" i="34" s="1"/>
  <c r="H22" i="34" s="1"/>
  <c r="F194" i="34" a="1"/>
  <c r="F194" i="34" s="1"/>
  <c r="G479" i="34" a="1"/>
  <c r="G479" i="34" s="1"/>
  <c r="H479" i="34" s="1"/>
  <c r="F112" i="34" a="1"/>
  <c r="F112" i="34" s="1"/>
  <c r="I112" i="34" s="1"/>
  <c r="F10" i="34" a="1"/>
  <c r="F10" i="34" s="1"/>
  <c r="G154" i="34" a="1"/>
  <c r="G154" i="34" s="1"/>
  <c r="H154" i="34" s="1"/>
  <c r="F416" i="34" a="1"/>
  <c r="F416" i="34" s="1"/>
  <c r="I416" i="34" s="1"/>
  <c r="G75" i="34" a="1"/>
  <c r="G75" i="34" s="1"/>
  <c r="H75" i="34" s="1"/>
  <c r="F240" i="34" a="1"/>
  <c r="F240" i="34" s="1"/>
  <c r="G558" i="34" a="1"/>
  <c r="G558" i="34" s="1"/>
  <c r="H558" i="34" s="1"/>
  <c r="F76" i="34" a="1"/>
  <c r="F76" i="34" s="1"/>
  <c r="G221" i="34" a="1"/>
  <c r="G221" i="34" s="1"/>
  <c r="H221" i="34" s="1"/>
  <c r="G454" i="34" a="1"/>
  <c r="G454" i="34" s="1"/>
  <c r="H454" i="34" s="1"/>
  <c r="F40" i="34" a="1"/>
  <c r="F40" i="34" s="1"/>
  <c r="G157" i="34" a="1"/>
  <c r="G157" i="34" s="1"/>
  <c r="H157" i="34" s="1"/>
  <c r="G456" i="34" a="1"/>
  <c r="G456" i="34" s="1"/>
  <c r="H456" i="34" s="1"/>
  <c r="G27" i="34" a="1"/>
  <c r="G27" i="34" s="1"/>
  <c r="H27" i="34" s="1"/>
  <c r="F180" i="34" a="1"/>
  <c r="F180" i="34" s="1"/>
  <c r="G422" i="34" a="1"/>
  <c r="G422" i="34" s="1"/>
  <c r="H422" i="34" s="1"/>
  <c r="F41" i="34" a="1"/>
  <c r="F41" i="34" s="1"/>
  <c r="G158" i="34" a="1"/>
  <c r="G158" i="34" s="1"/>
  <c r="H158" i="34" s="1"/>
  <c r="G271" i="34" a="1"/>
  <c r="G271" i="34" s="1"/>
  <c r="H271" i="34" s="1"/>
  <c r="F460" i="34" a="1"/>
  <c r="F460" i="34" s="1"/>
  <c r="G628" i="34" a="1"/>
  <c r="G628" i="34" s="1"/>
  <c r="H628" i="34" s="1"/>
  <c r="G62" i="34" a="1"/>
  <c r="G62" i="34" s="1"/>
  <c r="H62" i="34" s="1"/>
  <c r="F43" i="34" a="1"/>
  <c r="F43" i="34" s="1"/>
  <c r="G102" i="34" a="1"/>
  <c r="G102" i="34" s="1"/>
  <c r="H102" i="34" s="1"/>
  <c r="F122" i="34" a="1"/>
  <c r="F122" i="34" s="1"/>
  <c r="F143" i="34" a="1"/>
  <c r="F143" i="34" s="1"/>
  <c r="F161" i="34" a="1"/>
  <c r="F161" i="34" s="1"/>
  <c r="G183" i="34" a="1"/>
  <c r="G183" i="34" s="1"/>
  <c r="H183" i="34" s="1"/>
  <c r="G207" i="34" a="1"/>
  <c r="G207" i="34" s="1"/>
  <c r="H207" i="34" s="1"/>
  <c r="F228" i="34" a="1"/>
  <c r="F228" i="34" s="1"/>
  <c r="G247" i="34" a="1"/>
  <c r="G247" i="34" s="1"/>
  <c r="H247" i="34" s="1"/>
  <c r="F274" i="34" a="1"/>
  <c r="F274" i="34" s="1"/>
  <c r="G313" i="34" a="1"/>
  <c r="G313" i="34" s="1"/>
  <c r="H313" i="34" s="1"/>
  <c r="F352" i="34" a="1"/>
  <c r="F352" i="34" s="1"/>
  <c r="F390" i="34" a="1"/>
  <c r="F390" i="34" s="1"/>
  <c r="F431" i="34" a="1"/>
  <c r="F431" i="34" s="1"/>
  <c r="F466" i="34" a="1"/>
  <c r="F466" i="34" s="1"/>
  <c r="G497" i="34" a="1"/>
  <c r="G497" i="34" s="1"/>
  <c r="H497" i="34" s="1"/>
  <c r="F529" i="34" a="1"/>
  <c r="F529" i="34" s="1"/>
  <c r="F569" i="34" a="1"/>
  <c r="F569" i="34" s="1"/>
  <c r="I569" i="34" s="1"/>
  <c r="G18" i="34" a="1"/>
  <c r="G18" i="34" s="1"/>
  <c r="H18" i="34" s="1"/>
  <c r="F188" i="34" a="1"/>
  <c r="F188" i="34" s="1"/>
  <c r="G473" i="34" a="1"/>
  <c r="G473" i="34" s="1"/>
  <c r="H473" i="34" s="1"/>
  <c r="G190" i="34" a="1"/>
  <c r="G190" i="34" s="1"/>
  <c r="H190" i="34" s="1"/>
  <c r="G475" i="34" a="1"/>
  <c r="G475" i="34" s="1"/>
  <c r="H475" i="34" s="1"/>
  <c r="F5" i="34" a="1"/>
  <c r="F5" i="34" s="1"/>
  <c r="F191" i="34" a="1"/>
  <c r="F191" i="34" s="1"/>
  <c r="F541" i="34" a="1"/>
  <c r="F541" i="34" s="1"/>
  <c r="G191" i="34" a="1"/>
  <c r="G191" i="34" s="1"/>
  <c r="H191" i="34" s="1"/>
  <c r="G541" i="34" a="1"/>
  <c r="G541" i="34" s="1"/>
  <c r="H541" i="34" s="1"/>
  <c r="G35" i="34" a="1"/>
  <c r="G35" i="34" s="1"/>
  <c r="H35" i="34" s="1"/>
  <c r="F236" i="34" a="1"/>
  <c r="F236" i="34" s="1"/>
  <c r="F410" i="34" a="1"/>
  <c r="F410" i="34" s="1"/>
  <c r="G72" i="34" a="1"/>
  <c r="G72" i="34" s="1"/>
  <c r="H72" i="34" s="1"/>
  <c r="F260" i="34" a="1"/>
  <c r="F260" i="34" s="1"/>
  <c r="F604" i="34" a="1"/>
  <c r="F604" i="34" s="1"/>
  <c r="F73" i="34" a="1"/>
  <c r="F73" i="34" s="1"/>
  <c r="F152" i="34" a="1"/>
  <c r="F152" i="34" s="1"/>
  <c r="I152" i="34" s="1"/>
  <c r="F290" i="34" a="1"/>
  <c r="F290" i="34" s="1"/>
  <c r="G514" i="34" a="1"/>
  <c r="G514" i="34" s="1"/>
  <c r="H514" i="34" s="1"/>
  <c r="F75" i="34" a="1"/>
  <c r="F75" i="34" s="1"/>
  <c r="I75" i="34" s="1"/>
  <c r="G114" i="34" a="1"/>
  <c r="G114" i="34" s="1"/>
  <c r="H114" i="34" s="1"/>
  <c r="F266" i="34" a="1"/>
  <c r="F266" i="34" s="1"/>
  <c r="F334" i="34" a="1"/>
  <c r="F334" i="34" s="1"/>
  <c r="G617" i="34" a="1"/>
  <c r="G617" i="34" s="1"/>
  <c r="H617" i="34" s="1"/>
  <c r="G95" i="34" a="1"/>
  <c r="G95" i="34" s="1"/>
  <c r="H95" i="34" s="1"/>
  <c r="F137" i="34" a="1"/>
  <c r="F137" i="34" s="1"/>
  <c r="F268" i="34" a="1"/>
  <c r="F268" i="34" s="1"/>
  <c r="G335" i="34" a="1"/>
  <c r="G335" i="34" s="1"/>
  <c r="H335" i="34" s="1"/>
  <c r="G621" i="34" a="1"/>
  <c r="G621" i="34" s="1"/>
  <c r="H621" i="34" s="1"/>
  <c r="G26" i="34" a="1"/>
  <c r="G26" i="34" s="1"/>
  <c r="H26" i="34" s="1"/>
  <c r="G137" i="34" a="1"/>
  <c r="G137" i="34" s="1"/>
  <c r="H137" i="34" s="1"/>
  <c r="G178" i="34" a="1"/>
  <c r="G178" i="34" s="1"/>
  <c r="H178" i="34" s="1"/>
  <c r="G294" i="34" a="1"/>
  <c r="G294" i="34" s="1"/>
  <c r="H294" i="34" s="1"/>
  <c r="F380" i="34" a="1"/>
  <c r="F380" i="34" s="1"/>
  <c r="F622" i="34" a="1"/>
  <c r="F622" i="34" s="1"/>
  <c r="F77" i="34" a="1"/>
  <c r="F77" i="34" s="1"/>
  <c r="F138" i="34" a="1"/>
  <c r="F138" i="34" s="1"/>
  <c r="G270" i="34" a="1"/>
  <c r="G270" i="34" s="1"/>
  <c r="H270" i="34" s="1"/>
  <c r="F382" i="34" a="1"/>
  <c r="F382" i="34" s="1"/>
  <c r="F521" i="34" a="1"/>
  <c r="F521" i="34" s="1"/>
  <c r="G40" i="34" a="1"/>
  <c r="G40" i="34" s="1"/>
  <c r="H40" i="34" s="1"/>
  <c r="G118" i="34" a="1"/>
  <c r="G118" i="34" s="1"/>
  <c r="H118" i="34" s="1"/>
  <c r="G222" i="34" a="1"/>
  <c r="G222" i="34" s="1"/>
  <c r="H222" i="34" s="1"/>
  <c r="G341" i="34" a="1"/>
  <c r="G341" i="34" s="1"/>
  <c r="H341" i="34" s="1"/>
  <c r="G562" i="34" a="1"/>
  <c r="G562" i="34" s="1"/>
  <c r="H562" i="34" s="1"/>
  <c r="F28" i="34" a="1"/>
  <c r="F28" i="34" s="1"/>
  <c r="I28" i="34" s="1"/>
  <c r="F79" i="34" a="1"/>
  <c r="F79" i="34" s="1"/>
  <c r="F181" i="34" a="1"/>
  <c r="F181" i="34" s="1"/>
  <c r="G224" i="34" a="1"/>
  <c r="G224" i="34" s="1"/>
  <c r="H224" i="34" s="1"/>
  <c r="G343" i="34" a="1"/>
  <c r="G343" i="34" s="1"/>
  <c r="H343" i="34" s="1"/>
  <c r="F423" i="34" a="1"/>
  <c r="F423" i="34" s="1"/>
  <c r="G492" i="34" a="1"/>
  <c r="G492" i="34" s="1"/>
  <c r="H492" i="34" s="1"/>
  <c r="G565" i="34" a="1"/>
  <c r="G565" i="34" s="1"/>
  <c r="H565" i="34" s="1"/>
  <c r="G14" i="34" a="1"/>
  <c r="G14" i="34" s="1"/>
  <c r="H14" i="34" s="1"/>
  <c r="G42" i="34" a="1"/>
  <c r="G42" i="34" s="1"/>
  <c r="H42" i="34" s="1"/>
  <c r="F15" i="34" a="1"/>
  <c r="F15" i="34" s="1"/>
  <c r="G29" i="34" a="1"/>
  <c r="G29" i="34" s="1"/>
  <c r="H29" i="34" s="1"/>
  <c r="F63" i="34" a="1"/>
  <c r="F63" i="34" s="1"/>
  <c r="G82" i="34" a="1"/>
  <c r="G82" i="34" s="1"/>
  <c r="H82" i="34" s="1"/>
  <c r="F16" i="34" a="1"/>
  <c r="F16" i="34" s="1"/>
  <c r="F30" i="34" a="1"/>
  <c r="F30" i="34" s="1"/>
  <c r="G44" i="34" a="1"/>
  <c r="G44" i="34" s="1"/>
  <c r="H44" i="34" s="1"/>
  <c r="G63" i="34" a="1"/>
  <c r="G63" i="34" s="1"/>
  <c r="H63" i="34" s="1"/>
  <c r="F83" i="34" a="1"/>
  <c r="F83" i="34" s="1"/>
  <c r="I83" i="34" s="1"/>
  <c r="F104" i="34" a="1"/>
  <c r="F104" i="34" s="1"/>
  <c r="I104" i="34" s="1"/>
  <c r="F123" i="34" a="1"/>
  <c r="F123" i="34" s="1"/>
  <c r="I123" i="34" s="1"/>
  <c r="F144" i="34" a="1"/>
  <c r="F144" i="34" s="1"/>
  <c r="I144" i="34" s="1"/>
  <c r="G161" i="34" a="1"/>
  <c r="G161" i="34" s="1"/>
  <c r="H161" i="34" s="1"/>
  <c r="F184" i="34" a="1"/>
  <c r="F184" i="34" s="1"/>
  <c r="F209" i="34" a="1"/>
  <c r="F209" i="34" s="1"/>
  <c r="G228" i="34" a="1"/>
  <c r="G228" i="34" s="1"/>
  <c r="H228" i="34" s="1"/>
  <c r="F249" i="34" a="1"/>
  <c r="F249" i="34" s="1"/>
  <c r="F275" i="34" a="1"/>
  <c r="F275" i="34" s="1"/>
  <c r="F314" i="34" a="1"/>
  <c r="F314" i="34" s="1"/>
  <c r="F356" i="34" a="1"/>
  <c r="F356" i="34" s="1"/>
  <c r="F391" i="34" a="1"/>
  <c r="F391" i="34" s="1"/>
  <c r="G431" i="34" a="1"/>
  <c r="G431" i="34" s="1"/>
  <c r="H431" i="34" s="1"/>
  <c r="F467" i="34" a="1"/>
  <c r="F467" i="34" s="1"/>
  <c r="F501" i="34" a="1"/>
  <c r="F501" i="34" s="1"/>
  <c r="G532" i="34" a="1"/>
  <c r="G532" i="34" s="1"/>
  <c r="H532" i="34" s="1"/>
  <c r="G570" i="34" a="1"/>
  <c r="G570" i="34" s="1"/>
  <c r="H570" i="34" s="1"/>
  <c r="F20" i="39" a="1"/>
  <c r="F20" i="39" s="1"/>
  <c r="F9" i="39" a="1"/>
  <c r="F9" i="39" s="1"/>
  <c r="F47" i="39" a="1"/>
  <c r="F47" i="39" s="1"/>
  <c r="G95" i="39" a="1"/>
  <c r="G95" i="39" s="1"/>
  <c r="H95" i="39" s="1"/>
  <c r="G113" i="39" a="1"/>
  <c r="G113" i="39" s="1"/>
  <c r="H113" i="39" s="1"/>
  <c r="F134" i="39" a="1"/>
  <c r="F134" i="39" s="1"/>
  <c r="I134" i="39" s="1"/>
  <c r="G143" i="39" a="1"/>
  <c r="G143" i="39" s="1"/>
  <c r="H143" i="39" s="1"/>
  <c r="F180" i="39" a="1"/>
  <c r="F180" i="39" s="1"/>
  <c r="I180" i="39" s="1"/>
  <c r="G253" i="39" a="1"/>
  <c r="G253" i="39" s="1"/>
  <c r="H253" i="39" s="1"/>
  <c r="F310" i="39" a="1"/>
  <c r="F310" i="39" s="1"/>
  <c r="F453" i="39" a="1"/>
  <c r="F453" i="39" s="1"/>
  <c r="F121" i="39" a="1"/>
  <c r="F121" i="39" s="1"/>
  <c r="G13" i="39" a="1"/>
  <c r="G13" i="39" s="1"/>
  <c r="F28" i="39" a="1"/>
  <c r="F28" i="39" s="1"/>
  <c r="G9" i="39" a="1"/>
  <c r="G9" i="39" s="1"/>
  <c r="H9" i="39" s="1"/>
  <c r="G21" i="39" a="1"/>
  <c r="G21" i="39" s="1"/>
  <c r="H21" i="39" s="1"/>
  <c r="F34" i="39" a="1"/>
  <c r="F34" i="39" s="1"/>
  <c r="G54" i="39" a="1"/>
  <c r="G54" i="39" s="1"/>
  <c r="H54" i="39" s="1"/>
  <c r="G61" i="39" a="1"/>
  <c r="G61" i="39" s="1"/>
  <c r="H61" i="39" s="1"/>
  <c r="F96" i="39" a="1"/>
  <c r="F96" i="39" s="1"/>
  <c r="G105" i="39" a="1"/>
  <c r="G105" i="39" s="1"/>
  <c r="H105" i="39" s="1"/>
  <c r="F145" i="39" a="1"/>
  <c r="F145" i="39" s="1"/>
  <c r="F155" i="39" a="1"/>
  <c r="F155" i="39" s="1"/>
  <c r="G167" i="39" a="1"/>
  <c r="G167" i="39" s="1"/>
  <c r="H167" i="39" s="1"/>
  <c r="G223" i="39" a="1"/>
  <c r="G223" i="39" s="1"/>
  <c r="H223" i="39" s="1"/>
  <c r="F238" i="39" a="1"/>
  <c r="F238" i="39" s="1"/>
  <c r="F270" i="39" a="1"/>
  <c r="F270" i="39" s="1"/>
  <c r="I270" i="39" s="1"/>
  <c r="G310" i="39" a="1"/>
  <c r="G310" i="39" s="1"/>
  <c r="H310" i="39" s="1"/>
  <c r="F336" i="39" a="1"/>
  <c r="F336" i="39" s="1"/>
  <c r="I336" i="39" s="1"/>
  <c r="G130" i="39" a="1"/>
  <c r="G130" i="39" s="1"/>
  <c r="H130" i="39" s="1"/>
  <c r="G324" i="39" a="1"/>
  <c r="G324" i="39" s="1"/>
  <c r="H324" i="39" s="1"/>
  <c r="F16" i="39" a="1"/>
  <c r="F16" i="39" s="1"/>
  <c r="G28" i="39" a="1"/>
  <c r="G28" i="39" s="1"/>
  <c r="H28" i="39" s="1"/>
  <c r="G34" i="39" a="1"/>
  <c r="G34" i="39" s="1"/>
  <c r="H34" i="39" s="1"/>
  <c r="G41" i="39" a="1"/>
  <c r="G41" i="39" s="1"/>
  <c r="H41" i="39" s="1"/>
  <c r="G47" i="39" a="1"/>
  <c r="G47" i="39" s="1"/>
  <c r="H47" i="39" s="1"/>
  <c r="F70" i="39" a="1"/>
  <c r="F70" i="39" s="1"/>
  <c r="F79" i="39" a="1"/>
  <c r="F79" i="39" s="1"/>
  <c r="F146" i="39" a="1"/>
  <c r="F146" i="39" s="1"/>
  <c r="I146" i="39" s="1"/>
  <c r="G155" i="39" a="1"/>
  <c r="G155" i="39" s="1"/>
  <c r="H155" i="39" s="1"/>
  <c r="F181" i="39" a="1"/>
  <c r="F181" i="39" s="1"/>
  <c r="F194" i="39" a="1"/>
  <c r="F194" i="39" s="1"/>
  <c r="G209" i="39" a="1"/>
  <c r="G209" i="39" s="1"/>
  <c r="H209" i="39" s="1"/>
  <c r="G336" i="39" a="1"/>
  <c r="G336" i="39" s="1"/>
  <c r="H336" i="39" s="1"/>
  <c r="F631" i="39" a="1"/>
  <c r="F631" i="39" s="1"/>
  <c r="F627" i="39" a="1"/>
  <c r="F627" i="39" s="1"/>
  <c r="G619" i="39" a="1"/>
  <c r="G619" i="39" s="1"/>
  <c r="H619" i="39" s="1"/>
  <c r="F604" i="39" a="1"/>
  <c r="F604" i="39" s="1"/>
  <c r="G596" i="39" a="1"/>
  <c r="G596" i="39" s="1"/>
  <c r="H596" i="39" s="1"/>
  <c r="F581" i="39" a="1"/>
  <c r="F581" i="39" s="1"/>
  <c r="G573" i="39" a="1"/>
  <c r="G573" i="39" s="1"/>
  <c r="H573" i="39" s="1"/>
  <c r="F558" i="39" a="1"/>
  <c r="F558" i="39" s="1"/>
  <c r="I558" i="39" s="1"/>
  <c r="G550" i="39" a="1"/>
  <c r="G550" i="39" s="1"/>
  <c r="H550" i="39" s="1"/>
  <c r="G546" i="39" a="1"/>
  <c r="G546" i="39" s="1"/>
  <c r="H546" i="39" s="1"/>
  <c r="F531" i="39" a="1"/>
  <c r="F531" i="39" s="1"/>
  <c r="G523" i="39" a="1"/>
  <c r="G523" i="39" s="1"/>
  <c r="H523" i="39" s="1"/>
  <c r="F508" i="39" a="1"/>
  <c r="F508" i="39" s="1"/>
  <c r="G500" i="39" a="1"/>
  <c r="G500" i="39" s="1"/>
  <c r="H500" i="39" s="1"/>
  <c r="F485" i="39" a="1"/>
  <c r="F485" i="39" s="1"/>
  <c r="G477" i="39" a="1"/>
  <c r="G477" i="39" s="1"/>
  <c r="H477" i="39" s="1"/>
  <c r="F458" i="39" a="1"/>
  <c r="F458" i="39" s="1"/>
  <c r="G450" i="39" a="1"/>
  <c r="G450" i="39" s="1"/>
  <c r="H450" i="39" s="1"/>
  <c r="F435" i="39" a="1"/>
  <c r="F435" i="39" s="1"/>
  <c r="G427" i="39" a="1"/>
  <c r="G427" i="39" s="1"/>
  <c r="H427" i="39" s="1"/>
  <c r="F412" i="39" a="1"/>
  <c r="F412" i="39" s="1"/>
  <c r="G404" i="39" a="1"/>
  <c r="G404" i="39" s="1"/>
  <c r="H404" i="39" s="1"/>
  <c r="F623" i="39" a="1"/>
  <c r="F623" i="39" s="1"/>
  <c r="G615" i="39" a="1"/>
  <c r="G615" i="39" s="1"/>
  <c r="H615" i="39" s="1"/>
  <c r="F600" i="39" a="1"/>
  <c r="F600" i="39" s="1"/>
  <c r="G592" i="39" a="1"/>
  <c r="G592" i="39" s="1"/>
  <c r="H592" i="39" s="1"/>
  <c r="F577" i="39" a="1"/>
  <c r="F577" i="39" s="1"/>
  <c r="I577" i="39" s="1"/>
  <c r="G569" i="39" a="1"/>
  <c r="G569" i="39" s="1"/>
  <c r="H569" i="39" s="1"/>
  <c r="F554" i="39" a="1"/>
  <c r="F554" i="39" s="1"/>
  <c r="F550" i="39" a="1"/>
  <c r="F550" i="39" s="1"/>
  <c r="I550" i="39" s="1"/>
  <c r="G542" i="39" a="1"/>
  <c r="G542" i="39" s="1"/>
  <c r="H542" i="39" s="1"/>
  <c r="F527" i="39" a="1"/>
  <c r="F527" i="39" s="1"/>
  <c r="G519" i="39" a="1"/>
  <c r="G519" i="39" s="1"/>
  <c r="H519" i="39" s="1"/>
  <c r="F504" i="39" a="1"/>
  <c r="F504" i="39" s="1"/>
  <c r="G496" i="39" a="1"/>
  <c r="G496" i="39" s="1"/>
  <c r="H496" i="39" s="1"/>
  <c r="F481" i="39" a="1"/>
  <c r="F481" i="39" s="1"/>
  <c r="G473" i="39" a="1"/>
  <c r="G473" i="39" s="1"/>
  <c r="H473" i="39" s="1"/>
  <c r="G469" i="39" a="1"/>
  <c r="G469" i="39" s="1"/>
  <c r="H469" i="39" s="1"/>
  <c r="F454" i="39" a="1"/>
  <c r="F454" i="39" s="1"/>
  <c r="G446" i="39" a="1"/>
  <c r="G446" i="39" s="1"/>
  <c r="H446" i="39" s="1"/>
  <c r="F431" i="39" a="1"/>
  <c r="F431" i="39" s="1"/>
  <c r="G423" i="39" a="1"/>
  <c r="G423" i="39" s="1"/>
  <c r="H423" i="39" s="1"/>
  <c r="F408" i="39" a="1"/>
  <c r="F408" i="39" s="1"/>
  <c r="G400" i="39" a="1"/>
  <c r="G400" i="39" s="1"/>
  <c r="H400" i="39" s="1"/>
  <c r="F381" i="39" a="1"/>
  <c r="F381" i="39" s="1"/>
  <c r="G373" i="39" a="1"/>
  <c r="G373" i="39" s="1"/>
  <c r="H373" i="39" s="1"/>
  <c r="F358" i="39" a="1"/>
  <c r="F358" i="39" s="1"/>
  <c r="G350" i="39" a="1"/>
  <c r="G350" i="39" s="1"/>
  <c r="H350" i="39" s="1"/>
  <c r="F335" i="39" a="1"/>
  <c r="F335" i="39" s="1"/>
  <c r="I335" i="39" s="1"/>
  <c r="G327" i="39" a="1"/>
  <c r="G327" i="39" s="1"/>
  <c r="H327" i="39" s="1"/>
  <c r="F320" i="39" a="1"/>
  <c r="F320" i="39" s="1"/>
  <c r="I320" i="39" s="1"/>
  <c r="G316" i="39" a="1"/>
  <c r="G316" i="39" s="1"/>
  <c r="H316" i="39" s="1"/>
  <c r="F637" i="39" a="1"/>
  <c r="F637" i="39" s="1"/>
  <c r="G629" i="39" a="1"/>
  <c r="G629" i="39" s="1"/>
  <c r="H629" i="39" s="1"/>
  <c r="F614" i="39" a="1"/>
  <c r="F614" i="39" s="1"/>
  <c r="G606" i="39" a="1"/>
  <c r="G606" i="39" s="1"/>
  <c r="H606" i="39" s="1"/>
  <c r="F591" i="39" a="1"/>
  <c r="F591" i="39" s="1"/>
  <c r="G583" i="39" a="1"/>
  <c r="G583" i="39" s="1"/>
  <c r="H583" i="39" s="1"/>
  <c r="G579" i="39" a="1"/>
  <c r="G579" i="39" s="1"/>
  <c r="H579" i="39" s="1"/>
  <c r="F564" i="39" a="1"/>
  <c r="F564" i="39" s="1"/>
  <c r="G556" i="39" a="1"/>
  <c r="G556" i="39" s="1"/>
  <c r="H556" i="39" s="1"/>
  <c r="F541" i="39" a="1"/>
  <c r="F541" i="39" s="1"/>
  <c r="F629" i="39" a="1"/>
  <c r="F629" i="39" s="1"/>
  <c r="G621" i="39" a="1"/>
  <c r="G621" i="39" s="1"/>
  <c r="H621" i="39" s="1"/>
  <c r="F606" i="39" a="1"/>
  <c r="F606" i="39" s="1"/>
  <c r="G598" i="39" a="1"/>
  <c r="G598" i="39" s="1"/>
  <c r="H598" i="39" s="1"/>
  <c r="F579" i="39" a="1"/>
  <c r="F579" i="39" s="1"/>
  <c r="G571" i="39" a="1"/>
  <c r="G571" i="39" s="1"/>
  <c r="H571" i="39" s="1"/>
  <c r="F556" i="39" a="1"/>
  <c r="F556" i="39" s="1"/>
  <c r="G548" i="39" a="1"/>
  <c r="G548" i="39" s="1"/>
  <c r="H548" i="39" s="1"/>
  <c r="F533" i="39" a="1"/>
  <c r="F533" i="39" s="1"/>
  <c r="I533" i="39" s="1"/>
  <c r="G525" i="39" a="1"/>
  <c r="G525" i="39" s="1"/>
  <c r="H525" i="39" s="1"/>
  <c r="F510" i="39" a="1"/>
  <c r="F510" i="39" s="1"/>
  <c r="I510" i="39" s="1"/>
  <c r="F506" i="39" a="1"/>
  <c r="F506" i="39" s="1"/>
  <c r="G498" i="39" a="1"/>
  <c r="G498" i="39" s="1"/>
  <c r="H498" i="39" s="1"/>
  <c r="F624" i="39" a="1"/>
  <c r="F624" i="39" s="1"/>
  <c r="I624" i="39" s="1"/>
  <c r="G616" i="39" a="1"/>
  <c r="G616" i="39" s="1"/>
  <c r="H616" i="39" s="1"/>
  <c r="G612" i="39" a="1"/>
  <c r="G612" i="39" s="1"/>
  <c r="H612" i="39" s="1"/>
  <c r="F597" i="39" a="1"/>
  <c r="F597" i="39" s="1"/>
  <c r="G589" i="39" a="1"/>
  <c r="G589" i="39" s="1"/>
  <c r="H589" i="39" s="1"/>
  <c r="F574" i="39" a="1"/>
  <c r="F574" i="39" s="1"/>
  <c r="G566" i="39" a="1"/>
  <c r="G566" i="39" s="1"/>
  <c r="H566" i="39" s="1"/>
  <c r="F551" i="39" a="1"/>
  <c r="F551" i="39" s="1"/>
  <c r="G543" i="39" a="1"/>
  <c r="G543" i="39" s="1"/>
  <c r="H543" i="39" s="1"/>
  <c r="F524" i="39" a="1"/>
  <c r="F524" i="39" s="1"/>
  <c r="G516" i="39" a="1"/>
  <c r="G516" i="39" s="1"/>
  <c r="H516" i="39" s="1"/>
  <c r="F501" i="39" a="1"/>
  <c r="F501" i="39" s="1"/>
  <c r="G493" i="39" a="1"/>
  <c r="G493" i="39" s="1"/>
  <c r="H493" i="39" s="1"/>
  <c r="F478" i="39" a="1"/>
  <c r="F478" i="39" s="1"/>
  <c r="G470" i="39" a="1"/>
  <c r="G470" i="39" s="1"/>
  <c r="H470" i="39" s="1"/>
  <c r="F455" i="39" a="1"/>
  <c r="F455" i="39" s="1"/>
  <c r="F451" i="39" a="1"/>
  <c r="F451" i="39" s="1"/>
  <c r="I451" i="39" s="1"/>
  <c r="G635" i="39" a="1"/>
  <c r="G635" i="39" s="1"/>
  <c r="H635" i="39" s="1"/>
  <c r="F620" i="39" a="1"/>
  <c r="F620" i="39" s="1"/>
  <c r="F616" i="39" a="1"/>
  <c r="F616" i="39" s="1"/>
  <c r="G608" i="39" a="1"/>
  <c r="G608" i="39" s="1"/>
  <c r="H608" i="39" s="1"/>
  <c r="F593" i="39" a="1"/>
  <c r="F593" i="39" s="1"/>
  <c r="G585" i="39" a="1"/>
  <c r="G585" i="39" s="1"/>
  <c r="H585" i="39" s="1"/>
  <c r="F570" i="39" a="1"/>
  <c r="F570" i="39" s="1"/>
  <c r="G562" i="39" a="1"/>
  <c r="G562" i="39" s="1"/>
  <c r="F547" i="39" a="1"/>
  <c r="F547" i="39" s="1"/>
  <c r="G539" i="39" a="1"/>
  <c r="G539" i="39" s="1"/>
  <c r="H539" i="39" s="1"/>
  <c r="G535" i="39" a="1"/>
  <c r="G535" i="39" s="1"/>
  <c r="H535" i="39" s="1"/>
  <c r="F520" i="39" a="1"/>
  <c r="F520" i="39" s="1"/>
  <c r="G512" i="39" a="1"/>
  <c r="G512" i="39" s="1"/>
  <c r="H512" i="39" s="1"/>
  <c r="F497" i="39" a="1"/>
  <c r="F497" i="39" s="1"/>
  <c r="G489" i="39" a="1"/>
  <c r="G489" i="39" s="1"/>
  <c r="H489" i="39" s="1"/>
  <c r="F474" i="39" a="1"/>
  <c r="F474" i="39" s="1"/>
  <c r="G466" i="39" a="1"/>
  <c r="G466" i="39" s="1"/>
  <c r="H466" i="39" s="1"/>
  <c r="F447" i="39" a="1"/>
  <c r="F447" i="39" s="1"/>
  <c r="G439" i="39" a="1"/>
  <c r="G439" i="39" s="1"/>
  <c r="H439" i="39" s="1"/>
  <c r="F424" i="39" a="1"/>
  <c r="F424" i="39" s="1"/>
  <c r="G416" i="39" a="1"/>
  <c r="G416" i="39" s="1"/>
  <c r="H416" i="39" s="1"/>
  <c r="G631" i="39" a="1"/>
  <c r="G631" i="39" s="1"/>
  <c r="H631" i="39" s="1"/>
  <c r="F612" i="39" a="1"/>
  <c r="F612" i="39" s="1"/>
  <c r="I612" i="39" s="1"/>
  <c r="G604" i="39" a="1"/>
  <c r="G604" i="39" s="1"/>
  <c r="H604" i="39" s="1"/>
  <c r="F589" i="39" a="1"/>
  <c r="F589" i="39" s="1"/>
  <c r="I589" i="39" s="1"/>
  <c r="G581" i="39" a="1"/>
  <c r="G581" i="39" s="1"/>
  <c r="H581" i="39" s="1"/>
  <c r="F566" i="39" a="1"/>
  <c r="F566" i="39" s="1"/>
  <c r="F635" i="39" a="1"/>
  <c r="F635" i="39" s="1"/>
  <c r="G627" i="39" a="1"/>
  <c r="G627" i="39" s="1"/>
  <c r="H627" i="39" s="1"/>
  <c r="G623" i="39" a="1"/>
  <c r="G623" i="39" s="1"/>
  <c r="H623" i="39" s="1"/>
  <c r="F608" i="39" a="1"/>
  <c r="F608" i="39" s="1"/>
  <c r="G638" i="39" a="1"/>
  <c r="G638" i="39" s="1"/>
  <c r="H638" i="39" s="1"/>
  <c r="G626" i="39" a="1"/>
  <c r="G626" i="39" s="1"/>
  <c r="H626" i="39" s="1"/>
  <c r="F609" i="39" a="1"/>
  <c r="F609" i="39" s="1"/>
  <c r="G597" i="39" a="1"/>
  <c r="G597" i="39" s="1"/>
  <c r="H597" i="39" s="1"/>
  <c r="F586" i="39" a="1"/>
  <c r="F586" i="39" s="1"/>
  <c r="G563" i="39" a="1"/>
  <c r="G563" i="39" s="1"/>
  <c r="H563" i="39" s="1"/>
  <c r="F537" i="39" a="1"/>
  <c r="F537" i="39" s="1"/>
  <c r="F522" i="39" a="1"/>
  <c r="F522" i="39" s="1"/>
  <c r="F517" i="39" a="1"/>
  <c r="F517" i="39" s="1"/>
  <c r="F512" i="39" a="1"/>
  <c r="F512" i="39" s="1"/>
  <c r="F507" i="39" a="1"/>
  <c r="F507" i="39" s="1"/>
  <c r="F502" i="39" a="1"/>
  <c r="F502" i="39" s="1"/>
  <c r="G497" i="39" a="1"/>
  <c r="G497" i="39" s="1"/>
  <c r="H497" i="39" s="1"/>
  <c r="F483" i="39" a="1"/>
  <c r="F483" i="39" s="1"/>
  <c r="I483" i="39" s="1"/>
  <c r="G432" i="39" a="1"/>
  <c r="G432" i="39" s="1"/>
  <c r="H432" i="39" s="1"/>
  <c r="F428" i="39" a="1"/>
  <c r="F428" i="39" s="1"/>
  <c r="I428" i="39" s="1"/>
  <c r="G414" i="39" a="1"/>
  <c r="G414" i="39" s="1"/>
  <c r="H414" i="39" s="1"/>
  <c r="F406" i="39" a="1"/>
  <c r="F406" i="39" s="1"/>
  <c r="G337" i="39" a="1"/>
  <c r="G337" i="39" s="1"/>
  <c r="H337" i="39" s="1"/>
  <c r="G333" i="39" a="1"/>
  <c r="G333" i="39" s="1"/>
  <c r="H333" i="39" s="1"/>
  <c r="G329" i="39" a="1"/>
  <c r="G329" i="39" s="1"/>
  <c r="H329" i="39" s="1"/>
  <c r="F638" i="39" a="1"/>
  <c r="F638" i="39" s="1"/>
  <c r="G614" i="39" a="1"/>
  <c r="G614" i="39" s="1"/>
  <c r="H614" i="39" s="1"/>
  <c r="G591" i="39" a="1"/>
  <c r="G591" i="39" s="1"/>
  <c r="H591" i="39" s="1"/>
  <c r="F580" i="39" a="1"/>
  <c r="F580" i="39" s="1"/>
  <c r="G557" i="39" a="1"/>
  <c r="G557" i="39" s="1"/>
  <c r="H557" i="39" s="1"/>
  <c r="G552" i="39" a="1"/>
  <c r="G552" i="39" s="1"/>
  <c r="H552" i="39" s="1"/>
  <c r="G547" i="39" a="1"/>
  <c r="G547" i="39" s="1"/>
  <c r="H547" i="39" s="1"/>
  <c r="F532" i="39" a="1"/>
  <c r="F532" i="39" s="1"/>
  <c r="F492" i="39" a="1"/>
  <c r="F492" i="39" s="1"/>
  <c r="G487" i="39" a="1"/>
  <c r="G487" i="39" s="1"/>
  <c r="H487" i="39" s="1"/>
  <c r="G478" i="39" a="1"/>
  <c r="G478" i="39" s="1"/>
  <c r="H478" i="39" s="1"/>
  <c r="F473" i="39" a="1"/>
  <c r="F473" i="39" s="1"/>
  <c r="F464" i="39" a="1"/>
  <c r="F464" i="39" s="1"/>
  <c r="G445" i="39" a="1"/>
  <c r="G445" i="39" s="1"/>
  <c r="H445" i="39" s="1"/>
  <c r="F441" i="39" a="1"/>
  <c r="F441" i="39" s="1"/>
  <c r="I441" i="39" s="1"/>
  <c r="F423" i="39" a="1"/>
  <c r="F423" i="39" s="1"/>
  <c r="I423" i="39" s="1"/>
  <c r="F410" i="39" a="1"/>
  <c r="F410" i="39" s="1"/>
  <c r="I410" i="39" s="1"/>
  <c r="G369" i="39" a="1"/>
  <c r="G369" i="39" s="1"/>
  <c r="H369" i="39" s="1"/>
  <c r="G365" i="39" a="1"/>
  <c r="G365" i="39" s="1"/>
  <c r="H365" i="39" s="1"/>
  <c r="G361" i="39" a="1"/>
  <c r="G361" i="39" s="1"/>
  <c r="H361" i="39" s="1"/>
  <c r="G357" i="39" a="1"/>
  <c r="G357" i="39" s="1"/>
  <c r="H357" i="39" s="1"/>
  <c r="G353" i="39" a="1"/>
  <c r="G353" i="39" s="1"/>
  <c r="H353" i="39" s="1"/>
  <c r="G349" i="39" a="1"/>
  <c r="G349" i="39" s="1"/>
  <c r="H349" i="39" s="1"/>
  <c r="G345" i="39" a="1"/>
  <c r="G345" i="39" s="1"/>
  <c r="H345" i="39" s="1"/>
  <c r="G341" i="39" a="1"/>
  <c r="G341" i="39" s="1"/>
  <c r="H341" i="39" s="1"/>
  <c r="G325" i="39" a="1"/>
  <c r="G325" i="39" s="1"/>
  <c r="H325" i="39" s="1"/>
  <c r="F636" i="39" a="1"/>
  <c r="F636" i="39" s="1"/>
  <c r="G594" i="39" a="1"/>
  <c r="G594" i="39" s="1"/>
  <c r="H594" i="39" s="1"/>
  <c r="G588" i="39" a="1"/>
  <c r="G588" i="39" s="1"/>
  <c r="H588" i="39" s="1"/>
  <c r="F583" i="39" a="1"/>
  <c r="F583" i="39" s="1"/>
  <c r="G577" i="39" a="1"/>
  <c r="G577" i="39" s="1"/>
  <c r="H577" i="39" s="1"/>
  <c r="G555" i="39" a="1"/>
  <c r="G555" i="39" s="1"/>
  <c r="H555" i="39" s="1"/>
  <c r="G485" i="39" a="1"/>
  <c r="G485" i="39" s="1"/>
  <c r="H485" i="39" s="1"/>
  <c r="G480" i="39" a="1"/>
  <c r="G480" i="39" s="1"/>
  <c r="H480" i="39" s="1"/>
  <c r="G471" i="39" a="1"/>
  <c r="G471" i="39" s="1"/>
  <c r="H471" i="39" s="1"/>
  <c r="F457" i="39" a="1"/>
  <c r="F457" i="39" s="1"/>
  <c r="F448" i="39" a="1"/>
  <c r="F448" i="39" s="1"/>
  <c r="F439" i="39" a="1"/>
  <c r="F439" i="39" s="1"/>
  <c r="I439" i="39" s="1"/>
  <c r="G434" i="39" a="1"/>
  <c r="G434" i="39" s="1"/>
  <c r="H434" i="39" s="1"/>
  <c r="F430" i="39" a="1"/>
  <c r="F430" i="39" s="1"/>
  <c r="I430" i="39" s="1"/>
  <c r="G408" i="39" a="1"/>
  <c r="G408" i="39" s="1"/>
  <c r="H408" i="39" s="1"/>
  <c r="F587" i="39" a="1"/>
  <c r="F587" i="39" s="1"/>
  <c r="G570" i="39" a="1"/>
  <c r="G570" i="39" s="1"/>
  <c r="H570" i="39" s="1"/>
  <c r="G564" i="39" a="1"/>
  <c r="G564" i="39" s="1"/>
  <c r="H564" i="39" s="1"/>
  <c r="F559" i="39" a="1"/>
  <c r="F559" i="39" s="1"/>
  <c r="G553" i="39" a="1"/>
  <c r="G553" i="39" s="1"/>
  <c r="H553" i="39" s="1"/>
  <c r="F543" i="39" a="1"/>
  <c r="F543" i="39" s="1"/>
  <c r="F528" i="39" a="1"/>
  <c r="F528" i="39" s="1"/>
  <c r="F518" i="39" a="1"/>
  <c r="F518" i="39" s="1"/>
  <c r="F513" i="39" a="1"/>
  <c r="F513" i="39" s="1"/>
  <c r="F503" i="39" a="1"/>
  <c r="F503" i="39" s="1"/>
  <c r="F498" i="39" a="1"/>
  <c r="F498" i="39" s="1"/>
  <c r="G488" i="39" a="1"/>
  <c r="G488" i="39" s="1"/>
  <c r="H488" i="39" s="1"/>
  <c r="G460" i="39" a="1"/>
  <c r="G460" i="39" s="1"/>
  <c r="H460" i="39" s="1"/>
  <c r="G451" i="39" a="1"/>
  <c r="G451" i="39" s="1"/>
  <c r="H451" i="39" s="1"/>
  <c r="G424" i="39" a="1"/>
  <c r="G424" i="39" s="1"/>
  <c r="H424" i="39" s="1"/>
  <c r="F411" i="39" a="1"/>
  <c r="F411" i="39" s="1"/>
  <c r="G370" i="39" a="1"/>
  <c r="G370" i="39" s="1"/>
  <c r="H370" i="39" s="1"/>
  <c r="G366" i="39" a="1"/>
  <c r="G366" i="39" s="1"/>
  <c r="H366" i="39" s="1"/>
  <c r="F628" i="39" a="1"/>
  <c r="F628" i="39" s="1"/>
  <c r="I628" i="39" s="1"/>
  <c r="F615" i="39" a="1"/>
  <c r="F615" i="39" s="1"/>
  <c r="I615" i="39" s="1"/>
  <c r="G603" i="39" a="1"/>
  <c r="G603" i="39" s="1"/>
  <c r="H603" i="39" s="1"/>
  <c r="F598" i="39" a="1"/>
  <c r="F598" i="39" s="1"/>
  <c r="F592" i="39" a="1"/>
  <c r="F592" i="39" s="1"/>
  <c r="G575" i="39" a="1"/>
  <c r="G575" i="39" s="1"/>
  <c r="H575" i="39" s="1"/>
  <c r="F548" i="39" a="1"/>
  <c r="F548" i="39" s="1"/>
  <c r="F493" i="39" a="1"/>
  <c r="F493" i="39" s="1"/>
  <c r="F479" i="39" a="1"/>
  <c r="F479" i="39" s="1"/>
  <c r="G633" i="39" a="1"/>
  <c r="G633" i="39" s="1"/>
  <c r="H633" i="39" s="1"/>
  <c r="G609" i="39" a="1"/>
  <c r="G609" i="39" s="1"/>
  <c r="H609" i="39" s="1"/>
  <c r="G586" i="39" a="1"/>
  <c r="G586" i="39" s="1"/>
  <c r="H586" i="39" s="1"/>
  <c r="F575" i="39" a="1"/>
  <c r="F575" i="39" s="1"/>
  <c r="G558" i="39" a="1"/>
  <c r="G558" i="39" s="1"/>
  <c r="H558" i="39" s="1"/>
  <c r="F553" i="39" a="1"/>
  <c r="F553" i="39" s="1"/>
  <c r="G537" i="39" a="1"/>
  <c r="G537" i="39" s="1"/>
  <c r="H537" i="39" s="1"/>
  <c r="G622" i="39" a="1"/>
  <c r="G622" i="39" s="1"/>
  <c r="H622" i="39" s="1"/>
  <c r="F590" i="39" a="1"/>
  <c r="F590" i="39" s="1"/>
  <c r="G574" i="39" a="1"/>
  <c r="G574" i="39" s="1"/>
  <c r="H574" i="39" s="1"/>
  <c r="F567" i="39" a="1"/>
  <c r="F567" i="39" s="1"/>
  <c r="F545" i="39" a="1"/>
  <c r="F545" i="39" s="1"/>
  <c r="G518" i="39" a="1"/>
  <c r="G518" i="39" s="1"/>
  <c r="H518" i="39" s="1"/>
  <c r="G505" i="39" a="1"/>
  <c r="G505" i="39" s="1"/>
  <c r="H505" i="39" s="1"/>
  <c r="F499" i="39" a="1"/>
  <c r="F499" i="39" s="1"/>
  <c r="G492" i="39" a="1"/>
  <c r="G492" i="39" s="1"/>
  <c r="H492" i="39" s="1"/>
  <c r="G468" i="39" a="1"/>
  <c r="G468" i="39" s="1"/>
  <c r="H468" i="39" s="1"/>
  <c r="G413" i="39" a="1"/>
  <c r="G413" i="39" s="1"/>
  <c r="H413" i="39" s="1"/>
  <c r="F403" i="39" a="1"/>
  <c r="F403" i="39" s="1"/>
  <c r="I403" i="39" s="1"/>
  <c r="G383" i="39" a="1"/>
  <c r="G383" i="39" s="1"/>
  <c r="H383" i="39" s="1"/>
  <c r="F359" i="39" a="1"/>
  <c r="F359" i="39" s="1"/>
  <c r="F345" i="39" a="1"/>
  <c r="F345" i="39" s="1"/>
  <c r="I345" i="39" s="1"/>
  <c r="G340" i="39" a="1"/>
  <c r="G340" i="39" s="1"/>
  <c r="H340" i="39" s="1"/>
  <c r="F331" i="39" a="1"/>
  <c r="F331" i="39" s="1"/>
  <c r="G322" i="39" a="1"/>
  <c r="G322" i="39" s="1"/>
  <c r="H322" i="39" s="1"/>
  <c r="F314" i="39" a="1"/>
  <c r="F314" i="39" s="1"/>
  <c r="F242" i="39" a="1"/>
  <c r="F242" i="39" s="1"/>
  <c r="G234" i="39" a="1"/>
  <c r="G234" i="39" s="1"/>
  <c r="H234" i="39" s="1"/>
  <c r="F219" i="39" a="1"/>
  <c r="F219" i="39" s="1"/>
  <c r="G211" i="39" a="1"/>
  <c r="G211" i="39" s="1"/>
  <c r="G207" i="39" a="1"/>
  <c r="G207" i="39" s="1"/>
  <c r="H207" i="39" s="1"/>
  <c r="F630" i="39" a="1"/>
  <c r="F630" i="39" s="1"/>
  <c r="G613" i="39" a="1"/>
  <c r="G613" i="39" s="1"/>
  <c r="H613" i="39" s="1"/>
  <c r="G582" i="39" a="1"/>
  <c r="G582" i="39" s="1"/>
  <c r="H582" i="39" s="1"/>
  <c r="G559" i="39" a="1"/>
  <c r="G559" i="39" s="1"/>
  <c r="H559" i="39" s="1"/>
  <c r="G544" i="39" a="1"/>
  <c r="G544" i="39" s="1"/>
  <c r="I544" i="39" s="1"/>
  <c r="G530" i="39" a="1"/>
  <c r="G530" i="39" s="1"/>
  <c r="H530" i="39" s="1"/>
  <c r="G524" i="39" a="1"/>
  <c r="G524" i="39" s="1"/>
  <c r="H524" i="39" s="1"/>
  <c r="F622" i="39" a="1"/>
  <c r="F622" i="39" s="1"/>
  <c r="G605" i="39" a="1"/>
  <c r="G605" i="39" s="1"/>
  <c r="H605" i="39" s="1"/>
  <c r="G551" i="39" a="1"/>
  <c r="G551" i="39" s="1"/>
  <c r="H551" i="39" s="1"/>
  <c r="F505" i="39" a="1"/>
  <c r="F505" i="39" s="1"/>
  <c r="G474" i="39" a="1"/>
  <c r="G474" i="39" s="1"/>
  <c r="H474" i="39" s="1"/>
  <c r="F468" i="39" a="1"/>
  <c r="F468" i="39" s="1"/>
  <c r="F440" i="39" a="1"/>
  <c r="F440" i="39" s="1"/>
  <c r="G429" i="39" a="1"/>
  <c r="G429" i="39" s="1"/>
  <c r="H429" i="39" s="1"/>
  <c r="F418" i="39" a="1"/>
  <c r="F418" i="39" s="1"/>
  <c r="F413" i="39" a="1"/>
  <c r="F413" i="39" s="1"/>
  <c r="F383" i="39" a="1"/>
  <c r="F383" i="39" s="1"/>
  <c r="G363" i="39" a="1"/>
  <c r="G363" i="39" s="1"/>
  <c r="H363" i="39" s="1"/>
  <c r="F354" i="39" a="1"/>
  <c r="F354" i="39" s="1"/>
  <c r="F340" i="39" a="1"/>
  <c r="F340" i="39" s="1"/>
  <c r="G335" i="39" a="1"/>
  <c r="G335" i="39" s="1"/>
  <c r="H335" i="39" s="1"/>
  <c r="F322" i="39" a="1"/>
  <c r="F322" i="39" s="1"/>
  <c r="G297" i="39" a="1"/>
  <c r="G297" i="39" s="1"/>
  <c r="H297" i="39" s="1"/>
  <c r="F602" i="39" a="1"/>
  <c r="F602" i="39" s="1"/>
  <c r="F595" i="39" a="1"/>
  <c r="F595" i="39" s="1"/>
  <c r="I595" i="39" s="1"/>
  <c r="G634" i="39" a="1"/>
  <c r="G634" i="39" s="1"/>
  <c r="H634" i="39" s="1"/>
  <c r="G610" i="39" a="1"/>
  <c r="G610" i="39" s="1"/>
  <c r="H610" i="39" s="1"/>
  <c r="F594" i="39" a="1"/>
  <c r="F594" i="39" s="1"/>
  <c r="I594" i="39" s="1"/>
  <c r="F571" i="39" a="1"/>
  <c r="F571" i="39" s="1"/>
  <c r="F534" i="39" a="1"/>
  <c r="F534" i="39" s="1"/>
  <c r="G528" i="39" a="1"/>
  <c r="G528" i="39" s="1"/>
  <c r="H528" i="39" s="1"/>
  <c r="G483" i="39" a="1"/>
  <c r="G483" i="39" s="1"/>
  <c r="H483" i="39" s="1"/>
  <c r="F477" i="39" a="1"/>
  <c r="F477" i="39" s="1"/>
  <c r="F466" i="39" a="1"/>
  <c r="F466" i="39" s="1"/>
  <c r="I466" i="39" s="1"/>
  <c r="G443" i="39" a="1"/>
  <c r="G443" i="39" s="1"/>
  <c r="H443" i="39" s="1"/>
  <c r="F386" i="39" a="1"/>
  <c r="F386" i="39" s="1"/>
  <c r="F376" i="39" a="1"/>
  <c r="F376" i="39" s="1"/>
  <c r="F352" i="39" a="1"/>
  <c r="F352" i="39" s="1"/>
  <c r="G347" i="39" a="1"/>
  <c r="G347" i="39" s="1"/>
  <c r="H347" i="39" s="1"/>
  <c r="G320" i="39" a="1"/>
  <c r="G320" i="39" s="1"/>
  <c r="H320" i="39" s="1"/>
  <c r="F316" i="39" a="1"/>
  <c r="F316" i="39" s="1"/>
  <c r="F632" i="39" a="1"/>
  <c r="F632" i="39" s="1"/>
  <c r="G624" i="39" a="1"/>
  <c r="G624" i="39" s="1"/>
  <c r="H624" i="39" s="1"/>
  <c r="G599" i="39" a="1"/>
  <c r="G599" i="39" s="1"/>
  <c r="H599" i="39" s="1"/>
  <c r="G576" i="39" a="1"/>
  <c r="G576" i="39" s="1"/>
  <c r="H576" i="39" s="1"/>
  <c r="F568" i="39" a="1"/>
  <c r="F568" i="39" s="1"/>
  <c r="G532" i="39" a="1"/>
  <c r="G532" i="39" s="1"/>
  <c r="H532" i="39" s="1"/>
  <c r="F519" i="39" a="1"/>
  <c r="F519" i="39" s="1"/>
  <c r="G506" i="39" a="1"/>
  <c r="G506" i="39" s="1"/>
  <c r="H506" i="39" s="1"/>
  <c r="F494" i="39" a="1"/>
  <c r="F494" i="39" s="1"/>
  <c r="I494" i="39" s="1"/>
  <c r="F470" i="39" a="1"/>
  <c r="F470" i="39" s="1"/>
  <c r="F436" i="39" a="1"/>
  <c r="F436" i="39" s="1"/>
  <c r="F420" i="39" a="1"/>
  <c r="F420" i="39" s="1"/>
  <c r="I420" i="39" s="1"/>
  <c r="F414" i="39" a="1"/>
  <c r="F414" i="39" s="1"/>
  <c r="F404" i="39" a="1"/>
  <c r="F404" i="39" s="1"/>
  <c r="G560" i="39" a="1"/>
  <c r="G560" i="39" s="1"/>
  <c r="H560" i="39" s="1"/>
  <c r="G538" i="39" a="1"/>
  <c r="G538" i="39" s="1"/>
  <c r="H538" i="39" s="1"/>
  <c r="G531" i="39" a="1"/>
  <c r="G531" i="39" s="1"/>
  <c r="H531" i="39" s="1"/>
  <c r="F487" i="39" a="1"/>
  <c r="F487" i="39" s="1"/>
  <c r="G481" i="39" a="1"/>
  <c r="G481" i="39" s="1"/>
  <c r="H481" i="39" s="1"/>
  <c r="G475" i="39" a="1"/>
  <c r="G475" i="39" s="1"/>
  <c r="H475" i="39" s="1"/>
  <c r="G452" i="39" a="1"/>
  <c r="G452" i="39" s="1"/>
  <c r="H452" i="39" s="1"/>
  <c r="G441" i="39" a="1"/>
  <c r="G441" i="39" s="1"/>
  <c r="H441" i="39" s="1"/>
  <c r="G430" i="39" a="1"/>
  <c r="G430" i="39" s="1"/>
  <c r="H430" i="39" s="1"/>
  <c r="F425" i="39" a="1"/>
  <c r="F425" i="39" s="1"/>
  <c r="G419" i="39" a="1"/>
  <c r="G419" i="39" s="1"/>
  <c r="H419" i="39" s="1"/>
  <c r="F599" i="39" a="1"/>
  <c r="F599" i="39" s="1"/>
  <c r="I599" i="39" s="1"/>
  <c r="G590" i="39" a="1"/>
  <c r="G590" i="39" s="1"/>
  <c r="H590" i="39" s="1"/>
  <c r="F576" i="39" a="1"/>
  <c r="F576" i="39" s="1"/>
  <c r="I576" i="39" s="1"/>
  <c r="G567" i="39" a="1"/>
  <c r="G567" i="39" s="1"/>
  <c r="H567" i="39" s="1"/>
  <c r="F560" i="39" a="1"/>
  <c r="F560" i="39" s="1"/>
  <c r="F552" i="39" a="1"/>
  <c r="F552" i="39" s="1"/>
  <c r="I552" i="39" s="1"/>
  <c r="G545" i="39" a="1"/>
  <c r="G545" i="39" s="1"/>
  <c r="H545" i="39" s="1"/>
  <c r="G499" i="39" a="1"/>
  <c r="G499" i="39" s="1"/>
  <c r="H499" i="39" s="1"/>
  <c r="F469" i="39" a="1"/>
  <c r="F469" i="39" s="1"/>
  <c r="G403" i="39" a="1"/>
  <c r="G403" i="39" s="1"/>
  <c r="H403" i="39" s="1"/>
  <c r="G630" i="39" a="1"/>
  <c r="G630" i="39" s="1"/>
  <c r="H630" i="39" s="1"/>
  <c r="F538" i="39" a="1"/>
  <c r="F538" i="39" s="1"/>
  <c r="G637" i="39" a="1"/>
  <c r="G637" i="39" s="1"/>
  <c r="H637" i="39" s="1"/>
  <c r="F625" i="39" a="1"/>
  <c r="F625" i="39" s="1"/>
  <c r="G584" i="39" a="1"/>
  <c r="G584" i="39" s="1"/>
  <c r="H584" i="39" s="1"/>
  <c r="F557" i="39" a="1"/>
  <c r="F557" i="39" s="1"/>
  <c r="F535" i="39" a="1"/>
  <c r="F535" i="39" s="1"/>
  <c r="F526" i="39" a="1"/>
  <c r="F526" i="39" s="1"/>
  <c r="F516" i="39" a="1"/>
  <c r="F516" i="39" s="1"/>
  <c r="G482" i="39" a="1"/>
  <c r="G482" i="39" s="1"/>
  <c r="H482" i="39" s="1"/>
  <c r="G458" i="39" a="1"/>
  <c r="G458" i="39" s="1"/>
  <c r="H458" i="39" s="1"/>
  <c r="G406" i="39" a="1"/>
  <c r="G406" i="39" s="1"/>
  <c r="H406" i="39" s="1"/>
  <c r="F400" i="39" a="1"/>
  <c r="F400" i="39" s="1"/>
  <c r="G394" i="39" a="1"/>
  <c r="G394" i="39" s="1"/>
  <c r="H394" i="39" s="1"/>
  <c r="G360" i="39" a="1"/>
  <c r="G360" i="39" s="1"/>
  <c r="H360" i="39" s="1"/>
  <c r="F355" i="39" a="1"/>
  <c r="F355" i="39" s="1"/>
  <c r="F344" i="39" a="1"/>
  <c r="F344" i="39" s="1"/>
  <c r="F333" i="39" a="1"/>
  <c r="F333" i="39" s="1"/>
  <c r="F328" i="39" a="1"/>
  <c r="F328" i="39" s="1"/>
  <c r="F323" i="39" a="1"/>
  <c r="F323" i="39" s="1"/>
  <c r="I323" i="39" s="1"/>
  <c r="F546" i="39" a="1"/>
  <c r="F546" i="39" s="1"/>
  <c r="G507" i="39" a="1"/>
  <c r="G507" i="39" s="1"/>
  <c r="H507" i="39" s="1"/>
  <c r="G490" i="39" a="1"/>
  <c r="G490" i="39" s="1"/>
  <c r="H490" i="39" s="1"/>
  <c r="G465" i="39" a="1"/>
  <c r="G465" i="39" s="1"/>
  <c r="H465" i="39" s="1"/>
  <c r="G457" i="39" a="1"/>
  <c r="G457" i="39" s="1"/>
  <c r="H457" i="39" s="1"/>
  <c r="G449" i="39" a="1"/>
  <c r="G449" i="39" s="1"/>
  <c r="H449" i="39" s="1"/>
  <c r="G442" i="39" a="1"/>
  <c r="G442" i="39" s="1"/>
  <c r="H442" i="39" s="1"/>
  <c r="F427" i="39" a="1"/>
  <c r="F427" i="39" s="1"/>
  <c r="G388" i="39" a="1"/>
  <c r="G388" i="39" s="1"/>
  <c r="H388" i="39" s="1"/>
  <c r="G371" i="39" a="1"/>
  <c r="G371" i="39" s="1"/>
  <c r="H371" i="39" s="1"/>
  <c r="F349" i="39" a="1"/>
  <c r="F349" i="39" s="1"/>
  <c r="F318" i="39" a="1"/>
  <c r="F318" i="39" s="1"/>
  <c r="F313" i="39" a="1"/>
  <c r="F313" i="39" s="1"/>
  <c r="G295" i="39" a="1"/>
  <c r="G295" i="39" s="1"/>
  <c r="H295" i="39" s="1"/>
  <c r="F287" i="39" a="1"/>
  <c r="F287" i="39" s="1"/>
  <c r="F610" i="39" a="1"/>
  <c r="F610" i="39" s="1"/>
  <c r="G636" i="39" a="1"/>
  <c r="G636" i="39" s="1"/>
  <c r="H636" i="39" s="1"/>
  <c r="F621" i="39" a="1"/>
  <c r="F621" i="39" s="1"/>
  <c r="I621" i="39" s="1"/>
  <c r="F569" i="39" a="1"/>
  <c r="F569" i="39" s="1"/>
  <c r="F515" i="39" a="1"/>
  <c r="F515" i="39" s="1"/>
  <c r="F480" i="39" a="1"/>
  <c r="F480" i="39" s="1"/>
  <c r="G456" i="39" a="1"/>
  <c r="G456" i="39" s="1"/>
  <c r="H456" i="39" s="1"/>
  <c r="G426" i="39" a="1"/>
  <c r="G426" i="39" s="1"/>
  <c r="G418" i="39" a="1"/>
  <c r="G418" i="39" s="1"/>
  <c r="H418" i="39" s="1"/>
  <c r="F399" i="39" a="1"/>
  <c r="F399" i="39" s="1"/>
  <c r="I399" i="39" s="1"/>
  <c r="G393" i="39" a="1"/>
  <c r="G393" i="39" s="1"/>
  <c r="H393" i="39" s="1"/>
  <c r="G387" i="39" a="1"/>
  <c r="G387" i="39" s="1"/>
  <c r="H387" i="39" s="1"/>
  <c r="F382" i="39" a="1"/>
  <c r="F382" i="39" s="1"/>
  <c r="G359" i="39" a="1"/>
  <c r="G359" i="39" s="1"/>
  <c r="H359" i="39" s="1"/>
  <c r="G348" i="39" a="1"/>
  <c r="G348" i="39" s="1"/>
  <c r="H348" i="39" s="1"/>
  <c r="G332" i="39" a="1"/>
  <c r="G332" i="39" s="1"/>
  <c r="H332" i="39" s="1"/>
  <c r="F327" i="39" a="1"/>
  <c r="F327" i="39" s="1"/>
  <c r="F308" i="39" a="1"/>
  <c r="F308" i="39" s="1"/>
  <c r="G299" i="39" a="1"/>
  <c r="G299" i="39" s="1"/>
  <c r="H299" i="39" s="1"/>
  <c r="G286" i="39" a="1"/>
  <c r="G286" i="39" s="1"/>
  <c r="H286" i="39" s="1"/>
  <c r="F278" i="39" a="1"/>
  <c r="F278" i="39" s="1"/>
  <c r="G607" i="39" a="1"/>
  <c r="G607" i="39" s="1"/>
  <c r="H607" i="39" s="1"/>
  <c r="G593" i="39" a="1"/>
  <c r="G593" i="39" s="1"/>
  <c r="H593" i="39" s="1"/>
  <c r="G554" i="39" a="1"/>
  <c r="G554" i="39" s="1"/>
  <c r="H554" i="39" s="1"/>
  <c r="G541" i="39" a="1"/>
  <c r="G541" i="39" s="1"/>
  <c r="H541" i="39" s="1"/>
  <c r="G495" i="39" a="1"/>
  <c r="G495" i="39" s="1"/>
  <c r="H495" i="39" s="1"/>
  <c r="F471" i="39" a="1"/>
  <c r="F471" i="39" s="1"/>
  <c r="I471" i="39" s="1"/>
  <c r="G462" i="39" a="1"/>
  <c r="G462" i="39" s="1"/>
  <c r="H462" i="39" s="1"/>
  <c r="G455" i="39" a="1"/>
  <c r="G455" i="39" s="1"/>
  <c r="H455" i="39" s="1"/>
  <c r="F432" i="39" a="1"/>
  <c r="F432" i="39" s="1"/>
  <c r="G410" i="39" a="1"/>
  <c r="G410" i="39" s="1"/>
  <c r="H410" i="39" s="1"/>
  <c r="G397" i="39" a="1"/>
  <c r="G397" i="39" s="1"/>
  <c r="H397" i="39" s="1"/>
  <c r="G386" i="39" a="1"/>
  <c r="G386" i="39" s="1"/>
  <c r="H386" i="39" s="1"/>
  <c r="G380" i="39" a="1"/>
  <c r="G380" i="39" s="1"/>
  <c r="H380" i="39" s="1"/>
  <c r="F375" i="39" a="1"/>
  <c r="F375" i="39" s="1"/>
  <c r="F369" i="39" a="1"/>
  <c r="F369" i="39" s="1"/>
  <c r="F342" i="39" a="1"/>
  <c r="F342" i="39" s="1"/>
  <c r="G331" i="39" a="1"/>
  <c r="G331" i="39" s="1"/>
  <c r="H331" i="39" s="1"/>
  <c r="F321" i="39" a="1"/>
  <c r="F321" i="39" s="1"/>
  <c r="G298" i="39" a="1"/>
  <c r="G298" i="39" s="1"/>
  <c r="H298" i="39" s="1"/>
  <c r="F294" i="39" a="1"/>
  <c r="F294" i="39" s="1"/>
  <c r="G285" i="39" a="1"/>
  <c r="G285" i="39" s="1"/>
  <c r="H285" i="39" s="1"/>
  <c r="F260" i="39" a="1"/>
  <c r="F260" i="39" s="1"/>
  <c r="G203" i="39" a="1"/>
  <c r="G203" i="39" s="1"/>
  <c r="H203" i="39" s="1"/>
  <c r="G199" i="39" a="1"/>
  <c r="G199" i="39" s="1"/>
  <c r="H199" i="39" s="1"/>
  <c r="F184" i="39" a="1"/>
  <c r="F184" i="39" s="1"/>
  <c r="G176" i="39" a="1"/>
  <c r="G176" i="39" s="1"/>
  <c r="H176" i="39" s="1"/>
  <c r="F161" i="39" a="1"/>
  <c r="F161" i="39" s="1"/>
  <c r="G153" i="39" a="1"/>
  <c r="G153" i="39" s="1"/>
  <c r="H153" i="39" s="1"/>
  <c r="F138" i="39" a="1"/>
  <c r="F138" i="39" s="1"/>
  <c r="G632" i="39" a="1"/>
  <c r="G632" i="39" s="1"/>
  <c r="H632" i="39" s="1"/>
  <c r="F618" i="39" a="1"/>
  <c r="F618" i="39" s="1"/>
  <c r="F521" i="39" a="1"/>
  <c r="F521" i="39" s="1"/>
  <c r="G511" i="39" a="1"/>
  <c r="G511" i="39" s="1"/>
  <c r="H511" i="39" s="1"/>
  <c r="G503" i="39" a="1"/>
  <c r="G503" i="39" s="1"/>
  <c r="H503" i="39" s="1"/>
  <c r="F486" i="39" a="1"/>
  <c r="F486" i="39" s="1"/>
  <c r="G461" i="39" a="1"/>
  <c r="G461" i="39" s="1"/>
  <c r="H461" i="39" s="1"/>
  <c r="F446" i="39" a="1"/>
  <c r="F446" i="39" s="1"/>
  <c r="F397" i="39" a="1"/>
  <c r="F397" i="39" s="1"/>
  <c r="G391" i="39" a="1"/>
  <c r="G391" i="39" s="1"/>
  <c r="H391" i="39" s="1"/>
  <c r="F380" i="39" a="1"/>
  <c r="F380" i="39" s="1"/>
  <c r="G352" i="39" a="1"/>
  <c r="G352" i="39" s="1"/>
  <c r="H352" i="39" s="1"/>
  <c r="G302" i="39" a="1"/>
  <c r="G302" i="39" s="1"/>
  <c r="H302" i="39" s="1"/>
  <c r="F298" i="39" a="1"/>
  <c r="F298" i="39" s="1"/>
  <c r="I298" i="39" s="1"/>
  <c r="G293" i="39" a="1"/>
  <c r="G293" i="39" s="1"/>
  <c r="H293" i="39" s="1"/>
  <c r="G628" i="39" a="1"/>
  <c r="G628" i="39" s="1"/>
  <c r="H628" i="39" s="1"/>
  <c r="G600" i="39" a="1"/>
  <c r="G600" i="39" s="1"/>
  <c r="H600" i="39" s="1"/>
  <c r="G587" i="39" a="1"/>
  <c r="G587" i="39" s="1"/>
  <c r="H587" i="39" s="1"/>
  <c r="F561" i="39" a="1"/>
  <c r="F561" i="39" s="1"/>
  <c r="I561" i="39" s="1"/>
  <c r="F549" i="39" a="1"/>
  <c r="F549" i="39" s="1"/>
  <c r="I549" i="39" s="1"/>
  <c r="G527" i="39" a="1"/>
  <c r="G527" i="39" s="1"/>
  <c r="H527" i="39" s="1"/>
  <c r="G509" i="39" a="1"/>
  <c r="G509" i="39" s="1"/>
  <c r="H509" i="39" s="1"/>
  <c r="G467" i="39" a="1"/>
  <c r="G467" i="39" s="1"/>
  <c r="H467" i="39" s="1"/>
  <c r="F437" i="39" a="1"/>
  <c r="F437" i="39" s="1"/>
  <c r="G407" i="39" a="1"/>
  <c r="G407" i="39" s="1"/>
  <c r="H407" i="39" s="1"/>
  <c r="F401" i="39" a="1"/>
  <c r="F401" i="39" s="1"/>
  <c r="F384" i="39" a="1"/>
  <c r="F384" i="39" s="1"/>
  <c r="G378" i="39" a="1"/>
  <c r="G378" i="39" s="1"/>
  <c r="H378" i="39" s="1"/>
  <c r="G372" i="39" a="1"/>
  <c r="G372" i="39" s="1"/>
  <c r="H372" i="39" s="1"/>
  <c r="F626" i="39" a="1"/>
  <c r="F626" i="39" s="1"/>
  <c r="F536" i="39" a="1"/>
  <c r="F536" i="39" s="1"/>
  <c r="G517" i="39" a="1"/>
  <c r="G517" i="39" s="1"/>
  <c r="H517" i="39" s="1"/>
  <c r="F491" i="39" a="1"/>
  <c r="F491" i="39" s="1"/>
  <c r="F475" i="39" a="1"/>
  <c r="F475" i="39" s="1"/>
  <c r="G459" i="39" a="1"/>
  <c r="G459" i="39" s="1"/>
  <c r="H459" i="39" s="1"/>
  <c r="F444" i="39" a="1"/>
  <c r="F444" i="39" s="1"/>
  <c r="G436" i="39" a="1"/>
  <c r="G436" i="39" s="1"/>
  <c r="H436" i="39" s="1"/>
  <c r="G421" i="39" a="1"/>
  <c r="G421" i="39" s="1"/>
  <c r="H421" i="39" s="1"/>
  <c r="F407" i="39" a="1"/>
  <c r="F407" i="39" s="1"/>
  <c r="G611" i="39" a="1"/>
  <c r="G611" i="39" s="1"/>
  <c r="H611" i="39" s="1"/>
  <c r="F585" i="39" a="1"/>
  <c r="F585" i="39" s="1"/>
  <c r="G572" i="39" a="1"/>
  <c r="G572" i="39" s="1"/>
  <c r="H572" i="39" s="1"/>
  <c r="G526" i="39" a="1"/>
  <c r="G526" i="39" s="1"/>
  <c r="H526" i="39" s="1"/>
  <c r="F509" i="39" a="1"/>
  <c r="F509" i="39" s="1"/>
  <c r="I509" i="39" s="1"/>
  <c r="F500" i="39" a="1"/>
  <c r="F500" i="39" s="1"/>
  <c r="F467" i="39" a="1"/>
  <c r="F467" i="39" s="1"/>
  <c r="G428" i="39" a="1"/>
  <c r="G428" i="39" s="1"/>
  <c r="H428" i="39" s="1"/>
  <c r="F613" i="39" a="1"/>
  <c r="F613" i="39" s="1"/>
  <c r="I613" i="39" s="1"/>
  <c r="F611" i="39" a="1"/>
  <c r="F611" i="39" s="1"/>
  <c r="G549" i="39" a="1"/>
  <c r="G549" i="39" s="1"/>
  <c r="H549" i="39" s="1"/>
  <c r="G464" i="39" a="1"/>
  <c r="G464" i="39" s="1"/>
  <c r="H464" i="39" s="1"/>
  <c r="F417" i="39" a="1"/>
  <c r="F417" i="39" s="1"/>
  <c r="G398" i="39" a="1"/>
  <c r="G398" i="39" s="1"/>
  <c r="H398" i="39" s="1"/>
  <c r="G390" i="39" a="1"/>
  <c r="G390" i="39" s="1"/>
  <c r="H390" i="39" s="1"/>
  <c r="G382" i="39" a="1"/>
  <c r="G382" i="39" s="1"/>
  <c r="H382" i="39" s="1"/>
  <c r="F360" i="39" a="1"/>
  <c r="F360" i="39" s="1"/>
  <c r="F346" i="39" a="1"/>
  <c r="F346" i="39" s="1"/>
  <c r="F332" i="39" a="1"/>
  <c r="F332" i="39" s="1"/>
  <c r="F325" i="39" a="1"/>
  <c r="F325" i="39" s="1"/>
  <c r="F588" i="39" a="1"/>
  <c r="F588" i="39" s="1"/>
  <c r="F530" i="39" a="1"/>
  <c r="F530" i="39" s="1"/>
  <c r="G515" i="39" a="1"/>
  <c r="G515" i="39" s="1"/>
  <c r="H515" i="39" s="1"/>
  <c r="F489" i="39" a="1"/>
  <c r="F489" i="39" s="1"/>
  <c r="I489" i="39" s="1"/>
  <c r="G476" i="39" a="1"/>
  <c r="G476" i="39" s="1"/>
  <c r="H476" i="39" s="1"/>
  <c r="G463" i="39" a="1"/>
  <c r="G463" i="39" s="1"/>
  <c r="H463" i="39" s="1"/>
  <c r="F452" i="39" a="1"/>
  <c r="F452" i="39" s="1"/>
  <c r="F398" i="39" a="1"/>
  <c r="F398" i="39" s="1"/>
  <c r="I398" i="39" s="1"/>
  <c r="G374" i="39" a="1"/>
  <c r="G374" i="39" s="1"/>
  <c r="H374" i="39" s="1"/>
  <c r="F367" i="39" a="1"/>
  <c r="F367" i="39" s="1"/>
  <c r="F339" i="39" a="1"/>
  <c r="F339" i="39" s="1"/>
  <c r="F302" i="39" a="1"/>
  <c r="F302" i="39" s="1"/>
  <c r="F277" i="39" a="1"/>
  <c r="F277" i="39" s="1"/>
  <c r="F268" i="39" a="1"/>
  <c r="F268" i="39" s="1"/>
  <c r="G259" i="39" a="1"/>
  <c r="G259" i="39" s="1"/>
  <c r="H259" i="39" s="1"/>
  <c r="F634" i="39" a="1"/>
  <c r="F634" i="39" s="1"/>
  <c r="G565" i="39" a="1"/>
  <c r="G565" i="39" s="1"/>
  <c r="H565" i="39" s="1"/>
  <c r="G502" i="39" a="1"/>
  <c r="G502" i="39" s="1"/>
  <c r="H502" i="39" s="1"/>
  <c r="F463" i="39" a="1"/>
  <c r="F463" i="39" s="1"/>
  <c r="F450" i="39" a="1"/>
  <c r="F450" i="39" s="1"/>
  <c r="G438" i="39" a="1"/>
  <c r="G438" i="39" s="1"/>
  <c r="H438" i="39" s="1"/>
  <c r="F416" i="39" a="1"/>
  <c r="F416" i="39" s="1"/>
  <c r="F390" i="39" a="1"/>
  <c r="F390" i="39" s="1"/>
  <c r="G381" i="39" a="1"/>
  <c r="G381" i="39" s="1"/>
  <c r="H381" i="39" s="1"/>
  <c r="F374" i="39" a="1"/>
  <c r="F374" i="39" s="1"/>
  <c r="G338" i="39" a="1"/>
  <c r="G338" i="39" s="1"/>
  <c r="H338" i="39" s="1"/>
  <c r="G307" i="39" a="1"/>
  <c r="G307" i="39" s="1"/>
  <c r="H307" i="39" s="1"/>
  <c r="G296" i="39" a="1"/>
  <c r="G296" i="39" s="1"/>
  <c r="H296" i="39" s="1"/>
  <c r="G291" i="39" a="1"/>
  <c r="G291" i="39" s="1"/>
  <c r="H291" i="39" s="1"/>
  <c r="G272" i="39" a="1"/>
  <c r="G272" i="39" s="1"/>
  <c r="H272" i="39" s="1"/>
  <c r="G246" i="39" a="1"/>
  <c r="G246" i="39" s="1"/>
  <c r="H246" i="39" s="1"/>
  <c r="G229" i="39" a="1"/>
  <c r="G229" i="39" s="1"/>
  <c r="H229" i="39" s="1"/>
  <c r="F221" i="39" a="1"/>
  <c r="F221" i="39" s="1"/>
  <c r="G204" i="39" a="1"/>
  <c r="G204" i="39" s="1"/>
  <c r="H204" i="39" s="1"/>
  <c r="F200" i="39" a="1"/>
  <c r="F200" i="39" s="1"/>
  <c r="F124" i="39" a="1"/>
  <c r="F124" i="39" s="1"/>
  <c r="G116" i="39" a="1"/>
  <c r="G116" i="39" s="1"/>
  <c r="H116" i="39" s="1"/>
  <c r="F97" i="39" a="1"/>
  <c r="F97" i="39" s="1"/>
  <c r="G89" i="39" a="1"/>
  <c r="G89" i="39" s="1"/>
  <c r="H89" i="39" s="1"/>
  <c r="G625" i="39" a="1"/>
  <c r="G625" i="39" s="1"/>
  <c r="H625" i="39" s="1"/>
  <c r="G540" i="39" a="1"/>
  <c r="G540" i="39" s="1"/>
  <c r="H540" i="39" s="1"/>
  <c r="F496" i="39" a="1"/>
  <c r="F496" i="39" s="1"/>
  <c r="G484" i="39" a="1"/>
  <c r="G484" i="39" s="1"/>
  <c r="H484" i="39" s="1"/>
  <c r="F459" i="39" a="1"/>
  <c r="F459" i="39" s="1"/>
  <c r="G534" i="39" a="1"/>
  <c r="G534" i="39" s="1"/>
  <c r="H534" i="39" s="1"/>
  <c r="G479" i="39" a="1"/>
  <c r="G479" i="39" s="1"/>
  <c r="H479" i="39" s="1"/>
  <c r="G454" i="39" a="1"/>
  <c r="G454" i="39" s="1"/>
  <c r="H454" i="39" s="1"/>
  <c r="F419" i="39" a="1"/>
  <c r="F419" i="39" s="1"/>
  <c r="I419" i="39" s="1"/>
  <c r="G409" i="39" a="1"/>
  <c r="G409" i="39" s="1"/>
  <c r="H409" i="39" s="1"/>
  <c r="F392" i="39" a="1"/>
  <c r="F392" i="39" s="1"/>
  <c r="I392" i="39" s="1"/>
  <c r="G384" i="39" a="1"/>
  <c r="G384" i="39" s="1"/>
  <c r="H384" i="39" s="1"/>
  <c r="G376" i="39" a="1"/>
  <c r="G376" i="39" s="1"/>
  <c r="H376" i="39" s="1"/>
  <c r="G368" i="39" a="1"/>
  <c r="G368" i="39" s="1"/>
  <c r="H368" i="39" s="1"/>
  <c r="F334" i="39" a="1"/>
  <c r="F334" i="39" s="1"/>
  <c r="F309" i="39" a="1"/>
  <c r="F309" i="39" s="1"/>
  <c r="F274" i="39" a="1"/>
  <c r="F274" i="39" s="1"/>
  <c r="G269" i="39" a="1"/>
  <c r="G269" i="39" s="1"/>
  <c r="H269" i="39" s="1"/>
  <c r="F617" i="39" a="1"/>
  <c r="F617" i="39" s="1"/>
  <c r="F572" i="39" a="1"/>
  <c r="F572" i="39" s="1"/>
  <c r="G520" i="39" a="1"/>
  <c r="G520" i="39" s="1"/>
  <c r="H520" i="39" s="1"/>
  <c r="F442" i="39" a="1"/>
  <c r="F442" i="39" s="1"/>
  <c r="F409" i="39" a="1"/>
  <c r="F409" i="39" s="1"/>
  <c r="G399" i="39" a="1"/>
  <c r="G399" i="39" s="1"/>
  <c r="H399" i="39" s="1"/>
  <c r="F368" i="39" a="1"/>
  <c r="F368" i="39" s="1"/>
  <c r="F361" i="39" a="1"/>
  <c r="F361" i="39" s="1"/>
  <c r="G354" i="39" a="1"/>
  <c r="G354" i="39" s="1"/>
  <c r="H354" i="39" s="1"/>
  <c r="F347" i="39" a="1"/>
  <c r="F347" i="39" s="1"/>
  <c r="G326" i="39" a="1"/>
  <c r="G326" i="39" s="1"/>
  <c r="H326" i="39" s="1"/>
  <c r="G314" i="39" a="1"/>
  <c r="G314" i="39" s="1"/>
  <c r="H314" i="39" s="1"/>
  <c r="G303" i="39" a="1"/>
  <c r="G303" i="39" s="1"/>
  <c r="H303" i="39" s="1"/>
  <c r="F283" i="39" a="1"/>
  <c r="F283" i="39" s="1"/>
  <c r="F633" i="39" a="1"/>
  <c r="F633" i="39" s="1"/>
  <c r="I633" i="39" s="1"/>
  <c r="F601" i="39" a="1"/>
  <c r="F601" i="39" s="1"/>
  <c r="G522" i="39" a="1"/>
  <c r="G522" i="39" s="1"/>
  <c r="H522" i="39" s="1"/>
  <c r="F449" i="39" a="1"/>
  <c r="F449" i="39" s="1"/>
  <c r="F434" i="39" a="1"/>
  <c r="F434" i="39" s="1"/>
  <c r="F421" i="39" a="1"/>
  <c r="F421" i="39" s="1"/>
  <c r="I421" i="39" s="1"/>
  <c r="F365" i="39" a="1"/>
  <c r="F365" i="39" s="1"/>
  <c r="F348" i="39" a="1"/>
  <c r="F348" i="39" s="1"/>
  <c r="F338" i="39" a="1"/>
  <c r="F338" i="39" s="1"/>
  <c r="G321" i="39" a="1"/>
  <c r="G321" i="39" s="1"/>
  <c r="H321" i="39" s="1"/>
  <c r="F307" i="39" a="1"/>
  <c r="F307" i="39" s="1"/>
  <c r="G294" i="39" a="1"/>
  <c r="G294" i="39" s="1"/>
  <c r="H294" i="39" s="1"/>
  <c r="G288" i="39" a="1"/>
  <c r="G288" i="39" s="1"/>
  <c r="H288" i="39" s="1"/>
  <c r="G282" i="39" a="1"/>
  <c r="G282" i="39" s="1"/>
  <c r="H282" i="39" s="1"/>
  <c r="G276" i="39" a="1"/>
  <c r="G276" i="39" s="1"/>
  <c r="H276" i="39" s="1"/>
  <c r="G271" i="39" a="1"/>
  <c r="G271" i="39" s="1"/>
  <c r="H271" i="39" s="1"/>
  <c r="G252" i="39" a="1"/>
  <c r="G252" i="39" s="1"/>
  <c r="H252" i="39" s="1"/>
  <c r="F248" i="39" a="1"/>
  <c r="F248" i="39" s="1"/>
  <c r="G243" i="39" a="1"/>
  <c r="G243" i="39" s="1"/>
  <c r="H243" i="39" s="1"/>
  <c r="F239" i="39" a="1"/>
  <c r="F239" i="39" s="1"/>
  <c r="I239" i="39" s="1"/>
  <c r="G221" i="39" a="1"/>
  <c r="G221" i="39" s="1"/>
  <c r="H221" i="39" s="1"/>
  <c r="F217" i="39" a="1"/>
  <c r="F217" i="39" s="1"/>
  <c r="I217" i="39" s="1"/>
  <c r="F199" i="39" a="1"/>
  <c r="F199" i="39" s="1"/>
  <c r="I199" i="39" s="1"/>
  <c r="G182" i="39" a="1"/>
  <c r="G182" i="39" s="1"/>
  <c r="H182" i="39" s="1"/>
  <c r="F178" i="39" a="1"/>
  <c r="F178" i="39" s="1"/>
  <c r="G161" i="39" a="1"/>
  <c r="G161" i="39" s="1"/>
  <c r="H161" i="39" s="1"/>
  <c r="F157" i="39" a="1"/>
  <c r="F157" i="39" s="1"/>
  <c r="G144" i="39" a="1"/>
  <c r="G144" i="39" s="1"/>
  <c r="H144" i="39" s="1"/>
  <c r="F136" i="39" a="1"/>
  <c r="F136" i="39" s="1"/>
  <c r="I136" i="39" s="1"/>
  <c r="F132" i="39" a="1"/>
  <c r="F132" i="39" s="1"/>
  <c r="F128" i="39" a="1"/>
  <c r="F128" i="39" s="1"/>
  <c r="F64" i="39" a="1"/>
  <c r="F64" i="39" s="1"/>
  <c r="F596" i="39" a="1"/>
  <c r="F596" i="39" s="1"/>
  <c r="F542" i="39" a="1"/>
  <c r="F542" i="39" s="1"/>
  <c r="G405" i="39" a="1"/>
  <c r="G405" i="39" s="1"/>
  <c r="H405" i="39" s="1"/>
  <c r="G395" i="39" a="1"/>
  <c r="G395" i="39" s="1"/>
  <c r="H395" i="39" s="1"/>
  <c r="G385" i="39" a="1"/>
  <c r="G385" i="39" s="1"/>
  <c r="H385" i="39" s="1"/>
  <c r="G375" i="39" a="1"/>
  <c r="G375" i="39" s="1"/>
  <c r="H375" i="39" s="1"/>
  <c r="G356" i="39" a="1"/>
  <c r="G356" i="39" s="1"/>
  <c r="H356" i="39" s="1"/>
  <c r="F329" i="39" a="1"/>
  <c r="F329" i="39" s="1"/>
  <c r="G300" i="39" a="1"/>
  <c r="G300" i="39" s="1"/>
  <c r="H300" i="39" s="1"/>
  <c r="F288" i="39" a="1"/>
  <c r="F288" i="39" s="1"/>
  <c r="I288" i="39" s="1"/>
  <c r="F282" i="39" a="1"/>
  <c r="F282" i="39" s="1"/>
  <c r="I282" i="39" s="1"/>
  <c r="G266" i="39" a="1"/>
  <c r="G266" i="39" s="1"/>
  <c r="H266" i="39" s="1"/>
  <c r="G261" i="39" a="1"/>
  <c r="G261" i="39" s="1"/>
  <c r="H261" i="39" s="1"/>
  <c r="F230" i="39" a="1"/>
  <c r="F230" i="39" s="1"/>
  <c r="G212" i="39" a="1"/>
  <c r="G212" i="39" s="1"/>
  <c r="H212" i="39" s="1"/>
  <c r="F208" i="39" a="1"/>
  <c r="F208" i="39" s="1"/>
  <c r="G186" i="39" a="1"/>
  <c r="G186" i="39" s="1"/>
  <c r="H186" i="39" s="1"/>
  <c r="G165" i="39" a="1"/>
  <c r="G165" i="39" s="1"/>
  <c r="H165" i="39" s="1"/>
  <c r="G148" i="39" a="1"/>
  <c r="G148" i="39" s="1"/>
  <c r="H148" i="39" s="1"/>
  <c r="F140" i="39" a="1"/>
  <c r="F140" i="39" s="1"/>
  <c r="I140" i="39" s="1"/>
  <c r="G75" i="39" a="1"/>
  <c r="G75" i="39" s="1"/>
  <c r="H75" i="39" s="1"/>
  <c r="F60" i="39" a="1"/>
  <c r="F60" i="39" s="1"/>
  <c r="G568" i="39" a="1"/>
  <c r="G568" i="39" s="1"/>
  <c r="H568" i="39" s="1"/>
  <c r="G521" i="39" a="1"/>
  <c r="G521" i="39" s="1"/>
  <c r="H521" i="39" s="1"/>
  <c r="G501" i="39" a="1"/>
  <c r="G501" i="39" s="1"/>
  <c r="H501" i="39" s="1"/>
  <c r="F484" i="39" a="1"/>
  <c r="F484" i="39" s="1"/>
  <c r="G448" i="39" a="1"/>
  <c r="G448" i="39" s="1"/>
  <c r="H448" i="39" s="1"/>
  <c r="G420" i="39" a="1"/>
  <c r="G420" i="39" s="1"/>
  <c r="H420" i="39" s="1"/>
  <c r="F405" i="39" a="1"/>
  <c r="F405" i="39" s="1"/>
  <c r="F395" i="39" a="1"/>
  <c r="F395" i="39" s="1"/>
  <c r="F385" i="39" a="1"/>
  <c r="F385" i="39" s="1"/>
  <c r="F337" i="39" a="1"/>
  <c r="F337" i="39" s="1"/>
  <c r="G313" i="39" a="1"/>
  <c r="G313" i="39" s="1"/>
  <c r="H313" i="39" s="1"/>
  <c r="G306" i="39" a="1"/>
  <c r="G306" i="39" s="1"/>
  <c r="H306" i="39" s="1"/>
  <c r="G281" i="39" a="1"/>
  <c r="G281" i="39" s="1"/>
  <c r="H281" i="39" s="1"/>
  <c r="F276" i="39" a="1"/>
  <c r="F276" i="39" s="1"/>
  <c r="F271" i="39" a="1"/>
  <c r="F271" i="39" s="1"/>
  <c r="I271" i="39" s="1"/>
  <c r="F266" i="39" a="1"/>
  <c r="F266" i="39" s="1"/>
  <c r="G256" i="39" a="1"/>
  <c r="G256" i="39" s="1"/>
  <c r="H256" i="39" s="1"/>
  <c r="F252" i="39" a="1"/>
  <c r="F252" i="39" s="1"/>
  <c r="I252" i="39" s="1"/>
  <c r="G247" i="39" a="1"/>
  <c r="G247" i="39" s="1"/>
  <c r="H247" i="39" s="1"/>
  <c r="F243" i="39" a="1"/>
  <c r="F243" i="39" s="1"/>
  <c r="G225" i="39" a="1"/>
  <c r="G225" i="39" s="1"/>
  <c r="H225" i="39" s="1"/>
  <c r="F203" i="39" a="1"/>
  <c r="F203" i="39" s="1"/>
  <c r="G190" i="39" a="1"/>
  <c r="G190" i="39" s="1"/>
  <c r="H190" i="39" s="1"/>
  <c r="F182" i="39" a="1"/>
  <c r="F182" i="39" s="1"/>
  <c r="G169" i="39" a="1"/>
  <c r="G169" i="39" s="1"/>
  <c r="H169" i="39" s="1"/>
  <c r="G152" i="39" a="1"/>
  <c r="G152" i="39" s="1"/>
  <c r="H152" i="39" s="1"/>
  <c r="F144" i="39" a="1"/>
  <c r="F144" i="39" s="1"/>
  <c r="G119" i="39" a="1"/>
  <c r="G119" i="39" s="1"/>
  <c r="H119" i="39" s="1"/>
  <c r="G115" i="39" a="1"/>
  <c r="G115" i="39" s="1"/>
  <c r="H115" i="39" s="1"/>
  <c r="G111" i="39" a="1"/>
  <c r="G111" i="39" s="1"/>
  <c r="H111" i="39" s="1"/>
  <c r="G595" i="39" a="1"/>
  <c r="G595" i="39" s="1"/>
  <c r="H595" i="39" s="1"/>
  <c r="F565" i="39" a="1"/>
  <c r="F565" i="39" s="1"/>
  <c r="I565" i="39" s="1"/>
  <c r="F465" i="39" a="1"/>
  <c r="F465" i="39" s="1"/>
  <c r="G433" i="39" a="1"/>
  <c r="G433" i="39" s="1"/>
  <c r="H433" i="39" s="1"/>
  <c r="G364" i="39" a="1"/>
  <c r="G364" i="39" s="1"/>
  <c r="H364" i="39" s="1"/>
  <c r="F356" i="39" a="1"/>
  <c r="F356" i="39" s="1"/>
  <c r="G346" i="39" a="1"/>
  <c r="G346" i="39" s="1"/>
  <c r="H346" i="39" s="1"/>
  <c r="F300" i="39" a="1"/>
  <c r="F300" i="39" s="1"/>
  <c r="G287" i="39" a="1"/>
  <c r="G287" i="39" s="1"/>
  <c r="H287" i="39" s="1"/>
  <c r="F281" i="39" a="1"/>
  <c r="F281" i="39" s="1"/>
  <c r="F261" i="39" a="1"/>
  <c r="F261" i="39" s="1"/>
  <c r="F234" i="39" a="1"/>
  <c r="F234" i="39" s="1"/>
  <c r="F225" i="39" a="1"/>
  <c r="F225" i="39" s="1"/>
  <c r="I225" i="39" s="1"/>
  <c r="G216" i="39" a="1"/>
  <c r="G216" i="39" s="1"/>
  <c r="H216" i="39" s="1"/>
  <c r="F212" i="39" a="1"/>
  <c r="F212" i="39" s="1"/>
  <c r="G194" i="39" a="1"/>
  <c r="G194" i="39" s="1"/>
  <c r="H194" i="39" s="1"/>
  <c r="F186" i="39" a="1"/>
  <c r="F186" i="39" s="1"/>
  <c r="G173" i="39" a="1"/>
  <c r="G173" i="39" s="1"/>
  <c r="H173" i="39" s="1"/>
  <c r="F165" i="39" a="1"/>
  <c r="F165" i="39" s="1"/>
  <c r="F482" i="39" a="1"/>
  <c r="F482" i="39" s="1"/>
  <c r="F433" i="39" a="1"/>
  <c r="F433" i="39" s="1"/>
  <c r="F373" i="39" a="1"/>
  <c r="F373" i="39" s="1"/>
  <c r="I373" i="39" s="1"/>
  <c r="G328" i="39" a="1"/>
  <c r="G328" i="39" s="1"/>
  <c r="H328" i="39" s="1"/>
  <c r="G312" i="39" a="1"/>
  <c r="G312" i="39" s="1"/>
  <c r="H312" i="39" s="1"/>
  <c r="F306" i="39" a="1"/>
  <c r="F306" i="39" s="1"/>
  <c r="F293" i="39" a="1"/>
  <c r="F293" i="39" s="1"/>
  <c r="I293" i="39" s="1"/>
  <c r="F256" i="39" a="1"/>
  <c r="F256" i="39" s="1"/>
  <c r="I256" i="39" s="1"/>
  <c r="G251" i="39" a="1"/>
  <c r="G251" i="39" s="1"/>
  <c r="H251" i="39" s="1"/>
  <c r="F247" i="39" a="1"/>
  <c r="F247" i="39" s="1"/>
  <c r="G238" i="39" a="1"/>
  <c r="G238" i="39" s="1"/>
  <c r="H238" i="39" s="1"/>
  <c r="F207" i="39" a="1"/>
  <c r="F207" i="39" s="1"/>
  <c r="G198" i="39" a="1"/>
  <c r="G198" i="39" s="1"/>
  <c r="H198" i="39" s="1"/>
  <c r="F190" i="39" a="1"/>
  <c r="F190" i="39" s="1"/>
  <c r="G177" i="39" a="1"/>
  <c r="G177" i="39" s="1"/>
  <c r="H177" i="39" s="1"/>
  <c r="F169" i="39" a="1"/>
  <c r="F169" i="39" s="1"/>
  <c r="G156" i="39" a="1"/>
  <c r="G156" i="39" s="1"/>
  <c r="H156" i="39" s="1"/>
  <c r="F152" i="39" a="1"/>
  <c r="F152" i="39" s="1"/>
  <c r="G139" i="39" a="1"/>
  <c r="G139" i="39" s="1"/>
  <c r="H139" i="39" s="1"/>
  <c r="F123" i="39" a="1"/>
  <c r="F123" i="39" s="1"/>
  <c r="F119" i="39" a="1"/>
  <c r="F119" i="39" s="1"/>
  <c r="F115" i="39" a="1"/>
  <c r="F115" i="39" s="1"/>
  <c r="F111" i="39" a="1"/>
  <c r="F111" i="39" s="1"/>
  <c r="F107" i="39" a="1"/>
  <c r="F107" i="39" s="1"/>
  <c r="F103" i="39" a="1"/>
  <c r="F103" i="39" s="1"/>
  <c r="F99" i="39" a="1"/>
  <c r="F99" i="39" s="1"/>
  <c r="F95" i="39" a="1"/>
  <c r="F95" i="39" s="1"/>
  <c r="I95" i="39" s="1"/>
  <c r="F91" i="39" a="1"/>
  <c r="F91" i="39" s="1"/>
  <c r="I91" i="39" s="1"/>
  <c r="F87" i="39" a="1"/>
  <c r="F87" i="39" s="1"/>
  <c r="I87" i="39" s="1"/>
  <c r="F83" i="39" a="1"/>
  <c r="F83" i="39" s="1"/>
  <c r="I83" i="39" s="1"/>
  <c r="F71" i="39" a="1"/>
  <c r="F71" i="39" s="1"/>
  <c r="G63" i="39" a="1"/>
  <c r="G63" i="39" s="1"/>
  <c r="H63" i="39" s="1"/>
  <c r="F52" i="39" a="1"/>
  <c r="F52" i="39" s="1"/>
  <c r="G48" i="39" a="1"/>
  <c r="G48" i="39" s="1"/>
  <c r="H48" i="39" s="1"/>
  <c r="F41" i="39" a="1"/>
  <c r="F41" i="39" s="1"/>
  <c r="I41" i="39" s="1"/>
  <c r="G37" i="39" a="1"/>
  <c r="G37" i="39" s="1"/>
  <c r="H37" i="39" s="1"/>
  <c r="F30" i="39" a="1"/>
  <c r="F30" i="39" s="1"/>
  <c r="G26" i="39" a="1"/>
  <c r="G26" i="39" s="1"/>
  <c r="H26" i="39" s="1"/>
  <c r="F19" i="39" a="1"/>
  <c r="F19" i="39" s="1"/>
  <c r="G15" i="39" a="1"/>
  <c r="G15" i="39" s="1"/>
  <c r="H15" i="39" s="1"/>
  <c r="F619" i="39" a="1"/>
  <c r="F619" i="39" s="1"/>
  <c r="G561" i="39" a="1"/>
  <c r="G561" i="39" s="1"/>
  <c r="H561" i="39" s="1"/>
  <c r="F402" i="39" a="1"/>
  <c r="F402" i="39" s="1"/>
  <c r="G362" i="39" a="1"/>
  <c r="G362" i="39" s="1"/>
  <c r="H362" i="39" s="1"/>
  <c r="F353" i="39" a="1"/>
  <c r="F353" i="39" s="1"/>
  <c r="F326" i="39" a="1"/>
  <c r="F326" i="39" s="1"/>
  <c r="G318" i="39" a="1"/>
  <c r="G318" i="39" s="1"/>
  <c r="H318" i="39" s="1"/>
  <c r="F311" i="39" a="1"/>
  <c r="F311" i="39" s="1"/>
  <c r="I311" i="39" s="1"/>
  <c r="G250" i="39" a="1"/>
  <c r="G250" i="39" s="1"/>
  <c r="H250" i="39" s="1"/>
  <c r="F246" i="39" a="1"/>
  <c r="F246" i="39" s="1"/>
  <c r="G228" i="39" a="1"/>
  <c r="G228" i="39" s="1"/>
  <c r="H228" i="39" s="1"/>
  <c r="F224" i="39" a="1"/>
  <c r="F224" i="39" s="1"/>
  <c r="I224" i="39" s="1"/>
  <c r="F215" i="39" a="1"/>
  <c r="F215" i="39" s="1"/>
  <c r="G193" i="39" a="1"/>
  <c r="G193" i="39" s="1"/>
  <c r="H193" i="39" s="1"/>
  <c r="F189" i="39" a="1"/>
  <c r="F189" i="39" s="1"/>
  <c r="F168" i="39" a="1"/>
  <c r="F168" i="39" s="1"/>
  <c r="I168" i="39" s="1"/>
  <c r="G159" i="39" a="1"/>
  <c r="G159" i="39" s="1"/>
  <c r="H159" i="39" s="1"/>
  <c r="F151" i="39" a="1"/>
  <c r="F151" i="39" s="1"/>
  <c r="G134" i="39" a="1"/>
  <c r="G134" i="39" s="1"/>
  <c r="H134" i="39" s="1"/>
  <c r="F90" i="39" a="1"/>
  <c r="F90" i="39" s="1"/>
  <c r="F86" i="39" a="1"/>
  <c r="F86" i="39" s="1"/>
  <c r="F82" i="39" a="1"/>
  <c r="F82" i="39" s="1"/>
  <c r="F78" i="39" a="1"/>
  <c r="F78" i="39" s="1"/>
  <c r="F74" i="39" a="1"/>
  <c r="F74" i="39" s="1"/>
  <c r="G66" i="39" a="1"/>
  <c r="G66" i="39" s="1"/>
  <c r="G618" i="39" a="1"/>
  <c r="G618" i="39" s="1"/>
  <c r="H618" i="39" s="1"/>
  <c r="F584" i="39" a="1"/>
  <c r="F584" i="39" s="1"/>
  <c r="G533" i="39" a="1"/>
  <c r="G533" i="39" s="1"/>
  <c r="H533" i="39" s="1"/>
  <c r="G513" i="39" a="1"/>
  <c r="G513" i="39" s="1"/>
  <c r="H513" i="39" s="1"/>
  <c r="F476" i="39" a="1"/>
  <c r="F476" i="39" s="1"/>
  <c r="F460" i="39" a="1"/>
  <c r="F460" i="39" s="1"/>
  <c r="I460" i="39" s="1"/>
  <c r="G444" i="39" a="1"/>
  <c r="G444" i="39" s="1"/>
  <c r="H444" i="39" s="1"/>
  <c r="G401" i="39" a="1"/>
  <c r="G401" i="39" s="1"/>
  <c r="H401" i="39" s="1"/>
  <c r="F391" i="39" a="1"/>
  <c r="F391" i="39" s="1"/>
  <c r="I391" i="39" s="1"/>
  <c r="F362" i="39" a="1"/>
  <c r="F362" i="39" s="1"/>
  <c r="G351" i="39" a="1"/>
  <c r="G351" i="39" s="1"/>
  <c r="H351" i="39" s="1"/>
  <c r="F343" i="39" a="1"/>
  <c r="F343" i="39" s="1"/>
  <c r="G317" i="39" a="1"/>
  <c r="G317" i="39" s="1"/>
  <c r="H317" i="39" s="1"/>
  <c r="G304" i="39" a="1"/>
  <c r="G304" i="39" s="1"/>
  <c r="H304" i="39" s="1"/>
  <c r="F297" i="39" a="1"/>
  <c r="F297" i="39" s="1"/>
  <c r="I297" i="39" s="1"/>
  <c r="G274" i="39" a="1"/>
  <c r="G274" i="39" s="1"/>
  <c r="H274" i="39" s="1"/>
  <c r="F269" i="39" a="1"/>
  <c r="F269" i="39" s="1"/>
  <c r="F264" i="39" a="1"/>
  <c r="F264" i="39" s="1"/>
  <c r="F259" i="39" a="1"/>
  <c r="F259" i="39" s="1"/>
  <c r="G254" i="39" a="1"/>
  <c r="G254" i="39" s="1"/>
  <c r="H254" i="39" s="1"/>
  <c r="F250" i="39" a="1"/>
  <c r="F250" i="39" s="1"/>
  <c r="G232" i="39" a="1"/>
  <c r="G232" i="39" s="1"/>
  <c r="H232" i="39" s="1"/>
  <c r="F228" i="39" a="1"/>
  <c r="F228" i="39" s="1"/>
  <c r="F193" i="39" a="1"/>
  <c r="F193" i="39" s="1"/>
  <c r="G180" i="39" a="1"/>
  <c r="G180" i="39" s="1"/>
  <c r="H180" i="39" s="1"/>
  <c r="F176" i="39" a="1"/>
  <c r="F176" i="39" s="1"/>
  <c r="F159" i="39" a="1"/>
  <c r="F159" i="39" s="1"/>
  <c r="G142" i="39" a="1"/>
  <c r="G142" i="39" s="1"/>
  <c r="H142" i="39" s="1"/>
  <c r="F603" i="39" a="1"/>
  <c r="F603" i="39" s="1"/>
  <c r="G453" i="39" a="1"/>
  <c r="G453" i="39" s="1"/>
  <c r="H453" i="39" s="1"/>
  <c r="F378" i="39" a="1"/>
  <c r="F378" i="39" s="1"/>
  <c r="I378" i="39" s="1"/>
  <c r="F350" i="39" a="1"/>
  <c r="F350" i="39" s="1"/>
  <c r="G330" i="39" a="1"/>
  <c r="G330" i="39" s="1"/>
  <c r="H330" i="39" s="1"/>
  <c r="G308" i="39" a="1"/>
  <c r="G308" i="39" s="1"/>
  <c r="H308" i="39" s="1"/>
  <c r="G301" i="39" a="1"/>
  <c r="G301" i="39" s="1"/>
  <c r="H301" i="39" s="1"/>
  <c r="F289" i="39" a="1"/>
  <c r="F289" i="39" s="1"/>
  <c r="G262" i="39" a="1"/>
  <c r="G262" i="39" s="1"/>
  <c r="H262" i="39" s="1"/>
  <c r="F253" i="39" a="1"/>
  <c r="F253" i="39" s="1"/>
  <c r="G244" i="39" a="1"/>
  <c r="G244" i="39" s="1"/>
  <c r="H244" i="39" s="1"/>
  <c r="G235" i="39" a="1"/>
  <c r="G235" i="39" s="1"/>
  <c r="H235" i="39" s="1"/>
  <c r="F231" i="39" a="1"/>
  <c r="F231" i="39" s="1"/>
  <c r="F222" i="39" a="1"/>
  <c r="F222" i="39" s="1"/>
  <c r="G213" i="39" a="1"/>
  <c r="G213" i="39" s="1"/>
  <c r="H213" i="39" s="1"/>
  <c r="F209" i="39" a="1"/>
  <c r="F209" i="39" s="1"/>
  <c r="I209" i="39" s="1"/>
  <c r="G200" i="39" a="1"/>
  <c r="G200" i="39" s="1"/>
  <c r="H200" i="39" s="1"/>
  <c r="G191" i="39" a="1"/>
  <c r="G191" i="39" s="1"/>
  <c r="H191" i="39" s="1"/>
  <c r="F183" i="39" a="1"/>
  <c r="F183" i="39" s="1"/>
  <c r="G170" i="39" a="1"/>
  <c r="G170" i="39" s="1"/>
  <c r="H170" i="39" s="1"/>
  <c r="G602" i="39" a="1"/>
  <c r="G602" i="39" s="1"/>
  <c r="H602" i="39" s="1"/>
  <c r="F525" i="39" a="1"/>
  <c r="F525" i="39" s="1"/>
  <c r="G486" i="39" a="1"/>
  <c r="G486" i="39" s="1"/>
  <c r="H486" i="39" s="1"/>
  <c r="G437" i="39" a="1"/>
  <c r="G437" i="39" s="1"/>
  <c r="H437" i="39" s="1"/>
  <c r="G422" i="39" a="1"/>
  <c r="G422" i="39" s="1"/>
  <c r="H422" i="39" s="1"/>
  <c r="F387" i="39" a="1"/>
  <c r="F387" i="39" s="1"/>
  <c r="G377" i="39" a="1"/>
  <c r="G377" i="39" s="1"/>
  <c r="H377" i="39" s="1"/>
  <c r="G367" i="39" a="1"/>
  <c r="G367" i="39" s="1"/>
  <c r="H367" i="39" s="1"/>
  <c r="F330" i="39" a="1"/>
  <c r="F330" i="39" s="1"/>
  <c r="F315" i="39" a="1"/>
  <c r="F315" i="39" s="1"/>
  <c r="F301" i="39" a="1"/>
  <c r="F301" i="39" s="1"/>
  <c r="I301" i="39" s="1"/>
  <c r="F295" i="39" a="1"/>
  <c r="F295" i="39" s="1"/>
  <c r="I295" i="39" s="1"/>
  <c r="G283" i="39" a="1"/>
  <c r="G283" i="39" s="1"/>
  <c r="H283" i="39" s="1"/>
  <c r="F272" i="39" a="1"/>
  <c r="F272" i="39" s="1"/>
  <c r="F267" i="39" a="1"/>
  <c r="F267" i="39" s="1"/>
  <c r="G257" i="39" a="1"/>
  <c r="G257" i="39" s="1"/>
  <c r="H257" i="39" s="1"/>
  <c r="F244" i="39" a="1"/>
  <c r="F244" i="39" s="1"/>
  <c r="G226" i="39" a="1"/>
  <c r="G226" i="39" s="1"/>
  <c r="H226" i="39" s="1"/>
  <c r="G195" i="39" a="1"/>
  <c r="G195" i="39" s="1"/>
  <c r="H195" i="39" s="1"/>
  <c r="F187" i="39" a="1"/>
  <c r="F187" i="39" s="1"/>
  <c r="G174" i="39" a="1"/>
  <c r="G174" i="39" s="1"/>
  <c r="H174" i="39" s="1"/>
  <c r="F166" i="39" a="1"/>
  <c r="F166" i="39" s="1"/>
  <c r="G112" i="39" a="1"/>
  <c r="G112" i="39" s="1"/>
  <c r="H112" i="39" s="1"/>
  <c r="G72" i="39" a="1"/>
  <c r="G72" i="39" s="1"/>
  <c r="H72" i="39" s="1"/>
  <c r="G578" i="39" a="1"/>
  <c r="G578" i="39" s="1"/>
  <c r="H578" i="39" s="1"/>
  <c r="G415" i="39" a="1"/>
  <c r="G415" i="39" s="1"/>
  <c r="H415" i="39" s="1"/>
  <c r="G396" i="39" a="1"/>
  <c r="G396" i="39" s="1"/>
  <c r="H396" i="39" s="1"/>
  <c r="G379" i="39" a="1"/>
  <c r="G379" i="39" s="1"/>
  <c r="H379" i="39" s="1"/>
  <c r="G267" i="39" a="1"/>
  <c r="G267" i="39" s="1"/>
  <c r="H267" i="39" s="1"/>
  <c r="F206" i="39" a="1"/>
  <c r="F206" i="39" s="1"/>
  <c r="F192" i="39" a="1"/>
  <c r="F192" i="39" s="1"/>
  <c r="G184" i="39" a="1"/>
  <c r="G184" i="39" s="1"/>
  <c r="H184" i="39" s="1"/>
  <c r="F177" i="39" a="1"/>
  <c r="F177" i="39" s="1"/>
  <c r="F163" i="39" a="1"/>
  <c r="F163" i="39" s="1"/>
  <c r="G157" i="39" a="1"/>
  <c r="G157" i="39" s="1"/>
  <c r="H157" i="39" s="1"/>
  <c r="G138" i="39" a="1"/>
  <c r="G138" i="39" s="1"/>
  <c r="H138" i="39" s="1"/>
  <c r="G126" i="39" a="1"/>
  <c r="G126" i="39" s="1"/>
  <c r="H126" i="39" s="1"/>
  <c r="F109" i="39" a="1"/>
  <c r="F109" i="39" s="1"/>
  <c r="G103" i="39" a="1"/>
  <c r="G103" i="39" s="1"/>
  <c r="H103" i="39" s="1"/>
  <c r="G98" i="39" a="1"/>
  <c r="G98" i="39" s="1"/>
  <c r="H98" i="39" s="1"/>
  <c r="F93" i="39" a="1"/>
  <c r="F93" i="39" s="1"/>
  <c r="F88" i="39" a="1"/>
  <c r="F88" i="39" s="1"/>
  <c r="G77" i="39" a="1"/>
  <c r="G77" i="39" s="1"/>
  <c r="H77" i="39" s="1"/>
  <c r="G67" i="39" a="1"/>
  <c r="G67" i="39" s="1"/>
  <c r="H67" i="39" s="1"/>
  <c r="G62" i="39" a="1"/>
  <c r="G62" i="39" s="1"/>
  <c r="H62" i="39" s="1"/>
  <c r="F578" i="39" a="1"/>
  <c r="F578" i="39" s="1"/>
  <c r="G529" i="39" a="1"/>
  <c r="G529" i="39" s="1"/>
  <c r="H529" i="39" s="1"/>
  <c r="G440" i="39" a="1"/>
  <c r="G440" i="39" s="1"/>
  <c r="H440" i="39" s="1"/>
  <c r="F415" i="39" a="1"/>
  <c r="F415" i="39" s="1"/>
  <c r="F396" i="39" a="1"/>
  <c r="F396" i="39" s="1"/>
  <c r="F317" i="39" a="1"/>
  <c r="F317" i="39" s="1"/>
  <c r="G305" i="39" a="1"/>
  <c r="G305" i="39" s="1"/>
  <c r="H305" i="39" s="1"/>
  <c r="G284" i="39" a="1"/>
  <c r="G284" i="39" s="1"/>
  <c r="H284" i="39" s="1"/>
  <c r="F275" i="39" a="1"/>
  <c r="F275" i="39" s="1"/>
  <c r="I275" i="39" s="1"/>
  <c r="G258" i="39" a="1"/>
  <c r="G258" i="39" s="1"/>
  <c r="H258" i="39" s="1"/>
  <c r="F236" i="39" a="1"/>
  <c r="F236" i="39" s="1"/>
  <c r="G220" i="39" a="1"/>
  <c r="G220" i="39" s="1"/>
  <c r="H220" i="39" s="1"/>
  <c r="F198" i="39" a="1"/>
  <c r="F198" i="39" s="1"/>
  <c r="F170" i="39" a="1"/>
  <c r="F170" i="39" s="1"/>
  <c r="G150" i="39" a="1"/>
  <c r="G150" i="39" s="1"/>
  <c r="H150" i="39" s="1"/>
  <c r="G132" i="39" a="1"/>
  <c r="G132" i="39" s="1"/>
  <c r="H132" i="39" s="1"/>
  <c r="F126" i="39" a="1"/>
  <c r="F126" i="39" s="1"/>
  <c r="G114" i="39" a="1"/>
  <c r="G114" i="39" s="1"/>
  <c r="H114" i="39" s="1"/>
  <c r="F98" i="39" a="1"/>
  <c r="F98" i="39" s="1"/>
  <c r="I98" i="39" s="1"/>
  <c r="G82" i="39" a="1"/>
  <c r="G82" i="39" s="1"/>
  <c r="H82" i="39" s="1"/>
  <c r="F67" i="39" a="1"/>
  <c r="F67" i="39" s="1"/>
  <c r="I67" i="39" s="1"/>
  <c r="F53" i="39" a="1"/>
  <c r="F53" i="39" s="1"/>
  <c r="F44" i="39" a="1"/>
  <c r="F44" i="39" s="1"/>
  <c r="I44" i="39" s="1"/>
  <c r="G620" i="39" a="1"/>
  <c r="G620" i="39" s="1"/>
  <c r="H620" i="39" s="1"/>
  <c r="F573" i="39" a="1"/>
  <c r="F573" i="39" s="1"/>
  <c r="I573" i="39" s="1"/>
  <c r="F495" i="39" a="1"/>
  <c r="F495" i="39" s="1"/>
  <c r="F462" i="39" a="1"/>
  <c r="F462" i="39" s="1"/>
  <c r="I462" i="39" s="1"/>
  <c r="G412" i="39" a="1"/>
  <c r="G412" i="39" s="1"/>
  <c r="H412" i="39" s="1"/>
  <c r="F529" i="39" a="1"/>
  <c r="F529" i="39" s="1"/>
  <c r="F394" i="39" a="1"/>
  <c r="F394" i="39" s="1"/>
  <c r="F379" i="39" a="1"/>
  <c r="F379" i="39" s="1"/>
  <c r="F191" i="39" a="1"/>
  <c r="F191" i="39" s="1"/>
  <c r="I191" i="39" s="1"/>
  <c r="F156" i="39" a="1"/>
  <c r="F156" i="39" s="1"/>
  <c r="G120" i="39" a="1"/>
  <c r="G120" i="39" s="1"/>
  <c r="F114" i="39" a="1"/>
  <c r="F114" i="39" s="1"/>
  <c r="G108" i="39" a="1"/>
  <c r="G108" i="39" s="1"/>
  <c r="H108" i="39" s="1"/>
  <c r="G87" i="39" a="1"/>
  <c r="G87" i="39" s="1"/>
  <c r="H87" i="39" s="1"/>
  <c r="F77" i="39" a="1"/>
  <c r="F77" i="39" s="1"/>
  <c r="I77" i="39" s="1"/>
  <c r="F62" i="39" a="1"/>
  <c r="F62" i="39" s="1"/>
  <c r="G39" i="39" a="1"/>
  <c r="G39" i="39" s="1"/>
  <c r="H39" i="39" s="1"/>
  <c r="F35" i="39" a="1"/>
  <c r="F35" i="39" s="1"/>
  <c r="F22" i="39" a="1"/>
  <c r="F22" i="39" s="1"/>
  <c r="F563" i="39" a="1"/>
  <c r="F563" i="39" s="1"/>
  <c r="G494" i="39" a="1"/>
  <c r="G494" i="39" s="1"/>
  <c r="H494" i="39" s="1"/>
  <c r="F438" i="39" a="1"/>
  <c r="F438" i="39" s="1"/>
  <c r="I438" i="39" s="1"/>
  <c r="F393" i="39" a="1"/>
  <c r="F393" i="39" s="1"/>
  <c r="F377" i="39" a="1"/>
  <c r="F377" i="39" s="1"/>
  <c r="F235" i="39" a="1"/>
  <c r="F235" i="39" s="1"/>
  <c r="I235" i="39" s="1"/>
  <c r="G227" i="39" a="1"/>
  <c r="G227" i="39" s="1"/>
  <c r="H227" i="39" s="1"/>
  <c r="G197" i="39" a="1"/>
  <c r="G197" i="39" s="1"/>
  <c r="G183" i="39" a="1"/>
  <c r="G183" i="39" s="1"/>
  <c r="H183" i="39" s="1"/>
  <c r="G162" i="39" a="1"/>
  <c r="G162" i="39" s="1"/>
  <c r="H162" i="39" s="1"/>
  <c r="F131" i="39" a="1"/>
  <c r="F131" i="39" s="1"/>
  <c r="G125" i="39" a="1"/>
  <c r="G125" i="39" s="1"/>
  <c r="H125" i="39" s="1"/>
  <c r="G97" i="39" a="1"/>
  <c r="G97" i="39" s="1"/>
  <c r="H97" i="39" s="1"/>
  <c r="G92" i="39" a="1"/>
  <c r="G92" i="39" s="1"/>
  <c r="H92" i="39" s="1"/>
  <c r="G71" i="39" a="1"/>
  <c r="G71" i="39" s="1"/>
  <c r="H71" i="39" s="1"/>
  <c r="F57" i="39" a="1"/>
  <c r="F57" i="39" s="1"/>
  <c r="I57" i="39" s="1"/>
  <c r="G52" i="39" a="1"/>
  <c r="G52" i="39" s="1"/>
  <c r="H52" i="39" s="1"/>
  <c r="G43" i="39" a="1"/>
  <c r="G43" i="39" s="1"/>
  <c r="H43" i="39" s="1"/>
  <c r="F39" i="39" a="1"/>
  <c r="F39" i="39" s="1"/>
  <c r="G17" i="39" a="1"/>
  <c r="G17" i="39" s="1"/>
  <c r="G617" i="39" a="1"/>
  <c r="G617" i="39" s="1"/>
  <c r="H617" i="39" s="1"/>
  <c r="F461" i="39" a="1"/>
  <c r="F461" i="39" s="1"/>
  <c r="G392" i="39" a="1"/>
  <c r="G392" i="39" s="1"/>
  <c r="H392" i="39" s="1"/>
  <c r="G343" i="39" a="1"/>
  <c r="G343" i="39" s="1"/>
  <c r="H343" i="39" s="1"/>
  <c r="F304" i="39" a="1"/>
  <c r="F304" i="39" s="1"/>
  <c r="G292" i="39" a="1"/>
  <c r="G292" i="39" s="1"/>
  <c r="F265" i="39" a="1"/>
  <c r="F265" i="39" s="1"/>
  <c r="F257" i="39" a="1"/>
  <c r="F257" i="39" s="1"/>
  <c r="I257" i="39" s="1"/>
  <c r="G249" i="39" a="1"/>
  <c r="G249" i="39" s="1"/>
  <c r="H249" i="39" s="1"/>
  <c r="G219" i="39" a="1"/>
  <c r="G219" i="39" s="1"/>
  <c r="H219" i="39" s="1"/>
  <c r="F205" i="39" a="1"/>
  <c r="F205" i="39" s="1"/>
  <c r="F605" i="39" a="1"/>
  <c r="F605" i="39" s="1"/>
  <c r="F488" i="39" a="1"/>
  <c r="F488" i="39" s="1"/>
  <c r="I488" i="39" s="1"/>
  <c r="G431" i="39" a="1"/>
  <c r="G431" i="39" s="1"/>
  <c r="H431" i="39" s="1"/>
  <c r="F372" i="39" a="1"/>
  <c r="F372" i="39" s="1"/>
  <c r="F312" i="39" a="1"/>
  <c r="F312" i="39" s="1"/>
  <c r="G280" i="39" a="1"/>
  <c r="G280" i="39" s="1"/>
  <c r="H280" i="39" s="1"/>
  <c r="G263" i="39" a="1"/>
  <c r="G263" i="39" s="1"/>
  <c r="H263" i="39" s="1"/>
  <c r="G255" i="39" a="1"/>
  <c r="G255" i="39" s="1"/>
  <c r="H255" i="39" s="1"/>
  <c r="G248" i="39" a="1"/>
  <c r="G248" i="39" s="1"/>
  <c r="H248" i="39" s="1"/>
  <c r="F226" i="39" a="1"/>
  <c r="F226" i="39" s="1"/>
  <c r="I226" i="39" s="1"/>
  <c r="G210" i="39" a="1"/>
  <c r="G210" i="39" s="1"/>
  <c r="H210" i="39" s="1"/>
  <c r="F167" i="39" a="1"/>
  <c r="F167" i="39" s="1"/>
  <c r="G160" i="39" a="1"/>
  <c r="G160" i="39" s="1"/>
  <c r="H160" i="39" s="1"/>
  <c r="G154" i="39" a="1"/>
  <c r="G154" i="39" s="1"/>
  <c r="H154" i="39" s="1"/>
  <c r="F148" i="39" a="1"/>
  <c r="F148" i="39" s="1"/>
  <c r="F142" i="39" a="1"/>
  <c r="F142" i="39" s="1"/>
  <c r="I142" i="39" s="1"/>
  <c r="G124" i="39" a="1"/>
  <c r="G124" i="39" s="1"/>
  <c r="H124" i="39" s="1"/>
  <c r="F118" i="39" a="1"/>
  <c r="F118" i="39" s="1"/>
  <c r="I118" i="39" s="1"/>
  <c r="G96" i="39" a="1"/>
  <c r="G96" i="39" s="1"/>
  <c r="H96" i="39" s="1"/>
  <c r="G70" i="39" a="1"/>
  <c r="G70" i="39" s="1"/>
  <c r="H70" i="39" s="1"/>
  <c r="F555" i="39" a="1"/>
  <c r="F555" i="39" s="1"/>
  <c r="I555" i="39" s="1"/>
  <c r="G514" i="39" a="1"/>
  <c r="G514" i="39" s="1"/>
  <c r="H514" i="39" s="1"/>
  <c r="F456" i="39" a="1"/>
  <c r="F456" i="39" s="1"/>
  <c r="F429" i="39" a="1"/>
  <c r="F429" i="39" s="1"/>
  <c r="F388" i="39" a="1"/>
  <c r="F388" i="39" s="1"/>
  <c r="I388" i="39" s="1"/>
  <c r="F290" i="39" a="1"/>
  <c r="F290" i="39" s="1"/>
  <c r="F280" i="39" a="1"/>
  <c r="F280" i="39" s="1"/>
  <c r="I280" i="39" s="1"/>
  <c r="F263" i="39" a="1"/>
  <c r="F263" i="39" s="1"/>
  <c r="F174" i="39" a="1"/>
  <c r="F174" i="39" s="1"/>
  <c r="F160" i="39" a="1"/>
  <c r="F160" i="39" s="1"/>
  <c r="I160" i="39" s="1"/>
  <c r="F154" i="39" a="1"/>
  <c r="F154" i="39" s="1"/>
  <c r="G147" i="39" a="1"/>
  <c r="G147" i="39" s="1"/>
  <c r="H147" i="39" s="1"/>
  <c r="G141" i="39" a="1"/>
  <c r="G141" i="39" s="1"/>
  <c r="H141" i="39" s="1"/>
  <c r="F135" i="39" a="1"/>
  <c r="F135" i="39" s="1"/>
  <c r="G129" i="39" a="1"/>
  <c r="G129" i="39" s="1"/>
  <c r="G123" i="39" a="1"/>
  <c r="G123" i="39" s="1"/>
  <c r="H123" i="39" s="1"/>
  <c r="F106" i="39" a="1"/>
  <c r="F106" i="39" s="1"/>
  <c r="F101" i="39" a="1"/>
  <c r="F101" i="39" s="1"/>
  <c r="I101" i="39" s="1"/>
  <c r="G80" i="39" a="1"/>
  <c r="G80" i="39" s="1"/>
  <c r="H80" i="39" s="1"/>
  <c r="G55" i="39" a="1"/>
  <c r="G55" i="39" s="1"/>
  <c r="H55" i="39" s="1"/>
  <c r="F42" i="39" a="1"/>
  <c r="F42" i="39" s="1"/>
  <c r="I42" i="39" s="1"/>
  <c r="F33" i="39" a="1"/>
  <c r="F33" i="39" s="1"/>
  <c r="G20" i="39" a="1"/>
  <c r="G20" i="39" s="1"/>
  <c r="H20" i="39" s="1"/>
  <c r="G601" i="39" a="1"/>
  <c r="G601" i="39" s="1"/>
  <c r="H601" i="39" s="1"/>
  <c r="F514" i="39" a="1"/>
  <c r="F514" i="39" s="1"/>
  <c r="F582" i="39" a="1"/>
  <c r="F582" i="39" s="1"/>
  <c r="G508" i="39" a="1"/>
  <c r="G508" i="39" s="1"/>
  <c r="H508" i="39" s="1"/>
  <c r="F445" i="39" a="1"/>
  <c r="F445" i="39" s="1"/>
  <c r="F366" i="39" a="1"/>
  <c r="F366" i="39" s="1"/>
  <c r="G319" i="39" a="1"/>
  <c r="G319" i="39" s="1"/>
  <c r="H319" i="39" s="1"/>
  <c r="G309" i="39" a="1"/>
  <c r="G309" i="39" s="1"/>
  <c r="H309" i="39" s="1"/>
  <c r="F286" i="39" a="1"/>
  <c r="F286" i="39" s="1"/>
  <c r="F245" i="39" a="1"/>
  <c r="F245" i="39" s="1"/>
  <c r="I245" i="39" s="1"/>
  <c r="G237" i="39" a="1"/>
  <c r="G237" i="39" s="1"/>
  <c r="H237" i="39" s="1"/>
  <c r="G230" i="39" a="1"/>
  <c r="G230" i="39" s="1"/>
  <c r="H230" i="39" s="1"/>
  <c r="G185" i="39" a="1"/>
  <c r="G185" i="39" s="1"/>
  <c r="H185" i="39" s="1"/>
  <c r="F179" i="39" a="1"/>
  <c r="F179" i="39" s="1"/>
  <c r="G171" i="39" a="1"/>
  <c r="G171" i="39" s="1"/>
  <c r="H171" i="39" s="1"/>
  <c r="G164" i="39" a="1"/>
  <c r="G164" i="39" s="1"/>
  <c r="H164" i="39" s="1"/>
  <c r="G133" i="39" a="1"/>
  <c r="G133" i="39" s="1"/>
  <c r="H133" i="39" s="1"/>
  <c r="G127" i="39" a="1"/>
  <c r="G127" i="39" s="1"/>
  <c r="H127" i="39" s="1"/>
  <c r="F116" i="39" a="1"/>
  <c r="F116" i="39" s="1"/>
  <c r="I116" i="39" s="1"/>
  <c r="F94" i="39" a="1"/>
  <c r="F94" i="39" s="1"/>
  <c r="I94" i="39" s="1"/>
  <c r="G78" i="39" a="1"/>
  <c r="G78" i="39" s="1"/>
  <c r="H78" i="39" s="1"/>
  <c r="G73" i="39" a="1"/>
  <c r="G73" i="39" s="1"/>
  <c r="H73" i="39" s="1"/>
  <c r="F54" i="39" a="1"/>
  <c r="F54" i="39" s="1"/>
  <c r="I54" i="39" s="1"/>
  <c r="F45" i="39" a="1"/>
  <c r="F45" i="39" s="1"/>
  <c r="F36" i="39" a="1"/>
  <c r="F36" i="39" s="1"/>
  <c r="G23" i="39" a="1"/>
  <c r="G23" i="39" s="1"/>
  <c r="H23" i="39" s="1"/>
  <c r="F214" i="39" a="1"/>
  <c r="F214" i="39" s="1"/>
  <c r="G163" i="39" a="1"/>
  <c r="G163" i="39" s="1"/>
  <c r="H163" i="39" s="1"/>
  <c r="G580" i="39" a="1"/>
  <c r="G580" i="39" s="1"/>
  <c r="H580" i="39" s="1"/>
  <c r="F539" i="39" a="1"/>
  <c r="F539" i="39" s="1"/>
  <c r="G504" i="39" a="1"/>
  <c r="G504" i="39" s="1"/>
  <c r="H504" i="39" s="1"/>
  <c r="G472" i="39" a="1"/>
  <c r="G472" i="39" s="1"/>
  <c r="H472" i="39" s="1"/>
  <c r="F422" i="39" a="1"/>
  <c r="F422" i="39" s="1"/>
  <c r="F364" i="39" a="1"/>
  <c r="F364" i="39" s="1"/>
  <c r="G334" i="39" a="1"/>
  <c r="G334" i="39" s="1"/>
  <c r="H334" i="39" s="1"/>
  <c r="G277" i="39" a="1"/>
  <c r="G277" i="39" s="1"/>
  <c r="H277" i="39" s="1"/>
  <c r="G268" i="39" a="1"/>
  <c r="G268" i="39" s="1"/>
  <c r="H268" i="39" s="1"/>
  <c r="F237" i="39" a="1"/>
  <c r="F237" i="39" s="1"/>
  <c r="I237" i="39" s="1"/>
  <c r="F229" i="39" a="1"/>
  <c r="F229" i="39" s="1"/>
  <c r="I229" i="39" s="1"/>
  <c r="G214" i="39" a="1"/>
  <c r="G214" i="39" s="1"/>
  <c r="H214" i="39" s="1"/>
  <c r="F158" i="39" a="1"/>
  <c r="F158" i="39" s="1"/>
  <c r="I158" i="39" s="1"/>
  <c r="G151" i="39" a="1"/>
  <c r="G151" i="39" s="1"/>
  <c r="H151" i="39" s="1"/>
  <c r="F139" i="39" a="1"/>
  <c r="F139" i="39" s="1"/>
  <c r="F127" i="39" a="1"/>
  <c r="F127" i="39" s="1"/>
  <c r="G121" i="39" a="1"/>
  <c r="G121" i="39" s="1"/>
  <c r="H121" i="39" s="1"/>
  <c r="G104" i="39" a="1"/>
  <c r="G104" i="39" s="1"/>
  <c r="H104" i="39" s="1"/>
  <c r="G83" i="39" a="1"/>
  <c r="G83" i="39" s="1"/>
  <c r="H83" i="39" s="1"/>
  <c r="G68" i="39" a="1"/>
  <c r="G68" i="39" s="1"/>
  <c r="H68" i="39" s="1"/>
  <c r="F63" i="39" a="1"/>
  <c r="F63" i="39" s="1"/>
  <c r="G58" i="39" a="1"/>
  <c r="G58" i="39" s="1"/>
  <c r="I58" i="39" s="1"/>
  <c r="G49" i="39" a="1"/>
  <c r="G49" i="39" s="1"/>
  <c r="G40" i="39" a="1"/>
  <c r="G40" i="39" s="1"/>
  <c r="H40" i="39" s="1"/>
  <c r="G27" i="39" a="1"/>
  <c r="G27" i="39" s="1"/>
  <c r="H27" i="39" s="1"/>
  <c r="F23" i="39" a="1"/>
  <c r="F23" i="39" s="1"/>
  <c r="G14" i="39" a="1"/>
  <c r="G14" i="39" s="1"/>
  <c r="H14" i="39" s="1"/>
  <c r="G10" i="39" a="1"/>
  <c r="G10" i="39" s="1"/>
  <c r="H10" i="39" s="1"/>
  <c r="G536" i="39" a="1"/>
  <c r="G536" i="39" s="1"/>
  <c r="H536" i="39" s="1"/>
  <c r="F472" i="39" a="1"/>
  <c r="F472" i="39" s="1"/>
  <c r="G417" i="39" a="1"/>
  <c r="G417" i="39" s="1"/>
  <c r="H417" i="39" s="1"/>
  <c r="F363" i="39" a="1"/>
  <c r="F363" i="39" s="1"/>
  <c r="I363" i="39" s="1"/>
  <c r="F319" i="39" a="1"/>
  <c r="F319" i="39" s="1"/>
  <c r="I319" i="39" s="1"/>
  <c r="G222" i="39" a="1"/>
  <c r="G222" i="39" s="1"/>
  <c r="H222" i="39" s="1"/>
  <c r="G192" i="39" a="1"/>
  <c r="G192" i="39" s="1"/>
  <c r="H192" i="39" s="1"/>
  <c r="F185" i="39" a="1"/>
  <c r="F185" i="39" s="1"/>
  <c r="I185" i="39" s="1"/>
  <c r="G178" i="39" a="1"/>
  <c r="G178" i="39" s="1"/>
  <c r="H178" i="39" s="1"/>
  <c r="F171" i="39" a="1"/>
  <c r="F171" i="39" s="1"/>
  <c r="F164" i="39" a="1"/>
  <c r="F164" i="39" s="1"/>
  <c r="G145" i="39" a="1"/>
  <c r="G145" i="39" s="1"/>
  <c r="H145" i="39" s="1"/>
  <c r="F133" i="39" a="1"/>
  <c r="F133" i="39" s="1"/>
  <c r="G109" i="39" a="1"/>
  <c r="G109" i="39" s="1"/>
  <c r="H109" i="39" s="1"/>
  <c r="F104" i="39" a="1"/>
  <c r="F104" i="39" s="1"/>
  <c r="F73" i="39" a="1"/>
  <c r="F73" i="39" s="1"/>
  <c r="F68" i="39" a="1"/>
  <c r="F68" i="39" s="1"/>
  <c r="F40" i="39" a="1"/>
  <c r="F40" i="39" s="1"/>
  <c r="I40" i="39" s="1"/>
  <c r="G31" i="39" a="1"/>
  <c r="G31" i="39" s="1"/>
  <c r="G6" i="39" a="1"/>
  <c r="G6" i="39" s="1"/>
  <c r="H6" i="39" s="1"/>
  <c r="F443" i="39" a="1"/>
  <c r="F443" i="39" s="1"/>
  <c r="F296" i="39" a="1"/>
  <c r="F296" i="39" s="1"/>
  <c r="F285" i="39" a="1"/>
  <c r="F285" i="39" s="1"/>
  <c r="I285" i="39" s="1"/>
  <c r="G275" i="39" a="1"/>
  <c r="G275" i="39" s="1"/>
  <c r="H275" i="39" s="1"/>
  <c r="F251" i="39" a="1"/>
  <c r="F251" i="39" s="1"/>
  <c r="G236" i="39" a="1"/>
  <c r="G236" i="39" s="1"/>
  <c r="H236" i="39" s="1"/>
  <c r="G206" i="39" a="1"/>
  <c r="G206" i="39" s="1"/>
  <c r="H206" i="39" s="1"/>
  <c r="G86" i="39" a="1"/>
  <c r="G86" i="39" s="1"/>
  <c r="H86" i="39" s="1"/>
  <c r="F10" i="39" a="1"/>
  <c r="F10" i="39" s="1"/>
  <c r="I10" i="39" s="1"/>
  <c r="G16" i="39" a="1"/>
  <c r="G16" i="39" s="1"/>
  <c r="H16" i="39" s="1"/>
  <c r="G22" i="39" a="1"/>
  <c r="G22" i="39" s="1"/>
  <c r="H22" i="39" s="1"/>
  <c r="G79" i="39" a="1"/>
  <c r="G79" i="39" s="1"/>
  <c r="H79" i="39" s="1"/>
  <c r="G88" i="39" a="1"/>
  <c r="G88" i="39" s="1"/>
  <c r="H88" i="39" s="1"/>
  <c r="F125" i="39" a="1"/>
  <c r="F125" i="39" s="1"/>
  <c r="G181" i="39" a="1"/>
  <c r="G181" i="39" s="1"/>
  <c r="H181" i="39" s="1"/>
  <c r="F195" i="39" a="1"/>
  <c r="F195" i="39" s="1"/>
  <c r="G239" i="39" a="1"/>
  <c r="G239" i="39" s="1"/>
  <c r="H239" i="39" s="1"/>
  <c r="F254" i="39" a="1"/>
  <c r="F254" i="39" s="1"/>
  <c r="G270" i="39" a="1"/>
  <c r="G270" i="39" s="1"/>
  <c r="H270" i="39" s="1"/>
  <c r="G289" i="39" a="1"/>
  <c r="G289" i="39" s="1"/>
  <c r="H289" i="39" s="1"/>
  <c r="G339" i="39" a="1"/>
  <c r="G339" i="39" s="1"/>
  <c r="H339" i="39" s="1"/>
  <c r="G402" i="39" a="1"/>
  <c r="G402" i="39" s="1"/>
  <c r="H402" i="39" s="1"/>
  <c r="F523" i="39" a="1"/>
  <c r="F523" i="39" s="1"/>
  <c r="G411" i="39" a="1"/>
  <c r="G411" i="39" s="1"/>
  <c r="H411" i="39" s="1"/>
  <c r="F6" i="39" a="1"/>
  <c r="F6" i="39" s="1"/>
  <c r="F43" i="39" a="1"/>
  <c r="F43" i="39" s="1"/>
  <c r="G90" i="39" a="1"/>
  <c r="G90" i="39" s="1"/>
  <c r="H90" i="39" s="1"/>
  <c r="G107" i="39" a="1"/>
  <c r="G107" i="39" s="1"/>
  <c r="H107" i="39" s="1"/>
  <c r="G137" i="39" a="1"/>
  <c r="G137" i="39" s="1"/>
  <c r="F213" i="39" a="1"/>
  <c r="F213" i="39" s="1"/>
  <c r="I213" i="39" s="1"/>
  <c r="G242" i="39" a="1"/>
  <c r="G242" i="39" s="1"/>
  <c r="H242" i="39" s="1"/>
  <c r="F258" i="39" a="1"/>
  <c r="F258" i="39" s="1"/>
  <c r="I258" i="39" s="1"/>
  <c r="G344" i="39" a="1"/>
  <c r="G344" i="39" s="1"/>
  <c r="H344" i="39" s="1"/>
  <c r="F12" i="39" a="1"/>
  <c r="F12" i="39" s="1"/>
  <c r="I12" i="39" s="1"/>
  <c r="F18" i="39" a="1"/>
  <c r="F18" i="39" s="1"/>
  <c r="I18" i="39" s="1"/>
  <c r="G24" i="39" a="1"/>
  <c r="G24" i="39" s="1"/>
  <c r="H24" i="39" s="1"/>
  <c r="G30" i="39" a="1"/>
  <c r="G30" i="39" s="1"/>
  <c r="H30" i="39" s="1"/>
  <c r="F37" i="39" a="1"/>
  <c r="F37" i="39" s="1"/>
  <c r="I37" i="39" s="1"/>
  <c r="G50" i="39" a="1"/>
  <c r="G50" i="39" s="1"/>
  <c r="H50" i="39" s="1"/>
  <c r="F65" i="39" a="1"/>
  <c r="F65" i="39" s="1"/>
  <c r="G81" i="39" a="1"/>
  <c r="G81" i="39" s="1"/>
  <c r="H81" i="39" s="1"/>
  <c r="F100" i="39" a="1"/>
  <c r="F100" i="39" s="1"/>
  <c r="F108" i="39" a="1"/>
  <c r="F108" i="39" s="1"/>
  <c r="G118" i="39" a="1"/>
  <c r="G118" i="39" s="1"/>
  <c r="H118" i="39" s="1"/>
  <c r="F149" i="39" a="1"/>
  <c r="F149" i="39" s="1"/>
  <c r="G215" i="39" a="1"/>
  <c r="G215" i="39" s="1"/>
  <c r="H215" i="39" s="1"/>
  <c r="G260" i="39" a="1"/>
  <c r="G260" i="39" s="1"/>
  <c r="H260" i="39" s="1"/>
  <c r="G278" i="39" a="1"/>
  <c r="G278" i="39" s="1"/>
  <c r="H278" i="39" s="1"/>
  <c r="F141" i="39" a="1"/>
  <c r="F141" i="39" s="1"/>
  <c r="G217" i="39" a="1"/>
  <c r="G217" i="39" s="1"/>
  <c r="H217" i="39" s="1"/>
  <c r="G32" i="39" a="1"/>
  <c r="G32" i="39" s="1"/>
  <c r="H32" i="39" s="1"/>
  <c r="G189" i="39" a="1"/>
  <c r="G189" i="39" s="1"/>
  <c r="H189" i="39" s="1"/>
  <c r="F218" i="39" a="1"/>
  <c r="F218" i="39" s="1"/>
  <c r="I218" i="39" s="1"/>
  <c r="G491" i="39" a="1"/>
  <c r="G491" i="39" s="1"/>
  <c r="H491" i="39" s="1"/>
  <c r="F26" i="39" a="1"/>
  <c r="F26" i="39" s="1"/>
  <c r="F102" i="39" a="1"/>
  <c r="F102" i="39" s="1"/>
  <c r="F204" i="39" a="1"/>
  <c r="F204" i="39" s="1"/>
  <c r="I204" i="39" s="1"/>
  <c r="F303" i="39" a="1"/>
  <c r="F303" i="39" s="1"/>
  <c r="F14" i="39" a="1"/>
  <c r="F14" i="39" s="1"/>
  <c r="I14" i="39" s="1"/>
  <c r="G102" i="39" a="1"/>
  <c r="G102" i="39" s="1"/>
  <c r="H102" i="39" s="1"/>
  <c r="G131" i="39" a="1"/>
  <c r="G131" i="39" s="1"/>
  <c r="H131" i="39" s="1"/>
  <c r="F249" i="39" a="1"/>
  <c r="F249" i="39" s="1"/>
  <c r="G435" i="39" a="1"/>
  <c r="G435" i="39" s="1"/>
  <c r="H435" i="39" s="1"/>
  <c r="G8" i="39" a="1"/>
  <c r="G8" i="39" s="1"/>
  <c r="H8" i="39" s="1"/>
  <c r="F27" i="39" a="1"/>
  <c r="F27" i="39" s="1"/>
  <c r="I27" i="39" s="1"/>
  <c r="G46" i="39" a="1"/>
  <c r="G46" i="39" s="1"/>
  <c r="H46" i="39" s="1"/>
  <c r="F69" i="39" a="1"/>
  <c r="F69" i="39" s="1"/>
  <c r="G85" i="39" a="1"/>
  <c r="G85" i="39" s="1"/>
  <c r="H85" i="39" s="1"/>
  <c r="G179" i="39" a="1"/>
  <c r="G179" i="39" s="1"/>
  <c r="H179" i="39" s="1"/>
  <c r="G510" i="39" a="1"/>
  <c r="G510" i="39" s="1"/>
  <c r="H510" i="39" s="1"/>
  <c r="F607" i="39" a="1"/>
  <c r="F607" i="39" s="1"/>
  <c r="I607" i="39" s="1"/>
  <c r="F59" i="39" a="1"/>
  <c r="F59" i="39" s="1"/>
  <c r="I59" i="39" s="1"/>
  <c r="G175" i="39" a="1"/>
  <c r="G175" i="39" s="1"/>
  <c r="F232" i="39" a="1"/>
  <c r="F232" i="39" s="1"/>
  <c r="I232" i="39" s="1"/>
  <c r="F324" i="39" a="1"/>
  <c r="F324" i="39" s="1"/>
  <c r="G93" i="39" a="1"/>
  <c r="G93" i="39" s="1"/>
  <c r="H93" i="39" s="1"/>
  <c r="G202" i="39" a="1"/>
  <c r="G202" i="39" s="1"/>
  <c r="H202" i="39" s="1"/>
  <c r="G355" i="39" a="1"/>
  <c r="G355" i="39" s="1"/>
  <c r="H355" i="39" s="1"/>
  <c r="F389" i="39" a="1"/>
  <c r="F389" i="39" s="1"/>
  <c r="I389" i="39" s="1"/>
  <c r="F8" i="39" a="1"/>
  <c r="F8" i="39" s="1"/>
  <c r="F46" i="39" a="1"/>
  <c r="F46" i="39" s="1"/>
  <c r="F76" i="39" a="1"/>
  <c r="F76" i="39" s="1"/>
  <c r="I76" i="39" s="1"/>
  <c r="F122" i="39" a="1"/>
  <c r="F122" i="39" s="1"/>
  <c r="F233" i="39" a="1"/>
  <c r="F233" i="39" s="1"/>
  <c r="G389" i="39" a="1"/>
  <c r="G389" i="39" s="1"/>
  <c r="H389" i="39" s="1"/>
  <c r="F85" i="39" a="1"/>
  <c r="F85" i="39" s="1"/>
  <c r="F112" i="39" a="1"/>
  <c r="F112" i="39" s="1"/>
  <c r="G122" i="39" a="1"/>
  <c r="G122" i="39" s="1"/>
  <c r="H122" i="39" s="1"/>
  <c r="G233" i="39" a="1"/>
  <c r="G233" i="39" s="1"/>
  <c r="H233" i="39" s="1"/>
  <c r="G264" i="39" a="1"/>
  <c r="G264" i="39" s="1"/>
  <c r="H264" i="39" s="1"/>
  <c r="G358" i="39" a="1"/>
  <c r="G358" i="39" s="1"/>
  <c r="H358" i="39" s="1"/>
  <c r="F15" i="39" a="1"/>
  <c r="F15" i="39" s="1"/>
  <c r="G33" i="39" a="1"/>
  <c r="G33" i="39" s="1"/>
  <c r="H33" i="39" s="1"/>
  <c r="G53" i="39" a="1"/>
  <c r="G53" i="39" s="1"/>
  <c r="H53" i="39" s="1"/>
  <c r="G60" i="39" a="1"/>
  <c r="G60" i="39" s="1"/>
  <c r="H60" i="39" s="1"/>
  <c r="F113" i="39" a="1"/>
  <c r="F113" i="39" s="1"/>
  <c r="I113" i="39" s="1"/>
  <c r="G166" i="39" a="1"/>
  <c r="G166" i="39" s="1"/>
  <c r="H166" i="39" s="1"/>
  <c r="G205" i="39" a="1"/>
  <c r="G205" i="39" s="1"/>
  <c r="H205" i="39" s="1"/>
  <c r="F220" i="39" a="1"/>
  <c r="F220" i="39" s="1"/>
  <c r="G265" i="39" a="1"/>
  <c r="G265" i="39" s="1"/>
  <c r="H265" i="39" s="1"/>
  <c r="F284" i="39" a="1"/>
  <c r="F284" i="39" s="1"/>
  <c r="I284" i="39" s="1"/>
  <c r="F305" i="39" a="1"/>
  <c r="F305" i="39" s="1"/>
  <c r="G447" i="39" a="1"/>
  <c r="G447" i="39" s="1"/>
  <c r="H447" i="39" s="1"/>
  <c r="F75" i="39" a="1"/>
  <c r="F75" i="39" s="1"/>
  <c r="F202" i="39" a="1"/>
  <c r="F202" i="39" s="1"/>
  <c r="F153" i="39" a="1"/>
  <c r="F153" i="39" s="1"/>
  <c r="G59" i="39" a="1"/>
  <c r="G59" i="39" s="1"/>
  <c r="H59" i="39" s="1"/>
  <c r="G94" i="39" a="1"/>
  <c r="G94" i="39" s="1"/>
  <c r="H94" i="39" s="1"/>
  <c r="G218" i="39" a="1"/>
  <c r="G218" i="39" s="1"/>
  <c r="H218" i="39" s="1"/>
  <c r="F357" i="39" a="1"/>
  <c r="F357" i="39" s="1"/>
  <c r="G76" i="39" a="1"/>
  <c r="G76" i="39" s="1"/>
  <c r="H76" i="39" s="1"/>
  <c r="F21" i="39" a="1"/>
  <c r="F21" i="39" s="1"/>
  <c r="F61" i="39" a="1"/>
  <c r="F61" i="39" s="1"/>
  <c r="G69" i="39" a="1"/>
  <c r="G69" i="39" s="1"/>
  <c r="H69" i="39" s="1"/>
  <c r="F105" i="39" a="1"/>
  <c r="F105" i="39" s="1"/>
  <c r="F143" i="39" a="1"/>
  <c r="F143" i="39" s="1"/>
  <c r="G208" i="39" a="1"/>
  <c r="G208" i="39" s="1"/>
  <c r="H208" i="39" s="1"/>
  <c r="F223" i="39" a="1"/>
  <c r="F223" i="39" s="1"/>
  <c r="I223" i="39" s="1"/>
  <c r="F511" i="39" a="1"/>
  <c r="F511" i="39" s="1"/>
  <c r="G35" i="37" a="1"/>
  <c r="G35" i="37" s="1"/>
  <c r="H35" i="37" s="1"/>
  <c r="F48" i="37" a="1"/>
  <c r="F48" i="37" s="1"/>
  <c r="G60" i="37" a="1"/>
  <c r="G60" i="37" s="1"/>
  <c r="H60" i="37" s="1"/>
  <c r="G86" i="37" a="1"/>
  <c r="G86" i="37" s="1"/>
  <c r="H86" i="37" s="1"/>
  <c r="G97" i="37" a="1"/>
  <c r="G97" i="37" s="1"/>
  <c r="H97" i="37" s="1"/>
  <c r="G111" i="37" a="1"/>
  <c r="G111" i="37" s="1"/>
  <c r="H111" i="37" s="1"/>
  <c r="G169" i="37" a="1"/>
  <c r="G169" i="37" s="1"/>
  <c r="H169" i="37" s="1"/>
  <c r="F180" i="37" a="1"/>
  <c r="F180" i="37" s="1"/>
  <c r="F245" i="37" a="1"/>
  <c r="F245" i="37" s="1"/>
  <c r="F263" i="37" a="1"/>
  <c r="F263" i="37" s="1"/>
  <c r="F294" i="37" a="1"/>
  <c r="F294" i="37" s="1"/>
  <c r="G313" i="37" a="1"/>
  <c r="G313" i="37" s="1"/>
  <c r="H313" i="37" s="1"/>
  <c r="F374" i="37" a="1"/>
  <c r="F374" i="37" s="1"/>
  <c r="G458" i="37" a="1"/>
  <c r="G458" i="37" s="1"/>
  <c r="H458" i="37" s="1"/>
  <c r="F505" i="37" a="1"/>
  <c r="F505" i="37" s="1"/>
  <c r="I505" i="37" s="1"/>
  <c r="G522" i="37" a="1"/>
  <c r="G522" i="37" s="1"/>
  <c r="H522" i="37" s="1"/>
  <c r="F631" i="37" a="1"/>
  <c r="F631" i="37" s="1"/>
  <c r="G623" i="37" a="1"/>
  <c r="G623" i="37" s="1"/>
  <c r="H623" i="37" s="1"/>
  <c r="F608" i="37" a="1"/>
  <c r="F608" i="37" s="1"/>
  <c r="G600" i="37" a="1"/>
  <c r="G600" i="37" s="1"/>
  <c r="H600" i="37" s="1"/>
  <c r="F585" i="37" a="1"/>
  <c r="F585" i="37" s="1"/>
  <c r="G577" i="37" a="1"/>
  <c r="G577" i="37" s="1"/>
  <c r="H577" i="37" s="1"/>
  <c r="F562" i="37" a="1"/>
  <c r="F562" i="37" s="1"/>
  <c r="I562" i="37" s="1"/>
  <c r="F558" i="37" a="1"/>
  <c r="F558" i="37" s="1"/>
  <c r="G550" i="37" a="1"/>
  <c r="G550" i="37" s="1"/>
  <c r="H550" i="37" s="1"/>
  <c r="F535" i="37" a="1"/>
  <c r="F535" i="37" s="1"/>
  <c r="I535" i="37" s="1"/>
  <c r="G527" i="37" a="1"/>
  <c r="G527" i="37" s="1"/>
  <c r="H527" i="37" s="1"/>
  <c r="F512" i="37" a="1"/>
  <c r="F512" i="37" s="1"/>
  <c r="I512" i="37" s="1"/>
  <c r="G504" i="37" a="1"/>
  <c r="G504" i="37" s="1"/>
  <c r="H504" i="37" s="1"/>
  <c r="F489" i="37" a="1"/>
  <c r="F489" i="37" s="1"/>
  <c r="G481" i="37" a="1"/>
  <c r="G481" i="37" s="1"/>
  <c r="H481" i="37" s="1"/>
  <c r="G477" i="37" a="1"/>
  <c r="G477" i="37" s="1"/>
  <c r="H477" i="37" s="1"/>
  <c r="F462" i="37" a="1"/>
  <c r="F462" i="37" s="1"/>
  <c r="G454" i="37" a="1"/>
  <c r="G454" i="37" s="1"/>
  <c r="H454" i="37" s="1"/>
  <c r="F439" i="37" a="1"/>
  <c r="F439" i="37" s="1"/>
  <c r="G431" i="37" a="1"/>
  <c r="G431" i="37" s="1"/>
  <c r="H431" i="37" s="1"/>
  <c r="F416" i="37" a="1"/>
  <c r="F416" i="37" s="1"/>
  <c r="G408" i="37" a="1"/>
  <c r="G408" i="37" s="1"/>
  <c r="H408" i="37" s="1"/>
  <c r="F389" i="37" a="1"/>
  <c r="F389" i="37" s="1"/>
  <c r="G381" i="37" a="1"/>
  <c r="G381" i="37" s="1"/>
  <c r="H381" i="37" s="1"/>
  <c r="F366" i="37" a="1"/>
  <c r="F366" i="37" s="1"/>
  <c r="G358" i="37" a="1"/>
  <c r="G358" i="37" s="1"/>
  <c r="H358" i="37" s="1"/>
  <c r="F627" i="37" a="1"/>
  <c r="F627" i="37" s="1"/>
  <c r="G619" i="37" a="1"/>
  <c r="G619" i="37" s="1"/>
  <c r="H619" i="37" s="1"/>
  <c r="F604" i="37" a="1"/>
  <c r="F604" i="37" s="1"/>
  <c r="I604" i="37" s="1"/>
  <c r="G596" i="37" a="1"/>
  <c r="G596" i="37" s="1"/>
  <c r="F581" i="37" a="1"/>
  <c r="F581" i="37" s="1"/>
  <c r="G573" i="37" a="1"/>
  <c r="G573" i="37" s="1"/>
  <c r="H573" i="37" s="1"/>
  <c r="F554" i="37" a="1"/>
  <c r="F554" i="37" s="1"/>
  <c r="G546" i="37" a="1"/>
  <c r="G546" i="37" s="1"/>
  <c r="F531" i="37" a="1"/>
  <c r="F531" i="37" s="1"/>
  <c r="G523" i="37" a="1"/>
  <c r="G523" i="37" s="1"/>
  <c r="H523" i="37" s="1"/>
  <c r="F508" i="37" a="1"/>
  <c r="F508" i="37" s="1"/>
  <c r="G500" i="37" a="1"/>
  <c r="G500" i="37" s="1"/>
  <c r="H500" i="37" s="1"/>
  <c r="F485" i="37" a="1"/>
  <c r="F485" i="37" s="1"/>
  <c r="F481" i="37" a="1"/>
  <c r="F481" i="37" s="1"/>
  <c r="G473" i="37" a="1"/>
  <c r="G473" i="37" s="1"/>
  <c r="H473" i="37" s="1"/>
  <c r="F458" i="37" a="1"/>
  <c r="F458" i="37" s="1"/>
  <c r="I458" i="37" s="1"/>
  <c r="G450" i="37" a="1"/>
  <c r="G450" i="37" s="1"/>
  <c r="H450" i="37" s="1"/>
  <c r="F435" i="37" a="1"/>
  <c r="F435" i="37" s="1"/>
  <c r="G427" i="37" a="1"/>
  <c r="G427" i="37" s="1"/>
  <c r="H427" i="37" s="1"/>
  <c r="F412" i="37" a="1"/>
  <c r="F412" i="37" s="1"/>
  <c r="G404" i="37" a="1"/>
  <c r="G404" i="37" s="1"/>
  <c r="H404" i="37" s="1"/>
  <c r="G400" i="37" a="1"/>
  <c r="G400" i="37" s="1"/>
  <c r="H400" i="37" s="1"/>
  <c r="F385" i="37" a="1"/>
  <c r="F385" i="37" s="1"/>
  <c r="G377" i="37" a="1"/>
  <c r="G377" i="37" s="1"/>
  <c r="H377" i="37" s="1"/>
  <c r="F362" i="37" a="1"/>
  <c r="F362" i="37" s="1"/>
  <c r="I362" i="37" s="1"/>
  <c r="G354" i="37" a="1"/>
  <c r="G354" i="37" s="1"/>
  <c r="H354" i="37" s="1"/>
  <c r="F339" i="37" a="1"/>
  <c r="F339" i="37" s="1"/>
  <c r="G331" i="37" a="1"/>
  <c r="G331" i="37" s="1"/>
  <c r="H331" i="37" s="1"/>
  <c r="G638" i="37" a="1"/>
  <c r="G638" i="37" s="1"/>
  <c r="H638" i="37" s="1"/>
  <c r="F630" i="37" a="1"/>
  <c r="F630" i="37" s="1"/>
  <c r="G613" i="37" a="1"/>
  <c r="G613" i="37" s="1"/>
  <c r="H613" i="37" s="1"/>
  <c r="F609" i="37" a="1"/>
  <c r="F609" i="37" s="1"/>
  <c r="F592" i="37" a="1"/>
  <c r="F592" i="37" s="1"/>
  <c r="I592" i="37" s="1"/>
  <c r="G579" i="37" a="1"/>
  <c r="G579" i="37" s="1"/>
  <c r="H579" i="37" s="1"/>
  <c r="F571" i="37" a="1"/>
  <c r="F571" i="37" s="1"/>
  <c r="G541" i="37" a="1"/>
  <c r="G541" i="37" s="1"/>
  <c r="H541" i="37" s="1"/>
  <c r="F533" i="37" a="1"/>
  <c r="F533" i="37" s="1"/>
  <c r="G520" i="37" a="1"/>
  <c r="G520" i="37" s="1"/>
  <c r="H520" i="37" s="1"/>
  <c r="G503" i="37" a="1"/>
  <c r="G503" i="37" s="1"/>
  <c r="H503" i="37" s="1"/>
  <c r="F499" i="37" a="1"/>
  <c r="F499" i="37" s="1"/>
  <c r="G482" i="37" a="1"/>
  <c r="G482" i="37" s="1"/>
  <c r="H482" i="37" s="1"/>
  <c r="F474" i="37" a="1"/>
  <c r="F474" i="37" s="1"/>
  <c r="G469" i="37" a="1"/>
  <c r="G469" i="37" s="1"/>
  <c r="H469" i="37" s="1"/>
  <c r="F461" i="37" a="1"/>
  <c r="F461" i="37" s="1"/>
  <c r="F440" i="37" a="1"/>
  <c r="F440" i="37" s="1"/>
  <c r="I440" i="37" s="1"/>
  <c r="F423" i="37" a="1"/>
  <c r="F423" i="37" s="1"/>
  <c r="I423" i="37" s="1"/>
  <c r="G410" i="37" a="1"/>
  <c r="G410" i="37" s="1"/>
  <c r="H410" i="37" s="1"/>
  <c r="F402" i="37" a="1"/>
  <c r="F402" i="37" s="1"/>
  <c r="G389" i="37" a="1"/>
  <c r="G389" i="37" s="1"/>
  <c r="H389" i="37" s="1"/>
  <c r="G372" i="37" a="1"/>
  <c r="G372" i="37" s="1"/>
  <c r="H372" i="37" s="1"/>
  <c r="F364" i="37" a="1"/>
  <c r="F364" i="37" s="1"/>
  <c r="G327" i="37" a="1"/>
  <c r="G327" i="37" s="1"/>
  <c r="H327" i="37" s="1"/>
  <c r="F637" i="37" a="1"/>
  <c r="F637" i="37" s="1"/>
  <c r="I637" i="37" s="1"/>
  <c r="F616" i="37" a="1"/>
  <c r="F616" i="37" s="1"/>
  <c r="G607" i="37" a="1"/>
  <c r="G607" i="37" s="1"/>
  <c r="H607" i="37" s="1"/>
  <c r="F599" i="37" a="1"/>
  <c r="F599" i="37" s="1"/>
  <c r="G586" i="37" a="1"/>
  <c r="G586" i="37" s="1"/>
  <c r="H586" i="37" s="1"/>
  <c r="F578" i="37" a="1"/>
  <c r="F578" i="37" s="1"/>
  <c r="G569" i="37" a="1"/>
  <c r="G569" i="37" s="1"/>
  <c r="H569" i="37" s="1"/>
  <c r="F565" i="37" a="1"/>
  <c r="F565" i="37" s="1"/>
  <c r="G548" i="37" a="1"/>
  <c r="G548" i="37" s="1"/>
  <c r="F540" i="37" a="1"/>
  <c r="F540" i="37" s="1"/>
  <c r="F527" i="37" a="1"/>
  <c r="F527" i="37" s="1"/>
  <c r="F506" i="37" a="1"/>
  <c r="F506" i="37" s="1"/>
  <c r="G489" i="37" a="1"/>
  <c r="G489" i="37" s="1"/>
  <c r="H489" i="37" s="1"/>
  <c r="G476" i="37" a="1"/>
  <c r="G476" i="37" s="1"/>
  <c r="H476" i="37" s="1"/>
  <c r="F468" i="37" a="1"/>
  <c r="F468" i="37" s="1"/>
  <c r="I468" i="37" s="1"/>
  <c r="G455" i="37" a="1"/>
  <c r="G455" i="37" s="1"/>
  <c r="H455" i="37" s="1"/>
  <c r="F447" i="37" a="1"/>
  <c r="F447" i="37" s="1"/>
  <c r="G438" i="37" a="1"/>
  <c r="G438" i="37" s="1"/>
  <c r="H438" i="37" s="1"/>
  <c r="F430" i="37" a="1"/>
  <c r="F430" i="37" s="1"/>
  <c r="G417" i="37" a="1"/>
  <c r="G417" i="37" s="1"/>
  <c r="H417" i="37" s="1"/>
  <c r="F409" i="37" a="1"/>
  <c r="F409" i="37" s="1"/>
  <c r="F396" i="37" a="1"/>
  <c r="F396" i="37" s="1"/>
  <c r="G379" i="37" a="1"/>
  <c r="G379" i="37" s="1"/>
  <c r="H379" i="37" s="1"/>
  <c r="F358" i="37" a="1"/>
  <c r="F358" i="37" s="1"/>
  <c r="F354" i="37" a="1"/>
  <c r="F354" i="37" s="1"/>
  <c r="F350" i="37" a="1"/>
  <c r="F350" i="37" s="1"/>
  <c r="F346" i="37" a="1"/>
  <c r="F346" i="37" s="1"/>
  <c r="F342" i="37" a="1"/>
  <c r="F342" i="37" s="1"/>
  <c r="F326" i="37" a="1"/>
  <c r="F326" i="37" s="1"/>
  <c r="G318" i="37" a="1"/>
  <c r="G318" i="37" s="1"/>
  <c r="H318" i="37" s="1"/>
  <c r="F615" i="37" a="1"/>
  <c r="F615" i="37" s="1"/>
  <c r="F606" i="37" a="1"/>
  <c r="F606" i="37" s="1"/>
  <c r="G601" i="37" a="1"/>
  <c r="G601" i="37" s="1"/>
  <c r="H601" i="37" s="1"/>
  <c r="F564" i="37" a="1"/>
  <c r="F564" i="37" s="1"/>
  <c r="F555" i="37" a="1"/>
  <c r="F555" i="37" s="1"/>
  <c r="I555" i="37" s="1"/>
  <c r="F550" i="37" a="1"/>
  <c r="F550" i="37" s="1"/>
  <c r="G545" i="37" a="1"/>
  <c r="G545" i="37" s="1"/>
  <c r="H545" i="37" s="1"/>
  <c r="G536" i="37" a="1"/>
  <c r="G536" i="37" s="1"/>
  <c r="H536" i="37" s="1"/>
  <c r="F513" i="37" a="1"/>
  <c r="F513" i="37" s="1"/>
  <c r="G494" i="37" a="1"/>
  <c r="G494" i="37" s="1"/>
  <c r="H494" i="37" s="1"/>
  <c r="G485" i="37" a="1"/>
  <c r="G485" i="37" s="1"/>
  <c r="H485" i="37" s="1"/>
  <c r="G443" i="37" a="1"/>
  <c r="G443" i="37" s="1"/>
  <c r="H443" i="37" s="1"/>
  <c r="G415" i="37" a="1"/>
  <c r="G415" i="37" s="1"/>
  <c r="H415" i="37" s="1"/>
  <c r="F406" i="37" a="1"/>
  <c r="F406" i="37" s="1"/>
  <c r="I406" i="37" s="1"/>
  <c r="F397" i="37" a="1"/>
  <c r="F397" i="37" s="1"/>
  <c r="I397" i="37" s="1"/>
  <c r="F392" i="37" a="1"/>
  <c r="F392" i="37" s="1"/>
  <c r="G387" i="37" a="1"/>
  <c r="G387" i="37" s="1"/>
  <c r="H387" i="37" s="1"/>
  <c r="G373" i="37" a="1"/>
  <c r="G373" i="37" s="1"/>
  <c r="H373" i="37" s="1"/>
  <c r="G364" i="37" a="1"/>
  <c r="G364" i="37" s="1"/>
  <c r="H364" i="37" s="1"/>
  <c r="F355" i="37" a="1"/>
  <c r="F355" i="37" s="1"/>
  <c r="G324" i="37" a="1"/>
  <c r="G324" i="37" s="1"/>
  <c r="H324" i="37" s="1"/>
  <c r="F320" i="37" a="1"/>
  <c r="F320" i="37" s="1"/>
  <c r="F276" i="37" a="1"/>
  <c r="F276" i="37" s="1"/>
  <c r="G268" i="37" a="1"/>
  <c r="G268" i="37" s="1"/>
  <c r="H268" i="37" s="1"/>
  <c r="G264" i="37" a="1"/>
  <c r="G264" i="37" s="1"/>
  <c r="H264" i="37" s="1"/>
  <c r="F249" i="37" a="1"/>
  <c r="F249" i="37" s="1"/>
  <c r="G241" i="37" a="1"/>
  <c r="G241" i="37" s="1"/>
  <c r="H241" i="37" s="1"/>
  <c r="F226" i="37" a="1"/>
  <c r="F226" i="37" s="1"/>
  <c r="I226" i="37" s="1"/>
  <c r="G218" i="37" a="1"/>
  <c r="G218" i="37" s="1"/>
  <c r="F203" i="37" a="1"/>
  <c r="F203" i="37" s="1"/>
  <c r="I203" i="37" s="1"/>
  <c r="G195" i="37" a="1"/>
  <c r="G195" i="37" s="1"/>
  <c r="H195" i="37" s="1"/>
  <c r="F176" i="37" a="1"/>
  <c r="F176" i="37" s="1"/>
  <c r="G168" i="37" a="1"/>
  <c r="G168" i="37" s="1"/>
  <c r="H168" i="37" s="1"/>
  <c r="F153" i="37" a="1"/>
  <c r="F153" i="37" s="1"/>
  <c r="G145" i="37" a="1"/>
  <c r="G145" i="37" s="1"/>
  <c r="H145" i="37" s="1"/>
  <c r="F130" i="37" a="1"/>
  <c r="F130" i="37" s="1"/>
  <c r="G122" i="37" a="1"/>
  <c r="G122" i="37" s="1"/>
  <c r="H122" i="37" s="1"/>
  <c r="F107" i="37" a="1"/>
  <c r="F107" i="37" s="1"/>
  <c r="F103" i="37" a="1"/>
  <c r="F103" i="37" s="1"/>
  <c r="I103" i="37" s="1"/>
  <c r="G95" i="37" a="1"/>
  <c r="G95" i="37" s="1"/>
  <c r="H95" i="37" s="1"/>
  <c r="F80" i="37" a="1"/>
  <c r="F80" i="37" s="1"/>
  <c r="G72" i="37" a="1"/>
  <c r="G72" i="37" s="1"/>
  <c r="H72" i="37" s="1"/>
  <c r="F57" i="37" a="1"/>
  <c r="F57" i="37" s="1"/>
  <c r="G49" i="37" a="1"/>
  <c r="G49" i="37" s="1"/>
  <c r="F34" i="37" a="1"/>
  <c r="F34" i="37" s="1"/>
  <c r="G26" i="37" a="1"/>
  <c r="G26" i="37" s="1"/>
  <c r="H26" i="37" s="1"/>
  <c r="G22" i="37" a="1"/>
  <c r="G22" i="37" s="1"/>
  <c r="H22" i="37" s="1"/>
  <c r="F7" i="37" a="1"/>
  <c r="F7" i="37" s="1"/>
  <c r="F638" i="37" a="1"/>
  <c r="F638" i="37" s="1"/>
  <c r="I638" i="37" s="1"/>
  <c r="F629" i="37" a="1"/>
  <c r="F629" i="37" s="1"/>
  <c r="G624" i="37" a="1"/>
  <c r="G624" i="37" s="1"/>
  <c r="H624" i="37" s="1"/>
  <c r="G610" i="37" a="1"/>
  <c r="G610" i="37" s="1"/>
  <c r="H610" i="37" s="1"/>
  <c r="F587" i="37" a="1"/>
  <c r="F587" i="37" s="1"/>
  <c r="I587" i="37" s="1"/>
  <c r="F573" i="37" a="1"/>
  <c r="F573" i="37" s="1"/>
  <c r="G568" i="37" a="1"/>
  <c r="G568" i="37" s="1"/>
  <c r="H568" i="37" s="1"/>
  <c r="G559" i="37" a="1"/>
  <c r="G559" i="37" s="1"/>
  <c r="H559" i="37" s="1"/>
  <c r="G604" i="37" a="1"/>
  <c r="G604" i="37" s="1"/>
  <c r="H604" i="37" s="1"/>
  <c r="F595" i="37" a="1"/>
  <c r="F595" i="37" s="1"/>
  <c r="F553" i="37" a="1"/>
  <c r="F553" i="37" s="1"/>
  <c r="I553" i="37" s="1"/>
  <c r="G534" i="37" a="1"/>
  <c r="G534" i="37" s="1"/>
  <c r="H534" i="37" s="1"/>
  <c r="G525" i="37" a="1"/>
  <c r="G525" i="37" s="1"/>
  <c r="H525" i="37" s="1"/>
  <c r="F516" i="37" a="1"/>
  <c r="F516" i="37" s="1"/>
  <c r="F502" i="37" a="1"/>
  <c r="F502" i="37" s="1"/>
  <c r="G497" i="37" a="1"/>
  <c r="G497" i="37" s="1"/>
  <c r="H497" i="37" s="1"/>
  <c r="G483" i="37" a="1"/>
  <c r="G483" i="37" s="1"/>
  <c r="H483" i="37" s="1"/>
  <c r="G474" i="37" a="1"/>
  <c r="G474" i="37" s="1"/>
  <c r="H474" i="37" s="1"/>
  <c r="F446" i="37" a="1"/>
  <c r="F446" i="37" s="1"/>
  <c r="G432" i="37" a="1"/>
  <c r="G432" i="37" s="1"/>
  <c r="H432" i="37" s="1"/>
  <c r="F404" i="37" a="1"/>
  <c r="F404" i="37" s="1"/>
  <c r="F395" i="37" a="1"/>
  <c r="F395" i="37" s="1"/>
  <c r="F386" i="37" a="1"/>
  <c r="F386" i="37" s="1"/>
  <c r="I386" i="37" s="1"/>
  <c r="F381" i="37" a="1"/>
  <c r="F381" i="37" s="1"/>
  <c r="I381" i="37" s="1"/>
  <c r="G376" i="37" a="1"/>
  <c r="G376" i="37" s="1"/>
  <c r="H376" i="37" s="1"/>
  <c r="G353" i="37" a="1"/>
  <c r="G353" i="37" s="1"/>
  <c r="H353" i="37" s="1"/>
  <c r="F290" i="37" a="1"/>
  <c r="F290" i="37" s="1"/>
  <c r="I290" i="37" s="1"/>
  <c r="F286" i="37" a="1"/>
  <c r="F286" i="37" s="1"/>
  <c r="G278" i="37" a="1"/>
  <c r="G278" i="37" s="1"/>
  <c r="H278" i="37" s="1"/>
  <c r="G627" i="37" a="1"/>
  <c r="G627" i="37" s="1"/>
  <c r="H627" i="37" s="1"/>
  <c r="F622" i="37" a="1"/>
  <c r="F622" i="37" s="1"/>
  <c r="G584" i="37" a="1"/>
  <c r="G584" i="37" s="1"/>
  <c r="H584" i="37" s="1"/>
  <c r="F579" i="37" a="1"/>
  <c r="F579" i="37" s="1"/>
  <c r="F574" i="37" a="1"/>
  <c r="F574" i="37" s="1"/>
  <c r="F568" i="37" a="1"/>
  <c r="F568" i="37" s="1"/>
  <c r="F563" i="37" a="1"/>
  <c r="F563" i="37" s="1"/>
  <c r="G547" i="37" a="1"/>
  <c r="G547" i="37" s="1"/>
  <c r="H547" i="37" s="1"/>
  <c r="F542" i="37" a="1"/>
  <c r="F542" i="37" s="1"/>
  <c r="F537" i="37" a="1"/>
  <c r="F537" i="37" s="1"/>
  <c r="F532" i="37" a="1"/>
  <c r="F532" i="37" s="1"/>
  <c r="G511" i="37" a="1"/>
  <c r="G511" i="37" s="1"/>
  <c r="H511" i="37" s="1"/>
  <c r="F496" i="37" a="1"/>
  <c r="F496" i="37" s="1"/>
  <c r="F491" i="37" a="1"/>
  <c r="F491" i="37" s="1"/>
  <c r="F486" i="37" a="1"/>
  <c r="F486" i="37" s="1"/>
  <c r="G465" i="37" a="1"/>
  <c r="G465" i="37" s="1"/>
  <c r="H465" i="37" s="1"/>
  <c r="G460" i="37" a="1"/>
  <c r="G460" i="37" s="1"/>
  <c r="H460" i="37" s="1"/>
  <c r="F455" i="37" a="1"/>
  <c r="F455" i="37" s="1"/>
  <c r="F445" i="37" a="1"/>
  <c r="F445" i="37" s="1"/>
  <c r="I445" i="37" s="1"/>
  <c r="G419" i="37" a="1"/>
  <c r="G419" i="37" s="1"/>
  <c r="G409" i="37" a="1"/>
  <c r="G409" i="37" s="1"/>
  <c r="H409" i="37" s="1"/>
  <c r="F394" i="37" a="1"/>
  <c r="F394" i="37" s="1"/>
  <c r="G368" i="37" a="1"/>
  <c r="G368" i="37" s="1"/>
  <c r="H368" i="37" s="1"/>
  <c r="F353" i="37" a="1"/>
  <c r="F353" i="37" s="1"/>
  <c r="G343" i="37" a="1"/>
  <c r="G343" i="37" s="1"/>
  <c r="H343" i="37" s="1"/>
  <c r="G319" i="37" a="1"/>
  <c r="G319" i="37" s="1"/>
  <c r="H319" i="37" s="1"/>
  <c r="G310" i="37" a="1"/>
  <c r="G310" i="37" s="1"/>
  <c r="H310" i="37" s="1"/>
  <c r="F297" i="37" a="1"/>
  <c r="F297" i="37" s="1"/>
  <c r="F284" i="37" a="1"/>
  <c r="F284" i="37" s="1"/>
  <c r="G275" i="37" a="1"/>
  <c r="G275" i="37" s="1"/>
  <c r="H275" i="37" s="1"/>
  <c r="G271" i="37" a="1"/>
  <c r="G271" i="37" s="1"/>
  <c r="H271" i="37" s="1"/>
  <c r="G267" i="37" a="1"/>
  <c r="G267" i="37" s="1"/>
  <c r="H267" i="37" s="1"/>
  <c r="G263" i="37" a="1"/>
  <c r="G263" i="37" s="1"/>
  <c r="H263" i="37" s="1"/>
  <c r="G259" i="37" a="1"/>
  <c r="G259" i="37" s="1"/>
  <c r="H259" i="37" s="1"/>
  <c r="G255" i="37" a="1"/>
  <c r="G255" i="37" s="1"/>
  <c r="H255" i="37" s="1"/>
  <c r="G251" i="37" a="1"/>
  <c r="G251" i="37" s="1"/>
  <c r="H251" i="37" s="1"/>
  <c r="G247" i="37" a="1"/>
  <c r="G247" i="37" s="1"/>
  <c r="H247" i="37" s="1"/>
  <c r="G243" i="37" a="1"/>
  <c r="G243" i="37" s="1"/>
  <c r="H243" i="37" s="1"/>
  <c r="G239" i="37" a="1"/>
  <c r="G239" i="37" s="1"/>
  <c r="I239" i="37" s="1"/>
  <c r="G235" i="37" a="1"/>
  <c r="G235" i="37" s="1"/>
  <c r="H235" i="37" s="1"/>
  <c r="F199" i="37" a="1"/>
  <c r="F199" i="37" s="1"/>
  <c r="I199" i="37" s="1"/>
  <c r="F195" i="37" a="1"/>
  <c r="F195" i="37" s="1"/>
  <c r="I195" i="37" s="1"/>
  <c r="G620" i="37" a="1"/>
  <c r="G620" i="37" s="1"/>
  <c r="H620" i="37" s="1"/>
  <c r="G609" i="37" a="1"/>
  <c r="G609" i="37" s="1"/>
  <c r="H609" i="37" s="1"/>
  <c r="G598" i="37" a="1"/>
  <c r="G598" i="37" s="1"/>
  <c r="H598" i="37" s="1"/>
  <c r="G593" i="37" a="1"/>
  <c r="G593" i="37" s="1"/>
  <c r="H593" i="37" s="1"/>
  <c r="F588" i="37" a="1"/>
  <c r="F588" i="37" s="1"/>
  <c r="I588" i="37" s="1"/>
  <c r="G582" i="37" a="1"/>
  <c r="G582" i="37" s="1"/>
  <c r="H582" i="37" s="1"/>
  <c r="G566" i="37" a="1"/>
  <c r="G566" i="37" s="1"/>
  <c r="H566" i="37" s="1"/>
  <c r="G540" i="37" a="1"/>
  <c r="G540" i="37" s="1"/>
  <c r="H540" i="37" s="1"/>
  <c r="F530" i="37" a="1"/>
  <c r="F530" i="37" s="1"/>
  <c r="G499" i="37" a="1"/>
  <c r="G499" i="37" s="1"/>
  <c r="H499" i="37" s="1"/>
  <c r="F479" i="37" a="1"/>
  <c r="F479" i="37" s="1"/>
  <c r="G453" i="37" a="1"/>
  <c r="G453" i="37" s="1"/>
  <c r="H453" i="37" s="1"/>
  <c r="G448" i="37" a="1"/>
  <c r="G448" i="37" s="1"/>
  <c r="H448" i="37" s="1"/>
  <c r="F428" i="37" a="1"/>
  <c r="F428" i="37" s="1"/>
  <c r="G422" i="37" a="1"/>
  <c r="G422" i="37" s="1"/>
  <c r="H422" i="37" s="1"/>
  <c r="G402" i="37" a="1"/>
  <c r="G402" i="37" s="1"/>
  <c r="H402" i="37" s="1"/>
  <c r="G397" i="37" a="1"/>
  <c r="G397" i="37" s="1"/>
  <c r="H397" i="37" s="1"/>
  <c r="G366" i="37" a="1"/>
  <c r="G366" i="37" s="1"/>
  <c r="H366" i="37" s="1"/>
  <c r="G351" i="37" a="1"/>
  <c r="G351" i="37" s="1"/>
  <c r="H351" i="37" s="1"/>
  <c r="G341" i="37" a="1"/>
  <c r="G341" i="37" s="1"/>
  <c r="H341" i="37" s="1"/>
  <c r="F332" i="37" a="1"/>
  <c r="F332" i="37" s="1"/>
  <c r="I332" i="37" s="1"/>
  <c r="F327" i="37" a="1"/>
  <c r="F327" i="37" s="1"/>
  <c r="I327" i="37" s="1"/>
  <c r="G322" i="37" a="1"/>
  <c r="G322" i="37" s="1"/>
  <c r="H322" i="37" s="1"/>
  <c r="G304" i="37" a="1"/>
  <c r="G304" i="37" s="1"/>
  <c r="H304" i="37" s="1"/>
  <c r="F300" i="37" a="1"/>
  <c r="F300" i="37" s="1"/>
  <c r="I300" i="37" s="1"/>
  <c r="G295" i="37" a="1"/>
  <c r="G295" i="37" s="1"/>
  <c r="H295" i="37" s="1"/>
  <c r="F291" i="37" a="1"/>
  <c r="F291" i="37" s="1"/>
  <c r="G282" i="37" a="1"/>
  <c r="G282" i="37" s="1"/>
  <c r="H282" i="37" s="1"/>
  <c r="F278" i="37" a="1"/>
  <c r="F278" i="37" s="1"/>
  <c r="F274" i="37" a="1"/>
  <c r="F274" i="37" s="1"/>
  <c r="F270" i="37" a="1"/>
  <c r="F270" i="37" s="1"/>
  <c r="F266" i="37" a="1"/>
  <c r="F266" i="37" s="1"/>
  <c r="F262" i="37" a="1"/>
  <c r="F262" i="37" s="1"/>
  <c r="F258" i="37" a="1"/>
  <c r="F258" i="37" s="1"/>
  <c r="F254" i="37" a="1"/>
  <c r="F254" i="37" s="1"/>
  <c r="F250" i="37" a="1"/>
  <c r="F250" i="37" s="1"/>
  <c r="G165" i="37" a="1"/>
  <c r="G165" i="37" s="1"/>
  <c r="H165" i="37" s="1"/>
  <c r="G161" i="37" a="1"/>
  <c r="G161" i="37" s="1"/>
  <c r="H161" i="37" s="1"/>
  <c r="G157" i="37" a="1"/>
  <c r="G157" i="37" s="1"/>
  <c r="H157" i="37" s="1"/>
  <c r="G153" i="37" a="1"/>
  <c r="G153" i="37" s="1"/>
  <c r="H153" i="37" s="1"/>
  <c r="G149" i="37" a="1"/>
  <c r="G149" i="37" s="1"/>
  <c r="H149" i="37" s="1"/>
  <c r="F125" i="37" a="1"/>
  <c r="F125" i="37" s="1"/>
  <c r="I125" i="37" s="1"/>
  <c r="F121" i="37" a="1"/>
  <c r="F121" i="37" s="1"/>
  <c r="F117" i="37" a="1"/>
  <c r="F117" i="37" s="1"/>
  <c r="I117" i="37" s="1"/>
  <c r="F113" i="37" a="1"/>
  <c r="F113" i="37" s="1"/>
  <c r="F109" i="37" a="1"/>
  <c r="F109" i="37" s="1"/>
  <c r="F105" i="37" a="1"/>
  <c r="F105" i="37" s="1"/>
  <c r="I105" i="37" s="1"/>
  <c r="F101" i="37" a="1"/>
  <c r="F101" i="37" s="1"/>
  <c r="F97" i="37" a="1"/>
  <c r="F97" i="37" s="1"/>
  <c r="F93" i="37" a="1"/>
  <c r="F93" i="37" s="1"/>
  <c r="I93" i="37" s="1"/>
  <c r="F89" i="37" a="1"/>
  <c r="F89" i="37" s="1"/>
  <c r="F85" i="37" a="1"/>
  <c r="F85" i="37" s="1"/>
  <c r="F636" i="37" a="1"/>
  <c r="F636" i="37" s="1"/>
  <c r="G625" i="37" a="1"/>
  <c r="G625" i="37" s="1"/>
  <c r="H625" i="37" s="1"/>
  <c r="F620" i="37" a="1"/>
  <c r="F620" i="37" s="1"/>
  <c r="G614" i="37" a="1"/>
  <c r="G614" i="37" s="1"/>
  <c r="H614" i="37" s="1"/>
  <c r="F582" i="37" a="1"/>
  <c r="F582" i="37" s="1"/>
  <c r="G571" i="37" a="1"/>
  <c r="G571" i="37" s="1"/>
  <c r="H571" i="37" s="1"/>
  <c r="F545" i="37" a="1"/>
  <c r="F545" i="37" s="1"/>
  <c r="G519" i="37" a="1"/>
  <c r="G519" i="37" s="1"/>
  <c r="H519" i="37" s="1"/>
  <c r="G514" i="37" a="1"/>
  <c r="G514" i="37" s="1"/>
  <c r="H514" i="37" s="1"/>
  <c r="G509" i="37" a="1"/>
  <c r="G509" i="37" s="1"/>
  <c r="H509" i="37" s="1"/>
  <c r="F494" i="37" a="1"/>
  <c r="F494" i="37" s="1"/>
  <c r="F623" i="37" a="1"/>
  <c r="F623" i="37" s="1"/>
  <c r="I623" i="37" s="1"/>
  <c r="F598" i="37" a="1"/>
  <c r="F598" i="37" s="1"/>
  <c r="G567" i="37" a="1"/>
  <c r="G567" i="37" s="1"/>
  <c r="H567" i="37" s="1"/>
  <c r="F561" i="37" a="1"/>
  <c r="F561" i="37" s="1"/>
  <c r="F543" i="37" a="1"/>
  <c r="F543" i="37" s="1"/>
  <c r="I543" i="37" s="1"/>
  <c r="G537" i="37" a="1"/>
  <c r="G537" i="37" s="1"/>
  <c r="H537" i="37" s="1"/>
  <c r="F519" i="37" a="1"/>
  <c r="F519" i="37" s="1"/>
  <c r="I519" i="37" s="1"/>
  <c r="G513" i="37" a="1"/>
  <c r="G513" i="37" s="1"/>
  <c r="H513" i="37" s="1"/>
  <c r="G507" i="37" a="1"/>
  <c r="G507" i="37" s="1"/>
  <c r="H507" i="37" s="1"/>
  <c r="F490" i="37" a="1"/>
  <c r="F490" i="37" s="1"/>
  <c r="F478" i="37" a="1"/>
  <c r="F478" i="37" s="1"/>
  <c r="I478" i="37" s="1"/>
  <c r="G472" i="37" a="1"/>
  <c r="G472" i="37" s="1"/>
  <c r="H472" i="37" s="1"/>
  <c r="F467" i="37" a="1"/>
  <c r="F467" i="37" s="1"/>
  <c r="G444" i="37" a="1"/>
  <c r="G444" i="37" s="1"/>
  <c r="H444" i="37" s="1"/>
  <c r="F433" i="37" a="1"/>
  <c r="F433" i="37" s="1"/>
  <c r="F427" i="37" a="1"/>
  <c r="F427" i="37" s="1"/>
  <c r="G416" i="37" a="1"/>
  <c r="G416" i="37" s="1"/>
  <c r="H416" i="37" s="1"/>
  <c r="F388" i="37" a="1"/>
  <c r="F388" i="37" s="1"/>
  <c r="F371" i="37" a="1"/>
  <c r="F371" i="37" s="1"/>
  <c r="G365" i="37" a="1"/>
  <c r="G365" i="37" s="1"/>
  <c r="H365" i="37" s="1"/>
  <c r="F360" i="37" a="1"/>
  <c r="F360" i="37" s="1"/>
  <c r="F349" i="37" a="1"/>
  <c r="F349" i="37" s="1"/>
  <c r="G338" i="37" a="1"/>
  <c r="G338" i="37" s="1"/>
  <c r="H338" i="37" s="1"/>
  <c r="F333" i="37" a="1"/>
  <c r="F333" i="37" s="1"/>
  <c r="I333" i="37" s="1"/>
  <c r="G317" i="37" a="1"/>
  <c r="G317" i="37" s="1"/>
  <c r="H317" i="37" s="1"/>
  <c r="F293" i="37" a="1"/>
  <c r="F293" i="37" s="1"/>
  <c r="F288" i="37" a="1"/>
  <c r="F288" i="37" s="1"/>
  <c r="I288" i="37" s="1"/>
  <c r="G283" i="37" a="1"/>
  <c r="G283" i="37" s="1"/>
  <c r="H283" i="37" s="1"/>
  <c r="G265" i="37" a="1"/>
  <c r="G265" i="37" s="1"/>
  <c r="H265" i="37" s="1"/>
  <c r="F261" i="37" a="1"/>
  <c r="F261" i="37" s="1"/>
  <c r="G256" i="37" a="1"/>
  <c r="G256" i="37" s="1"/>
  <c r="H256" i="37" s="1"/>
  <c r="F252" i="37" a="1"/>
  <c r="F252" i="37" s="1"/>
  <c r="G234" i="37" a="1"/>
  <c r="G234" i="37" s="1"/>
  <c r="H234" i="37" s="1"/>
  <c r="F230" i="37" a="1"/>
  <c r="F230" i="37" s="1"/>
  <c r="G225" i="37" a="1"/>
  <c r="G225" i="37" s="1"/>
  <c r="H225" i="37" s="1"/>
  <c r="F221" i="37" a="1"/>
  <c r="F221" i="37" s="1"/>
  <c r="G194" i="37" a="1"/>
  <c r="G194" i="37" s="1"/>
  <c r="H194" i="37" s="1"/>
  <c r="F190" i="37" a="1"/>
  <c r="F190" i="37" s="1"/>
  <c r="G172" i="37" a="1"/>
  <c r="G172" i="37" s="1"/>
  <c r="H172" i="37" s="1"/>
  <c r="F155" i="37" a="1"/>
  <c r="F155" i="37" s="1"/>
  <c r="G142" i="37" a="1"/>
  <c r="G142" i="37" s="1"/>
  <c r="H142" i="37" s="1"/>
  <c r="F134" i="37" a="1"/>
  <c r="F134" i="37" s="1"/>
  <c r="G104" i="37" a="1"/>
  <c r="G104" i="37" s="1"/>
  <c r="H104" i="37" s="1"/>
  <c r="F96" i="37" a="1"/>
  <c r="F96" i="37" s="1"/>
  <c r="I96" i="37" s="1"/>
  <c r="G87" i="37" a="1"/>
  <c r="G87" i="37" s="1"/>
  <c r="H87" i="37" s="1"/>
  <c r="F79" i="37" a="1"/>
  <c r="F79" i="37" s="1"/>
  <c r="G66" i="37" a="1"/>
  <c r="G66" i="37" s="1"/>
  <c r="H66" i="37" s="1"/>
  <c r="F58" i="37" a="1"/>
  <c r="F58" i="37" s="1"/>
  <c r="G45" i="37" a="1"/>
  <c r="G45" i="37" s="1"/>
  <c r="H45" i="37" s="1"/>
  <c r="G28" i="37" a="1"/>
  <c r="G28" i="37" s="1"/>
  <c r="H28" i="37" s="1"/>
  <c r="F20" i="37" a="1"/>
  <c r="F20" i="37" s="1"/>
  <c r="G7" i="37" a="1"/>
  <c r="G7" i="37" s="1"/>
  <c r="H7" i="37" s="1"/>
  <c r="G629" i="37" a="1"/>
  <c r="G629" i="37" s="1"/>
  <c r="H629" i="37" s="1"/>
  <c r="F617" i="37" a="1"/>
  <c r="F617" i="37" s="1"/>
  <c r="F567" i="37" a="1"/>
  <c r="F567" i="37" s="1"/>
  <c r="G560" i="37" a="1"/>
  <c r="G560" i="37" s="1"/>
  <c r="H560" i="37" s="1"/>
  <c r="F525" i="37" a="1"/>
  <c r="F525" i="37" s="1"/>
  <c r="G501" i="37" a="1"/>
  <c r="G501" i="37" s="1"/>
  <c r="H501" i="37" s="1"/>
  <c r="G495" i="37" a="1"/>
  <c r="G495" i="37" s="1"/>
  <c r="H495" i="37" s="1"/>
  <c r="F472" i="37" a="1"/>
  <c r="F472" i="37" s="1"/>
  <c r="F444" i="37" a="1"/>
  <c r="F444" i="37" s="1"/>
  <c r="G421" i="37" a="1"/>
  <c r="G421" i="37" s="1"/>
  <c r="H421" i="37" s="1"/>
  <c r="F405" i="37" a="1"/>
  <c r="F405" i="37" s="1"/>
  <c r="F399" i="37" a="1"/>
  <c r="F399" i="37" s="1"/>
  <c r="G382" i="37" a="1"/>
  <c r="G382" i="37" s="1"/>
  <c r="H382" i="37" s="1"/>
  <c r="F338" i="37" a="1"/>
  <c r="F338" i="37" s="1"/>
  <c r="F322" i="37" a="1"/>
  <c r="F322" i="37" s="1"/>
  <c r="G312" i="37" a="1"/>
  <c r="G312" i="37" s="1"/>
  <c r="H312" i="37" s="1"/>
  <c r="G307" i="37" a="1"/>
  <c r="G307" i="37" s="1"/>
  <c r="H307" i="37" s="1"/>
  <c r="F243" i="37" a="1"/>
  <c r="F243" i="37" s="1"/>
  <c r="G216" i="37" a="1"/>
  <c r="G216" i="37" s="1"/>
  <c r="H216" i="37" s="1"/>
  <c r="F212" i="37" a="1"/>
  <c r="F212" i="37" s="1"/>
  <c r="I212" i="37" s="1"/>
  <c r="G203" i="37" a="1"/>
  <c r="G203" i="37" s="1"/>
  <c r="H203" i="37" s="1"/>
  <c r="G185" i="37" a="1"/>
  <c r="G185" i="37" s="1"/>
  <c r="H185" i="37" s="1"/>
  <c r="F181" i="37" a="1"/>
  <c r="F181" i="37" s="1"/>
  <c r="F172" i="37" a="1"/>
  <c r="F172" i="37" s="1"/>
  <c r="G163" i="37" a="1"/>
  <c r="G163" i="37" s="1"/>
  <c r="H163" i="37" s="1"/>
  <c r="F159" i="37" a="1"/>
  <c r="F159" i="37" s="1"/>
  <c r="G146" i="37" a="1"/>
  <c r="G146" i="37" s="1"/>
  <c r="H146" i="37" s="1"/>
  <c r="F138" i="37" a="1"/>
  <c r="F138" i="37" s="1"/>
  <c r="G125" i="37" a="1"/>
  <c r="G125" i="37" s="1"/>
  <c r="H125" i="37" s="1"/>
  <c r="G108" i="37" a="1"/>
  <c r="G108" i="37" s="1"/>
  <c r="H108" i="37" s="1"/>
  <c r="F100" i="37" a="1"/>
  <c r="F100" i="37" s="1"/>
  <c r="G91" i="37" a="1"/>
  <c r="G91" i="37" s="1"/>
  <c r="H91" i="37" s="1"/>
  <c r="F83" i="37" a="1"/>
  <c r="F83" i="37" s="1"/>
  <c r="F62" i="37" a="1"/>
  <c r="F62" i="37" s="1"/>
  <c r="F41" i="37" a="1"/>
  <c r="F41" i="37" s="1"/>
  <c r="I41" i="37" s="1"/>
  <c r="G32" i="37" a="1"/>
  <c r="G32" i="37" s="1"/>
  <c r="H32" i="37" s="1"/>
  <c r="F24" i="37" a="1"/>
  <c r="F24" i="37" s="1"/>
  <c r="G11" i="37" a="1"/>
  <c r="G11" i="37" s="1"/>
  <c r="H11" i="37" s="1"/>
  <c r="G635" i="37" a="1"/>
  <c r="G635" i="37" s="1"/>
  <c r="H635" i="37" s="1"/>
  <c r="G591" i="37" a="1"/>
  <c r="G591" i="37" s="1"/>
  <c r="H591" i="37" s="1"/>
  <c r="G585" i="37" a="1"/>
  <c r="G585" i="37" s="1"/>
  <c r="H585" i="37" s="1"/>
  <c r="G554" i="37" a="1"/>
  <c r="G554" i="37" s="1"/>
  <c r="H554" i="37" s="1"/>
  <c r="G542" i="37" a="1"/>
  <c r="G542" i="37" s="1"/>
  <c r="H542" i="37" s="1"/>
  <c r="G524" i="37" a="1"/>
  <c r="G524" i="37" s="1"/>
  <c r="H524" i="37" s="1"/>
  <c r="F507" i="37" a="1"/>
  <c r="F507" i="37" s="1"/>
  <c r="I507" i="37" s="1"/>
  <c r="F501" i="37" a="1"/>
  <c r="F501" i="37" s="1"/>
  <c r="F483" i="37" a="1"/>
  <c r="F483" i="37" s="1"/>
  <c r="G466" i="37" a="1"/>
  <c r="G466" i="37" s="1"/>
  <c r="H466" i="37" s="1"/>
  <c r="G449" i="37" a="1"/>
  <c r="G449" i="37" s="1"/>
  <c r="H449" i="37" s="1"/>
  <c r="F438" i="37" a="1"/>
  <c r="F438" i="37" s="1"/>
  <c r="F410" i="37" a="1"/>
  <c r="F410" i="37" s="1"/>
  <c r="G393" i="37" a="1"/>
  <c r="G393" i="37" s="1"/>
  <c r="H393" i="37" s="1"/>
  <c r="F382" i="37" a="1"/>
  <c r="F382" i="37" s="1"/>
  <c r="F376" i="37" a="1"/>
  <c r="F376" i="37" s="1"/>
  <c r="F365" i="37" a="1"/>
  <c r="F365" i="37" s="1"/>
  <c r="G359" i="37" a="1"/>
  <c r="G359" i="37" s="1"/>
  <c r="H359" i="37" s="1"/>
  <c r="F317" i="37" a="1"/>
  <c r="F317" i="37" s="1"/>
  <c r="F312" i="37" a="1"/>
  <c r="F312" i="37" s="1"/>
  <c r="F307" i="37" a="1"/>
  <c r="F307" i="37" s="1"/>
  <c r="G302" i="37" a="1"/>
  <c r="G302" i="37" s="1"/>
  <c r="H302" i="37" s="1"/>
  <c r="G297" i="37" a="1"/>
  <c r="G297" i="37" s="1"/>
  <c r="H297" i="37" s="1"/>
  <c r="G292" i="37" a="1"/>
  <c r="G292" i="37" s="1"/>
  <c r="F283" i="37" a="1"/>
  <c r="F283" i="37" s="1"/>
  <c r="G269" i="37" a="1"/>
  <c r="G269" i="37" s="1"/>
  <c r="H269" i="37" s="1"/>
  <c r="F265" i="37" a="1"/>
  <c r="F265" i="37" s="1"/>
  <c r="I265" i="37" s="1"/>
  <c r="G260" i="37" a="1"/>
  <c r="G260" i="37" s="1"/>
  <c r="H260" i="37" s="1"/>
  <c r="F256" i="37" a="1"/>
  <c r="F256" i="37" s="1"/>
  <c r="I256" i="37" s="1"/>
  <c r="G238" i="37" a="1"/>
  <c r="G238" i="37" s="1"/>
  <c r="H238" i="37" s="1"/>
  <c r="F234" i="37" a="1"/>
  <c r="F234" i="37" s="1"/>
  <c r="I234" i="37" s="1"/>
  <c r="G229" i="37" a="1"/>
  <c r="G229" i="37" s="1"/>
  <c r="H229" i="37" s="1"/>
  <c r="F225" i="37" a="1"/>
  <c r="F225" i="37" s="1"/>
  <c r="I225" i="37" s="1"/>
  <c r="G198" i="37" a="1"/>
  <c r="G198" i="37" s="1"/>
  <c r="H198" i="37" s="1"/>
  <c r="F194" i="37" a="1"/>
  <c r="F194" i="37" s="1"/>
  <c r="I194" i="37" s="1"/>
  <c r="G594" i="37" a="1"/>
  <c r="G594" i="37" s="1"/>
  <c r="H594" i="37" s="1"/>
  <c r="G587" i="37" a="1"/>
  <c r="G587" i="37" s="1"/>
  <c r="H587" i="37" s="1"/>
  <c r="G580" i="37" a="1"/>
  <c r="G580" i="37" s="1"/>
  <c r="H580" i="37" s="1"/>
  <c r="G572" i="37" a="1"/>
  <c r="G572" i="37" s="1"/>
  <c r="H572" i="37" s="1"/>
  <c r="F538" i="37" a="1"/>
  <c r="F538" i="37" s="1"/>
  <c r="G531" i="37" a="1"/>
  <c r="G531" i="37" s="1"/>
  <c r="H531" i="37" s="1"/>
  <c r="G510" i="37" a="1"/>
  <c r="G510" i="37" s="1"/>
  <c r="H510" i="37" s="1"/>
  <c r="F497" i="37" a="1"/>
  <c r="F497" i="37" s="1"/>
  <c r="I497" i="37" s="1"/>
  <c r="G490" i="37" a="1"/>
  <c r="G490" i="37" s="1"/>
  <c r="H490" i="37" s="1"/>
  <c r="F470" i="37" a="1"/>
  <c r="F470" i="37" s="1"/>
  <c r="I470" i="37" s="1"/>
  <c r="G463" i="37" a="1"/>
  <c r="G463" i="37" s="1"/>
  <c r="H463" i="37" s="1"/>
  <c r="F457" i="37" a="1"/>
  <c r="F457" i="37" s="1"/>
  <c r="F437" i="37" a="1"/>
  <c r="F437" i="37" s="1"/>
  <c r="I437" i="37" s="1"/>
  <c r="G424" i="37" a="1"/>
  <c r="G424" i="37" s="1"/>
  <c r="H424" i="37" s="1"/>
  <c r="G411" i="37" a="1"/>
  <c r="G411" i="37" s="1"/>
  <c r="H411" i="37" s="1"/>
  <c r="G405" i="37" a="1"/>
  <c r="G405" i="37" s="1"/>
  <c r="H405" i="37" s="1"/>
  <c r="G391" i="37" a="1"/>
  <c r="G391" i="37" s="1"/>
  <c r="H391" i="37" s="1"/>
  <c r="G385" i="37" a="1"/>
  <c r="G385" i="37" s="1"/>
  <c r="H385" i="37" s="1"/>
  <c r="F379" i="37" a="1"/>
  <c r="F379" i="37" s="1"/>
  <c r="F359" i="37" a="1"/>
  <c r="F359" i="37" s="1"/>
  <c r="G334" i="37" a="1"/>
  <c r="G334" i="37" s="1"/>
  <c r="H334" i="37" s="1"/>
  <c r="G328" i="37" a="1"/>
  <c r="G328" i="37" s="1"/>
  <c r="H328" i="37" s="1"/>
  <c r="F305" i="37" a="1"/>
  <c r="F305" i="37" s="1"/>
  <c r="I305" i="37" s="1"/>
  <c r="G288" i="37" a="1"/>
  <c r="G288" i="37" s="1"/>
  <c r="H288" i="37" s="1"/>
  <c r="F282" i="37" a="1"/>
  <c r="F282" i="37" s="1"/>
  <c r="F277" i="37" a="1"/>
  <c r="F277" i="37" s="1"/>
  <c r="F272" i="37" a="1"/>
  <c r="F272" i="37" s="1"/>
  <c r="G246" i="37" a="1"/>
  <c r="G246" i="37" s="1"/>
  <c r="H246" i="37" s="1"/>
  <c r="F241" i="37" a="1"/>
  <c r="F241" i="37" s="1"/>
  <c r="I241" i="37" s="1"/>
  <c r="F231" i="37" a="1"/>
  <c r="F231" i="37" s="1"/>
  <c r="G220" i="37" a="1"/>
  <c r="G220" i="37" s="1"/>
  <c r="H220" i="37" s="1"/>
  <c r="G210" i="37" a="1"/>
  <c r="G210" i="37" s="1"/>
  <c r="G200" i="37" a="1"/>
  <c r="G200" i="37" s="1"/>
  <c r="H200" i="37" s="1"/>
  <c r="F170" i="37" a="1"/>
  <c r="F170" i="37" s="1"/>
  <c r="F165" i="37" a="1"/>
  <c r="F165" i="37" s="1"/>
  <c r="I165" i="37" s="1"/>
  <c r="G109" i="37" a="1"/>
  <c r="G109" i="37" s="1"/>
  <c r="H109" i="37" s="1"/>
  <c r="F95" i="37" a="1"/>
  <c r="F95" i="37" s="1"/>
  <c r="F86" i="37" a="1"/>
  <c r="F86" i="37" s="1"/>
  <c r="F72" i="37" a="1"/>
  <c r="F72" i="37" s="1"/>
  <c r="F63" i="37" a="1"/>
  <c r="F63" i="37" s="1"/>
  <c r="G58" i="37" a="1"/>
  <c r="G58" i="37" s="1"/>
  <c r="H58" i="37" s="1"/>
  <c r="F44" i="37" a="1"/>
  <c r="F44" i="37" s="1"/>
  <c r="F35" i="37" a="1"/>
  <c r="F35" i="37" s="1"/>
  <c r="F12" i="37" a="1"/>
  <c r="F12" i="37" s="1"/>
  <c r="F463" i="37" a="1"/>
  <c r="F463" i="37" s="1"/>
  <c r="G378" i="37" a="1"/>
  <c r="G378" i="37" s="1"/>
  <c r="H378" i="37" s="1"/>
  <c r="F340" i="37" a="1"/>
  <c r="F340" i="37" s="1"/>
  <c r="G321" i="37" a="1"/>
  <c r="G321" i="37" s="1"/>
  <c r="H321" i="37" s="1"/>
  <c r="G293" i="37" a="1"/>
  <c r="G293" i="37" s="1"/>
  <c r="H293" i="37" s="1"/>
  <c r="G630" i="37" a="1"/>
  <c r="G630" i="37" s="1"/>
  <c r="H630" i="37" s="1"/>
  <c r="G608" i="37" a="1"/>
  <c r="G608" i="37" s="1"/>
  <c r="H608" i="37" s="1"/>
  <c r="F580" i="37" a="1"/>
  <c r="F580" i="37" s="1"/>
  <c r="I580" i="37" s="1"/>
  <c r="G558" i="37" a="1"/>
  <c r="G558" i="37" s="1"/>
  <c r="H558" i="37" s="1"/>
  <c r="G530" i="37" a="1"/>
  <c r="G530" i="37" s="1"/>
  <c r="H530" i="37" s="1"/>
  <c r="F517" i="37" a="1"/>
  <c r="F517" i="37" s="1"/>
  <c r="I517" i="37" s="1"/>
  <c r="F510" i="37" a="1"/>
  <c r="F510" i="37" s="1"/>
  <c r="F503" i="37" a="1"/>
  <c r="F503" i="37" s="1"/>
  <c r="I503" i="37" s="1"/>
  <c r="F476" i="37" a="1"/>
  <c r="F476" i="37" s="1"/>
  <c r="F398" i="37" a="1"/>
  <c r="F398" i="37" s="1"/>
  <c r="G352" i="37" a="1"/>
  <c r="G352" i="37" s="1"/>
  <c r="H352" i="37" s="1"/>
  <c r="G346" i="37" a="1"/>
  <c r="G346" i="37" s="1"/>
  <c r="H346" i="37" s="1"/>
  <c r="G340" i="37" a="1"/>
  <c r="G340" i="37" s="1"/>
  <c r="H340" i="37" s="1"/>
  <c r="F316" i="37" a="1"/>
  <c r="F316" i="37" s="1"/>
  <c r="F310" i="37" a="1"/>
  <c r="F310" i="37" s="1"/>
  <c r="F299" i="37" a="1"/>
  <c r="F299" i="37" s="1"/>
  <c r="G287" i="37" a="1"/>
  <c r="G287" i="37" s="1"/>
  <c r="H287" i="37" s="1"/>
  <c r="F251" i="37" a="1"/>
  <c r="F251" i="37" s="1"/>
  <c r="F246" i="37" a="1"/>
  <c r="F246" i="37" s="1"/>
  <c r="F236" i="37" a="1"/>
  <c r="F236" i="37" s="1"/>
  <c r="G215" i="37" a="1"/>
  <c r="G215" i="37" s="1"/>
  <c r="H215" i="37" s="1"/>
  <c r="F205" i="37" a="1"/>
  <c r="F205" i="37" s="1"/>
  <c r="G189" i="37" a="1"/>
  <c r="G189" i="37" s="1"/>
  <c r="H189" i="37" s="1"/>
  <c r="G179" i="37" a="1"/>
  <c r="G179" i="37" s="1"/>
  <c r="H179" i="37" s="1"/>
  <c r="F160" i="37" a="1"/>
  <c r="F160" i="37" s="1"/>
  <c r="I160" i="37" s="1"/>
  <c r="F151" i="37" a="1"/>
  <c r="F151" i="37" s="1"/>
  <c r="F146" i="37" a="1"/>
  <c r="F146" i="37" s="1"/>
  <c r="I146" i="37" s="1"/>
  <c r="G141" i="37" a="1"/>
  <c r="G141" i="37" s="1"/>
  <c r="H141" i="37" s="1"/>
  <c r="F132" i="37" a="1"/>
  <c r="F132" i="37" s="1"/>
  <c r="F123" i="37" a="1"/>
  <c r="F123" i="37" s="1"/>
  <c r="G118" i="37" a="1"/>
  <c r="G118" i="37" s="1"/>
  <c r="G90" i="37" a="1"/>
  <c r="G90" i="37" s="1"/>
  <c r="H90" i="37" s="1"/>
  <c r="G81" i="37" a="1"/>
  <c r="G81" i="37" s="1"/>
  <c r="H81" i="37" s="1"/>
  <c r="G67" i="37" a="1"/>
  <c r="G67" i="37" s="1"/>
  <c r="H67" i="37" s="1"/>
  <c r="G53" i="37" a="1"/>
  <c r="G53" i="37" s="1"/>
  <c r="G39" i="37" a="1"/>
  <c r="G39" i="37" s="1"/>
  <c r="H39" i="37" s="1"/>
  <c r="G30" i="37" a="1"/>
  <c r="G30" i="37" s="1"/>
  <c r="H30" i="37" s="1"/>
  <c r="F21" i="37" a="1"/>
  <c r="F21" i="37" s="1"/>
  <c r="G16" i="37" a="1"/>
  <c r="G16" i="37" s="1"/>
  <c r="H16" i="37" s="1"/>
  <c r="G637" i="37" a="1"/>
  <c r="G637" i="37" s="1"/>
  <c r="H637" i="37" s="1"/>
  <c r="G622" i="37" a="1"/>
  <c r="G622" i="37" s="1"/>
  <c r="H622" i="37" s="1"/>
  <c r="G615" i="37" a="1"/>
  <c r="G615" i="37" s="1"/>
  <c r="H615" i="37" s="1"/>
  <c r="F594" i="37" a="1"/>
  <c r="F594" i="37" s="1"/>
  <c r="F572" i="37" a="1"/>
  <c r="F572" i="37" s="1"/>
  <c r="I572" i="37" s="1"/>
  <c r="G551" i="37" a="1"/>
  <c r="G551" i="37" s="1"/>
  <c r="H551" i="37" s="1"/>
  <c r="G544" i="37" a="1"/>
  <c r="G544" i="37" s="1"/>
  <c r="G496" i="37" a="1"/>
  <c r="G496" i="37" s="1"/>
  <c r="H496" i="37" s="1"/>
  <c r="G488" i="37" a="1"/>
  <c r="G488" i="37" s="1"/>
  <c r="H488" i="37" s="1"/>
  <c r="F469" i="37" a="1"/>
  <c r="F469" i="37" s="1"/>
  <c r="I469" i="37" s="1"/>
  <c r="F450" i="37" a="1"/>
  <c r="F450" i="37" s="1"/>
  <c r="F443" i="37" a="1"/>
  <c r="F443" i="37" s="1"/>
  <c r="G430" i="37" a="1"/>
  <c r="G430" i="37" s="1"/>
  <c r="H430" i="37" s="1"/>
  <c r="F424" i="37" a="1"/>
  <c r="F424" i="37" s="1"/>
  <c r="I424" i="37" s="1"/>
  <c r="F411" i="37" a="1"/>
  <c r="F411" i="37" s="1"/>
  <c r="I411" i="37" s="1"/>
  <c r="F391" i="37" a="1"/>
  <c r="F391" i="37" s="1"/>
  <c r="F372" i="37" a="1"/>
  <c r="F372" i="37" s="1"/>
  <c r="F334" i="37" a="1"/>
  <c r="F334" i="37" s="1"/>
  <c r="F328" i="37" a="1"/>
  <c r="F328" i="37" s="1"/>
  <c r="F613" i="37" a="1"/>
  <c r="F613" i="37" s="1"/>
  <c r="F610" i="37" a="1"/>
  <c r="F610" i="37" s="1"/>
  <c r="F602" i="37" a="1"/>
  <c r="F602" i="37" s="1"/>
  <c r="F576" i="37" a="1"/>
  <c r="F576" i="37" s="1"/>
  <c r="F552" i="37" a="1"/>
  <c r="F552" i="37" s="1"/>
  <c r="F528" i="37" a="1"/>
  <c r="F528" i="37" s="1"/>
  <c r="G512" i="37" a="1"/>
  <c r="G512" i="37" s="1"/>
  <c r="H512" i="37" s="1"/>
  <c r="F480" i="37" a="1"/>
  <c r="F480" i="37" s="1"/>
  <c r="F465" i="37" a="1"/>
  <c r="F465" i="37" s="1"/>
  <c r="I465" i="37" s="1"/>
  <c r="F451" i="37" a="1"/>
  <c r="F451" i="37" s="1"/>
  <c r="F442" i="37" a="1"/>
  <c r="F442" i="37" s="1"/>
  <c r="G435" i="37" a="1"/>
  <c r="G435" i="37" s="1"/>
  <c r="H435" i="37" s="1"/>
  <c r="G420" i="37" a="1"/>
  <c r="G420" i="37" s="1"/>
  <c r="H420" i="37" s="1"/>
  <c r="F390" i="37" a="1"/>
  <c r="F390" i="37" s="1"/>
  <c r="F352" i="37" a="1"/>
  <c r="F352" i="37" s="1"/>
  <c r="F345" i="37" a="1"/>
  <c r="F345" i="37" s="1"/>
  <c r="I345" i="37" s="1"/>
  <c r="G254" i="37" a="1"/>
  <c r="G254" i="37" s="1"/>
  <c r="H254" i="37" s="1"/>
  <c r="G231" i="37" a="1"/>
  <c r="G231" i="37" s="1"/>
  <c r="H231" i="37" s="1"/>
  <c r="F219" i="37" a="1"/>
  <c r="F219" i="37" s="1"/>
  <c r="F202" i="37" a="1"/>
  <c r="F202" i="37" s="1"/>
  <c r="G191" i="37" a="1"/>
  <c r="G191" i="37" s="1"/>
  <c r="H191" i="37" s="1"/>
  <c r="G158" i="37" a="1"/>
  <c r="G158" i="37" s="1"/>
  <c r="H158" i="37" s="1"/>
  <c r="G138" i="37" a="1"/>
  <c r="G138" i="37" s="1"/>
  <c r="H138" i="37" s="1"/>
  <c r="F601" i="37" a="1"/>
  <c r="F601" i="37" s="1"/>
  <c r="I601" i="37" s="1"/>
  <c r="F593" i="37" a="1"/>
  <c r="F593" i="37" s="1"/>
  <c r="G543" i="37" a="1"/>
  <c r="G543" i="37" s="1"/>
  <c r="H543" i="37" s="1"/>
  <c r="G535" i="37" a="1"/>
  <c r="G535" i="37" s="1"/>
  <c r="H535" i="37" s="1"/>
  <c r="F504" i="37" a="1"/>
  <c r="F504" i="37" s="1"/>
  <c r="G487" i="37" a="1"/>
  <c r="G487" i="37" s="1"/>
  <c r="H487" i="37" s="1"/>
  <c r="F420" i="37" a="1"/>
  <c r="F420" i="37" s="1"/>
  <c r="G396" i="37" a="1"/>
  <c r="G396" i="37" s="1"/>
  <c r="H396" i="37" s="1"/>
  <c r="G367" i="37" a="1"/>
  <c r="G367" i="37" s="1"/>
  <c r="H367" i="37" s="1"/>
  <c r="G360" i="37" a="1"/>
  <c r="G360" i="37" s="1"/>
  <c r="H360" i="37" s="1"/>
  <c r="G337" i="37" a="1"/>
  <c r="G337" i="37" s="1"/>
  <c r="H337" i="37" s="1"/>
  <c r="G330" i="37" a="1"/>
  <c r="G330" i="37" s="1"/>
  <c r="H330" i="37" s="1"/>
  <c r="F324" i="37" a="1"/>
  <c r="F324" i="37" s="1"/>
  <c r="G303" i="37" a="1"/>
  <c r="G303" i="37" s="1"/>
  <c r="H303" i="37" s="1"/>
  <c r="G272" i="37" a="1"/>
  <c r="G272" i="37" s="1"/>
  <c r="H272" i="37" s="1"/>
  <c r="G248" i="37" a="1"/>
  <c r="G248" i="37" s="1"/>
  <c r="H248" i="37" s="1"/>
  <c r="G242" i="37" a="1"/>
  <c r="G242" i="37" s="1"/>
  <c r="H242" i="37" s="1"/>
  <c r="G224" i="37" a="1"/>
  <c r="G224" i="37" s="1"/>
  <c r="H224" i="37" s="1"/>
  <c r="G213" i="37" a="1"/>
  <c r="G213" i="37" s="1"/>
  <c r="H213" i="37" s="1"/>
  <c r="F208" i="37" a="1"/>
  <c r="F208" i="37" s="1"/>
  <c r="I208" i="37" s="1"/>
  <c r="F191" i="37" a="1"/>
  <c r="F191" i="37" s="1"/>
  <c r="F185" i="37" a="1"/>
  <c r="F185" i="37" s="1"/>
  <c r="F174" i="37" a="1"/>
  <c r="F174" i="37" s="1"/>
  <c r="F158" i="37" a="1"/>
  <c r="F158" i="37" s="1"/>
  <c r="F148" i="37" a="1"/>
  <c r="F148" i="37" s="1"/>
  <c r="F143" i="37" a="1"/>
  <c r="F143" i="37" s="1"/>
  <c r="G127" i="37" a="1"/>
  <c r="G127" i="37" s="1"/>
  <c r="H127" i="37" s="1"/>
  <c r="G117" i="37" a="1"/>
  <c r="G117" i="37" s="1"/>
  <c r="H117" i="37" s="1"/>
  <c r="F112" i="37" a="1"/>
  <c r="F112" i="37" s="1"/>
  <c r="F102" i="37" a="1"/>
  <c r="F102" i="37" s="1"/>
  <c r="F92" i="37" a="1"/>
  <c r="F92" i="37" s="1"/>
  <c r="G636" i="37" a="1"/>
  <c r="G636" i="37" s="1"/>
  <c r="H636" i="37" s="1"/>
  <c r="G618" i="37" a="1"/>
  <c r="G618" i="37" s="1"/>
  <c r="H618" i="37" s="1"/>
  <c r="F584" i="37" a="1"/>
  <c r="F584" i="37" s="1"/>
  <c r="F520" i="37" a="1"/>
  <c r="F520" i="37" s="1"/>
  <c r="I520" i="37" s="1"/>
  <c r="F495" i="37" a="1"/>
  <c r="F495" i="37" s="1"/>
  <c r="F449" i="37" a="1"/>
  <c r="F449" i="37" s="1"/>
  <c r="I449" i="37" s="1"/>
  <c r="G412" i="37" a="1"/>
  <c r="G412" i="37" s="1"/>
  <c r="H412" i="37" s="1"/>
  <c r="G403" i="37" a="1"/>
  <c r="G403" i="37" s="1"/>
  <c r="H403" i="37" s="1"/>
  <c r="G374" i="37" a="1"/>
  <c r="G374" i="37" s="1"/>
  <c r="H374" i="37" s="1"/>
  <c r="F367" i="37" a="1"/>
  <c r="F367" i="37" s="1"/>
  <c r="F337" i="37" a="1"/>
  <c r="F337" i="37" s="1"/>
  <c r="G290" i="37" a="1"/>
  <c r="G290" i="37" s="1"/>
  <c r="H290" i="37" s="1"/>
  <c r="G284" i="37" a="1"/>
  <c r="G284" i="37" s="1"/>
  <c r="H284" i="37" s="1"/>
  <c r="G230" i="37" a="1"/>
  <c r="G230" i="37" s="1"/>
  <c r="H230" i="37" s="1"/>
  <c r="F224" i="37" a="1"/>
  <c r="F224" i="37" s="1"/>
  <c r="F213" i="37" a="1"/>
  <c r="F213" i="37" s="1"/>
  <c r="G207" i="37" a="1"/>
  <c r="G207" i="37" s="1"/>
  <c r="H207" i="37" s="1"/>
  <c r="G196" i="37" a="1"/>
  <c r="G196" i="37" s="1"/>
  <c r="F179" i="37" a="1"/>
  <c r="F179" i="37" s="1"/>
  <c r="F163" i="37" a="1"/>
  <c r="F163" i="37" s="1"/>
  <c r="G132" i="37" a="1"/>
  <c r="G132" i="37" s="1"/>
  <c r="H132" i="37" s="1"/>
  <c r="F76" i="37" a="1"/>
  <c r="F76" i="37" s="1"/>
  <c r="G576" i="37" a="1"/>
  <c r="G576" i="37" s="1"/>
  <c r="H576" i="37" s="1"/>
  <c r="F539" i="37" a="1"/>
  <c r="F539" i="37" s="1"/>
  <c r="F521" i="37" a="1"/>
  <c r="F521" i="37" s="1"/>
  <c r="I521" i="37" s="1"/>
  <c r="G492" i="37" a="1"/>
  <c r="G492" i="37" s="1"/>
  <c r="H492" i="37" s="1"/>
  <c r="G457" i="37" a="1"/>
  <c r="G457" i="37" s="1"/>
  <c r="H457" i="37" s="1"/>
  <c r="F431" i="37" a="1"/>
  <c r="F431" i="37" s="1"/>
  <c r="I431" i="37" s="1"/>
  <c r="F387" i="37" a="1"/>
  <c r="F387" i="37" s="1"/>
  <c r="F336" i="37" a="1"/>
  <c r="F336" i="37" s="1"/>
  <c r="G296" i="37" a="1"/>
  <c r="G296" i="37" s="1"/>
  <c r="H296" i="37" s="1"/>
  <c r="G289" i="37" a="1"/>
  <c r="G289" i="37" s="1"/>
  <c r="H289" i="37" s="1"/>
  <c r="G281" i="37" a="1"/>
  <c r="G281" i="37" s="1"/>
  <c r="H281" i="37" s="1"/>
  <c r="F268" i="37" a="1"/>
  <c r="F268" i="37" s="1"/>
  <c r="G261" i="37" a="1"/>
  <c r="G261" i="37" s="1"/>
  <c r="H261" i="37" s="1"/>
  <c r="F247" i="37" a="1"/>
  <c r="F247" i="37" s="1"/>
  <c r="G240" i="37" a="1"/>
  <c r="G240" i="37" s="1"/>
  <c r="H240" i="37" s="1"/>
  <c r="G233" i="37" a="1"/>
  <c r="G233" i="37" s="1"/>
  <c r="H233" i="37" s="1"/>
  <c r="G227" i="37" a="1"/>
  <c r="G227" i="37" s="1"/>
  <c r="H227" i="37" s="1"/>
  <c r="F220" i="37" a="1"/>
  <c r="F220" i="37" s="1"/>
  <c r="F214" i="37" a="1"/>
  <c r="F214" i="37" s="1"/>
  <c r="G156" i="37" a="1"/>
  <c r="G156" i="37" s="1"/>
  <c r="H156" i="37" s="1"/>
  <c r="F139" i="37" a="1"/>
  <c r="F139" i="37" s="1"/>
  <c r="F133" i="37" a="1"/>
  <c r="F133" i="37" s="1"/>
  <c r="I133" i="37" s="1"/>
  <c r="F127" i="37" a="1"/>
  <c r="F127" i="37" s="1"/>
  <c r="I127" i="37" s="1"/>
  <c r="G110" i="37" a="1"/>
  <c r="G110" i="37" s="1"/>
  <c r="H110" i="37" s="1"/>
  <c r="F67" i="37" a="1"/>
  <c r="F67" i="37" s="1"/>
  <c r="I67" i="37" s="1"/>
  <c r="G31" i="37" a="1"/>
  <c r="G31" i="37" s="1"/>
  <c r="H31" i="37" s="1"/>
  <c r="G21" i="37" a="1"/>
  <c r="G21" i="37" s="1"/>
  <c r="H21" i="37" s="1"/>
  <c r="F16" i="37" a="1"/>
  <c r="F16" i="37" s="1"/>
  <c r="I16" i="37" s="1"/>
  <c r="F635" i="37" a="1"/>
  <c r="F635" i="37" s="1"/>
  <c r="G605" i="37" a="1"/>
  <c r="G605" i="37" s="1"/>
  <c r="H605" i="37" s="1"/>
  <c r="F586" i="37" a="1"/>
  <c r="F586" i="37" s="1"/>
  <c r="F566" i="37" a="1"/>
  <c r="F566" i="37" s="1"/>
  <c r="I566" i="37" s="1"/>
  <c r="G556" i="37" a="1"/>
  <c r="G556" i="37" s="1"/>
  <c r="H556" i="37" s="1"/>
  <c r="F529" i="37" a="1"/>
  <c r="F529" i="37" s="1"/>
  <c r="F492" i="37" a="1"/>
  <c r="F492" i="37" s="1"/>
  <c r="F484" i="37" a="1"/>
  <c r="F484" i="37" s="1"/>
  <c r="I484" i="37" s="1"/>
  <c r="F466" i="37" a="1"/>
  <c r="F466" i="37" s="1"/>
  <c r="G456" i="37" a="1"/>
  <c r="G456" i="37" s="1"/>
  <c r="H456" i="37" s="1"/>
  <c r="F422" i="37" a="1"/>
  <c r="F422" i="37" s="1"/>
  <c r="G395" i="37" a="1"/>
  <c r="G395" i="37" s="1"/>
  <c r="H395" i="37" s="1"/>
  <c r="F378" i="37" a="1"/>
  <c r="F378" i="37" s="1"/>
  <c r="G369" i="37" a="1"/>
  <c r="G369" i="37" s="1"/>
  <c r="H369" i="37" s="1"/>
  <c r="G361" i="37" a="1"/>
  <c r="G361" i="37" s="1"/>
  <c r="H361" i="37" s="1"/>
  <c r="F344" i="37" a="1"/>
  <c r="F344" i="37" s="1"/>
  <c r="I344" i="37" s="1"/>
  <c r="F296" i="37" a="1"/>
  <c r="F296" i="37" s="1"/>
  <c r="F227" i="37" a="1"/>
  <c r="F227" i="37" s="1"/>
  <c r="I227" i="37" s="1"/>
  <c r="G193" i="37" a="1"/>
  <c r="G193" i="37" s="1"/>
  <c r="H193" i="37" s="1"/>
  <c r="G187" i="37" a="1"/>
  <c r="G187" i="37" s="1"/>
  <c r="H187" i="37" s="1"/>
  <c r="G181" i="37" a="1"/>
  <c r="G181" i="37" s="1"/>
  <c r="H181" i="37" s="1"/>
  <c r="F175" i="37" a="1"/>
  <c r="F175" i="37" s="1"/>
  <c r="I175" i="37" s="1"/>
  <c r="F168" i="37" a="1"/>
  <c r="F168" i="37" s="1"/>
  <c r="F162" i="37" a="1"/>
  <c r="F162" i="37" s="1"/>
  <c r="I162" i="37" s="1"/>
  <c r="F150" i="37" a="1"/>
  <c r="F150" i="37" s="1"/>
  <c r="G144" i="37" a="1"/>
  <c r="G144" i="37" s="1"/>
  <c r="H144" i="37" s="1"/>
  <c r="G121" i="37" a="1"/>
  <c r="G121" i="37" s="1"/>
  <c r="H121" i="37" s="1"/>
  <c r="F88" i="37" a="1"/>
  <c r="F88" i="37" s="1"/>
  <c r="G77" i="37" a="1"/>
  <c r="G77" i="37" s="1"/>
  <c r="H77" i="37" s="1"/>
  <c r="G56" i="37" a="1"/>
  <c r="G56" i="37" s="1"/>
  <c r="H56" i="37" s="1"/>
  <c r="G51" i="37" a="1"/>
  <c r="G51" i="37" s="1"/>
  <c r="H51" i="37" s="1"/>
  <c r="F36" i="37" a="1"/>
  <c r="F36" i="37" s="1"/>
  <c r="F26" i="37" a="1"/>
  <c r="F26" i="37" s="1"/>
  <c r="G10" i="37" a="1"/>
  <c r="G10" i="37" s="1"/>
  <c r="H10" i="37" s="1"/>
  <c r="G41" i="37" a="1"/>
  <c r="G41" i="37" s="1"/>
  <c r="H41" i="37" s="1"/>
  <c r="G15" i="37" a="1"/>
  <c r="G15" i="37" s="1"/>
  <c r="H15" i="37" s="1"/>
  <c r="F634" i="37" a="1"/>
  <c r="F634" i="37" s="1"/>
  <c r="I634" i="37" s="1"/>
  <c r="F605" i="37" a="1"/>
  <c r="F605" i="37" s="1"/>
  <c r="G595" i="37" a="1"/>
  <c r="G595" i="37" s="1"/>
  <c r="H595" i="37" s="1"/>
  <c r="F556" i="37" a="1"/>
  <c r="F556" i="37" s="1"/>
  <c r="G528" i="37" a="1"/>
  <c r="G528" i="37" s="1"/>
  <c r="H528" i="37" s="1"/>
  <c r="F482" i="37" a="1"/>
  <c r="F482" i="37" s="1"/>
  <c r="F456" i="37" a="1"/>
  <c r="F456" i="37" s="1"/>
  <c r="I456" i="37" s="1"/>
  <c r="F421" i="37" a="1"/>
  <c r="F421" i="37" s="1"/>
  <c r="I421" i="37" s="1"/>
  <c r="G386" i="37" a="1"/>
  <c r="G386" i="37" s="1"/>
  <c r="H386" i="37" s="1"/>
  <c r="F351" i="37" a="1"/>
  <c r="F351" i="37" s="1"/>
  <c r="F319" i="37" a="1"/>
  <c r="F319" i="37" s="1"/>
  <c r="I319" i="37" s="1"/>
  <c r="F303" i="37" a="1"/>
  <c r="F303" i="37" s="1"/>
  <c r="G274" i="37" a="1"/>
  <c r="G274" i="37" s="1"/>
  <c r="H274" i="37" s="1"/>
  <c r="F187" i="37" a="1"/>
  <c r="F187" i="37" s="1"/>
  <c r="F144" i="37" a="1"/>
  <c r="F144" i="37" s="1"/>
  <c r="G115" i="37" a="1"/>
  <c r="G115" i="37" s="1"/>
  <c r="H115" i="37" s="1"/>
  <c r="F77" i="37" a="1"/>
  <c r="F77" i="37" s="1"/>
  <c r="F66" i="37" a="1"/>
  <c r="F66" i="37" s="1"/>
  <c r="F51" i="37" a="1"/>
  <c r="F51" i="37" s="1"/>
  <c r="G25" i="37" a="1"/>
  <c r="G25" i="37" s="1"/>
  <c r="H25" i="37" s="1"/>
  <c r="F15" i="37" a="1"/>
  <c r="F15" i="37" s="1"/>
  <c r="G603" i="37" a="1"/>
  <c r="G603" i="37" s="1"/>
  <c r="H603" i="37" s="1"/>
  <c r="G564" i="37" a="1"/>
  <c r="G564" i="37" s="1"/>
  <c r="H564" i="37" s="1"/>
  <c r="F509" i="37" a="1"/>
  <c r="F509" i="37" s="1"/>
  <c r="I509" i="37" s="1"/>
  <c r="G429" i="37" a="1"/>
  <c r="G429" i="37" s="1"/>
  <c r="H429" i="37" s="1"/>
  <c r="G219" i="37" a="1"/>
  <c r="G219" i="37" s="1"/>
  <c r="H219" i="37" s="1"/>
  <c r="F206" i="37" a="1"/>
  <c r="F206" i="37" s="1"/>
  <c r="I206" i="37" s="1"/>
  <c r="G173" i="37" a="1"/>
  <c r="G173" i="37" s="1"/>
  <c r="H173" i="37" s="1"/>
  <c r="G137" i="37" a="1"/>
  <c r="G137" i="37" s="1"/>
  <c r="G120" i="37" a="1"/>
  <c r="G120" i="37" s="1"/>
  <c r="H120" i="37" s="1"/>
  <c r="F87" i="37" a="1"/>
  <c r="F87" i="37" s="1"/>
  <c r="F61" i="37" a="1"/>
  <c r="F61" i="37" s="1"/>
  <c r="G40" i="37" a="1"/>
  <c r="G40" i="37" s="1"/>
  <c r="H40" i="37" s="1"/>
  <c r="G5" i="37" a="1"/>
  <c r="G5" i="37" s="1"/>
  <c r="H5" i="37" s="1"/>
  <c r="F603" i="37" a="1"/>
  <c r="F603" i="37" s="1"/>
  <c r="G583" i="37" a="1"/>
  <c r="G583" i="37" s="1"/>
  <c r="H583" i="37" s="1"/>
  <c r="F518" i="37" a="1"/>
  <c r="F518" i="37" s="1"/>
  <c r="F473" i="37" a="1"/>
  <c r="F473" i="37" s="1"/>
  <c r="G446" i="37" a="1"/>
  <c r="G446" i="37" s="1"/>
  <c r="H446" i="37" s="1"/>
  <c r="G634" i="37" a="1"/>
  <c r="G634" i="37" s="1"/>
  <c r="H634" i="37" s="1"/>
  <c r="F625" i="37" a="1"/>
  <c r="F625" i="37" s="1"/>
  <c r="F614" i="37" a="1"/>
  <c r="F614" i="37" s="1"/>
  <c r="G575" i="37" a="1"/>
  <c r="G575" i="37" s="1"/>
  <c r="H575" i="37" s="1"/>
  <c r="G565" i="37" a="1"/>
  <c r="G565" i="37" s="1"/>
  <c r="H565" i="37" s="1"/>
  <c r="F547" i="37" a="1"/>
  <c r="F547" i="37" s="1"/>
  <c r="G538" i="37" a="1"/>
  <c r="G538" i="37" s="1"/>
  <c r="H538" i="37" s="1"/>
  <c r="G447" i="37" a="1"/>
  <c r="G447" i="37" s="1"/>
  <c r="H447" i="37" s="1"/>
  <c r="G413" i="37" a="1"/>
  <c r="G413" i="37" s="1"/>
  <c r="H413" i="37" s="1"/>
  <c r="F403" i="37" a="1"/>
  <c r="F403" i="37" s="1"/>
  <c r="F361" i="37" a="1"/>
  <c r="F361" i="37" s="1"/>
  <c r="F343" i="37" a="1"/>
  <c r="F343" i="37" s="1"/>
  <c r="G335" i="37" a="1"/>
  <c r="G335" i="37" s="1"/>
  <c r="H335" i="37" s="1"/>
  <c r="G326" i="37" a="1"/>
  <c r="G326" i="37" s="1"/>
  <c r="H326" i="37" s="1"/>
  <c r="F304" i="37" a="1"/>
  <c r="F304" i="37" s="1"/>
  <c r="F289" i="37" a="1"/>
  <c r="F289" i="37" s="1"/>
  <c r="F281" i="37" a="1"/>
  <c r="F281" i="37" s="1"/>
  <c r="G253" i="37" a="1"/>
  <c r="G253" i="37" s="1"/>
  <c r="H253" i="37" s="1"/>
  <c r="F240" i="37" a="1"/>
  <c r="F240" i="37" s="1"/>
  <c r="F233" i="37" a="1"/>
  <c r="F233" i="37" s="1"/>
  <c r="G206" i="37" a="1"/>
  <c r="G206" i="37" s="1"/>
  <c r="H206" i="37" s="1"/>
  <c r="F200" i="37" a="1"/>
  <c r="F200" i="37" s="1"/>
  <c r="G174" i="37" a="1"/>
  <c r="G174" i="37" s="1"/>
  <c r="H174" i="37" s="1"/>
  <c r="F156" i="37" a="1"/>
  <c r="F156" i="37" s="1"/>
  <c r="F110" i="37" a="1"/>
  <c r="F110" i="37" s="1"/>
  <c r="F104" i="37" a="1"/>
  <c r="F104" i="37" s="1"/>
  <c r="G93" i="37" a="1"/>
  <c r="G93" i="37" s="1"/>
  <c r="H93" i="37" s="1"/>
  <c r="G82" i="37" a="1"/>
  <c r="G82" i="37" s="1"/>
  <c r="H82" i="37" s="1"/>
  <c r="G61" i="37" a="1"/>
  <c r="G61" i="37" s="1"/>
  <c r="H61" i="37" s="1"/>
  <c r="G46" i="37" a="1"/>
  <c r="G46" i="37" s="1"/>
  <c r="H46" i="37" s="1"/>
  <c r="F31" i="37" a="1"/>
  <c r="F31" i="37" s="1"/>
  <c r="F575" i="37" a="1"/>
  <c r="F575" i="37" s="1"/>
  <c r="I575" i="37" s="1"/>
  <c r="G518" i="37" a="1"/>
  <c r="G518" i="37" s="1"/>
  <c r="H518" i="37" s="1"/>
  <c r="G464" i="37" a="1"/>
  <c r="G464" i="37" s="1"/>
  <c r="H464" i="37" s="1"/>
  <c r="G439" i="37" a="1"/>
  <c r="G439" i="37" s="1"/>
  <c r="H439" i="37" s="1"/>
  <c r="F413" i="37" a="1"/>
  <c r="F413" i="37" s="1"/>
  <c r="F369" i="37" a="1"/>
  <c r="F369" i="37" s="1"/>
  <c r="I369" i="37" s="1"/>
  <c r="F335" i="37" a="1"/>
  <c r="F335" i="37" s="1"/>
  <c r="G311" i="37" a="1"/>
  <c r="G311" i="37" s="1"/>
  <c r="F260" i="37" a="1"/>
  <c r="F260" i="37" s="1"/>
  <c r="F193" i="37" a="1"/>
  <c r="F193" i="37" s="1"/>
  <c r="G167" i="37" a="1"/>
  <c r="G167" i="37" s="1"/>
  <c r="H167" i="37" s="1"/>
  <c r="G98" i="37" a="1"/>
  <c r="G98" i="37" s="1"/>
  <c r="H98" i="37" s="1"/>
  <c r="G71" i="37" a="1"/>
  <c r="G71" i="37" s="1"/>
  <c r="H71" i="37" s="1"/>
  <c r="F56" i="37" a="1"/>
  <c r="F56" i="37" s="1"/>
  <c r="G20" i="37" a="1"/>
  <c r="G20" i="37" s="1"/>
  <c r="H20" i="37" s="1"/>
  <c r="F10" i="37" a="1"/>
  <c r="F10" i="37" s="1"/>
  <c r="I10" i="37" s="1"/>
  <c r="F624" i="37" a="1"/>
  <c r="F624" i="37" s="1"/>
  <c r="F500" i="37" a="1"/>
  <c r="F500" i="37" s="1"/>
  <c r="F253" i="37" a="1"/>
  <c r="F253" i="37" s="1"/>
  <c r="G180" i="37" a="1"/>
  <c r="G180" i="37" s="1"/>
  <c r="H180" i="37" s="1"/>
  <c r="G155" i="37" a="1"/>
  <c r="G155" i="37" s="1"/>
  <c r="H155" i="37" s="1"/>
  <c r="G126" i="37" a="1"/>
  <c r="G126" i="37" s="1"/>
  <c r="F82" i="37" a="1"/>
  <c r="F82" i="37" s="1"/>
  <c r="I82" i="37" s="1"/>
  <c r="G76" i="37" a="1"/>
  <c r="G76" i="37" s="1"/>
  <c r="H76" i="37" s="1"/>
  <c r="F46" i="37" a="1"/>
  <c r="F46" i="37" s="1"/>
  <c r="G633" i="37" a="1"/>
  <c r="G633" i="37" s="1"/>
  <c r="H633" i="37" s="1"/>
  <c r="G555" i="37" a="1"/>
  <c r="G555" i="37" s="1"/>
  <c r="H555" i="37" s="1"/>
  <c r="G491" i="37" a="1"/>
  <c r="G491" i="37" s="1"/>
  <c r="H491" i="37" s="1"/>
  <c r="F464" i="37" a="1"/>
  <c r="F464" i="37" s="1"/>
  <c r="F591" i="37" a="1"/>
  <c r="F591" i="37" s="1"/>
  <c r="F541" i="37" a="1"/>
  <c r="F541" i="37" s="1"/>
  <c r="G478" i="37" a="1"/>
  <c r="G478" i="37" s="1"/>
  <c r="H478" i="37" s="1"/>
  <c r="G467" i="37" a="1"/>
  <c r="G467" i="37" s="1"/>
  <c r="H467" i="37" s="1"/>
  <c r="G441" i="37" a="1"/>
  <c r="G441" i="37" s="1"/>
  <c r="H441" i="37" s="1"/>
  <c r="F429" i="37" a="1"/>
  <c r="F429" i="37" s="1"/>
  <c r="G418" i="37" a="1"/>
  <c r="G418" i="37" s="1"/>
  <c r="H418" i="37" s="1"/>
  <c r="G320" i="37" a="1"/>
  <c r="G320" i="37" s="1"/>
  <c r="H320" i="37" s="1"/>
  <c r="G201" i="37" a="1"/>
  <c r="G201" i="37" s="1"/>
  <c r="H201" i="37" s="1"/>
  <c r="F184" i="37" a="1"/>
  <c r="F184" i="37" s="1"/>
  <c r="G176" i="37" a="1"/>
  <c r="G176" i="37" s="1"/>
  <c r="H176" i="37" s="1"/>
  <c r="F169" i="37" a="1"/>
  <c r="F169" i="37" s="1"/>
  <c r="G152" i="37" a="1"/>
  <c r="G152" i="37" s="1"/>
  <c r="H152" i="37" s="1"/>
  <c r="F145" i="37" a="1"/>
  <c r="F145" i="37" s="1"/>
  <c r="I145" i="37" s="1"/>
  <c r="G136" i="37" a="1"/>
  <c r="G136" i="37" s="1"/>
  <c r="H136" i="37" s="1"/>
  <c r="G123" i="37" a="1"/>
  <c r="G123" i="37" s="1"/>
  <c r="H123" i="37" s="1"/>
  <c r="F115" i="37" a="1"/>
  <c r="F115" i="37" s="1"/>
  <c r="F94" i="37" a="1"/>
  <c r="F94" i="37" s="1"/>
  <c r="I94" i="37" s="1"/>
  <c r="F27" i="37" a="1"/>
  <c r="F27" i="37" s="1"/>
  <c r="I27" i="37" s="1"/>
  <c r="G19" i="37" a="1"/>
  <c r="G19" i="37" s="1"/>
  <c r="H19" i="37" s="1"/>
  <c r="G13" i="37" a="1"/>
  <c r="G13" i="37" s="1"/>
  <c r="H13" i="37" s="1"/>
  <c r="F73" i="37" a="1"/>
  <c r="F73" i="37" s="1"/>
  <c r="G59" i="37" a="1"/>
  <c r="G59" i="37" s="1"/>
  <c r="H59" i="37" s="1"/>
  <c r="F39" i="37" a="1"/>
  <c r="F39" i="37" s="1"/>
  <c r="I39" i="37" s="1"/>
  <c r="G114" i="37" a="1"/>
  <c r="G114" i="37" s="1"/>
  <c r="H114" i="37" s="1"/>
  <c r="G85" i="37" a="1"/>
  <c r="G85" i="37" s="1"/>
  <c r="H85" i="37" s="1"/>
  <c r="F25" i="37" a="1"/>
  <c r="F25" i="37" s="1"/>
  <c r="F618" i="37" a="1"/>
  <c r="F618" i="37" s="1"/>
  <c r="F329" i="37" a="1"/>
  <c r="F329" i="37" s="1"/>
  <c r="G143" i="37" a="1"/>
  <c r="G143" i="37" s="1"/>
  <c r="H143" i="37" s="1"/>
  <c r="G100" i="37" a="1"/>
  <c r="G100" i="37" s="1"/>
  <c r="H100" i="37" s="1"/>
  <c r="F32" i="37" a="1"/>
  <c r="F32" i="37" s="1"/>
  <c r="G440" i="37" a="1"/>
  <c r="G440" i="37" s="1"/>
  <c r="H440" i="37" s="1"/>
  <c r="F383" i="37" a="1"/>
  <c r="F383" i="37" s="1"/>
  <c r="G298" i="37" a="1"/>
  <c r="G298" i="37" s="1"/>
  <c r="H298" i="37" s="1"/>
  <c r="G135" i="37" a="1"/>
  <c r="G135" i="37" s="1"/>
  <c r="H135" i="37" s="1"/>
  <c r="G64" i="37" a="1"/>
  <c r="G64" i="37" s="1"/>
  <c r="H64" i="37" s="1"/>
  <c r="G357" i="37" a="1"/>
  <c r="G357" i="37" s="1"/>
  <c r="H357" i="37" s="1"/>
  <c r="F298" i="37" a="1"/>
  <c r="F298" i="37" s="1"/>
  <c r="F166" i="37" a="1"/>
  <c r="F166" i="37" s="1"/>
  <c r="F120" i="37" a="1"/>
  <c r="F120" i="37" s="1"/>
  <c r="I120" i="37" s="1"/>
  <c r="G70" i="37" a="1"/>
  <c r="G70" i="37" s="1"/>
  <c r="H70" i="37" s="1"/>
  <c r="G617" i="37" a="1"/>
  <c r="G617" i="37" s="1"/>
  <c r="H617" i="37" s="1"/>
  <c r="G562" i="37" a="1"/>
  <c r="G562" i="37" s="1"/>
  <c r="H562" i="37" s="1"/>
  <c r="G486" i="37" a="1"/>
  <c r="G486" i="37" s="1"/>
  <c r="H486" i="37" s="1"/>
  <c r="F415" i="37" a="1"/>
  <c r="F415" i="37" s="1"/>
  <c r="G208" i="37" a="1"/>
  <c r="G208" i="37" s="1"/>
  <c r="H208" i="37" s="1"/>
  <c r="F173" i="37" a="1"/>
  <c r="F173" i="37" s="1"/>
  <c r="F135" i="37" a="1"/>
  <c r="F135" i="37" s="1"/>
  <c r="F78" i="37" a="1"/>
  <c r="F78" i="37" s="1"/>
  <c r="I78" i="37" s="1"/>
  <c r="F38" i="37" a="1"/>
  <c r="F38" i="37" s="1"/>
  <c r="F600" i="37" a="1"/>
  <c r="F600" i="37" s="1"/>
  <c r="G380" i="37" a="1"/>
  <c r="G380" i="37" s="1"/>
  <c r="F315" i="37" a="1"/>
  <c r="F315" i="37" s="1"/>
  <c r="G223" i="37" a="1"/>
  <c r="G223" i="37" s="1"/>
  <c r="H223" i="37" s="1"/>
  <c r="F128" i="37" a="1"/>
  <c r="F128" i="37" s="1"/>
  <c r="G50" i="37" a="1"/>
  <c r="G50" i="37" s="1"/>
  <c r="F549" i="37" a="1"/>
  <c r="F549" i="37" s="1"/>
  <c r="I549" i="37" s="1"/>
  <c r="F498" i="37" a="1"/>
  <c r="F498" i="37" s="1"/>
  <c r="I498" i="37" s="1"/>
  <c r="G336" i="37" a="1"/>
  <c r="G336" i="37" s="1"/>
  <c r="H336" i="37" s="1"/>
  <c r="G276" i="37" a="1"/>
  <c r="G276" i="37" s="1"/>
  <c r="H276" i="37" s="1"/>
  <c r="F215" i="37" a="1"/>
  <c r="F215" i="37" s="1"/>
  <c r="I215" i="37" s="1"/>
  <c r="F182" i="37" a="1"/>
  <c r="F182" i="37" s="1"/>
  <c r="I182" i="37" s="1"/>
  <c r="F84" i="37" a="1"/>
  <c r="F84" i="37" s="1"/>
  <c r="F633" i="37" a="1"/>
  <c r="F633" i="37" s="1"/>
  <c r="G526" i="37" a="1"/>
  <c r="G526" i="37" s="1"/>
  <c r="H526" i="37" s="1"/>
  <c r="F515" i="37" a="1"/>
  <c r="F515" i="37" s="1"/>
  <c r="F477" i="37" a="1"/>
  <c r="F477" i="37" s="1"/>
  <c r="I477" i="37" s="1"/>
  <c r="F453" i="37" a="1"/>
  <c r="F453" i="37" s="1"/>
  <c r="F418" i="37" a="1"/>
  <c r="F418" i="37" s="1"/>
  <c r="G407" i="37" a="1"/>
  <c r="G407" i="37" s="1"/>
  <c r="H407" i="37" s="1"/>
  <c r="F384" i="37" a="1"/>
  <c r="F384" i="37" s="1"/>
  <c r="F373" i="37" a="1"/>
  <c r="F373" i="37" s="1"/>
  <c r="G362" i="37" a="1"/>
  <c r="G362" i="37" s="1"/>
  <c r="H362" i="37" s="1"/>
  <c r="G308" i="37" a="1"/>
  <c r="G308" i="37" s="1"/>
  <c r="H308" i="37" s="1"/>
  <c r="F280" i="37" a="1"/>
  <c r="F280" i="37" s="1"/>
  <c r="G244" i="37" a="1"/>
  <c r="G244" i="37" s="1"/>
  <c r="H244" i="37" s="1"/>
  <c r="G209" i="37" a="1"/>
  <c r="G209" i="37" s="1"/>
  <c r="H209" i="37" s="1"/>
  <c r="G192" i="37" a="1"/>
  <c r="G192" i="37" s="1"/>
  <c r="H192" i="37" s="1"/>
  <c r="F167" i="37" a="1"/>
  <c r="F167" i="37" s="1"/>
  <c r="I167" i="37" s="1"/>
  <c r="F136" i="37" a="1"/>
  <c r="F136" i="37" s="1"/>
  <c r="G79" i="37" a="1"/>
  <c r="G79" i="37" s="1"/>
  <c r="H79" i="37" s="1"/>
  <c r="G65" i="37" a="1"/>
  <c r="G65" i="37" s="1"/>
  <c r="H65" i="37" s="1"/>
  <c r="F33" i="37" a="1"/>
  <c r="F33" i="37" s="1"/>
  <c r="G6" i="37" a="1"/>
  <c r="G6" i="37" s="1"/>
  <c r="H6" i="37" s="1"/>
  <c r="F6" i="37" a="1"/>
  <c r="F6" i="37" s="1"/>
  <c r="F487" i="37" a="1"/>
  <c r="F487" i="37" s="1"/>
  <c r="I487" i="37" s="1"/>
  <c r="F279" i="37" a="1"/>
  <c r="F279" i="37" s="1"/>
  <c r="G166" i="37" a="1"/>
  <c r="G166" i="37" s="1"/>
  <c r="H166" i="37" s="1"/>
  <c r="G92" i="37" a="1"/>
  <c r="G92" i="37" s="1"/>
  <c r="H92" i="37" s="1"/>
  <c r="G18" i="37" a="1"/>
  <c r="G18" i="37" s="1"/>
  <c r="H18" i="37" s="1"/>
  <c r="G426" i="37" a="1"/>
  <c r="G426" i="37" s="1"/>
  <c r="H426" i="37" s="1"/>
  <c r="G371" i="37" a="1"/>
  <c r="G371" i="37" s="1"/>
  <c r="H371" i="37" s="1"/>
  <c r="G286" i="37" a="1"/>
  <c r="G286" i="37" s="1"/>
  <c r="H286" i="37" s="1"/>
  <c r="G199" i="37" a="1"/>
  <c r="G199" i="37" s="1"/>
  <c r="H199" i="37" s="1"/>
  <c r="G99" i="37" a="1"/>
  <c r="G99" i="37" s="1"/>
  <c r="H99" i="37" s="1"/>
  <c r="G38" i="37" a="1"/>
  <c r="G38" i="37" s="1"/>
  <c r="H38" i="37" s="1"/>
  <c r="G406" i="37" a="1"/>
  <c r="G406" i="37" s="1"/>
  <c r="H406" i="37" s="1"/>
  <c r="G315" i="37" a="1"/>
  <c r="G315" i="37" s="1"/>
  <c r="H315" i="37" s="1"/>
  <c r="F269" i="37" a="1"/>
  <c r="F269" i="37" s="1"/>
  <c r="G151" i="37" a="1"/>
  <c r="G151" i="37" s="1"/>
  <c r="H151" i="37" s="1"/>
  <c r="F91" i="37" a="1"/>
  <c r="F91" i="37" s="1"/>
  <c r="I91" i="37" s="1"/>
  <c r="F18" i="37" a="1"/>
  <c r="F18" i="37" s="1"/>
  <c r="I18" i="37" s="1"/>
  <c r="G602" i="37" a="1"/>
  <c r="G602" i="37" s="1"/>
  <c r="H602" i="37" s="1"/>
  <c r="F524" i="37" a="1"/>
  <c r="F524" i="37" s="1"/>
  <c r="F475" i="37" a="1"/>
  <c r="F475" i="37" s="1"/>
  <c r="F242" i="37" a="1"/>
  <c r="F242" i="37" s="1"/>
  <c r="I242" i="37" s="1"/>
  <c r="G190" i="37" a="1"/>
  <c r="G190" i="37" s="1"/>
  <c r="H190" i="37" s="1"/>
  <c r="G150" i="37" a="1"/>
  <c r="G150" i="37" s="1"/>
  <c r="H150" i="37" s="1"/>
  <c r="F98" i="37" a="1"/>
  <c r="F98" i="37" s="1"/>
  <c r="F70" i="37" a="1"/>
  <c r="F70" i="37" s="1"/>
  <c r="G616" i="37" a="1"/>
  <c r="G616" i="37" s="1"/>
  <c r="H616" i="37" s="1"/>
  <c r="G436" i="37" a="1"/>
  <c r="G436" i="37" s="1"/>
  <c r="H436" i="37" s="1"/>
  <c r="F357" i="37" a="1"/>
  <c r="F357" i="37" s="1"/>
  <c r="F295" i="37" a="1"/>
  <c r="F295" i="37" s="1"/>
  <c r="F149" i="37" a="1"/>
  <c r="F149" i="37" s="1"/>
  <c r="F30" i="37" a="1"/>
  <c r="F30" i="37" s="1"/>
  <c r="G258" i="37" a="1"/>
  <c r="G258" i="37" s="1"/>
  <c r="H258" i="37" s="1"/>
  <c r="F619" i="37" a="1"/>
  <c r="F619" i="37" s="1"/>
  <c r="G502" i="37" a="1"/>
  <c r="G502" i="37" s="1"/>
  <c r="H502" i="37" s="1"/>
  <c r="F488" i="37" a="1"/>
  <c r="F488" i="37" s="1"/>
  <c r="F441" i="37" a="1"/>
  <c r="F441" i="37" s="1"/>
  <c r="I441" i="37" s="1"/>
  <c r="F417" i="37" a="1"/>
  <c r="F417" i="37" s="1"/>
  <c r="F407" i="37" a="1"/>
  <c r="F407" i="37" s="1"/>
  <c r="I407" i="37" s="1"/>
  <c r="G329" i="37" a="1"/>
  <c r="G329" i="37" s="1"/>
  <c r="H329" i="37" s="1"/>
  <c r="G299" i="37" a="1"/>
  <c r="G299" i="37" s="1"/>
  <c r="H299" i="37" s="1"/>
  <c r="G270" i="37" a="1"/>
  <c r="G270" i="37" s="1"/>
  <c r="H270" i="37" s="1"/>
  <c r="G252" i="37" a="1"/>
  <c r="G252" i="37" s="1"/>
  <c r="H252" i="37" s="1"/>
  <c r="F235" i="37" a="1"/>
  <c r="F235" i="37" s="1"/>
  <c r="G226" i="37" a="1"/>
  <c r="G226" i="37" s="1"/>
  <c r="H226" i="37" s="1"/>
  <c r="G217" i="37" a="1"/>
  <c r="G217" i="37" s="1"/>
  <c r="H217" i="37" s="1"/>
  <c r="F201" i="37" a="1"/>
  <c r="F201" i="37" s="1"/>
  <c r="I201" i="37" s="1"/>
  <c r="G183" i="37" a="1"/>
  <c r="G183" i="37" s="1"/>
  <c r="H183" i="37" s="1"/>
  <c r="F152" i="37" a="1"/>
  <c r="F152" i="37" s="1"/>
  <c r="G129" i="37" a="1"/>
  <c r="G129" i="37" s="1"/>
  <c r="H129" i="37" s="1"/>
  <c r="F59" i="37" a="1"/>
  <c r="F59" i="37" s="1"/>
  <c r="G52" i="37" a="1"/>
  <c r="G52" i="37" s="1"/>
  <c r="H52" i="37" s="1"/>
  <c r="F19" i="37" a="1"/>
  <c r="F19" i="37" s="1"/>
  <c r="F13" i="37" a="1"/>
  <c r="F13" i="37" s="1"/>
  <c r="G632" i="37" a="1"/>
  <c r="G632" i="37" s="1"/>
  <c r="H632" i="37" s="1"/>
  <c r="G606" i="37" a="1"/>
  <c r="G606" i="37" s="1"/>
  <c r="H606" i="37" s="1"/>
  <c r="G590" i="37" a="1"/>
  <c r="G590" i="37" s="1"/>
  <c r="H590" i="37" s="1"/>
  <c r="G552" i="37" a="1"/>
  <c r="G552" i="37" s="1"/>
  <c r="H552" i="37" s="1"/>
  <c r="F526" i="37" a="1"/>
  <c r="F526" i="37" s="1"/>
  <c r="F514" i="37" a="1"/>
  <c r="F514" i="37" s="1"/>
  <c r="I514" i="37" s="1"/>
  <c r="G452" i="37" a="1"/>
  <c r="G452" i="37" s="1"/>
  <c r="H452" i="37" s="1"/>
  <c r="G394" i="37" a="1"/>
  <c r="G394" i="37" s="1"/>
  <c r="H394" i="37" s="1"/>
  <c r="G383" i="37" a="1"/>
  <c r="G383" i="37" s="1"/>
  <c r="H383" i="37" s="1"/>
  <c r="G339" i="37" a="1"/>
  <c r="G339" i="37" s="1"/>
  <c r="H339" i="37" s="1"/>
  <c r="F318" i="37" a="1"/>
  <c r="F318" i="37" s="1"/>
  <c r="I318" i="37" s="1"/>
  <c r="F308" i="37" a="1"/>
  <c r="F308" i="37" s="1"/>
  <c r="I308" i="37" s="1"/>
  <c r="F287" i="37" a="1"/>
  <c r="F287" i="37" s="1"/>
  <c r="G279" i="37" a="1"/>
  <c r="G279" i="37" s="1"/>
  <c r="H279" i="37" s="1"/>
  <c r="G262" i="37" a="1"/>
  <c r="G262" i="37" s="1"/>
  <c r="H262" i="37" s="1"/>
  <c r="F244" i="37" a="1"/>
  <c r="F244" i="37" s="1"/>
  <c r="F209" i="37" a="1"/>
  <c r="F209" i="37" s="1"/>
  <c r="F192" i="37" a="1"/>
  <c r="F192" i="37" s="1"/>
  <c r="G159" i="37" a="1"/>
  <c r="G159" i="37" s="1"/>
  <c r="H159" i="37" s="1"/>
  <c r="F129" i="37" a="1"/>
  <c r="F129" i="37" s="1"/>
  <c r="F122" i="37" a="1"/>
  <c r="F122" i="37" s="1"/>
  <c r="G107" i="37" a="1"/>
  <c r="G107" i="37" s="1"/>
  <c r="H107" i="37" s="1"/>
  <c r="F65" i="37" a="1"/>
  <c r="F65" i="37" s="1"/>
  <c r="F45" i="37" a="1"/>
  <c r="F45" i="37" s="1"/>
  <c r="F632" i="37" a="1"/>
  <c r="F632" i="37" s="1"/>
  <c r="F590" i="37" a="1"/>
  <c r="F590" i="37" s="1"/>
  <c r="I590" i="37" s="1"/>
  <c r="G578" i="37" a="1"/>
  <c r="G578" i="37" s="1"/>
  <c r="H578" i="37" s="1"/>
  <c r="G563" i="37" a="1"/>
  <c r="G563" i="37" s="1"/>
  <c r="H563" i="37" s="1"/>
  <c r="F551" i="37" a="1"/>
  <c r="F551" i="37" s="1"/>
  <c r="I551" i="37" s="1"/>
  <c r="G428" i="37" a="1"/>
  <c r="G428" i="37" s="1"/>
  <c r="H428" i="37" s="1"/>
  <c r="G349" i="37" a="1"/>
  <c r="G349" i="37" s="1"/>
  <c r="H349" i="37" s="1"/>
  <c r="F217" i="37" a="1"/>
  <c r="F217" i="37" s="1"/>
  <c r="F183" i="37" a="1"/>
  <c r="F183" i="37" s="1"/>
  <c r="F114" i="37" a="1"/>
  <c r="F114" i="37" s="1"/>
  <c r="I114" i="37" s="1"/>
  <c r="F71" i="37" a="1"/>
  <c r="F71" i="37" s="1"/>
  <c r="F52" i="37" a="1"/>
  <c r="F52" i="37" s="1"/>
  <c r="G539" i="37" a="1"/>
  <c r="G539" i="37" s="1"/>
  <c r="H539" i="37" s="1"/>
  <c r="G475" i="37" a="1"/>
  <c r="G475" i="37" s="1"/>
  <c r="H475" i="37" s="1"/>
  <c r="G462" i="37" a="1"/>
  <c r="G462" i="37" s="1"/>
  <c r="H462" i="37" s="1"/>
  <c r="F452" i="37" a="1"/>
  <c r="F452" i="37" s="1"/>
  <c r="F393" i="37" a="1"/>
  <c r="F393" i="37" s="1"/>
  <c r="G348" i="37" a="1"/>
  <c r="G348" i="37" s="1"/>
  <c r="H348" i="37" s="1"/>
  <c r="G316" i="37" a="1"/>
  <c r="G316" i="37" s="1"/>
  <c r="H316" i="37" s="1"/>
  <c r="F259" i="37" a="1"/>
  <c r="F259" i="37" s="1"/>
  <c r="G175" i="37" a="1"/>
  <c r="G175" i="37" s="1"/>
  <c r="H175" i="37" s="1"/>
  <c r="G106" i="37" a="1"/>
  <c r="G106" i="37" s="1"/>
  <c r="H106" i="37" s="1"/>
  <c r="G78" i="37" a="1"/>
  <c r="G78" i="37" s="1"/>
  <c r="H78" i="37" s="1"/>
  <c r="G44" i="37" a="1"/>
  <c r="G44" i="37" s="1"/>
  <c r="H44" i="37" s="1"/>
  <c r="G12" i="37" a="1"/>
  <c r="G12" i="37" s="1"/>
  <c r="H12" i="37" s="1"/>
  <c r="F536" i="37" a="1"/>
  <c r="F536" i="37" s="1"/>
  <c r="F426" i="37" a="1"/>
  <c r="F426" i="37" s="1"/>
  <c r="I426" i="37" s="1"/>
  <c r="G370" i="37" a="1"/>
  <c r="G370" i="37" s="1"/>
  <c r="H370" i="37" s="1"/>
  <c r="F348" i="37" a="1"/>
  <c r="F348" i="37" s="1"/>
  <c r="I348" i="37" s="1"/>
  <c r="G277" i="37" a="1"/>
  <c r="G277" i="37" s="1"/>
  <c r="H277" i="37" s="1"/>
  <c r="F216" i="37" a="1"/>
  <c r="F216" i="37" s="1"/>
  <c r="I216" i="37" s="1"/>
  <c r="G128" i="37" a="1"/>
  <c r="G128" i="37" s="1"/>
  <c r="H128" i="37" s="1"/>
  <c r="G113" i="37" a="1"/>
  <c r="G113" i="37" s="1"/>
  <c r="H113" i="37" s="1"/>
  <c r="F99" i="37" a="1"/>
  <c r="F99" i="37" s="1"/>
  <c r="G24" i="37" a="1"/>
  <c r="G24" i="37" s="1"/>
  <c r="H24" i="37" s="1"/>
  <c r="G631" i="37" a="1"/>
  <c r="G631" i="37" s="1"/>
  <c r="H631" i="37" s="1"/>
  <c r="G589" i="37" a="1"/>
  <c r="G589" i="37" s="1"/>
  <c r="H589" i="37" s="1"/>
  <c r="F577" i="37" a="1"/>
  <c r="F577" i="37" s="1"/>
  <c r="G549" i="37" a="1"/>
  <c r="G549" i="37" s="1"/>
  <c r="H549" i="37" s="1"/>
  <c r="G498" i="37" a="1"/>
  <c r="G498" i="37" s="1"/>
  <c r="H498" i="37" s="1"/>
  <c r="G437" i="37" a="1"/>
  <c r="G437" i="37" s="1"/>
  <c r="H437" i="37" s="1"/>
  <c r="G392" i="37" a="1"/>
  <c r="G392" i="37" s="1"/>
  <c r="H392" i="37" s="1"/>
  <c r="G250" i="37" a="1"/>
  <c r="G250" i="37" s="1"/>
  <c r="H250" i="37" s="1"/>
  <c r="F198" i="37" a="1"/>
  <c r="F198" i="37" s="1"/>
  <c r="G182" i="37" a="1"/>
  <c r="G182" i="37" s="1"/>
  <c r="H182" i="37" s="1"/>
  <c r="F142" i="37" a="1"/>
  <c r="F142" i="37" s="1"/>
  <c r="I142" i="37" s="1"/>
  <c r="F106" i="37" a="1"/>
  <c r="F106" i="37" s="1"/>
  <c r="I106" i="37" s="1"/>
  <c r="G84" i="37" a="1"/>
  <c r="G84" i="37" s="1"/>
  <c r="H84" i="37" s="1"/>
  <c r="F64" i="37" a="1"/>
  <c r="F64" i="37" s="1"/>
  <c r="F5" i="37" a="1"/>
  <c r="F5" i="37" s="1"/>
  <c r="I5" i="37" s="1"/>
  <c r="F523" i="37" a="1"/>
  <c r="F523" i="37" s="1"/>
  <c r="I523" i="37" s="1"/>
  <c r="G461" i="37" a="1"/>
  <c r="G461" i="37" s="1"/>
  <c r="H461" i="37" s="1"/>
  <c r="G451" i="37" a="1"/>
  <c r="G451" i="37" s="1"/>
  <c r="H451" i="37" s="1"/>
  <c r="F370" i="37" a="1"/>
  <c r="F370" i="37" s="1"/>
  <c r="G325" i="37" a="1"/>
  <c r="G325" i="37" s="1"/>
  <c r="H325" i="37" s="1"/>
  <c r="G306" i="37" a="1"/>
  <c r="G306" i="37" s="1"/>
  <c r="H306" i="37" s="1"/>
  <c r="G232" i="37" a="1"/>
  <c r="G232" i="37" s="1"/>
  <c r="H232" i="37" s="1"/>
  <c r="F207" i="37" a="1"/>
  <c r="F207" i="37" s="1"/>
  <c r="G57" i="37" a="1"/>
  <c r="G57" i="37" s="1"/>
  <c r="H57" i="37" s="1"/>
  <c r="F11" i="37" a="1"/>
  <c r="F11" i="37" s="1"/>
  <c r="F589" i="37" a="1"/>
  <c r="F589" i="37" s="1"/>
  <c r="G574" i="37" a="1"/>
  <c r="G574" i="37" s="1"/>
  <c r="H574" i="37" s="1"/>
  <c r="F534" i="37" a="1"/>
  <c r="F534" i="37" s="1"/>
  <c r="F511" i="37" a="1"/>
  <c r="F511" i="37" s="1"/>
  <c r="G425" i="37" a="1"/>
  <c r="G425" i="37" s="1"/>
  <c r="H425" i="37" s="1"/>
  <c r="G347" i="37" a="1"/>
  <c r="G347" i="37" s="1"/>
  <c r="H347" i="37" s="1"/>
  <c r="F306" i="37" a="1"/>
  <c r="F306" i="37" s="1"/>
  <c r="F223" i="37" a="1"/>
  <c r="F223" i="37" s="1"/>
  <c r="I223" i="37" s="1"/>
  <c r="F189" i="37" a="1"/>
  <c r="F189" i="37" s="1"/>
  <c r="I189" i="37" s="1"/>
  <c r="F141" i="37" a="1"/>
  <c r="F141" i="37" s="1"/>
  <c r="G112" i="37" a="1"/>
  <c r="G112" i="37" s="1"/>
  <c r="H112" i="37" s="1"/>
  <c r="G43" i="37" a="1"/>
  <c r="G43" i="37" s="1"/>
  <c r="G628" i="37" a="1"/>
  <c r="G628" i="37" s="1"/>
  <c r="H628" i="37" s="1"/>
  <c r="F28" i="37" a="1"/>
  <c r="F28" i="37" s="1"/>
  <c r="F54" i="37" a="1"/>
  <c r="F54" i="37" s="1"/>
  <c r="G75" i="37" a="1"/>
  <c r="G75" i="37" s="1"/>
  <c r="H75" i="37" s="1"/>
  <c r="G89" i="37" a="1"/>
  <c r="G89" i="37" s="1"/>
  <c r="H89" i="37" s="1"/>
  <c r="F232" i="37" a="1"/>
  <c r="F232" i="37" s="1"/>
  <c r="F356" i="37" a="1"/>
  <c r="F356" i="37" s="1"/>
  <c r="F377" i="37" a="1"/>
  <c r="F377" i="37" s="1"/>
  <c r="G442" i="37" a="1"/>
  <c r="G442" i="37" s="1"/>
  <c r="H442" i="37" s="1"/>
  <c r="F460" i="37" a="1"/>
  <c r="F460" i="37" s="1"/>
  <c r="G581" i="37" a="1"/>
  <c r="G581" i="37" s="1"/>
  <c r="H581" i="37" s="1"/>
  <c r="F628" i="37" a="1"/>
  <c r="F628" i="37" s="1"/>
  <c r="F42" i="37" a="1"/>
  <c r="F42" i="37" s="1"/>
  <c r="G171" i="37" a="1"/>
  <c r="G171" i="37" s="1"/>
  <c r="H171" i="37" s="1"/>
  <c r="F188" i="37" a="1"/>
  <c r="F188" i="37" s="1"/>
  <c r="I188" i="37" s="1"/>
  <c r="G236" i="37" a="1"/>
  <c r="G236" i="37" s="1"/>
  <c r="H236" i="37" s="1"/>
  <c r="G249" i="37" a="1"/>
  <c r="G249" i="37" s="1"/>
  <c r="H249" i="37" s="1"/>
  <c r="F301" i="37" a="1"/>
  <c r="F301" i="37" s="1"/>
  <c r="G356" i="37" a="1"/>
  <c r="G356" i="37" s="1"/>
  <c r="H356" i="37" s="1"/>
  <c r="F400" i="37" a="1"/>
  <c r="F400" i="37" s="1"/>
  <c r="I400" i="37" s="1"/>
  <c r="F607" i="37" a="1"/>
  <c r="F607" i="37" s="1"/>
  <c r="I607" i="37" s="1"/>
  <c r="G203" i="36" a="1"/>
  <c r="G203" i="36" s="1"/>
  <c r="G319" i="36" a="1"/>
  <c r="G319" i="36" s="1"/>
  <c r="H319" i="36" s="1"/>
  <c r="F330" i="36" a="1"/>
  <c r="F330" i="36" s="1"/>
  <c r="G379" i="36" a="1"/>
  <c r="G379" i="36" s="1"/>
  <c r="H379" i="36" s="1"/>
  <c r="F391" i="36" a="1"/>
  <c r="F391" i="36" s="1"/>
  <c r="I391" i="36" s="1"/>
  <c r="G402" i="36" a="1"/>
  <c r="G402" i="36" s="1"/>
  <c r="I402" i="36" s="1"/>
  <c r="G430" i="36" a="1"/>
  <c r="G430" i="36" s="1"/>
  <c r="G455" i="36" a="1"/>
  <c r="G455" i="36" s="1"/>
  <c r="H455" i="36" s="1"/>
  <c r="F481" i="36" a="1"/>
  <c r="F481" i="36" s="1"/>
  <c r="I481" i="36" s="1"/>
  <c r="G508" i="36" a="1"/>
  <c r="G508" i="36" s="1"/>
  <c r="H508" i="36" s="1"/>
  <c r="G547" i="36" a="1"/>
  <c r="G547" i="36" s="1"/>
  <c r="H547" i="36" s="1"/>
  <c r="G622" i="36" a="1"/>
  <c r="G622" i="36" s="1"/>
  <c r="H622" i="36" s="1"/>
  <c r="G89" i="36" a="1"/>
  <c r="G89" i="36" s="1"/>
  <c r="H89" i="36" s="1"/>
  <c r="F98" i="36" a="1"/>
  <c r="F98" i="36" s="1"/>
  <c r="I98" i="36" s="1"/>
  <c r="F106" i="36" a="1"/>
  <c r="F106" i="36" s="1"/>
  <c r="I106" i="36" s="1"/>
  <c r="G122" i="36" a="1"/>
  <c r="G122" i="36" s="1"/>
  <c r="F139" i="36" a="1"/>
  <c r="F139" i="36" s="1"/>
  <c r="I139" i="36" s="1"/>
  <c r="G164" i="36" a="1"/>
  <c r="G164" i="36" s="1"/>
  <c r="H164" i="36" s="1"/>
  <c r="F173" i="36" a="1"/>
  <c r="F173" i="36" s="1"/>
  <c r="I173" i="36" s="1"/>
  <c r="F181" i="36" a="1"/>
  <c r="F181" i="36" s="1"/>
  <c r="I181" i="36" s="1"/>
  <c r="G189" i="36" a="1"/>
  <c r="G189" i="36" s="1"/>
  <c r="H189" i="36" s="1"/>
  <c r="F242" i="36" a="1"/>
  <c r="F242" i="36" s="1"/>
  <c r="I242" i="36" s="1"/>
  <c r="G251" i="36" a="1"/>
  <c r="G251" i="36" s="1"/>
  <c r="H251" i="36" s="1"/>
  <c r="F260" i="36" a="1"/>
  <c r="F260" i="36" s="1"/>
  <c r="F282" i="36" a="1"/>
  <c r="F282" i="36" s="1"/>
  <c r="F302" i="36" a="1"/>
  <c r="F302" i="36" s="1"/>
  <c r="G324" i="36" a="1"/>
  <c r="G324" i="36" s="1"/>
  <c r="H324" i="36" s="1"/>
  <c r="F334" i="36" a="1"/>
  <c r="F334" i="36" s="1"/>
  <c r="F358" i="36" a="1"/>
  <c r="F358" i="36" s="1"/>
  <c r="G371" i="36" a="1"/>
  <c r="G371" i="36" s="1"/>
  <c r="H371" i="36" s="1"/>
  <c r="G460" i="36" a="1"/>
  <c r="G460" i="36" s="1"/>
  <c r="H460" i="36" s="1"/>
  <c r="G499" i="36" a="1"/>
  <c r="G499" i="36" s="1"/>
  <c r="H499" i="36" s="1"/>
  <c r="G511" i="36" a="1"/>
  <c r="G511" i="36" s="1"/>
  <c r="H511" i="36" s="1"/>
  <c r="G538" i="36" a="1"/>
  <c r="G538" i="36" s="1"/>
  <c r="H538" i="36" s="1"/>
  <c r="G582" i="36" a="1"/>
  <c r="G582" i="36" s="1"/>
  <c r="H582" i="36" s="1"/>
  <c r="G628" i="36" a="1"/>
  <c r="G628" i="36" s="1"/>
  <c r="H628" i="36" s="1"/>
  <c r="F33" i="36" a="1"/>
  <c r="F33" i="36" s="1"/>
  <c r="F58" i="36" a="1"/>
  <c r="F58" i="36" s="1"/>
  <c r="I58" i="36" s="1"/>
  <c r="F65" i="36" a="1"/>
  <c r="F65" i="36" s="1"/>
  <c r="F81" i="36" a="1"/>
  <c r="F81" i="36" s="1"/>
  <c r="F114" i="36" a="1"/>
  <c r="F114" i="36" s="1"/>
  <c r="F131" i="36" a="1"/>
  <c r="F131" i="36" s="1"/>
  <c r="F147" i="36" a="1"/>
  <c r="F147" i="36" s="1"/>
  <c r="G155" i="36" a="1"/>
  <c r="G155" i="36" s="1"/>
  <c r="H155" i="36" s="1"/>
  <c r="F207" i="36" a="1"/>
  <c r="F207" i="36" s="1"/>
  <c r="I207" i="36" s="1"/>
  <c r="F233" i="36" a="1"/>
  <c r="F233" i="36" s="1"/>
  <c r="I233" i="36" s="1"/>
  <c r="G260" i="36" a="1"/>
  <c r="G260" i="36" s="1"/>
  <c r="H260" i="36" s="1"/>
  <c r="G292" i="36" a="1"/>
  <c r="G292" i="36" s="1"/>
  <c r="G302" i="36" a="1"/>
  <c r="G302" i="36" s="1"/>
  <c r="H302" i="36" s="1"/>
  <c r="G314" i="36" a="1"/>
  <c r="G314" i="36" s="1"/>
  <c r="H314" i="36" s="1"/>
  <c r="G347" i="36" a="1"/>
  <c r="G347" i="36" s="1"/>
  <c r="H347" i="36" s="1"/>
  <c r="G359" i="36" a="1"/>
  <c r="G359" i="36" s="1"/>
  <c r="H359" i="36" s="1"/>
  <c r="F397" i="36" a="1"/>
  <c r="F397" i="36" s="1"/>
  <c r="F409" i="36" a="1"/>
  <c r="F409" i="36" s="1"/>
  <c r="G461" i="36" a="1"/>
  <c r="G461" i="36" s="1"/>
  <c r="H461" i="36" s="1"/>
  <c r="F474" i="36" a="1"/>
  <c r="F474" i="36" s="1"/>
  <c r="I474" i="36" s="1"/>
  <c r="G512" i="36" a="1"/>
  <c r="G512" i="36" s="1"/>
  <c r="H512" i="36" s="1"/>
  <c r="F552" i="36" a="1"/>
  <c r="F552" i="36" s="1"/>
  <c r="F613" i="36" a="1"/>
  <c r="F613" i="36" s="1"/>
  <c r="F635" i="36" a="1"/>
  <c r="F635" i="36" s="1"/>
  <c r="G631" i="36" a="1"/>
  <c r="G631" i="36" s="1"/>
  <c r="H631" i="36" s="1"/>
  <c r="F624" i="36" a="1"/>
  <c r="F624" i="36" s="1"/>
  <c r="F611" i="36" a="1"/>
  <c r="F611" i="36" s="1"/>
  <c r="G603" i="36" a="1"/>
  <c r="G603" i="36" s="1"/>
  <c r="H603" i="36" s="1"/>
  <c r="F588" i="36" a="1"/>
  <c r="F588" i="36" s="1"/>
  <c r="I588" i="36" s="1"/>
  <c r="G580" i="36" a="1"/>
  <c r="G580" i="36" s="1"/>
  <c r="H580" i="36" s="1"/>
  <c r="G576" i="36" a="1"/>
  <c r="G576" i="36" s="1"/>
  <c r="H576" i="36" s="1"/>
  <c r="F561" i="36" a="1"/>
  <c r="F561" i="36" s="1"/>
  <c r="G553" i="36" a="1"/>
  <c r="G553" i="36" s="1"/>
  <c r="H553" i="36" s="1"/>
  <c r="F538" i="36" a="1"/>
  <c r="F538" i="36" s="1"/>
  <c r="G530" i="36" a="1"/>
  <c r="G530" i="36" s="1"/>
  <c r="H530" i="36" s="1"/>
  <c r="F515" i="36" a="1"/>
  <c r="F515" i="36" s="1"/>
  <c r="I515" i="36" s="1"/>
  <c r="G507" i="36" a="1"/>
  <c r="G507" i="36" s="1"/>
  <c r="H507" i="36" s="1"/>
  <c r="F488" i="36" a="1"/>
  <c r="F488" i="36" s="1"/>
  <c r="G480" i="36" a="1"/>
  <c r="G480" i="36" s="1"/>
  <c r="I480" i="36" s="1"/>
  <c r="F465" i="36" a="1"/>
  <c r="F465" i="36" s="1"/>
  <c r="G457" i="36" a="1"/>
  <c r="G457" i="36" s="1"/>
  <c r="H457" i="36" s="1"/>
  <c r="F442" i="36" a="1"/>
  <c r="F442" i="36" s="1"/>
  <c r="G434" i="36" a="1"/>
  <c r="G434" i="36" s="1"/>
  <c r="H434" i="36" s="1"/>
  <c r="F419" i="36" a="1"/>
  <c r="F419" i="36" s="1"/>
  <c r="F415" i="36" a="1"/>
  <c r="F415" i="36" s="1"/>
  <c r="G407" i="36" a="1"/>
  <c r="G407" i="36" s="1"/>
  <c r="H407" i="36" s="1"/>
  <c r="F392" i="36" a="1"/>
  <c r="F392" i="36" s="1"/>
  <c r="G384" i="36" a="1"/>
  <c r="G384" i="36" s="1"/>
  <c r="H384" i="36" s="1"/>
  <c r="F369" i="36" a="1"/>
  <c r="F369" i="36" s="1"/>
  <c r="G361" i="36" a="1"/>
  <c r="G361" i="36" s="1"/>
  <c r="H361" i="36" s="1"/>
  <c r="F346" i="36" a="1"/>
  <c r="F346" i="36" s="1"/>
  <c r="G338" i="36" a="1"/>
  <c r="G338" i="36" s="1"/>
  <c r="H338" i="36" s="1"/>
  <c r="G334" i="36" a="1"/>
  <c r="G334" i="36" s="1"/>
  <c r="H334" i="36" s="1"/>
  <c r="G638" i="36" a="1"/>
  <c r="G638" i="36" s="1"/>
  <c r="H638" i="36" s="1"/>
  <c r="F630" i="36" a="1"/>
  <c r="F630" i="36" s="1"/>
  <c r="G565" i="36" a="1"/>
  <c r="G565" i="36" s="1"/>
  <c r="H565" i="36" s="1"/>
  <c r="G561" i="36" a="1"/>
  <c r="G561" i="36" s="1"/>
  <c r="H561" i="36" s="1"/>
  <c r="G557" i="36" a="1"/>
  <c r="G557" i="36" s="1"/>
  <c r="H557" i="36" s="1"/>
  <c r="F525" i="36" a="1"/>
  <c r="F525" i="36" s="1"/>
  <c r="F521" i="36" a="1"/>
  <c r="F521" i="36" s="1"/>
  <c r="F517" i="36" a="1"/>
  <c r="F517" i="36" s="1"/>
  <c r="F513" i="36" a="1"/>
  <c r="F513" i="36" s="1"/>
  <c r="I513" i="36" s="1"/>
  <c r="F509" i="36" a="1"/>
  <c r="F509" i="36" s="1"/>
  <c r="F505" i="36" a="1"/>
  <c r="F505" i="36" s="1"/>
  <c r="F501" i="36" a="1"/>
  <c r="F501" i="36" s="1"/>
  <c r="F497" i="36" a="1"/>
  <c r="F497" i="36" s="1"/>
  <c r="F493" i="36" a="1"/>
  <c r="F493" i="36" s="1"/>
  <c r="F489" i="36" a="1"/>
  <c r="F489" i="36" s="1"/>
  <c r="F485" i="36" a="1"/>
  <c r="F485" i="36" s="1"/>
  <c r="G400" i="36" a="1"/>
  <c r="G400" i="36" s="1"/>
  <c r="H400" i="36" s="1"/>
  <c r="G396" i="36" a="1"/>
  <c r="G396" i="36" s="1"/>
  <c r="I396" i="36" s="1"/>
  <c r="G392" i="36" a="1"/>
  <c r="G392" i="36" s="1"/>
  <c r="H392" i="36" s="1"/>
  <c r="G388" i="36" a="1"/>
  <c r="G388" i="36" s="1"/>
  <c r="H388" i="36" s="1"/>
  <c r="F360" i="36" a="1"/>
  <c r="F360" i="36" s="1"/>
  <c r="I360" i="36" s="1"/>
  <c r="F356" i="36" a="1"/>
  <c r="F356" i="36" s="1"/>
  <c r="I356" i="36" s="1"/>
  <c r="F352" i="36" a="1"/>
  <c r="F352" i="36" s="1"/>
  <c r="I352" i="36" s="1"/>
  <c r="F348" i="36" a="1"/>
  <c r="F348" i="36" s="1"/>
  <c r="I348" i="36" s="1"/>
  <c r="F344" i="36" a="1"/>
  <c r="F344" i="36" s="1"/>
  <c r="I344" i="36" s="1"/>
  <c r="F340" i="36" a="1"/>
  <c r="F340" i="36" s="1"/>
  <c r="F336" i="36" a="1"/>
  <c r="F336" i="36" s="1"/>
  <c r="F332" i="36" a="1"/>
  <c r="F332" i="36" s="1"/>
  <c r="I332" i="36" s="1"/>
  <c r="F328" i="36" a="1"/>
  <c r="F328" i="36" s="1"/>
  <c r="G320" i="36" a="1"/>
  <c r="G320" i="36" s="1"/>
  <c r="H320" i="36" s="1"/>
  <c r="F305" i="36" a="1"/>
  <c r="F305" i="36" s="1"/>
  <c r="F301" i="36" a="1"/>
  <c r="F301" i="36" s="1"/>
  <c r="G293" i="36" a="1"/>
  <c r="G293" i="36" s="1"/>
  <c r="H293" i="36" s="1"/>
  <c r="F278" i="36" a="1"/>
  <c r="F278" i="36" s="1"/>
  <c r="G270" i="36" a="1"/>
  <c r="G270" i="36" s="1"/>
  <c r="H270" i="36" s="1"/>
  <c r="F255" i="36" a="1"/>
  <c r="F255" i="36" s="1"/>
  <c r="G247" i="36" a="1"/>
  <c r="G247" i="36" s="1"/>
  <c r="F232" i="36" a="1"/>
  <c r="F232" i="36" s="1"/>
  <c r="G224" i="36" a="1"/>
  <c r="G224" i="36" s="1"/>
  <c r="H224" i="36" s="1"/>
  <c r="G220" i="36" a="1"/>
  <c r="G220" i="36" s="1"/>
  <c r="H220" i="36" s="1"/>
  <c r="F205" i="36" a="1"/>
  <c r="F205" i="36" s="1"/>
  <c r="I205" i="36" s="1"/>
  <c r="G197" i="36" a="1"/>
  <c r="G197" i="36" s="1"/>
  <c r="F182" i="36" a="1"/>
  <c r="F182" i="36" s="1"/>
  <c r="I182" i="36" s="1"/>
  <c r="G174" i="36" a="1"/>
  <c r="G174" i="36" s="1"/>
  <c r="H174" i="36" s="1"/>
  <c r="F159" i="36" a="1"/>
  <c r="F159" i="36" s="1"/>
  <c r="I159" i="36" s="1"/>
  <c r="G151" i="36" a="1"/>
  <c r="G151" i="36" s="1"/>
  <c r="H151" i="36" s="1"/>
  <c r="F132" i="36" a="1"/>
  <c r="F132" i="36" s="1"/>
  <c r="G124" i="36" a="1"/>
  <c r="G124" i="36" s="1"/>
  <c r="H124" i="36" s="1"/>
  <c r="F109" i="36" a="1"/>
  <c r="F109" i="36" s="1"/>
  <c r="G101" i="36" a="1"/>
  <c r="G101" i="36" s="1"/>
  <c r="H101" i="36" s="1"/>
  <c r="F86" i="36" a="1"/>
  <c r="F86" i="36" s="1"/>
  <c r="I86" i="36" s="1"/>
  <c r="G78" i="36" a="1"/>
  <c r="G78" i="36" s="1"/>
  <c r="H78" i="36" s="1"/>
  <c r="F63" i="36" a="1"/>
  <c r="F63" i="36" s="1"/>
  <c r="I63" i="36" s="1"/>
  <c r="F59" i="36" a="1"/>
  <c r="F59" i="36" s="1"/>
  <c r="I59" i="36" s="1"/>
  <c r="G51" i="36" a="1"/>
  <c r="G51" i="36" s="1"/>
  <c r="H51" i="36" s="1"/>
  <c r="F36" i="36" a="1"/>
  <c r="F36" i="36" s="1"/>
  <c r="G28" i="36" a="1"/>
  <c r="G28" i="36" s="1"/>
  <c r="H28" i="36" s="1"/>
  <c r="F13" i="36" a="1"/>
  <c r="F13" i="36" s="1"/>
  <c r="I13" i="36" s="1"/>
  <c r="F634" i="36" a="1"/>
  <c r="F634" i="36" s="1"/>
  <c r="G609" i="36" a="1"/>
  <c r="G609" i="36" s="1"/>
  <c r="H609" i="36" s="1"/>
  <c r="G605" i="36" a="1"/>
  <c r="G605" i="36" s="1"/>
  <c r="H605" i="36" s="1"/>
  <c r="G601" i="36" a="1"/>
  <c r="G601" i="36" s="1"/>
  <c r="H601" i="36" s="1"/>
  <c r="G597" i="36" a="1"/>
  <c r="G597" i="36" s="1"/>
  <c r="H597" i="36" s="1"/>
  <c r="G593" i="36" a="1"/>
  <c r="G593" i="36" s="1"/>
  <c r="I593" i="36" s="1"/>
  <c r="G589" i="36" a="1"/>
  <c r="G589" i="36" s="1"/>
  <c r="H589" i="36" s="1"/>
  <c r="G585" i="36" a="1"/>
  <c r="G585" i="36" s="1"/>
  <c r="H585" i="36" s="1"/>
  <c r="G581" i="36" a="1"/>
  <c r="G581" i="36" s="1"/>
  <c r="G577" i="36" a="1"/>
  <c r="G577" i="36" s="1"/>
  <c r="H577" i="36" s="1"/>
  <c r="G573" i="36" a="1"/>
  <c r="G573" i="36" s="1"/>
  <c r="H573" i="36" s="1"/>
  <c r="G569" i="36" a="1"/>
  <c r="G569" i="36" s="1"/>
  <c r="H569" i="36" s="1"/>
  <c r="F557" i="36" a="1"/>
  <c r="F557" i="36" s="1"/>
  <c r="I557" i="36" s="1"/>
  <c r="F553" i="36" a="1"/>
  <c r="F553" i="36" s="1"/>
  <c r="F549" i="36" a="1"/>
  <c r="F549" i="36" s="1"/>
  <c r="I549" i="36" s="1"/>
  <c r="F545" i="36" a="1"/>
  <c r="F545" i="36" s="1"/>
  <c r="F541" i="36" a="1"/>
  <c r="F541" i="36" s="1"/>
  <c r="F537" i="36" a="1"/>
  <c r="F537" i="36" s="1"/>
  <c r="F533" i="36" a="1"/>
  <c r="F533" i="36" s="1"/>
  <c r="F529" i="36" a="1"/>
  <c r="F529" i="36" s="1"/>
  <c r="G444" i="36" a="1"/>
  <c r="G444" i="36" s="1"/>
  <c r="H444" i="36" s="1"/>
  <c r="G440" i="36" a="1"/>
  <c r="G440" i="36" s="1"/>
  <c r="H440" i="36" s="1"/>
  <c r="G436" i="36" a="1"/>
  <c r="G436" i="36" s="1"/>
  <c r="H436" i="36" s="1"/>
  <c r="G432" i="36" a="1"/>
  <c r="G432" i="36" s="1"/>
  <c r="H432" i="36" s="1"/>
  <c r="G428" i="36" a="1"/>
  <c r="G428" i="36" s="1"/>
  <c r="H428" i="36" s="1"/>
  <c r="G424" i="36" a="1"/>
  <c r="G424" i="36" s="1"/>
  <c r="H424" i="36" s="1"/>
  <c r="G420" i="36" a="1"/>
  <c r="G420" i="36" s="1"/>
  <c r="H420" i="36" s="1"/>
  <c r="G416" i="36" a="1"/>
  <c r="G416" i="36" s="1"/>
  <c r="G412" i="36" a="1"/>
  <c r="G412" i="36" s="1"/>
  <c r="H412" i="36" s="1"/>
  <c r="G408" i="36" a="1"/>
  <c r="G408" i="36" s="1"/>
  <c r="H408" i="36" s="1"/>
  <c r="G404" i="36" a="1"/>
  <c r="G404" i="36" s="1"/>
  <c r="H404" i="36" s="1"/>
  <c r="F388" i="36" a="1"/>
  <c r="F388" i="36" s="1"/>
  <c r="F384" i="36" a="1"/>
  <c r="F384" i="36" s="1"/>
  <c r="F380" i="36" a="1"/>
  <c r="F380" i="36" s="1"/>
  <c r="F376" i="36" a="1"/>
  <c r="F376" i="36" s="1"/>
  <c r="F372" i="36" a="1"/>
  <c r="F372" i="36" s="1"/>
  <c r="F368" i="36" a="1"/>
  <c r="F368" i="36" s="1"/>
  <c r="F364" i="36" a="1"/>
  <c r="F364" i="36" s="1"/>
  <c r="F324" i="36" a="1"/>
  <c r="F324" i="36" s="1"/>
  <c r="G316" i="36" a="1"/>
  <c r="G316" i="36" s="1"/>
  <c r="H316" i="36" s="1"/>
  <c r="F297" i="36" a="1"/>
  <c r="F297" i="36" s="1"/>
  <c r="G289" i="36" a="1"/>
  <c r="G289" i="36" s="1"/>
  <c r="H289" i="36" s="1"/>
  <c r="F274" i="36" a="1"/>
  <c r="F274" i="36" s="1"/>
  <c r="G266" i="36" a="1"/>
  <c r="G266" i="36" s="1"/>
  <c r="H266" i="36" s="1"/>
  <c r="F251" i="36" a="1"/>
  <c r="F251" i="36" s="1"/>
  <c r="G243" i="36" a="1"/>
  <c r="G243" i="36" s="1"/>
  <c r="H243" i="36" s="1"/>
  <c r="F228" i="36" a="1"/>
  <c r="F228" i="36" s="1"/>
  <c r="F224" i="36" a="1"/>
  <c r="F224" i="36" s="1"/>
  <c r="I224" i="36" s="1"/>
  <c r="G216" i="36" a="1"/>
  <c r="G216" i="36" s="1"/>
  <c r="F201" i="36" a="1"/>
  <c r="F201" i="36" s="1"/>
  <c r="G193" i="36" a="1"/>
  <c r="G193" i="36" s="1"/>
  <c r="H193" i="36" s="1"/>
  <c r="F178" i="36" a="1"/>
  <c r="F178" i="36" s="1"/>
  <c r="I178" i="36" s="1"/>
  <c r="G170" i="36" a="1"/>
  <c r="G170" i="36" s="1"/>
  <c r="H170" i="36" s="1"/>
  <c r="F155" i="36" a="1"/>
  <c r="F155" i="36" s="1"/>
  <c r="G147" i="36" a="1"/>
  <c r="G147" i="36" s="1"/>
  <c r="H147" i="36" s="1"/>
  <c r="G143" i="36" a="1"/>
  <c r="G143" i="36" s="1"/>
  <c r="H143" i="36" s="1"/>
  <c r="F128" i="36" a="1"/>
  <c r="F128" i="36" s="1"/>
  <c r="G120" i="36" a="1"/>
  <c r="G120" i="36" s="1"/>
  <c r="H120" i="36" s="1"/>
  <c r="F105" i="36" a="1"/>
  <c r="F105" i="36" s="1"/>
  <c r="I105" i="36" s="1"/>
  <c r="G97" i="36" a="1"/>
  <c r="G97" i="36" s="1"/>
  <c r="H97" i="36" s="1"/>
  <c r="F82" i="36" a="1"/>
  <c r="F82" i="36" s="1"/>
  <c r="G74" i="36" a="1"/>
  <c r="G74" i="36" s="1"/>
  <c r="H74" i="36" s="1"/>
  <c r="F55" i="36" a="1"/>
  <c r="F55" i="36" s="1"/>
  <c r="G47" i="36" a="1"/>
  <c r="G47" i="36" s="1"/>
  <c r="H47" i="36" s="1"/>
  <c r="F32" i="36" a="1"/>
  <c r="F32" i="36" s="1"/>
  <c r="G24" i="36" a="1"/>
  <c r="G24" i="36" s="1"/>
  <c r="H24" i="36" s="1"/>
  <c r="F9" i="36" a="1"/>
  <c r="F9" i="36" s="1"/>
  <c r="F638" i="36" a="1"/>
  <c r="F638" i="36" s="1"/>
  <c r="G621" i="36" a="1"/>
  <c r="G621" i="36" s="1"/>
  <c r="H621" i="36" s="1"/>
  <c r="G617" i="36" a="1"/>
  <c r="G617" i="36" s="1"/>
  <c r="H617" i="36" s="1"/>
  <c r="G613" i="36" a="1"/>
  <c r="G613" i="36" s="1"/>
  <c r="H613" i="36" s="1"/>
  <c r="F619" i="36" a="1"/>
  <c r="F619" i="36" s="1"/>
  <c r="I619" i="36" s="1"/>
  <c r="G614" i="36" a="1"/>
  <c r="G614" i="36" s="1"/>
  <c r="G586" i="36" a="1"/>
  <c r="G586" i="36" s="1"/>
  <c r="H586" i="36" s="1"/>
  <c r="F572" i="36" a="1"/>
  <c r="F572" i="36" s="1"/>
  <c r="I572" i="36" s="1"/>
  <c r="G563" i="36" a="1"/>
  <c r="G563" i="36" s="1"/>
  <c r="H563" i="36" s="1"/>
  <c r="F559" i="36" a="1"/>
  <c r="F559" i="36" s="1"/>
  <c r="I559" i="36" s="1"/>
  <c r="G541" i="36" a="1"/>
  <c r="G541" i="36" s="1"/>
  <c r="H541" i="36" s="1"/>
  <c r="F466" i="36" a="1"/>
  <c r="F466" i="36" s="1"/>
  <c r="F448" i="36" a="1"/>
  <c r="F448" i="36" s="1"/>
  <c r="I448" i="36" s="1"/>
  <c r="G439" i="36" a="1"/>
  <c r="G439" i="36" s="1"/>
  <c r="H439" i="36" s="1"/>
  <c r="F435" i="36" a="1"/>
  <c r="F435" i="36" s="1"/>
  <c r="F426" i="36" a="1"/>
  <c r="F426" i="36" s="1"/>
  <c r="G417" i="36" a="1"/>
  <c r="G417" i="36" s="1"/>
  <c r="H417" i="36" s="1"/>
  <c r="F413" i="36" a="1"/>
  <c r="F413" i="36" s="1"/>
  <c r="G399" i="36" a="1"/>
  <c r="G399" i="36" s="1"/>
  <c r="I399" i="36" s="1"/>
  <c r="F395" i="36" a="1"/>
  <c r="F395" i="36" s="1"/>
  <c r="G386" i="36" a="1"/>
  <c r="G386" i="36" s="1"/>
  <c r="H386" i="36" s="1"/>
  <c r="G364" i="36" a="1"/>
  <c r="G364" i="36" s="1"/>
  <c r="H364" i="36" s="1"/>
  <c r="F342" i="36" a="1"/>
  <c r="F342" i="36" s="1"/>
  <c r="F316" i="36" a="1"/>
  <c r="F316" i="36" s="1"/>
  <c r="G303" i="36" a="1"/>
  <c r="G303" i="36" s="1"/>
  <c r="H303" i="36" s="1"/>
  <c r="F295" i="36" a="1"/>
  <c r="F295" i="36" s="1"/>
  <c r="I295" i="36" s="1"/>
  <c r="G282" i="36" a="1"/>
  <c r="G282" i="36" s="1"/>
  <c r="H282" i="36" s="1"/>
  <c r="G265" i="36" a="1"/>
  <c r="G265" i="36" s="1"/>
  <c r="H265" i="36" s="1"/>
  <c r="G244" i="36" a="1"/>
  <c r="G244" i="36" s="1"/>
  <c r="H244" i="36" s="1"/>
  <c r="F236" i="36" a="1"/>
  <c r="F236" i="36" s="1"/>
  <c r="I236" i="36" s="1"/>
  <c r="G231" i="36" a="1"/>
  <c r="G231" i="36" s="1"/>
  <c r="H231" i="36" s="1"/>
  <c r="F223" i="36" a="1"/>
  <c r="F223" i="36" s="1"/>
  <c r="F632" i="36" a="1"/>
  <c r="F632" i="36" s="1"/>
  <c r="F627" i="36" a="1"/>
  <c r="F627" i="36" s="1"/>
  <c r="F608" i="36" a="1"/>
  <c r="F608" i="36" s="1"/>
  <c r="I608" i="36" s="1"/>
  <c r="G575" i="36" a="1"/>
  <c r="G575" i="36" s="1"/>
  <c r="H575" i="36" s="1"/>
  <c r="G535" i="36" a="1"/>
  <c r="G535" i="36" s="1"/>
  <c r="H535" i="36" s="1"/>
  <c r="F531" i="36" a="1"/>
  <c r="F531" i="36" s="1"/>
  <c r="G513" i="36" a="1"/>
  <c r="G513" i="36" s="1"/>
  <c r="H513" i="36" s="1"/>
  <c r="G504" i="36" a="1"/>
  <c r="G504" i="36" s="1"/>
  <c r="H504" i="36" s="1"/>
  <c r="F500" i="36" a="1"/>
  <c r="F500" i="36" s="1"/>
  <c r="I500" i="36" s="1"/>
  <c r="G495" i="36" a="1"/>
  <c r="G495" i="36" s="1"/>
  <c r="I495" i="36" s="1"/>
  <c r="F491" i="36" a="1"/>
  <c r="F491" i="36" s="1"/>
  <c r="G482" i="36" a="1"/>
  <c r="G482" i="36" s="1"/>
  <c r="I482" i="36" s="1"/>
  <c r="F478" i="36" a="1"/>
  <c r="F478" i="36" s="1"/>
  <c r="G464" i="36" a="1"/>
  <c r="G464" i="36" s="1"/>
  <c r="H464" i="36" s="1"/>
  <c r="F460" i="36" a="1"/>
  <c r="F460" i="36" s="1"/>
  <c r="F438" i="36" a="1"/>
  <c r="F438" i="36" s="1"/>
  <c r="G411" i="36" a="1"/>
  <c r="G411" i="36" s="1"/>
  <c r="H411" i="36" s="1"/>
  <c r="G389" i="36" a="1"/>
  <c r="G389" i="36" s="1"/>
  <c r="H389" i="36" s="1"/>
  <c r="F385" i="36" a="1"/>
  <c r="F385" i="36" s="1"/>
  <c r="F367" i="36" a="1"/>
  <c r="F367" i="36" s="1"/>
  <c r="I367" i="36" s="1"/>
  <c r="G358" i="36" a="1"/>
  <c r="G358" i="36" s="1"/>
  <c r="H358" i="36" s="1"/>
  <c r="F354" i="36" a="1"/>
  <c r="F354" i="36" s="1"/>
  <c r="F345" i="36" a="1"/>
  <c r="F345" i="36" s="1"/>
  <c r="I345" i="36" s="1"/>
  <c r="G336" i="36" a="1"/>
  <c r="G336" i="36" s="1"/>
  <c r="H336" i="36" s="1"/>
  <c r="G327" i="36" a="1"/>
  <c r="G327" i="36" s="1"/>
  <c r="H327" i="36" s="1"/>
  <c r="F323" i="36" a="1"/>
  <c r="F323" i="36" s="1"/>
  <c r="G306" i="36" a="1"/>
  <c r="G306" i="36" s="1"/>
  <c r="H306" i="36" s="1"/>
  <c r="F298" i="36" a="1"/>
  <c r="F298" i="36" s="1"/>
  <c r="F285" i="36" a="1"/>
  <c r="F285" i="36" s="1"/>
  <c r="G268" i="36" a="1"/>
  <c r="G268" i="36" s="1"/>
  <c r="H268" i="36" s="1"/>
  <c r="F264" i="36" a="1"/>
  <c r="F264" i="36" s="1"/>
  <c r="G627" i="36" a="1"/>
  <c r="G627" i="36" s="1"/>
  <c r="H627" i="36" s="1"/>
  <c r="F622" i="36" a="1"/>
  <c r="F622" i="36" s="1"/>
  <c r="G596" i="36" a="1"/>
  <c r="G596" i="36" s="1"/>
  <c r="H596" i="36" s="1"/>
  <c r="G591" i="36" a="1"/>
  <c r="G591" i="36" s="1"/>
  <c r="H591" i="36" s="1"/>
  <c r="F566" i="36" a="1"/>
  <c r="F566" i="36" s="1"/>
  <c r="F556" i="36" a="1"/>
  <c r="F556" i="36" s="1"/>
  <c r="G551" i="36" a="1"/>
  <c r="G551" i="36" s="1"/>
  <c r="H551" i="36" s="1"/>
  <c r="F527" i="36" a="1"/>
  <c r="F527" i="36" s="1"/>
  <c r="F522" i="36" a="1"/>
  <c r="F522" i="36" s="1"/>
  <c r="I522" i="36" s="1"/>
  <c r="F483" i="36" a="1"/>
  <c r="F483" i="36" s="1"/>
  <c r="I483" i="36" s="1"/>
  <c r="G478" i="36" a="1"/>
  <c r="G478" i="36" s="1"/>
  <c r="H478" i="36" s="1"/>
  <c r="G473" i="36" a="1"/>
  <c r="G473" i="36" s="1"/>
  <c r="H473" i="36" s="1"/>
  <c r="F454" i="36" a="1"/>
  <c r="F454" i="36" s="1"/>
  <c r="F444" i="36" a="1"/>
  <c r="F444" i="36" s="1"/>
  <c r="I444" i="36" s="1"/>
  <c r="F410" i="36" a="1"/>
  <c r="F410" i="36" s="1"/>
  <c r="I410" i="36" s="1"/>
  <c r="G405" i="36" a="1"/>
  <c r="G405" i="36" s="1"/>
  <c r="H405" i="36" s="1"/>
  <c r="G395" i="36" a="1"/>
  <c r="G395" i="36" s="1"/>
  <c r="H395" i="36" s="1"/>
  <c r="F381" i="36" a="1"/>
  <c r="F381" i="36" s="1"/>
  <c r="F337" i="36" a="1"/>
  <c r="F337" i="36" s="1"/>
  <c r="G332" i="36" a="1"/>
  <c r="G332" i="36" s="1"/>
  <c r="H332" i="36" s="1"/>
  <c r="F318" i="36" a="1"/>
  <c r="F318" i="36" s="1"/>
  <c r="F309" i="36" a="1"/>
  <c r="F309" i="36" s="1"/>
  <c r="I309" i="36" s="1"/>
  <c r="F304" i="36" a="1"/>
  <c r="F304" i="36" s="1"/>
  <c r="G290" i="36" a="1"/>
  <c r="G290" i="36" s="1"/>
  <c r="H290" i="36" s="1"/>
  <c r="G285" i="36" a="1"/>
  <c r="G285" i="36" s="1"/>
  <c r="H285" i="36" s="1"/>
  <c r="F267" i="36" a="1"/>
  <c r="F267" i="36" s="1"/>
  <c r="I267" i="36" s="1"/>
  <c r="G253" i="36" a="1"/>
  <c r="G253" i="36" s="1"/>
  <c r="H253" i="36" s="1"/>
  <c r="F249" i="36" a="1"/>
  <c r="F249" i="36" s="1"/>
  <c r="G240" i="36" a="1"/>
  <c r="G240" i="36" s="1"/>
  <c r="H240" i="36" s="1"/>
  <c r="F231" i="36" a="1"/>
  <c r="F231" i="36" s="1"/>
  <c r="G222" i="36" a="1"/>
  <c r="G222" i="36" s="1"/>
  <c r="H222" i="36" s="1"/>
  <c r="F214" i="36" a="1"/>
  <c r="F214" i="36" s="1"/>
  <c r="I214" i="36" s="1"/>
  <c r="G201" i="36" a="1"/>
  <c r="G201" i="36" s="1"/>
  <c r="H201" i="36" s="1"/>
  <c r="G184" i="36" a="1"/>
  <c r="G184" i="36" s="1"/>
  <c r="H184" i="36" s="1"/>
  <c r="F180" i="36" a="1"/>
  <c r="F180" i="36" s="1"/>
  <c r="I180" i="36" s="1"/>
  <c r="G163" i="36" a="1"/>
  <c r="G163" i="36" s="1"/>
  <c r="H163" i="36" s="1"/>
  <c r="G150" i="36" a="1"/>
  <c r="G150" i="36" s="1"/>
  <c r="H150" i="36" s="1"/>
  <c r="F142" i="36" a="1"/>
  <c r="F142" i="36" s="1"/>
  <c r="G125" i="36" a="1"/>
  <c r="G125" i="36" s="1"/>
  <c r="H125" i="36" s="1"/>
  <c r="F121" i="36" a="1"/>
  <c r="F121" i="36" s="1"/>
  <c r="I121" i="36" s="1"/>
  <c r="G112" i="36" a="1"/>
  <c r="G112" i="36" s="1"/>
  <c r="H112" i="36" s="1"/>
  <c r="F104" i="36" a="1"/>
  <c r="F104" i="36" s="1"/>
  <c r="I104" i="36" s="1"/>
  <c r="G91" i="36" a="1"/>
  <c r="G91" i="36" s="1"/>
  <c r="H91" i="36" s="1"/>
  <c r="F83" i="36" a="1"/>
  <c r="F83" i="36" s="1"/>
  <c r="F70" i="36" a="1"/>
  <c r="F70" i="36" s="1"/>
  <c r="I70" i="36" s="1"/>
  <c r="G53" i="36" a="1"/>
  <c r="G53" i="36" s="1"/>
  <c r="H53" i="36" s="1"/>
  <c r="F45" i="36" a="1"/>
  <c r="F45" i="36" s="1"/>
  <c r="G32" i="36" a="1"/>
  <c r="G32" i="36" s="1"/>
  <c r="H32" i="36" s="1"/>
  <c r="G15" i="36" a="1"/>
  <c r="G15" i="36" s="1"/>
  <c r="H15" i="36" s="1"/>
  <c r="F11" i="36" a="1"/>
  <c r="F11" i="36" s="1"/>
  <c r="G616" i="36" a="1"/>
  <c r="G616" i="36" s="1"/>
  <c r="H616" i="36" s="1"/>
  <c r="F601" i="36" a="1"/>
  <c r="F601" i="36" s="1"/>
  <c r="I601" i="36" s="1"/>
  <c r="F591" i="36" a="1"/>
  <c r="F591" i="36" s="1"/>
  <c r="I591" i="36" s="1"/>
  <c r="F586" i="36" a="1"/>
  <c r="F586" i="36" s="1"/>
  <c r="I586" i="36" s="1"/>
  <c r="G546" i="36" a="1"/>
  <c r="G546" i="36" s="1"/>
  <c r="H546" i="36" s="1"/>
  <c r="G536" i="36" a="1"/>
  <c r="G536" i="36" s="1"/>
  <c r="H536" i="36" s="1"/>
  <c r="F512" i="36" a="1"/>
  <c r="F512" i="36" s="1"/>
  <c r="G502" i="36" a="1"/>
  <c r="G502" i="36" s="1"/>
  <c r="H502" i="36" s="1"/>
  <c r="F468" i="36" a="1"/>
  <c r="F468" i="36" s="1"/>
  <c r="G463" i="36" a="1"/>
  <c r="G463" i="36" s="1"/>
  <c r="H463" i="36" s="1"/>
  <c r="F449" i="36" a="1"/>
  <c r="F449" i="36" s="1"/>
  <c r="F439" i="36" a="1"/>
  <c r="F439" i="36" s="1"/>
  <c r="G429" i="36" a="1"/>
  <c r="G429" i="36" s="1"/>
  <c r="H429" i="36" s="1"/>
  <c r="F400" i="36" a="1"/>
  <c r="F400" i="36" s="1"/>
  <c r="G390" i="36" a="1"/>
  <c r="G390" i="36" s="1"/>
  <c r="H390" i="36" s="1"/>
  <c r="F366" i="36" a="1"/>
  <c r="F366" i="36" s="1"/>
  <c r="G356" i="36" a="1"/>
  <c r="G356" i="36" s="1"/>
  <c r="H356" i="36" s="1"/>
  <c r="G351" i="36" a="1"/>
  <c r="G351" i="36" s="1"/>
  <c r="H351" i="36" s="1"/>
  <c r="F327" i="36" a="1"/>
  <c r="F327" i="36" s="1"/>
  <c r="G322" i="36" a="1"/>
  <c r="G322" i="36" s="1"/>
  <c r="H322" i="36" s="1"/>
  <c r="G313" i="36" a="1"/>
  <c r="G313" i="36" s="1"/>
  <c r="H313" i="36" s="1"/>
  <c r="G308" i="36" a="1"/>
  <c r="G308" i="36" s="1"/>
  <c r="H308" i="36" s="1"/>
  <c r="G299" i="36" a="1"/>
  <c r="G299" i="36" s="1"/>
  <c r="H299" i="36" s="1"/>
  <c r="F290" i="36" a="1"/>
  <c r="F290" i="36" s="1"/>
  <c r="I290" i="36" s="1"/>
  <c r="F276" i="36" a="1"/>
  <c r="F276" i="36" s="1"/>
  <c r="G271" i="36" a="1"/>
  <c r="G271" i="36" s="1"/>
  <c r="H271" i="36" s="1"/>
  <c r="F262" i="36" a="1"/>
  <c r="F262" i="36" s="1"/>
  <c r="F240" i="36" a="1"/>
  <c r="F240" i="36" s="1"/>
  <c r="G235" i="36" a="1"/>
  <c r="G235" i="36" s="1"/>
  <c r="H235" i="36" s="1"/>
  <c r="F218" i="36" a="1"/>
  <c r="F218" i="36" s="1"/>
  <c r="G205" i="36" a="1"/>
  <c r="G205" i="36" s="1"/>
  <c r="H205" i="36" s="1"/>
  <c r="G188" i="36" a="1"/>
  <c r="G188" i="36" s="1"/>
  <c r="H188" i="36" s="1"/>
  <c r="G167" i="36" a="1"/>
  <c r="G167" i="36" s="1"/>
  <c r="H167" i="36" s="1"/>
  <c r="G154" i="36" a="1"/>
  <c r="G154" i="36" s="1"/>
  <c r="H154" i="36" s="1"/>
  <c r="F146" i="36" a="1"/>
  <c r="F146" i="36" s="1"/>
  <c r="I146" i="36" s="1"/>
  <c r="G129" i="36" a="1"/>
  <c r="G129" i="36" s="1"/>
  <c r="H129" i="36" s="1"/>
  <c r="F125" i="36" a="1"/>
  <c r="F125" i="36" s="1"/>
  <c r="G116" i="36" a="1"/>
  <c r="G116" i="36" s="1"/>
  <c r="H116" i="36" s="1"/>
  <c r="F108" i="36" a="1"/>
  <c r="F108" i="36" s="1"/>
  <c r="I108" i="36" s="1"/>
  <c r="G95" i="36" a="1"/>
  <c r="G95" i="36" s="1"/>
  <c r="H95" i="36" s="1"/>
  <c r="F87" i="36" a="1"/>
  <c r="F87" i="36" s="1"/>
  <c r="G57" i="36" a="1"/>
  <c r="G57" i="36" s="1"/>
  <c r="H57" i="36" s="1"/>
  <c r="F49" i="36" a="1"/>
  <c r="F49" i="36" s="1"/>
  <c r="G36" i="36" a="1"/>
  <c r="G36" i="36" s="1"/>
  <c r="H36" i="36" s="1"/>
  <c r="G19" i="36" a="1"/>
  <c r="G19" i="36" s="1"/>
  <c r="H19" i="36" s="1"/>
  <c r="F15" i="36" a="1"/>
  <c r="F15" i="36" s="1"/>
  <c r="I15" i="36" s="1"/>
  <c r="G637" i="36" a="1"/>
  <c r="G637" i="36" s="1"/>
  <c r="H637" i="36" s="1"/>
  <c r="G632" i="36" a="1"/>
  <c r="G632" i="36" s="1"/>
  <c r="H632" i="36" s="1"/>
  <c r="G611" i="36" a="1"/>
  <c r="G611" i="36" s="1"/>
  <c r="H611" i="36" s="1"/>
  <c r="G606" i="36" a="1"/>
  <c r="G606" i="36" s="1"/>
  <c r="H606" i="36" s="1"/>
  <c r="F596" i="36" a="1"/>
  <c r="F596" i="36" s="1"/>
  <c r="I596" i="36" s="1"/>
  <c r="G570" i="36" a="1"/>
  <c r="G570" i="36" s="1"/>
  <c r="H570" i="36" s="1"/>
  <c r="G560" i="36" a="1"/>
  <c r="G560" i="36" s="1"/>
  <c r="H560" i="36" s="1"/>
  <c r="F551" i="36" a="1"/>
  <c r="F551" i="36" s="1"/>
  <c r="F536" i="36" a="1"/>
  <c r="F536" i="36" s="1"/>
  <c r="G531" i="36" a="1"/>
  <c r="G531" i="36" s="1"/>
  <c r="H531" i="36" s="1"/>
  <c r="G526" i="36" a="1"/>
  <c r="G526" i="36" s="1"/>
  <c r="H526" i="36" s="1"/>
  <c r="F507" i="36" a="1"/>
  <c r="F507" i="36" s="1"/>
  <c r="G492" i="36" a="1"/>
  <c r="G492" i="36" s="1"/>
  <c r="H492" i="36" s="1"/>
  <c r="G487" i="36" a="1"/>
  <c r="G487" i="36" s="1"/>
  <c r="H487" i="36" s="1"/>
  <c r="F473" i="36" a="1"/>
  <c r="F473" i="36" s="1"/>
  <c r="G458" i="36" a="1"/>
  <c r="G458" i="36" s="1"/>
  <c r="H458" i="36" s="1"/>
  <c r="F434" i="36" a="1"/>
  <c r="F434" i="36" s="1"/>
  <c r="F429" i="36" a="1"/>
  <c r="F429" i="36" s="1"/>
  <c r="F424" i="36" a="1"/>
  <c r="F424" i="36" s="1"/>
  <c r="G419" i="36" a="1"/>
  <c r="G419" i="36" s="1"/>
  <c r="H419" i="36" s="1"/>
  <c r="G414" i="36" a="1"/>
  <c r="G414" i="36" s="1"/>
  <c r="H414" i="36" s="1"/>
  <c r="F405" i="36" a="1"/>
  <c r="F405" i="36" s="1"/>
  <c r="G385" i="36" a="1"/>
  <c r="G385" i="36" s="1"/>
  <c r="H385" i="36" s="1"/>
  <c r="G380" i="36" a="1"/>
  <c r="G380" i="36" s="1"/>
  <c r="H380" i="36" s="1"/>
  <c r="G375" i="36" a="1"/>
  <c r="G375" i="36" s="1"/>
  <c r="H375" i="36" s="1"/>
  <c r="F361" i="36" a="1"/>
  <c r="F361" i="36" s="1"/>
  <c r="G346" i="36" a="1"/>
  <c r="G346" i="36" s="1"/>
  <c r="H346" i="36" s="1"/>
  <c r="G341" i="36" a="1"/>
  <c r="G341" i="36" s="1"/>
  <c r="H341" i="36" s="1"/>
  <c r="F299" i="36" a="1"/>
  <c r="F299" i="36" s="1"/>
  <c r="G280" i="36" a="1"/>
  <c r="G280" i="36" s="1"/>
  <c r="H280" i="36" s="1"/>
  <c r="F253" i="36" a="1"/>
  <c r="F253" i="36" s="1"/>
  <c r="I253" i="36" s="1"/>
  <c r="F235" i="36" a="1"/>
  <c r="F235" i="36" s="1"/>
  <c r="G226" i="36" a="1"/>
  <c r="G226" i="36" s="1"/>
  <c r="H226" i="36" s="1"/>
  <c r="F222" i="36" a="1"/>
  <c r="F222" i="36" s="1"/>
  <c r="G209" i="36" a="1"/>
  <c r="G209" i="36" s="1"/>
  <c r="H209" i="36" s="1"/>
  <c r="G192" i="36" a="1"/>
  <c r="G192" i="36" s="1"/>
  <c r="H192" i="36" s="1"/>
  <c r="F184" i="36" a="1"/>
  <c r="F184" i="36" s="1"/>
  <c r="G171" i="36" a="1"/>
  <c r="G171" i="36" s="1"/>
  <c r="H171" i="36" s="1"/>
  <c r="F163" i="36" a="1"/>
  <c r="F163" i="36" s="1"/>
  <c r="F150" i="36" a="1"/>
  <c r="F150" i="36" s="1"/>
  <c r="G133" i="36" a="1"/>
  <c r="G133" i="36" s="1"/>
  <c r="H133" i="36" s="1"/>
  <c r="F112" i="36" a="1"/>
  <c r="F112" i="36" s="1"/>
  <c r="G99" i="36" a="1"/>
  <c r="G99" i="36" s="1"/>
  <c r="H99" i="36" s="1"/>
  <c r="F91" i="36" a="1"/>
  <c r="F91" i="36" s="1"/>
  <c r="I91" i="36" s="1"/>
  <c r="F74" i="36" a="1"/>
  <c r="F74" i="36" s="1"/>
  <c r="I74" i="36" s="1"/>
  <c r="G61" i="36" a="1"/>
  <c r="G61" i="36" s="1"/>
  <c r="H61" i="36" s="1"/>
  <c r="F53" i="36" a="1"/>
  <c r="F53" i="36" s="1"/>
  <c r="I53" i="36" s="1"/>
  <c r="G40" i="36" a="1"/>
  <c r="G40" i="36" s="1"/>
  <c r="H40" i="36" s="1"/>
  <c r="G23" i="36" a="1"/>
  <c r="G23" i="36" s="1"/>
  <c r="H23" i="36" s="1"/>
  <c r="F621" i="36" a="1"/>
  <c r="F621" i="36" s="1"/>
  <c r="I621" i="36" s="1"/>
  <c r="F616" i="36" a="1"/>
  <c r="F616" i="36" s="1"/>
  <c r="F580" i="36" a="1"/>
  <c r="F580" i="36" s="1"/>
  <c r="F575" i="36" a="1"/>
  <c r="F575" i="36" s="1"/>
  <c r="I575" i="36" s="1"/>
  <c r="F565" i="36" a="1"/>
  <c r="F565" i="36" s="1"/>
  <c r="F546" i="36" a="1"/>
  <c r="F546" i="36" s="1"/>
  <c r="G521" i="36" a="1"/>
  <c r="G521" i="36" s="1"/>
  <c r="H521" i="36" s="1"/>
  <c r="G516" i="36" a="1"/>
  <c r="G516" i="36" s="1"/>
  <c r="H516" i="36" s="1"/>
  <c r="F502" i="36" a="1"/>
  <c r="F502" i="36" s="1"/>
  <c r="G497" i="36" a="1"/>
  <c r="G497" i="36" s="1"/>
  <c r="H497" i="36" s="1"/>
  <c r="F492" i="36" a="1"/>
  <c r="F492" i="36" s="1"/>
  <c r="G472" i="36" a="1"/>
  <c r="G472" i="36" s="1"/>
  <c r="H472" i="36" s="1"/>
  <c r="F463" i="36" a="1"/>
  <c r="F463" i="36" s="1"/>
  <c r="G453" i="36" a="1"/>
  <c r="G453" i="36" s="1"/>
  <c r="H453" i="36" s="1"/>
  <c r="G448" i="36" a="1"/>
  <c r="G448" i="36" s="1"/>
  <c r="H448" i="36" s="1"/>
  <c r="G443" i="36" a="1"/>
  <c r="G443" i="36" s="1"/>
  <c r="H443" i="36" s="1"/>
  <c r="F390" i="36" a="1"/>
  <c r="F390" i="36" s="1"/>
  <c r="I390" i="36" s="1"/>
  <c r="G370" i="36" a="1"/>
  <c r="G370" i="36" s="1"/>
  <c r="H370" i="36" s="1"/>
  <c r="F351" i="36" a="1"/>
  <c r="F351" i="36" s="1"/>
  <c r="I351" i="36" s="1"/>
  <c r="G331" i="36" a="1"/>
  <c r="G331" i="36" s="1"/>
  <c r="H331" i="36" s="1"/>
  <c r="F322" i="36" a="1"/>
  <c r="F322" i="36" s="1"/>
  <c r="I322" i="36" s="1"/>
  <c r="F313" i="36" a="1"/>
  <c r="F313" i="36" s="1"/>
  <c r="F308" i="36" a="1"/>
  <c r="F308" i="36" s="1"/>
  <c r="I308" i="36" s="1"/>
  <c r="G294" i="36" a="1"/>
  <c r="G294" i="36" s="1"/>
  <c r="H294" i="36" s="1"/>
  <c r="F271" i="36" a="1"/>
  <c r="F271" i="36" s="1"/>
  <c r="G257" i="36" a="1"/>
  <c r="G257" i="36" s="1"/>
  <c r="H257" i="36" s="1"/>
  <c r="G248" i="36" a="1"/>
  <c r="G248" i="36" s="1"/>
  <c r="I248" i="36" s="1"/>
  <c r="F244" i="36" a="1"/>
  <c r="F244" i="36" s="1"/>
  <c r="G239" i="36" a="1"/>
  <c r="G239" i="36" s="1"/>
  <c r="H239" i="36" s="1"/>
  <c r="G196" i="36" a="1"/>
  <c r="G196" i="36" s="1"/>
  <c r="F188" i="36" a="1"/>
  <c r="F188" i="36" s="1"/>
  <c r="G175" i="36" a="1"/>
  <c r="G175" i="36" s="1"/>
  <c r="H175" i="36" s="1"/>
  <c r="F167" i="36" a="1"/>
  <c r="F167" i="36" s="1"/>
  <c r="G158" i="36" a="1"/>
  <c r="G158" i="36" s="1"/>
  <c r="H158" i="36" s="1"/>
  <c r="F154" i="36" a="1"/>
  <c r="F154" i="36" s="1"/>
  <c r="G137" i="36" a="1"/>
  <c r="G137" i="36" s="1"/>
  <c r="H137" i="36" s="1"/>
  <c r="F129" i="36" a="1"/>
  <c r="F129" i="36" s="1"/>
  <c r="F116" i="36" a="1"/>
  <c r="F116" i="36" s="1"/>
  <c r="I116" i="36" s="1"/>
  <c r="F95" i="36" a="1"/>
  <c r="F95" i="36" s="1"/>
  <c r="I95" i="36" s="1"/>
  <c r="F78" i="36" a="1"/>
  <c r="F78" i="36" s="1"/>
  <c r="I78" i="36" s="1"/>
  <c r="G65" i="36" a="1"/>
  <c r="G65" i="36" s="1"/>
  <c r="H65" i="36" s="1"/>
  <c r="F57" i="36" a="1"/>
  <c r="F57" i="36" s="1"/>
  <c r="I57" i="36" s="1"/>
  <c r="G44" i="36" a="1"/>
  <c r="G44" i="36" s="1"/>
  <c r="H44" i="36" s="1"/>
  <c r="G27" i="36" a="1"/>
  <c r="G27" i="36" s="1"/>
  <c r="H27" i="36" s="1"/>
  <c r="F19" i="36" a="1"/>
  <c r="F19" i="36" s="1"/>
  <c r="G6" i="36" a="1"/>
  <c r="G6" i="36" s="1"/>
  <c r="H6" i="36" s="1"/>
  <c r="F637" i="36" a="1"/>
  <c r="F637" i="36" s="1"/>
  <c r="G626" i="36" a="1"/>
  <c r="G626" i="36" s="1"/>
  <c r="F606" i="36" a="1"/>
  <c r="F606" i="36" s="1"/>
  <c r="G595" i="36" a="1"/>
  <c r="G595" i="36" s="1"/>
  <c r="I595" i="36" s="1"/>
  <c r="G590" i="36" a="1"/>
  <c r="G590" i="36" s="1"/>
  <c r="H590" i="36" s="1"/>
  <c r="F585" i="36" a="1"/>
  <c r="F585" i="36" s="1"/>
  <c r="F570" i="36" a="1"/>
  <c r="F570" i="36" s="1"/>
  <c r="F560" i="36" a="1"/>
  <c r="F560" i="36" s="1"/>
  <c r="G555" i="36" a="1"/>
  <c r="G555" i="36" s="1"/>
  <c r="I555" i="36" s="1"/>
  <c r="F526" i="36" a="1"/>
  <c r="F526" i="36" s="1"/>
  <c r="F487" i="36" a="1"/>
  <c r="F487" i="36" s="1"/>
  <c r="G477" i="36" a="1"/>
  <c r="G477" i="36" s="1"/>
  <c r="H477" i="36" s="1"/>
  <c r="F458" i="36" a="1"/>
  <c r="F458" i="36" s="1"/>
  <c r="G433" i="36" a="1"/>
  <c r="G433" i="36" s="1"/>
  <c r="H433" i="36" s="1"/>
  <c r="F414" i="36" a="1"/>
  <c r="F414" i="36" s="1"/>
  <c r="I414" i="36" s="1"/>
  <c r="G409" i="36" a="1"/>
  <c r="G409" i="36" s="1"/>
  <c r="H409" i="36" s="1"/>
  <c r="F375" i="36" a="1"/>
  <c r="F375" i="36" s="1"/>
  <c r="F341" i="36" a="1"/>
  <c r="F341" i="36" s="1"/>
  <c r="G326" i="36" a="1"/>
  <c r="G326" i="36" s="1"/>
  <c r="H326" i="36" s="1"/>
  <c r="G317" i="36" a="1"/>
  <c r="G317" i="36" s="1"/>
  <c r="H317" i="36" s="1"/>
  <c r="F289" i="36" a="1"/>
  <c r="F289" i="36" s="1"/>
  <c r="I289" i="36" s="1"/>
  <c r="F280" i="36" a="1"/>
  <c r="F280" i="36" s="1"/>
  <c r="G275" i="36" a="1"/>
  <c r="G275" i="36" s="1"/>
  <c r="H275" i="36" s="1"/>
  <c r="F266" i="36" a="1"/>
  <c r="F266" i="36" s="1"/>
  <c r="I266" i="36" s="1"/>
  <c r="F257" i="36" a="1"/>
  <c r="F257" i="36" s="1"/>
  <c r="G230" i="36" a="1"/>
  <c r="G230" i="36" s="1"/>
  <c r="H230" i="36" s="1"/>
  <c r="F226" i="36" a="1"/>
  <c r="F226" i="36" s="1"/>
  <c r="G213" i="36" a="1"/>
  <c r="G213" i="36" s="1"/>
  <c r="H213" i="36" s="1"/>
  <c r="F209" i="36" a="1"/>
  <c r="F209" i="36" s="1"/>
  <c r="G200" i="36" a="1"/>
  <c r="G200" i="36" s="1"/>
  <c r="I200" i="36" s="1"/>
  <c r="F192" i="36" a="1"/>
  <c r="F192" i="36" s="1"/>
  <c r="G179" i="36" a="1"/>
  <c r="G179" i="36" s="1"/>
  <c r="H179" i="36" s="1"/>
  <c r="F171" i="36" a="1"/>
  <c r="F171" i="36" s="1"/>
  <c r="G162" i="36" a="1"/>
  <c r="G162" i="36" s="1"/>
  <c r="H162" i="36" s="1"/>
  <c r="F158" i="36" a="1"/>
  <c r="F158" i="36" s="1"/>
  <c r="G141" i="36" a="1"/>
  <c r="G141" i="36" s="1"/>
  <c r="H141" i="36" s="1"/>
  <c r="F133" i="36" a="1"/>
  <c r="F133" i="36" s="1"/>
  <c r="I133" i="36" s="1"/>
  <c r="F120" i="36" a="1"/>
  <c r="F120" i="36" s="1"/>
  <c r="G103" i="36" a="1"/>
  <c r="G103" i="36" s="1"/>
  <c r="F99" i="36" a="1"/>
  <c r="F99" i="36" s="1"/>
  <c r="I99" i="36" s="1"/>
  <c r="G82" i="36" a="1"/>
  <c r="G82" i="36" s="1"/>
  <c r="H82" i="36" s="1"/>
  <c r="G69" i="36" a="1"/>
  <c r="G69" i="36" s="1"/>
  <c r="H69" i="36" s="1"/>
  <c r="F61" i="36" a="1"/>
  <c r="F61" i="36" s="1"/>
  <c r="F40" i="36" a="1"/>
  <c r="F40" i="36" s="1"/>
  <c r="G636" i="36" a="1"/>
  <c r="G636" i="36" s="1"/>
  <c r="H636" i="36" s="1"/>
  <c r="F631" i="36" a="1"/>
  <c r="F631" i="36" s="1"/>
  <c r="I631" i="36" s="1"/>
  <c r="G625" i="36" a="1"/>
  <c r="G625" i="36" s="1"/>
  <c r="H625" i="36" s="1"/>
  <c r="G615" i="36" a="1"/>
  <c r="G615" i="36" s="1"/>
  <c r="H615" i="36" s="1"/>
  <c r="G610" i="36" a="1"/>
  <c r="G610" i="36" s="1"/>
  <c r="H610" i="36" s="1"/>
  <c r="G584" i="36" a="1"/>
  <c r="G584" i="36" s="1"/>
  <c r="I584" i="36" s="1"/>
  <c r="G574" i="36" a="1"/>
  <c r="G574" i="36" s="1"/>
  <c r="F569" i="36" a="1"/>
  <c r="F569" i="36" s="1"/>
  <c r="F540" i="36" a="1"/>
  <c r="F540" i="36" s="1"/>
  <c r="F535" i="36" a="1"/>
  <c r="F535" i="36" s="1"/>
  <c r="G520" i="36" a="1"/>
  <c r="G520" i="36" s="1"/>
  <c r="H520" i="36" s="1"/>
  <c r="F506" i="36" a="1"/>
  <c r="F506" i="36" s="1"/>
  <c r="G486" i="36" a="1"/>
  <c r="G486" i="36" s="1"/>
  <c r="G476" i="36" a="1"/>
  <c r="G476" i="36" s="1"/>
  <c r="H476" i="36" s="1"/>
  <c r="F467" i="36" a="1"/>
  <c r="F467" i="36" s="1"/>
  <c r="G447" i="36" a="1"/>
  <c r="G447" i="36" s="1"/>
  <c r="H447" i="36" s="1"/>
  <c r="G403" i="36" a="1"/>
  <c r="G403" i="36" s="1"/>
  <c r="H403" i="36" s="1"/>
  <c r="F394" i="36" a="1"/>
  <c r="F394" i="36" s="1"/>
  <c r="F389" i="36" a="1"/>
  <c r="F389" i="36" s="1"/>
  <c r="G374" i="36" a="1"/>
  <c r="G374" i="36" s="1"/>
  <c r="H374" i="36" s="1"/>
  <c r="G340" i="36" a="1"/>
  <c r="G340" i="36" s="1"/>
  <c r="H340" i="36" s="1"/>
  <c r="G335" i="36" a="1"/>
  <c r="G335" i="36" s="1"/>
  <c r="G330" i="36" a="1"/>
  <c r="G330" i="36" s="1"/>
  <c r="H330" i="36" s="1"/>
  <c r="G321" i="36" a="1"/>
  <c r="G321" i="36" s="1"/>
  <c r="H321" i="36" s="1"/>
  <c r="F293" i="36" a="1"/>
  <c r="F293" i="36" s="1"/>
  <c r="F284" i="36" a="1"/>
  <c r="F284" i="36" s="1"/>
  <c r="I284" i="36" s="1"/>
  <c r="F270" i="36" a="1"/>
  <c r="F270" i="36" s="1"/>
  <c r="G256" i="36" a="1"/>
  <c r="G256" i="36" s="1"/>
  <c r="H256" i="36" s="1"/>
  <c r="F252" i="36" a="1"/>
  <c r="F252" i="36" s="1"/>
  <c r="I252" i="36" s="1"/>
  <c r="F243" i="36" a="1"/>
  <c r="F243" i="36" s="1"/>
  <c r="F217" i="36" a="1"/>
  <c r="F217" i="36" s="1"/>
  <c r="G212" i="36" a="1"/>
  <c r="G212" i="36" s="1"/>
  <c r="H212" i="36" s="1"/>
  <c r="F204" i="36" a="1"/>
  <c r="F204" i="36" s="1"/>
  <c r="I204" i="36" s="1"/>
  <c r="F183" i="36" a="1"/>
  <c r="F183" i="36" s="1"/>
  <c r="F166" i="36" a="1"/>
  <c r="F166" i="36" s="1"/>
  <c r="G153" i="36" a="1"/>
  <c r="G153" i="36" s="1"/>
  <c r="H153" i="36" s="1"/>
  <c r="F145" i="36" a="1"/>
  <c r="F145" i="36" s="1"/>
  <c r="I145" i="36" s="1"/>
  <c r="G132" i="36" a="1"/>
  <c r="G132" i="36" s="1"/>
  <c r="H132" i="36" s="1"/>
  <c r="G115" i="36" a="1"/>
  <c r="G115" i="36" s="1"/>
  <c r="H115" i="36" s="1"/>
  <c r="F107" i="36" a="1"/>
  <c r="F107" i="36" s="1"/>
  <c r="I107" i="36" s="1"/>
  <c r="G94" i="36" a="1"/>
  <c r="G94" i="36" s="1"/>
  <c r="F73" i="36" a="1"/>
  <c r="F73" i="36" s="1"/>
  <c r="G56" i="36" a="1"/>
  <c r="G56" i="36" s="1"/>
  <c r="H56" i="36" s="1"/>
  <c r="G43" i="36" a="1"/>
  <c r="G43" i="36" s="1"/>
  <c r="H43" i="36" s="1"/>
  <c r="F35" i="36" a="1"/>
  <c r="F35" i="36" s="1"/>
  <c r="G22" i="36" a="1"/>
  <c r="G22" i="36" s="1"/>
  <c r="H22" i="36" s="1"/>
  <c r="F14" i="36" a="1"/>
  <c r="F14" i="36" s="1"/>
  <c r="F623" i="36" a="1"/>
  <c r="F623" i="36" s="1"/>
  <c r="G608" i="36" a="1"/>
  <c r="G608" i="36" s="1"/>
  <c r="H608" i="36" s="1"/>
  <c r="F602" i="36" a="1"/>
  <c r="F602" i="36" s="1"/>
  <c r="F594" i="36" a="1"/>
  <c r="F594" i="36" s="1"/>
  <c r="I594" i="36" s="1"/>
  <c r="G587" i="36" a="1"/>
  <c r="G587" i="36" s="1"/>
  <c r="H587" i="36" s="1"/>
  <c r="F573" i="36" a="1"/>
  <c r="F573" i="36" s="1"/>
  <c r="G559" i="36" a="1"/>
  <c r="G559" i="36" s="1"/>
  <c r="H559" i="36" s="1"/>
  <c r="G533" i="36" a="1"/>
  <c r="G533" i="36" s="1"/>
  <c r="H533" i="36" s="1"/>
  <c r="F472" i="36" a="1"/>
  <c r="F472" i="36" s="1"/>
  <c r="F452" i="36" a="1"/>
  <c r="F452" i="36" s="1"/>
  <c r="F446" i="36" a="1"/>
  <c r="F446" i="36" s="1"/>
  <c r="F432" i="36" a="1"/>
  <c r="F432" i="36" s="1"/>
  <c r="I432" i="36" s="1"/>
  <c r="F406" i="36" a="1"/>
  <c r="F406" i="36" s="1"/>
  <c r="I406" i="36" s="1"/>
  <c r="G365" i="36" a="1"/>
  <c r="G365" i="36" s="1"/>
  <c r="H365" i="36" s="1"/>
  <c r="G325" i="36" a="1"/>
  <c r="G325" i="36" s="1"/>
  <c r="G312" i="36" a="1"/>
  <c r="G312" i="36" s="1"/>
  <c r="H312" i="36" s="1"/>
  <c r="G287" i="36" a="1"/>
  <c r="G287" i="36" s="1"/>
  <c r="H287" i="36" s="1"/>
  <c r="G274" i="36" a="1"/>
  <c r="G274" i="36" s="1"/>
  <c r="H274" i="36" s="1"/>
  <c r="F268" i="36" a="1"/>
  <c r="F268" i="36" s="1"/>
  <c r="G261" i="36" a="1"/>
  <c r="G261" i="36" s="1"/>
  <c r="H261" i="36" s="1"/>
  <c r="G237" i="36" a="1"/>
  <c r="G237" i="36" s="1"/>
  <c r="H237" i="36" s="1"/>
  <c r="F225" i="36" a="1"/>
  <c r="F225" i="36" s="1"/>
  <c r="F213" i="36" a="1"/>
  <c r="F213" i="36" s="1"/>
  <c r="G207" i="36" a="1"/>
  <c r="G207" i="36" s="1"/>
  <c r="H207" i="36" s="1"/>
  <c r="F202" i="36" a="1"/>
  <c r="F202" i="36" s="1"/>
  <c r="G178" i="36" a="1"/>
  <c r="G178" i="36" s="1"/>
  <c r="H178" i="36" s="1"/>
  <c r="G166" i="36" a="1"/>
  <c r="G166" i="36" s="1"/>
  <c r="H166" i="36" s="1"/>
  <c r="F149" i="36" a="1"/>
  <c r="F149" i="36" s="1"/>
  <c r="G126" i="36" a="1"/>
  <c r="G126" i="36" s="1"/>
  <c r="H126" i="36" s="1"/>
  <c r="F97" i="36" a="1"/>
  <c r="F97" i="36" s="1"/>
  <c r="G73" i="36" a="1"/>
  <c r="G73" i="36" s="1"/>
  <c r="H73" i="36" s="1"/>
  <c r="F68" i="36" a="1"/>
  <c r="F68" i="36" s="1"/>
  <c r="G62" i="36" a="1"/>
  <c r="G62" i="36" s="1"/>
  <c r="H62" i="36" s="1"/>
  <c r="G45" i="36" a="1"/>
  <c r="G45" i="36" s="1"/>
  <c r="H45" i="36" s="1"/>
  <c r="F6" i="36" a="1"/>
  <c r="F6" i="36" s="1"/>
  <c r="I6" i="36" s="1"/>
  <c r="G372" i="36" a="1"/>
  <c r="G372" i="36" s="1"/>
  <c r="H372" i="36" s="1"/>
  <c r="F312" i="36" a="1"/>
  <c r="F312" i="36" s="1"/>
  <c r="F300" i="36" a="1"/>
  <c r="F300" i="36" s="1"/>
  <c r="I300" i="36" s="1"/>
  <c r="F261" i="36" a="1"/>
  <c r="F261" i="36" s="1"/>
  <c r="F219" i="36" a="1"/>
  <c r="F219" i="36" s="1"/>
  <c r="I219" i="36" s="1"/>
  <c r="G195" i="36" a="1"/>
  <c r="G195" i="36" s="1"/>
  <c r="F138" i="36" a="1"/>
  <c r="F138" i="36" s="1"/>
  <c r="G114" i="36" a="1"/>
  <c r="G114" i="36" s="1"/>
  <c r="H114" i="36" s="1"/>
  <c r="G102" i="36" a="1"/>
  <c r="G102" i="36" s="1"/>
  <c r="H102" i="36" s="1"/>
  <c r="G50" i="36" a="1"/>
  <c r="G50" i="36" s="1"/>
  <c r="G33" i="36" a="1"/>
  <c r="G33" i="36" s="1"/>
  <c r="H33" i="36" s="1"/>
  <c r="F22" i="36" a="1"/>
  <c r="F22" i="36" s="1"/>
  <c r="G600" i="36" a="1"/>
  <c r="G600" i="36" s="1"/>
  <c r="H600" i="36" s="1"/>
  <c r="F587" i="36" a="1"/>
  <c r="F587" i="36" s="1"/>
  <c r="I587" i="36" s="1"/>
  <c r="F579" i="36" a="1"/>
  <c r="F579" i="36" s="1"/>
  <c r="G572" i="36" a="1"/>
  <c r="G572" i="36" s="1"/>
  <c r="H572" i="36" s="1"/>
  <c r="G566" i="36" a="1"/>
  <c r="G566" i="36" s="1"/>
  <c r="H566" i="36" s="1"/>
  <c r="G545" i="36" a="1"/>
  <c r="G545" i="36" s="1"/>
  <c r="H545" i="36" s="1"/>
  <c r="F519" i="36" a="1"/>
  <c r="F519" i="36" s="1"/>
  <c r="F479" i="36" a="1"/>
  <c r="F479" i="36" s="1"/>
  <c r="G438" i="36" a="1"/>
  <c r="G438" i="36" s="1"/>
  <c r="H438" i="36" s="1"/>
  <c r="F398" i="36" a="1"/>
  <c r="F398" i="36" s="1"/>
  <c r="I398" i="36" s="1"/>
  <c r="G629" i="36" a="1"/>
  <c r="G629" i="36" s="1"/>
  <c r="H629" i="36" s="1"/>
  <c r="F615" i="36" a="1"/>
  <c r="F615" i="36" s="1"/>
  <c r="G579" i="36" a="1"/>
  <c r="G579" i="36" s="1"/>
  <c r="H579" i="36" s="1"/>
  <c r="F539" i="36" a="1"/>
  <c r="F539" i="36" s="1"/>
  <c r="G519" i="36" a="1"/>
  <c r="G519" i="36" s="1"/>
  <c r="H519" i="36" s="1"/>
  <c r="F499" i="36" a="1"/>
  <c r="F499" i="36" s="1"/>
  <c r="G493" i="36" a="1"/>
  <c r="G493" i="36" s="1"/>
  <c r="H493" i="36" s="1"/>
  <c r="G479" i="36" a="1"/>
  <c r="G479" i="36" s="1"/>
  <c r="H479" i="36" s="1"/>
  <c r="G459" i="36" a="1"/>
  <c r="G459" i="36" s="1"/>
  <c r="H459" i="36" s="1"/>
  <c r="G418" i="36" a="1"/>
  <c r="G418" i="36" s="1"/>
  <c r="H418" i="36" s="1"/>
  <c r="F412" i="36" a="1"/>
  <c r="F412" i="36" s="1"/>
  <c r="G398" i="36" a="1"/>
  <c r="G398" i="36" s="1"/>
  <c r="H398" i="36" s="1"/>
  <c r="F386" i="36" a="1"/>
  <c r="F386" i="36" s="1"/>
  <c r="G378" i="36" a="1"/>
  <c r="G378" i="36" s="1"/>
  <c r="H378" i="36" s="1"/>
  <c r="F365" i="36" a="1"/>
  <c r="F365" i="36" s="1"/>
  <c r="G352" i="36" a="1"/>
  <c r="G352" i="36" s="1"/>
  <c r="H352" i="36" s="1"/>
  <c r="F319" i="36" a="1"/>
  <c r="F319" i="36" s="1"/>
  <c r="F306" i="36" a="1"/>
  <c r="F306" i="36" s="1"/>
  <c r="F281" i="36" a="1"/>
  <c r="F281" i="36" s="1"/>
  <c r="I281" i="36" s="1"/>
  <c r="G255" i="36" a="1"/>
  <c r="G255" i="36" s="1"/>
  <c r="H255" i="36" s="1"/>
  <c r="F190" i="36" a="1"/>
  <c r="F190" i="36" s="1"/>
  <c r="I190" i="36" s="1"/>
  <c r="G131" i="36" a="1"/>
  <c r="G131" i="36" s="1"/>
  <c r="H131" i="36" s="1"/>
  <c r="F85" i="36" a="1"/>
  <c r="F85" i="36" s="1"/>
  <c r="I85" i="36" s="1"/>
  <c r="F56" i="36" a="1"/>
  <c r="F56" i="36" s="1"/>
  <c r="F28" i="36" a="1"/>
  <c r="F28" i="36" s="1"/>
  <c r="I28" i="36" s="1"/>
  <c r="F17" i="36" a="1"/>
  <c r="F17" i="36" s="1"/>
  <c r="G552" i="36" a="1"/>
  <c r="G552" i="36" s="1"/>
  <c r="H552" i="36" s="1"/>
  <c r="G525" i="36" a="1"/>
  <c r="G525" i="36" s="1"/>
  <c r="H525" i="36" s="1"/>
  <c r="G505" i="36" a="1"/>
  <c r="G505" i="36" s="1"/>
  <c r="H505" i="36" s="1"/>
  <c r="F459" i="36" a="1"/>
  <c r="F459" i="36" s="1"/>
  <c r="F418" i="36" a="1"/>
  <c r="F418" i="36" s="1"/>
  <c r="F605" i="36" a="1"/>
  <c r="F605" i="36" s="1"/>
  <c r="I605" i="36" s="1"/>
  <c r="G598" i="36" a="1"/>
  <c r="G598" i="36" s="1"/>
  <c r="H598" i="36" s="1"/>
  <c r="F592" i="36" a="1"/>
  <c r="F592" i="36" s="1"/>
  <c r="I592" i="36" s="1"/>
  <c r="F571" i="36" a="1"/>
  <c r="F571" i="36" s="1"/>
  <c r="F550" i="36" a="1"/>
  <c r="F550" i="36" s="1"/>
  <c r="G543" i="36" a="1"/>
  <c r="G543" i="36" s="1"/>
  <c r="H543" i="36" s="1"/>
  <c r="G517" i="36" a="1"/>
  <c r="G517" i="36" s="1"/>
  <c r="H517" i="36" s="1"/>
  <c r="G496" i="36" a="1"/>
  <c r="G496" i="36" s="1"/>
  <c r="F490" i="36" a="1"/>
  <c r="F490" i="36" s="1"/>
  <c r="F476" i="36" a="1"/>
  <c r="F476" i="36" s="1"/>
  <c r="F470" i="36" a="1"/>
  <c r="F470" i="36" s="1"/>
  <c r="G369" i="36" a="1"/>
  <c r="G369" i="36" s="1"/>
  <c r="H369" i="36" s="1"/>
  <c r="F349" i="36" a="1"/>
  <c r="F349" i="36" s="1"/>
  <c r="I349" i="36" s="1"/>
  <c r="F343" i="36" a="1"/>
  <c r="F343" i="36" s="1"/>
  <c r="I343" i="36" s="1"/>
  <c r="G329" i="36" a="1"/>
  <c r="G329" i="36" s="1"/>
  <c r="H329" i="36" s="1"/>
  <c r="G323" i="36" a="1"/>
  <c r="G323" i="36" s="1"/>
  <c r="H323" i="36" s="1"/>
  <c r="G291" i="36" a="1"/>
  <c r="G291" i="36" s="1"/>
  <c r="H291" i="36" s="1"/>
  <c r="G278" i="36" a="1"/>
  <c r="G278" i="36" s="1"/>
  <c r="H278" i="36" s="1"/>
  <c r="F265" i="36" a="1"/>
  <c r="F265" i="36" s="1"/>
  <c r="G259" i="36" a="1"/>
  <c r="G259" i="36" s="1"/>
  <c r="F636" i="36" a="1"/>
  <c r="F636" i="36" s="1"/>
  <c r="F576" i="36" a="1"/>
  <c r="F576" i="36" s="1"/>
  <c r="G527" i="36" a="1"/>
  <c r="G527" i="36" s="1"/>
  <c r="H527" i="36" s="1"/>
  <c r="G518" i="36" a="1"/>
  <c r="G518" i="36" s="1"/>
  <c r="H518" i="36" s="1"/>
  <c r="G485" i="36" a="1"/>
  <c r="G485" i="36" s="1"/>
  <c r="H485" i="36" s="1"/>
  <c r="F477" i="36" a="1"/>
  <c r="F477" i="36" s="1"/>
  <c r="I477" i="36" s="1"/>
  <c r="F461" i="36" a="1"/>
  <c r="F461" i="36" s="1"/>
  <c r="F453" i="36" a="1"/>
  <c r="F453" i="36" s="1"/>
  <c r="I453" i="36" s="1"/>
  <c r="F445" i="36" a="1"/>
  <c r="F445" i="36" s="1"/>
  <c r="F436" i="36" a="1"/>
  <c r="F436" i="36" s="1"/>
  <c r="F403" i="36" a="1"/>
  <c r="F403" i="36" s="1"/>
  <c r="F628" i="36" a="1"/>
  <c r="F628" i="36" s="1"/>
  <c r="F610" i="36" a="1"/>
  <c r="F610" i="36" s="1"/>
  <c r="I610" i="36" s="1"/>
  <c r="G602" i="36" a="1"/>
  <c r="G602" i="36" s="1"/>
  <c r="H602" i="36" s="1"/>
  <c r="G583" i="36" a="1"/>
  <c r="G583" i="36" s="1"/>
  <c r="I583" i="36" s="1"/>
  <c r="G567" i="36" a="1"/>
  <c r="G567" i="36" s="1"/>
  <c r="G550" i="36" a="1"/>
  <c r="G550" i="36" s="1"/>
  <c r="H550" i="36" s="1"/>
  <c r="G534" i="36" a="1"/>
  <c r="G534" i="36" s="1"/>
  <c r="G501" i="36" a="1"/>
  <c r="G501" i="36" s="1"/>
  <c r="H501" i="36" s="1"/>
  <c r="F494" i="36" a="1"/>
  <c r="F494" i="36" s="1"/>
  <c r="G469" i="36" a="1"/>
  <c r="G469" i="36" s="1"/>
  <c r="I469" i="36" s="1"/>
  <c r="G452" i="36" a="1"/>
  <c r="G452" i="36" s="1"/>
  <c r="H452" i="36" s="1"/>
  <c r="F411" i="36" a="1"/>
  <c r="F411" i="36" s="1"/>
  <c r="F370" i="36" a="1"/>
  <c r="F370" i="36" s="1"/>
  <c r="G362" i="36" a="1"/>
  <c r="G362" i="36" s="1"/>
  <c r="F347" i="36" a="1"/>
  <c r="F347" i="36" s="1"/>
  <c r="G634" i="36" a="1"/>
  <c r="G634" i="36" s="1"/>
  <c r="H634" i="36" s="1"/>
  <c r="F617" i="36" a="1"/>
  <c r="F617" i="36" s="1"/>
  <c r="F599" i="36" a="1"/>
  <c r="F599" i="36" s="1"/>
  <c r="G564" i="36" a="1"/>
  <c r="G564" i="36" s="1"/>
  <c r="H564" i="36" s="1"/>
  <c r="G548" i="36" a="1"/>
  <c r="G548" i="36" s="1"/>
  <c r="H548" i="36" s="1"/>
  <c r="G540" i="36" a="1"/>
  <c r="G540" i="36" s="1"/>
  <c r="H540" i="36" s="1"/>
  <c r="G532" i="36" a="1"/>
  <c r="G532" i="36" s="1"/>
  <c r="H532" i="36" s="1"/>
  <c r="F524" i="36" a="1"/>
  <c r="F524" i="36" s="1"/>
  <c r="G483" i="36" a="1"/>
  <c r="G483" i="36" s="1"/>
  <c r="H483" i="36" s="1"/>
  <c r="G393" i="36" a="1"/>
  <c r="G393" i="36" s="1"/>
  <c r="F353" i="36" a="1"/>
  <c r="F353" i="36" s="1"/>
  <c r="I353" i="36" s="1"/>
  <c r="F314" i="36" a="1"/>
  <c r="F314" i="36" s="1"/>
  <c r="I314" i="36" s="1"/>
  <c r="G298" i="36" a="1"/>
  <c r="G298" i="36" s="1"/>
  <c r="H298" i="36" s="1"/>
  <c r="F269" i="36" a="1"/>
  <c r="F269" i="36" s="1"/>
  <c r="G262" i="36" a="1"/>
  <c r="G262" i="36" s="1"/>
  <c r="H262" i="36" s="1"/>
  <c r="G241" i="36" a="1"/>
  <c r="G241" i="36" s="1"/>
  <c r="H241" i="36" s="1"/>
  <c r="F234" i="36" a="1"/>
  <c r="F234" i="36" s="1"/>
  <c r="G228" i="36" a="1"/>
  <c r="G228" i="36" s="1"/>
  <c r="H228" i="36" s="1"/>
  <c r="F221" i="36" a="1"/>
  <c r="F221" i="36" s="1"/>
  <c r="F215" i="36" a="1"/>
  <c r="F215" i="36" s="1"/>
  <c r="I215" i="36" s="1"/>
  <c r="F208" i="36" a="1"/>
  <c r="F208" i="36" s="1"/>
  <c r="I208" i="36" s="1"/>
  <c r="F164" i="36" a="1"/>
  <c r="F164" i="36" s="1"/>
  <c r="F157" i="36" a="1"/>
  <c r="F157" i="36" s="1"/>
  <c r="I157" i="36" s="1"/>
  <c r="G607" i="36" a="1"/>
  <c r="G607" i="36" s="1"/>
  <c r="H607" i="36" s="1"/>
  <c r="F589" i="36" a="1"/>
  <c r="F589" i="36" s="1"/>
  <c r="G556" i="36" a="1"/>
  <c r="G556" i="36" s="1"/>
  <c r="H556" i="36" s="1"/>
  <c r="G633" i="36" a="1"/>
  <c r="G633" i="36" s="1"/>
  <c r="H633" i="36" s="1"/>
  <c r="G624" i="36" a="1"/>
  <c r="G624" i="36" s="1"/>
  <c r="H624" i="36" s="1"/>
  <c r="F607" i="36" a="1"/>
  <c r="F607" i="36" s="1"/>
  <c r="F598" i="36" a="1"/>
  <c r="F598" i="36" s="1"/>
  <c r="F582" i="36" a="1"/>
  <c r="F582" i="36" s="1"/>
  <c r="I582" i="36" s="1"/>
  <c r="G539" i="36" a="1"/>
  <c r="G539" i="36" s="1"/>
  <c r="H539" i="36" s="1"/>
  <c r="F457" i="36" a="1"/>
  <c r="F457" i="36" s="1"/>
  <c r="I457" i="36" s="1"/>
  <c r="G441" i="36" a="1"/>
  <c r="G441" i="36" s="1"/>
  <c r="H441" i="36" s="1"/>
  <c r="F433" i="36" a="1"/>
  <c r="F433" i="36" s="1"/>
  <c r="I433" i="36" s="1"/>
  <c r="F408" i="36" a="1"/>
  <c r="F408" i="36" s="1"/>
  <c r="G383" i="36" a="1"/>
  <c r="G383" i="36" s="1"/>
  <c r="H383" i="36" s="1"/>
  <c r="G376" i="36" a="1"/>
  <c r="G376" i="36" s="1"/>
  <c r="H376" i="36" s="1"/>
  <c r="G305" i="36" a="1"/>
  <c r="G305" i="36" s="1"/>
  <c r="H305" i="36" s="1"/>
  <c r="G297" i="36" a="1"/>
  <c r="G297" i="36" s="1"/>
  <c r="H297" i="36" s="1"/>
  <c r="F283" i="36" a="1"/>
  <c r="F283" i="36" s="1"/>
  <c r="I283" i="36" s="1"/>
  <c r="F254" i="36" a="1"/>
  <c r="F254" i="36" s="1"/>
  <c r="G227" i="36" a="1"/>
  <c r="G227" i="36" s="1"/>
  <c r="H227" i="36" s="1"/>
  <c r="F220" i="36" a="1"/>
  <c r="F220" i="36" s="1"/>
  <c r="F176" i="36" a="1"/>
  <c r="F176" i="36" s="1"/>
  <c r="I176" i="36" s="1"/>
  <c r="F169" i="36" a="1"/>
  <c r="F169" i="36" s="1"/>
  <c r="F144" i="36" a="1"/>
  <c r="F144" i="36" s="1"/>
  <c r="I144" i="36" s="1"/>
  <c r="G111" i="36" a="1"/>
  <c r="G111" i="36" s="1"/>
  <c r="I111" i="36" s="1"/>
  <c r="F80" i="36" a="1"/>
  <c r="F80" i="36" s="1"/>
  <c r="G29" i="36" a="1"/>
  <c r="G29" i="36" s="1"/>
  <c r="H29" i="36" s="1"/>
  <c r="F23" i="36" a="1"/>
  <c r="F23" i="36" s="1"/>
  <c r="G17" i="36" a="1"/>
  <c r="G17" i="36" s="1"/>
  <c r="H17" i="36" s="1"/>
  <c r="G568" i="36" a="1"/>
  <c r="G568" i="36" s="1"/>
  <c r="F558" i="36" a="1"/>
  <c r="F558" i="36" s="1"/>
  <c r="I558" i="36" s="1"/>
  <c r="F518" i="36" a="1"/>
  <c r="F518" i="36" s="1"/>
  <c r="I518" i="36" s="1"/>
  <c r="F508" i="36" a="1"/>
  <c r="F508" i="36" s="1"/>
  <c r="I508" i="36" s="1"/>
  <c r="F498" i="36" a="1"/>
  <c r="F498" i="36" s="1"/>
  <c r="I498" i="36" s="1"/>
  <c r="G488" i="36" a="1"/>
  <c r="G488" i="36" s="1"/>
  <c r="H488" i="36" s="1"/>
  <c r="G467" i="36" a="1"/>
  <c r="G467" i="36" s="1"/>
  <c r="H467" i="36" s="1"/>
  <c r="G437" i="36" a="1"/>
  <c r="G437" i="36" s="1"/>
  <c r="H437" i="36" s="1"/>
  <c r="G427" i="36" a="1"/>
  <c r="G427" i="36" s="1"/>
  <c r="H427" i="36" s="1"/>
  <c r="F378" i="36" a="1"/>
  <c r="F378" i="36" s="1"/>
  <c r="F359" i="36" a="1"/>
  <c r="F359" i="36" s="1"/>
  <c r="I359" i="36" s="1"/>
  <c r="G349" i="36" a="1"/>
  <c r="G349" i="36" s="1"/>
  <c r="H349" i="36" s="1"/>
  <c r="F331" i="36" a="1"/>
  <c r="F331" i="36" s="1"/>
  <c r="F307" i="36" a="1"/>
  <c r="F307" i="36" s="1"/>
  <c r="G612" i="36" a="1"/>
  <c r="G612" i="36" s="1"/>
  <c r="I612" i="36" s="1"/>
  <c r="F590" i="36" a="1"/>
  <c r="F590" i="36" s="1"/>
  <c r="F528" i="36" a="1"/>
  <c r="F528" i="36" s="1"/>
  <c r="G456" i="36" a="1"/>
  <c r="G456" i="36" s="1"/>
  <c r="F447" i="36" a="1"/>
  <c r="F447" i="36" s="1"/>
  <c r="F437" i="36" a="1"/>
  <c r="F437" i="36" s="1"/>
  <c r="F417" i="36" a="1"/>
  <c r="F417" i="36" s="1"/>
  <c r="F407" i="36" a="1"/>
  <c r="F407" i="36" s="1"/>
  <c r="G397" i="36" a="1"/>
  <c r="G397" i="36" s="1"/>
  <c r="H397" i="36" s="1"/>
  <c r="G368" i="36" a="1"/>
  <c r="G368" i="36" s="1"/>
  <c r="H368" i="36" s="1"/>
  <c r="F315" i="36" a="1"/>
  <c r="F315" i="36" s="1"/>
  <c r="I315" i="36" s="1"/>
  <c r="F291" i="36" a="1"/>
  <c r="F291" i="36" s="1"/>
  <c r="G258" i="36" a="1"/>
  <c r="G258" i="36" s="1"/>
  <c r="G221" i="36" a="1"/>
  <c r="G221" i="36" s="1"/>
  <c r="H221" i="36" s="1"/>
  <c r="F179" i="36" a="1"/>
  <c r="F179" i="36" s="1"/>
  <c r="I179" i="36" s="1"/>
  <c r="G138" i="36" a="1"/>
  <c r="G138" i="36" s="1"/>
  <c r="H138" i="36" s="1"/>
  <c r="G90" i="36" a="1"/>
  <c r="G90" i="36" s="1"/>
  <c r="F84" i="36" a="1"/>
  <c r="F84" i="36" s="1"/>
  <c r="F64" i="36" a="1"/>
  <c r="F64" i="36" s="1"/>
  <c r="I64" i="36" s="1"/>
  <c r="F25" i="36" a="1"/>
  <c r="F25" i="36" s="1"/>
  <c r="I25" i="36" s="1"/>
  <c r="G18" i="36" a="1"/>
  <c r="G18" i="36" s="1"/>
  <c r="G12" i="36" a="1"/>
  <c r="G12" i="36" s="1"/>
  <c r="H12" i="36" s="1"/>
  <c r="G620" i="36" a="1"/>
  <c r="G620" i="36" s="1"/>
  <c r="H620" i="36" s="1"/>
  <c r="F577" i="36" a="1"/>
  <c r="F577" i="36" s="1"/>
  <c r="G554" i="36" a="1"/>
  <c r="G554" i="36" s="1"/>
  <c r="H554" i="36" s="1"/>
  <c r="G544" i="36" a="1"/>
  <c r="G544" i="36" s="1"/>
  <c r="H544" i="36" s="1"/>
  <c r="G524" i="36" a="1"/>
  <c r="G524" i="36" s="1"/>
  <c r="H524" i="36" s="1"/>
  <c r="F475" i="36" a="1"/>
  <c r="F475" i="36" s="1"/>
  <c r="I475" i="36" s="1"/>
  <c r="F455" i="36" a="1"/>
  <c r="F455" i="36" s="1"/>
  <c r="G445" i="36" a="1"/>
  <c r="G445" i="36" s="1"/>
  <c r="H445" i="36" s="1"/>
  <c r="G435" i="36" a="1"/>
  <c r="G435" i="36" s="1"/>
  <c r="H435" i="36" s="1"/>
  <c r="F425" i="36" a="1"/>
  <c r="F425" i="36" s="1"/>
  <c r="I425" i="36" s="1"/>
  <c r="G415" i="36" a="1"/>
  <c r="G415" i="36" s="1"/>
  <c r="H415" i="36" s="1"/>
  <c r="G394" i="36" a="1"/>
  <c r="G394" i="36" s="1"/>
  <c r="H394" i="36" s="1"/>
  <c r="F338" i="36" a="1"/>
  <c r="F338" i="36" s="1"/>
  <c r="G296" i="36" a="1"/>
  <c r="G296" i="36" s="1"/>
  <c r="H296" i="36" s="1"/>
  <c r="G249" i="36" a="1"/>
  <c r="G249" i="36" s="1"/>
  <c r="H249" i="36" s="1"/>
  <c r="F227" i="36" a="1"/>
  <c r="F227" i="36" s="1"/>
  <c r="F206" i="36" a="1"/>
  <c r="F206" i="36" s="1"/>
  <c r="I206" i="36" s="1"/>
  <c r="G191" i="36" a="1"/>
  <c r="G191" i="36" s="1"/>
  <c r="H191" i="36" s="1"/>
  <c r="F185" i="36" a="1"/>
  <c r="F185" i="36" s="1"/>
  <c r="G177" i="36" a="1"/>
  <c r="G177" i="36" s="1"/>
  <c r="F170" i="36" a="1"/>
  <c r="F170" i="36" s="1"/>
  <c r="G156" i="36" a="1"/>
  <c r="G156" i="36" s="1"/>
  <c r="H156" i="36" s="1"/>
  <c r="G149" i="36" a="1"/>
  <c r="G149" i="36" s="1"/>
  <c r="H149" i="36" s="1"/>
  <c r="F89" i="36" a="1"/>
  <c r="F89" i="36" s="1"/>
  <c r="I89" i="36" s="1"/>
  <c r="F76" i="36" a="1"/>
  <c r="F76" i="36" s="1"/>
  <c r="I76" i="36" s="1"/>
  <c r="F69" i="36" a="1"/>
  <c r="F69" i="36" s="1"/>
  <c r="G42" i="36" a="1"/>
  <c r="G42" i="36" s="1"/>
  <c r="H42" i="36" s="1"/>
  <c r="G10" i="36" a="1"/>
  <c r="G10" i="36" s="1"/>
  <c r="F564" i="36" a="1"/>
  <c r="F564" i="36" s="1"/>
  <c r="F620" i="36" a="1"/>
  <c r="F620" i="36" s="1"/>
  <c r="F609" i="36" a="1"/>
  <c r="F609" i="36" s="1"/>
  <c r="I609" i="36" s="1"/>
  <c r="F544" i="36" a="1"/>
  <c r="F544" i="36" s="1"/>
  <c r="I544" i="36" s="1"/>
  <c r="G514" i="36" a="1"/>
  <c r="G514" i="36" s="1"/>
  <c r="H514" i="36" s="1"/>
  <c r="G484" i="36" a="1"/>
  <c r="G484" i="36" s="1"/>
  <c r="I484" i="36" s="1"/>
  <c r="F404" i="36" a="1"/>
  <c r="F404" i="36" s="1"/>
  <c r="I404" i="36" s="1"/>
  <c r="F357" i="36" a="1"/>
  <c r="F357" i="36" s="1"/>
  <c r="I357" i="36" s="1"/>
  <c r="F321" i="36" a="1"/>
  <c r="F321" i="36" s="1"/>
  <c r="F288" i="36" a="1"/>
  <c r="F288" i="36" s="1"/>
  <c r="I288" i="36" s="1"/>
  <c r="G272" i="36" a="1"/>
  <c r="G272" i="36" s="1"/>
  <c r="H272" i="36" s="1"/>
  <c r="F256" i="36" a="1"/>
  <c r="F256" i="36" s="1"/>
  <c r="G219" i="36" a="1"/>
  <c r="G219" i="36" s="1"/>
  <c r="H219" i="36" s="1"/>
  <c r="G198" i="36" a="1"/>
  <c r="G198" i="36" s="1"/>
  <c r="H198" i="36" s="1"/>
  <c r="F191" i="36" a="1"/>
  <c r="F191" i="36" s="1"/>
  <c r="G135" i="36" a="1"/>
  <c r="G135" i="36" s="1"/>
  <c r="H135" i="36" s="1"/>
  <c r="F102" i="36" a="1"/>
  <c r="F102" i="36" s="1"/>
  <c r="I102" i="36" s="1"/>
  <c r="F96" i="36" a="1"/>
  <c r="F96" i="36" s="1"/>
  <c r="I96" i="36" s="1"/>
  <c r="G55" i="36" a="1"/>
  <c r="G55" i="36" s="1"/>
  <c r="H55" i="36" s="1"/>
  <c r="G49" i="36" a="1"/>
  <c r="G49" i="36" s="1"/>
  <c r="H49" i="36" s="1"/>
  <c r="G35" i="36" a="1"/>
  <c r="G35" i="36" s="1"/>
  <c r="H35" i="36" s="1"/>
  <c r="G16" i="36" a="1"/>
  <c r="G16" i="36" s="1"/>
  <c r="H16" i="36" s="1"/>
  <c r="F5" i="36" a="1"/>
  <c r="F5" i="36" s="1"/>
  <c r="F554" i="36" a="1"/>
  <c r="F554" i="36" s="1"/>
  <c r="F597" i="36" a="1"/>
  <c r="F597" i="36" s="1"/>
  <c r="I597" i="36" s="1"/>
  <c r="G523" i="36" a="1"/>
  <c r="G523" i="36" s="1"/>
  <c r="H523" i="36" s="1"/>
  <c r="G494" i="36" a="1"/>
  <c r="G494" i="36" s="1"/>
  <c r="H494" i="36" s="1"/>
  <c r="F443" i="36" a="1"/>
  <c r="F443" i="36" s="1"/>
  <c r="I443" i="36" s="1"/>
  <c r="F423" i="36" a="1"/>
  <c r="F423" i="36" s="1"/>
  <c r="I423" i="36" s="1"/>
  <c r="F374" i="36" a="1"/>
  <c r="F374" i="36" s="1"/>
  <c r="F355" i="36" a="1"/>
  <c r="F355" i="36" s="1"/>
  <c r="I355" i="36" s="1"/>
  <c r="G337" i="36" a="1"/>
  <c r="G337" i="36" s="1"/>
  <c r="H337" i="36" s="1"/>
  <c r="F320" i="36" a="1"/>
  <c r="F320" i="36" s="1"/>
  <c r="F303" i="36" a="1"/>
  <c r="F303" i="36" s="1"/>
  <c r="I303" i="36" s="1"/>
  <c r="F279" i="36" a="1"/>
  <c r="F279" i="36" s="1"/>
  <c r="I279" i="36" s="1"/>
  <c r="F241" i="36" a="1"/>
  <c r="F241" i="36" s="1"/>
  <c r="G211" i="36" a="1"/>
  <c r="G211" i="36" s="1"/>
  <c r="F198" i="36" a="1"/>
  <c r="F198" i="36" s="1"/>
  <c r="G169" i="36" a="1"/>
  <c r="G169" i="36" s="1"/>
  <c r="H169" i="36" s="1"/>
  <c r="F162" i="36" a="1"/>
  <c r="F162" i="36" s="1"/>
  <c r="I162" i="36" s="1"/>
  <c r="G148" i="36" a="1"/>
  <c r="G148" i="36" s="1"/>
  <c r="H148" i="36" s="1"/>
  <c r="F135" i="36" a="1"/>
  <c r="F135" i="36" s="1"/>
  <c r="G128" i="36" a="1"/>
  <c r="G128" i="36" s="1"/>
  <c r="H128" i="36" s="1"/>
  <c r="F115" i="36" a="1"/>
  <c r="F115" i="36" s="1"/>
  <c r="G88" i="36" a="1"/>
  <c r="G88" i="36" s="1"/>
  <c r="H88" i="36" s="1"/>
  <c r="G81" i="36" a="1"/>
  <c r="G81" i="36" s="1"/>
  <c r="H81" i="36" s="1"/>
  <c r="G68" i="36" a="1"/>
  <c r="G68" i="36" s="1"/>
  <c r="H68" i="36" s="1"/>
  <c r="F48" i="36" a="1"/>
  <c r="F48" i="36" s="1"/>
  <c r="F29" i="36" a="1"/>
  <c r="F29" i="36" s="1"/>
  <c r="I29" i="36" s="1"/>
  <c r="F16" i="36" a="1"/>
  <c r="F16" i="36" s="1"/>
  <c r="I16" i="36" s="1"/>
  <c r="G11" i="36" a="1"/>
  <c r="G11" i="36" s="1"/>
  <c r="H11" i="36" s="1"/>
  <c r="F26" i="36" a="1"/>
  <c r="F26" i="36" s="1"/>
  <c r="I26" i="36" s="1"/>
  <c r="F34" i="36" a="1"/>
  <c r="F34" i="36" s="1"/>
  <c r="F42" i="36" a="1"/>
  <c r="F42" i="36" s="1"/>
  <c r="I42" i="36" s="1"/>
  <c r="G66" i="36" a="1"/>
  <c r="G66" i="36" s="1"/>
  <c r="H66" i="36" s="1"/>
  <c r="F100" i="36" a="1"/>
  <c r="F100" i="36" s="1"/>
  <c r="I100" i="36" s="1"/>
  <c r="G123" i="36" a="1"/>
  <c r="G123" i="36" s="1"/>
  <c r="F148" i="36" a="1"/>
  <c r="F148" i="36" s="1"/>
  <c r="G199" i="36" a="1"/>
  <c r="G199" i="36" s="1"/>
  <c r="G208" i="36" a="1"/>
  <c r="G208" i="36" s="1"/>
  <c r="H208" i="36" s="1"/>
  <c r="F263" i="36" a="1"/>
  <c r="F263" i="36" s="1"/>
  <c r="F273" i="36" a="1"/>
  <c r="F273" i="36" s="1"/>
  <c r="F294" i="36" a="1"/>
  <c r="F294" i="36" s="1"/>
  <c r="G304" i="36" a="1"/>
  <c r="G304" i="36" s="1"/>
  <c r="H304" i="36" s="1"/>
  <c r="G315" i="36" a="1"/>
  <c r="G315" i="36" s="1"/>
  <c r="H315" i="36" s="1"/>
  <c r="G373" i="36" a="1"/>
  <c r="G373" i="36" s="1"/>
  <c r="H373" i="36" s="1"/>
  <c r="G422" i="36" a="1"/>
  <c r="G422" i="36" s="1"/>
  <c r="F450" i="36" a="1"/>
  <c r="F450" i="36" s="1"/>
  <c r="F462" i="36" a="1"/>
  <c r="F462" i="36" s="1"/>
  <c r="G489" i="36" a="1"/>
  <c r="G489" i="36" s="1"/>
  <c r="H489" i="36" s="1"/>
  <c r="F514" i="36" a="1"/>
  <c r="F514" i="36" s="1"/>
  <c r="I514" i="36" s="1"/>
  <c r="G528" i="36" a="1"/>
  <c r="G528" i="36" s="1"/>
  <c r="H528" i="36" s="1"/>
  <c r="G599" i="36" a="1"/>
  <c r="G599" i="36" s="1"/>
  <c r="H599" i="36" s="1"/>
  <c r="G245" i="36" a="1"/>
  <c r="G245" i="36" s="1"/>
  <c r="I245" i="36" s="1"/>
  <c r="F350" i="36" a="1"/>
  <c r="F350" i="36" s="1"/>
  <c r="G426" i="36" a="1"/>
  <c r="G426" i="36" s="1"/>
  <c r="H426" i="36" s="1"/>
  <c r="F503" i="36" a="1"/>
  <c r="F503" i="36" s="1"/>
  <c r="G529" i="36" a="1"/>
  <c r="G529" i="36" s="1"/>
  <c r="H529" i="36" s="1"/>
  <c r="G542" i="36" a="1"/>
  <c r="G542" i="36" s="1"/>
  <c r="F603" i="36" a="1"/>
  <c r="F603" i="36" s="1"/>
  <c r="F633" i="36" a="1"/>
  <c r="F633" i="36" s="1"/>
  <c r="F27" i="36" a="1"/>
  <c r="F27" i="36" s="1"/>
  <c r="F43" i="36" a="1"/>
  <c r="F43" i="36" s="1"/>
  <c r="I43" i="36" s="1"/>
  <c r="G76" i="36" a="1"/>
  <c r="G76" i="36" s="1"/>
  <c r="H76" i="36" s="1"/>
  <c r="G84" i="36" a="1"/>
  <c r="G84" i="36" s="1"/>
  <c r="H84" i="36" s="1"/>
  <c r="G109" i="36" a="1"/>
  <c r="G109" i="36" s="1"/>
  <c r="H109" i="36" s="1"/>
  <c r="F134" i="36" a="1"/>
  <c r="F134" i="36" s="1"/>
  <c r="F141" i="36" a="1"/>
  <c r="F141" i="36" s="1"/>
  <c r="G159" i="36" a="1"/>
  <c r="G159" i="36" s="1"/>
  <c r="H159" i="36" s="1"/>
  <c r="G183" i="36" a="1"/>
  <c r="G183" i="36" s="1"/>
  <c r="H183" i="36" s="1"/>
  <c r="F193" i="36" a="1"/>
  <c r="F193" i="36" s="1"/>
  <c r="G210" i="36" a="1"/>
  <c r="G210" i="36" s="1"/>
  <c r="G218" i="36" a="1"/>
  <c r="G218" i="36" s="1"/>
  <c r="H218" i="36" s="1"/>
  <c r="G264" i="36" a="1"/>
  <c r="G264" i="36" s="1"/>
  <c r="H264" i="36" s="1"/>
  <c r="F275" i="36" a="1"/>
  <c r="F275" i="36" s="1"/>
  <c r="F286" i="36" a="1"/>
  <c r="F286" i="36" s="1"/>
  <c r="F317" i="36" a="1"/>
  <c r="F317" i="36" s="1"/>
  <c r="I317" i="36" s="1"/>
  <c r="G350" i="36" a="1"/>
  <c r="G350" i="36" s="1"/>
  <c r="H350" i="36" s="1"/>
  <c r="F363" i="36" a="1"/>
  <c r="F363" i="36" s="1"/>
  <c r="F401" i="36" a="1"/>
  <c r="F401" i="36" s="1"/>
  <c r="I401" i="36" s="1"/>
  <c r="F440" i="36" a="1"/>
  <c r="F440" i="36" s="1"/>
  <c r="I440" i="36" s="1"/>
  <c r="F451" i="36" a="1"/>
  <c r="F451" i="36" s="1"/>
  <c r="G490" i="36" a="1"/>
  <c r="G490" i="36" s="1"/>
  <c r="H490" i="36" s="1"/>
  <c r="G503" i="36" a="1"/>
  <c r="G503" i="36" s="1"/>
  <c r="H503" i="36" s="1"/>
  <c r="F516" i="36" a="1"/>
  <c r="F516" i="36" s="1"/>
  <c r="I516" i="36" s="1"/>
  <c r="G571" i="36" a="1"/>
  <c r="G571" i="36" s="1"/>
  <c r="H571" i="36" s="1"/>
  <c r="F618" i="36" a="1"/>
  <c r="F618" i="36" s="1"/>
  <c r="G217" i="36" a="1"/>
  <c r="G217" i="36" s="1"/>
  <c r="H217" i="36" s="1"/>
  <c r="F339" i="36" a="1"/>
  <c r="F339" i="36" s="1"/>
  <c r="G387" i="36" a="1"/>
  <c r="G387" i="36" s="1"/>
  <c r="H387" i="36" s="1"/>
  <c r="F464" i="36" a="1"/>
  <c r="F464" i="36" s="1"/>
  <c r="I464" i="36" s="1"/>
  <c r="G20" i="36" a="1"/>
  <c r="G20" i="36" s="1"/>
  <c r="H20" i="36" s="1"/>
  <c r="F52" i="36" a="1"/>
  <c r="F52" i="36" s="1"/>
  <c r="F93" i="36" a="1"/>
  <c r="F93" i="36" s="1"/>
  <c r="I93" i="36" s="1"/>
  <c r="F118" i="36" a="1"/>
  <c r="F118" i="36" s="1"/>
  <c r="F126" i="36" a="1"/>
  <c r="F126" i="36" s="1"/>
  <c r="I126" i="36" s="1"/>
  <c r="F151" i="36" a="1"/>
  <c r="F151" i="36" s="1"/>
  <c r="F175" i="36" a="1"/>
  <c r="F175" i="36" s="1"/>
  <c r="I175" i="36" s="1"/>
  <c r="G202" i="36" a="1"/>
  <c r="G202" i="36" s="1"/>
  <c r="H202" i="36" s="1"/>
  <c r="F237" i="36" a="1"/>
  <c r="F237" i="36" s="1"/>
  <c r="I237" i="36" s="1"/>
  <c r="G254" i="36" a="1"/>
  <c r="G254" i="36" s="1"/>
  <c r="H254" i="36" s="1"/>
  <c r="G276" i="36" a="1"/>
  <c r="G276" i="36" s="1"/>
  <c r="H276" i="36" s="1"/>
  <c r="F296" i="36" a="1"/>
  <c r="F296" i="36" s="1"/>
  <c r="G307" i="36" a="1"/>
  <c r="G307" i="36" s="1"/>
  <c r="H307" i="36" s="1"/>
  <c r="G339" i="36" a="1"/>
  <c r="G339" i="36" s="1"/>
  <c r="H339" i="36" s="1"/>
  <c r="G401" i="36" a="1"/>
  <c r="G401" i="36" s="1"/>
  <c r="H401" i="36" s="1"/>
  <c r="G413" i="36" a="1"/>
  <c r="G413" i="36" s="1"/>
  <c r="H413" i="36" s="1"/>
  <c r="F427" i="36" a="1"/>
  <c r="F427" i="36" s="1"/>
  <c r="G451" i="36" a="1"/>
  <c r="G451" i="36" s="1"/>
  <c r="H451" i="36" s="1"/>
  <c r="G465" i="36" a="1"/>
  <c r="G465" i="36" s="1"/>
  <c r="H465" i="36" s="1"/>
  <c r="F504" i="36" a="1"/>
  <c r="F504" i="36" s="1"/>
  <c r="F543" i="36" a="1"/>
  <c r="F543" i="36" s="1"/>
  <c r="G558" i="36" a="1"/>
  <c r="G558" i="36" s="1"/>
  <c r="H558" i="36" s="1"/>
  <c r="F44" i="36" a="1"/>
  <c r="F44" i="36" s="1"/>
  <c r="G52" i="36" a="1"/>
  <c r="G52" i="36" s="1"/>
  <c r="H52" i="36" s="1"/>
  <c r="F60" i="36" a="1"/>
  <c r="F60" i="36" s="1"/>
  <c r="I60" i="36" s="1"/>
  <c r="F101" i="36" a="1"/>
  <c r="F101" i="36" s="1"/>
  <c r="F110" i="36" a="1"/>
  <c r="F110" i="36" s="1"/>
  <c r="I110" i="36" s="1"/>
  <c r="G118" i="36" a="1"/>
  <c r="G118" i="36" s="1"/>
  <c r="H118" i="36" s="1"/>
  <c r="G134" i="36" a="1"/>
  <c r="G134" i="36" s="1"/>
  <c r="H134" i="36" s="1"/>
  <c r="G142" i="36" a="1"/>
  <c r="G142" i="36" s="1"/>
  <c r="H142" i="36" s="1"/>
  <c r="F168" i="36" a="1"/>
  <c r="F168" i="36" s="1"/>
  <c r="I168" i="36" s="1"/>
  <c r="G185" i="36" a="1"/>
  <c r="G185" i="36" s="1"/>
  <c r="H185" i="36" s="1"/>
  <c r="G286" i="36" a="1"/>
  <c r="G286" i="36" s="1"/>
  <c r="H286" i="36" s="1"/>
  <c r="G328" i="36" a="1"/>
  <c r="G328" i="36" s="1"/>
  <c r="H328" i="36" s="1"/>
  <c r="G363" i="36" a="1"/>
  <c r="G363" i="36" s="1"/>
  <c r="H363" i="36" s="1"/>
  <c r="F377" i="36" a="1"/>
  <c r="F377" i="36" s="1"/>
  <c r="F428" i="36" a="1"/>
  <c r="F428" i="36" s="1"/>
  <c r="G466" i="36" a="1"/>
  <c r="G466" i="36" s="1"/>
  <c r="H466" i="36" s="1"/>
  <c r="F530" i="36" a="1"/>
  <c r="F530" i="36" s="1"/>
  <c r="G588" i="36" a="1"/>
  <c r="G588" i="36" s="1"/>
  <c r="H588" i="36" s="1"/>
  <c r="G618" i="36" a="1"/>
  <c r="G618" i="36" s="1"/>
  <c r="H618" i="36" s="1"/>
  <c r="G635" i="36" a="1"/>
  <c r="G635" i="36" s="1"/>
  <c r="H635" i="36" s="1"/>
  <c r="G30" i="35" a="1"/>
  <c r="G30" i="35" s="1"/>
  <c r="H30" i="35" s="1"/>
  <c r="F37" i="35" a="1"/>
  <c r="F37" i="35" s="1"/>
  <c r="F45" i="35" a="1"/>
  <c r="F45" i="35" s="1"/>
  <c r="G76" i="35" a="1"/>
  <c r="G76" i="35" s="1"/>
  <c r="H76" i="35" s="1"/>
  <c r="F118" i="35" a="1"/>
  <c r="F118" i="35" s="1"/>
  <c r="G135" i="35" a="1"/>
  <c r="G135" i="35" s="1"/>
  <c r="H135" i="35" s="1"/>
  <c r="G143" i="35" a="1"/>
  <c r="G143" i="35" s="1"/>
  <c r="H143" i="35" s="1"/>
  <c r="F151" i="35" a="1"/>
  <c r="F151" i="35" s="1"/>
  <c r="I151" i="35" s="1"/>
  <c r="G194" i="35" a="1"/>
  <c r="G194" i="35" s="1"/>
  <c r="H194" i="35" s="1"/>
  <c r="F230" i="35" a="1"/>
  <c r="F230" i="35" s="1"/>
  <c r="F239" i="35" a="1"/>
  <c r="F239" i="35" s="1"/>
  <c r="F288" i="35" a="1"/>
  <c r="F288" i="35" s="1"/>
  <c r="G297" i="35" a="1"/>
  <c r="G297" i="35" s="1"/>
  <c r="H297" i="35" s="1"/>
  <c r="G319" i="35" a="1"/>
  <c r="G319" i="35" s="1"/>
  <c r="H319" i="35" s="1"/>
  <c r="F333" i="35" a="1"/>
  <c r="F333" i="35" s="1"/>
  <c r="F346" i="35" a="1"/>
  <c r="F346" i="35" s="1"/>
  <c r="F375" i="35" a="1"/>
  <c r="F375" i="35" s="1"/>
  <c r="G403" i="35" a="1"/>
  <c r="G403" i="35" s="1"/>
  <c r="H403" i="35" s="1"/>
  <c r="F419" i="35" a="1"/>
  <c r="F419" i="35" s="1"/>
  <c r="F468" i="35" a="1"/>
  <c r="F468" i="35" s="1"/>
  <c r="F502" i="35" a="1"/>
  <c r="F502" i="35" s="1"/>
  <c r="G559" i="35" a="1"/>
  <c r="G559" i="35" s="1"/>
  <c r="H559" i="35" s="1"/>
  <c r="F577" i="35" a="1"/>
  <c r="F577" i="35" s="1"/>
  <c r="F16" i="35" a="1"/>
  <c r="F16" i="35" s="1"/>
  <c r="F23" i="35" a="1"/>
  <c r="F23" i="35" s="1"/>
  <c r="F31" i="35" a="1"/>
  <c r="F31" i="35" s="1"/>
  <c r="G38" i="35" a="1"/>
  <c r="G38" i="35" s="1"/>
  <c r="H38" i="35" s="1"/>
  <c r="F94" i="35" a="1"/>
  <c r="F94" i="35" s="1"/>
  <c r="I94" i="35" s="1"/>
  <c r="F127" i="35" a="1"/>
  <c r="F127" i="35" s="1"/>
  <c r="I127" i="35" s="1"/>
  <c r="F160" i="35" a="1"/>
  <c r="F160" i="35" s="1"/>
  <c r="F204" i="35" a="1"/>
  <c r="F204" i="35" s="1"/>
  <c r="F213" i="35" a="1"/>
  <c r="F213" i="35" s="1"/>
  <c r="G239" i="35" a="1"/>
  <c r="G239" i="35" s="1"/>
  <c r="H239" i="35" s="1"/>
  <c r="F268" i="35" a="1"/>
  <c r="F268" i="35" s="1"/>
  <c r="F289" i="35" a="1"/>
  <c r="F289" i="35" s="1"/>
  <c r="F361" i="35" a="1"/>
  <c r="F361" i="35" s="1"/>
  <c r="F436" i="35" a="1"/>
  <c r="F436" i="35" s="1"/>
  <c r="G452" i="35" a="1"/>
  <c r="G452" i="35" s="1"/>
  <c r="H452" i="35" s="1"/>
  <c r="F469" i="35" a="1"/>
  <c r="F469" i="35" s="1"/>
  <c r="G485" i="35" a="1"/>
  <c r="G485" i="35" s="1"/>
  <c r="H485" i="35" s="1"/>
  <c r="F539" i="35" a="1"/>
  <c r="F539" i="35" s="1"/>
  <c r="G615" i="35" a="1"/>
  <c r="G615" i="35" s="1"/>
  <c r="H615" i="35" s="1"/>
  <c r="G16" i="35" a="1"/>
  <c r="G16" i="35" s="1"/>
  <c r="H16" i="35" s="1"/>
  <c r="F46" i="35" a="1"/>
  <c r="F46" i="35" s="1"/>
  <c r="F77" i="35" a="1"/>
  <c r="F77" i="35" s="1"/>
  <c r="F136" i="35" a="1"/>
  <c r="F136" i="35" s="1"/>
  <c r="F153" i="35" a="1"/>
  <c r="F153" i="35" s="1"/>
  <c r="I153" i="35" s="1"/>
  <c r="F170" i="35" a="1"/>
  <c r="F170" i="35" s="1"/>
  <c r="I170" i="35" s="1"/>
  <c r="G195" i="35" a="1"/>
  <c r="G195" i="35" s="1"/>
  <c r="H195" i="35" s="1"/>
  <c r="G222" i="35" a="1"/>
  <c r="G222" i="35" s="1"/>
  <c r="H222" i="35" s="1"/>
  <c r="G258" i="35" a="1"/>
  <c r="G258" i="35" s="1"/>
  <c r="H258" i="35" s="1"/>
  <c r="G310" i="35" a="1"/>
  <c r="G310" i="35" s="1"/>
  <c r="H310" i="35" s="1"/>
  <c r="F322" i="35" a="1"/>
  <c r="F322" i="35" s="1"/>
  <c r="I322" i="35" s="1"/>
  <c r="G375" i="35" a="1"/>
  <c r="G375" i="35" s="1"/>
  <c r="H375" i="35" s="1"/>
  <c r="F407" i="35" a="1"/>
  <c r="F407" i="35" s="1"/>
  <c r="F421" i="35" a="1"/>
  <c r="F421" i="35" s="1"/>
  <c r="I421" i="35" s="1"/>
  <c r="F523" i="35" a="1"/>
  <c r="F523" i="35" s="1"/>
  <c r="G597" i="35" a="1"/>
  <c r="G597" i="35" s="1"/>
  <c r="H597" i="35" s="1"/>
  <c r="F619" i="35" a="1"/>
  <c r="F619" i="35" s="1"/>
  <c r="G31" i="35" a="1"/>
  <c r="G31" i="35" s="1"/>
  <c r="H31" i="35" s="1"/>
  <c r="G39" i="35" a="1"/>
  <c r="G39" i="35" s="1"/>
  <c r="H39" i="35" s="1"/>
  <c r="G94" i="35" a="1"/>
  <c r="G94" i="35" s="1"/>
  <c r="H94" i="35" s="1"/>
  <c r="G111" i="35" a="1"/>
  <c r="G111" i="35" s="1"/>
  <c r="H111" i="35" s="1"/>
  <c r="G213" i="35" a="1"/>
  <c r="G213" i="35" s="1"/>
  <c r="H213" i="35" s="1"/>
  <c r="F231" i="35" a="1"/>
  <c r="F231" i="35" s="1"/>
  <c r="G289" i="35" a="1"/>
  <c r="G289" i="35" s="1"/>
  <c r="H289" i="35" s="1"/>
  <c r="F391" i="35" a="1"/>
  <c r="F391" i="35" s="1"/>
  <c r="G421" i="35" a="1"/>
  <c r="G421" i="35" s="1"/>
  <c r="H421" i="35" s="1"/>
  <c r="G469" i="35" a="1"/>
  <c r="G469" i="35" s="1"/>
  <c r="H469" i="35" s="1"/>
  <c r="G487" i="35" a="1"/>
  <c r="G487" i="35" s="1"/>
  <c r="H487" i="35" s="1"/>
  <c r="F631" i="35" a="1"/>
  <c r="F631" i="35" s="1"/>
  <c r="G623" i="35" a="1"/>
  <c r="G623" i="35" s="1"/>
  <c r="H623" i="35" s="1"/>
  <c r="F608" i="35" a="1"/>
  <c r="F608" i="35" s="1"/>
  <c r="I608" i="35" s="1"/>
  <c r="G600" i="35" a="1"/>
  <c r="G600" i="35" s="1"/>
  <c r="H600" i="35" s="1"/>
  <c r="F585" i="35" a="1"/>
  <c r="F585" i="35" s="1"/>
  <c r="I585" i="35" s="1"/>
  <c r="G577" i="35" a="1"/>
  <c r="G577" i="35" s="1"/>
  <c r="H577" i="35" s="1"/>
  <c r="F562" i="35" a="1"/>
  <c r="F562" i="35" s="1"/>
  <c r="I562" i="35" s="1"/>
  <c r="F558" i="35" a="1"/>
  <c r="F558" i="35" s="1"/>
  <c r="G550" i="35" a="1"/>
  <c r="G550" i="35" s="1"/>
  <c r="H550" i="35" s="1"/>
  <c r="F535" i="35" a="1"/>
  <c r="F535" i="35" s="1"/>
  <c r="F627" i="35" a="1"/>
  <c r="F627" i="35" s="1"/>
  <c r="G619" i="35" a="1"/>
  <c r="G619" i="35" s="1"/>
  <c r="H619" i="35" s="1"/>
  <c r="F604" i="35" a="1"/>
  <c r="F604" i="35" s="1"/>
  <c r="G596" i="35" a="1"/>
  <c r="G596" i="35" s="1"/>
  <c r="H596" i="35" s="1"/>
  <c r="F581" i="35" a="1"/>
  <c r="F581" i="35" s="1"/>
  <c r="G573" i="35" a="1"/>
  <c r="G573" i="35" s="1"/>
  <c r="H573" i="35" s="1"/>
  <c r="F554" i="35" a="1"/>
  <c r="F554" i="35" s="1"/>
  <c r="G546" i="35" a="1"/>
  <c r="G546" i="35" s="1"/>
  <c r="H546" i="35" s="1"/>
  <c r="F531" i="35" a="1"/>
  <c r="F531" i="35" s="1"/>
  <c r="G523" i="35" a="1"/>
  <c r="G523" i="35" s="1"/>
  <c r="H523" i="35" s="1"/>
  <c r="F508" i="35" a="1"/>
  <c r="F508" i="35" s="1"/>
  <c r="I508" i="35" s="1"/>
  <c r="G500" i="35" a="1"/>
  <c r="G500" i="35" s="1"/>
  <c r="H500" i="35" s="1"/>
  <c r="F485" i="35" a="1"/>
  <c r="F485" i="35" s="1"/>
  <c r="F481" i="35" a="1"/>
  <c r="F481" i="35" s="1"/>
  <c r="G473" i="35" a="1"/>
  <c r="G473" i="35" s="1"/>
  <c r="H473" i="35" s="1"/>
  <c r="F458" i="35" a="1"/>
  <c r="F458" i="35" s="1"/>
  <c r="G450" i="35" a="1"/>
  <c r="G450" i="35" s="1"/>
  <c r="H450" i="35" s="1"/>
  <c r="F435" i="35" a="1"/>
  <c r="F435" i="35" s="1"/>
  <c r="G427" i="35" a="1"/>
  <c r="G427" i="35" s="1"/>
  <c r="H427" i="35" s="1"/>
  <c r="F412" i="35" a="1"/>
  <c r="F412" i="35" s="1"/>
  <c r="I412" i="35" s="1"/>
  <c r="G404" i="35" a="1"/>
  <c r="G404" i="35" s="1"/>
  <c r="H404" i="35" s="1"/>
  <c r="G400" i="35" a="1"/>
  <c r="G400" i="35" s="1"/>
  <c r="H400" i="35" s="1"/>
  <c r="F385" i="35" a="1"/>
  <c r="F385" i="35" s="1"/>
  <c r="G377" i="35" a="1"/>
  <c r="G377" i="35" s="1"/>
  <c r="H377" i="35" s="1"/>
  <c r="F362" i="35" a="1"/>
  <c r="F362" i="35" s="1"/>
  <c r="G354" i="35" a="1"/>
  <c r="G354" i="35" s="1"/>
  <c r="H354" i="35" s="1"/>
  <c r="F339" i="35" a="1"/>
  <c r="F339" i="35" s="1"/>
  <c r="G331" i="35" a="1"/>
  <c r="G331" i="35" s="1"/>
  <c r="H331" i="35" s="1"/>
  <c r="G638" i="35" a="1"/>
  <c r="G638" i="35" s="1"/>
  <c r="H638" i="35" s="1"/>
  <c r="F630" i="35" a="1"/>
  <c r="F630" i="35" s="1"/>
  <c r="G613" i="35" a="1"/>
  <c r="G613" i="35" s="1"/>
  <c r="H613" i="35" s="1"/>
  <c r="F609" i="35" a="1"/>
  <c r="F609" i="35" s="1"/>
  <c r="F592" i="35" a="1"/>
  <c r="F592" i="35" s="1"/>
  <c r="G579" i="35" a="1"/>
  <c r="G579" i="35" s="1"/>
  <c r="H579" i="35" s="1"/>
  <c r="F571" i="35" a="1"/>
  <c r="F571" i="35" s="1"/>
  <c r="I571" i="35" s="1"/>
  <c r="G541" i="35" a="1"/>
  <c r="G541" i="35" s="1"/>
  <c r="H541" i="35" s="1"/>
  <c r="F533" i="35" a="1"/>
  <c r="F533" i="35" s="1"/>
  <c r="F529" i="35" a="1"/>
  <c r="F529" i="35" s="1"/>
  <c r="I529" i="35" s="1"/>
  <c r="G444" i="35" a="1"/>
  <c r="G444" i="35" s="1"/>
  <c r="H444" i="35" s="1"/>
  <c r="G440" i="35" a="1"/>
  <c r="G440" i="35" s="1"/>
  <c r="H440" i="35" s="1"/>
  <c r="G436" i="35" a="1"/>
  <c r="G436" i="35" s="1"/>
  <c r="H436" i="35" s="1"/>
  <c r="G432" i="35" a="1"/>
  <c r="G432" i="35" s="1"/>
  <c r="H432" i="35" s="1"/>
  <c r="G428" i="35" a="1"/>
  <c r="G428" i="35" s="1"/>
  <c r="H428" i="35" s="1"/>
  <c r="G424" i="35" a="1"/>
  <c r="G424" i="35" s="1"/>
  <c r="H424" i="35" s="1"/>
  <c r="G420" i="35" a="1"/>
  <c r="G420" i="35" s="1"/>
  <c r="H420" i="35" s="1"/>
  <c r="G416" i="35" a="1"/>
  <c r="G416" i="35" s="1"/>
  <c r="H416" i="35" s="1"/>
  <c r="G412" i="35" a="1"/>
  <c r="G412" i="35" s="1"/>
  <c r="H412" i="35" s="1"/>
  <c r="G408" i="35" a="1"/>
  <c r="G408" i="35" s="1"/>
  <c r="H408" i="35" s="1"/>
  <c r="F404" i="35" a="1"/>
  <c r="F404" i="35" s="1"/>
  <c r="F400" i="35" a="1"/>
  <c r="F400" i="35" s="1"/>
  <c r="F396" i="35" a="1"/>
  <c r="F396" i="35" s="1"/>
  <c r="F392" i="35" a="1"/>
  <c r="F392" i="35" s="1"/>
  <c r="F388" i="35" a="1"/>
  <c r="F388" i="35" s="1"/>
  <c r="F384" i="35" a="1"/>
  <c r="F384" i="35" s="1"/>
  <c r="F380" i="35" a="1"/>
  <c r="F380" i="35" s="1"/>
  <c r="F376" i="35" a="1"/>
  <c r="F376" i="35" s="1"/>
  <c r="I376" i="35" s="1"/>
  <c r="F372" i="35" a="1"/>
  <c r="F372" i="35" s="1"/>
  <c r="I372" i="35" s="1"/>
  <c r="F368" i="35" a="1"/>
  <c r="F368" i="35" s="1"/>
  <c r="I368" i="35" s="1"/>
  <c r="F364" i="35" a="1"/>
  <c r="F364" i="35" s="1"/>
  <c r="I364" i="35" s="1"/>
  <c r="F324" i="35" a="1"/>
  <c r="F324" i="35" s="1"/>
  <c r="I324" i="35" s="1"/>
  <c r="F320" i="35" a="1"/>
  <c r="F320" i="35" s="1"/>
  <c r="I320" i="35" s="1"/>
  <c r="F634" i="35" a="1"/>
  <c r="F634" i="35" s="1"/>
  <c r="G624" i="35" a="1"/>
  <c r="G624" i="35" s="1"/>
  <c r="H624" i="35" s="1"/>
  <c r="F620" i="35" a="1"/>
  <c r="F620" i="35" s="1"/>
  <c r="G611" i="35" a="1"/>
  <c r="G611" i="35" s="1"/>
  <c r="H611" i="35" s="1"/>
  <c r="F603" i="35" a="1"/>
  <c r="F603" i="35" s="1"/>
  <c r="I603" i="35" s="1"/>
  <c r="G590" i="35" a="1"/>
  <c r="G590" i="35" s="1"/>
  <c r="H590" i="35" s="1"/>
  <c r="F582" i="35" a="1"/>
  <c r="F582" i="35" s="1"/>
  <c r="F569" i="35" a="1"/>
  <c r="F569" i="35" s="1"/>
  <c r="G552" i="35" a="1"/>
  <c r="G552" i="35" s="1"/>
  <c r="H552" i="35" s="1"/>
  <c r="F544" i="35" a="1"/>
  <c r="F544" i="35" s="1"/>
  <c r="G531" i="35" a="1"/>
  <c r="G531" i="35" s="1"/>
  <c r="H531" i="35" s="1"/>
  <c r="G527" i="35" a="1"/>
  <c r="G527" i="35" s="1"/>
  <c r="H527" i="35" s="1"/>
  <c r="F503" i="35" a="1"/>
  <c r="F503" i="35" s="1"/>
  <c r="F499" i="35" a="1"/>
  <c r="F499" i="35" s="1"/>
  <c r="F495" i="35" a="1"/>
  <c r="F495" i="35" s="1"/>
  <c r="F491" i="35" a="1"/>
  <c r="F491" i="35" s="1"/>
  <c r="F487" i="35" a="1"/>
  <c r="F487" i="35" s="1"/>
  <c r="I487" i="35" s="1"/>
  <c r="F483" i="35" a="1"/>
  <c r="F483" i="35" s="1"/>
  <c r="F479" i="35" a="1"/>
  <c r="F479" i="35" s="1"/>
  <c r="I479" i="35" s="1"/>
  <c r="F475" i="35" a="1"/>
  <c r="F475" i="35" s="1"/>
  <c r="F471" i="35" a="1"/>
  <c r="F471" i="35" s="1"/>
  <c r="F467" i="35" a="1"/>
  <c r="F467" i="35" s="1"/>
  <c r="F463" i="35" a="1"/>
  <c r="F463" i="35" s="1"/>
  <c r="G378" i="35" a="1"/>
  <c r="G378" i="35" s="1"/>
  <c r="H378" i="35" s="1"/>
  <c r="G374" i="35" a="1"/>
  <c r="G374" i="35" s="1"/>
  <c r="H374" i="35" s="1"/>
  <c r="G370" i="35" a="1"/>
  <c r="G370" i="35" s="1"/>
  <c r="H370" i="35" s="1"/>
  <c r="G366" i="35" a="1"/>
  <c r="G366" i="35" s="1"/>
  <c r="H366" i="35" s="1"/>
  <c r="G362" i="35" a="1"/>
  <c r="G362" i="35" s="1"/>
  <c r="H362" i="35" s="1"/>
  <c r="G358" i="35" a="1"/>
  <c r="G358" i="35" s="1"/>
  <c r="H358" i="35" s="1"/>
  <c r="F338" i="35" a="1"/>
  <c r="F338" i="35" s="1"/>
  <c r="F334" i="35" a="1"/>
  <c r="F334" i="35" s="1"/>
  <c r="F638" i="35" a="1"/>
  <c r="F638" i="35" s="1"/>
  <c r="G633" i="35" a="1"/>
  <c r="G633" i="35" s="1"/>
  <c r="H633" i="35" s="1"/>
  <c r="F605" i="35" a="1"/>
  <c r="F605" i="35" s="1"/>
  <c r="F600" i="35" a="1"/>
  <c r="F600" i="35" s="1"/>
  <c r="G586" i="35" a="1"/>
  <c r="G586" i="35" s="1"/>
  <c r="H586" i="35" s="1"/>
  <c r="F549" i="35" a="1"/>
  <c r="F549" i="35" s="1"/>
  <c r="F540" i="35" a="1"/>
  <c r="F540" i="35" s="1"/>
  <c r="G517" i="35" a="1"/>
  <c r="G517" i="35" s="1"/>
  <c r="H517" i="35" s="1"/>
  <c r="F513" i="35" a="1"/>
  <c r="F513" i="35" s="1"/>
  <c r="I513" i="35" s="1"/>
  <c r="F504" i="35" a="1"/>
  <c r="F504" i="35" s="1"/>
  <c r="G486" i="35" a="1"/>
  <c r="G486" i="35" s="1"/>
  <c r="H486" i="35" s="1"/>
  <c r="F482" i="35" a="1"/>
  <c r="F482" i="35" s="1"/>
  <c r="F473" i="35" a="1"/>
  <c r="F473" i="35" s="1"/>
  <c r="G455" i="35" a="1"/>
  <c r="G455" i="35" s="1"/>
  <c r="H455" i="35" s="1"/>
  <c r="F451" i="35" a="1"/>
  <c r="F451" i="35" s="1"/>
  <c r="I451" i="35" s="1"/>
  <c r="G446" i="35" a="1"/>
  <c r="G446" i="35" s="1"/>
  <c r="H446" i="35" s="1"/>
  <c r="F442" i="35" a="1"/>
  <c r="F442" i="35" s="1"/>
  <c r="F420" i="35" a="1"/>
  <c r="F420" i="35" s="1"/>
  <c r="F411" i="35" a="1"/>
  <c r="F411" i="35" s="1"/>
  <c r="F389" i="35" a="1"/>
  <c r="F389" i="35" s="1"/>
  <c r="G371" i="35" a="1"/>
  <c r="G371" i="35" s="1"/>
  <c r="H371" i="35" s="1"/>
  <c r="F349" i="35" a="1"/>
  <c r="F349" i="35" s="1"/>
  <c r="G340" i="35" a="1"/>
  <c r="G340" i="35" s="1"/>
  <c r="H340" i="35" s="1"/>
  <c r="F336" i="35" a="1"/>
  <c r="F336" i="35" s="1"/>
  <c r="G311" i="35" a="1"/>
  <c r="G311" i="35" s="1"/>
  <c r="H311" i="35" s="1"/>
  <c r="G636" i="35" a="1"/>
  <c r="G636" i="35" s="1"/>
  <c r="H636" i="35" s="1"/>
  <c r="F617" i="35" a="1"/>
  <c r="F617" i="35" s="1"/>
  <c r="G612" i="35" a="1"/>
  <c r="G612" i="35" s="1"/>
  <c r="H612" i="35" s="1"/>
  <c r="G584" i="35" a="1"/>
  <c r="G584" i="35" s="1"/>
  <c r="H584" i="35" s="1"/>
  <c r="F575" i="35" a="1"/>
  <c r="F575" i="35" s="1"/>
  <c r="F566" i="35" a="1"/>
  <c r="F566" i="35" s="1"/>
  <c r="F561" i="35" a="1"/>
  <c r="F561" i="35" s="1"/>
  <c r="G556" i="35" a="1"/>
  <c r="G556" i="35" s="1"/>
  <c r="H556" i="35" s="1"/>
  <c r="G547" i="35" a="1"/>
  <c r="G547" i="35" s="1"/>
  <c r="H547" i="35" s="1"/>
  <c r="G542" i="35" a="1"/>
  <c r="G542" i="35" s="1"/>
  <c r="H542" i="35" s="1"/>
  <c r="G533" i="35" a="1"/>
  <c r="G533" i="35" s="1"/>
  <c r="H533" i="35" s="1"/>
  <c r="G524" i="35" a="1"/>
  <c r="G524" i="35" s="1"/>
  <c r="H524" i="35" s="1"/>
  <c r="F520" i="35" a="1"/>
  <c r="F520" i="35" s="1"/>
  <c r="F511" i="35" a="1"/>
  <c r="F511" i="35" s="1"/>
  <c r="G484" i="35" a="1"/>
  <c r="G484" i="35" s="1"/>
  <c r="H484" i="35" s="1"/>
  <c r="F480" i="35" a="1"/>
  <c r="F480" i="35" s="1"/>
  <c r="G471" i="35" a="1"/>
  <c r="G471" i="35" s="1"/>
  <c r="H471" i="35" s="1"/>
  <c r="G462" i="35" a="1"/>
  <c r="G462" i="35" s="1"/>
  <c r="H462" i="35" s="1"/>
  <c r="F427" i="35" a="1"/>
  <c r="F427" i="35" s="1"/>
  <c r="G422" i="35" a="1"/>
  <c r="G422" i="35" s="1"/>
  <c r="H422" i="35" s="1"/>
  <c r="F418" i="35" a="1"/>
  <c r="F418" i="35" s="1"/>
  <c r="G409" i="35" a="1"/>
  <c r="G409" i="35" s="1"/>
  <c r="H409" i="35" s="1"/>
  <c r="F405" i="35" a="1"/>
  <c r="F405" i="35" s="1"/>
  <c r="G369" i="35" a="1"/>
  <c r="G369" i="35" s="1"/>
  <c r="H369" i="35" s="1"/>
  <c r="F365" i="35" a="1"/>
  <c r="F365" i="35" s="1"/>
  <c r="G347" i="35" a="1"/>
  <c r="G347" i="35" s="1"/>
  <c r="H347" i="35" s="1"/>
  <c r="F343" i="35" a="1"/>
  <c r="F343" i="35" s="1"/>
  <c r="F306" i="35" a="1"/>
  <c r="F306" i="35" s="1"/>
  <c r="I306" i="35" s="1"/>
  <c r="G298" i="35" a="1"/>
  <c r="G298" i="35" s="1"/>
  <c r="H298" i="35" s="1"/>
  <c r="F279" i="35" a="1"/>
  <c r="F279" i="35" s="1"/>
  <c r="I279" i="35" s="1"/>
  <c r="G271" i="35" a="1"/>
  <c r="G271" i="35" s="1"/>
  <c r="H271" i="35" s="1"/>
  <c r="G591" i="35" a="1"/>
  <c r="G591" i="35" s="1"/>
  <c r="H591" i="35" s="1"/>
  <c r="F586" i="35" a="1"/>
  <c r="F586" i="35" s="1"/>
  <c r="I586" i="35" s="1"/>
  <c r="G565" i="35" a="1"/>
  <c r="G565" i="35" s="1"/>
  <c r="H565" i="35" s="1"/>
  <c r="G560" i="35" a="1"/>
  <c r="G560" i="35" s="1"/>
  <c r="H560" i="35" s="1"/>
  <c r="G540" i="35" a="1"/>
  <c r="G540" i="35" s="1"/>
  <c r="H540" i="35" s="1"/>
  <c r="F530" i="35" a="1"/>
  <c r="F530" i="35" s="1"/>
  <c r="G525" i="35" a="1"/>
  <c r="G525" i="35" s="1"/>
  <c r="H525" i="35" s="1"/>
  <c r="G520" i="35" a="1"/>
  <c r="G520" i="35" s="1"/>
  <c r="H520" i="35" s="1"/>
  <c r="G515" i="35" a="1"/>
  <c r="G515" i="35" s="1"/>
  <c r="H515" i="35" s="1"/>
  <c r="G510" i="35" a="1"/>
  <c r="G510" i="35" s="1"/>
  <c r="H510" i="35" s="1"/>
  <c r="F501" i="35" a="1"/>
  <c r="F501" i="35" s="1"/>
  <c r="F496" i="35" a="1"/>
  <c r="F496" i="35" s="1"/>
  <c r="G476" i="35" a="1"/>
  <c r="G476" i="35" s="1"/>
  <c r="H476" i="35" s="1"/>
  <c r="F457" i="35" a="1"/>
  <c r="F457" i="35" s="1"/>
  <c r="G447" i="35" a="1"/>
  <c r="G447" i="35" s="1"/>
  <c r="H447" i="35" s="1"/>
  <c r="G442" i="35" a="1"/>
  <c r="G442" i="35" s="1"/>
  <c r="H442" i="35" s="1"/>
  <c r="F423" i="35" a="1"/>
  <c r="F423" i="35" s="1"/>
  <c r="G627" i="35" a="1"/>
  <c r="G627" i="35" s="1"/>
  <c r="H627" i="35" s="1"/>
  <c r="F622" i="35" a="1"/>
  <c r="F622" i="35" s="1"/>
  <c r="I622" i="35" s="1"/>
  <c r="G606" i="35" a="1"/>
  <c r="G606" i="35" s="1"/>
  <c r="H606" i="35" s="1"/>
  <c r="G601" i="35" a="1"/>
  <c r="G601" i="35" s="1"/>
  <c r="H601" i="35" s="1"/>
  <c r="F596" i="35" a="1"/>
  <c r="F596" i="35" s="1"/>
  <c r="I596" i="35" s="1"/>
  <c r="F591" i="35" a="1"/>
  <c r="F591" i="35" s="1"/>
  <c r="I591" i="35" s="1"/>
  <c r="G555" i="35" a="1"/>
  <c r="G555" i="35" s="1"/>
  <c r="H555" i="35" s="1"/>
  <c r="F550" i="35" a="1"/>
  <c r="F550" i="35" s="1"/>
  <c r="F545" i="35" a="1"/>
  <c r="F545" i="35" s="1"/>
  <c r="F525" i="35" a="1"/>
  <c r="F525" i="35" s="1"/>
  <c r="F515" i="35" a="1"/>
  <c r="F515" i="35" s="1"/>
  <c r="F486" i="35" a="1"/>
  <c r="F486" i="35" s="1"/>
  <c r="G481" i="35" a="1"/>
  <c r="G481" i="35" s="1"/>
  <c r="H481" i="35" s="1"/>
  <c r="G466" i="35" a="1"/>
  <c r="G466" i="35" s="1"/>
  <c r="H466" i="35" s="1"/>
  <c r="F452" i="35" a="1"/>
  <c r="F452" i="35" s="1"/>
  <c r="G437" i="35" a="1"/>
  <c r="G437" i="35" s="1"/>
  <c r="H437" i="35" s="1"/>
  <c r="F413" i="35" a="1"/>
  <c r="F413" i="35" s="1"/>
  <c r="F408" i="35" a="1"/>
  <c r="F408" i="35" s="1"/>
  <c r="G398" i="35" a="1"/>
  <c r="G398" i="35" s="1"/>
  <c r="H398" i="35" s="1"/>
  <c r="F379" i="35" a="1"/>
  <c r="F379" i="35" s="1"/>
  <c r="F374" i="35" a="1"/>
  <c r="F374" i="35" s="1"/>
  <c r="F369" i="35" a="1"/>
  <c r="F369" i="35" s="1"/>
  <c r="G364" i="35" a="1"/>
  <c r="G364" i="35" s="1"/>
  <c r="H364" i="35" s="1"/>
  <c r="G359" i="35" a="1"/>
  <c r="G359" i="35" s="1"/>
  <c r="H359" i="35" s="1"/>
  <c r="G632" i="35" a="1"/>
  <c r="G632" i="35" s="1"/>
  <c r="H632" i="35" s="1"/>
  <c r="G621" i="35" a="1"/>
  <c r="G621" i="35" s="1"/>
  <c r="H621" i="35" s="1"/>
  <c r="G616" i="35" a="1"/>
  <c r="G616" i="35" s="1"/>
  <c r="H616" i="35" s="1"/>
  <c r="F611" i="35" a="1"/>
  <c r="F611" i="35" s="1"/>
  <c r="G570" i="35" a="1"/>
  <c r="G570" i="35" s="1"/>
  <c r="H570" i="35" s="1"/>
  <c r="F565" i="35" a="1"/>
  <c r="F565" i="35" s="1"/>
  <c r="I565" i="35" s="1"/>
  <c r="F560" i="35" a="1"/>
  <c r="F560" i="35" s="1"/>
  <c r="I560" i="35" s="1"/>
  <c r="G534" i="35" a="1"/>
  <c r="G534" i="35" s="1"/>
  <c r="H534" i="35" s="1"/>
  <c r="F632" i="35" a="1"/>
  <c r="F632" i="35" s="1"/>
  <c r="G626" i="35" a="1"/>
  <c r="G626" i="35" s="1"/>
  <c r="H626" i="35" s="1"/>
  <c r="F621" i="35" a="1"/>
  <c r="F621" i="35" s="1"/>
  <c r="F616" i="35" a="1"/>
  <c r="F616" i="35" s="1"/>
  <c r="G595" i="35" a="1"/>
  <c r="G595" i="35" s="1"/>
  <c r="H595" i="35" s="1"/>
  <c r="G585" i="35" a="1"/>
  <c r="G585" i="35" s="1"/>
  <c r="H585" i="35" s="1"/>
  <c r="F580" i="35" a="1"/>
  <c r="F580" i="35" s="1"/>
  <c r="F570" i="35" a="1"/>
  <c r="F570" i="35" s="1"/>
  <c r="G549" i="35" a="1"/>
  <c r="G549" i="35" s="1"/>
  <c r="H549" i="35" s="1"/>
  <c r="G544" i="35" a="1"/>
  <c r="G544" i="35" s="1"/>
  <c r="H544" i="35" s="1"/>
  <c r="F534" i="35" a="1"/>
  <c r="F534" i="35" s="1"/>
  <c r="G529" i="35" a="1"/>
  <c r="G529" i="35" s="1"/>
  <c r="H529" i="35" s="1"/>
  <c r="G519" i="35" a="1"/>
  <c r="G519" i="35" s="1"/>
  <c r="H519" i="35" s="1"/>
  <c r="F505" i="35" a="1"/>
  <c r="F505" i="35" s="1"/>
  <c r="F500" i="35" a="1"/>
  <c r="F500" i="35" s="1"/>
  <c r="I500" i="35" s="1"/>
  <c r="G480" i="35" a="1"/>
  <c r="G480" i="35" s="1"/>
  <c r="H480" i="35" s="1"/>
  <c r="F461" i="35" a="1"/>
  <c r="F461" i="35" s="1"/>
  <c r="I461" i="35" s="1"/>
  <c r="G451" i="35" a="1"/>
  <c r="G451" i="35" s="1"/>
  <c r="H451" i="35" s="1"/>
  <c r="G407" i="35" a="1"/>
  <c r="G407" i="35" s="1"/>
  <c r="H407" i="35" s="1"/>
  <c r="F378" i="35" a="1"/>
  <c r="F378" i="35" s="1"/>
  <c r="I378" i="35" s="1"/>
  <c r="G339" i="35" a="1"/>
  <c r="G339" i="35" s="1"/>
  <c r="H339" i="35" s="1"/>
  <c r="G334" i="35" a="1"/>
  <c r="G334" i="35" s="1"/>
  <c r="H334" i="35" s="1"/>
  <c r="G316" i="35" a="1"/>
  <c r="G316" i="35" s="1"/>
  <c r="H316" i="35" s="1"/>
  <c r="F312" i="35" a="1"/>
  <c r="F312" i="35" s="1"/>
  <c r="F256" i="35" a="1"/>
  <c r="F256" i="35" s="1"/>
  <c r="G248" i="35" a="1"/>
  <c r="G248" i="35" s="1"/>
  <c r="H248" i="35" s="1"/>
  <c r="G637" i="35" a="1"/>
  <c r="G637" i="35" s="1"/>
  <c r="H637" i="35" s="1"/>
  <c r="G605" i="35" a="1"/>
  <c r="G605" i="35" s="1"/>
  <c r="H605" i="35" s="1"/>
  <c r="F587" i="35" a="1"/>
  <c r="F587" i="35" s="1"/>
  <c r="G580" i="35" a="1"/>
  <c r="G580" i="35" s="1"/>
  <c r="H580" i="35" s="1"/>
  <c r="F568" i="35" a="1"/>
  <c r="F568" i="35" s="1"/>
  <c r="F543" i="35" a="1"/>
  <c r="F543" i="35" s="1"/>
  <c r="G507" i="35" a="1"/>
  <c r="G507" i="35" s="1"/>
  <c r="H507" i="35" s="1"/>
  <c r="F490" i="35" a="1"/>
  <c r="F490" i="35" s="1"/>
  <c r="G456" i="35" a="1"/>
  <c r="G456" i="35" s="1"/>
  <c r="H456" i="35" s="1"/>
  <c r="F434" i="35" a="1"/>
  <c r="F434" i="35" s="1"/>
  <c r="I434" i="35" s="1"/>
  <c r="F417" i="35" a="1"/>
  <c r="F417" i="35" s="1"/>
  <c r="I417" i="35" s="1"/>
  <c r="G390" i="35" a="1"/>
  <c r="G390" i="35" s="1"/>
  <c r="H390" i="35" s="1"/>
  <c r="G363" i="35" a="1"/>
  <c r="G363" i="35" s="1"/>
  <c r="H363" i="35" s="1"/>
  <c r="F358" i="35" a="1"/>
  <c r="F358" i="35" s="1"/>
  <c r="G337" i="35" a="1"/>
  <c r="G337" i="35" s="1"/>
  <c r="H337" i="35" s="1"/>
  <c r="G318" i="35" a="1"/>
  <c r="G318" i="35" s="1"/>
  <c r="H318" i="35" s="1"/>
  <c r="G309" i="35" a="1"/>
  <c r="G309" i="35" s="1"/>
  <c r="H309" i="35" s="1"/>
  <c r="F305" i="35" a="1"/>
  <c r="F305" i="35" s="1"/>
  <c r="I305" i="35" s="1"/>
  <c r="G288" i="35" a="1"/>
  <c r="G288" i="35" s="1"/>
  <c r="H288" i="35" s="1"/>
  <c r="F280" i="35" a="1"/>
  <c r="F280" i="35" s="1"/>
  <c r="I280" i="35" s="1"/>
  <c r="F267" i="35" a="1"/>
  <c r="F267" i="35" s="1"/>
  <c r="F263" i="35" a="1"/>
  <c r="F263" i="35" s="1"/>
  <c r="F259" i="35" a="1"/>
  <c r="F259" i="35" s="1"/>
  <c r="F255" i="35" a="1"/>
  <c r="F255" i="35" s="1"/>
  <c r="F251" i="35" a="1"/>
  <c r="F251" i="35" s="1"/>
  <c r="F247" i="35" a="1"/>
  <c r="F247" i="35" s="1"/>
  <c r="F243" i="35" a="1"/>
  <c r="F243" i="35" s="1"/>
  <c r="F235" i="35" a="1"/>
  <c r="F235" i="35" s="1"/>
  <c r="G227" i="35" a="1"/>
  <c r="G227" i="35" s="1"/>
  <c r="H227" i="35" s="1"/>
  <c r="F212" i="35" a="1"/>
  <c r="F212" i="35" s="1"/>
  <c r="G204" i="35" a="1"/>
  <c r="G204" i="35" s="1"/>
  <c r="H204" i="35" s="1"/>
  <c r="F189" i="35" a="1"/>
  <c r="F189" i="35" s="1"/>
  <c r="G181" i="35" a="1"/>
  <c r="G181" i="35" s="1"/>
  <c r="H181" i="35" s="1"/>
  <c r="F166" i="35" a="1"/>
  <c r="F166" i="35" s="1"/>
  <c r="F162" i="35" a="1"/>
  <c r="F162" i="35" s="1"/>
  <c r="I162" i="35" s="1"/>
  <c r="G154" i="35" a="1"/>
  <c r="G154" i="35" s="1"/>
  <c r="H154" i="35" s="1"/>
  <c r="F139" i="35" a="1"/>
  <c r="F139" i="35" s="1"/>
  <c r="G131" i="35" a="1"/>
  <c r="G131" i="35" s="1"/>
  <c r="H131" i="35" s="1"/>
  <c r="F116" i="35" a="1"/>
  <c r="F116" i="35" s="1"/>
  <c r="G108" i="35" a="1"/>
  <c r="G108" i="35" s="1"/>
  <c r="H108" i="35" s="1"/>
  <c r="F93" i="35" a="1"/>
  <c r="F93" i="35" s="1"/>
  <c r="I93" i="35" s="1"/>
  <c r="G85" i="35" a="1"/>
  <c r="G85" i="35" s="1"/>
  <c r="H85" i="35" s="1"/>
  <c r="G81" i="35" a="1"/>
  <c r="G81" i="35" s="1"/>
  <c r="H81" i="35" s="1"/>
  <c r="F66" i="35" a="1"/>
  <c r="F66" i="35" s="1"/>
  <c r="G58" i="35" a="1"/>
  <c r="G58" i="35" s="1"/>
  <c r="H58" i="35" s="1"/>
  <c r="F43" i="35" a="1"/>
  <c r="F43" i="35" s="1"/>
  <c r="G35" i="35" a="1"/>
  <c r="G35" i="35" s="1"/>
  <c r="H35" i="35" s="1"/>
  <c r="F20" i="35" a="1"/>
  <c r="F20" i="35" s="1"/>
  <c r="G12" i="35" a="1"/>
  <c r="G12" i="35" s="1"/>
  <c r="H12" i="35" s="1"/>
  <c r="F5" i="35" a="1"/>
  <c r="F5" i="35" s="1"/>
  <c r="G635" i="35" a="1"/>
  <c r="G635" i="35" s="1"/>
  <c r="H635" i="35" s="1"/>
  <c r="G622" i="35" a="1"/>
  <c r="G622" i="35" s="1"/>
  <c r="H622" i="35" s="1"/>
  <c r="F615" i="35" a="1"/>
  <c r="F615" i="35" s="1"/>
  <c r="I615" i="35" s="1"/>
  <c r="F590" i="35" a="1"/>
  <c r="F590" i="35" s="1"/>
  <c r="I590" i="35" s="1"/>
  <c r="F584" i="35" a="1"/>
  <c r="F584" i="35" s="1"/>
  <c r="I584" i="35" s="1"/>
  <c r="F528" i="35" a="1"/>
  <c r="F528" i="35" s="1"/>
  <c r="G522" i="35" a="1"/>
  <c r="G522" i="35" s="1"/>
  <c r="H522" i="35" s="1"/>
  <c r="F454" i="35" a="1"/>
  <c r="F454" i="35" s="1"/>
  <c r="I454" i="35" s="1"/>
  <c r="F437" i="35" a="1"/>
  <c r="F437" i="35" s="1"/>
  <c r="G431" i="35" a="1"/>
  <c r="G431" i="35" s="1"/>
  <c r="H431" i="35" s="1"/>
  <c r="F399" i="35" a="1"/>
  <c r="F399" i="35" s="1"/>
  <c r="G361" i="35" a="1"/>
  <c r="G361" i="35" s="1"/>
  <c r="H361" i="35" s="1"/>
  <c r="F356" i="35" a="1"/>
  <c r="F356" i="35" s="1"/>
  <c r="I356" i="35" s="1"/>
  <c r="G330" i="35" a="1"/>
  <c r="G330" i="35" s="1"/>
  <c r="H330" i="35" s="1"/>
  <c r="G303" i="35" a="1"/>
  <c r="G303" i="35" s="1"/>
  <c r="H303" i="35" s="1"/>
  <c r="F295" i="35" a="1"/>
  <c r="F295" i="35" s="1"/>
  <c r="G286" i="35" a="1"/>
  <c r="G286" i="35" s="1"/>
  <c r="H286" i="35" s="1"/>
  <c r="F278" i="35" a="1"/>
  <c r="F278" i="35" s="1"/>
  <c r="G257" i="35" a="1"/>
  <c r="G257" i="35" s="1"/>
  <c r="H257" i="35" s="1"/>
  <c r="G253" i="35" a="1"/>
  <c r="G253" i="35" s="1"/>
  <c r="H253" i="35" s="1"/>
  <c r="G249" i="35" a="1"/>
  <c r="G249" i="35" s="1"/>
  <c r="H249" i="35" s="1"/>
  <c r="G245" i="35" a="1"/>
  <c r="G245" i="35" s="1"/>
  <c r="H245" i="35" s="1"/>
  <c r="G241" i="35" a="1"/>
  <c r="G241" i="35" s="1"/>
  <c r="H241" i="35" s="1"/>
  <c r="G237" i="35" a="1"/>
  <c r="G237" i="35" s="1"/>
  <c r="H237" i="35" s="1"/>
  <c r="F222" i="35" a="1"/>
  <c r="F222" i="35" s="1"/>
  <c r="G214" i="35" a="1"/>
  <c r="G214" i="35" s="1"/>
  <c r="H214" i="35" s="1"/>
  <c r="F199" i="35" a="1"/>
  <c r="F199" i="35" s="1"/>
  <c r="F195" i="35" a="1"/>
  <c r="F195" i="35" s="1"/>
  <c r="I195" i="35" s="1"/>
  <c r="G187" i="35" a="1"/>
  <c r="G187" i="35" s="1"/>
  <c r="H187" i="35" s="1"/>
  <c r="F172" i="35" a="1"/>
  <c r="F172" i="35" s="1"/>
  <c r="G164" i="35" a="1"/>
  <c r="G164" i="35" s="1"/>
  <c r="H164" i="35" s="1"/>
  <c r="F149" i="35" a="1"/>
  <c r="F149" i="35" s="1"/>
  <c r="I149" i="35" s="1"/>
  <c r="G141" i="35" a="1"/>
  <c r="G141" i="35" s="1"/>
  <c r="H141" i="35" s="1"/>
  <c r="F126" i="35" a="1"/>
  <c r="F126" i="35" s="1"/>
  <c r="G118" i="35" a="1"/>
  <c r="G118" i="35" s="1"/>
  <c r="H118" i="35" s="1"/>
  <c r="G114" i="35" a="1"/>
  <c r="G114" i="35" s="1"/>
  <c r="H114" i="35" s="1"/>
  <c r="F99" i="35" a="1"/>
  <c r="F99" i="35" s="1"/>
  <c r="I99" i="35" s="1"/>
  <c r="G91" i="35" a="1"/>
  <c r="G91" i="35" s="1"/>
  <c r="H91" i="35" s="1"/>
  <c r="F76" i="35" a="1"/>
  <c r="F76" i="35" s="1"/>
  <c r="G68" i="35" a="1"/>
  <c r="G68" i="35" s="1"/>
  <c r="H68" i="35" s="1"/>
  <c r="F53" i="35" a="1"/>
  <c r="F53" i="35" s="1"/>
  <c r="G45" i="35" a="1"/>
  <c r="G45" i="35" s="1"/>
  <c r="H45" i="35" s="1"/>
  <c r="F26" i="35" a="1"/>
  <c r="F26" i="35" s="1"/>
  <c r="G18" i="35" a="1"/>
  <c r="G18" i="35" s="1"/>
  <c r="H18" i="35" s="1"/>
  <c r="F635" i="35" a="1"/>
  <c r="F635" i="35" s="1"/>
  <c r="I635" i="35" s="1"/>
  <c r="G628" i="35" a="1"/>
  <c r="G628" i="35" s="1"/>
  <c r="H628" i="35" s="1"/>
  <c r="F597" i="35" a="1"/>
  <c r="F597" i="35" s="1"/>
  <c r="F578" i="35" a="1"/>
  <c r="F578" i="35" s="1"/>
  <c r="I578" i="35" s="1"/>
  <c r="F559" i="35" a="1"/>
  <c r="F559" i="35" s="1"/>
  <c r="I559" i="35" s="1"/>
  <c r="G516" i="35" a="1"/>
  <c r="G516" i="35" s="1"/>
  <c r="H516" i="35" s="1"/>
  <c r="F510" i="35" a="1"/>
  <c r="F510" i="35" s="1"/>
  <c r="I510" i="35" s="1"/>
  <c r="G493" i="35" a="1"/>
  <c r="G493" i="35" s="1"/>
  <c r="H493" i="35" s="1"/>
  <c r="G482" i="35" a="1"/>
  <c r="G482" i="35" s="1"/>
  <c r="H482" i="35" s="1"/>
  <c r="F465" i="35" a="1"/>
  <c r="F465" i="35" s="1"/>
  <c r="G448" i="35" a="1"/>
  <c r="G448" i="35" s="1"/>
  <c r="H448" i="35" s="1"/>
  <c r="F443" i="35" a="1"/>
  <c r="F443" i="35" s="1"/>
  <c r="F637" i="35" a="1"/>
  <c r="F637" i="35" s="1"/>
  <c r="G593" i="35" a="1"/>
  <c r="G593" i="35" s="1"/>
  <c r="H593" i="35" s="1"/>
  <c r="F557" i="35" a="1"/>
  <c r="F557" i="35" s="1"/>
  <c r="G521" i="35" a="1"/>
  <c r="G521" i="35" s="1"/>
  <c r="H521" i="35" s="1"/>
  <c r="F514" i="35" a="1"/>
  <c r="F514" i="35" s="1"/>
  <c r="G449" i="35" a="1"/>
  <c r="G449" i="35" s="1"/>
  <c r="H449" i="35" s="1"/>
  <c r="G411" i="35" a="1"/>
  <c r="G411" i="35" s="1"/>
  <c r="H411" i="35" s="1"/>
  <c r="G376" i="35" a="1"/>
  <c r="G376" i="35" s="1"/>
  <c r="H376" i="35" s="1"/>
  <c r="F347" i="35" a="1"/>
  <c r="F347" i="35" s="1"/>
  <c r="G341" i="35" a="1"/>
  <c r="G341" i="35" s="1"/>
  <c r="H341" i="35" s="1"/>
  <c r="F325" i="35" a="1"/>
  <c r="F325" i="35" s="1"/>
  <c r="F287" i="35" a="1"/>
  <c r="F287" i="35" s="1"/>
  <c r="F282" i="35" a="1"/>
  <c r="F282" i="35" s="1"/>
  <c r="F273" i="35" a="1"/>
  <c r="F273" i="35" s="1"/>
  <c r="G268" i="35" a="1"/>
  <c r="G268" i="35" s="1"/>
  <c r="H268" i="35" s="1"/>
  <c r="G259" i="35" a="1"/>
  <c r="G259" i="35" s="1"/>
  <c r="H259" i="35" s="1"/>
  <c r="F246" i="35" a="1"/>
  <c r="F246" i="35" s="1"/>
  <c r="I246" i="35" s="1"/>
  <c r="F233" i="35" a="1"/>
  <c r="F233" i="35" s="1"/>
  <c r="G220" i="35" a="1"/>
  <c r="G220" i="35" s="1"/>
  <c r="H220" i="35" s="1"/>
  <c r="G199" i="35" a="1"/>
  <c r="G199" i="35" s="1"/>
  <c r="H199" i="35" s="1"/>
  <c r="G182" i="35" a="1"/>
  <c r="G182" i="35" s="1"/>
  <c r="H182" i="35" s="1"/>
  <c r="F174" i="35" a="1"/>
  <c r="F174" i="35" s="1"/>
  <c r="I174" i="35" s="1"/>
  <c r="G165" i="35" a="1"/>
  <c r="G165" i="35" s="1"/>
  <c r="H165" i="35" s="1"/>
  <c r="F157" i="35" a="1"/>
  <c r="F157" i="35" s="1"/>
  <c r="G144" i="35" a="1"/>
  <c r="G144" i="35" s="1"/>
  <c r="H144" i="35" s="1"/>
  <c r="F140" i="35" a="1"/>
  <c r="F140" i="35" s="1"/>
  <c r="G127" i="35" a="1"/>
  <c r="G127" i="35" s="1"/>
  <c r="H127" i="35" s="1"/>
  <c r="F119" i="35" a="1"/>
  <c r="F119" i="35" s="1"/>
  <c r="G110" i="35" a="1"/>
  <c r="G110" i="35" s="1"/>
  <c r="H110" i="35" s="1"/>
  <c r="F102" i="35" a="1"/>
  <c r="F102" i="35" s="1"/>
  <c r="F85" i="35" a="1"/>
  <c r="F85" i="35" s="1"/>
  <c r="G614" i="35" a="1"/>
  <c r="G614" i="35" s="1"/>
  <c r="H614" i="35" s="1"/>
  <c r="G607" i="35" a="1"/>
  <c r="G607" i="35" s="1"/>
  <c r="H607" i="35" s="1"/>
  <c r="F593" i="35" a="1"/>
  <c r="F593" i="35" s="1"/>
  <c r="G571" i="35" a="1"/>
  <c r="G571" i="35" s="1"/>
  <c r="H571" i="35" s="1"/>
  <c r="F542" i="35" a="1"/>
  <c r="F542" i="35" s="1"/>
  <c r="G501" i="35" a="1"/>
  <c r="G501" i="35" s="1"/>
  <c r="H501" i="35" s="1"/>
  <c r="G494" i="35" a="1"/>
  <c r="G494" i="35" s="1"/>
  <c r="H494" i="35" s="1"/>
  <c r="F488" i="35" a="1"/>
  <c r="F488" i="35" s="1"/>
  <c r="I488" i="35" s="1"/>
  <c r="G468" i="35" a="1"/>
  <c r="G468" i="35" s="1"/>
  <c r="H468" i="35" s="1"/>
  <c r="F462" i="35" a="1"/>
  <c r="F462" i="35" s="1"/>
  <c r="F449" i="35" a="1"/>
  <c r="F449" i="35" s="1"/>
  <c r="I449" i="35" s="1"/>
  <c r="G417" i="35" a="1"/>
  <c r="G417" i="35" s="1"/>
  <c r="H417" i="35" s="1"/>
  <c r="F394" i="35" a="1"/>
  <c r="F394" i="35" s="1"/>
  <c r="G352" i="35" a="1"/>
  <c r="G352" i="35" s="1"/>
  <c r="H352" i="35" s="1"/>
  <c r="F330" i="35" a="1"/>
  <c r="F330" i="35" s="1"/>
  <c r="I330" i="35" s="1"/>
  <c r="F310" i="35" a="1"/>
  <c r="F310" i="35" s="1"/>
  <c r="G305" i="35" a="1"/>
  <c r="G305" i="35" s="1"/>
  <c r="H305" i="35" s="1"/>
  <c r="F296" i="35" a="1"/>
  <c r="F296" i="35" s="1"/>
  <c r="G291" i="35" a="1"/>
  <c r="G291" i="35" s="1"/>
  <c r="H291" i="35" s="1"/>
  <c r="G277" i="35" a="1"/>
  <c r="G277" i="35" s="1"/>
  <c r="H277" i="35" s="1"/>
  <c r="G250" i="35" a="1"/>
  <c r="G250" i="35" s="1"/>
  <c r="H250" i="35" s="1"/>
  <c r="F237" i="35" a="1"/>
  <c r="F237" i="35" s="1"/>
  <c r="G224" i="35" a="1"/>
  <c r="G224" i="35" s="1"/>
  <c r="H224" i="35" s="1"/>
  <c r="F216" i="35" a="1"/>
  <c r="F216" i="35" s="1"/>
  <c r="G203" i="35" a="1"/>
  <c r="G203" i="35" s="1"/>
  <c r="H203" i="35" s="1"/>
  <c r="G186" i="35" a="1"/>
  <c r="G186" i="35" s="1"/>
  <c r="H186" i="35" s="1"/>
  <c r="F178" i="35" a="1"/>
  <c r="F178" i="35" s="1"/>
  <c r="I178" i="35" s="1"/>
  <c r="G169" i="35" a="1"/>
  <c r="G169" i="35" s="1"/>
  <c r="H169" i="35" s="1"/>
  <c r="F161" i="35" a="1"/>
  <c r="F161" i="35" s="1"/>
  <c r="I161" i="35" s="1"/>
  <c r="G148" i="35" a="1"/>
  <c r="G148" i="35" s="1"/>
  <c r="H148" i="35" s="1"/>
  <c r="F123" i="35" a="1"/>
  <c r="F123" i="35" s="1"/>
  <c r="F106" i="35" a="1"/>
  <c r="F106" i="35" s="1"/>
  <c r="I106" i="35" s="1"/>
  <c r="G89" i="35" a="1"/>
  <c r="G89" i="35" s="1"/>
  <c r="H89" i="35" s="1"/>
  <c r="G72" i="35" a="1"/>
  <c r="G72" i="35" s="1"/>
  <c r="H72" i="35" s="1"/>
  <c r="F68" i="35" a="1"/>
  <c r="F68" i="35" s="1"/>
  <c r="G55" i="35" a="1"/>
  <c r="G55" i="35" s="1"/>
  <c r="H55" i="35" s="1"/>
  <c r="F47" i="35" a="1"/>
  <c r="F47" i="35" s="1"/>
  <c r="G34" i="35" a="1"/>
  <c r="G34" i="35" s="1"/>
  <c r="H34" i="35" s="1"/>
  <c r="F30" i="35" a="1"/>
  <c r="F30" i="35" s="1"/>
  <c r="G17" i="35" a="1"/>
  <c r="G17" i="35" s="1"/>
  <c r="H17" i="35" s="1"/>
  <c r="F9" i="35" a="1"/>
  <c r="F9" i="35" s="1"/>
  <c r="G629" i="35" a="1"/>
  <c r="G629" i="35" s="1"/>
  <c r="H629" i="35" s="1"/>
  <c r="F614" i="35" a="1"/>
  <c r="F614" i="35" s="1"/>
  <c r="F607" i="35" a="1"/>
  <c r="F607" i="35" s="1"/>
  <c r="G578" i="35" a="1"/>
  <c r="G578" i="35" s="1"/>
  <c r="H578" i="35" s="1"/>
  <c r="G535" i="35" a="1"/>
  <c r="G535" i="35" s="1"/>
  <c r="H535" i="35" s="1"/>
  <c r="F521" i="35" a="1"/>
  <c r="F521" i="35" s="1"/>
  <c r="G461" i="35" a="1"/>
  <c r="G461" i="35" s="1"/>
  <c r="H461" i="35" s="1"/>
  <c r="F455" i="35" a="1"/>
  <c r="F455" i="35" s="1"/>
  <c r="G587" i="35" a="1"/>
  <c r="G587" i="35" s="1"/>
  <c r="H587" i="35" s="1"/>
  <c r="G566" i="35" a="1"/>
  <c r="G566" i="35" s="1"/>
  <c r="H566" i="35" s="1"/>
  <c r="G551" i="35" a="1"/>
  <c r="G551" i="35" s="1"/>
  <c r="H551" i="35" s="1"/>
  <c r="F516" i="35" a="1"/>
  <c r="F516" i="35" s="1"/>
  <c r="F509" i="35" a="1"/>
  <c r="F509" i="35" s="1"/>
  <c r="G496" i="35" a="1"/>
  <c r="G496" i="35" s="1"/>
  <c r="H496" i="35" s="1"/>
  <c r="F476" i="35" a="1"/>
  <c r="F476" i="35" s="1"/>
  <c r="F450" i="35" a="1"/>
  <c r="F450" i="35" s="1"/>
  <c r="F401" i="35" a="1"/>
  <c r="F401" i="35" s="1"/>
  <c r="F395" i="35" a="1"/>
  <c r="F395" i="35" s="1"/>
  <c r="G389" i="35" a="1"/>
  <c r="G389" i="35" s="1"/>
  <c r="H389" i="35" s="1"/>
  <c r="G383" i="35" a="1"/>
  <c r="G383" i="35" s="1"/>
  <c r="H383" i="35" s="1"/>
  <c r="F377" i="35" a="1"/>
  <c r="F377" i="35" s="1"/>
  <c r="G342" i="35" a="1"/>
  <c r="G342" i="35" s="1"/>
  <c r="H342" i="35" s="1"/>
  <c r="F321" i="35" a="1"/>
  <c r="F321" i="35" s="1"/>
  <c r="G306" i="35" a="1"/>
  <c r="G306" i="35" s="1"/>
  <c r="H306" i="35" s="1"/>
  <c r="F297" i="35" a="1"/>
  <c r="F297" i="35" s="1"/>
  <c r="G292" i="35" a="1"/>
  <c r="G292" i="35" s="1"/>
  <c r="H292" i="35" s="1"/>
  <c r="F283" i="35" a="1"/>
  <c r="F283" i="35" s="1"/>
  <c r="G278" i="35" a="1"/>
  <c r="G278" i="35" s="1"/>
  <c r="H278" i="35" s="1"/>
  <c r="G251" i="35" a="1"/>
  <c r="G251" i="35" s="1"/>
  <c r="H251" i="35" s="1"/>
  <c r="G242" i="35" a="1"/>
  <c r="G242" i="35" s="1"/>
  <c r="H242" i="35" s="1"/>
  <c r="F238" i="35" a="1"/>
  <c r="F238" i="35" s="1"/>
  <c r="I238" i="35" s="1"/>
  <c r="G225" i="35" a="1"/>
  <c r="G225" i="35" s="1"/>
  <c r="H225" i="35" s="1"/>
  <c r="F200" i="35" a="1"/>
  <c r="F200" i="35" s="1"/>
  <c r="I200" i="35" s="1"/>
  <c r="F183" i="35" a="1"/>
  <c r="F183" i="35" s="1"/>
  <c r="G166" i="35" a="1"/>
  <c r="G166" i="35" s="1"/>
  <c r="H166" i="35" s="1"/>
  <c r="F610" i="35" a="1"/>
  <c r="F610" i="35" s="1"/>
  <c r="I610" i="35" s="1"/>
  <c r="F601" i="35" a="1"/>
  <c r="F601" i="35" s="1"/>
  <c r="G574" i="35" a="1"/>
  <c r="G574" i="35" s="1"/>
  <c r="H574" i="35" s="1"/>
  <c r="G538" i="35" a="1"/>
  <c r="G538" i="35" s="1"/>
  <c r="H538" i="35" s="1"/>
  <c r="F522" i="35" a="1"/>
  <c r="F522" i="35" s="1"/>
  <c r="G505" i="35" a="1"/>
  <c r="G505" i="35" s="1"/>
  <c r="H505" i="35" s="1"/>
  <c r="G465" i="35" a="1"/>
  <c r="G465" i="35" s="1"/>
  <c r="H465" i="35" s="1"/>
  <c r="G441" i="35" a="1"/>
  <c r="G441" i="35" s="1"/>
  <c r="H441" i="35" s="1"/>
  <c r="G434" i="35" a="1"/>
  <c r="G434" i="35" s="1"/>
  <c r="H434" i="35" s="1"/>
  <c r="G406" i="35" a="1"/>
  <c r="G406" i="35" s="1"/>
  <c r="H406" i="35" s="1"/>
  <c r="G399" i="35" a="1"/>
  <c r="G399" i="35" s="1"/>
  <c r="H399" i="35" s="1"/>
  <c r="G392" i="35" a="1"/>
  <c r="G392" i="35" s="1"/>
  <c r="H392" i="35" s="1"/>
  <c r="F386" i="35" a="1"/>
  <c r="F386" i="35" s="1"/>
  <c r="G379" i="35" a="1"/>
  <c r="G379" i="35" s="1"/>
  <c r="H379" i="35" s="1"/>
  <c r="F359" i="35" a="1"/>
  <c r="F359" i="35" s="1"/>
  <c r="G314" i="35" a="1"/>
  <c r="G314" i="35" s="1"/>
  <c r="H314" i="35" s="1"/>
  <c r="F293" i="35" a="1"/>
  <c r="F293" i="35" s="1"/>
  <c r="F271" i="35" a="1"/>
  <c r="F271" i="35" s="1"/>
  <c r="F266" i="35" a="1"/>
  <c r="F266" i="35" s="1"/>
  <c r="G235" i="35" a="1"/>
  <c r="G235" i="35" s="1"/>
  <c r="H235" i="35" s="1"/>
  <c r="G196" i="35" a="1"/>
  <c r="G196" i="35" s="1"/>
  <c r="H196" i="35" s="1"/>
  <c r="G191" i="35" a="1"/>
  <c r="G191" i="35" s="1"/>
  <c r="H191" i="35" s="1"/>
  <c r="F167" i="35" a="1"/>
  <c r="F167" i="35" s="1"/>
  <c r="G162" i="35" a="1"/>
  <c r="G162" i="35" s="1"/>
  <c r="H162" i="35" s="1"/>
  <c r="G157" i="35" a="1"/>
  <c r="G157" i="35" s="1"/>
  <c r="H157" i="35" s="1"/>
  <c r="G152" i="35" a="1"/>
  <c r="G152" i="35" s="1"/>
  <c r="H152" i="35" s="1"/>
  <c r="F134" i="35" a="1"/>
  <c r="F134" i="35" s="1"/>
  <c r="G129" i="35" a="1"/>
  <c r="G129" i="35" s="1"/>
  <c r="H129" i="35" s="1"/>
  <c r="F111" i="35" a="1"/>
  <c r="F111" i="35" s="1"/>
  <c r="G101" i="35" a="1"/>
  <c r="G101" i="35" s="1"/>
  <c r="H101" i="35" s="1"/>
  <c r="F92" i="35" a="1"/>
  <c r="F92" i="35" s="1"/>
  <c r="G87" i="35" a="1"/>
  <c r="G87" i="35" s="1"/>
  <c r="H87" i="35" s="1"/>
  <c r="G78" i="35" a="1"/>
  <c r="G78" i="35" s="1"/>
  <c r="H78" i="35" s="1"/>
  <c r="F69" i="35" a="1"/>
  <c r="F69" i="35" s="1"/>
  <c r="G51" i="35" a="1"/>
  <c r="G51" i="35" s="1"/>
  <c r="H51" i="35" s="1"/>
  <c r="G42" i="35" a="1"/>
  <c r="G42" i="35" s="1"/>
  <c r="H42" i="35" s="1"/>
  <c r="F38" i="35" a="1"/>
  <c r="F38" i="35" s="1"/>
  <c r="G33" i="35" a="1"/>
  <c r="G33" i="35" s="1"/>
  <c r="H33" i="35" s="1"/>
  <c r="F29" i="35" a="1"/>
  <c r="F29" i="35" s="1"/>
  <c r="G20" i="35" a="1"/>
  <c r="G20" i="35" s="1"/>
  <c r="H20" i="35" s="1"/>
  <c r="F636" i="35" a="1"/>
  <c r="F636" i="35" s="1"/>
  <c r="I636" i="35" s="1"/>
  <c r="G618" i="35" a="1"/>
  <c r="G618" i="35" s="1"/>
  <c r="H618" i="35" s="1"/>
  <c r="F574" i="35" a="1"/>
  <c r="F574" i="35" s="1"/>
  <c r="G564" i="35" a="1"/>
  <c r="G564" i="35" s="1"/>
  <c r="H564" i="35" s="1"/>
  <c r="F556" i="35" a="1"/>
  <c r="F556" i="35" s="1"/>
  <c r="G530" i="35" a="1"/>
  <c r="G530" i="35" s="1"/>
  <c r="H530" i="35" s="1"/>
  <c r="G497" i="35" a="1"/>
  <c r="G497" i="35" s="1"/>
  <c r="H497" i="35" s="1"/>
  <c r="G489" i="35" a="1"/>
  <c r="G489" i="35" s="1"/>
  <c r="H489" i="35" s="1"/>
  <c r="G413" i="35" a="1"/>
  <c r="G413" i="35" s="1"/>
  <c r="H413" i="35" s="1"/>
  <c r="F406" i="35" a="1"/>
  <c r="F406" i="35" s="1"/>
  <c r="G372" i="35" a="1"/>
  <c r="G372" i="35" s="1"/>
  <c r="H372" i="35" s="1"/>
  <c r="G365" i="35" a="1"/>
  <c r="G365" i="35" s="1"/>
  <c r="H365" i="35" s="1"/>
  <c r="G351" i="35" a="1"/>
  <c r="G351" i="35" s="1"/>
  <c r="H351" i="35" s="1"/>
  <c r="F345" i="35" a="1"/>
  <c r="F345" i="35" s="1"/>
  <c r="I345" i="35" s="1"/>
  <c r="G332" i="35" a="1"/>
  <c r="G332" i="35" s="1"/>
  <c r="H332" i="35" s="1"/>
  <c r="G326" i="35" a="1"/>
  <c r="G326" i="35" s="1"/>
  <c r="H326" i="35" s="1"/>
  <c r="G320" i="35" a="1"/>
  <c r="G320" i="35" s="1"/>
  <c r="H320" i="35" s="1"/>
  <c r="F298" i="35" a="1"/>
  <c r="F298" i="35" s="1"/>
  <c r="G287" i="35" a="1"/>
  <c r="G287" i="35" s="1"/>
  <c r="H287" i="35" s="1"/>
  <c r="F250" i="35" a="1"/>
  <c r="F250" i="35" s="1"/>
  <c r="I250" i="35" s="1"/>
  <c r="F245" i="35" a="1"/>
  <c r="F245" i="35" s="1"/>
  <c r="I245" i="35" s="1"/>
  <c r="F240" i="35" a="1"/>
  <c r="F240" i="35" s="1"/>
  <c r="I240" i="35" s="1"/>
  <c r="G230" i="35" a="1"/>
  <c r="G230" i="35" s="1"/>
  <c r="H230" i="35" s="1"/>
  <c r="G215" i="35" a="1"/>
  <c r="G215" i="35" s="1"/>
  <c r="H215" i="35" s="1"/>
  <c r="F201" i="35" a="1"/>
  <c r="F201" i="35" s="1"/>
  <c r="F191" i="35" a="1"/>
  <c r="F191" i="35" s="1"/>
  <c r="I191" i="35" s="1"/>
  <c r="F186" i="35" a="1"/>
  <c r="F186" i="35" s="1"/>
  <c r="G176" i="35" a="1"/>
  <c r="G176" i="35" s="1"/>
  <c r="H176" i="35" s="1"/>
  <c r="F143" i="35" a="1"/>
  <c r="F143" i="35" s="1"/>
  <c r="G138" i="35" a="1"/>
  <c r="G138" i="35" s="1"/>
  <c r="H138" i="35" s="1"/>
  <c r="F129" i="35" a="1"/>
  <c r="F129" i="35" s="1"/>
  <c r="F120" i="35" a="1"/>
  <c r="F120" i="35" s="1"/>
  <c r="G115" i="35" a="1"/>
  <c r="G115" i="35" s="1"/>
  <c r="H115" i="35" s="1"/>
  <c r="G73" i="35" a="1"/>
  <c r="G73" i="35" s="1"/>
  <c r="H73" i="35" s="1"/>
  <c r="G64" i="35" a="1"/>
  <c r="G64" i="35" s="1"/>
  <c r="H64" i="35" s="1"/>
  <c r="F60" i="35" a="1"/>
  <c r="F60" i="35" s="1"/>
  <c r="F51" i="35" a="1"/>
  <c r="F51" i="35" s="1"/>
  <c r="F538" i="35" a="1"/>
  <c r="F538" i="35" s="1"/>
  <c r="G426" i="35" a="1"/>
  <c r="G426" i="35" s="1"/>
  <c r="H426" i="35" s="1"/>
  <c r="F326" i="35" a="1"/>
  <c r="F326" i="35" s="1"/>
  <c r="F314" i="35" a="1"/>
  <c r="F314" i="35" s="1"/>
  <c r="F303" i="35" a="1"/>
  <c r="F303" i="35" s="1"/>
  <c r="G276" i="35" a="1"/>
  <c r="G276" i="35" s="1"/>
  <c r="H276" i="35" s="1"/>
  <c r="F220" i="35" a="1"/>
  <c r="F220" i="35" s="1"/>
  <c r="F181" i="35" a="1"/>
  <c r="F181" i="35" s="1"/>
  <c r="I181" i="35" s="1"/>
  <c r="F152" i="35" a="1"/>
  <c r="F152" i="35" s="1"/>
  <c r="F110" i="35" a="1"/>
  <c r="F110" i="35" s="1"/>
  <c r="I110" i="35" s="1"/>
  <c r="G96" i="35" a="1"/>
  <c r="G96" i="35" s="1"/>
  <c r="H96" i="35" s="1"/>
  <c r="F78" i="35" a="1"/>
  <c r="F78" i="35" s="1"/>
  <c r="I78" i="35" s="1"/>
  <c r="F42" i="35" a="1"/>
  <c r="F42" i="35" s="1"/>
  <c r="F33" i="35" a="1"/>
  <c r="F33" i="35" s="1"/>
  <c r="G15" i="35" a="1"/>
  <c r="G15" i="35" s="1"/>
  <c r="H15" i="35" s="1"/>
  <c r="F599" i="35" a="1"/>
  <c r="F599" i="35" s="1"/>
  <c r="G582" i="35" a="1"/>
  <c r="G582" i="35" s="1"/>
  <c r="H582" i="35" s="1"/>
  <c r="F555" i="35" a="1"/>
  <c r="F555" i="35" s="1"/>
  <c r="G488" i="35" a="1"/>
  <c r="G488" i="35" s="1"/>
  <c r="H488" i="35" s="1"/>
  <c r="G464" i="35" a="1"/>
  <c r="G464" i="35" s="1"/>
  <c r="H464" i="35" s="1"/>
  <c r="F426" i="35" a="1"/>
  <c r="F426" i="35" s="1"/>
  <c r="G405" i="35" a="1"/>
  <c r="G405" i="35" s="1"/>
  <c r="H405" i="35" s="1"/>
  <c r="G357" i="35" a="1"/>
  <c r="G357" i="35" s="1"/>
  <c r="H357" i="35" s="1"/>
  <c r="F618" i="35" a="1"/>
  <c r="F618" i="35" s="1"/>
  <c r="G609" i="35" a="1"/>
  <c r="G609" i="35" s="1"/>
  <c r="H609" i="35" s="1"/>
  <c r="G599" i="35" a="1"/>
  <c r="G599" i="35" s="1"/>
  <c r="H599" i="35" s="1"/>
  <c r="F547" i="35" a="1"/>
  <c r="F547" i="35" s="1"/>
  <c r="G512" i="35" a="1"/>
  <c r="G512" i="35" s="1"/>
  <c r="H512" i="35" s="1"/>
  <c r="G504" i="35" a="1"/>
  <c r="G504" i="35" s="1"/>
  <c r="H504" i="35" s="1"/>
  <c r="F489" i="35" a="1"/>
  <c r="F489" i="35" s="1"/>
  <c r="G457" i="35" a="1"/>
  <c r="G457" i="35" s="1"/>
  <c r="H457" i="35" s="1"/>
  <c r="F441" i="35" a="1"/>
  <c r="F441" i="35" s="1"/>
  <c r="G338" i="35" a="1"/>
  <c r="G338" i="35" s="1"/>
  <c r="H338" i="35" s="1"/>
  <c r="G308" i="35" a="1"/>
  <c r="G308" i="35" s="1"/>
  <c r="H308" i="35" s="1"/>
  <c r="G281" i="35" a="1"/>
  <c r="G281" i="35" s="1"/>
  <c r="H281" i="35" s="1"/>
  <c r="G255" i="35" a="1"/>
  <c r="G255" i="35" s="1"/>
  <c r="H255" i="35" s="1"/>
  <c r="G210" i="35" a="1"/>
  <c r="G210" i="35" s="1"/>
  <c r="H210" i="35" s="1"/>
  <c r="F196" i="35" a="1"/>
  <c r="F196" i="35" s="1"/>
  <c r="G171" i="35" a="1"/>
  <c r="G171" i="35" s="1"/>
  <c r="H171" i="35" s="1"/>
  <c r="G147" i="35" a="1"/>
  <c r="G147" i="35" s="1"/>
  <c r="H147" i="35" s="1"/>
  <c r="G124" i="35" a="1"/>
  <c r="G124" i="35" s="1"/>
  <c r="H124" i="35" s="1"/>
  <c r="F101" i="35" a="1"/>
  <c r="F101" i="35" s="1"/>
  <c r="F87" i="35" a="1"/>
  <c r="F87" i="35" s="1"/>
  <c r="I87" i="35" s="1"/>
  <c r="G46" i="35" a="1"/>
  <c r="G46" i="35" s="1"/>
  <c r="H46" i="35" s="1"/>
  <c r="G37" i="35" a="1"/>
  <c r="G37" i="35" s="1"/>
  <c r="H37" i="35" s="1"/>
  <c r="G24" i="35" a="1"/>
  <c r="G24" i="35" s="1"/>
  <c r="H24" i="35" s="1"/>
  <c r="F11" i="35" a="1"/>
  <c r="F11" i="35" s="1"/>
  <c r="F626" i="35" a="1"/>
  <c r="F626" i="35" s="1"/>
  <c r="F564" i="35" a="1"/>
  <c r="F564" i="35" s="1"/>
  <c r="F497" i="35" a="1"/>
  <c r="F497" i="35" s="1"/>
  <c r="G472" i="35" a="1"/>
  <c r="G472" i="35" s="1"/>
  <c r="H472" i="35" s="1"/>
  <c r="F448" i="35" a="1"/>
  <c r="F448" i="35" s="1"/>
  <c r="I448" i="35" s="1"/>
  <c r="G419" i="35" a="1"/>
  <c r="G419" i="35" s="1"/>
  <c r="H419" i="35" s="1"/>
  <c r="G385" i="35" a="1"/>
  <c r="G385" i="35" s="1"/>
  <c r="H385" i="35" s="1"/>
  <c r="F351" i="35" a="1"/>
  <c r="F351" i="35" s="1"/>
  <c r="G588" i="35" a="1"/>
  <c r="G588" i="35" s="1"/>
  <c r="H588" i="35" s="1"/>
  <c r="F553" i="35" a="1"/>
  <c r="F553" i="35" s="1"/>
  <c r="F536" i="35" a="1"/>
  <c r="F536" i="35" s="1"/>
  <c r="G502" i="35" a="1"/>
  <c r="G502" i="35" s="1"/>
  <c r="H502" i="35" s="1"/>
  <c r="G478" i="35" a="1"/>
  <c r="G478" i="35" s="1"/>
  <c r="H478" i="35" s="1"/>
  <c r="F470" i="35" a="1"/>
  <c r="F470" i="35" s="1"/>
  <c r="F446" i="35" a="1"/>
  <c r="F446" i="35" s="1"/>
  <c r="F397" i="35" a="1"/>
  <c r="F397" i="35" s="1"/>
  <c r="G329" i="35" a="1"/>
  <c r="G329" i="35" s="1"/>
  <c r="H329" i="35" s="1"/>
  <c r="F318" i="35" a="1"/>
  <c r="F318" i="35" s="1"/>
  <c r="G312" i="35" a="1"/>
  <c r="G312" i="35" s="1"/>
  <c r="H312" i="35" s="1"/>
  <c r="G301" i="35" a="1"/>
  <c r="G301" i="35" s="1"/>
  <c r="H301" i="35" s="1"/>
  <c r="G269" i="35" a="1"/>
  <c r="G269" i="35" s="1"/>
  <c r="H269" i="35" s="1"/>
  <c r="F264" i="35" a="1"/>
  <c r="F264" i="35" s="1"/>
  <c r="F576" i="35" a="1"/>
  <c r="F576" i="35" s="1"/>
  <c r="G567" i="35" a="1"/>
  <c r="G567" i="35" s="1"/>
  <c r="H567" i="35" s="1"/>
  <c r="G558" i="35" a="1"/>
  <c r="G558" i="35" s="1"/>
  <c r="H558" i="35" s="1"/>
  <c r="G506" i="35" a="1"/>
  <c r="G506" i="35" s="1"/>
  <c r="H506" i="35" s="1"/>
  <c r="G498" i="35" a="1"/>
  <c r="G498" i="35" s="1"/>
  <c r="H498" i="35" s="1"/>
  <c r="G491" i="35" a="1"/>
  <c r="G491" i="35" s="1"/>
  <c r="H491" i="35" s="1"/>
  <c r="G483" i="35" a="1"/>
  <c r="G483" i="35" s="1"/>
  <c r="H483" i="35" s="1"/>
  <c r="G474" i="35" a="1"/>
  <c r="G474" i="35" s="1"/>
  <c r="H474" i="35" s="1"/>
  <c r="G435" i="35" a="1"/>
  <c r="G435" i="35" s="1"/>
  <c r="H435" i="35" s="1"/>
  <c r="G414" i="35" a="1"/>
  <c r="G414" i="35" s="1"/>
  <c r="H414" i="35" s="1"/>
  <c r="G401" i="35" a="1"/>
  <c r="G401" i="35" s="1"/>
  <c r="H401" i="35" s="1"/>
  <c r="G394" i="35" a="1"/>
  <c r="G394" i="35" s="1"/>
  <c r="H394" i="35" s="1"/>
  <c r="G373" i="35" a="1"/>
  <c r="G373" i="35" s="1"/>
  <c r="H373" i="35" s="1"/>
  <c r="F367" i="35" a="1"/>
  <c r="F367" i="35" s="1"/>
  <c r="G360" i="35" a="1"/>
  <c r="G360" i="35" s="1"/>
  <c r="H360" i="35" s="1"/>
  <c r="G346" i="35" a="1"/>
  <c r="G346" i="35" s="1"/>
  <c r="H346" i="35" s="1"/>
  <c r="F340" i="35" a="1"/>
  <c r="F340" i="35" s="1"/>
  <c r="I340" i="35" s="1"/>
  <c r="G333" i="35" a="1"/>
  <c r="G333" i="35" s="1"/>
  <c r="H333" i="35" s="1"/>
  <c r="G327" i="35" a="1"/>
  <c r="G327" i="35" s="1"/>
  <c r="H327" i="35" s="1"/>
  <c r="G304" i="35" a="1"/>
  <c r="G304" i="35" s="1"/>
  <c r="H304" i="35" s="1"/>
  <c r="F299" i="35" a="1"/>
  <c r="F299" i="35" s="1"/>
  <c r="G283" i="35" a="1"/>
  <c r="G283" i="35" s="1"/>
  <c r="H283" i="35" s="1"/>
  <c r="G272" i="35" a="1"/>
  <c r="G272" i="35" s="1"/>
  <c r="H272" i="35" s="1"/>
  <c r="G246" i="35" a="1"/>
  <c r="G246" i="35" s="1"/>
  <c r="H246" i="35" s="1"/>
  <c r="F241" i="35" a="1"/>
  <c r="F241" i="35" s="1"/>
  <c r="I241" i="35" s="1"/>
  <c r="G231" i="35" a="1"/>
  <c r="G231" i="35" s="1"/>
  <c r="H231" i="35" s="1"/>
  <c r="G192" i="35" a="1"/>
  <c r="G192" i="35" s="1"/>
  <c r="H192" i="35" s="1"/>
  <c r="G177" i="35" a="1"/>
  <c r="G177" i="35" s="1"/>
  <c r="H177" i="35" s="1"/>
  <c r="F163" i="35" a="1"/>
  <c r="F163" i="35" s="1"/>
  <c r="I163" i="35" s="1"/>
  <c r="F158" i="35" a="1"/>
  <c r="F158" i="35" s="1"/>
  <c r="F144" i="35" a="1"/>
  <c r="F144" i="35" s="1"/>
  <c r="G139" i="35" a="1"/>
  <c r="G139" i="35" s="1"/>
  <c r="H139" i="35" s="1"/>
  <c r="G125" i="35" a="1"/>
  <c r="G125" i="35" s="1"/>
  <c r="H125" i="35" s="1"/>
  <c r="G116" i="35" a="1"/>
  <c r="G116" i="35" s="1"/>
  <c r="H116" i="35" s="1"/>
  <c r="F107" i="35" a="1"/>
  <c r="F107" i="35" s="1"/>
  <c r="G102" i="35" a="1"/>
  <c r="G102" i="35" s="1"/>
  <c r="H102" i="35" s="1"/>
  <c r="F79" i="35" a="1"/>
  <c r="F79" i="35" s="1"/>
  <c r="G65" i="35" a="1"/>
  <c r="G65" i="35" s="1"/>
  <c r="H65" i="35" s="1"/>
  <c r="F61" i="35" a="1"/>
  <c r="F61" i="35" s="1"/>
  <c r="F612" i="35" a="1"/>
  <c r="F612" i="35" s="1"/>
  <c r="I612" i="35" s="1"/>
  <c r="F598" i="35" a="1"/>
  <c r="F598" i="35" s="1"/>
  <c r="G562" i="35" a="1"/>
  <c r="G562" i="35" s="1"/>
  <c r="H562" i="35" s="1"/>
  <c r="F526" i="35" a="1"/>
  <c r="F526" i="35" s="1"/>
  <c r="G503" i="35" a="1"/>
  <c r="G503" i="35" s="1"/>
  <c r="H503" i="35" s="1"/>
  <c r="G492" i="35" a="1"/>
  <c r="G492" i="35" s="1"/>
  <c r="H492" i="35" s="1"/>
  <c r="G470" i="35" a="1"/>
  <c r="G470" i="35" s="1"/>
  <c r="H470" i="35" s="1"/>
  <c r="F460" i="35" a="1"/>
  <c r="F460" i="35" s="1"/>
  <c r="I460" i="35" s="1"/>
  <c r="F429" i="35" a="1"/>
  <c r="F429" i="35" s="1"/>
  <c r="I429" i="35" s="1"/>
  <c r="G418" i="35" a="1"/>
  <c r="G418" i="35" s="1"/>
  <c r="H418" i="35" s="1"/>
  <c r="F381" i="35" a="1"/>
  <c r="F381" i="35" s="1"/>
  <c r="F371" i="35" a="1"/>
  <c r="F371" i="35" s="1"/>
  <c r="G353" i="35" a="1"/>
  <c r="G353" i="35" s="1"/>
  <c r="H353" i="35" s="1"/>
  <c r="F344" i="35" a="1"/>
  <c r="F344" i="35" s="1"/>
  <c r="F335" i="35" a="1"/>
  <c r="F335" i="35" s="1"/>
  <c r="F328" i="35" a="1"/>
  <c r="F328" i="35" s="1"/>
  <c r="I328" i="35" s="1"/>
  <c r="F319" i="35" a="1"/>
  <c r="F319" i="35" s="1"/>
  <c r="I319" i="35" s="1"/>
  <c r="F291" i="35" a="1"/>
  <c r="F291" i="35" s="1"/>
  <c r="F257" i="35" a="1"/>
  <c r="F257" i="35" s="1"/>
  <c r="F232" i="35" a="1"/>
  <c r="F232" i="35" s="1"/>
  <c r="G219" i="35" a="1"/>
  <c r="G219" i="35" s="1"/>
  <c r="H219" i="35" s="1"/>
  <c r="F208" i="35" a="1"/>
  <c r="F208" i="35" s="1"/>
  <c r="F202" i="35" a="1"/>
  <c r="F202" i="35" s="1"/>
  <c r="F184" i="35" a="1"/>
  <c r="F184" i="35" s="1"/>
  <c r="G178" i="35" a="1"/>
  <c r="G178" i="35" s="1"/>
  <c r="H178" i="35" s="1"/>
  <c r="F114" i="35" a="1"/>
  <c r="F114" i="35" s="1"/>
  <c r="G103" i="35" a="1"/>
  <c r="G103" i="35" s="1"/>
  <c r="H103" i="35" s="1"/>
  <c r="F98" i="35" a="1"/>
  <c r="F98" i="35" s="1"/>
  <c r="G80" i="35" a="1"/>
  <c r="G80" i="35" s="1"/>
  <c r="H80" i="35" s="1"/>
  <c r="F75" i="35" a="1"/>
  <c r="F75" i="35" s="1"/>
  <c r="I75" i="35" s="1"/>
  <c r="G69" i="35" a="1"/>
  <c r="G69" i="35" s="1"/>
  <c r="H69" i="35" s="1"/>
  <c r="G53" i="35" a="1"/>
  <c r="G53" i="35" s="1"/>
  <c r="H53" i="35" s="1"/>
  <c r="G43" i="35" a="1"/>
  <c r="G43" i="35" s="1"/>
  <c r="H43" i="35" s="1"/>
  <c r="F623" i="35" a="1"/>
  <c r="F623" i="35" s="1"/>
  <c r="G561" i="35" a="1"/>
  <c r="G561" i="35" s="1"/>
  <c r="H561" i="35" s="1"/>
  <c r="F551" i="35" a="1"/>
  <c r="F551" i="35" s="1"/>
  <c r="G537" i="35" a="1"/>
  <c r="G537" i="35" s="1"/>
  <c r="H537" i="35" s="1"/>
  <c r="G514" i="35" a="1"/>
  <c r="G514" i="35" s="1"/>
  <c r="H514" i="35" s="1"/>
  <c r="F492" i="35" a="1"/>
  <c r="F492" i="35" s="1"/>
  <c r="I492" i="35" s="1"/>
  <c r="G459" i="35" a="1"/>
  <c r="G459" i="35" s="1"/>
  <c r="H459" i="35" s="1"/>
  <c r="G438" i="35" a="1"/>
  <c r="G438" i="35" s="1"/>
  <c r="H438" i="35" s="1"/>
  <c r="F409" i="35" a="1"/>
  <c r="F409" i="35" s="1"/>
  <c r="F390" i="35" a="1"/>
  <c r="F390" i="35" s="1"/>
  <c r="F353" i="35" a="1"/>
  <c r="F353" i="35" s="1"/>
  <c r="F327" i="35" a="1"/>
  <c r="F327" i="35" s="1"/>
  <c r="G290" i="35" a="1"/>
  <c r="G290" i="35" s="1"/>
  <c r="H290" i="35" s="1"/>
  <c r="G284" i="35" a="1"/>
  <c r="G284" i="35" s="1"/>
  <c r="H284" i="35" s="1"/>
  <c r="F277" i="35" a="1"/>
  <c r="F277" i="35" s="1"/>
  <c r="F270" i="35" a="1"/>
  <c r="F270" i="35" s="1"/>
  <c r="F226" i="35" a="1"/>
  <c r="F226" i="35" s="1"/>
  <c r="G142" i="35" a="1"/>
  <c r="G142" i="35" s="1"/>
  <c r="H142" i="35" s="1"/>
  <c r="F137" i="35" a="1"/>
  <c r="F137" i="35" s="1"/>
  <c r="I137" i="35" s="1"/>
  <c r="G120" i="35" a="1"/>
  <c r="G120" i="35" s="1"/>
  <c r="H120" i="35" s="1"/>
  <c r="G97" i="35" a="1"/>
  <c r="G97" i="35" s="1"/>
  <c r="H97" i="35" s="1"/>
  <c r="F86" i="35" a="1"/>
  <c r="F86" i="35" s="1"/>
  <c r="I86" i="35" s="1"/>
  <c r="G63" i="35" a="1"/>
  <c r="G63" i="35" s="1"/>
  <c r="H63" i="35" s="1"/>
  <c r="F58" i="35" a="1"/>
  <c r="F58" i="35" s="1"/>
  <c r="F48" i="35" a="1"/>
  <c r="F48" i="35" s="1"/>
  <c r="I48" i="35" s="1"/>
  <c r="G32" i="35" a="1"/>
  <c r="G32" i="35" s="1"/>
  <c r="H32" i="35" s="1"/>
  <c r="G27" i="35" a="1"/>
  <c r="G27" i="35" s="1"/>
  <c r="H27" i="35" s="1"/>
  <c r="G22" i="35" a="1"/>
  <c r="G22" i="35" s="1"/>
  <c r="H22" i="35" s="1"/>
  <c r="G7" i="35" a="1"/>
  <c r="G7" i="35" s="1"/>
  <c r="H7" i="35" s="1"/>
  <c r="G631" i="35" a="1"/>
  <c r="G631" i="35" s="1"/>
  <c r="H631" i="35" s="1"/>
  <c r="G594" i="35" a="1"/>
  <c r="G594" i="35" s="1"/>
  <c r="H594" i="35" s="1"/>
  <c r="G545" i="35" a="1"/>
  <c r="G545" i="35" s="1"/>
  <c r="H545" i="35" s="1"/>
  <c r="F445" i="35" a="1"/>
  <c r="F445" i="35" s="1"/>
  <c r="F415" i="35" a="1"/>
  <c r="F415" i="35" s="1"/>
  <c r="G349" i="35" a="1"/>
  <c r="G349" i="35" s="1"/>
  <c r="H349" i="35" s="1"/>
  <c r="F332" i="35" a="1"/>
  <c r="F332" i="35" s="1"/>
  <c r="F317" i="35" a="1"/>
  <c r="F317" i="35" s="1"/>
  <c r="G302" i="35" a="1"/>
  <c r="G302" i="35" s="1"/>
  <c r="H302" i="35" s="1"/>
  <c r="F281" i="35" a="1"/>
  <c r="F281" i="35" s="1"/>
  <c r="G274" i="35" a="1"/>
  <c r="G274" i="35" s="1"/>
  <c r="H274" i="35" s="1"/>
  <c r="G267" i="35" a="1"/>
  <c r="G267" i="35" s="1"/>
  <c r="H267" i="35" s="1"/>
  <c r="F261" i="35" a="1"/>
  <c r="F261" i="35" s="1"/>
  <c r="I261" i="35" s="1"/>
  <c r="F254" i="35" a="1"/>
  <c r="F254" i="35" s="1"/>
  <c r="I254" i="35" s="1"/>
  <c r="G211" i="35" a="1"/>
  <c r="G211" i="35" s="1"/>
  <c r="H211" i="35" s="1"/>
  <c r="F188" i="35" a="1"/>
  <c r="F188" i="35" s="1"/>
  <c r="I188" i="35" s="1"/>
  <c r="G175" i="35" a="1"/>
  <c r="G175" i="35" s="1"/>
  <c r="H175" i="35" s="1"/>
  <c r="F135" i="35" a="1"/>
  <c r="F135" i="35" s="1"/>
  <c r="F95" i="35" a="1"/>
  <c r="F95" i="35" s="1"/>
  <c r="F84" i="35" a="1"/>
  <c r="F84" i="35" s="1"/>
  <c r="I84" i="35" s="1"/>
  <c r="F72" i="35" a="1"/>
  <c r="F72" i="35" s="1"/>
  <c r="F67" i="35" a="1"/>
  <c r="F67" i="35" s="1"/>
  <c r="F15" i="35" a="1"/>
  <c r="F15" i="35" s="1"/>
  <c r="F594" i="35" a="1"/>
  <c r="F594" i="35" s="1"/>
  <c r="I594" i="35" s="1"/>
  <c r="G557" i="35" a="1"/>
  <c r="G557" i="35" s="1"/>
  <c r="H557" i="35" s="1"/>
  <c r="G532" i="35" a="1"/>
  <c r="G532" i="35" s="1"/>
  <c r="H532" i="35" s="1"/>
  <c r="G509" i="35" a="1"/>
  <c r="G509" i="35" s="1"/>
  <c r="H509" i="35" s="1"/>
  <c r="G477" i="35" a="1"/>
  <c r="G477" i="35" s="1"/>
  <c r="H477" i="35" s="1"/>
  <c r="F466" i="35" a="1"/>
  <c r="F466" i="35" s="1"/>
  <c r="G454" i="35" a="1"/>
  <c r="G454" i="35" s="1"/>
  <c r="H454" i="35" s="1"/>
  <c r="G433" i="35" a="1"/>
  <c r="G433" i="35" s="1"/>
  <c r="H433" i="35" s="1"/>
  <c r="F424" i="35" a="1"/>
  <c r="F424" i="35" s="1"/>
  <c r="G386" i="35" a="1"/>
  <c r="G386" i="35" s="1"/>
  <c r="H386" i="35" s="1"/>
  <c r="F309" i="35" a="1"/>
  <c r="F309" i="35" s="1"/>
  <c r="I309" i="35" s="1"/>
  <c r="F302" i="35" a="1"/>
  <c r="F302" i="35" s="1"/>
  <c r="I302" i="35" s="1"/>
  <c r="G260" i="35" a="1"/>
  <c r="G260" i="35" s="1"/>
  <c r="H260" i="35" s="1"/>
  <c r="F229" i="35" a="1"/>
  <c r="F229" i="35" s="1"/>
  <c r="F223" i="35" a="1"/>
  <c r="F223" i="35" s="1"/>
  <c r="I223" i="35" s="1"/>
  <c r="F205" i="35" a="1"/>
  <c r="F205" i="35" s="1"/>
  <c r="G193" i="35" a="1"/>
  <c r="G193" i="35" s="1"/>
  <c r="H193" i="35" s="1"/>
  <c r="F169" i="35" a="1"/>
  <c r="F169" i="35" s="1"/>
  <c r="F146" i="35" a="1"/>
  <c r="F146" i="35" s="1"/>
  <c r="I146" i="35" s="1"/>
  <c r="G123" i="35" a="1"/>
  <c r="G123" i="35" s="1"/>
  <c r="H123" i="35" s="1"/>
  <c r="G112" i="35" a="1"/>
  <c r="G112" i="35" s="1"/>
  <c r="H112" i="35" s="1"/>
  <c r="G100" i="35" a="1"/>
  <c r="G100" i="35" s="1"/>
  <c r="H100" i="35" s="1"/>
  <c r="G56" i="35" a="1"/>
  <c r="G56" i="35" s="1"/>
  <c r="H56" i="35" s="1"/>
  <c r="G25" i="35" a="1"/>
  <c r="G25" i="35" s="1"/>
  <c r="H25" i="35" s="1"/>
  <c r="F10" i="35" a="1"/>
  <c r="F10" i="35" s="1"/>
  <c r="G630" i="35" a="1"/>
  <c r="G630" i="35" s="1"/>
  <c r="H630" i="35" s="1"/>
  <c r="G617" i="35" a="1"/>
  <c r="G617" i="35" s="1"/>
  <c r="H617" i="35" s="1"/>
  <c r="G581" i="35" a="1"/>
  <c r="G581" i="35" s="1"/>
  <c r="H581" i="35" s="1"/>
  <c r="G568" i="35" a="1"/>
  <c r="G568" i="35" s="1"/>
  <c r="H568" i="35" s="1"/>
  <c r="F519" i="35" a="1"/>
  <c r="F519" i="35" s="1"/>
  <c r="F477" i="35" a="1"/>
  <c r="F477" i="35" s="1"/>
  <c r="I477" i="35" s="1"/>
  <c r="G453" i="35" a="1"/>
  <c r="G453" i="35" s="1"/>
  <c r="H453" i="35" s="1"/>
  <c r="F433" i="35" a="1"/>
  <c r="F433" i="35" s="1"/>
  <c r="I433" i="35" s="1"/>
  <c r="G423" i="35" a="1"/>
  <c r="G423" i="35" s="1"/>
  <c r="H423" i="35" s="1"/>
  <c r="G395" i="35" a="1"/>
  <c r="G395" i="35" s="1"/>
  <c r="H395" i="35" s="1"/>
  <c r="G367" i="35" a="1"/>
  <c r="G367" i="35" s="1"/>
  <c r="H367" i="35" s="1"/>
  <c r="F357" i="35" a="1"/>
  <c r="F357" i="35" s="1"/>
  <c r="F331" i="35" a="1"/>
  <c r="F331" i="35" s="1"/>
  <c r="I331" i="35" s="1"/>
  <c r="G323" i="35" a="1"/>
  <c r="G323" i="35" s="1"/>
  <c r="H323" i="35" s="1"/>
  <c r="F316" i="35" a="1"/>
  <c r="F316" i="35" s="1"/>
  <c r="F274" i="35" a="1"/>
  <c r="F274" i="35" s="1"/>
  <c r="F260" i="35" a="1"/>
  <c r="F260" i="35" s="1"/>
  <c r="G217" i="35" a="1"/>
  <c r="G217" i="35" s="1"/>
  <c r="H217" i="35" s="1"/>
  <c r="F211" i="35" a="1"/>
  <c r="F211" i="35" s="1"/>
  <c r="F187" i="35" a="1"/>
  <c r="F187" i="35" s="1"/>
  <c r="F175" i="35" a="1"/>
  <c r="F175" i="35" s="1"/>
  <c r="G163" i="35" a="1"/>
  <c r="G163" i="35" s="1"/>
  <c r="H163" i="35" s="1"/>
  <c r="G151" i="35" a="1"/>
  <c r="G151" i="35" s="1"/>
  <c r="H151" i="35" s="1"/>
  <c r="G117" i="35" a="1"/>
  <c r="G117" i="35" s="1"/>
  <c r="H117" i="35" s="1"/>
  <c r="F112" i="35" a="1"/>
  <c r="F112" i="35" s="1"/>
  <c r="G106" i="35" a="1"/>
  <c r="G106" i="35" s="1"/>
  <c r="H106" i="35" s="1"/>
  <c r="F89" i="35" a="1"/>
  <c r="F89" i="35" s="1"/>
  <c r="G83" i="35" a="1"/>
  <c r="G83" i="35" s="1"/>
  <c r="H83" i="35" s="1"/>
  <c r="G77" i="35" a="1"/>
  <c r="G77" i="35" s="1"/>
  <c r="H77" i="35" s="1"/>
  <c r="G61" i="35" a="1"/>
  <c r="G61" i="35" s="1"/>
  <c r="H61" i="35" s="1"/>
  <c r="G50" i="35" a="1"/>
  <c r="G50" i="35" s="1"/>
  <c r="H50" i="35" s="1"/>
  <c r="G40" i="35" a="1"/>
  <c r="G40" i="35" s="1"/>
  <c r="H40" i="35" s="1"/>
  <c r="G604" i="35" a="1"/>
  <c r="G604" i="35" s="1"/>
  <c r="H604" i="35" s="1"/>
  <c r="G592" i="35" a="1"/>
  <c r="G592" i="35" s="1"/>
  <c r="H592" i="35" s="1"/>
  <c r="G543" i="35" a="1"/>
  <c r="G543" i="35" s="1"/>
  <c r="H543" i="35" s="1"/>
  <c r="F532" i="35" a="1"/>
  <c r="F532" i="35" s="1"/>
  <c r="I532" i="35" s="1"/>
  <c r="F498" i="35" a="1"/>
  <c r="F498" i="35" s="1"/>
  <c r="F464" i="35" a="1"/>
  <c r="F464" i="35" s="1"/>
  <c r="F444" i="35" a="1"/>
  <c r="F444" i="35" s="1"/>
  <c r="F414" i="35" a="1"/>
  <c r="F414" i="35" s="1"/>
  <c r="G348" i="35" a="1"/>
  <c r="G348" i="35" s="1"/>
  <c r="H348" i="35" s="1"/>
  <c r="F323" i="35" a="1"/>
  <c r="F323" i="35" s="1"/>
  <c r="F308" i="35" a="1"/>
  <c r="F308" i="35" s="1"/>
  <c r="F613" i="35" a="1"/>
  <c r="F613" i="35" s="1"/>
  <c r="F602" i="35" a="1"/>
  <c r="F602" i="35" s="1"/>
  <c r="I602" i="35" s="1"/>
  <c r="G563" i="35" a="1"/>
  <c r="G563" i="35" s="1"/>
  <c r="H563" i="35" s="1"/>
  <c r="F541" i="35" a="1"/>
  <c r="F541" i="35" s="1"/>
  <c r="F527" i="35" a="1"/>
  <c r="F527" i="35" s="1"/>
  <c r="F506" i="35" a="1"/>
  <c r="F506" i="35" s="1"/>
  <c r="F494" i="35" a="1"/>
  <c r="F494" i="35" s="1"/>
  <c r="G410" i="35" a="1"/>
  <c r="G410" i="35" s="1"/>
  <c r="H410" i="35" s="1"/>
  <c r="G391" i="35" a="1"/>
  <c r="G391" i="35" s="1"/>
  <c r="H391" i="35" s="1"/>
  <c r="G382" i="35" a="1"/>
  <c r="G382" i="35" s="1"/>
  <c r="H382" i="35" s="1"/>
  <c r="F355" i="35" a="1"/>
  <c r="F355" i="35" s="1"/>
  <c r="I355" i="35" s="1"/>
  <c r="F337" i="35" a="1"/>
  <c r="F337" i="35" s="1"/>
  <c r="G285" i="35" a="1"/>
  <c r="G285" i="35" s="1"/>
  <c r="H285" i="35" s="1"/>
  <c r="F258" i="35" a="1"/>
  <c r="F258" i="35" s="1"/>
  <c r="F227" i="35" a="1"/>
  <c r="F227" i="35" s="1"/>
  <c r="I227" i="35" s="1"/>
  <c r="G221" i="35" a="1"/>
  <c r="G221" i="35" s="1"/>
  <c r="H221" i="35" s="1"/>
  <c r="F209" i="35" a="1"/>
  <c r="F209" i="35" s="1"/>
  <c r="I209" i="35" s="1"/>
  <c r="F203" i="35" a="1"/>
  <c r="F203" i="35" s="1"/>
  <c r="I203" i="35" s="1"/>
  <c r="G197" i="35" a="1"/>
  <c r="G197" i="35" s="1"/>
  <c r="H197" i="35" s="1"/>
  <c r="G190" i="35" a="1"/>
  <c r="G190" i="35" s="1"/>
  <c r="H190" i="35" s="1"/>
  <c r="F173" i="35" a="1"/>
  <c r="F173" i="35" s="1"/>
  <c r="G167" i="35" a="1"/>
  <c r="G167" i="35" s="1"/>
  <c r="H167" i="35" s="1"/>
  <c r="G155" i="35" a="1"/>
  <c r="G155" i="35" s="1"/>
  <c r="H155" i="35" s="1"/>
  <c r="F138" i="35" a="1"/>
  <c r="F138" i="35" s="1"/>
  <c r="G121" i="35" a="1"/>
  <c r="G121" i="35" s="1"/>
  <c r="H121" i="35" s="1"/>
  <c r="G70" i="35" a="1"/>
  <c r="G70" i="35" s="1"/>
  <c r="H70" i="35" s="1"/>
  <c r="F65" i="35" a="1"/>
  <c r="F65" i="35" s="1"/>
  <c r="F59" i="35" a="1"/>
  <c r="F59" i="35" s="1"/>
  <c r="F54" i="35" a="1"/>
  <c r="F54" i="35" s="1"/>
  <c r="F49" i="35" a="1"/>
  <c r="F49" i="35" s="1"/>
  <c r="I49" i="35" s="1"/>
  <c r="F44" i="35" a="1"/>
  <c r="F44" i="35" s="1"/>
  <c r="I44" i="35" s="1"/>
  <c r="F39" i="35" a="1"/>
  <c r="F39" i="35" s="1"/>
  <c r="I39" i="35" s="1"/>
  <c r="F34" i="35" a="1"/>
  <c r="F34" i="35" s="1"/>
  <c r="G28" i="35" a="1"/>
  <c r="G28" i="35" s="1"/>
  <c r="H28" i="35" s="1"/>
  <c r="G23" i="35" a="1"/>
  <c r="G23" i="35" s="1"/>
  <c r="H23" i="35" s="1"/>
  <c r="G13" i="35" a="1"/>
  <c r="G13" i="35" s="1"/>
  <c r="H13" i="35" s="1"/>
  <c r="G8" i="35" a="1"/>
  <c r="G8" i="35" s="1"/>
  <c r="H8" i="35" s="1"/>
  <c r="F625" i="35" a="1"/>
  <c r="F625" i="35" s="1"/>
  <c r="G576" i="35" a="1"/>
  <c r="G576" i="35" s="1"/>
  <c r="H576" i="35" s="1"/>
  <c r="F563" i="35" a="1"/>
  <c r="F563" i="35" s="1"/>
  <c r="I563" i="35" s="1"/>
  <c r="F552" i="35" a="1"/>
  <c r="F552" i="35" s="1"/>
  <c r="G539" i="35" a="1"/>
  <c r="G539" i="35" s="1"/>
  <c r="H539" i="35" s="1"/>
  <c r="F517" i="35" a="1"/>
  <c r="F517" i="35" s="1"/>
  <c r="F472" i="35" a="1"/>
  <c r="F472" i="35" s="1"/>
  <c r="F430" i="35" a="1"/>
  <c r="F430" i="35" s="1"/>
  <c r="F410" i="35" a="1"/>
  <c r="F410" i="35" s="1"/>
  <c r="F382" i="35" a="1"/>
  <c r="F382" i="35" s="1"/>
  <c r="F373" i="35" a="1"/>
  <c r="F373" i="35" s="1"/>
  <c r="F363" i="35" a="1"/>
  <c r="F363" i="35" s="1"/>
  <c r="G345" i="35" a="1"/>
  <c r="G345" i="35" s="1"/>
  <c r="H345" i="35" s="1"/>
  <c r="G321" i="35" a="1"/>
  <c r="G321" i="35" s="1"/>
  <c r="H321" i="35" s="1"/>
  <c r="F313" i="35" a="1"/>
  <c r="F313" i="35" s="1"/>
  <c r="G299" i="35" a="1"/>
  <c r="G299" i="35" s="1"/>
  <c r="H299" i="35" s="1"/>
  <c r="F292" i="35" a="1"/>
  <c r="F292" i="35" s="1"/>
  <c r="I292" i="35" s="1"/>
  <c r="F285" i="35" a="1"/>
  <c r="F285" i="35" s="1"/>
  <c r="G264" i="35" a="1"/>
  <c r="G264" i="35" s="1"/>
  <c r="H264" i="35" s="1"/>
  <c r="G244" i="35" a="1"/>
  <c r="G244" i="35" s="1"/>
  <c r="H244" i="35" s="1"/>
  <c r="F221" i="35" a="1"/>
  <c r="F221" i="35" s="1"/>
  <c r="F197" i="35" a="1"/>
  <c r="F197" i="35" s="1"/>
  <c r="I197" i="35" s="1"/>
  <c r="F179" i="35" a="1"/>
  <c r="F179" i="35" s="1"/>
  <c r="I179" i="35" s="1"/>
  <c r="G160" i="35" a="1"/>
  <c r="G160" i="35" s="1"/>
  <c r="H160" i="35" s="1"/>
  <c r="G132" i="35" a="1"/>
  <c r="G132" i="35" s="1"/>
  <c r="H132" i="35" s="1"/>
  <c r="G109" i="35" a="1"/>
  <c r="G109" i="35" s="1"/>
  <c r="H109" i="35" s="1"/>
  <c r="F104" i="35" a="1"/>
  <c r="F104" i="35" s="1"/>
  <c r="F18" i="35" a="1"/>
  <c r="F18" i="35" s="1"/>
  <c r="F13" i="35" a="1"/>
  <c r="F13" i="35" s="1"/>
  <c r="F8" i="35" a="1"/>
  <c r="F8" i="35" s="1"/>
  <c r="G48" i="35" a="1"/>
  <c r="G48" i="35" s="1"/>
  <c r="H48" i="35" s="1"/>
  <c r="F56" i="35" a="1"/>
  <c r="F56" i="35" s="1"/>
  <c r="F63" i="35" a="1"/>
  <c r="F63" i="35" s="1"/>
  <c r="G71" i="35" a="1"/>
  <c r="G71" i="35" s="1"/>
  <c r="H71" i="35" s="1"/>
  <c r="G88" i="35" a="1"/>
  <c r="G88" i="35" s="1"/>
  <c r="H88" i="35" s="1"/>
  <c r="F96" i="35" a="1"/>
  <c r="F96" i="35" s="1"/>
  <c r="G130" i="35" a="1"/>
  <c r="G130" i="35" s="1"/>
  <c r="H130" i="35" s="1"/>
  <c r="F155" i="35" a="1"/>
  <c r="F155" i="35" s="1"/>
  <c r="I155" i="35" s="1"/>
  <c r="G172" i="35" a="1"/>
  <c r="G172" i="35" s="1"/>
  <c r="H172" i="35" s="1"/>
  <c r="G180" i="35" a="1"/>
  <c r="G180" i="35" s="1"/>
  <c r="H180" i="35" s="1"/>
  <c r="G189" i="35" a="1"/>
  <c r="G189" i="35" s="1"/>
  <c r="H189" i="35" s="1"/>
  <c r="G216" i="35" a="1"/>
  <c r="G216" i="35" s="1"/>
  <c r="H216" i="35" s="1"/>
  <c r="G252" i="35" a="1"/>
  <c r="G252" i="35" s="1"/>
  <c r="H252" i="35" s="1"/>
  <c r="F262" i="35" a="1"/>
  <c r="F262" i="35" s="1"/>
  <c r="I262" i="35" s="1"/>
  <c r="F272" i="35" a="1"/>
  <c r="F272" i="35" s="1"/>
  <c r="G282" i="35" a="1"/>
  <c r="G282" i="35" s="1"/>
  <c r="H282" i="35" s="1"/>
  <c r="G396" i="35" a="1"/>
  <c r="G396" i="35" s="1"/>
  <c r="H396" i="35" s="1"/>
  <c r="G425" i="35" a="1"/>
  <c r="G425" i="35" s="1"/>
  <c r="H425" i="35" s="1"/>
  <c r="G458" i="35" a="1"/>
  <c r="G458" i="35" s="1"/>
  <c r="H458" i="35" s="1"/>
  <c r="F546" i="35" a="1"/>
  <c r="F546" i="35" s="1"/>
  <c r="F567" i="35" a="1"/>
  <c r="F567" i="35" s="1"/>
  <c r="F624" i="35" a="1"/>
  <c r="F624" i="35" s="1"/>
  <c r="G11" i="35" a="1"/>
  <c r="G11" i="35" s="1"/>
  <c r="H11" i="35" s="1"/>
  <c r="G26" i="35" a="1"/>
  <c r="G26" i="35" s="1"/>
  <c r="H26" i="35" s="1"/>
  <c r="F41" i="35" a="1"/>
  <c r="F41" i="35" s="1"/>
  <c r="F80" i="35" a="1"/>
  <c r="F80" i="35" s="1"/>
  <c r="F97" i="35" a="1"/>
  <c r="F97" i="35" s="1"/>
  <c r="F105" i="35" a="1"/>
  <c r="F105" i="35" s="1"/>
  <c r="G113" i="35" a="1"/>
  <c r="G113" i="35" s="1"/>
  <c r="H113" i="35" s="1"/>
  <c r="F122" i="35" a="1"/>
  <c r="F122" i="35" s="1"/>
  <c r="I122" i="35" s="1"/>
  <c r="F164" i="35" a="1"/>
  <c r="F164" i="35" s="1"/>
  <c r="G198" i="35" a="1"/>
  <c r="G198" i="35" s="1"/>
  <c r="H198" i="35" s="1"/>
  <c r="G207" i="35" a="1"/>
  <c r="G207" i="35" s="1"/>
  <c r="H207" i="35" s="1"/>
  <c r="F234" i="35" a="1"/>
  <c r="F234" i="35" s="1"/>
  <c r="G313" i="35" a="1"/>
  <c r="G313" i="35" s="1"/>
  <c r="H313" i="35" s="1"/>
  <c r="G325" i="35" a="1"/>
  <c r="G325" i="35" s="1"/>
  <c r="H325" i="35" s="1"/>
  <c r="F352" i="35" a="1"/>
  <c r="F352" i="35" s="1"/>
  <c r="G381" i="35" a="1"/>
  <c r="G381" i="35" s="1"/>
  <c r="H381" i="35" s="1"/>
  <c r="G475" i="35" a="1"/>
  <c r="G475" i="35" s="1"/>
  <c r="H475" i="35" s="1"/>
  <c r="G511" i="35" a="1"/>
  <c r="G511" i="35" s="1"/>
  <c r="H511" i="35" s="1"/>
  <c r="G528" i="35" a="1"/>
  <c r="G528" i="35" s="1"/>
  <c r="H528" i="35" s="1"/>
  <c r="G625" i="35" a="1"/>
  <c r="G625" i="35" s="1"/>
  <c r="H625" i="35" s="1"/>
  <c r="G41" i="35" a="1"/>
  <c r="G41" i="35" s="1"/>
  <c r="H41" i="35" s="1"/>
  <c r="G49" i="35" a="1"/>
  <c r="G49" i="35" s="1"/>
  <c r="H49" i="35" s="1"/>
  <c r="F57" i="35" a="1"/>
  <c r="F57" i="35" s="1"/>
  <c r="F64" i="35" a="1"/>
  <c r="F64" i="35" s="1"/>
  <c r="G122" i="35" a="1"/>
  <c r="G122" i="35" s="1"/>
  <c r="H122" i="35" s="1"/>
  <c r="F147" i="35" a="1"/>
  <c r="F147" i="35" s="1"/>
  <c r="G173" i="35" a="1"/>
  <c r="G173" i="35" s="1"/>
  <c r="H173" i="35" s="1"/>
  <c r="F182" i="35" a="1"/>
  <c r="F182" i="35" s="1"/>
  <c r="F190" i="35" a="1"/>
  <c r="F190" i="35" s="1"/>
  <c r="G208" i="35" a="1"/>
  <c r="G208" i="35" s="1"/>
  <c r="H208" i="35" s="1"/>
  <c r="F217" i="35" a="1"/>
  <c r="F217" i="35" s="1"/>
  <c r="I217" i="35" s="1"/>
  <c r="F225" i="35" a="1"/>
  <c r="F225" i="35" s="1"/>
  <c r="I225" i="35" s="1"/>
  <c r="G243" i="35" a="1"/>
  <c r="G243" i="35" s="1"/>
  <c r="H243" i="35" s="1"/>
  <c r="G262" i="35" a="1"/>
  <c r="G262" i="35" s="1"/>
  <c r="H262" i="35" s="1"/>
  <c r="G293" i="35" a="1"/>
  <c r="G293" i="35" s="1"/>
  <c r="H293" i="35" s="1"/>
  <c r="G443" i="35" a="1"/>
  <c r="G443" i="35" s="1"/>
  <c r="H443" i="35" s="1"/>
  <c r="F459" i="35" a="1"/>
  <c r="F459" i="35" s="1"/>
  <c r="F478" i="35" a="1"/>
  <c r="F478" i="35" s="1"/>
  <c r="F493" i="35" a="1"/>
  <c r="F493" i="35" s="1"/>
  <c r="F548" i="35" a="1"/>
  <c r="F548" i="35" s="1"/>
  <c r="F606" i="35" a="1"/>
  <c r="F606" i="35" s="1"/>
  <c r="F19" i="35" a="1"/>
  <c r="F19" i="35" s="1"/>
  <c r="F81" i="35" a="1"/>
  <c r="F81" i="35" s="1"/>
  <c r="I81" i="35" s="1"/>
  <c r="F90" i="35" a="1"/>
  <c r="F90" i="35" s="1"/>
  <c r="G105" i="35" a="1"/>
  <c r="G105" i="35" s="1"/>
  <c r="H105" i="35" s="1"/>
  <c r="G226" i="35" a="1"/>
  <c r="G226" i="35" s="1"/>
  <c r="H226" i="35" s="1"/>
  <c r="G234" i="35" a="1"/>
  <c r="G234" i="35" s="1"/>
  <c r="H234" i="35" s="1"/>
  <c r="F354" i="35" a="1"/>
  <c r="F354" i="35" s="1"/>
  <c r="G368" i="35" a="1"/>
  <c r="G368" i="35" s="1"/>
  <c r="H368" i="35" s="1"/>
  <c r="F383" i="35" a="1"/>
  <c r="F383" i="35" s="1"/>
  <c r="G397" i="35" a="1"/>
  <c r="G397" i="35" s="1"/>
  <c r="H397" i="35" s="1"/>
  <c r="G548" i="35" a="1"/>
  <c r="G548" i="35" s="1"/>
  <c r="H548" i="35" s="1"/>
  <c r="F628" i="35" a="1"/>
  <c r="F628" i="35" s="1"/>
  <c r="I628" i="35" s="1"/>
  <c r="G265" i="35" a="1"/>
  <c r="G265" i="35" s="1"/>
  <c r="H265" i="35" s="1"/>
  <c r="G275" i="35" a="1"/>
  <c r="G275" i="35" s="1"/>
  <c r="H275" i="35" s="1"/>
  <c r="G296" i="35" a="1"/>
  <c r="G296" i="35" s="1"/>
  <c r="H296" i="35" s="1"/>
  <c r="G343" i="35" a="1"/>
  <c r="G343" i="35" s="1"/>
  <c r="H343" i="35" s="1"/>
  <c r="G387" i="35" a="1"/>
  <c r="G387" i="35" s="1"/>
  <c r="H387" i="35" s="1"/>
  <c r="F402" i="35" a="1"/>
  <c r="F402" i="35" s="1"/>
  <c r="F431" i="35" a="1"/>
  <c r="F431" i="35" s="1"/>
  <c r="F447" i="35" a="1"/>
  <c r="F447" i="35" s="1"/>
  <c r="I447" i="35" s="1"/>
  <c r="G553" i="35" a="1"/>
  <c r="G553" i="35" s="1"/>
  <c r="H553" i="35" s="1"/>
  <c r="F7" i="35" a="1"/>
  <c r="F7" i="35" s="1"/>
  <c r="F14" i="35" a="1"/>
  <c r="F14" i="35" s="1"/>
  <c r="G29" i="35" a="1"/>
  <c r="G29" i="35" s="1"/>
  <c r="H29" i="35" s="1"/>
  <c r="G44" i="35" a="1"/>
  <c r="G44" i="35" s="1"/>
  <c r="H44" i="35" s="1"/>
  <c r="F52" i="35" a="1"/>
  <c r="F52" i="35" s="1"/>
  <c r="I52" i="35" s="1"/>
  <c r="G67" i="35" a="1"/>
  <c r="G67" i="35" s="1"/>
  <c r="H67" i="35" s="1"/>
  <c r="G75" i="35" a="1"/>
  <c r="G75" i="35" s="1"/>
  <c r="H75" i="35" s="1"/>
  <c r="F100" i="35" a="1"/>
  <c r="F100" i="35" s="1"/>
  <c r="F117" i="35" a="1"/>
  <c r="F117" i="35" s="1"/>
  <c r="G133" i="35" a="1"/>
  <c r="G133" i="35" s="1"/>
  <c r="H133" i="35" s="1"/>
  <c r="G150" i="35" a="1"/>
  <c r="G150" i="35" s="1"/>
  <c r="H150" i="35" s="1"/>
  <c r="F159" i="35" a="1"/>
  <c r="F159" i="35" s="1"/>
  <c r="I159" i="35" s="1"/>
  <c r="F176" i="35" a="1"/>
  <c r="F176" i="35" s="1"/>
  <c r="I176" i="35" s="1"/>
  <c r="F185" i="35" a="1"/>
  <c r="F185" i="35" s="1"/>
  <c r="I185" i="35" s="1"/>
  <c r="G202" i="35" a="1"/>
  <c r="G202" i="35" s="1"/>
  <c r="H202" i="35" s="1"/>
  <c r="G228" i="35" a="1"/>
  <c r="G228" i="35" s="1"/>
  <c r="H228" i="35" s="1"/>
  <c r="G256" i="35" a="1"/>
  <c r="G256" i="35" s="1"/>
  <c r="H256" i="35" s="1"/>
  <c r="F276" i="35" a="1"/>
  <c r="F276" i="35" s="1"/>
  <c r="F307" i="35" a="1"/>
  <c r="F307" i="35" s="1"/>
  <c r="G388" i="35" a="1"/>
  <c r="G388" i="35" s="1"/>
  <c r="H388" i="35" s="1"/>
  <c r="G402" i="35" a="1"/>
  <c r="G402" i="35" s="1"/>
  <c r="H402" i="35" s="1"/>
  <c r="F432" i="35" a="1"/>
  <c r="F432" i="35" s="1"/>
  <c r="G467" i="35" a="1"/>
  <c r="G467" i="35" s="1"/>
  <c r="H467" i="35" s="1"/>
  <c r="G536" i="35" a="1"/>
  <c r="G536" i="35" s="1"/>
  <c r="H536" i="35" s="1"/>
  <c r="F573" i="35" a="1"/>
  <c r="F573" i="35" s="1"/>
  <c r="G52" i="35" a="1"/>
  <c r="G52" i="35" s="1"/>
  <c r="H52" i="35" s="1"/>
  <c r="G59" i="35" a="1"/>
  <c r="G59" i="35" s="1"/>
  <c r="H59" i="35" s="1"/>
  <c r="G84" i="35" a="1"/>
  <c r="G84" i="35" s="1"/>
  <c r="H84" i="35" s="1"/>
  <c r="G92" i="35" a="1"/>
  <c r="G92" i="35" s="1"/>
  <c r="H92" i="35" s="1"/>
  <c r="F109" i="35" a="1"/>
  <c r="F109" i="35" s="1"/>
  <c r="F142" i="35" a="1"/>
  <c r="F142" i="35" s="1"/>
  <c r="F168" i="35" a="1"/>
  <c r="F168" i="35" s="1"/>
  <c r="G185" i="35" a="1"/>
  <c r="G185" i="35" s="1"/>
  <c r="H185" i="35" s="1"/>
  <c r="F194" i="35" a="1"/>
  <c r="F194" i="35" s="1"/>
  <c r="G212" i="35" a="1"/>
  <c r="G212" i="35" s="1"/>
  <c r="H212" i="35" s="1"/>
  <c r="G229" i="35" a="1"/>
  <c r="G229" i="35" s="1"/>
  <c r="H229" i="35" s="1"/>
  <c r="G247" i="35" a="1"/>
  <c r="G247" i="35" s="1"/>
  <c r="H247" i="35" s="1"/>
  <c r="G266" i="35" a="1"/>
  <c r="G266" i="35" s="1"/>
  <c r="H266" i="35" s="1"/>
  <c r="F286" i="35" a="1"/>
  <c r="F286" i="35" s="1"/>
  <c r="G344" i="35" a="1"/>
  <c r="G344" i="35" s="1"/>
  <c r="H344" i="35" s="1"/>
  <c r="F360" i="35" a="1"/>
  <c r="F360" i="35" s="1"/>
  <c r="F484" i="35" a="1"/>
  <c r="F484" i="35" s="1"/>
  <c r="F518" i="35" a="1"/>
  <c r="F518" i="35" s="1"/>
  <c r="G554" i="35" a="1"/>
  <c r="G554" i="35" s="1"/>
  <c r="H554" i="35" s="1"/>
  <c r="G575" i="35" a="1"/>
  <c r="G575" i="35" s="1"/>
  <c r="H575" i="35" s="1"/>
  <c r="F595" i="35" a="1"/>
  <c r="F595" i="35" s="1"/>
  <c r="G14" i="35" a="1"/>
  <c r="G14" i="35" s="1"/>
  <c r="H14" i="35" s="1"/>
  <c r="F22" i="35" a="1"/>
  <c r="F22" i="35" s="1"/>
  <c r="G60" i="35" a="1"/>
  <c r="G60" i="35" s="1"/>
  <c r="H60" i="35" s="1"/>
  <c r="G93" i="35" a="1"/>
  <c r="G93" i="35" s="1"/>
  <c r="H93" i="35" s="1"/>
  <c r="G126" i="35" a="1"/>
  <c r="G126" i="35" s="1"/>
  <c r="H126" i="35" s="1"/>
  <c r="G134" i="35" a="1"/>
  <c r="G134" i="35" s="1"/>
  <c r="H134" i="35" s="1"/>
  <c r="G159" i="35" a="1"/>
  <c r="G159" i="35" s="1"/>
  <c r="H159" i="35" s="1"/>
  <c r="G168" i="35" a="1"/>
  <c r="G168" i="35" s="1"/>
  <c r="H168" i="35" s="1"/>
  <c r="F177" i="35" a="1"/>
  <c r="F177" i="35" s="1"/>
  <c r="G238" i="35" a="1"/>
  <c r="G238" i="35" s="1"/>
  <c r="H238" i="35" s="1"/>
  <c r="F248" i="35" a="1"/>
  <c r="F248" i="35" s="1"/>
  <c r="I248" i="35" s="1"/>
  <c r="G307" i="35" a="1"/>
  <c r="G307" i="35" s="1"/>
  <c r="H307" i="35" s="1"/>
  <c r="F403" i="35" a="1"/>
  <c r="F403" i="35" s="1"/>
  <c r="I403" i="35" s="1"/>
  <c r="G518" i="35" a="1"/>
  <c r="G518" i="35" s="1"/>
  <c r="H518" i="35" s="1"/>
  <c r="F537" i="35" a="1"/>
  <c r="F537" i="35" s="1"/>
  <c r="G634" i="35" a="1"/>
  <c r="G634" i="35" s="1"/>
  <c r="H634" i="35" s="1"/>
  <c r="F578" i="34" a="1"/>
  <c r="F578" i="34" s="1"/>
  <c r="G589" i="34" a="1"/>
  <c r="G589" i="34" s="1"/>
  <c r="H589" i="34" s="1"/>
  <c r="G626" i="34" a="1"/>
  <c r="G626" i="34" s="1"/>
  <c r="H626" i="34" s="1"/>
  <c r="F11" i="34" a="1"/>
  <c r="F11" i="34" s="1"/>
  <c r="I11" i="34" s="1"/>
  <c r="G15" i="34" a="1"/>
  <c r="G15" i="34" s="1"/>
  <c r="H15" i="34" s="1"/>
  <c r="F42" i="34" a="1"/>
  <c r="F42" i="34" s="1"/>
  <c r="G46" i="34" a="1"/>
  <c r="G46" i="34" s="1"/>
  <c r="H46" i="34" s="1"/>
  <c r="F51" i="34" a="1"/>
  <c r="F51" i="34" s="1"/>
  <c r="G60" i="34" a="1"/>
  <c r="G60" i="34" s="1"/>
  <c r="H60" i="34" s="1"/>
  <c r="F70" i="34" a="1"/>
  <c r="F70" i="34" s="1"/>
  <c r="G89" i="34" a="1"/>
  <c r="G89" i="34" s="1"/>
  <c r="H89" i="34" s="1"/>
  <c r="G94" i="34" a="1"/>
  <c r="G94" i="34" s="1"/>
  <c r="H94" i="34" s="1"/>
  <c r="G99" i="34" a="1"/>
  <c r="G99" i="34" s="1"/>
  <c r="H99" i="34" s="1"/>
  <c r="F114" i="34" a="1"/>
  <c r="F114" i="34" s="1"/>
  <c r="F134" i="34" a="1"/>
  <c r="F134" i="34" s="1"/>
  <c r="G139" i="34" a="1"/>
  <c r="G139" i="34" s="1"/>
  <c r="H139" i="34" s="1"/>
  <c r="G170" i="34" a="1"/>
  <c r="G170" i="34" s="1"/>
  <c r="H170" i="34" s="1"/>
  <c r="F196" i="34" a="1"/>
  <c r="F196" i="34" s="1"/>
  <c r="G201" i="34" a="1"/>
  <c r="G201" i="34" s="1"/>
  <c r="H201" i="34" s="1"/>
  <c r="G206" i="34" a="1"/>
  <c r="G206" i="34" s="1"/>
  <c r="H206" i="34" s="1"/>
  <c r="G211" i="34" a="1"/>
  <c r="G211" i="34" s="1"/>
  <c r="H211" i="34" s="1"/>
  <c r="G232" i="34" a="1"/>
  <c r="G232" i="34" s="1"/>
  <c r="H232" i="34" s="1"/>
  <c r="G249" i="34" a="1"/>
  <c r="G249" i="34" s="1"/>
  <c r="H249" i="34" s="1"/>
  <c r="G255" i="34" a="1"/>
  <c r="G255" i="34" s="1"/>
  <c r="H255" i="34" s="1"/>
  <c r="G261" i="34" a="1"/>
  <c r="G261" i="34" s="1"/>
  <c r="H261" i="34" s="1"/>
  <c r="G267" i="34" a="1"/>
  <c r="G267" i="34" s="1"/>
  <c r="H267" i="34" s="1"/>
  <c r="F286" i="34" a="1"/>
  <c r="F286" i="34" s="1"/>
  <c r="F293" i="34" a="1"/>
  <c r="F293" i="34" s="1"/>
  <c r="F299" i="34" a="1"/>
  <c r="F299" i="34" s="1"/>
  <c r="G330" i="34" a="1"/>
  <c r="G330" i="34" s="1"/>
  <c r="H330" i="34" s="1"/>
  <c r="G425" i="34" a="1"/>
  <c r="G425" i="34" s="1"/>
  <c r="H425" i="34" s="1"/>
  <c r="F457" i="34" a="1"/>
  <c r="F457" i="34" s="1"/>
  <c r="G468" i="34" a="1"/>
  <c r="G468" i="34" s="1"/>
  <c r="H468" i="34" s="1"/>
  <c r="G478" i="34" a="1"/>
  <c r="G478" i="34" s="1"/>
  <c r="H478" i="34" s="1"/>
  <c r="F545" i="34" a="1"/>
  <c r="F545" i="34" s="1"/>
  <c r="G578" i="34" a="1"/>
  <c r="G578" i="34" s="1"/>
  <c r="H578" i="34" s="1"/>
  <c r="F603" i="34" a="1"/>
  <c r="F603" i="34" s="1"/>
  <c r="I603" i="34" s="1"/>
  <c r="F8" i="34" a="1"/>
  <c r="F8" i="34" s="1"/>
  <c r="G12" i="34" a="1"/>
  <c r="G12" i="34" s="1"/>
  <c r="H12" i="34" s="1"/>
  <c r="G86" i="34" a="1"/>
  <c r="G86" i="34" s="1"/>
  <c r="H86" i="34" s="1"/>
  <c r="F96" i="34" a="1"/>
  <c r="F96" i="34" s="1"/>
  <c r="I96" i="34" s="1"/>
  <c r="G115" i="34" a="1"/>
  <c r="G115" i="34" s="1"/>
  <c r="H115" i="34" s="1"/>
  <c r="G151" i="34" a="1"/>
  <c r="G151" i="34" s="1"/>
  <c r="H151" i="34" s="1"/>
  <c r="F177" i="34" a="1"/>
  <c r="F177" i="34" s="1"/>
  <c r="G213" i="34" a="1"/>
  <c r="G213" i="34" s="1"/>
  <c r="H213" i="34" s="1"/>
  <c r="G223" i="34" a="1"/>
  <c r="G223" i="34" s="1"/>
  <c r="H223" i="34" s="1"/>
  <c r="G234" i="34" a="1"/>
  <c r="G234" i="34" s="1"/>
  <c r="H234" i="34" s="1"/>
  <c r="G245" i="34" a="1"/>
  <c r="G245" i="34" s="1"/>
  <c r="H245" i="34" s="1"/>
  <c r="G251" i="34" a="1"/>
  <c r="G251" i="34" s="1"/>
  <c r="H251" i="34" s="1"/>
  <c r="F269" i="34" a="1"/>
  <c r="F269" i="34" s="1"/>
  <c r="G301" i="34" a="1"/>
  <c r="G301" i="34" s="1"/>
  <c r="H301" i="34" s="1"/>
  <c r="F317" i="34" a="1"/>
  <c r="F317" i="34" s="1"/>
  <c r="G324" i="34" a="1"/>
  <c r="G324" i="34" s="1"/>
  <c r="H324" i="34" s="1"/>
  <c r="F333" i="34" a="1"/>
  <c r="F333" i="34" s="1"/>
  <c r="G369" i="34" a="1"/>
  <c r="G369" i="34" s="1"/>
  <c r="H369" i="34" s="1"/>
  <c r="G388" i="34" a="1"/>
  <c r="G388" i="34" s="1"/>
  <c r="H388" i="34" s="1"/>
  <c r="G418" i="34" a="1"/>
  <c r="G418" i="34" s="1"/>
  <c r="H418" i="34" s="1"/>
  <c r="F429" i="34" a="1"/>
  <c r="F429" i="34" s="1"/>
  <c r="F450" i="34" a="1"/>
  <c r="F450" i="34" s="1"/>
  <c r="F461" i="34" a="1"/>
  <c r="F461" i="34" s="1"/>
  <c r="F548" i="34" a="1"/>
  <c r="F548" i="34" s="1"/>
  <c r="F607" i="34" a="1"/>
  <c r="F607" i="34" s="1"/>
  <c r="I607" i="34" s="1"/>
  <c r="G598" i="34" a="1"/>
  <c r="G598" i="34" s="1"/>
  <c r="H598" i="34" s="1"/>
  <c r="G594" i="34" a="1"/>
  <c r="G594" i="34" s="1"/>
  <c r="H594" i="34" s="1"/>
  <c r="F558" i="34" a="1"/>
  <c r="F558" i="34" s="1"/>
  <c r="F554" i="34" a="1"/>
  <c r="F554" i="34" s="1"/>
  <c r="I554" i="34" s="1"/>
  <c r="F482" i="34" a="1"/>
  <c r="F482" i="34" s="1"/>
  <c r="G474" i="34" a="1"/>
  <c r="G474" i="34" s="1"/>
  <c r="H474" i="34" s="1"/>
  <c r="F459" i="34" a="1"/>
  <c r="F459" i="34" s="1"/>
  <c r="G451" i="34" a="1"/>
  <c r="G451" i="34" s="1"/>
  <c r="H451" i="34" s="1"/>
  <c r="G447" i="34" a="1"/>
  <c r="G447" i="34" s="1"/>
  <c r="H447" i="34" s="1"/>
  <c r="F432" i="34" a="1"/>
  <c r="F432" i="34" s="1"/>
  <c r="G424" i="34" a="1"/>
  <c r="G424" i="34" s="1"/>
  <c r="H424" i="34" s="1"/>
  <c r="F409" i="34" a="1"/>
  <c r="F409" i="34" s="1"/>
  <c r="F637" i="34" a="1"/>
  <c r="F637" i="34" s="1"/>
  <c r="F633" i="34" a="1"/>
  <c r="F633" i="34" s="1"/>
  <c r="F629" i="34" a="1"/>
  <c r="F629" i="34" s="1"/>
  <c r="I629" i="34" s="1"/>
  <c r="F625" i="34" a="1"/>
  <c r="F625" i="34" s="1"/>
  <c r="F621" i="34" a="1"/>
  <c r="F621" i="34" s="1"/>
  <c r="F617" i="34" a="1"/>
  <c r="F617" i="34" s="1"/>
  <c r="G568" i="34" a="1"/>
  <c r="G568" i="34" s="1"/>
  <c r="H568" i="34" s="1"/>
  <c r="G564" i="34" a="1"/>
  <c r="G564" i="34" s="1"/>
  <c r="H564" i="34" s="1"/>
  <c r="G560" i="34" a="1"/>
  <c r="G560" i="34" s="1"/>
  <c r="H560" i="34" s="1"/>
  <c r="G556" i="34" a="1"/>
  <c r="G556" i="34" s="1"/>
  <c r="H556" i="34" s="1"/>
  <c r="G552" i="34" a="1"/>
  <c r="G552" i="34" s="1"/>
  <c r="H552" i="34" s="1"/>
  <c r="G548" i="34" a="1"/>
  <c r="G548" i="34" s="1"/>
  <c r="H548" i="34" s="1"/>
  <c r="G544" i="34" a="1"/>
  <c r="G544" i="34" s="1"/>
  <c r="H544" i="34" s="1"/>
  <c r="G540" i="34" a="1"/>
  <c r="G540" i="34" s="1"/>
  <c r="H540" i="34" s="1"/>
  <c r="G536" i="34" a="1"/>
  <c r="G536" i="34" s="1"/>
  <c r="H536" i="34" s="1"/>
  <c r="F528" i="34" a="1"/>
  <c r="F528" i="34" s="1"/>
  <c r="I528" i="34" s="1"/>
  <c r="F524" i="34" a="1"/>
  <c r="F524" i="34" s="1"/>
  <c r="I524" i="34" s="1"/>
  <c r="F520" i="34" a="1"/>
  <c r="F520" i="34" s="1"/>
  <c r="F516" i="34" a="1"/>
  <c r="F516" i="34" s="1"/>
  <c r="F512" i="34" a="1"/>
  <c r="F512" i="34" s="1"/>
  <c r="F508" i="34" a="1"/>
  <c r="F508" i="34" s="1"/>
  <c r="F504" i="34" a="1"/>
  <c r="F504" i="34" s="1"/>
  <c r="F500" i="34" a="1"/>
  <c r="F500" i="34" s="1"/>
  <c r="F496" i="34" a="1"/>
  <c r="F496" i="34" s="1"/>
  <c r="F492" i="34" a="1"/>
  <c r="F492" i="34" s="1"/>
  <c r="I492" i="34" s="1"/>
  <c r="G484" i="34" a="1"/>
  <c r="G484" i="34" s="1"/>
  <c r="H484" i="34" s="1"/>
  <c r="G480" i="34" a="1"/>
  <c r="G480" i="34" s="1"/>
  <c r="H480" i="34" s="1"/>
  <c r="F465" i="34" a="1"/>
  <c r="F465" i="34" s="1"/>
  <c r="I465" i="34" s="1"/>
  <c r="G457" i="34" a="1"/>
  <c r="G457" i="34" s="1"/>
  <c r="H457" i="34" s="1"/>
  <c r="F442" i="34" a="1"/>
  <c r="F442" i="34" s="1"/>
  <c r="I442" i="34" s="1"/>
  <c r="G434" i="34" a="1"/>
  <c r="G434" i="34" s="1"/>
  <c r="H434" i="34" s="1"/>
  <c r="F419" i="34" a="1"/>
  <c r="F419" i="34" s="1"/>
  <c r="I419" i="34" s="1"/>
  <c r="G411" i="34" a="1"/>
  <c r="G411" i="34" s="1"/>
  <c r="H411" i="34" s="1"/>
  <c r="F392" i="34" a="1"/>
  <c r="F392" i="34" s="1"/>
  <c r="I392" i="34" s="1"/>
  <c r="G384" i="34" a="1"/>
  <c r="G384" i="34" s="1"/>
  <c r="H384" i="34" s="1"/>
  <c r="F369" i="34" a="1"/>
  <c r="F369" i="34" s="1"/>
  <c r="I369" i="34" s="1"/>
  <c r="G361" i="34" a="1"/>
  <c r="G361" i="34" s="1"/>
  <c r="H361" i="34" s="1"/>
  <c r="F346" i="34" a="1"/>
  <c r="F346" i="34" s="1"/>
  <c r="G338" i="34" a="1"/>
  <c r="G338" i="34" s="1"/>
  <c r="H338" i="34" s="1"/>
  <c r="G612" i="34" a="1"/>
  <c r="G612" i="34" s="1"/>
  <c r="H612" i="34" s="1"/>
  <c r="G608" i="34" a="1"/>
  <c r="G608" i="34" s="1"/>
  <c r="H608" i="34" s="1"/>
  <c r="G604" i="34" a="1"/>
  <c r="G604" i="34" s="1"/>
  <c r="H604" i="34" s="1"/>
  <c r="G600" i="34" a="1"/>
  <c r="G600" i="34" s="1"/>
  <c r="H600" i="34" s="1"/>
  <c r="G596" i="34" a="1"/>
  <c r="G596" i="34" s="1"/>
  <c r="H596" i="34" s="1"/>
  <c r="G592" i="34" a="1"/>
  <c r="G592" i="34" s="1"/>
  <c r="H592" i="34" s="1"/>
  <c r="G588" i="34" a="1"/>
  <c r="G588" i="34" s="1"/>
  <c r="H588" i="34" s="1"/>
  <c r="G584" i="34" a="1"/>
  <c r="G584" i="34" s="1"/>
  <c r="H584" i="34" s="1"/>
  <c r="G580" i="34" a="1"/>
  <c r="G580" i="34" s="1"/>
  <c r="H580" i="34" s="1"/>
  <c r="F572" i="34" a="1"/>
  <c r="F572" i="34" s="1"/>
  <c r="G629" i="34" a="1"/>
  <c r="G629" i="34" s="1"/>
  <c r="H629" i="34" s="1"/>
  <c r="F606" i="34" a="1"/>
  <c r="F606" i="34" s="1"/>
  <c r="G573" i="34" a="1"/>
  <c r="G573" i="34" s="1"/>
  <c r="H573" i="34" s="1"/>
  <c r="F564" i="34" a="1"/>
  <c r="F564" i="34" s="1"/>
  <c r="I564" i="34" s="1"/>
  <c r="G555" i="34" a="1"/>
  <c r="G555" i="34" s="1"/>
  <c r="H555" i="34" s="1"/>
  <c r="F551" i="34" a="1"/>
  <c r="F551" i="34" s="1"/>
  <c r="G546" i="34" a="1"/>
  <c r="G546" i="34" s="1"/>
  <c r="H546" i="34" s="1"/>
  <c r="F542" i="34" a="1"/>
  <c r="F542" i="34" s="1"/>
  <c r="G515" i="34" a="1"/>
  <c r="G515" i="34" s="1"/>
  <c r="H515" i="34" s="1"/>
  <c r="F511" i="34" a="1"/>
  <c r="F511" i="34" s="1"/>
  <c r="F502" i="34" a="1"/>
  <c r="F502" i="34" s="1"/>
  <c r="I502" i="34" s="1"/>
  <c r="F489" i="34" a="1"/>
  <c r="F489" i="34" s="1"/>
  <c r="F472" i="34" a="1"/>
  <c r="F472" i="34" s="1"/>
  <c r="G455" i="34" a="1"/>
  <c r="G455" i="34" s="1"/>
  <c r="H455" i="34" s="1"/>
  <c r="G438" i="34" a="1"/>
  <c r="G438" i="34" s="1"/>
  <c r="H438" i="34" s="1"/>
  <c r="F434" i="34" a="1"/>
  <c r="F434" i="34" s="1"/>
  <c r="G421" i="34" a="1"/>
  <c r="G421" i="34" s="1"/>
  <c r="H421" i="34" s="1"/>
  <c r="F413" i="34" a="1"/>
  <c r="F413" i="34" s="1"/>
  <c r="G380" i="34" a="1"/>
  <c r="G380" i="34" s="1"/>
  <c r="H380" i="34" s="1"/>
  <c r="G376" i="34" a="1"/>
  <c r="G376" i="34" s="1"/>
  <c r="H376" i="34" s="1"/>
  <c r="G372" i="34" a="1"/>
  <c r="G372" i="34" s="1"/>
  <c r="H372" i="34" s="1"/>
  <c r="G368" i="34" a="1"/>
  <c r="G368" i="34" s="1"/>
  <c r="H368" i="34" s="1"/>
  <c r="G364" i="34" a="1"/>
  <c r="G364" i="34" s="1"/>
  <c r="H364" i="34" s="1"/>
  <c r="G360" i="34" a="1"/>
  <c r="G360" i="34" s="1"/>
  <c r="H360" i="34" s="1"/>
  <c r="G356" i="34" a="1"/>
  <c r="G356" i="34" s="1"/>
  <c r="H356" i="34" s="1"/>
  <c r="F632" i="34" a="1"/>
  <c r="F632" i="34" s="1"/>
  <c r="G627" i="34" a="1"/>
  <c r="G627" i="34" s="1"/>
  <c r="H627" i="34" s="1"/>
  <c r="F618" i="34" a="1"/>
  <c r="F618" i="34" s="1"/>
  <c r="I618" i="34" s="1"/>
  <c r="G599" i="34" a="1"/>
  <c r="G599" i="34" s="1"/>
  <c r="H599" i="34" s="1"/>
  <c r="G585" i="34" a="1"/>
  <c r="G585" i="34" s="1"/>
  <c r="H585" i="34" s="1"/>
  <c r="G553" i="34" a="1"/>
  <c r="G553" i="34" s="1"/>
  <c r="H553" i="34" s="1"/>
  <c r="F549" i="34" a="1"/>
  <c r="F549" i="34" s="1"/>
  <c r="G513" i="34" a="1"/>
  <c r="G513" i="34" s="1"/>
  <c r="H513" i="34" s="1"/>
  <c r="F509" i="34" a="1"/>
  <c r="F509" i="34" s="1"/>
  <c r="I509" i="34" s="1"/>
  <c r="G500" i="34" a="1"/>
  <c r="G500" i="34" s="1"/>
  <c r="H500" i="34" s="1"/>
  <c r="G491" i="34" a="1"/>
  <c r="G491" i="34" s="1"/>
  <c r="H491" i="34" s="1"/>
  <c r="F483" i="34" a="1"/>
  <c r="F483" i="34" s="1"/>
  <c r="G470" i="34" a="1"/>
  <c r="G470" i="34" s="1"/>
  <c r="H470" i="34" s="1"/>
  <c r="G453" i="34" a="1"/>
  <c r="G453" i="34" s="1"/>
  <c r="H453" i="34" s="1"/>
  <c r="F445" i="34" a="1"/>
  <c r="F445" i="34" s="1"/>
  <c r="I445" i="34" s="1"/>
  <c r="G432" i="34" a="1"/>
  <c r="G432" i="34" s="1"/>
  <c r="H432" i="34" s="1"/>
  <c r="F428" i="34" a="1"/>
  <c r="F428" i="34" s="1"/>
  <c r="F315" i="34" a="1"/>
  <c r="F315" i="34" s="1"/>
  <c r="G307" i="34" a="1"/>
  <c r="G307" i="34" s="1"/>
  <c r="H307" i="34" s="1"/>
  <c r="F300" i="34" a="1"/>
  <c r="F300" i="34" s="1"/>
  <c r="G296" i="34" a="1"/>
  <c r="G296" i="34" s="1"/>
  <c r="H296" i="34" s="1"/>
  <c r="F289" i="34" a="1"/>
  <c r="F289" i="34" s="1"/>
  <c r="G285" i="34" a="1"/>
  <c r="G285" i="34" s="1"/>
  <c r="H285" i="34" s="1"/>
  <c r="F278" i="34" a="1"/>
  <c r="F278" i="34" s="1"/>
  <c r="I278" i="34" s="1"/>
  <c r="G274" i="34" a="1"/>
  <c r="G274" i="34" s="1"/>
  <c r="H274" i="34" s="1"/>
  <c r="F267" i="34" a="1"/>
  <c r="F267" i="34" s="1"/>
  <c r="G263" i="34" a="1"/>
  <c r="G263" i="34" s="1"/>
  <c r="H263" i="34" s="1"/>
  <c r="F256" i="34" a="1"/>
  <c r="F256" i="34" s="1"/>
  <c r="G252" i="34" a="1"/>
  <c r="G252" i="34" s="1"/>
  <c r="H252" i="34" s="1"/>
  <c r="F245" i="34" a="1"/>
  <c r="F245" i="34" s="1"/>
  <c r="G241" i="34" a="1"/>
  <c r="G241" i="34" s="1"/>
  <c r="H241" i="34" s="1"/>
  <c r="F234" i="34" a="1"/>
  <c r="F234" i="34" s="1"/>
  <c r="G230" i="34" a="1"/>
  <c r="G230" i="34" s="1"/>
  <c r="H230" i="34" s="1"/>
  <c r="F223" i="34" a="1"/>
  <c r="F223" i="34" s="1"/>
  <c r="G219" i="34" a="1"/>
  <c r="G219" i="34" s="1"/>
  <c r="H219" i="34" s="1"/>
  <c r="F212" i="34" a="1"/>
  <c r="F212" i="34" s="1"/>
  <c r="G208" i="34" a="1"/>
  <c r="G208" i="34" s="1"/>
  <c r="H208" i="34" s="1"/>
  <c r="F201" i="34" a="1"/>
  <c r="F201" i="34" s="1"/>
  <c r="G197" i="34" a="1"/>
  <c r="G197" i="34" s="1"/>
  <c r="H197" i="34" s="1"/>
  <c r="F190" i="34" a="1"/>
  <c r="F190" i="34" s="1"/>
  <c r="G186" i="34" a="1"/>
  <c r="G186" i="34" s="1"/>
  <c r="H186" i="34" s="1"/>
  <c r="F179" i="34" a="1"/>
  <c r="F179" i="34" s="1"/>
  <c r="G175" i="34" a="1"/>
  <c r="G175" i="34" s="1"/>
  <c r="H175" i="34" s="1"/>
  <c r="F168" i="34" a="1"/>
  <c r="F168" i="34" s="1"/>
  <c r="G164" i="34" a="1"/>
  <c r="G164" i="34" s="1"/>
  <c r="H164" i="34" s="1"/>
  <c r="F157" i="34" a="1"/>
  <c r="F157" i="34" s="1"/>
  <c r="I157" i="34" s="1"/>
  <c r="G153" i="34" a="1"/>
  <c r="G153" i="34" s="1"/>
  <c r="H153" i="34" s="1"/>
  <c r="F146" i="34" a="1"/>
  <c r="F146" i="34" s="1"/>
  <c r="G142" i="34" a="1"/>
  <c r="G142" i="34" s="1"/>
  <c r="H142" i="34" s="1"/>
  <c r="F135" i="34" a="1"/>
  <c r="F135" i="34" s="1"/>
  <c r="I135" i="34" s="1"/>
  <c r="G131" i="34" a="1"/>
  <c r="G131" i="34" s="1"/>
  <c r="H131" i="34" s="1"/>
  <c r="F124" i="34" a="1"/>
  <c r="F124" i="34" s="1"/>
  <c r="G120" i="34" a="1"/>
  <c r="G120" i="34" s="1"/>
  <c r="H120" i="34" s="1"/>
  <c r="F113" i="34" a="1"/>
  <c r="F113" i="34" s="1"/>
  <c r="G109" i="34" a="1"/>
  <c r="G109" i="34" s="1"/>
  <c r="H109" i="34" s="1"/>
  <c r="F102" i="34" a="1"/>
  <c r="F102" i="34" s="1"/>
  <c r="I102" i="34" s="1"/>
  <c r="G98" i="34" a="1"/>
  <c r="G98" i="34" s="1"/>
  <c r="H98" i="34" s="1"/>
  <c r="F91" i="34" a="1"/>
  <c r="F91" i="34" s="1"/>
  <c r="G87" i="34" a="1"/>
  <c r="G87" i="34" s="1"/>
  <c r="H87" i="34" s="1"/>
  <c r="F80" i="34" a="1"/>
  <c r="F80" i="34" s="1"/>
  <c r="G76" i="34" a="1"/>
  <c r="G76" i="34" s="1"/>
  <c r="H76" i="34" s="1"/>
  <c r="F69" i="34" a="1"/>
  <c r="F69" i="34" s="1"/>
  <c r="G65" i="34" a="1"/>
  <c r="G65" i="34" s="1"/>
  <c r="H65" i="34" s="1"/>
  <c r="F58" i="34" a="1"/>
  <c r="F58" i="34" s="1"/>
  <c r="I58" i="34" s="1"/>
  <c r="G54" i="34" a="1"/>
  <c r="G54" i="34" s="1"/>
  <c r="H54" i="34" s="1"/>
  <c r="F47" i="34" a="1"/>
  <c r="F47" i="34" s="1"/>
  <c r="F613" i="34" a="1"/>
  <c r="F613" i="34" s="1"/>
  <c r="I613" i="34" s="1"/>
  <c r="F608" i="34" a="1"/>
  <c r="F608" i="34" s="1"/>
  <c r="F599" i="34" a="1"/>
  <c r="F599" i="34" s="1"/>
  <c r="F594" i="34" a="1"/>
  <c r="F594" i="34" s="1"/>
  <c r="I594" i="34" s="1"/>
  <c r="F585" i="34" a="1"/>
  <c r="F585" i="34" s="1"/>
  <c r="I585" i="34" s="1"/>
  <c r="F580" i="34" a="1"/>
  <c r="F580" i="34" s="1"/>
  <c r="I580" i="34" s="1"/>
  <c r="G575" i="34" a="1"/>
  <c r="G575" i="34" s="1"/>
  <c r="H575" i="34" s="1"/>
  <c r="F562" i="34" a="1"/>
  <c r="F562" i="34" s="1"/>
  <c r="I562" i="34" s="1"/>
  <c r="G557" i="34" a="1"/>
  <c r="G557" i="34" s="1"/>
  <c r="H557" i="34" s="1"/>
  <c r="F553" i="34" a="1"/>
  <c r="F553" i="34" s="1"/>
  <c r="F513" i="34" a="1"/>
  <c r="F513" i="34" s="1"/>
  <c r="G504" i="34" a="1"/>
  <c r="G504" i="34" s="1"/>
  <c r="H504" i="34" s="1"/>
  <c r="G495" i="34" a="1"/>
  <c r="G495" i="34" s="1"/>
  <c r="H495" i="34" s="1"/>
  <c r="F491" i="34" a="1"/>
  <c r="F491" i="34" s="1"/>
  <c r="F470" i="34" a="1"/>
  <c r="F470" i="34" s="1"/>
  <c r="F453" i="34" a="1"/>
  <c r="F453" i="34" s="1"/>
  <c r="G419" i="34" a="1"/>
  <c r="G419" i="34" s="1"/>
  <c r="H419" i="34" s="1"/>
  <c r="F415" i="34" a="1"/>
  <c r="F415" i="34" s="1"/>
  <c r="G370" i="34" a="1"/>
  <c r="G370" i="34" s="1"/>
  <c r="H370" i="34" s="1"/>
  <c r="G366" i="34" a="1"/>
  <c r="G366" i="34" s="1"/>
  <c r="H366" i="34" s="1"/>
  <c r="G362" i="34" a="1"/>
  <c r="G362" i="34" s="1"/>
  <c r="H362" i="34" s="1"/>
  <c r="G358" i="34" a="1"/>
  <c r="G358" i="34" s="1"/>
  <c r="H358" i="34" s="1"/>
  <c r="G354" i="34" a="1"/>
  <c r="G354" i="34" s="1"/>
  <c r="H354" i="34" s="1"/>
  <c r="G350" i="34" a="1"/>
  <c r="G350" i="34" s="1"/>
  <c r="H350" i="34" s="1"/>
  <c r="G346" i="34" a="1"/>
  <c r="G346" i="34" s="1"/>
  <c r="H346" i="34" s="1"/>
  <c r="G342" i="34" a="1"/>
  <c r="G342" i="34" s="1"/>
  <c r="H342" i="34" s="1"/>
  <c r="F330" i="34" a="1"/>
  <c r="F330" i="34" s="1"/>
  <c r="I330" i="34" s="1"/>
  <c r="G322" i="34" a="1"/>
  <c r="G322" i="34" s="1"/>
  <c r="H322" i="34" s="1"/>
  <c r="F307" i="34" a="1"/>
  <c r="F307" i="34" s="1"/>
  <c r="G303" i="34" a="1"/>
  <c r="G303" i="34" s="1"/>
  <c r="H303" i="34" s="1"/>
  <c r="F296" i="34" a="1"/>
  <c r="F296" i="34" s="1"/>
  <c r="G292" i="34" a="1"/>
  <c r="G292" i="34" s="1"/>
  <c r="H292" i="34" s="1"/>
  <c r="F285" i="34" a="1"/>
  <c r="F285" i="34" s="1"/>
  <c r="G281" i="34" a="1"/>
  <c r="G281" i="34" s="1"/>
  <c r="H281" i="34" s="1"/>
  <c r="F630" i="34" a="1"/>
  <c r="F630" i="34" s="1"/>
  <c r="I630" i="34" s="1"/>
  <c r="G611" i="34" a="1"/>
  <c r="G611" i="34" s="1"/>
  <c r="H611" i="34" s="1"/>
  <c r="F602" i="34" a="1"/>
  <c r="F602" i="34" s="1"/>
  <c r="G597" i="34" a="1"/>
  <c r="G597" i="34" s="1"/>
  <c r="H597" i="34" s="1"/>
  <c r="F588" i="34" a="1"/>
  <c r="F588" i="34" s="1"/>
  <c r="I588" i="34" s="1"/>
  <c r="G583" i="34" a="1"/>
  <c r="G583" i="34" s="1"/>
  <c r="H583" i="34" s="1"/>
  <c r="F574" i="34" a="1"/>
  <c r="F574" i="34" s="1"/>
  <c r="F565" i="34" a="1"/>
  <c r="F565" i="34" s="1"/>
  <c r="F556" i="34" a="1"/>
  <c r="F556" i="34" s="1"/>
  <c r="G547" i="34" a="1"/>
  <c r="G547" i="34" s="1"/>
  <c r="H547" i="34" s="1"/>
  <c r="G538" i="34" a="1"/>
  <c r="G538" i="34" s="1"/>
  <c r="H538" i="34" s="1"/>
  <c r="F534" i="34" a="1"/>
  <c r="F534" i="34" s="1"/>
  <c r="F525" i="34" a="1"/>
  <c r="F525" i="34" s="1"/>
  <c r="I525" i="34" s="1"/>
  <c r="G507" i="34" a="1"/>
  <c r="G507" i="34" s="1"/>
  <c r="H507" i="34" s="1"/>
  <c r="G498" i="34" a="1"/>
  <c r="G498" i="34" s="1"/>
  <c r="H498" i="34" s="1"/>
  <c r="F494" i="34" a="1"/>
  <c r="F494" i="34" s="1"/>
  <c r="I494" i="34" s="1"/>
  <c r="G481" i="34" a="1"/>
  <c r="G481" i="34" s="1"/>
  <c r="H481" i="34" s="1"/>
  <c r="G464" i="34" a="1"/>
  <c r="G464" i="34" s="1"/>
  <c r="H464" i="34" s="1"/>
  <c r="F456" i="34" a="1"/>
  <c r="F456" i="34" s="1"/>
  <c r="I456" i="34" s="1"/>
  <c r="F439" i="34" a="1"/>
  <c r="F439" i="34" s="1"/>
  <c r="G426" i="34" a="1"/>
  <c r="G426" i="34" s="1"/>
  <c r="H426" i="34" s="1"/>
  <c r="G405" i="34" a="1"/>
  <c r="G405" i="34" s="1"/>
  <c r="H405" i="34" s="1"/>
  <c r="G401" i="34" a="1"/>
  <c r="G401" i="34" s="1"/>
  <c r="H401" i="34" s="1"/>
  <c r="G397" i="34" a="1"/>
  <c r="G397" i="34" s="1"/>
  <c r="H397" i="34" s="1"/>
  <c r="G393" i="34" a="1"/>
  <c r="G393" i="34" s="1"/>
  <c r="H393" i="34" s="1"/>
  <c r="G389" i="34" a="1"/>
  <c r="G389" i="34" s="1"/>
  <c r="H389" i="34" s="1"/>
  <c r="G385" i="34" a="1"/>
  <c r="G385" i="34" s="1"/>
  <c r="H385" i="34" s="1"/>
  <c r="F365" i="34" a="1"/>
  <c r="F365" i="34" s="1"/>
  <c r="F361" i="34" a="1"/>
  <c r="F361" i="34" s="1"/>
  <c r="F357" i="34" a="1"/>
  <c r="F357" i="34" s="1"/>
  <c r="F353" i="34" a="1"/>
  <c r="F353" i="34" s="1"/>
  <c r="F349" i="34" a="1"/>
  <c r="F349" i="34" s="1"/>
  <c r="F345" i="34" a="1"/>
  <c r="F345" i="34" s="1"/>
  <c r="F325" i="34" a="1"/>
  <c r="F325" i="34" s="1"/>
  <c r="I325" i="34" s="1"/>
  <c r="G638" i="34" a="1"/>
  <c r="G638" i="34" s="1"/>
  <c r="H638" i="34" s="1"/>
  <c r="F627" i="34" a="1"/>
  <c r="F627" i="34" s="1"/>
  <c r="F610" i="34" a="1"/>
  <c r="F610" i="34" s="1"/>
  <c r="F593" i="34" a="1"/>
  <c r="F593" i="34" s="1"/>
  <c r="I593" i="34" s="1"/>
  <c r="F587" i="34" a="1"/>
  <c r="F587" i="34" s="1"/>
  <c r="F570" i="34" a="1"/>
  <c r="F570" i="34" s="1"/>
  <c r="F543" i="34" a="1"/>
  <c r="F543" i="34" s="1"/>
  <c r="G537" i="34" a="1"/>
  <c r="G537" i="34" s="1"/>
  <c r="H537" i="34" s="1"/>
  <c r="F532" i="34" a="1"/>
  <c r="F532" i="34" s="1"/>
  <c r="G510" i="34" a="1"/>
  <c r="G510" i="34" s="1"/>
  <c r="H510" i="34" s="1"/>
  <c r="F505" i="34" a="1"/>
  <c r="F505" i="34" s="1"/>
  <c r="I505" i="34" s="1"/>
  <c r="G499" i="34" a="1"/>
  <c r="G499" i="34" s="1"/>
  <c r="H499" i="34" s="1"/>
  <c r="F458" i="34" a="1"/>
  <c r="F458" i="34" s="1"/>
  <c r="G442" i="34" a="1"/>
  <c r="G442" i="34" s="1"/>
  <c r="H442" i="34" s="1"/>
  <c r="G437" i="34" a="1"/>
  <c r="G437" i="34" s="1"/>
  <c r="H437" i="34" s="1"/>
  <c r="F427" i="34" a="1"/>
  <c r="F427" i="34" s="1"/>
  <c r="F362" i="34" a="1"/>
  <c r="F362" i="34" s="1"/>
  <c r="G352" i="34" a="1"/>
  <c r="G352" i="34" s="1"/>
  <c r="H352" i="34" s="1"/>
  <c r="F329" i="34" a="1"/>
  <c r="F329" i="34" s="1"/>
  <c r="G320" i="34" a="1"/>
  <c r="G320" i="34" s="1"/>
  <c r="H320" i="34" s="1"/>
  <c r="G299" i="34" a="1"/>
  <c r="G299" i="34" s="1"/>
  <c r="H299" i="34" s="1"/>
  <c r="G295" i="34" a="1"/>
  <c r="G295" i="34" s="1"/>
  <c r="H295" i="34" s="1"/>
  <c r="G291" i="34" a="1"/>
  <c r="G291" i="34" s="1"/>
  <c r="H291" i="34" s="1"/>
  <c r="G287" i="34" a="1"/>
  <c r="G287" i="34" s="1"/>
  <c r="H287" i="34" s="1"/>
  <c r="G283" i="34" a="1"/>
  <c r="G283" i="34" s="1"/>
  <c r="H283" i="34" s="1"/>
  <c r="G279" i="34" a="1"/>
  <c r="G279" i="34" s="1"/>
  <c r="H279" i="34" s="1"/>
  <c r="F264" i="34" a="1"/>
  <c r="F264" i="34" s="1"/>
  <c r="G256" i="34" a="1"/>
  <c r="G256" i="34" s="1"/>
  <c r="H256" i="34" s="1"/>
  <c r="F237" i="34" a="1"/>
  <c r="F237" i="34" s="1"/>
  <c r="I237" i="34" s="1"/>
  <c r="G229" i="34" a="1"/>
  <c r="G229" i="34" s="1"/>
  <c r="H229" i="34" s="1"/>
  <c r="F636" i="34" a="1"/>
  <c r="F636" i="34" s="1"/>
  <c r="I636" i="34" s="1"/>
  <c r="G630" i="34" a="1"/>
  <c r="G630" i="34" s="1"/>
  <c r="H630" i="34" s="1"/>
  <c r="F619" i="34" a="1"/>
  <c r="F619" i="34" s="1"/>
  <c r="F596" i="34" a="1"/>
  <c r="F596" i="34" s="1"/>
  <c r="I596" i="34" s="1"/>
  <c r="F579" i="34" a="1"/>
  <c r="F579" i="34" s="1"/>
  <c r="I579" i="34" s="1"/>
  <c r="F546" i="34" a="1"/>
  <c r="F546" i="34" s="1"/>
  <c r="F535" i="34" a="1"/>
  <c r="F535" i="34" s="1"/>
  <c r="I535" i="34" s="1"/>
  <c r="F530" i="34" a="1"/>
  <c r="F530" i="34" s="1"/>
  <c r="G524" i="34" a="1"/>
  <c r="G524" i="34" s="1"/>
  <c r="H524" i="34" s="1"/>
  <c r="F519" i="34" a="1"/>
  <c r="F519" i="34" s="1"/>
  <c r="G476" i="34" a="1"/>
  <c r="G476" i="34" s="1"/>
  <c r="H476" i="34" s="1"/>
  <c r="G471" i="34" a="1"/>
  <c r="G471" i="34" s="1"/>
  <c r="H471" i="34" s="1"/>
  <c r="G466" i="34" a="1"/>
  <c r="G466" i="34" s="1"/>
  <c r="H466" i="34" s="1"/>
  <c r="G440" i="34" a="1"/>
  <c r="G440" i="34" s="1"/>
  <c r="H440" i="34" s="1"/>
  <c r="F430" i="34" a="1"/>
  <c r="F430" i="34" s="1"/>
  <c r="G414" i="34" a="1"/>
  <c r="G414" i="34" s="1"/>
  <c r="H414" i="34" s="1"/>
  <c r="G409" i="34" a="1"/>
  <c r="G409" i="34" s="1"/>
  <c r="H409" i="34" s="1"/>
  <c r="G404" i="34" a="1"/>
  <c r="G404" i="34" s="1"/>
  <c r="H404" i="34" s="1"/>
  <c r="G399" i="34" a="1"/>
  <c r="G399" i="34" s="1"/>
  <c r="H399" i="34" s="1"/>
  <c r="G394" i="34" a="1"/>
  <c r="G394" i="34" s="1"/>
  <c r="H394" i="34" s="1"/>
  <c r="F375" i="34" a="1"/>
  <c r="F375" i="34" s="1"/>
  <c r="F360" i="34" a="1"/>
  <c r="F360" i="34" s="1"/>
  <c r="F341" i="34" a="1"/>
  <c r="F341" i="34" s="1"/>
  <c r="G336" i="34" a="1"/>
  <c r="G336" i="34" s="1"/>
  <c r="H336" i="34" s="1"/>
  <c r="G327" i="34" a="1"/>
  <c r="G327" i="34" s="1"/>
  <c r="H327" i="34" s="1"/>
  <c r="G318" i="34" a="1"/>
  <c r="G318" i="34" s="1"/>
  <c r="H318" i="34" s="1"/>
  <c r="F310" i="34" a="1"/>
  <c r="F310" i="34" s="1"/>
  <c r="F270" i="34" a="1"/>
  <c r="F270" i="34" s="1"/>
  <c r="G262" i="34" a="1"/>
  <c r="G262" i="34" s="1"/>
  <c r="H262" i="34" s="1"/>
  <c r="F247" i="34" a="1"/>
  <c r="F247" i="34" s="1"/>
  <c r="G239" i="34" a="1"/>
  <c r="G239" i="34" s="1"/>
  <c r="H239" i="34" s="1"/>
  <c r="F224" i="34" a="1"/>
  <c r="F224" i="34" s="1"/>
  <c r="I224" i="34" s="1"/>
  <c r="G216" i="34" a="1"/>
  <c r="G216" i="34" s="1"/>
  <c r="H216" i="34" s="1"/>
  <c r="F197" i="34" a="1"/>
  <c r="F197" i="34" s="1"/>
  <c r="I197" i="34" s="1"/>
  <c r="G189" i="34" a="1"/>
  <c r="G189" i="34" s="1"/>
  <c r="H189" i="34" s="1"/>
  <c r="F174" i="34" a="1"/>
  <c r="F174" i="34" s="1"/>
  <c r="G166" i="34" a="1"/>
  <c r="G166" i="34" s="1"/>
  <c r="H166" i="34" s="1"/>
  <c r="F151" i="34" a="1"/>
  <c r="F151" i="34" s="1"/>
  <c r="G143" i="34" a="1"/>
  <c r="G143" i="34" s="1"/>
  <c r="H143" i="34" s="1"/>
  <c r="F128" i="34" a="1"/>
  <c r="F128" i="34" s="1"/>
  <c r="G116" i="34" a="1"/>
  <c r="G116" i="34" s="1"/>
  <c r="H116" i="34" s="1"/>
  <c r="F101" i="34" a="1"/>
  <c r="F101" i="34" s="1"/>
  <c r="G93" i="34" a="1"/>
  <c r="G93" i="34" s="1"/>
  <c r="H93" i="34" s="1"/>
  <c r="F78" i="34" a="1"/>
  <c r="F78" i="34" s="1"/>
  <c r="G70" i="34" a="1"/>
  <c r="G70" i="34" s="1"/>
  <c r="H70" i="34" s="1"/>
  <c r="F55" i="34" a="1"/>
  <c r="F55" i="34" s="1"/>
  <c r="G47" i="34" a="1"/>
  <c r="G47" i="34" s="1"/>
  <c r="H47" i="34" s="1"/>
  <c r="G624" i="34" a="1"/>
  <c r="G624" i="34" s="1"/>
  <c r="H624" i="34" s="1"/>
  <c r="G613" i="34" a="1"/>
  <c r="G613" i="34" s="1"/>
  <c r="H613" i="34" s="1"/>
  <c r="G607" i="34" a="1"/>
  <c r="G607" i="34" s="1"/>
  <c r="H607" i="34" s="1"/>
  <c r="G590" i="34" a="1"/>
  <c r="G590" i="34" s="1"/>
  <c r="H590" i="34" s="1"/>
  <c r="F624" i="34" a="1"/>
  <c r="F624" i="34" s="1"/>
  <c r="G601" i="34" a="1"/>
  <c r="G601" i="34" s="1"/>
  <c r="H601" i="34" s="1"/>
  <c r="F590" i="34" a="1"/>
  <c r="F590" i="34" s="1"/>
  <c r="F573" i="34" a="1"/>
  <c r="F573" i="34" s="1"/>
  <c r="G567" i="34" a="1"/>
  <c r="G567" i="34" s="1"/>
  <c r="H567" i="34" s="1"/>
  <c r="G529" i="34" a="1"/>
  <c r="G529" i="34" s="1"/>
  <c r="H529" i="34" s="1"/>
  <c r="G486" i="34" a="1"/>
  <c r="G486" i="34" s="1"/>
  <c r="H486" i="34" s="1"/>
  <c r="F471" i="34" a="1"/>
  <c r="F471" i="34" s="1"/>
  <c r="I471" i="34" s="1"/>
  <c r="F414" i="34" a="1"/>
  <c r="F414" i="34" s="1"/>
  <c r="I414" i="34" s="1"/>
  <c r="F404" i="34" a="1"/>
  <c r="F404" i="34" s="1"/>
  <c r="F399" i="34" a="1"/>
  <c r="F399" i="34" s="1"/>
  <c r="F394" i="34" a="1"/>
  <c r="F394" i="34" s="1"/>
  <c r="F384" i="34" a="1"/>
  <c r="F384" i="34" s="1"/>
  <c r="G379" i="34" a="1"/>
  <c r="G379" i="34" s="1"/>
  <c r="H379" i="34" s="1"/>
  <c r="G374" i="34" a="1"/>
  <c r="G374" i="34" s="1"/>
  <c r="H374" i="34" s="1"/>
  <c r="F350" i="34" a="1"/>
  <c r="F350" i="34" s="1"/>
  <c r="G345" i="34" a="1"/>
  <c r="G345" i="34" s="1"/>
  <c r="H345" i="34" s="1"/>
  <c r="F336" i="34" a="1"/>
  <c r="F336" i="34" s="1"/>
  <c r="I336" i="34" s="1"/>
  <c r="F327" i="34" a="1"/>
  <c r="F327" i="34" s="1"/>
  <c r="F318" i="34" a="1"/>
  <c r="F318" i="34" s="1"/>
  <c r="I318" i="34" s="1"/>
  <c r="G277" i="34" a="1"/>
  <c r="G277" i="34" s="1"/>
  <c r="H277" i="34" s="1"/>
  <c r="F262" i="34" a="1"/>
  <c r="F262" i="34" s="1"/>
  <c r="I262" i="34" s="1"/>
  <c r="G254" i="34" a="1"/>
  <c r="G254" i="34" s="1"/>
  <c r="H254" i="34" s="1"/>
  <c r="G622" i="34" a="1"/>
  <c r="G622" i="34" s="1"/>
  <c r="H622" i="34" s="1"/>
  <c r="F611" i="34" a="1"/>
  <c r="F611" i="34" s="1"/>
  <c r="I611" i="34" s="1"/>
  <c r="G605" i="34" a="1"/>
  <c r="G605" i="34" s="1"/>
  <c r="H605" i="34" s="1"/>
  <c r="G582" i="34" a="1"/>
  <c r="G582" i="34" s="1"/>
  <c r="H582" i="34" s="1"/>
  <c r="F577" i="34" a="1"/>
  <c r="F577" i="34" s="1"/>
  <c r="F571" i="34" a="1"/>
  <c r="F571" i="34" s="1"/>
  <c r="I571" i="34" s="1"/>
  <c r="F560" i="34" a="1"/>
  <c r="F560" i="34" s="1"/>
  <c r="I560" i="34" s="1"/>
  <c r="G549" i="34" a="1"/>
  <c r="G549" i="34" s="1"/>
  <c r="H549" i="34" s="1"/>
  <c r="F533" i="34" a="1"/>
  <c r="F533" i="34" s="1"/>
  <c r="G522" i="34" a="1"/>
  <c r="G522" i="34" s="1"/>
  <c r="H522" i="34" s="1"/>
  <c r="G511" i="34" a="1"/>
  <c r="G511" i="34" s="1"/>
  <c r="H511" i="34" s="1"/>
  <c r="F490" i="34" a="1"/>
  <c r="F490" i="34" s="1"/>
  <c r="F464" i="34" a="1"/>
  <c r="F464" i="34" s="1"/>
  <c r="G443" i="34" a="1"/>
  <c r="G443" i="34" s="1"/>
  <c r="H443" i="34" s="1"/>
  <c r="F438" i="34" a="1"/>
  <c r="F438" i="34" s="1"/>
  <c r="G412" i="34" a="1"/>
  <c r="G412" i="34" s="1"/>
  <c r="H412" i="34" s="1"/>
  <c r="G407" i="34" a="1"/>
  <c r="G407" i="34" s="1"/>
  <c r="H407" i="34" s="1"/>
  <c r="G392" i="34" a="1"/>
  <c r="G392" i="34" s="1"/>
  <c r="H392" i="34" s="1"/>
  <c r="F363" i="34" a="1"/>
  <c r="F363" i="34" s="1"/>
  <c r="F358" i="34" a="1"/>
  <c r="F358" i="34" s="1"/>
  <c r="G348" i="34" a="1"/>
  <c r="G348" i="34" s="1"/>
  <c r="H348" i="34" s="1"/>
  <c r="G339" i="34" a="1"/>
  <c r="G339" i="34" s="1"/>
  <c r="H339" i="34" s="1"/>
  <c r="G325" i="34" a="1"/>
  <c r="G325" i="34" s="1"/>
  <c r="H325" i="34" s="1"/>
  <c r="F321" i="34" a="1"/>
  <c r="F321" i="34" s="1"/>
  <c r="I321" i="34" s="1"/>
  <c r="G308" i="34" a="1"/>
  <c r="G308" i="34" s="1"/>
  <c r="H308" i="34" s="1"/>
  <c r="G304" i="34" a="1"/>
  <c r="G304" i="34" s="1"/>
  <c r="H304" i="34" s="1"/>
  <c r="G300" i="34" a="1"/>
  <c r="G300" i="34" s="1"/>
  <c r="H300" i="34" s="1"/>
  <c r="F638" i="34" a="1"/>
  <c r="F638" i="34" s="1"/>
  <c r="G623" i="34" a="1"/>
  <c r="G623" i="34" s="1"/>
  <c r="H623" i="34" s="1"/>
  <c r="F616" i="34" a="1"/>
  <c r="F616" i="34" s="1"/>
  <c r="I616" i="34" s="1"/>
  <c r="F601" i="34" a="1"/>
  <c r="F601" i="34" s="1"/>
  <c r="I601" i="34" s="1"/>
  <c r="F566" i="34" a="1"/>
  <c r="F566" i="34" s="1"/>
  <c r="I566" i="34" s="1"/>
  <c r="G559" i="34" a="1"/>
  <c r="G559" i="34" s="1"/>
  <c r="H559" i="34" s="1"/>
  <c r="G539" i="34" a="1"/>
  <c r="G539" i="34" s="1"/>
  <c r="H539" i="34" s="1"/>
  <c r="G506" i="34" a="1"/>
  <c r="G506" i="34" s="1"/>
  <c r="H506" i="34" s="1"/>
  <c r="F493" i="34" a="1"/>
  <c r="F493" i="34" s="1"/>
  <c r="F487" i="34" a="1"/>
  <c r="F487" i="34" s="1"/>
  <c r="F474" i="34" a="1"/>
  <c r="F474" i="34" s="1"/>
  <c r="F455" i="34" a="1"/>
  <c r="F455" i="34" s="1"/>
  <c r="I455" i="34" s="1"/>
  <c r="F449" i="34" a="1"/>
  <c r="F449" i="34" s="1"/>
  <c r="G436" i="34" a="1"/>
  <c r="G436" i="34" s="1"/>
  <c r="H436" i="34" s="1"/>
  <c r="G417" i="34" a="1"/>
  <c r="G417" i="34" s="1"/>
  <c r="H417" i="34" s="1"/>
  <c r="F411" i="34" a="1"/>
  <c r="F411" i="34" s="1"/>
  <c r="F405" i="34" a="1"/>
  <c r="F405" i="34" s="1"/>
  <c r="F393" i="34" a="1"/>
  <c r="F393" i="34" s="1"/>
  <c r="F387" i="34" a="1"/>
  <c r="F387" i="34" s="1"/>
  <c r="F323" i="34" a="1"/>
  <c r="F323" i="34" s="1"/>
  <c r="I323" i="34" s="1"/>
  <c r="G302" i="34" a="1"/>
  <c r="G302" i="34" s="1"/>
  <c r="H302" i="34" s="1"/>
  <c r="G297" i="34" a="1"/>
  <c r="G297" i="34" s="1"/>
  <c r="H297" i="34" s="1"/>
  <c r="F288" i="34" a="1"/>
  <c r="F288" i="34" s="1"/>
  <c r="I288" i="34" s="1"/>
  <c r="G265" i="34" a="1"/>
  <c r="G265" i="34" s="1"/>
  <c r="H265" i="34" s="1"/>
  <c r="F261" i="34" a="1"/>
  <c r="F261" i="34" s="1"/>
  <c r="F252" i="34" a="1"/>
  <c r="F252" i="34" s="1"/>
  <c r="G243" i="34" a="1"/>
  <c r="G243" i="34" s="1"/>
  <c r="H243" i="34" s="1"/>
  <c r="G635" i="34" a="1"/>
  <c r="G635" i="34" s="1"/>
  <c r="H635" i="34" s="1"/>
  <c r="F628" i="34" a="1"/>
  <c r="F628" i="34" s="1"/>
  <c r="I628" i="34" s="1"/>
  <c r="G620" i="34" a="1"/>
  <c r="G620" i="34" s="1"/>
  <c r="H620" i="34" s="1"/>
  <c r="G591" i="34" a="1"/>
  <c r="G591" i="34" s="1"/>
  <c r="H591" i="34" s="1"/>
  <c r="G563" i="34" a="1"/>
  <c r="G563" i="34" s="1"/>
  <c r="H563" i="34" s="1"/>
  <c r="F550" i="34" a="1"/>
  <c r="F550" i="34" s="1"/>
  <c r="G543" i="34" a="1"/>
  <c r="G543" i="34" s="1"/>
  <c r="H543" i="34" s="1"/>
  <c r="G530" i="34" a="1"/>
  <c r="G530" i="34" s="1"/>
  <c r="H530" i="34" s="1"/>
  <c r="G523" i="34" a="1"/>
  <c r="G523" i="34" s="1"/>
  <c r="H523" i="34" s="1"/>
  <c r="F497" i="34" a="1"/>
  <c r="F497" i="34" s="1"/>
  <c r="F484" i="34" a="1"/>
  <c r="F484" i="34" s="1"/>
  <c r="G446" i="34" a="1"/>
  <c r="G446" i="34" s="1"/>
  <c r="H446" i="34" s="1"/>
  <c r="F440" i="34" a="1"/>
  <c r="F440" i="34" s="1"/>
  <c r="G427" i="34" a="1"/>
  <c r="G427" i="34" s="1"/>
  <c r="H427" i="34" s="1"/>
  <c r="F421" i="34" a="1"/>
  <c r="F421" i="34" s="1"/>
  <c r="I421" i="34" s="1"/>
  <c r="G408" i="34" a="1"/>
  <c r="G408" i="34" s="1"/>
  <c r="H408" i="34" s="1"/>
  <c r="G402" i="34" a="1"/>
  <c r="G402" i="34" s="1"/>
  <c r="H402" i="34" s="1"/>
  <c r="G396" i="34" a="1"/>
  <c r="G396" i="34" s="1"/>
  <c r="H396" i="34" s="1"/>
  <c r="G390" i="34" a="1"/>
  <c r="G390" i="34" s="1"/>
  <c r="H390" i="34" s="1"/>
  <c r="G378" i="34" a="1"/>
  <c r="G378" i="34" s="1"/>
  <c r="H378" i="34" s="1"/>
  <c r="F343" i="34" a="1"/>
  <c r="F343" i="34" s="1"/>
  <c r="I343" i="34" s="1"/>
  <c r="G310" i="34" a="1"/>
  <c r="G310" i="34" s="1"/>
  <c r="H310" i="34" s="1"/>
  <c r="G286" i="34" a="1"/>
  <c r="G286" i="34" s="1"/>
  <c r="H286" i="34" s="1"/>
  <c r="G204" i="34" a="1"/>
  <c r="G204" i="34" s="1"/>
  <c r="H204" i="34" s="1"/>
  <c r="G200" i="34" a="1"/>
  <c r="G200" i="34" s="1"/>
  <c r="H200" i="34" s="1"/>
  <c r="G196" i="34" a="1"/>
  <c r="G196" i="34" s="1"/>
  <c r="H196" i="34" s="1"/>
  <c r="G192" i="34" a="1"/>
  <c r="G192" i="34" s="1"/>
  <c r="H192" i="34" s="1"/>
  <c r="G188" i="34" a="1"/>
  <c r="G188" i="34" s="1"/>
  <c r="H188" i="34" s="1"/>
  <c r="G184" i="34" a="1"/>
  <c r="G184" i="34" s="1"/>
  <c r="H184" i="34" s="1"/>
  <c r="G180" i="34" a="1"/>
  <c r="G180" i="34" s="1"/>
  <c r="H180" i="34" s="1"/>
  <c r="G176" i="34" a="1"/>
  <c r="G176" i="34" s="1"/>
  <c r="H176" i="34" s="1"/>
  <c r="G172" i="34" a="1"/>
  <c r="G172" i="34" s="1"/>
  <c r="H172" i="34" s="1"/>
  <c r="G168" i="34" a="1"/>
  <c r="G168" i="34" s="1"/>
  <c r="H168" i="34" s="1"/>
  <c r="F32" i="34" a="1"/>
  <c r="F32" i="34" s="1"/>
  <c r="G24" i="34" a="1"/>
  <c r="G24" i="34" s="1"/>
  <c r="H24" i="34" s="1"/>
  <c r="F9" i="34" a="1"/>
  <c r="F9" i="34" s="1"/>
  <c r="F635" i="34" a="1"/>
  <c r="F635" i="34" s="1"/>
  <c r="F598" i="34" a="1"/>
  <c r="F598" i="34" s="1"/>
  <c r="F591" i="34" a="1"/>
  <c r="F591" i="34" s="1"/>
  <c r="F510" i="34" a="1"/>
  <c r="F510" i="34" s="1"/>
  <c r="G490" i="34" a="1"/>
  <c r="G490" i="34" s="1"/>
  <c r="H490" i="34" s="1"/>
  <c r="G452" i="34" a="1"/>
  <c r="G452" i="34" s="1"/>
  <c r="H452" i="34" s="1"/>
  <c r="F402" i="34" a="1"/>
  <c r="F402" i="34" s="1"/>
  <c r="F396" i="34" a="1"/>
  <c r="F396" i="34" s="1"/>
  <c r="F372" i="34" a="1"/>
  <c r="F372" i="34" s="1"/>
  <c r="F366" i="34" a="1"/>
  <c r="F366" i="34" s="1"/>
  <c r="F354" i="34" a="1"/>
  <c r="F354" i="34" s="1"/>
  <c r="G634" i="34" a="1"/>
  <c r="G634" i="34" s="1"/>
  <c r="H634" i="34" s="1"/>
  <c r="F620" i="34" a="1"/>
  <c r="F620" i="34" s="1"/>
  <c r="F612" i="34" a="1"/>
  <c r="F612" i="34" s="1"/>
  <c r="F605" i="34" a="1"/>
  <c r="F605" i="34" s="1"/>
  <c r="F583" i="34" a="1"/>
  <c r="F583" i="34" s="1"/>
  <c r="G576" i="34" a="1"/>
  <c r="G576" i="34" s="1"/>
  <c r="H576" i="34" s="1"/>
  <c r="G569" i="34" a="1"/>
  <c r="G569" i="34" s="1"/>
  <c r="H569" i="34" s="1"/>
  <c r="F563" i="34" a="1"/>
  <c r="F563" i="34" s="1"/>
  <c r="F523" i="34" a="1"/>
  <c r="F523" i="34" s="1"/>
  <c r="G516" i="34" a="1"/>
  <c r="G516" i="34" s="1"/>
  <c r="H516" i="34" s="1"/>
  <c r="G503" i="34" a="1"/>
  <c r="G503" i="34" s="1"/>
  <c r="H503" i="34" s="1"/>
  <c r="G458" i="34" a="1"/>
  <c r="G458" i="34" s="1"/>
  <c r="H458" i="34" s="1"/>
  <c r="F446" i="34" a="1"/>
  <c r="F446" i="34" s="1"/>
  <c r="I446" i="34" s="1"/>
  <c r="G439" i="34" a="1"/>
  <c r="G439" i="34" s="1"/>
  <c r="H439" i="34" s="1"/>
  <c r="G433" i="34" a="1"/>
  <c r="G433" i="34" s="1"/>
  <c r="H433" i="34" s="1"/>
  <c r="F408" i="34" a="1"/>
  <c r="F408" i="34" s="1"/>
  <c r="I408" i="34" s="1"/>
  <c r="F575" i="34" a="1"/>
  <c r="F575" i="34" s="1"/>
  <c r="F559" i="34" a="1"/>
  <c r="F559" i="34" s="1"/>
  <c r="G551" i="34" a="1"/>
  <c r="G551" i="34" s="1"/>
  <c r="H551" i="34" s="1"/>
  <c r="G542" i="34" a="1"/>
  <c r="G542" i="34" s="1"/>
  <c r="H542" i="34" s="1"/>
  <c r="F527" i="34" a="1"/>
  <c r="F527" i="34" s="1"/>
  <c r="G494" i="34" a="1"/>
  <c r="G494" i="34" s="1"/>
  <c r="H494" i="34" s="1"/>
  <c r="G463" i="34" a="1"/>
  <c r="G463" i="34" s="1"/>
  <c r="H463" i="34" s="1"/>
  <c r="F441" i="34" a="1"/>
  <c r="F441" i="34" s="1"/>
  <c r="F425" i="34" a="1"/>
  <c r="F425" i="34" s="1"/>
  <c r="F417" i="34" a="1"/>
  <c r="F417" i="34" s="1"/>
  <c r="F388" i="34" a="1"/>
  <c r="F388" i="34" s="1"/>
  <c r="G381" i="34" a="1"/>
  <c r="G381" i="34" s="1"/>
  <c r="H381" i="34" s="1"/>
  <c r="F374" i="34" a="1"/>
  <c r="F374" i="34" s="1"/>
  <c r="G353" i="34" a="1"/>
  <c r="G353" i="34" s="1"/>
  <c r="H353" i="34" s="1"/>
  <c r="F335" i="34" a="1"/>
  <c r="F335" i="34" s="1"/>
  <c r="G328" i="34" a="1"/>
  <c r="G328" i="34" s="1"/>
  <c r="H328" i="34" s="1"/>
  <c r="F322" i="34" a="1"/>
  <c r="F322" i="34" s="1"/>
  <c r="F311" i="34" a="1"/>
  <c r="F311" i="34" s="1"/>
  <c r="G305" i="34" a="1"/>
  <c r="G305" i="34" s="1"/>
  <c r="H305" i="34" s="1"/>
  <c r="G284" i="34" a="1"/>
  <c r="G284" i="34" s="1"/>
  <c r="H284" i="34" s="1"/>
  <c r="G269" i="34" a="1"/>
  <c r="G269" i="34" s="1"/>
  <c r="H269" i="34" s="1"/>
  <c r="F255" i="34" a="1"/>
  <c r="F255" i="34" s="1"/>
  <c r="G231" i="34" a="1"/>
  <c r="G231" i="34" s="1"/>
  <c r="H231" i="34" s="1"/>
  <c r="F227" i="34" a="1"/>
  <c r="F227" i="34" s="1"/>
  <c r="G214" i="34" a="1"/>
  <c r="G214" i="34" s="1"/>
  <c r="H214" i="34" s="1"/>
  <c r="F206" i="34" a="1"/>
  <c r="F206" i="34" s="1"/>
  <c r="G193" i="34" a="1"/>
  <c r="G193" i="34" s="1"/>
  <c r="H193" i="34" s="1"/>
  <c r="F189" i="34" a="1"/>
  <c r="F189" i="34" s="1"/>
  <c r="G155" i="34" a="1"/>
  <c r="G155" i="34" s="1"/>
  <c r="H155" i="34" s="1"/>
  <c r="G138" i="34" a="1"/>
  <c r="G138" i="34" s="1"/>
  <c r="H138" i="34" s="1"/>
  <c r="F130" i="34" a="1"/>
  <c r="F130" i="34" s="1"/>
  <c r="I130" i="34" s="1"/>
  <c r="G113" i="34" a="1"/>
  <c r="G113" i="34" s="1"/>
  <c r="H113" i="34" s="1"/>
  <c r="F109" i="34" a="1"/>
  <c r="F109" i="34" s="1"/>
  <c r="G96" i="34" a="1"/>
  <c r="G96" i="34" s="1"/>
  <c r="H96" i="34" s="1"/>
  <c r="F88" i="34" a="1"/>
  <c r="F88" i="34" s="1"/>
  <c r="G79" i="34" a="1"/>
  <c r="G79" i="34" s="1"/>
  <c r="H79" i="34" s="1"/>
  <c r="F71" i="34" a="1"/>
  <c r="F71" i="34" s="1"/>
  <c r="G58" i="34" a="1"/>
  <c r="G58" i="34" s="1"/>
  <c r="H58" i="34" s="1"/>
  <c r="F54" i="34" a="1"/>
  <c r="F54" i="34" s="1"/>
  <c r="G619" i="34" a="1"/>
  <c r="G619" i="34" s="1"/>
  <c r="H619" i="34" s="1"/>
  <c r="G610" i="34" a="1"/>
  <c r="G610" i="34" s="1"/>
  <c r="H610" i="34" s="1"/>
  <c r="G602" i="34" a="1"/>
  <c r="G602" i="34" s="1"/>
  <c r="H602" i="34" s="1"/>
  <c r="F584" i="34" a="1"/>
  <c r="F584" i="34" s="1"/>
  <c r="I584" i="34" s="1"/>
  <c r="F567" i="34" a="1"/>
  <c r="F567" i="34" s="1"/>
  <c r="I567" i="34" s="1"/>
  <c r="G534" i="34" a="1"/>
  <c r="G534" i="34" s="1"/>
  <c r="H534" i="34" s="1"/>
  <c r="G526" i="34" a="1"/>
  <c r="G526" i="34" s="1"/>
  <c r="H526" i="34" s="1"/>
  <c r="F479" i="34" a="1"/>
  <c r="F479" i="34" s="1"/>
  <c r="I479" i="34" s="1"/>
  <c r="F463" i="34" a="1"/>
  <c r="F463" i="34" s="1"/>
  <c r="F448" i="34" a="1"/>
  <c r="F448" i="34" s="1"/>
  <c r="I448" i="34" s="1"/>
  <c r="F395" i="34" a="1"/>
  <c r="F395" i="34" s="1"/>
  <c r="I395" i="34" s="1"/>
  <c r="F381" i="34" a="1"/>
  <c r="F381" i="34" s="1"/>
  <c r="G367" i="34" a="1"/>
  <c r="G367" i="34" s="1"/>
  <c r="H367" i="34" s="1"/>
  <c r="F347" i="34" a="1"/>
  <c r="F347" i="34" s="1"/>
  <c r="G340" i="34" a="1"/>
  <c r="G340" i="34" s="1"/>
  <c r="H340" i="34" s="1"/>
  <c r="G334" i="34" a="1"/>
  <c r="G334" i="34" s="1"/>
  <c r="H334" i="34" s="1"/>
  <c r="F328" i="34" a="1"/>
  <c r="F328" i="34" s="1"/>
  <c r="I328" i="34" s="1"/>
  <c r="F305" i="34" a="1"/>
  <c r="F305" i="34" s="1"/>
  <c r="F634" i="34" a="1"/>
  <c r="F634" i="34" s="1"/>
  <c r="G616" i="34" a="1"/>
  <c r="G616" i="34" s="1"/>
  <c r="H616" i="34" s="1"/>
  <c r="F589" i="34" a="1"/>
  <c r="F589" i="34" s="1"/>
  <c r="F581" i="34" a="1"/>
  <c r="F581" i="34" s="1"/>
  <c r="F515" i="34" a="1"/>
  <c r="F515" i="34" s="1"/>
  <c r="F499" i="34" a="1"/>
  <c r="F499" i="34" s="1"/>
  <c r="I499" i="34" s="1"/>
  <c r="F468" i="34" a="1"/>
  <c r="F468" i="34" s="1"/>
  <c r="I468" i="34" s="1"/>
  <c r="G460" i="34" a="1"/>
  <c r="G460" i="34" s="1"/>
  <c r="H460" i="34" s="1"/>
  <c r="G429" i="34" a="1"/>
  <c r="G429" i="34" s="1"/>
  <c r="H429" i="34" s="1"/>
  <c r="F422" i="34" a="1"/>
  <c r="F422" i="34" s="1"/>
  <c r="F406" i="34" a="1"/>
  <c r="F406" i="34" s="1"/>
  <c r="I406" i="34" s="1"/>
  <c r="G371" i="34" a="1"/>
  <c r="G371" i="34" s="1"/>
  <c r="H371" i="34" s="1"/>
  <c r="F351" i="34" a="1"/>
  <c r="F351" i="34" s="1"/>
  <c r="G344" i="34" a="1"/>
  <c r="G344" i="34" s="1"/>
  <c r="H344" i="34" s="1"/>
  <c r="F338" i="34" a="1"/>
  <c r="F338" i="34" s="1"/>
  <c r="I338" i="34" s="1"/>
  <c r="F320" i="34" a="1"/>
  <c r="F320" i="34" s="1"/>
  <c r="G314" i="34" a="1"/>
  <c r="G314" i="34" s="1"/>
  <c r="H314" i="34" s="1"/>
  <c r="F303" i="34" a="1"/>
  <c r="F303" i="34" s="1"/>
  <c r="F298" i="34" a="1"/>
  <c r="F298" i="34" s="1"/>
  <c r="G272" i="34" a="1"/>
  <c r="G272" i="34" s="1"/>
  <c r="H272" i="34" s="1"/>
  <c r="F253" i="34" a="1"/>
  <c r="F253" i="34" s="1"/>
  <c r="I253" i="34" s="1"/>
  <c r="F248" i="34" a="1"/>
  <c r="F248" i="34" s="1"/>
  <c r="F243" i="34" a="1"/>
  <c r="F243" i="34" s="1"/>
  <c r="G225" i="34" a="1"/>
  <c r="G225" i="34" s="1"/>
  <c r="H225" i="34" s="1"/>
  <c r="F217" i="34" a="1"/>
  <c r="F217" i="34" s="1"/>
  <c r="F204" i="34" a="1"/>
  <c r="F204" i="34" s="1"/>
  <c r="G187" i="34" a="1"/>
  <c r="G187" i="34" s="1"/>
  <c r="H187" i="34" s="1"/>
  <c r="F162" i="34" a="1"/>
  <c r="F162" i="34" s="1"/>
  <c r="I162" i="34" s="1"/>
  <c r="G149" i="34" a="1"/>
  <c r="G149" i="34" s="1"/>
  <c r="H149" i="34" s="1"/>
  <c r="F141" i="34" a="1"/>
  <c r="F141" i="34" s="1"/>
  <c r="G124" i="34" a="1"/>
  <c r="G124" i="34" s="1"/>
  <c r="H124" i="34" s="1"/>
  <c r="G111" i="34" a="1"/>
  <c r="G111" i="34" s="1"/>
  <c r="H111" i="34" s="1"/>
  <c r="F103" i="34" a="1"/>
  <c r="F103" i="34" s="1"/>
  <c r="G90" i="34" a="1"/>
  <c r="G90" i="34" s="1"/>
  <c r="H90" i="34" s="1"/>
  <c r="F82" i="34" a="1"/>
  <c r="F82" i="34" s="1"/>
  <c r="G69" i="34" a="1"/>
  <c r="G69" i="34" s="1"/>
  <c r="H69" i="34" s="1"/>
  <c r="F65" i="34" a="1"/>
  <c r="F65" i="34" s="1"/>
  <c r="I65" i="34" s="1"/>
  <c r="G633" i="34" a="1"/>
  <c r="G633" i="34" s="1"/>
  <c r="H633" i="34" s="1"/>
  <c r="G615" i="34" a="1"/>
  <c r="G615" i="34" s="1"/>
  <c r="H615" i="34" s="1"/>
  <c r="F555" i="34" a="1"/>
  <c r="F555" i="34" s="1"/>
  <c r="F547" i="34" a="1"/>
  <c r="F547" i="34" s="1"/>
  <c r="F531" i="34" a="1"/>
  <c r="F531" i="34" s="1"/>
  <c r="G467" i="34" a="1"/>
  <c r="G467" i="34" s="1"/>
  <c r="H467" i="34" s="1"/>
  <c r="G398" i="34" a="1"/>
  <c r="G398" i="34" s="1"/>
  <c r="H398" i="34" s="1"/>
  <c r="F385" i="34" a="1"/>
  <c r="F385" i="34" s="1"/>
  <c r="I385" i="34" s="1"/>
  <c r="F371" i="34" a="1"/>
  <c r="F371" i="34" s="1"/>
  <c r="F344" i="34" a="1"/>
  <c r="F344" i="34" s="1"/>
  <c r="G331" i="34" a="1"/>
  <c r="G331" i="34" s="1"/>
  <c r="H331" i="34" s="1"/>
  <c r="F292" i="34" a="1"/>
  <c r="F292" i="34" s="1"/>
  <c r="F287" i="34" a="1"/>
  <c r="F287" i="34" s="1"/>
  <c r="F272" i="34" a="1"/>
  <c r="F272" i="34" s="1"/>
  <c r="I272" i="34" s="1"/>
  <c r="G257" i="34" a="1"/>
  <c r="G257" i="34" s="1"/>
  <c r="H257" i="34" s="1"/>
  <c r="F225" i="34" a="1"/>
  <c r="F225" i="34" s="1"/>
  <c r="I225" i="34" s="1"/>
  <c r="G195" i="34" a="1"/>
  <c r="G195" i="34" s="1"/>
  <c r="H195" i="34" s="1"/>
  <c r="F187" i="34" a="1"/>
  <c r="F187" i="34" s="1"/>
  <c r="G174" i="34" a="1"/>
  <c r="G174" i="34" s="1"/>
  <c r="H174" i="34" s="1"/>
  <c r="F170" i="34" a="1"/>
  <c r="F170" i="34" s="1"/>
  <c r="F149" i="34" a="1"/>
  <c r="F149" i="34" s="1"/>
  <c r="G132" i="34" a="1"/>
  <c r="G132" i="34" s="1"/>
  <c r="H132" i="34" s="1"/>
  <c r="G119" i="34" a="1"/>
  <c r="G119" i="34" s="1"/>
  <c r="H119" i="34" s="1"/>
  <c r="F111" i="34" a="1"/>
  <c r="F111" i="34" s="1"/>
  <c r="F90" i="34" a="1"/>
  <c r="F90" i="34" s="1"/>
  <c r="G77" i="34" a="1"/>
  <c r="G77" i="34" s="1"/>
  <c r="H77" i="34" s="1"/>
  <c r="G56" i="34" a="1"/>
  <c r="G56" i="34" s="1"/>
  <c r="H56" i="34" s="1"/>
  <c r="F48" i="34" a="1"/>
  <c r="F48" i="34" s="1"/>
  <c r="F615" i="34" a="1"/>
  <c r="F615" i="34" s="1"/>
  <c r="G606" i="34" a="1"/>
  <c r="G606" i="34" s="1"/>
  <c r="H606" i="34" s="1"/>
  <c r="F597" i="34" a="1"/>
  <c r="F597" i="34" s="1"/>
  <c r="G579" i="34" a="1"/>
  <c r="G579" i="34" s="1"/>
  <c r="H579" i="34" s="1"/>
  <c r="G571" i="34" a="1"/>
  <c r="G571" i="34" s="1"/>
  <c r="H571" i="34" s="1"/>
  <c r="F522" i="34" a="1"/>
  <c r="F522" i="34" s="1"/>
  <c r="F506" i="34" a="1"/>
  <c r="F506" i="34" s="1"/>
  <c r="G482" i="34" a="1"/>
  <c r="G482" i="34" s="1"/>
  <c r="H482" i="34" s="1"/>
  <c r="F475" i="34" a="1"/>
  <c r="F475" i="34" s="1"/>
  <c r="F444" i="34" a="1"/>
  <c r="F444" i="34" s="1"/>
  <c r="I444" i="34" s="1"/>
  <c r="F436" i="34" a="1"/>
  <c r="F436" i="34" s="1"/>
  <c r="I436" i="34" s="1"/>
  <c r="G420" i="34" a="1"/>
  <c r="G420" i="34" s="1"/>
  <c r="H420" i="34" s="1"/>
  <c r="G391" i="34" a="1"/>
  <c r="G391" i="34" s="1"/>
  <c r="H391" i="34" s="1"/>
  <c r="G377" i="34" a="1"/>
  <c r="G377" i="34" s="1"/>
  <c r="H377" i="34" s="1"/>
  <c r="G337" i="34" a="1"/>
  <c r="G337" i="34" s="1"/>
  <c r="H337" i="34" s="1"/>
  <c r="G319" i="34" a="1"/>
  <c r="G319" i="34" s="1"/>
  <c r="H319" i="34" s="1"/>
  <c r="F308" i="34" a="1"/>
  <c r="F308" i="34" s="1"/>
  <c r="F297" i="34" a="1"/>
  <c r="F297" i="34" s="1"/>
  <c r="F282" i="34" a="1"/>
  <c r="F282" i="34" s="1"/>
  <c r="F631" i="34" a="1"/>
  <c r="F631" i="34" s="1"/>
  <c r="G603" i="34" a="1"/>
  <c r="G603" i="34" s="1"/>
  <c r="H603" i="34" s="1"/>
  <c r="F595" i="34" a="1"/>
  <c r="F595" i="34" s="1"/>
  <c r="F536" i="34" a="1"/>
  <c r="F536" i="34" s="1"/>
  <c r="F488" i="34" a="1"/>
  <c r="F488" i="34" s="1"/>
  <c r="F480" i="34" a="1"/>
  <c r="F480" i="34" s="1"/>
  <c r="F426" i="34" a="1"/>
  <c r="F426" i="34" s="1"/>
  <c r="G403" i="34" a="1"/>
  <c r="G403" i="34" s="1"/>
  <c r="H403" i="34" s="1"/>
  <c r="G382" i="34" a="1"/>
  <c r="G382" i="34" s="1"/>
  <c r="H382" i="34" s="1"/>
  <c r="F355" i="34" a="1"/>
  <c r="F355" i="34" s="1"/>
  <c r="I355" i="34" s="1"/>
  <c r="F348" i="34" a="1"/>
  <c r="F348" i="34" s="1"/>
  <c r="I348" i="34" s="1"/>
  <c r="G329" i="34" a="1"/>
  <c r="G329" i="34" s="1"/>
  <c r="H329" i="34" s="1"/>
  <c r="F312" i="34" a="1"/>
  <c r="F312" i="34" s="1"/>
  <c r="I312" i="34" s="1"/>
  <c r="G306" i="34" a="1"/>
  <c r="G306" i="34" s="1"/>
  <c r="H306" i="34" s="1"/>
  <c r="F301" i="34" a="1"/>
  <c r="F301" i="34" s="1"/>
  <c r="G275" i="34" a="1"/>
  <c r="G275" i="34" s="1"/>
  <c r="H275" i="34" s="1"/>
  <c r="F251" i="34" a="1"/>
  <c r="F251" i="34" s="1"/>
  <c r="F246" i="34" a="1"/>
  <c r="F246" i="34" s="1"/>
  <c r="F241" i="34" a="1"/>
  <c r="F241" i="34" s="1"/>
  <c r="I241" i="34" s="1"/>
  <c r="F215" i="34" a="1"/>
  <c r="F215" i="34" s="1"/>
  <c r="G198" i="34" a="1"/>
  <c r="G198" i="34" s="1"/>
  <c r="H198" i="34" s="1"/>
  <c r="G181" i="34" a="1"/>
  <c r="G181" i="34" s="1"/>
  <c r="H181" i="34" s="1"/>
  <c r="F173" i="34" a="1"/>
  <c r="F173" i="34" s="1"/>
  <c r="G160" i="34" a="1"/>
  <c r="G160" i="34" s="1"/>
  <c r="H160" i="34" s="1"/>
  <c r="F156" i="34" a="1"/>
  <c r="F156" i="34" s="1"/>
  <c r="G122" i="34" a="1"/>
  <c r="G122" i="34" s="1"/>
  <c r="H122" i="34" s="1"/>
  <c r="F17" i="34" a="1"/>
  <c r="F17" i="34" s="1"/>
  <c r="I17" i="34" s="1"/>
  <c r="G21" i="34" a="1"/>
  <c r="G21" i="34" s="1"/>
  <c r="H21" i="34" s="1"/>
  <c r="F26" i="34" a="1"/>
  <c r="F26" i="34" s="1"/>
  <c r="G30" i="34" a="1"/>
  <c r="G30" i="34" s="1"/>
  <c r="H30" i="34" s="1"/>
  <c r="F39" i="34" a="1"/>
  <c r="F39" i="34" s="1"/>
  <c r="G43" i="34" a="1"/>
  <c r="G43" i="34" s="1"/>
  <c r="H43" i="34" s="1"/>
  <c r="G48" i="34" a="1"/>
  <c r="G48" i="34" s="1"/>
  <c r="H48" i="34" s="1"/>
  <c r="G57" i="34" a="1"/>
  <c r="G57" i="34" s="1"/>
  <c r="H57" i="34" s="1"/>
  <c r="F62" i="34" a="1"/>
  <c r="F62" i="34" s="1"/>
  <c r="I62" i="34" s="1"/>
  <c r="F67" i="34" a="1"/>
  <c r="F67" i="34" s="1"/>
  <c r="G81" i="34" a="1"/>
  <c r="G81" i="34" s="1"/>
  <c r="H81" i="34" s="1"/>
  <c r="G91" i="34" a="1"/>
  <c r="G91" i="34" s="1"/>
  <c r="H91" i="34" s="1"/>
  <c r="F106" i="34" a="1"/>
  <c r="F106" i="34" s="1"/>
  <c r="F136" i="34" a="1"/>
  <c r="F136" i="34" s="1"/>
  <c r="G141" i="34" a="1"/>
  <c r="G141" i="34" s="1"/>
  <c r="H141" i="34" s="1"/>
  <c r="G146" i="34" a="1"/>
  <c r="G146" i="34" s="1"/>
  <c r="H146" i="34" s="1"/>
  <c r="F167" i="34" a="1"/>
  <c r="F167" i="34" s="1"/>
  <c r="F172" i="34" a="1"/>
  <c r="F172" i="34" s="1"/>
  <c r="G177" i="34" a="1"/>
  <c r="G177" i="34" s="1"/>
  <c r="H177" i="34" s="1"/>
  <c r="G182" i="34" a="1"/>
  <c r="G182" i="34" s="1"/>
  <c r="H182" i="34" s="1"/>
  <c r="F198" i="34" a="1"/>
  <c r="F198" i="34" s="1"/>
  <c r="F203" i="34" a="1"/>
  <c r="F203" i="34" s="1"/>
  <c r="I203" i="34" s="1"/>
  <c r="F208" i="34" a="1"/>
  <c r="F208" i="34" s="1"/>
  <c r="I208" i="34" s="1"/>
  <c r="G218" i="34" a="1"/>
  <c r="G218" i="34" s="1"/>
  <c r="H218" i="34" s="1"/>
  <c r="F281" i="34" a="1"/>
  <c r="F281" i="34" s="1"/>
  <c r="G288" i="34" a="1"/>
  <c r="G288" i="34" s="1"/>
  <c r="H288" i="34" s="1"/>
  <c r="G309" i="34" a="1"/>
  <c r="G309" i="34" s="1"/>
  <c r="H309" i="34" s="1"/>
  <c r="F342" i="34" a="1"/>
  <c r="F342" i="34" s="1"/>
  <c r="G351" i="34" a="1"/>
  <c r="G351" i="34" s="1"/>
  <c r="H351" i="34" s="1"/>
  <c r="G359" i="34" a="1"/>
  <c r="G359" i="34" s="1"/>
  <c r="H359" i="34" s="1"/>
  <c r="F398" i="34" a="1"/>
  <c r="F398" i="34" s="1"/>
  <c r="I398" i="34" s="1"/>
  <c r="G450" i="34" a="1"/>
  <c r="G450" i="34" s="1"/>
  <c r="H450" i="34" s="1"/>
  <c r="G461" i="34" a="1"/>
  <c r="G461" i="34" s="1"/>
  <c r="H461" i="34" s="1"/>
  <c r="F526" i="34" a="1"/>
  <c r="F526" i="34" s="1"/>
  <c r="F582" i="34" a="1"/>
  <c r="F582" i="34" s="1"/>
  <c r="G8" i="34" a="1"/>
  <c r="G8" i="34" s="1"/>
  <c r="H8" i="34" s="1"/>
  <c r="F44" i="34" a="1"/>
  <c r="F44" i="34" s="1"/>
  <c r="I44" i="34" s="1"/>
  <c r="F53" i="34" a="1"/>
  <c r="F53" i="34" s="1"/>
  <c r="F72" i="34" a="1"/>
  <c r="F72" i="34" s="1"/>
  <c r="G101" i="34" a="1"/>
  <c r="G101" i="34" s="1"/>
  <c r="H101" i="34" s="1"/>
  <c r="F116" i="34" a="1"/>
  <c r="F116" i="34" s="1"/>
  <c r="I116" i="34" s="1"/>
  <c r="F121" i="34" a="1"/>
  <c r="F121" i="34" s="1"/>
  <c r="F126" i="34" a="1"/>
  <c r="F126" i="34" s="1"/>
  <c r="F131" i="34" a="1"/>
  <c r="F131" i="34" s="1"/>
  <c r="G136" i="34" a="1"/>
  <c r="G136" i="34" s="1"/>
  <c r="H136" i="34" s="1"/>
  <c r="F229" i="34" a="1"/>
  <c r="F229" i="34" s="1"/>
  <c r="G282" i="34" a="1"/>
  <c r="G282" i="34" s="1"/>
  <c r="H282" i="34" s="1"/>
  <c r="F295" i="34" a="1"/>
  <c r="F295" i="34" s="1"/>
  <c r="F302" i="34" a="1"/>
  <c r="F302" i="34" s="1"/>
  <c r="G317" i="34" a="1"/>
  <c r="G317" i="34" s="1"/>
  <c r="H317" i="34" s="1"/>
  <c r="G333" i="34" a="1"/>
  <c r="G333" i="34" s="1"/>
  <c r="H333" i="34" s="1"/>
  <c r="F370" i="34" a="1"/>
  <c r="F370" i="34" s="1"/>
  <c r="I370" i="34" s="1"/>
  <c r="F389" i="34" a="1"/>
  <c r="F389" i="34" s="1"/>
  <c r="I389" i="34" s="1"/>
  <c r="G430" i="34" a="1"/>
  <c r="G430" i="34" s="1"/>
  <c r="H430" i="34" s="1"/>
  <c r="F462" i="34" a="1"/>
  <c r="F462" i="34" s="1"/>
  <c r="G472" i="34" a="1"/>
  <c r="G472" i="34" s="1"/>
  <c r="H472" i="34" s="1"/>
  <c r="G493" i="34" a="1"/>
  <c r="G493" i="34" s="1"/>
  <c r="H493" i="34" s="1"/>
  <c r="F538" i="34" a="1"/>
  <c r="F538" i="34" s="1"/>
  <c r="G595" i="34" a="1"/>
  <c r="G595" i="34" s="1"/>
  <c r="H595" i="34" s="1"/>
  <c r="G632" i="34" a="1"/>
  <c r="G632" i="34" s="1"/>
  <c r="H632" i="34" s="1"/>
  <c r="G487" i="34" a="1"/>
  <c r="G487" i="34" s="1"/>
  <c r="H487" i="34" s="1"/>
  <c r="G531" i="34" a="1"/>
  <c r="G531" i="34" s="1"/>
  <c r="H531" i="34" s="1"/>
  <c r="G587" i="34" a="1"/>
  <c r="G587" i="34" s="1"/>
  <c r="H587" i="34" s="1"/>
  <c r="F600" i="34" a="1"/>
  <c r="F600" i="34" s="1"/>
  <c r="G625" i="34" a="1"/>
  <c r="G625" i="34" s="1"/>
  <c r="H625" i="34" s="1"/>
  <c r="G637" i="34" a="1"/>
  <c r="G637" i="34" s="1"/>
  <c r="H637" i="34" s="1"/>
  <c r="F19" i="34" a="1"/>
  <c r="F19" i="34" s="1"/>
  <c r="I19" i="34" s="1"/>
  <c r="G23" i="34" a="1"/>
  <c r="G23" i="34" s="1"/>
  <c r="H23" i="34" s="1"/>
  <c r="G32" i="34" a="1"/>
  <c r="G32" i="34" s="1"/>
  <c r="H32" i="34" s="1"/>
  <c r="F74" i="34" a="1"/>
  <c r="F74" i="34" s="1"/>
  <c r="I74" i="34" s="1"/>
  <c r="F84" i="34" a="1"/>
  <c r="F84" i="34" s="1"/>
  <c r="G103" i="34" a="1"/>
  <c r="G103" i="34" s="1"/>
  <c r="H103" i="34" s="1"/>
  <c r="F118" i="34" a="1"/>
  <c r="F118" i="34" s="1"/>
  <c r="I118" i="34" s="1"/>
  <c r="G128" i="34" a="1"/>
  <c r="G128" i="34" s="1"/>
  <c r="H128" i="34" s="1"/>
  <c r="G133" i="34" a="1"/>
  <c r="G133" i="34" s="1"/>
  <c r="H133" i="34" s="1"/>
  <c r="F154" i="34" a="1"/>
  <c r="F154" i="34" s="1"/>
  <c r="I154" i="34" s="1"/>
  <c r="F159" i="34" a="1"/>
  <c r="F159" i="34" s="1"/>
  <c r="F164" i="34" a="1"/>
  <c r="F164" i="34" s="1"/>
  <c r="G169" i="34" a="1"/>
  <c r="G169" i="34" s="1"/>
  <c r="H169" i="34" s="1"/>
  <c r="F195" i="34" a="1"/>
  <c r="F195" i="34" s="1"/>
  <c r="F221" i="34" a="1"/>
  <c r="F221" i="34" s="1"/>
  <c r="I221" i="34" s="1"/>
  <c r="F226" i="34" a="1"/>
  <c r="F226" i="34" s="1"/>
  <c r="G248" i="34" a="1"/>
  <c r="G248" i="34" s="1"/>
  <c r="H248" i="34" s="1"/>
  <c r="F254" i="34" a="1"/>
  <c r="F254" i="34" s="1"/>
  <c r="G260" i="34" a="1"/>
  <c r="G260" i="34" s="1"/>
  <c r="H260" i="34" s="1"/>
  <c r="G266" i="34" a="1"/>
  <c r="G266" i="34" s="1"/>
  <c r="H266" i="34" s="1"/>
  <c r="G278" i="34" a="1"/>
  <c r="G278" i="34" s="1"/>
  <c r="H278" i="34" s="1"/>
  <c r="G298" i="34" a="1"/>
  <c r="G298" i="34" s="1"/>
  <c r="H298" i="34" s="1"/>
  <c r="F313" i="34" a="1"/>
  <c r="F313" i="34" s="1"/>
  <c r="I313" i="34" s="1"/>
  <c r="F337" i="34" a="1"/>
  <c r="F337" i="34" s="1"/>
  <c r="G355" i="34" a="1"/>
  <c r="G355" i="34" s="1"/>
  <c r="H355" i="34" s="1"/>
  <c r="G383" i="34" a="1"/>
  <c r="G383" i="34" s="1"/>
  <c r="H383" i="34" s="1"/>
  <c r="F403" i="34" a="1"/>
  <c r="F403" i="34" s="1"/>
  <c r="G423" i="34" a="1"/>
  <c r="G423" i="34" s="1"/>
  <c r="H423" i="34" s="1"/>
  <c r="F498" i="34" a="1"/>
  <c r="F498" i="34" s="1"/>
  <c r="G520" i="34" a="1"/>
  <c r="G520" i="34" s="1"/>
  <c r="H520" i="34" s="1"/>
  <c r="F576" i="34" a="1"/>
  <c r="F576" i="34" s="1"/>
  <c r="I576" i="34" s="1"/>
  <c r="F614" i="34" a="1"/>
  <c r="F614" i="34" s="1"/>
  <c r="F5" i="13" a="1"/>
  <c r="F5" i="13" s="1"/>
  <c r="F361" i="13" a="1"/>
  <c r="F361" i="13" s="1"/>
  <c r="I361" i="13" s="1"/>
  <c r="F504" i="13" a="1"/>
  <c r="F504" i="13" s="1"/>
  <c r="G577" i="13" a="1"/>
  <c r="G577" i="13" s="1"/>
  <c r="H577" i="13" s="1"/>
  <c r="F503" i="13" a="1"/>
  <c r="F503" i="13" s="1"/>
  <c r="F153" i="13" a="1"/>
  <c r="F153" i="13" s="1"/>
  <c r="G425" i="13" a="1"/>
  <c r="G425" i="13" s="1"/>
  <c r="H425" i="13" s="1"/>
  <c r="F563" i="13" a="1"/>
  <c r="F563" i="13" s="1"/>
  <c r="F225" i="13" a="1"/>
  <c r="F225" i="13" s="1"/>
  <c r="G376" i="13" a="1"/>
  <c r="G376" i="13" s="1"/>
  <c r="H376" i="13" s="1"/>
  <c r="F506" i="13" a="1"/>
  <c r="F506" i="13" s="1"/>
  <c r="F185" i="13" a="1"/>
  <c r="F185" i="13" s="1"/>
  <c r="G503" i="13" a="1"/>
  <c r="G503" i="13" s="1"/>
  <c r="H503" i="13" s="1"/>
  <c r="G221" i="13" a="1"/>
  <c r="G221" i="13" s="1"/>
  <c r="H221" i="13" s="1"/>
  <c r="G185" i="13" a="1"/>
  <c r="G185" i="13" s="1"/>
  <c r="H185" i="13" s="1"/>
  <c r="G501" i="13" a="1"/>
  <c r="G501" i="13" s="1"/>
  <c r="H501" i="13" s="1"/>
  <c r="G165" i="13" a="1"/>
  <c r="G165" i="13" s="1"/>
  <c r="H165" i="13" s="1"/>
  <c r="F341" i="13" a="1"/>
  <c r="F341" i="13" s="1"/>
  <c r="G163" i="13" a="1"/>
  <c r="G163" i="13" s="1"/>
  <c r="H163" i="13" s="1"/>
  <c r="G137" i="13" a="1"/>
  <c r="G137" i="13" s="1"/>
  <c r="H137" i="13" s="1"/>
  <c r="F279" i="13" a="1"/>
  <c r="F279" i="13" s="1"/>
  <c r="I279" i="13" s="1"/>
  <c r="G434" i="13" a="1"/>
  <c r="G434" i="13" s="1"/>
  <c r="H434" i="13" s="1"/>
  <c r="G103" i="13" a="1"/>
  <c r="G103" i="13" s="1"/>
  <c r="H103" i="13" s="1"/>
  <c r="F274" i="13" a="1"/>
  <c r="F274" i="13" s="1"/>
  <c r="I274" i="13" s="1"/>
  <c r="G428" i="13" a="1"/>
  <c r="G428" i="13" s="1"/>
  <c r="H428" i="13" s="1"/>
  <c r="G101" i="13" a="1"/>
  <c r="G101" i="13" s="1"/>
  <c r="H101" i="13" s="1"/>
  <c r="F255" i="13" a="1"/>
  <c r="F255" i="13" s="1"/>
  <c r="G427" i="13" a="1"/>
  <c r="G427" i="13" s="1"/>
  <c r="H427" i="13" s="1"/>
  <c r="F566" i="13" a="1"/>
  <c r="F566" i="13" s="1"/>
  <c r="F254" i="13" a="1"/>
  <c r="F254" i="13" s="1"/>
  <c r="F424" i="13" a="1"/>
  <c r="F424" i="13" s="1"/>
  <c r="G502" i="13" a="1"/>
  <c r="G502" i="13" s="1"/>
  <c r="H502" i="13" s="1"/>
  <c r="F342" i="13" a="1"/>
  <c r="F342" i="13" s="1"/>
  <c r="G479" i="13" a="1"/>
  <c r="G479" i="13" s="1"/>
  <c r="H479" i="13" s="1"/>
  <c r="F336" i="13" a="1"/>
  <c r="F336" i="13" s="1"/>
  <c r="G452" i="13" a="1"/>
  <c r="G452" i="13" s="1"/>
  <c r="H452" i="13" s="1"/>
  <c r="G162" i="13" a="1"/>
  <c r="G162" i="13" s="1"/>
  <c r="H162" i="13" s="1"/>
  <c r="F333" i="13" a="1"/>
  <c r="F333" i="13" s="1"/>
  <c r="G451" i="13" a="1"/>
  <c r="G451" i="13" s="1"/>
  <c r="H451" i="13" s="1"/>
  <c r="G383" i="13" a="1"/>
  <c r="G383" i="13" s="1"/>
  <c r="H383" i="13" s="1"/>
  <c r="F561" i="13" a="1"/>
  <c r="F561" i="13" s="1"/>
  <c r="F192" i="13" a="1"/>
  <c r="F192" i="13" s="1"/>
  <c r="I192" i="13" s="1"/>
  <c r="G377" i="13" a="1"/>
  <c r="G377" i="13" s="1"/>
  <c r="H377" i="13" s="1"/>
  <c r="F538" i="13" a="1"/>
  <c r="F538" i="13" s="1"/>
  <c r="F186" i="13" a="1"/>
  <c r="F186" i="13" s="1"/>
  <c r="G356" i="13" a="1"/>
  <c r="G356" i="13" s="1"/>
  <c r="H356" i="13" s="1"/>
  <c r="F162" i="13" a="1"/>
  <c r="F162" i="13" s="1"/>
  <c r="G326" i="13" a="1"/>
  <c r="G326" i="13" s="1"/>
  <c r="H326" i="13" s="1"/>
  <c r="G575" i="13" a="1"/>
  <c r="G575" i="13" s="1"/>
  <c r="H575" i="13" s="1"/>
  <c r="G325" i="13" a="1"/>
  <c r="G325" i="13" s="1"/>
  <c r="H325" i="13" s="1"/>
  <c r="F479" i="13" a="1"/>
  <c r="F479" i="13" s="1"/>
  <c r="G558" i="13" a="1"/>
  <c r="G558" i="13" s="1"/>
  <c r="H558" i="13" s="1"/>
  <c r="G305" i="13" a="1"/>
  <c r="G305" i="13" s="1"/>
  <c r="H305" i="13" s="1"/>
  <c r="F471" i="13" a="1"/>
  <c r="F471" i="13" s="1"/>
  <c r="G557" i="13" a="1"/>
  <c r="G557" i="13" s="1"/>
  <c r="H557" i="13" s="1"/>
  <c r="G298" i="13" a="1"/>
  <c r="G298" i="13" s="1"/>
  <c r="H298" i="13" s="1"/>
  <c r="F425" i="13" a="1"/>
  <c r="F425" i="13" s="1"/>
  <c r="G555" i="13" a="1"/>
  <c r="G555" i="13" s="1"/>
  <c r="H555" i="13" s="1"/>
  <c r="G253" i="13" a="1"/>
  <c r="G253" i="13" s="1"/>
  <c r="H253" i="13" s="1"/>
  <c r="G531" i="13" a="1"/>
  <c r="G531" i="13" s="1"/>
  <c r="H531" i="13" s="1"/>
  <c r="G251" i="13" a="1"/>
  <c r="G251" i="13" s="1"/>
  <c r="H251" i="13" s="1"/>
  <c r="F418" i="13" a="1"/>
  <c r="F418" i="13" s="1"/>
  <c r="G508" i="13" a="1"/>
  <c r="G508" i="13" s="1"/>
  <c r="H508" i="13" s="1"/>
  <c r="G245" i="13" a="1"/>
  <c r="G245" i="13" s="1"/>
  <c r="H245" i="13" s="1"/>
  <c r="F417" i="13" a="1"/>
  <c r="F417" i="13" s="1"/>
  <c r="I417" i="13" s="1"/>
  <c r="G507" i="13" a="1"/>
  <c r="G507" i="13" s="1"/>
  <c r="H507" i="13" s="1"/>
  <c r="G244" i="13" a="1"/>
  <c r="G244" i="13" s="1"/>
  <c r="H244" i="13" s="1"/>
  <c r="F396" i="13" a="1"/>
  <c r="F396" i="13" s="1"/>
  <c r="I396" i="13" s="1"/>
  <c r="G358" i="13" a="1"/>
  <c r="G358" i="13" s="1"/>
  <c r="H358" i="13" s="1"/>
  <c r="G220" i="13" a="1"/>
  <c r="G220" i="13" s="1"/>
  <c r="H220" i="13" s="1"/>
  <c r="F477" i="13" a="1"/>
  <c r="F477" i="13" s="1"/>
  <c r="F395" i="13" a="1"/>
  <c r="F395" i="13" s="1"/>
  <c r="F312" i="13" a="1"/>
  <c r="F312" i="13" s="1"/>
  <c r="F250" i="13" a="1"/>
  <c r="F250" i="13" s="1"/>
  <c r="F253" i="13" a="1"/>
  <c r="F253" i="13" s="1"/>
  <c r="I253" i="13" s="1"/>
  <c r="G553" i="13" a="1"/>
  <c r="G553" i="13" s="1"/>
  <c r="H553" i="13" s="1"/>
  <c r="G484" i="13" a="1"/>
  <c r="G484" i="13" s="1"/>
  <c r="H484" i="13" s="1"/>
  <c r="G375" i="13" a="1"/>
  <c r="G375" i="13" s="1"/>
  <c r="H375" i="13" s="1"/>
  <c r="G304" i="13" a="1"/>
  <c r="G304" i="13" s="1"/>
  <c r="H304" i="13" s="1"/>
  <c r="G157" i="13" a="1"/>
  <c r="G157" i="13" s="1"/>
  <c r="H157" i="13" s="1"/>
  <c r="F559" i="13" a="1"/>
  <c r="F559" i="13" s="1"/>
  <c r="F478" i="13" a="1"/>
  <c r="F478" i="13" s="1"/>
  <c r="F158" i="13" a="1"/>
  <c r="F158" i="13" s="1"/>
  <c r="G483" i="13" a="1"/>
  <c r="G483" i="13" s="1"/>
  <c r="H483" i="13" s="1"/>
  <c r="G480" i="13" a="1"/>
  <c r="G480" i="13" s="1"/>
  <c r="H480" i="13" s="1"/>
  <c r="G300" i="13" a="1"/>
  <c r="G300" i="13" s="1"/>
  <c r="H300" i="13" s="1"/>
  <c r="G138" i="13" a="1"/>
  <c r="G138" i="13" s="1"/>
  <c r="H138" i="13" s="1"/>
  <c r="F310" i="13" a="1"/>
  <c r="F310" i="13" s="1"/>
  <c r="G426" i="13" a="1"/>
  <c r="G426" i="13" s="1"/>
  <c r="H426" i="13" s="1"/>
  <c r="G299" i="13" a="1"/>
  <c r="G299" i="13" s="1"/>
  <c r="H299" i="13" s="1"/>
  <c r="G219" i="13" a="1"/>
  <c r="G219" i="13" s="1"/>
  <c r="H219" i="13" s="1"/>
  <c r="F394" i="13" a="1"/>
  <c r="F394" i="13" s="1"/>
  <c r="F155" i="13" a="1"/>
  <c r="F155" i="13" s="1"/>
  <c r="G355" i="13" a="1"/>
  <c r="G355" i="13" s="1"/>
  <c r="H355" i="13" s="1"/>
  <c r="G132" i="13" a="1"/>
  <c r="G132" i="13" s="1"/>
  <c r="H132" i="13" s="1"/>
  <c r="F389" i="13" a="1"/>
  <c r="F389" i="13" s="1"/>
  <c r="F133" i="13" a="1"/>
  <c r="F133" i="13" s="1"/>
  <c r="G354" i="13" a="1"/>
  <c r="G354" i="13" s="1"/>
  <c r="H354" i="13" s="1"/>
  <c r="G131" i="13" a="1"/>
  <c r="G131" i="13" s="1"/>
  <c r="H131" i="13" s="1"/>
  <c r="G475" i="13" a="1"/>
  <c r="G475" i="13" s="1"/>
  <c r="H475" i="13" s="1"/>
  <c r="G580" i="13" a="1"/>
  <c r="G580" i="13" s="1"/>
  <c r="H580" i="13" s="1"/>
  <c r="G274" i="13" a="1"/>
  <c r="G274" i="13" s="1"/>
  <c r="H274" i="13" s="1"/>
  <c r="G130" i="13" a="1"/>
  <c r="G130" i="13" s="1"/>
  <c r="H130" i="13" s="1"/>
  <c r="F450" i="13" a="1"/>
  <c r="F450" i="13" s="1"/>
  <c r="F216" i="13" a="1"/>
  <c r="F216" i="13" s="1"/>
  <c r="F127" i="13" a="1"/>
  <c r="F127" i="13" s="1"/>
  <c r="G579" i="13" a="1"/>
  <c r="G579" i="13" s="1"/>
  <c r="H579" i="13" s="1"/>
  <c r="G405" i="13" a="1"/>
  <c r="G405" i="13" s="1"/>
  <c r="H405" i="13" s="1"/>
  <c r="F532" i="13" a="1"/>
  <c r="F532" i="13" s="1"/>
  <c r="I532" i="13" s="1"/>
  <c r="F365" i="13" a="1"/>
  <c r="F365" i="13" s="1"/>
  <c r="G409" i="13" a="1"/>
  <c r="G409" i="13" s="1"/>
  <c r="H409" i="13" s="1"/>
  <c r="F453" i="13" a="1"/>
  <c r="F453" i="13" s="1"/>
  <c r="F307" i="13" a="1"/>
  <c r="F307" i="13" s="1"/>
  <c r="G24" i="13" a="1"/>
  <c r="G24" i="13" s="1"/>
  <c r="H24" i="13" s="1"/>
  <c r="F97" i="13" a="1"/>
  <c r="F97" i="13" s="1"/>
  <c r="F120" i="13" a="1"/>
  <c r="F120" i="13" s="1"/>
  <c r="F143" i="13" a="1"/>
  <c r="F143" i="13" s="1"/>
  <c r="F166" i="13" a="1"/>
  <c r="F166" i="13" s="1"/>
  <c r="F189" i="13" a="1"/>
  <c r="F189" i="13" s="1"/>
  <c r="F201" i="13" a="1"/>
  <c r="F201" i="13" s="1"/>
  <c r="F224" i="13" a="1"/>
  <c r="F224" i="13" s="1"/>
  <c r="F247" i="13" a="1"/>
  <c r="F247" i="13" s="1"/>
  <c r="F270" i="13" a="1"/>
  <c r="F270" i="13" s="1"/>
  <c r="F293" i="13" a="1"/>
  <c r="F293" i="13" s="1"/>
  <c r="F316" i="13" a="1"/>
  <c r="F316" i="13" s="1"/>
  <c r="F339" i="13" a="1"/>
  <c r="F339" i="13" s="1"/>
  <c r="F362" i="13" a="1"/>
  <c r="F362" i="13" s="1"/>
  <c r="F385" i="13" a="1"/>
  <c r="F385" i="13" s="1"/>
  <c r="F408" i="13" a="1"/>
  <c r="F408" i="13" s="1"/>
  <c r="F431" i="13" a="1"/>
  <c r="F431" i="13" s="1"/>
  <c r="F443" i="13" a="1"/>
  <c r="F443" i="13" s="1"/>
  <c r="F466" i="13" a="1"/>
  <c r="F466" i="13" s="1"/>
  <c r="F489" i="13" a="1"/>
  <c r="F489" i="13" s="1"/>
  <c r="F512" i="13" a="1"/>
  <c r="F512" i="13" s="1"/>
  <c r="F535" i="13" a="1"/>
  <c r="F535" i="13" s="1"/>
  <c r="F558" i="13" a="1"/>
  <c r="F558" i="13" s="1"/>
  <c r="G97" i="13" a="1"/>
  <c r="G97" i="13" s="1"/>
  <c r="H97" i="13" s="1"/>
  <c r="G120" i="13" a="1"/>
  <c r="G120" i="13" s="1"/>
  <c r="H120" i="13" s="1"/>
  <c r="G143" i="13" a="1"/>
  <c r="G143" i="13" s="1"/>
  <c r="H143" i="13" s="1"/>
  <c r="G166" i="13" a="1"/>
  <c r="G166" i="13" s="1"/>
  <c r="H166" i="13" s="1"/>
  <c r="G189" i="13" a="1"/>
  <c r="G189" i="13" s="1"/>
  <c r="H189" i="13" s="1"/>
  <c r="G201" i="13" a="1"/>
  <c r="G201" i="13" s="1"/>
  <c r="H201" i="13" s="1"/>
  <c r="G224" i="13" a="1"/>
  <c r="G224" i="13" s="1"/>
  <c r="H224" i="13" s="1"/>
  <c r="G247" i="13" a="1"/>
  <c r="G247" i="13" s="1"/>
  <c r="H247" i="13" s="1"/>
  <c r="G270" i="13" a="1"/>
  <c r="G270" i="13" s="1"/>
  <c r="H270" i="13" s="1"/>
  <c r="G293" i="13" a="1"/>
  <c r="G293" i="13" s="1"/>
  <c r="H293" i="13" s="1"/>
  <c r="G316" i="13" a="1"/>
  <c r="G316" i="13" s="1"/>
  <c r="H316" i="13" s="1"/>
  <c r="G339" i="13" a="1"/>
  <c r="G339" i="13" s="1"/>
  <c r="H339" i="13" s="1"/>
  <c r="G362" i="13" a="1"/>
  <c r="G362" i="13" s="1"/>
  <c r="H362" i="13" s="1"/>
  <c r="G385" i="13" a="1"/>
  <c r="G385" i="13" s="1"/>
  <c r="H385" i="13" s="1"/>
  <c r="G408" i="13" a="1"/>
  <c r="G408" i="13" s="1"/>
  <c r="H408" i="13" s="1"/>
  <c r="G431" i="13" a="1"/>
  <c r="G431" i="13" s="1"/>
  <c r="H431" i="13" s="1"/>
  <c r="G443" i="13" a="1"/>
  <c r="G443" i="13" s="1"/>
  <c r="H443" i="13" s="1"/>
  <c r="G466" i="13" a="1"/>
  <c r="G466" i="13" s="1"/>
  <c r="H466" i="13" s="1"/>
  <c r="G489" i="13" a="1"/>
  <c r="G489" i="13" s="1"/>
  <c r="H489" i="13" s="1"/>
  <c r="G512" i="13" a="1"/>
  <c r="G512" i="13" s="1"/>
  <c r="H512" i="13" s="1"/>
  <c r="G535" i="13" a="1"/>
  <c r="G535" i="13" s="1"/>
  <c r="H535" i="13" s="1"/>
  <c r="F102" i="13" a="1"/>
  <c r="F102" i="13" s="1"/>
  <c r="F125" i="13" a="1"/>
  <c r="F125" i="13" s="1"/>
  <c r="F148" i="13" a="1"/>
  <c r="F148" i="13" s="1"/>
  <c r="F171" i="13" a="1"/>
  <c r="F171" i="13" s="1"/>
  <c r="F194" i="13" a="1"/>
  <c r="F194" i="13" s="1"/>
  <c r="F217" i="13" a="1"/>
  <c r="F217" i="13" s="1"/>
  <c r="F240" i="13" a="1"/>
  <c r="F240" i="13" s="1"/>
  <c r="F263" i="13" a="1"/>
  <c r="F263" i="13" s="1"/>
  <c r="F286" i="13" a="1"/>
  <c r="F286" i="13" s="1"/>
  <c r="F309" i="13" a="1"/>
  <c r="F309" i="13" s="1"/>
  <c r="F332" i="13" a="1"/>
  <c r="F332" i="13" s="1"/>
  <c r="F344" i="13" a="1"/>
  <c r="F344" i="13" s="1"/>
  <c r="F367" i="13" a="1"/>
  <c r="F367" i="13" s="1"/>
  <c r="F390" i="13" a="1"/>
  <c r="F390" i="13" s="1"/>
  <c r="F413" i="13" a="1"/>
  <c r="F413" i="13" s="1"/>
  <c r="F436" i="13" a="1"/>
  <c r="F436" i="13" s="1"/>
  <c r="F459" i="13" a="1"/>
  <c r="F459" i="13" s="1"/>
  <c r="F482" i="13" a="1"/>
  <c r="F482" i="13" s="1"/>
  <c r="F505" i="13" a="1"/>
  <c r="F505" i="13" s="1"/>
  <c r="F528" i="13" a="1"/>
  <c r="F528" i="13" s="1"/>
  <c r="F551" i="13" a="1"/>
  <c r="F551" i="13" s="1"/>
  <c r="F574" i="13" a="1"/>
  <c r="F574" i="13" s="1"/>
  <c r="G102" i="13" a="1"/>
  <c r="G102" i="13" s="1"/>
  <c r="H102" i="13" s="1"/>
  <c r="G125" i="13" a="1"/>
  <c r="G125" i="13" s="1"/>
  <c r="H125" i="13" s="1"/>
  <c r="G148" i="13" a="1"/>
  <c r="G148" i="13" s="1"/>
  <c r="H148" i="13" s="1"/>
  <c r="G171" i="13" a="1"/>
  <c r="G171" i="13" s="1"/>
  <c r="H171" i="13" s="1"/>
  <c r="G194" i="13" a="1"/>
  <c r="G194" i="13" s="1"/>
  <c r="H194" i="13" s="1"/>
  <c r="G217" i="13" a="1"/>
  <c r="G217" i="13" s="1"/>
  <c r="H217" i="13" s="1"/>
  <c r="G240" i="13" a="1"/>
  <c r="G240" i="13" s="1"/>
  <c r="H240" i="13" s="1"/>
  <c r="G263" i="13" a="1"/>
  <c r="G263" i="13" s="1"/>
  <c r="H263" i="13" s="1"/>
  <c r="G286" i="13" a="1"/>
  <c r="G286" i="13" s="1"/>
  <c r="H286" i="13" s="1"/>
  <c r="G309" i="13" a="1"/>
  <c r="G309" i="13" s="1"/>
  <c r="H309" i="13" s="1"/>
  <c r="G332" i="13" a="1"/>
  <c r="G332" i="13" s="1"/>
  <c r="H332" i="13" s="1"/>
  <c r="G344" i="13" a="1"/>
  <c r="G344" i="13" s="1"/>
  <c r="H344" i="13" s="1"/>
  <c r="G367" i="13" a="1"/>
  <c r="G367" i="13" s="1"/>
  <c r="H367" i="13" s="1"/>
  <c r="G390" i="13" a="1"/>
  <c r="G390" i="13" s="1"/>
  <c r="H390" i="13" s="1"/>
  <c r="G413" i="13" a="1"/>
  <c r="G413" i="13" s="1"/>
  <c r="H413" i="13" s="1"/>
  <c r="G436" i="13" a="1"/>
  <c r="G436" i="13" s="1"/>
  <c r="H436" i="13" s="1"/>
  <c r="G459" i="13" a="1"/>
  <c r="G459" i="13" s="1"/>
  <c r="H459" i="13" s="1"/>
  <c r="G482" i="13" a="1"/>
  <c r="G482" i="13" s="1"/>
  <c r="H482" i="13" s="1"/>
  <c r="G505" i="13" a="1"/>
  <c r="G505" i="13" s="1"/>
  <c r="H505" i="13" s="1"/>
  <c r="G528" i="13" a="1"/>
  <c r="G528" i="13" s="1"/>
  <c r="H528" i="13" s="1"/>
  <c r="G551" i="13" a="1"/>
  <c r="G551" i="13" s="1"/>
  <c r="H551" i="13" s="1"/>
  <c r="G562" i="13" a="1"/>
  <c r="G562" i="13" s="1"/>
  <c r="H562" i="13" s="1"/>
  <c r="G573" i="13" a="1"/>
  <c r="G573" i="13" s="1"/>
  <c r="H573" i="13" s="1"/>
  <c r="F114" i="13" a="1"/>
  <c r="F114" i="13" s="1"/>
  <c r="F137" i="13" a="1"/>
  <c r="F137" i="13" s="1"/>
  <c r="F160" i="13" a="1"/>
  <c r="F160" i="13" s="1"/>
  <c r="F183" i="13" a="1"/>
  <c r="F183" i="13" s="1"/>
  <c r="F206" i="13" a="1"/>
  <c r="F206" i="13" s="1"/>
  <c r="I206" i="13" s="1"/>
  <c r="F229" i="13" a="1"/>
  <c r="F229" i="13" s="1"/>
  <c r="F252" i="13" a="1"/>
  <c r="F252" i="13" s="1"/>
  <c r="F124" i="13" a="1"/>
  <c r="F124" i="13" s="1"/>
  <c r="F138" i="13" a="1"/>
  <c r="F138" i="13" s="1"/>
  <c r="F151" i="13" a="1"/>
  <c r="F151" i="13" s="1"/>
  <c r="F164" i="13" a="1"/>
  <c r="F164" i="13" s="1"/>
  <c r="F177" i="13" a="1"/>
  <c r="F177" i="13" s="1"/>
  <c r="F191" i="13" a="1"/>
  <c r="F191" i="13" s="1"/>
  <c r="F204" i="13" a="1"/>
  <c r="F204" i="13" s="1"/>
  <c r="F218" i="13" a="1"/>
  <c r="F218" i="13" s="1"/>
  <c r="I218" i="13" s="1"/>
  <c r="F231" i="13" a="1"/>
  <c r="F231" i="13" s="1"/>
  <c r="F244" i="13" a="1"/>
  <c r="F244" i="13" s="1"/>
  <c r="F283" i="13" a="1"/>
  <c r="F283" i="13" s="1"/>
  <c r="F308" i="13" a="1"/>
  <c r="F308" i="13" s="1"/>
  <c r="F321" i="13" a="1"/>
  <c r="F321" i="13" s="1"/>
  <c r="F334" i="13" a="1"/>
  <c r="F334" i="13" s="1"/>
  <c r="F359" i="13" a="1"/>
  <c r="F359" i="13" s="1"/>
  <c r="F384" i="13" a="1"/>
  <c r="F384" i="13" s="1"/>
  <c r="F397" i="13" a="1"/>
  <c r="F397" i="13" s="1"/>
  <c r="F410" i="13" a="1"/>
  <c r="F410" i="13" s="1"/>
  <c r="F435" i="13" a="1"/>
  <c r="F435" i="13" s="1"/>
  <c r="F448" i="13" a="1"/>
  <c r="F448" i="13" s="1"/>
  <c r="I448" i="13" s="1"/>
  <c r="F473" i="13" a="1"/>
  <c r="F473" i="13" s="1"/>
  <c r="F511" i="13" a="1"/>
  <c r="F511" i="13" s="1"/>
  <c r="F524" i="13" a="1"/>
  <c r="F524" i="13" s="1"/>
  <c r="F549" i="13" a="1"/>
  <c r="F549" i="13" s="1"/>
  <c r="I549" i="13" s="1"/>
  <c r="F575" i="13" a="1"/>
  <c r="F575" i="13" s="1"/>
  <c r="G116" i="13" a="1"/>
  <c r="G116" i="13" s="1"/>
  <c r="H116" i="13" s="1"/>
  <c r="G141" i="13" a="1"/>
  <c r="G141" i="13" s="1"/>
  <c r="H141" i="13" s="1"/>
  <c r="G192" i="13" a="1"/>
  <c r="G192" i="13" s="1"/>
  <c r="H192" i="13" s="1"/>
  <c r="G230" i="13" a="1"/>
  <c r="G230" i="13" s="1"/>
  <c r="H230" i="13" s="1"/>
  <c r="G255" i="13" a="1"/>
  <c r="G255" i="13" s="1"/>
  <c r="H255" i="13" s="1"/>
  <c r="G268" i="13" a="1"/>
  <c r="G268" i="13" s="1"/>
  <c r="H268" i="13" s="1"/>
  <c r="G306" i="13" a="1"/>
  <c r="G306" i="13" s="1"/>
  <c r="H306" i="13" s="1"/>
  <c r="G331" i="13" a="1"/>
  <c r="G331" i="13" s="1"/>
  <c r="H331" i="13" s="1"/>
  <c r="G357" i="13" a="1"/>
  <c r="G357" i="13" s="1"/>
  <c r="H357" i="13" s="1"/>
  <c r="G382" i="13" a="1"/>
  <c r="G382" i="13" s="1"/>
  <c r="H382" i="13" s="1"/>
  <c r="G407" i="13" a="1"/>
  <c r="G407" i="13" s="1"/>
  <c r="H407" i="13" s="1"/>
  <c r="G420" i="13" a="1"/>
  <c r="G420" i="13" s="1"/>
  <c r="H420" i="13" s="1"/>
  <c r="G433" i="13" a="1"/>
  <c r="G433" i="13" s="1"/>
  <c r="H433" i="13" s="1"/>
  <c r="G458" i="13" a="1"/>
  <c r="G458" i="13" s="1"/>
  <c r="H458" i="13" s="1"/>
  <c r="G471" i="13" a="1"/>
  <c r="G471" i="13" s="1"/>
  <c r="H471" i="13" s="1"/>
  <c r="G496" i="13" a="1"/>
  <c r="G496" i="13" s="1"/>
  <c r="H496" i="13" s="1"/>
  <c r="G509" i="13" a="1"/>
  <c r="G509" i="13" s="1"/>
  <c r="H509" i="13" s="1"/>
  <c r="G534" i="13" a="1"/>
  <c r="G534" i="13" s="1"/>
  <c r="H534" i="13" s="1"/>
  <c r="G547" i="13" a="1"/>
  <c r="G547" i="13" s="1"/>
  <c r="H547" i="13" s="1"/>
  <c r="G559" i="13" a="1"/>
  <c r="G559" i="13" s="1"/>
  <c r="H559" i="13" s="1"/>
  <c r="G571" i="13" a="1"/>
  <c r="G571" i="13" s="1"/>
  <c r="H571" i="13" s="1"/>
  <c r="F98" i="13" a="1"/>
  <c r="F98" i="13" s="1"/>
  <c r="F111" i="13" a="1"/>
  <c r="F111" i="13" s="1"/>
  <c r="F178" i="13" a="1"/>
  <c r="F178" i="13" s="1"/>
  <c r="F245" i="13" a="1"/>
  <c r="F245" i="13" s="1"/>
  <c r="F258" i="13" a="1"/>
  <c r="F258" i="13" s="1"/>
  <c r="F271" i="13" a="1"/>
  <c r="F271" i="13" s="1"/>
  <c r="F296" i="13" a="1"/>
  <c r="F296" i="13" s="1"/>
  <c r="F322" i="13" a="1"/>
  <c r="F322" i="13" s="1"/>
  <c r="I322" i="13" s="1"/>
  <c r="F347" i="13" a="1"/>
  <c r="F347" i="13" s="1"/>
  <c r="F372" i="13" a="1"/>
  <c r="F372" i="13" s="1"/>
  <c r="F423" i="13" a="1"/>
  <c r="F423" i="13" s="1"/>
  <c r="F461" i="13" a="1"/>
  <c r="F461" i="13" s="1"/>
  <c r="F486" i="13" a="1"/>
  <c r="F486" i="13" s="1"/>
  <c r="F499" i="13" a="1"/>
  <c r="F499" i="13" s="1"/>
  <c r="F537" i="13" a="1"/>
  <c r="F537" i="13" s="1"/>
  <c r="F562" i="13" a="1"/>
  <c r="F562" i="13" s="1"/>
  <c r="G104" i="13" a="1"/>
  <c r="G104" i="13" s="1"/>
  <c r="H104" i="13" s="1"/>
  <c r="G129" i="13" a="1"/>
  <c r="G129" i="13" s="1"/>
  <c r="H129" i="13" s="1"/>
  <c r="G154" i="13" a="1"/>
  <c r="G154" i="13" s="1"/>
  <c r="H154" i="13" s="1"/>
  <c r="G167" i="13" a="1"/>
  <c r="G167" i="13" s="1"/>
  <c r="H167" i="13" s="1"/>
  <c r="G180" i="13" a="1"/>
  <c r="G180" i="13" s="1"/>
  <c r="H180" i="13" s="1"/>
  <c r="G205" i="13" a="1"/>
  <c r="G205" i="13" s="1"/>
  <c r="H205" i="13" s="1"/>
  <c r="G218" i="13" a="1"/>
  <c r="G218" i="13" s="1"/>
  <c r="H218" i="13" s="1"/>
  <c r="G243" i="13" a="1"/>
  <c r="G243" i="13" s="1"/>
  <c r="H243" i="13" s="1"/>
  <c r="G256" i="13" a="1"/>
  <c r="G256" i="13" s="1"/>
  <c r="H256" i="13" s="1"/>
  <c r="F156" i="13" a="1"/>
  <c r="F156" i="13" s="1"/>
  <c r="F223" i="13" a="1"/>
  <c r="F223" i="13" s="1"/>
  <c r="F288" i="13" a="1"/>
  <c r="F288" i="13" s="1"/>
  <c r="I288" i="13" s="1"/>
  <c r="F301" i="13" a="1"/>
  <c r="F301" i="13" s="1"/>
  <c r="I301" i="13" s="1"/>
  <c r="F326" i="13" a="1"/>
  <c r="F326" i="13" s="1"/>
  <c r="F364" i="13" a="1"/>
  <c r="F364" i="13" s="1"/>
  <c r="F377" i="13" a="1"/>
  <c r="F377" i="13" s="1"/>
  <c r="F415" i="13" a="1"/>
  <c r="F415" i="13" s="1"/>
  <c r="F440" i="13" a="1"/>
  <c r="F440" i="13" s="1"/>
  <c r="F491" i="13" a="1"/>
  <c r="F491" i="13" s="1"/>
  <c r="F516" i="13" a="1"/>
  <c r="F516" i="13" s="1"/>
  <c r="F529" i="13" a="1"/>
  <c r="F529" i="13" s="1"/>
  <c r="F542" i="13" a="1"/>
  <c r="F542" i="13" s="1"/>
  <c r="F567" i="13" a="1"/>
  <c r="F567" i="13" s="1"/>
  <c r="G108" i="13" a="1"/>
  <c r="G108" i="13" s="1"/>
  <c r="H108" i="13" s="1"/>
  <c r="G121" i="13" a="1"/>
  <c r="G121" i="13" s="1"/>
  <c r="H121" i="13" s="1"/>
  <c r="G159" i="13" a="1"/>
  <c r="G159" i="13" s="1"/>
  <c r="H159" i="13" s="1"/>
  <c r="G172" i="13" a="1"/>
  <c r="G172" i="13" s="1"/>
  <c r="H172" i="13" s="1"/>
  <c r="G197" i="13" a="1"/>
  <c r="G197" i="13" s="1"/>
  <c r="H197" i="13" s="1"/>
  <c r="G222" i="13" a="1"/>
  <c r="G222" i="13" s="1"/>
  <c r="H222" i="13" s="1"/>
  <c r="G235" i="13" a="1"/>
  <c r="G235" i="13" s="1"/>
  <c r="H235" i="13" s="1"/>
  <c r="G248" i="13" a="1"/>
  <c r="G248" i="13" s="1"/>
  <c r="H248" i="13" s="1"/>
  <c r="G273" i="13" a="1"/>
  <c r="G273" i="13" s="1"/>
  <c r="H273" i="13" s="1"/>
  <c r="G324" i="13" a="1"/>
  <c r="G324" i="13" s="1"/>
  <c r="H324" i="13" s="1"/>
  <c r="G349" i="13" a="1"/>
  <c r="G349" i="13" s="1"/>
  <c r="H349" i="13" s="1"/>
  <c r="G387" i="13" a="1"/>
  <c r="G387" i="13" s="1"/>
  <c r="H387" i="13" s="1"/>
  <c r="G400" i="13" a="1"/>
  <c r="G400" i="13" s="1"/>
  <c r="H400" i="13" s="1"/>
  <c r="G438" i="13" a="1"/>
  <c r="G438" i="13" s="1"/>
  <c r="H438" i="13" s="1"/>
  <c r="G463" i="13" a="1"/>
  <c r="G463" i="13" s="1"/>
  <c r="H463" i="13" s="1"/>
  <c r="G476" i="13" a="1"/>
  <c r="G476" i="13" s="1"/>
  <c r="H476" i="13" s="1"/>
  <c r="G514" i="13" a="1"/>
  <c r="G514" i="13" s="1"/>
  <c r="H514" i="13" s="1"/>
  <c r="G539" i="13" a="1"/>
  <c r="G539" i="13" s="1"/>
  <c r="H539" i="13" s="1"/>
  <c r="G552" i="13" a="1"/>
  <c r="G552" i="13" s="1"/>
  <c r="H552" i="13" s="1"/>
  <c r="G564" i="13" a="1"/>
  <c r="G564" i="13" s="1"/>
  <c r="H564" i="13" s="1"/>
  <c r="G576" i="13" a="1"/>
  <c r="G576" i="13" s="1"/>
  <c r="H576" i="13" s="1"/>
  <c r="F104" i="13" a="1"/>
  <c r="F104" i="13" s="1"/>
  <c r="I104" i="13" s="1"/>
  <c r="F117" i="13" a="1"/>
  <c r="F117" i="13" s="1"/>
  <c r="F130" i="13" a="1"/>
  <c r="F130" i="13" s="1"/>
  <c r="F157" i="13" a="1"/>
  <c r="F157" i="13" s="1"/>
  <c r="F170" i="13" a="1"/>
  <c r="F170" i="13" s="1"/>
  <c r="F184" i="13" a="1"/>
  <c r="F184" i="13" s="1"/>
  <c r="F197" i="13" a="1"/>
  <c r="F197" i="13" s="1"/>
  <c r="F210" i="13" a="1"/>
  <c r="F210" i="13" s="1"/>
  <c r="F237" i="13" a="1"/>
  <c r="F237" i="13" s="1"/>
  <c r="F115" i="13" a="1"/>
  <c r="F115" i="13" s="1"/>
  <c r="F131" i="13" a="1"/>
  <c r="F131" i="13" s="1"/>
  <c r="I131" i="13" s="1"/>
  <c r="F147" i="13" a="1"/>
  <c r="F147" i="13" s="1"/>
  <c r="F163" i="13" a="1"/>
  <c r="F163" i="13" s="1"/>
  <c r="I163" i="13" s="1"/>
  <c r="F180" i="13" a="1"/>
  <c r="F180" i="13" s="1"/>
  <c r="I180" i="13" s="1"/>
  <c r="F196" i="13" a="1"/>
  <c r="F196" i="13" s="1"/>
  <c r="F213" i="13" a="1"/>
  <c r="F213" i="13" s="1"/>
  <c r="F228" i="13" a="1"/>
  <c r="F228" i="13" s="1"/>
  <c r="F275" i="13" a="1"/>
  <c r="F275" i="13" s="1"/>
  <c r="I275" i="13" s="1"/>
  <c r="F290" i="13" a="1"/>
  <c r="F290" i="13" s="1"/>
  <c r="I290" i="13" s="1"/>
  <c r="F304" i="13" a="1"/>
  <c r="F304" i="13" s="1"/>
  <c r="F363" i="13" a="1"/>
  <c r="F363" i="13" s="1"/>
  <c r="F378" i="13" a="1"/>
  <c r="F378" i="13" s="1"/>
  <c r="F437" i="13" a="1"/>
  <c r="F437" i="13" s="1"/>
  <c r="F451" i="13" a="1"/>
  <c r="F451" i="13" s="1"/>
  <c r="F495" i="13" a="1"/>
  <c r="F495" i="13" s="1"/>
  <c r="F525" i="13" a="1"/>
  <c r="F525" i="13" s="1"/>
  <c r="F539" i="13" a="1"/>
  <c r="F539" i="13" s="1"/>
  <c r="F554" i="13" a="1"/>
  <c r="F554" i="13" s="1"/>
  <c r="I554" i="13" s="1"/>
  <c r="G99" i="13" a="1"/>
  <c r="G99" i="13" s="1"/>
  <c r="H99" i="13" s="1"/>
  <c r="G114" i="13" a="1"/>
  <c r="G114" i="13" s="1"/>
  <c r="H114" i="13" s="1"/>
  <c r="G128" i="13" a="1"/>
  <c r="G128" i="13" s="1"/>
  <c r="H128" i="13" s="1"/>
  <c r="G158" i="13" a="1"/>
  <c r="G158" i="13" s="1"/>
  <c r="H158" i="13" s="1"/>
  <c r="G173" i="13" a="1"/>
  <c r="G173" i="13" s="1"/>
  <c r="H173" i="13" s="1"/>
  <c r="G187" i="13" a="1"/>
  <c r="G187" i="13" s="1"/>
  <c r="H187" i="13" s="1"/>
  <c r="G202" i="13" a="1"/>
  <c r="G202" i="13" s="1"/>
  <c r="H202" i="13" s="1"/>
  <c r="G216" i="13" a="1"/>
  <c r="G216" i="13" s="1"/>
  <c r="H216" i="13" s="1"/>
  <c r="G246" i="13" a="1"/>
  <c r="G246" i="13" s="1"/>
  <c r="H246" i="13" s="1"/>
  <c r="G261" i="13" a="1"/>
  <c r="G261" i="13" s="1"/>
  <c r="H261" i="13" s="1"/>
  <c r="G303" i="13" a="1"/>
  <c r="G303" i="13" s="1"/>
  <c r="H303" i="13" s="1"/>
  <c r="G317" i="13" a="1"/>
  <c r="G317" i="13" s="1"/>
  <c r="H317" i="13" s="1"/>
  <c r="G359" i="13" a="1"/>
  <c r="G359" i="13" s="1"/>
  <c r="H359" i="13" s="1"/>
  <c r="G401" i="13" a="1"/>
  <c r="G401" i="13" s="1"/>
  <c r="H401" i="13" s="1"/>
  <c r="G415" i="13" a="1"/>
  <c r="G415" i="13" s="1"/>
  <c r="H415" i="13" s="1"/>
  <c r="G442" i="13" a="1"/>
  <c r="G442" i="13" s="1"/>
  <c r="H442" i="13" s="1"/>
  <c r="G470" i="13" a="1"/>
  <c r="G470" i="13" s="1"/>
  <c r="H470" i="13" s="1"/>
  <c r="G526" i="13" a="1"/>
  <c r="G526" i="13" s="1"/>
  <c r="H526" i="13" s="1"/>
  <c r="G554" i="13" a="1"/>
  <c r="G554" i="13" s="1"/>
  <c r="H554" i="13" s="1"/>
  <c r="G567" i="13" a="1"/>
  <c r="G567" i="13" s="1"/>
  <c r="H567" i="13" s="1"/>
  <c r="F99" i="13" a="1"/>
  <c r="F99" i="13" s="1"/>
  <c r="F132" i="13" a="1"/>
  <c r="F132" i="13" s="1"/>
  <c r="F246" i="13" a="1"/>
  <c r="F246" i="13" s="1"/>
  <c r="F261" i="13" a="1"/>
  <c r="F261" i="13" s="1"/>
  <c r="F276" i="13" a="1"/>
  <c r="F276" i="13" s="1"/>
  <c r="I276" i="13" s="1"/>
  <c r="F305" i="13" a="1"/>
  <c r="F305" i="13" s="1"/>
  <c r="F319" i="13" a="1"/>
  <c r="F319" i="13" s="1"/>
  <c r="I319" i="13" s="1"/>
  <c r="F335" i="13" a="1"/>
  <c r="F335" i="13" s="1"/>
  <c r="I335" i="13" s="1"/>
  <c r="F349" i="13" a="1"/>
  <c r="F349" i="13" s="1"/>
  <c r="I349" i="13" s="1"/>
  <c r="F379" i="13" a="1"/>
  <c r="F379" i="13" s="1"/>
  <c r="F393" i="13" a="1"/>
  <c r="F393" i="13" s="1"/>
  <c r="F407" i="13" a="1"/>
  <c r="F407" i="13" s="1"/>
  <c r="F422" i="13" a="1"/>
  <c r="F422" i="13" s="1"/>
  <c r="F467" i="13" a="1"/>
  <c r="F467" i="13" s="1"/>
  <c r="F481" i="13" a="1"/>
  <c r="F481" i="13" s="1"/>
  <c r="F510" i="13" a="1"/>
  <c r="F510" i="13" s="1"/>
  <c r="F540" i="13" a="1"/>
  <c r="F540" i="13" s="1"/>
  <c r="F555" i="13" a="1"/>
  <c r="F555" i="13" s="1"/>
  <c r="F569" i="13" a="1"/>
  <c r="F569" i="13" s="1"/>
  <c r="G144" i="13" a="1"/>
  <c r="G144" i="13" s="1"/>
  <c r="H144" i="13" s="1"/>
  <c r="G232" i="13" a="1"/>
  <c r="G232" i="13" s="1"/>
  <c r="H232" i="13" s="1"/>
  <c r="G276" i="13" a="1"/>
  <c r="G276" i="13" s="1"/>
  <c r="H276" i="13" s="1"/>
  <c r="G290" i="13" a="1"/>
  <c r="G290" i="13" s="1"/>
  <c r="H290" i="13" s="1"/>
  <c r="G346" i="13" a="1"/>
  <c r="G346" i="13" s="1"/>
  <c r="H346" i="13" s="1"/>
  <c r="G373" i="13" a="1"/>
  <c r="G373" i="13" s="1"/>
  <c r="H373" i="13" s="1"/>
  <c r="G388" i="13" a="1"/>
  <c r="G388" i="13" s="1"/>
  <c r="H388" i="13" s="1"/>
  <c r="G402" i="13" a="1"/>
  <c r="G402" i="13" s="1"/>
  <c r="H402" i="13" s="1"/>
  <c r="G429" i="13" a="1"/>
  <c r="G429" i="13" s="1"/>
  <c r="H429" i="13" s="1"/>
  <c r="G457" i="13" a="1"/>
  <c r="G457" i="13" s="1"/>
  <c r="H457" i="13" s="1"/>
  <c r="G485" i="13" a="1"/>
  <c r="G485" i="13" s="1"/>
  <c r="H485" i="13" s="1"/>
  <c r="G499" i="13" a="1"/>
  <c r="G499" i="13" s="1"/>
  <c r="H499" i="13" s="1"/>
  <c r="G513" i="13" a="1"/>
  <c r="G513" i="13" s="1"/>
  <c r="H513" i="13" s="1"/>
  <c r="G527" i="13" a="1"/>
  <c r="G527" i="13" s="1"/>
  <c r="H527" i="13" s="1"/>
  <c r="G541" i="13" a="1"/>
  <c r="G541" i="13" s="1"/>
  <c r="H541" i="13" s="1"/>
  <c r="F121" i="13" a="1"/>
  <c r="F121" i="13" s="1"/>
  <c r="I121" i="13" s="1"/>
  <c r="F235" i="13" a="1"/>
  <c r="F235" i="13" s="1"/>
  <c r="F251" i="13" a="1"/>
  <c r="F251" i="13" s="1"/>
  <c r="F266" i="13" a="1"/>
  <c r="F266" i="13" s="1"/>
  <c r="F295" i="13" a="1"/>
  <c r="F295" i="13" s="1"/>
  <c r="F311" i="13" a="1"/>
  <c r="F311" i="13" s="1"/>
  <c r="F325" i="13" a="1"/>
  <c r="F325" i="13" s="1"/>
  <c r="F340" i="13" a="1"/>
  <c r="F340" i="13" s="1"/>
  <c r="F354" i="13" a="1"/>
  <c r="F354" i="13" s="1"/>
  <c r="I354" i="13" s="1"/>
  <c r="F369" i="13" a="1"/>
  <c r="F369" i="13" s="1"/>
  <c r="F383" i="13" a="1"/>
  <c r="F383" i="13" s="1"/>
  <c r="F399" i="13" a="1"/>
  <c r="F399" i="13" s="1"/>
  <c r="F428" i="13" a="1"/>
  <c r="F428" i="13" s="1"/>
  <c r="F442" i="13" a="1"/>
  <c r="F442" i="13" s="1"/>
  <c r="F457" i="13" a="1"/>
  <c r="F457" i="13" s="1"/>
  <c r="F487" i="13" a="1"/>
  <c r="F487" i="13" s="1"/>
  <c r="F531" i="13" a="1"/>
  <c r="F531" i="13" s="1"/>
  <c r="I531" i="13" s="1"/>
  <c r="F545" i="13" a="1"/>
  <c r="F545" i="13" s="1"/>
  <c r="G135" i="13" a="1"/>
  <c r="G135" i="13" s="1"/>
  <c r="H135" i="13" s="1"/>
  <c r="G178" i="13" a="1"/>
  <c r="G178" i="13" s="1"/>
  <c r="H178" i="13" s="1"/>
  <c r="G208" i="13" a="1"/>
  <c r="G208" i="13" s="1"/>
  <c r="H208" i="13" s="1"/>
  <c r="G223" i="13" a="1"/>
  <c r="G223" i="13" s="1"/>
  <c r="H223" i="13" s="1"/>
  <c r="G252" i="13" a="1"/>
  <c r="G252" i="13" s="1"/>
  <c r="H252" i="13" s="1"/>
  <c r="G266" i="13" a="1"/>
  <c r="G266" i="13" s="1"/>
  <c r="H266" i="13" s="1"/>
  <c r="G281" i="13" a="1"/>
  <c r="G281" i="13" s="1"/>
  <c r="H281" i="13" s="1"/>
  <c r="G295" i="13" a="1"/>
  <c r="G295" i="13" s="1"/>
  <c r="H295" i="13" s="1"/>
  <c r="G323" i="13" a="1"/>
  <c r="G323" i="13" s="1"/>
  <c r="H323" i="13" s="1"/>
  <c r="G337" i="13" a="1"/>
  <c r="G337" i="13" s="1"/>
  <c r="H337" i="13" s="1"/>
  <c r="G351" i="13" a="1"/>
  <c r="G351" i="13" s="1"/>
  <c r="H351" i="13" s="1"/>
  <c r="G379" i="13" a="1"/>
  <c r="G379" i="13" s="1"/>
  <c r="H379" i="13" s="1"/>
  <c r="G406" i="13" a="1"/>
  <c r="G406" i="13" s="1"/>
  <c r="H406" i="13" s="1"/>
  <c r="G421" i="13" a="1"/>
  <c r="G421" i="13" s="1"/>
  <c r="H421" i="13" s="1"/>
  <c r="G462" i="13" a="1"/>
  <c r="G462" i="13" s="1"/>
  <c r="H462" i="13" s="1"/>
  <c r="G504" i="13" a="1"/>
  <c r="G504" i="13" s="1"/>
  <c r="H504" i="13" s="1"/>
  <c r="G518" i="13" a="1"/>
  <c r="G518" i="13" s="1"/>
  <c r="H518" i="13" s="1"/>
  <c r="G532" i="13" a="1"/>
  <c r="G532" i="13" s="1"/>
  <c r="H532" i="13" s="1"/>
  <c r="F106" i="13" a="1"/>
  <c r="F106" i="13" s="1"/>
  <c r="F139" i="13" a="1"/>
  <c r="F139" i="13" s="1"/>
  <c r="F154" i="13" a="1"/>
  <c r="F154" i="13" s="1"/>
  <c r="I154" i="13" s="1"/>
  <c r="F172" i="13" a="1"/>
  <c r="F172" i="13" s="1"/>
  <c r="I172" i="13" s="1"/>
  <c r="F187" i="13" a="1"/>
  <c r="F187" i="13" s="1"/>
  <c r="I187" i="13" s="1"/>
  <c r="F203" i="13" a="1"/>
  <c r="F203" i="13" s="1"/>
  <c r="I203" i="13" s="1"/>
  <c r="F220" i="13" a="1"/>
  <c r="F220" i="13" s="1"/>
  <c r="F236" i="13" a="1"/>
  <c r="F236" i="13" s="1"/>
  <c r="F267" i="13" a="1"/>
  <c r="F267" i="13" s="1"/>
  <c r="I267" i="13" s="1"/>
  <c r="F281" i="13" a="1"/>
  <c r="F281" i="13" s="1"/>
  <c r="F355" i="13" a="1"/>
  <c r="F355" i="13" s="1"/>
  <c r="F414" i="13" a="1"/>
  <c r="F414" i="13" s="1"/>
  <c r="F472" i="13" a="1"/>
  <c r="F472" i="13" s="1"/>
  <c r="F502" i="13" a="1"/>
  <c r="F502" i="13" s="1"/>
  <c r="F517" i="13" a="1"/>
  <c r="F517" i="13" s="1"/>
  <c r="F560" i="13" a="1"/>
  <c r="F560" i="13" s="1"/>
  <c r="I560" i="13" s="1"/>
  <c r="F576" i="13" a="1"/>
  <c r="F576" i="13" s="1"/>
  <c r="G106" i="13" a="1"/>
  <c r="G106" i="13" s="1"/>
  <c r="H106" i="13" s="1"/>
  <c r="G150" i="13" a="1"/>
  <c r="G150" i="13" s="1"/>
  <c r="H150" i="13" s="1"/>
  <c r="G164" i="13" a="1"/>
  <c r="G164" i="13" s="1"/>
  <c r="H164" i="13" s="1"/>
  <c r="G179" i="13" a="1"/>
  <c r="G179" i="13" s="1"/>
  <c r="H179" i="13" s="1"/>
  <c r="G238" i="13" a="1"/>
  <c r="G238" i="13" s="1"/>
  <c r="H238" i="13" s="1"/>
  <c r="G267" i="13" a="1"/>
  <c r="G267" i="13" s="1"/>
  <c r="H267" i="13" s="1"/>
  <c r="G282" i="13" a="1"/>
  <c r="G282" i="13" s="1"/>
  <c r="H282" i="13" s="1"/>
  <c r="G365" i="13" a="1"/>
  <c r="G365" i="13" s="1"/>
  <c r="H365" i="13" s="1"/>
  <c r="G393" i="13" a="1"/>
  <c r="G393" i="13" s="1"/>
  <c r="H393" i="13" s="1"/>
  <c r="G435" i="13" a="1"/>
  <c r="G435" i="13" s="1"/>
  <c r="H435" i="13" s="1"/>
  <c r="G449" i="13" a="1"/>
  <c r="G449" i="13" s="1"/>
  <c r="H449" i="13" s="1"/>
  <c r="G477" i="13" a="1"/>
  <c r="G477" i="13" s="1"/>
  <c r="H477" i="13" s="1"/>
  <c r="G491" i="13" a="1"/>
  <c r="G491" i="13" s="1"/>
  <c r="H491" i="13" s="1"/>
  <c r="G546" i="13" a="1"/>
  <c r="G546" i="13" s="1"/>
  <c r="H546" i="13" s="1"/>
  <c r="G560" i="13" a="1"/>
  <c r="G560" i="13" s="1"/>
  <c r="H560" i="13" s="1"/>
  <c r="F119" i="13" a="1"/>
  <c r="F119" i="13" s="1"/>
  <c r="F140" i="13" a="1"/>
  <c r="F140" i="13" s="1"/>
  <c r="F159" i="13" a="1"/>
  <c r="F159" i="13" s="1"/>
  <c r="F179" i="13" a="1"/>
  <c r="F179" i="13" s="1"/>
  <c r="F199" i="13" a="1"/>
  <c r="F199" i="13" s="1"/>
  <c r="F219" i="13" a="1"/>
  <c r="F219" i="13" s="1"/>
  <c r="I219" i="13" s="1"/>
  <c r="F239" i="13" a="1"/>
  <c r="F239" i="13" s="1"/>
  <c r="F257" i="13" a="1"/>
  <c r="F257" i="13" s="1"/>
  <c r="F366" i="13" a="1"/>
  <c r="F366" i="13" s="1"/>
  <c r="F402" i="13" a="1"/>
  <c r="F402" i="13" s="1"/>
  <c r="F438" i="13" a="1"/>
  <c r="F438" i="13" s="1"/>
  <c r="F474" i="13" a="1"/>
  <c r="F474" i="13" s="1"/>
  <c r="F508" i="13" a="1"/>
  <c r="F508" i="13" s="1"/>
  <c r="F527" i="13" a="1"/>
  <c r="F527" i="13" s="1"/>
  <c r="F564" i="13" a="1"/>
  <c r="F564" i="13" s="1"/>
  <c r="G115" i="13" a="1"/>
  <c r="G115" i="13" s="1"/>
  <c r="H115" i="13" s="1"/>
  <c r="G151" i="13" a="1"/>
  <c r="G151" i="13" s="1"/>
  <c r="H151" i="13" s="1"/>
  <c r="G169" i="13" a="1"/>
  <c r="G169" i="13" s="1"/>
  <c r="H169" i="13" s="1"/>
  <c r="G186" i="13" a="1"/>
  <c r="G186" i="13" s="1"/>
  <c r="H186" i="13" s="1"/>
  <c r="G204" i="13" a="1"/>
  <c r="G204" i="13" s="1"/>
  <c r="H204" i="13" s="1"/>
  <c r="G258" i="13" a="1"/>
  <c r="G258" i="13" s="1"/>
  <c r="H258" i="13" s="1"/>
  <c r="G311" i="13" a="1"/>
  <c r="G311" i="13" s="1"/>
  <c r="H311" i="13" s="1"/>
  <c r="G327" i="13" a="1"/>
  <c r="G327" i="13" s="1"/>
  <c r="H327" i="13" s="1"/>
  <c r="G343" i="13" a="1"/>
  <c r="G343" i="13" s="1"/>
  <c r="H343" i="13" s="1"/>
  <c r="G361" i="13" a="1"/>
  <c r="G361" i="13" s="1"/>
  <c r="H361" i="13" s="1"/>
  <c r="G378" i="13" a="1"/>
  <c r="G378" i="13" s="1"/>
  <c r="H378" i="13" s="1"/>
  <c r="G412" i="13" a="1"/>
  <c r="G412" i="13" s="1"/>
  <c r="H412" i="13" s="1"/>
  <c r="G464" i="13" a="1"/>
  <c r="G464" i="13" s="1"/>
  <c r="H464" i="13" s="1"/>
  <c r="G497" i="13" a="1"/>
  <c r="G497" i="13" s="1"/>
  <c r="H497" i="13" s="1"/>
  <c r="G515" i="13" a="1"/>
  <c r="G515" i="13" s="1"/>
  <c r="H515" i="13" s="1"/>
  <c r="G549" i="13" a="1"/>
  <c r="G549" i="13" s="1"/>
  <c r="H549" i="13" s="1"/>
  <c r="G565" i="13" a="1"/>
  <c r="G565" i="13" s="1"/>
  <c r="H565" i="13" s="1"/>
  <c r="F100" i="13" a="1"/>
  <c r="F100" i="13" s="1"/>
  <c r="F259" i="13" a="1"/>
  <c r="F259" i="13" s="1"/>
  <c r="F277" i="13" a="1"/>
  <c r="F277" i="13" s="1"/>
  <c r="F294" i="13" a="1"/>
  <c r="F294" i="13" s="1"/>
  <c r="I294" i="13" s="1"/>
  <c r="F313" i="13" a="1"/>
  <c r="F313" i="13" s="1"/>
  <c r="F330" i="13" a="1"/>
  <c r="F330" i="13" s="1"/>
  <c r="I330" i="13" s="1"/>
  <c r="F348" i="13" a="1"/>
  <c r="F348" i="13" s="1"/>
  <c r="I348" i="13" s="1"/>
  <c r="F403" i="13" a="1"/>
  <c r="F403" i="13" s="1"/>
  <c r="F419" i="13" a="1"/>
  <c r="F419" i="13" s="1"/>
  <c r="F456" i="13" a="1"/>
  <c r="F456" i="13" s="1"/>
  <c r="F492" i="13" a="1"/>
  <c r="F492" i="13" s="1"/>
  <c r="I492" i="13" s="1"/>
  <c r="F509" i="13" a="1"/>
  <c r="F509" i="13" s="1"/>
  <c r="F546" i="13" a="1"/>
  <c r="F546" i="13" s="1"/>
  <c r="G133" i="13" a="1"/>
  <c r="G133" i="13" s="1"/>
  <c r="H133" i="13" s="1"/>
  <c r="G206" i="13" a="1"/>
  <c r="G206" i="13" s="1"/>
  <c r="H206" i="13" s="1"/>
  <c r="G241" i="13" a="1"/>
  <c r="G241" i="13" s="1"/>
  <c r="H241" i="13" s="1"/>
  <c r="G259" i="13" a="1"/>
  <c r="G259" i="13" s="1"/>
  <c r="H259" i="13" s="1"/>
  <c r="G277" i="13" a="1"/>
  <c r="G277" i="13" s="1"/>
  <c r="H277" i="13" s="1"/>
  <c r="G294" i="13" a="1"/>
  <c r="G294" i="13" s="1"/>
  <c r="H294" i="13" s="1"/>
  <c r="G312" i="13" a="1"/>
  <c r="G312" i="13" s="1"/>
  <c r="H312" i="13" s="1"/>
  <c r="G328" i="13" a="1"/>
  <c r="G328" i="13" s="1"/>
  <c r="H328" i="13" s="1"/>
  <c r="G345" i="13" a="1"/>
  <c r="G345" i="13" s="1"/>
  <c r="H345" i="13" s="1"/>
  <c r="G380" i="13" a="1"/>
  <c r="G380" i="13" s="1"/>
  <c r="H380" i="13" s="1"/>
  <c r="G396" i="13" a="1"/>
  <c r="G396" i="13" s="1"/>
  <c r="H396" i="13" s="1"/>
  <c r="G430" i="13" a="1"/>
  <c r="G430" i="13" s="1"/>
  <c r="H430" i="13" s="1"/>
  <c r="G447" i="13" a="1"/>
  <c r="G447" i="13" s="1"/>
  <c r="H447" i="13" s="1"/>
  <c r="G465" i="13" a="1"/>
  <c r="G465" i="13" s="1"/>
  <c r="H465" i="13" s="1"/>
  <c r="G481" i="13" a="1"/>
  <c r="G481" i="13" s="1"/>
  <c r="H481" i="13" s="1"/>
  <c r="G498" i="13" a="1"/>
  <c r="G498" i="13" s="1"/>
  <c r="H498" i="13" s="1"/>
  <c r="G533" i="13" a="1"/>
  <c r="G533" i="13" s="1"/>
  <c r="H533" i="13" s="1"/>
  <c r="F141" i="13" a="1"/>
  <c r="F141" i="13" s="1"/>
  <c r="I141" i="13" s="1"/>
  <c r="F161" i="13" a="1"/>
  <c r="F161" i="13" s="1"/>
  <c r="F181" i="13" a="1"/>
  <c r="F181" i="13" s="1"/>
  <c r="F200" i="13" a="1"/>
  <c r="F200" i="13" s="1"/>
  <c r="F221" i="13" a="1"/>
  <c r="F221" i="13" s="1"/>
  <c r="I221" i="13" s="1"/>
  <c r="F241" i="13" a="1"/>
  <c r="F241" i="13" s="1"/>
  <c r="F278" i="13" a="1"/>
  <c r="F278" i="13" s="1"/>
  <c r="F314" i="13" a="1"/>
  <c r="F314" i="13" s="1"/>
  <c r="F386" i="13" a="1"/>
  <c r="F386" i="13" s="1"/>
  <c r="F420" i="13" a="1"/>
  <c r="F420" i="13" s="1"/>
  <c r="F439" i="13" a="1"/>
  <c r="F439" i="13" s="1"/>
  <c r="F475" i="13" a="1"/>
  <c r="F475" i="13" s="1"/>
  <c r="F547" i="13" a="1"/>
  <c r="F547" i="13" s="1"/>
  <c r="F565" i="13" a="1"/>
  <c r="F565" i="13" s="1"/>
  <c r="I565" i="13" s="1"/>
  <c r="G98" i="13" a="1"/>
  <c r="G98" i="13" s="1"/>
  <c r="H98" i="13" s="1"/>
  <c r="G117" i="13" a="1"/>
  <c r="G117" i="13" s="1"/>
  <c r="H117" i="13" s="1"/>
  <c r="G134" i="13" a="1"/>
  <c r="G134" i="13" s="1"/>
  <c r="H134" i="13" s="1"/>
  <c r="G152" i="13" a="1"/>
  <c r="G152" i="13" s="1"/>
  <c r="H152" i="13" s="1"/>
  <c r="G170" i="13" a="1"/>
  <c r="G170" i="13" s="1"/>
  <c r="H170" i="13" s="1"/>
  <c r="G188" i="13" a="1"/>
  <c r="G188" i="13" s="1"/>
  <c r="H188" i="13" s="1"/>
  <c r="G225" i="13" a="1"/>
  <c r="G225" i="13" s="1"/>
  <c r="H225" i="13" s="1"/>
  <c r="G278" i="13" a="1"/>
  <c r="G278" i="13" s="1"/>
  <c r="H278" i="13" s="1"/>
  <c r="G363" i="13" a="1"/>
  <c r="G363" i="13" s="1"/>
  <c r="H363" i="13" s="1"/>
  <c r="G397" i="13" a="1"/>
  <c r="G397" i="13" s="1"/>
  <c r="H397" i="13" s="1"/>
  <c r="G414" i="13" a="1"/>
  <c r="G414" i="13" s="1"/>
  <c r="H414" i="13" s="1"/>
  <c r="G448" i="13" a="1"/>
  <c r="G448" i="13" s="1"/>
  <c r="H448" i="13" s="1"/>
  <c r="G516" i="13" a="1"/>
  <c r="G516" i="13" s="1"/>
  <c r="H516" i="13" s="1"/>
  <c r="G550" i="13" a="1"/>
  <c r="G550" i="13" s="1"/>
  <c r="H550" i="13" s="1"/>
  <c r="G566" i="13" a="1"/>
  <c r="G566" i="13" s="1"/>
  <c r="H566" i="13" s="1"/>
  <c r="F101" i="13" a="1"/>
  <c r="F101" i="13" s="1"/>
  <c r="F122" i="13" a="1"/>
  <c r="F122" i="13" s="1"/>
  <c r="F260" i="13" a="1"/>
  <c r="F260" i="13" s="1"/>
  <c r="F297" i="13" a="1"/>
  <c r="F297" i="13" s="1"/>
  <c r="F331" i="13" a="1"/>
  <c r="F331" i="13" s="1"/>
  <c r="F350" i="13" a="1"/>
  <c r="F350" i="13" s="1"/>
  <c r="F368" i="13" a="1"/>
  <c r="F368" i="13" s="1"/>
  <c r="I368" i="13" s="1"/>
  <c r="F404" i="13" a="1"/>
  <c r="F404" i="13" s="1"/>
  <c r="F421" i="13" a="1"/>
  <c r="F421" i="13" s="1"/>
  <c r="F458" i="13" a="1"/>
  <c r="F458" i="13" s="1"/>
  <c r="F476" i="13" a="1"/>
  <c r="F476" i="13" s="1"/>
  <c r="F493" i="13" a="1"/>
  <c r="F493" i="13" s="1"/>
  <c r="I493" i="13" s="1"/>
  <c r="G136" i="13" a="1"/>
  <c r="G136" i="13" s="1"/>
  <c r="H136" i="13" s="1"/>
  <c r="G207" i="13" a="1"/>
  <c r="G207" i="13" s="1"/>
  <c r="H207" i="13" s="1"/>
  <c r="G242" i="13" a="1"/>
  <c r="G242" i="13" s="1"/>
  <c r="H242" i="13" s="1"/>
  <c r="G260" i="13" a="1"/>
  <c r="G260" i="13" s="1"/>
  <c r="H260" i="13" s="1"/>
  <c r="G296" i="13" a="1"/>
  <c r="G296" i="13" s="1"/>
  <c r="H296" i="13" s="1"/>
  <c r="G313" i="13" a="1"/>
  <c r="G313" i="13" s="1"/>
  <c r="H313" i="13" s="1"/>
  <c r="G329" i="13" a="1"/>
  <c r="G329" i="13" s="1"/>
  <c r="H329" i="13" s="1"/>
  <c r="G347" i="13" a="1"/>
  <c r="G347" i="13" s="1"/>
  <c r="H347" i="13" s="1"/>
  <c r="G381" i="13" a="1"/>
  <c r="G381" i="13" s="1"/>
  <c r="H381" i="13" s="1"/>
  <c r="G432" i="13" a="1"/>
  <c r="G432" i="13" s="1"/>
  <c r="H432" i="13" s="1"/>
  <c r="G500" i="13" a="1"/>
  <c r="G500" i="13" s="1"/>
  <c r="H500" i="13" s="1"/>
  <c r="G517" i="13" a="1"/>
  <c r="G517" i="13" s="1"/>
  <c r="H517" i="13" s="1"/>
  <c r="F167" i="13" a="1"/>
  <c r="F167" i="13" s="1"/>
  <c r="F265" i="13" a="1"/>
  <c r="F265" i="13" s="1"/>
  <c r="F284" i="13" a="1"/>
  <c r="F284" i="13" s="1"/>
  <c r="F318" i="13" a="1"/>
  <c r="F318" i="13" s="1"/>
  <c r="F337" i="13" a="1"/>
  <c r="F337" i="13" s="1"/>
  <c r="F356" i="13" a="1"/>
  <c r="F356" i="13" s="1"/>
  <c r="F373" i="13" a="1"/>
  <c r="F373" i="13" s="1"/>
  <c r="F391" i="13" a="1"/>
  <c r="F391" i="13" s="1"/>
  <c r="F445" i="13" a="1"/>
  <c r="F445" i="13" s="1"/>
  <c r="F480" i="13" a="1"/>
  <c r="F480" i="13" s="1"/>
  <c r="F498" i="13" a="1"/>
  <c r="F498" i="13" s="1"/>
  <c r="F534" i="13" a="1"/>
  <c r="F534" i="13" s="1"/>
  <c r="I534" i="13" s="1"/>
  <c r="F552" i="13" a="1"/>
  <c r="F552" i="13" s="1"/>
  <c r="G195" i="13" a="1"/>
  <c r="G195" i="13" s="1"/>
  <c r="H195" i="13" s="1"/>
  <c r="G212" i="13" a="1"/>
  <c r="G212" i="13" s="1"/>
  <c r="H212" i="13" s="1"/>
  <c r="G229" i="13" a="1"/>
  <c r="G229" i="13" s="1"/>
  <c r="H229" i="13" s="1"/>
  <c r="G265" i="13" a="1"/>
  <c r="G265" i="13" s="1"/>
  <c r="H265" i="13" s="1"/>
  <c r="G352" i="13" a="1"/>
  <c r="G352" i="13" s="1"/>
  <c r="H352" i="13" s="1"/>
  <c r="G403" i="13" a="1"/>
  <c r="G403" i="13" s="1"/>
  <c r="H403" i="13" s="1"/>
  <c r="G437" i="13" a="1"/>
  <c r="G437" i="13" s="1"/>
  <c r="H437" i="13" s="1"/>
  <c r="G453" i="13" a="1"/>
  <c r="G453" i="13" s="1"/>
  <c r="H453" i="13" s="1"/>
  <c r="G522" i="13" a="1"/>
  <c r="G522" i="13" s="1"/>
  <c r="H522" i="13" s="1"/>
  <c r="G538" i="13" a="1"/>
  <c r="G538" i="13" s="1"/>
  <c r="H538" i="13" s="1"/>
  <c r="F108" i="13" a="1"/>
  <c r="F108" i="13" s="1"/>
  <c r="F128" i="13" a="1"/>
  <c r="F128" i="13" s="1"/>
  <c r="F149" i="13" a="1"/>
  <c r="F149" i="13" s="1"/>
  <c r="F168" i="13" a="1"/>
  <c r="F168" i="13" s="1"/>
  <c r="F188" i="13" a="1"/>
  <c r="F188" i="13" s="1"/>
  <c r="F208" i="13" a="1"/>
  <c r="F208" i="13" s="1"/>
  <c r="F227" i="13" a="1"/>
  <c r="F227" i="13" s="1"/>
  <c r="I227" i="13" s="1"/>
  <c r="F248" i="13" a="1"/>
  <c r="F248" i="13" s="1"/>
  <c r="F302" i="13" a="1"/>
  <c r="F302" i="13" s="1"/>
  <c r="F374" i="13" a="1"/>
  <c r="F374" i="13" s="1"/>
  <c r="I374" i="13" s="1"/>
  <c r="F409" i="13" a="1"/>
  <c r="F409" i="13" s="1"/>
  <c r="F427" i="13" a="1"/>
  <c r="F427" i="13" s="1"/>
  <c r="F463" i="13" a="1"/>
  <c r="F463" i="13" s="1"/>
  <c r="F518" i="13" a="1"/>
  <c r="F518" i="13" s="1"/>
  <c r="I518" i="13" s="1"/>
  <c r="F553" i="13" a="1"/>
  <c r="F553" i="13" s="1"/>
  <c r="I553" i="13" s="1"/>
  <c r="F571" i="13" a="1"/>
  <c r="F571" i="13" s="1"/>
  <c r="G105" i="13" a="1"/>
  <c r="G105" i="13" s="1"/>
  <c r="H105" i="13" s="1"/>
  <c r="G123" i="13" a="1"/>
  <c r="G123" i="13" s="1"/>
  <c r="H123" i="13" s="1"/>
  <c r="G140" i="13" a="1"/>
  <c r="G140" i="13" s="1"/>
  <c r="H140" i="13" s="1"/>
  <c r="G160" i="13" a="1"/>
  <c r="G160" i="13" s="1"/>
  <c r="H160" i="13" s="1"/>
  <c r="G176" i="13" a="1"/>
  <c r="G176" i="13" s="1"/>
  <c r="H176" i="13" s="1"/>
  <c r="G213" i="13" a="1"/>
  <c r="G213" i="13" s="1"/>
  <c r="H213" i="13" s="1"/>
  <c r="G249" i="13" a="1"/>
  <c r="G249" i="13" s="1"/>
  <c r="H249" i="13" s="1"/>
  <c r="G284" i="13" a="1"/>
  <c r="G284" i="13" s="1"/>
  <c r="H284" i="13" s="1"/>
  <c r="G301" i="13" a="1"/>
  <c r="G301" i="13" s="1"/>
  <c r="H301" i="13" s="1"/>
  <c r="G318" i="13" a="1"/>
  <c r="G318" i="13" s="1"/>
  <c r="H318" i="13" s="1"/>
  <c r="G335" i="13" a="1"/>
  <c r="G335" i="13" s="1"/>
  <c r="H335" i="13" s="1"/>
  <c r="G369" i="13" a="1"/>
  <c r="G369" i="13" s="1"/>
  <c r="H369" i="13" s="1"/>
  <c r="G419" i="13" a="1"/>
  <c r="G419" i="13" s="1"/>
  <c r="H419" i="13" s="1"/>
  <c r="G454" i="13" a="1"/>
  <c r="G454" i="13" s="1"/>
  <c r="H454" i="13" s="1"/>
  <c r="G472" i="13" a="1"/>
  <c r="G472" i="13" s="1"/>
  <c r="H472" i="13" s="1"/>
  <c r="G488" i="13" a="1"/>
  <c r="G488" i="13" s="1"/>
  <c r="H488" i="13" s="1"/>
  <c r="G506" i="13" a="1"/>
  <c r="G506" i="13" s="1"/>
  <c r="H506" i="13" s="1"/>
  <c r="G556" i="13" a="1"/>
  <c r="G556" i="13" s="1"/>
  <c r="H556" i="13" s="1"/>
  <c r="G572" i="13" a="1"/>
  <c r="G572" i="13" s="1"/>
  <c r="H572" i="13" s="1"/>
  <c r="F109" i="13" a="1"/>
  <c r="F109" i="13" s="1"/>
  <c r="F285" i="13" a="1"/>
  <c r="F285" i="13" s="1"/>
  <c r="I285" i="13" s="1"/>
  <c r="F320" i="13" a="1"/>
  <c r="F320" i="13" s="1"/>
  <c r="F338" i="13" a="1"/>
  <c r="F338" i="13" s="1"/>
  <c r="F357" i="13" a="1"/>
  <c r="F357" i="13" s="1"/>
  <c r="F392" i="13" a="1"/>
  <c r="F392" i="13" s="1"/>
  <c r="F411" i="13" a="1"/>
  <c r="F411" i="13" s="1"/>
  <c r="F429" i="13" a="1"/>
  <c r="F429" i="13" s="1"/>
  <c r="F446" i="13" a="1"/>
  <c r="F446" i="13" s="1"/>
  <c r="F500" i="13" a="1"/>
  <c r="F500" i="13" s="1"/>
  <c r="G124" i="13" a="1"/>
  <c r="G124" i="13" s="1"/>
  <c r="H124" i="13" s="1"/>
  <c r="G196" i="13" a="1"/>
  <c r="G196" i="13" s="1"/>
  <c r="H196" i="13" s="1"/>
  <c r="G231" i="13" a="1"/>
  <c r="G231" i="13" s="1"/>
  <c r="H231" i="13" s="1"/>
  <c r="G319" i="13" a="1"/>
  <c r="G319" i="13" s="1"/>
  <c r="H319" i="13" s="1"/>
  <c r="G353" i="13" a="1"/>
  <c r="G353" i="13" s="1"/>
  <c r="H353" i="13" s="1"/>
  <c r="G370" i="13" a="1"/>
  <c r="G370" i="13" s="1"/>
  <c r="H370" i="13" s="1"/>
  <c r="G386" i="13" a="1"/>
  <c r="G386" i="13" s="1"/>
  <c r="H386" i="13" s="1"/>
  <c r="G404" i="13" a="1"/>
  <c r="G404" i="13" s="1"/>
  <c r="H404" i="13" s="1"/>
  <c r="G422" i="13" a="1"/>
  <c r="G422" i="13" s="1"/>
  <c r="H422" i="13" s="1"/>
  <c r="G455" i="13" a="1"/>
  <c r="G455" i="13" s="1"/>
  <c r="H455" i="13" s="1"/>
  <c r="G523" i="13" a="1"/>
  <c r="G523" i="13" s="1"/>
  <c r="H523" i="13" s="1"/>
  <c r="G540" i="13" a="1"/>
  <c r="G540" i="13" s="1"/>
  <c r="H540" i="13" s="1"/>
  <c r="G574" i="13" a="1"/>
  <c r="G574" i="13" s="1"/>
  <c r="H574" i="13" s="1"/>
  <c r="F129" i="13" a="1"/>
  <c r="F129" i="13" s="1"/>
  <c r="F150" i="13" a="1"/>
  <c r="F150" i="13" s="1"/>
  <c r="F169" i="13" a="1"/>
  <c r="F169" i="13" s="1"/>
  <c r="F190" i="13" a="1"/>
  <c r="F190" i="13" s="1"/>
  <c r="F209" i="13" a="1"/>
  <c r="F209" i="13" s="1"/>
  <c r="F230" i="13" a="1"/>
  <c r="F230" i="13" s="1"/>
  <c r="F249" i="13" a="1"/>
  <c r="F249" i="13" s="1"/>
  <c r="F268" i="13" a="1"/>
  <c r="F268" i="13" s="1"/>
  <c r="F303" i="13" a="1"/>
  <c r="F303" i="13" s="1"/>
  <c r="F375" i="13" a="1"/>
  <c r="F375" i="13" s="1"/>
  <c r="F464" i="13" a="1"/>
  <c r="F464" i="13" s="1"/>
  <c r="F483" i="13" a="1"/>
  <c r="F483" i="13" s="1"/>
  <c r="F501" i="13" a="1"/>
  <c r="F501" i="13" s="1"/>
  <c r="F519" i="13" a="1"/>
  <c r="F519" i="13" s="1"/>
  <c r="F536" i="13" a="1"/>
  <c r="F536" i="13" s="1"/>
  <c r="F572" i="13" a="1"/>
  <c r="F572" i="13" s="1"/>
  <c r="G107" i="13" a="1"/>
  <c r="G107" i="13" s="1"/>
  <c r="H107" i="13" s="1"/>
  <c r="G142" i="13" a="1"/>
  <c r="G142" i="13" s="1"/>
  <c r="H142" i="13" s="1"/>
  <c r="G161" i="13" a="1"/>
  <c r="G161" i="13" s="1"/>
  <c r="H161" i="13" s="1"/>
  <c r="G177" i="13" a="1"/>
  <c r="G177" i="13" s="1"/>
  <c r="H177" i="13" s="1"/>
  <c r="G214" i="13" a="1"/>
  <c r="G214" i="13" s="1"/>
  <c r="H214" i="13" s="1"/>
  <c r="G250" i="13" a="1"/>
  <c r="G250" i="13" s="1"/>
  <c r="H250" i="13" s="1"/>
  <c r="G269" i="13" a="1"/>
  <c r="G269" i="13" s="1"/>
  <c r="H269" i="13" s="1"/>
  <c r="G285" i="13" a="1"/>
  <c r="G285" i="13" s="1"/>
  <c r="H285" i="13" s="1"/>
  <c r="G302" i="13" a="1"/>
  <c r="G302" i="13" s="1"/>
  <c r="H302" i="13" s="1"/>
  <c r="G336" i="13" a="1"/>
  <c r="G336" i="13" s="1"/>
  <c r="H336" i="13" s="1"/>
  <c r="F103" i="13" a="1"/>
  <c r="F103" i="13" s="1"/>
  <c r="F165" i="13" a="1"/>
  <c r="F165" i="13" s="1"/>
  <c r="F195" i="13" a="1"/>
  <c r="F195" i="13" s="1"/>
  <c r="F226" i="13" a="1"/>
  <c r="F226" i="13" s="1"/>
  <c r="F256" i="13" a="1"/>
  <c r="F256" i="13" s="1"/>
  <c r="F287" i="13" a="1"/>
  <c r="F287" i="13" s="1"/>
  <c r="F315" i="13" a="1"/>
  <c r="F315" i="13" s="1"/>
  <c r="F398" i="13" a="1"/>
  <c r="F398" i="13" s="1"/>
  <c r="F426" i="13" a="1"/>
  <c r="F426" i="13" s="1"/>
  <c r="F454" i="13" a="1"/>
  <c r="F454" i="13" s="1"/>
  <c r="F484" i="13" a="1"/>
  <c r="F484" i="13" s="1"/>
  <c r="I484" i="13" s="1"/>
  <c r="F513" i="13" a="1"/>
  <c r="F513" i="13" s="1"/>
  <c r="G111" i="13" a="1"/>
  <c r="G111" i="13" s="1"/>
  <c r="H111" i="13" s="1"/>
  <c r="G139" i="13" a="1"/>
  <c r="G139" i="13" s="1"/>
  <c r="H139" i="13" s="1"/>
  <c r="G168" i="13" a="1"/>
  <c r="G168" i="13" s="1"/>
  <c r="H168" i="13" s="1"/>
  <c r="G198" i="13" a="1"/>
  <c r="G198" i="13" s="1"/>
  <c r="H198" i="13" s="1"/>
  <c r="G226" i="13" a="1"/>
  <c r="G226" i="13" s="1"/>
  <c r="H226" i="13" s="1"/>
  <c r="G280" i="13" a="1"/>
  <c r="G280" i="13" s="1"/>
  <c r="H280" i="13" s="1"/>
  <c r="G307" i="13" a="1"/>
  <c r="G307" i="13" s="1"/>
  <c r="H307" i="13" s="1"/>
  <c r="G334" i="13" a="1"/>
  <c r="G334" i="13" s="1"/>
  <c r="H334" i="13" s="1"/>
  <c r="G384" i="13" a="1"/>
  <c r="G384" i="13" s="1"/>
  <c r="H384" i="13" s="1"/>
  <c r="G410" i="13" a="1"/>
  <c r="G410" i="13" s="1"/>
  <c r="H410" i="13" s="1"/>
  <c r="G460" i="13" a="1"/>
  <c r="G460" i="13" s="1"/>
  <c r="H460" i="13" s="1"/>
  <c r="G510" i="13" a="1"/>
  <c r="G510" i="13" s="1"/>
  <c r="H510" i="13" s="1"/>
  <c r="G536" i="13" a="1"/>
  <c r="G536" i="13" s="1"/>
  <c r="H536" i="13" s="1"/>
  <c r="F134" i="13" a="1"/>
  <c r="F134" i="13" s="1"/>
  <c r="F343" i="13" a="1"/>
  <c r="F343" i="13" s="1"/>
  <c r="F371" i="13" a="1"/>
  <c r="F371" i="13" s="1"/>
  <c r="F400" i="13" a="1"/>
  <c r="F400" i="13" s="1"/>
  <c r="F430" i="13" a="1"/>
  <c r="F430" i="13" s="1"/>
  <c r="F455" i="13" a="1"/>
  <c r="F455" i="13" s="1"/>
  <c r="F541" i="13" a="1"/>
  <c r="F541" i="13" s="1"/>
  <c r="F568" i="13" a="1"/>
  <c r="F568" i="13" s="1"/>
  <c r="G254" i="13" a="1"/>
  <c r="G254" i="13" s="1"/>
  <c r="H254" i="13" s="1"/>
  <c r="G338" i="13" a="1"/>
  <c r="G338" i="13" s="1"/>
  <c r="H338" i="13" s="1"/>
  <c r="G360" i="13" a="1"/>
  <c r="G360" i="13" s="1"/>
  <c r="H360" i="13" s="1"/>
  <c r="G486" i="13" a="1"/>
  <c r="G486" i="13" s="1"/>
  <c r="H486" i="13" s="1"/>
  <c r="G561" i="13" a="1"/>
  <c r="G561" i="13" s="1"/>
  <c r="H561" i="13" s="1"/>
  <c r="F105" i="13" a="1"/>
  <c r="F105" i="13" s="1"/>
  <c r="F135" i="13" a="1"/>
  <c r="F135" i="13" s="1"/>
  <c r="F198" i="13" a="1"/>
  <c r="F198" i="13" s="1"/>
  <c r="F232" i="13" a="1"/>
  <c r="F232" i="13" s="1"/>
  <c r="I232" i="13" s="1"/>
  <c r="F289" i="13" a="1"/>
  <c r="F289" i="13" s="1"/>
  <c r="F485" i="13" a="1"/>
  <c r="F485" i="13" s="1"/>
  <c r="F514" i="13" a="1"/>
  <c r="F514" i="13" s="1"/>
  <c r="I514" i="13" s="1"/>
  <c r="F570" i="13" a="1"/>
  <c r="F570" i="13" s="1"/>
  <c r="G112" i="13" a="1"/>
  <c r="G112" i="13" s="1"/>
  <c r="H112" i="13" s="1"/>
  <c r="G199" i="13" a="1"/>
  <c r="G199" i="13" s="1"/>
  <c r="H199" i="13" s="1"/>
  <c r="G227" i="13" a="1"/>
  <c r="G227" i="13" s="1"/>
  <c r="H227" i="13" s="1"/>
  <c r="G283" i="13" a="1"/>
  <c r="G283" i="13" s="1"/>
  <c r="H283" i="13" s="1"/>
  <c r="G308" i="13" a="1"/>
  <c r="G308" i="13" s="1"/>
  <c r="H308" i="13" s="1"/>
  <c r="G389" i="13" a="1"/>
  <c r="G389" i="13" s="1"/>
  <c r="H389" i="13" s="1"/>
  <c r="G411" i="13" a="1"/>
  <c r="G411" i="13" s="1"/>
  <c r="H411" i="13" s="1"/>
  <c r="G439" i="13" a="1"/>
  <c r="G439" i="13" s="1"/>
  <c r="H439" i="13" s="1"/>
  <c r="G461" i="13" a="1"/>
  <c r="G461" i="13" s="1"/>
  <c r="H461" i="13" s="1"/>
  <c r="G487" i="13" a="1"/>
  <c r="G487" i="13" s="1"/>
  <c r="H487" i="13" s="1"/>
  <c r="G511" i="13" a="1"/>
  <c r="G511" i="13" s="1"/>
  <c r="H511" i="13" s="1"/>
  <c r="G537" i="13" a="1"/>
  <c r="G537" i="13" s="1"/>
  <c r="H537" i="13" s="1"/>
  <c r="F262" i="13" a="1"/>
  <c r="F262" i="13" s="1"/>
  <c r="I262" i="13" s="1"/>
  <c r="F317" i="13" a="1"/>
  <c r="F317" i="13" s="1"/>
  <c r="I317" i="13" s="1"/>
  <c r="F345" i="13" a="1"/>
  <c r="F345" i="13" s="1"/>
  <c r="F401" i="13" a="1"/>
  <c r="F401" i="13" s="1"/>
  <c r="F432" i="13" a="1"/>
  <c r="F432" i="13" s="1"/>
  <c r="F488" i="13" a="1"/>
  <c r="F488" i="13" s="1"/>
  <c r="F543" i="13" a="1"/>
  <c r="F543" i="13" s="1"/>
  <c r="G113" i="13" a="1"/>
  <c r="G113" i="13" s="1"/>
  <c r="H113" i="13" s="1"/>
  <c r="G145" i="13" a="1"/>
  <c r="G145" i="13" s="1"/>
  <c r="H145" i="13" s="1"/>
  <c r="G310" i="13" a="1"/>
  <c r="G310" i="13" s="1"/>
  <c r="H310" i="13" s="1"/>
  <c r="G364" i="13" a="1"/>
  <c r="G364" i="13" s="1"/>
  <c r="H364" i="13" s="1"/>
  <c r="G490" i="13" a="1"/>
  <c r="G490" i="13" s="1"/>
  <c r="H490" i="13" s="1"/>
  <c r="F107" i="13" a="1"/>
  <c r="F107" i="13" s="1"/>
  <c r="F136" i="13" a="1"/>
  <c r="F136" i="13" s="1"/>
  <c r="F173" i="13" a="1"/>
  <c r="F173" i="13" s="1"/>
  <c r="F202" i="13" a="1"/>
  <c r="F202" i="13" s="1"/>
  <c r="F233" i="13" a="1"/>
  <c r="F233" i="13" s="1"/>
  <c r="F291" i="13" a="1"/>
  <c r="F291" i="13" s="1"/>
  <c r="F376" i="13" a="1"/>
  <c r="F376" i="13" s="1"/>
  <c r="I376" i="13" s="1"/>
  <c r="F460" i="13" a="1"/>
  <c r="F460" i="13" s="1"/>
  <c r="F515" i="13" a="1"/>
  <c r="F515" i="13" s="1"/>
  <c r="I515" i="13" s="1"/>
  <c r="F573" i="13" a="1"/>
  <c r="F573" i="13" s="1"/>
  <c r="G118" i="13" a="1"/>
  <c r="G118" i="13" s="1"/>
  <c r="H118" i="13" s="1"/>
  <c r="G146" i="13" a="1"/>
  <c r="G146" i="13" s="1"/>
  <c r="H146" i="13" s="1"/>
  <c r="G174" i="13" a="1"/>
  <c r="G174" i="13" s="1"/>
  <c r="H174" i="13" s="1"/>
  <c r="G200" i="13" a="1"/>
  <c r="G200" i="13" s="1"/>
  <c r="H200" i="13" s="1"/>
  <c r="G228" i="13" a="1"/>
  <c r="G228" i="13" s="1"/>
  <c r="H228" i="13" s="1"/>
  <c r="G257" i="13" a="1"/>
  <c r="G257" i="13" s="1"/>
  <c r="H257" i="13" s="1"/>
  <c r="G287" i="13" a="1"/>
  <c r="G287" i="13" s="1"/>
  <c r="H287" i="13" s="1"/>
  <c r="G340" i="13" a="1"/>
  <c r="G340" i="13" s="1"/>
  <c r="H340" i="13" s="1"/>
  <c r="G366" i="13" a="1"/>
  <c r="G366" i="13" s="1"/>
  <c r="H366" i="13" s="1"/>
  <c r="G416" i="13" a="1"/>
  <c r="G416" i="13" s="1"/>
  <c r="H416" i="13" s="1"/>
  <c r="G440" i="13" a="1"/>
  <c r="G440" i="13" s="1"/>
  <c r="H440" i="13" s="1"/>
  <c r="G542" i="13" a="1"/>
  <c r="G542" i="13" s="1"/>
  <c r="H542" i="13" s="1"/>
  <c r="G563" i="13" a="1"/>
  <c r="G563" i="13" s="1"/>
  <c r="H563" i="13" s="1"/>
  <c r="F110" i="13" a="1"/>
  <c r="F110" i="13" s="1"/>
  <c r="F234" i="13" a="1"/>
  <c r="F234" i="13" s="1"/>
  <c r="F264" i="13" a="1"/>
  <c r="F264" i="13" s="1"/>
  <c r="F323" i="13" a="1"/>
  <c r="F323" i="13" s="1"/>
  <c r="F346" i="13" a="1"/>
  <c r="F346" i="13" s="1"/>
  <c r="F405" i="13" a="1"/>
  <c r="F405" i="13" s="1"/>
  <c r="F433" i="13" a="1"/>
  <c r="F433" i="13" s="1"/>
  <c r="F520" i="13" a="1"/>
  <c r="F520" i="13" s="1"/>
  <c r="I520" i="13" s="1"/>
  <c r="F544" i="13" a="1"/>
  <c r="F544" i="13" s="1"/>
  <c r="G147" i="13" a="1"/>
  <c r="G147" i="13" s="1"/>
  <c r="H147" i="13" s="1"/>
  <c r="G233" i="13" a="1"/>
  <c r="G233" i="13" s="1"/>
  <c r="H233" i="13" s="1"/>
  <c r="G314" i="13" a="1"/>
  <c r="G314" i="13" s="1"/>
  <c r="H314" i="13" s="1"/>
  <c r="G391" i="13" a="1"/>
  <c r="G391" i="13" s="1"/>
  <c r="H391" i="13" s="1"/>
  <c r="G467" i="13" a="1"/>
  <c r="G467" i="13" s="1"/>
  <c r="H467" i="13" s="1"/>
  <c r="G492" i="13" a="1"/>
  <c r="G492" i="13" s="1"/>
  <c r="H492" i="13" s="1"/>
  <c r="F142" i="13" a="1"/>
  <c r="F142" i="13" s="1"/>
  <c r="F174" i="13" a="1"/>
  <c r="F174" i="13" s="1"/>
  <c r="F205" i="13" a="1"/>
  <c r="F205" i="13" s="1"/>
  <c r="F292" i="13" a="1"/>
  <c r="F292" i="13" s="1"/>
  <c r="F351" i="13" a="1"/>
  <c r="F351" i="13" s="1"/>
  <c r="I351" i="13" s="1"/>
  <c r="F462" i="13" a="1"/>
  <c r="F462" i="13" s="1"/>
  <c r="F490" i="13" a="1"/>
  <c r="F490" i="13" s="1"/>
  <c r="F548" i="13" a="1"/>
  <c r="F548" i="13" s="1"/>
  <c r="F577" i="13" a="1"/>
  <c r="F577" i="13" s="1"/>
  <c r="G119" i="13" a="1"/>
  <c r="G119" i="13" s="1"/>
  <c r="H119" i="13" s="1"/>
  <c r="G175" i="13" a="1"/>
  <c r="G175" i="13" s="1"/>
  <c r="H175" i="13" s="1"/>
  <c r="G203" i="13" a="1"/>
  <c r="G203" i="13" s="1"/>
  <c r="H203" i="13" s="1"/>
  <c r="G234" i="13" a="1"/>
  <c r="G234" i="13" s="1"/>
  <c r="H234" i="13" s="1"/>
  <c r="G262" i="13" a="1"/>
  <c r="G262" i="13" s="1"/>
  <c r="H262" i="13" s="1"/>
  <c r="G288" i="13" a="1"/>
  <c r="G288" i="13" s="1"/>
  <c r="H288" i="13" s="1"/>
  <c r="G341" i="13" a="1"/>
  <c r="G341" i="13" s="1"/>
  <c r="H341" i="13" s="1"/>
  <c r="G417" i="13" a="1"/>
  <c r="G417" i="13" s="1"/>
  <c r="H417" i="13" s="1"/>
  <c r="G441" i="13" a="1"/>
  <c r="G441" i="13" s="1"/>
  <c r="H441" i="13" s="1"/>
  <c r="G543" i="13" a="1"/>
  <c r="G543" i="13" s="1"/>
  <c r="H543" i="13" s="1"/>
  <c r="F112" i="13" a="1"/>
  <c r="F112" i="13" s="1"/>
  <c r="F144" i="13" a="1"/>
  <c r="F144" i="13" s="1"/>
  <c r="F324" i="13" a="1"/>
  <c r="F324" i="13" s="1"/>
  <c r="F352" i="13" a="1"/>
  <c r="F352" i="13" s="1"/>
  <c r="I352" i="13" s="1"/>
  <c r="F380" i="13" a="1"/>
  <c r="F380" i="13" s="1"/>
  <c r="I380" i="13" s="1"/>
  <c r="F406" i="13" a="1"/>
  <c r="F406" i="13" s="1"/>
  <c r="F434" i="13" a="1"/>
  <c r="F434" i="13" s="1"/>
  <c r="F465" i="13" a="1"/>
  <c r="F465" i="13" s="1"/>
  <c r="F521" i="13" a="1"/>
  <c r="F521" i="13" s="1"/>
  <c r="G289" i="13" a="1"/>
  <c r="G289" i="13" s="1"/>
  <c r="H289" i="13" s="1"/>
  <c r="G315" i="13" a="1"/>
  <c r="G315" i="13" s="1"/>
  <c r="H315" i="13" s="1"/>
  <c r="G368" i="13" a="1"/>
  <c r="G368" i="13" s="1"/>
  <c r="H368" i="13" s="1"/>
  <c r="G392" i="13" a="1"/>
  <c r="G392" i="13" s="1"/>
  <c r="H392" i="13" s="1"/>
  <c r="G468" i="13" a="1"/>
  <c r="G468" i="13" s="1"/>
  <c r="H468" i="13" s="1"/>
  <c r="G493" i="13" a="1"/>
  <c r="G493" i="13" s="1"/>
  <c r="H493" i="13" s="1"/>
  <c r="G519" i="13" a="1"/>
  <c r="G519" i="13" s="1"/>
  <c r="H519" i="13" s="1"/>
  <c r="G568" i="13" a="1"/>
  <c r="G568" i="13" s="1"/>
  <c r="H568" i="13" s="1"/>
  <c r="F113" i="13" a="1"/>
  <c r="F113" i="13" s="1"/>
  <c r="F175" i="13" a="1"/>
  <c r="F175" i="13" s="1"/>
  <c r="I175" i="13" s="1"/>
  <c r="F207" i="13" a="1"/>
  <c r="F207" i="13" s="1"/>
  <c r="I207" i="13" s="1"/>
  <c r="F238" i="13" a="1"/>
  <c r="F238" i="13" s="1"/>
  <c r="I238" i="13" s="1"/>
  <c r="F269" i="13" a="1"/>
  <c r="F269" i="13" s="1"/>
  <c r="F298" i="13" a="1"/>
  <c r="F298" i="13" s="1"/>
  <c r="I298" i="13" s="1"/>
  <c r="F494" i="13" a="1"/>
  <c r="F494" i="13" s="1"/>
  <c r="I494" i="13" s="1"/>
  <c r="F550" i="13" a="1"/>
  <c r="F550" i="13" s="1"/>
  <c r="F578" i="13" a="1"/>
  <c r="F578" i="13" s="1"/>
  <c r="G122" i="13" a="1"/>
  <c r="G122" i="13" s="1"/>
  <c r="H122" i="13" s="1"/>
  <c r="G149" i="13" a="1"/>
  <c r="G149" i="13" s="1"/>
  <c r="H149" i="13" s="1"/>
  <c r="G236" i="13" a="1"/>
  <c r="G236" i="13" s="1"/>
  <c r="H236" i="13" s="1"/>
  <c r="G342" i="13" a="1"/>
  <c r="G342" i="13" s="1"/>
  <c r="H342" i="13" s="1"/>
  <c r="G418" i="13" a="1"/>
  <c r="G418" i="13" s="1"/>
  <c r="H418" i="13" s="1"/>
  <c r="G444" i="13" a="1"/>
  <c r="G444" i="13" s="1"/>
  <c r="H444" i="13" s="1"/>
  <c r="G494" i="13" a="1"/>
  <c r="G494" i="13" s="1"/>
  <c r="H494" i="13" s="1"/>
  <c r="G520" i="13" a="1"/>
  <c r="G520" i="13" s="1"/>
  <c r="H520" i="13" s="1"/>
  <c r="G544" i="13" a="1"/>
  <c r="G544" i="13" s="1"/>
  <c r="H544" i="13" s="1"/>
  <c r="G569" i="13" a="1"/>
  <c r="G569" i="13" s="1"/>
  <c r="H569" i="13" s="1"/>
  <c r="F116" i="13" a="1"/>
  <c r="F116" i="13" s="1"/>
  <c r="I116" i="13" s="1"/>
  <c r="F176" i="13" a="1"/>
  <c r="F176" i="13" s="1"/>
  <c r="F211" i="13" a="1"/>
  <c r="F211" i="13" s="1"/>
  <c r="I211" i="13" s="1"/>
  <c r="F242" i="13" a="1"/>
  <c r="F242" i="13" s="1"/>
  <c r="F327" i="13" a="1"/>
  <c r="F327" i="13" s="1"/>
  <c r="F496" i="13" a="1"/>
  <c r="F496" i="13" s="1"/>
  <c r="G126" i="13" a="1"/>
  <c r="G126" i="13" s="1"/>
  <c r="H126" i="13" s="1"/>
  <c r="G153" i="13" a="1"/>
  <c r="G153" i="13" s="1"/>
  <c r="H153" i="13" s="1"/>
  <c r="G210" i="13" a="1"/>
  <c r="G210" i="13" s="1"/>
  <c r="H210" i="13" s="1"/>
  <c r="G237" i="13" a="1"/>
  <c r="G237" i="13" s="1"/>
  <c r="H237" i="13" s="1"/>
  <c r="G321" i="13" a="1"/>
  <c r="G321" i="13" s="1"/>
  <c r="H321" i="13" s="1"/>
  <c r="G423" i="13" a="1"/>
  <c r="G423" i="13" s="1"/>
  <c r="H423" i="13" s="1"/>
  <c r="G445" i="13" a="1"/>
  <c r="G445" i="13" s="1"/>
  <c r="H445" i="13" s="1"/>
  <c r="G495" i="13" a="1"/>
  <c r="G495" i="13" s="1"/>
  <c r="H495" i="13" s="1"/>
  <c r="G521" i="13" a="1"/>
  <c r="G521" i="13" s="1"/>
  <c r="H521" i="13" s="1"/>
  <c r="G570" i="13" a="1"/>
  <c r="G570" i="13" s="1"/>
  <c r="H570" i="13" s="1"/>
  <c r="F212" i="13" a="1"/>
  <c r="F212" i="13" s="1"/>
  <c r="F300" i="13" a="1"/>
  <c r="F300" i="13" s="1"/>
  <c r="F328" i="13" a="1"/>
  <c r="F328" i="13" s="1"/>
  <c r="F382" i="13" a="1"/>
  <c r="F382" i="13" s="1"/>
  <c r="F441" i="13" a="1"/>
  <c r="F441" i="13" s="1"/>
  <c r="F523" i="13" a="1"/>
  <c r="F523" i="13" s="1"/>
  <c r="F556" i="13" a="1"/>
  <c r="F556" i="13" s="1"/>
  <c r="F580" i="13" a="1"/>
  <c r="F580" i="13" s="1"/>
  <c r="G183" i="13" a="1"/>
  <c r="G183" i="13" s="1"/>
  <c r="H183" i="13" s="1"/>
  <c r="G292" i="13" a="1"/>
  <c r="G292" i="13" s="1"/>
  <c r="H292" i="13" s="1"/>
  <c r="G348" i="13" a="1"/>
  <c r="G348" i="13" s="1"/>
  <c r="H348" i="13" s="1"/>
  <c r="G372" i="13" a="1"/>
  <c r="G372" i="13" s="1"/>
  <c r="H372" i="13" s="1"/>
  <c r="G446" i="13" a="1"/>
  <c r="G446" i="13" s="1"/>
  <c r="H446" i="13" s="1"/>
  <c r="G524" i="13" a="1"/>
  <c r="G524" i="13" s="1"/>
  <c r="H524" i="13" s="1"/>
  <c r="F118" i="13" a="1"/>
  <c r="F118" i="13" s="1"/>
  <c r="F182" i="13" a="1"/>
  <c r="F182" i="13" s="1"/>
  <c r="I182" i="13" s="1"/>
  <c r="F214" i="13" a="1"/>
  <c r="F214" i="13" s="1"/>
  <c r="F243" i="13" a="1"/>
  <c r="F243" i="13" s="1"/>
  <c r="F387" i="13" a="1"/>
  <c r="F387" i="13" s="1"/>
  <c r="F497" i="13" a="1"/>
  <c r="F497" i="13" s="1"/>
  <c r="F526" i="13" a="1"/>
  <c r="F526" i="13" s="1"/>
  <c r="G100" i="13" a="1"/>
  <c r="G100" i="13" s="1"/>
  <c r="H100" i="13" s="1"/>
  <c r="G127" i="13" a="1"/>
  <c r="G127" i="13" s="1"/>
  <c r="H127" i="13" s="1"/>
  <c r="G211" i="13" a="1"/>
  <c r="G211" i="13" s="1"/>
  <c r="H211" i="13" s="1"/>
  <c r="G239" i="13" a="1"/>
  <c r="G239" i="13" s="1"/>
  <c r="H239" i="13" s="1"/>
  <c r="G374" i="13" a="1"/>
  <c r="G374" i="13" s="1"/>
  <c r="H374" i="13" s="1"/>
  <c r="G399" i="13" a="1"/>
  <c r="G399" i="13" s="1"/>
  <c r="H399" i="13" s="1"/>
  <c r="G424" i="13" a="1"/>
  <c r="G424" i="13" s="1"/>
  <c r="H424" i="13" s="1"/>
  <c r="G450" i="13" a="1"/>
  <c r="G450" i="13" s="1"/>
  <c r="H450" i="13" s="1"/>
  <c r="G474" i="13" a="1"/>
  <c r="G474" i="13" s="1"/>
  <c r="H474" i="13" s="1"/>
  <c r="G548" i="13" a="1"/>
  <c r="G548" i="13" s="1"/>
  <c r="H548" i="13" s="1"/>
  <c r="F273" i="13" a="1"/>
  <c r="F273" i="13" s="1"/>
  <c r="I273" i="13" s="1"/>
  <c r="F329" i="13" a="1"/>
  <c r="F329" i="13" s="1"/>
  <c r="I329" i="13" s="1"/>
  <c r="F360" i="13" a="1"/>
  <c r="F360" i="13" s="1"/>
  <c r="I360" i="13" s="1"/>
  <c r="F388" i="13" a="1"/>
  <c r="F388" i="13" s="1"/>
  <c r="I388" i="13" s="1"/>
  <c r="F416" i="13" a="1"/>
  <c r="F416" i="13" s="1"/>
  <c r="F444" i="13" a="1"/>
  <c r="F444" i="13" s="1"/>
  <c r="F470" i="13" a="1"/>
  <c r="F470" i="13" s="1"/>
  <c r="F557" i="13" a="1"/>
  <c r="F557" i="13" s="1"/>
  <c r="G184" i="13" a="1"/>
  <c r="G184" i="13" s="1"/>
  <c r="H184" i="13" s="1"/>
  <c r="G271" i="13" a="1"/>
  <c r="G271" i="13" s="1"/>
  <c r="H271" i="13" s="1"/>
  <c r="G181" i="13" a="1"/>
  <c r="G181" i="13" s="1"/>
  <c r="H181" i="13" s="1"/>
  <c r="F146" i="13" a="1"/>
  <c r="F146" i="13" s="1"/>
  <c r="F299" i="13" a="1"/>
  <c r="F299" i="13" s="1"/>
  <c r="F579" i="13" a="1"/>
  <c r="F579" i="13" s="1"/>
  <c r="G182" i="13" a="1"/>
  <c r="G182" i="13" s="1"/>
  <c r="H182" i="13" s="1"/>
  <c r="G395" i="13" a="1"/>
  <c r="G395" i="13" s="1"/>
  <c r="H395" i="13" s="1"/>
  <c r="G473" i="13" a="1"/>
  <c r="G473" i="13" s="1"/>
  <c r="H473" i="13" s="1"/>
  <c r="G545" i="13" a="1"/>
  <c r="G545" i="13" s="1"/>
  <c r="H545" i="13" s="1"/>
  <c r="F272" i="13" a="1"/>
  <c r="F272" i="13" s="1"/>
  <c r="F358" i="13" a="1"/>
  <c r="F358" i="13" s="1"/>
  <c r="F469" i="13" a="1"/>
  <c r="F469" i="13" s="1"/>
  <c r="G155" i="13" a="1"/>
  <c r="G155" i="13" s="1"/>
  <c r="H155" i="13" s="1"/>
  <c r="G322" i="13" a="1"/>
  <c r="G322" i="13" s="1"/>
  <c r="H322" i="13" s="1"/>
  <c r="G398" i="13" a="1"/>
  <c r="G398" i="13" s="1"/>
  <c r="H398" i="13" s="1"/>
  <c r="F152" i="13" a="1"/>
  <c r="F152" i="13" s="1"/>
  <c r="I152" i="13" s="1"/>
  <c r="G156" i="13" a="1"/>
  <c r="G156" i="13" s="1"/>
  <c r="H156" i="13" s="1"/>
  <c r="G297" i="13" a="1"/>
  <c r="G297" i="13" s="1"/>
  <c r="H297" i="13" s="1"/>
  <c r="F145" i="13" a="1"/>
  <c r="F145" i="13" s="1"/>
  <c r="F353" i="13" a="1"/>
  <c r="F353" i="13" s="1"/>
  <c r="I353" i="13" s="1"/>
  <c r="F381" i="13" a="1"/>
  <c r="F381" i="13" s="1"/>
  <c r="F412" i="13" a="1"/>
  <c r="F412" i="13" s="1"/>
  <c r="F468" i="13" a="1"/>
  <c r="F468" i="13" s="1"/>
  <c r="I468" i="13" s="1"/>
  <c r="F522" i="13" a="1"/>
  <c r="F522" i="13" s="1"/>
  <c r="G209" i="13" a="1"/>
  <c r="G209" i="13" s="1"/>
  <c r="H209" i="13" s="1"/>
  <c r="G264" i="13" a="1"/>
  <c r="G264" i="13" s="1"/>
  <c r="H264" i="13" s="1"/>
  <c r="G291" i="13" a="1"/>
  <c r="G291" i="13" s="1"/>
  <c r="H291" i="13" s="1"/>
  <c r="G320" i="13" a="1"/>
  <c r="G320" i="13" s="1"/>
  <c r="H320" i="13" s="1"/>
  <c r="G371" i="13" a="1"/>
  <c r="G371" i="13" s="1"/>
  <c r="H371" i="13" s="1"/>
  <c r="G394" i="13" a="1"/>
  <c r="G394" i="13" s="1"/>
  <c r="H394" i="13" s="1"/>
  <c r="G469" i="13" a="1"/>
  <c r="G469" i="13" s="1"/>
  <c r="H469" i="13" s="1"/>
  <c r="G530" i="13" a="1"/>
  <c r="G530" i="13" s="1"/>
  <c r="H530" i="13" s="1"/>
  <c r="G478" i="13" a="1"/>
  <c r="G478" i="13" s="1"/>
  <c r="H478" i="13" s="1"/>
  <c r="G279" i="13" a="1"/>
  <c r="G279" i="13" s="1"/>
  <c r="H279" i="13" s="1"/>
  <c r="G215" i="13" a="1"/>
  <c r="G215" i="13" s="1"/>
  <c r="H215" i="13" s="1"/>
  <c r="F452" i="13" a="1"/>
  <c r="F452" i="13" s="1"/>
  <c r="I452" i="13" s="1"/>
  <c r="F222" i="13" a="1"/>
  <c r="F222" i="13" s="1"/>
  <c r="I222" i="13" s="1"/>
  <c r="F533" i="13" a="1"/>
  <c r="F533" i="13" s="1"/>
  <c r="F370" i="13" a="1"/>
  <c r="F370" i="13" s="1"/>
  <c r="I370" i="13" s="1"/>
  <c r="F306" i="13" a="1"/>
  <c r="F306" i="13" s="1"/>
  <c r="G529" i="13" a="1"/>
  <c r="G529" i="13" s="1"/>
  <c r="H529" i="13" s="1"/>
  <c r="G350" i="13" a="1"/>
  <c r="G350" i="13" s="1"/>
  <c r="H350" i="13" s="1"/>
  <c r="G193" i="13" a="1"/>
  <c r="G193" i="13" s="1"/>
  <c r="H193" i="13" s="1"/>
  <c r="G191" i="13" a="1"/>
  <c r="G191" i="13" s="1"/>
  <c r="H191" i="13" s="1"/>
  <c r="G110" i="13" a="1"/>
  <c r="G110" i="13" s="1"/>
  <c r="H110" i="13" s="1"/>
  <c r="F530" i="13" a="1"/>
  <c r="F530" i="13" s="1"/>
  <c r="F449" i="13" a="1"/>
  <c r="F449" i="13" s="1"/>
  <c r="F215" i="13" a="1"/>
  <c r="F215" i="13" s="1"/>
  <c r="F126" i="13" a="1"/>
  <c r="F126" i="13" s="1"/>
  <c r="G578" i="13" a="1"/>
  <c r="G578" i="13" s="1"/>
  <c r="H578" i="13" s="1"/>
  <c r="G333" i="13" a="1"/>
  <c r="G333" i="13" s="1"/>
  <c r="H333" i="13" s="1"/>
  <c r="G272" i="13" a="1"/>
  <c r="G272" i="13" s="1"/>
  <c r="H272" i="13" s="1"/>
  <c r="F447" i="13" a="1"/>
  <c r="F447" i="13" s="1"/>
  <c r="F282" i="13" a="1"/>
  <c r="F282" i="13" s="1"/>
  <c r="F123" i="13" a="1"/>
  <c r="F123" i="13" s="1"/>
  <c r="G525" i="13" a="1"/>
  <c r="G525" i="13" s="1"/>
  <c r="H525" i="13" s="1"/>
  <c r="G456" i="13" a="1"/>
  <c r="G456" i="13" s="1"/>
  <c r="H456" i="13" s="1"/>
  <c r="G330" i="13" a="1"/>
  <c r="G330" i="13" s="1"/>
  <c r="H330" i="13" s="1"/>
  <c r="G190" i="13" a="1"/>
  <c r="G190" i="13" s="1"/>
  <c r="H190" i="13" s="1"/>
  <c r="G109" i="13" a="1"/>
  <c r="G109" i="13" s="1"/>
  <c r="H109" i="13" s="1"/>
  <c r="F507" i="13" a="1"/>
  <c r="F507" i="13" s="1"/>
  <c r="F280" i="13" a="1"/>
  <c r="F280" i="13" s="1"/>
  <c r="F193" i="13" a="1"/>
  <c r="F193" i="13" s="1"/>
  <c r="A4" i="18"/>
  <c r="B1" i="34" s="1" a="1"/>
  <c r="B1" i="34" s="1"/>
  <c r="S3" i="14" a="1"/>
  <c r="S3" i="14" s="1"/>
  <c r="F67" i="13" a="1"/>
  <c r="F67" i="13" s="1"/>
  <c r="F38" i="13" a="1"/>
  <c r="F38" i="13" s="1"/>
  <c r="F13" i="13" a="1"/>
  <c r="F13" i="13" s="1"/>
  <c r="G597" i="13" a="1"/>
  <c r="G597" i="13" s="1"/>
  <c r="H597" i="13" s="1"/>
  <c r="G55" i="13" a="1"/>
  <c r="G55" i="13" s="1"/>
  <c r="H55" i="13" s="1"/>
  <c r="G34" i="13" a="1"/>
  <c r="G34" i="13" s="1"/>
  <c r="H34" i="13" s="1"/>
  <c r="F635" i="13" a="1"/>
  <c r="F635" i="13" s="1"/>
  <c r="F609" i="13" a="1"/>
  <c r="F609" i="13" s="1"/>
  <c r="F583" i="13" a="1"/>
  <c r="F583" i="13" s="1"/>
  <c r="F66" i="13" a="1"/>
  <c r="F66" i="13" s="1"/>
  <c r="F12" i="13" a="1"/>
  <c r="F12" i="13" s="1"/>
  <c r="G619" i="13" a="1"/>
  <c r="G619" i="13" s="1"/>
  <c r="H619" i="13" s="1"/>
  <c r="G596" i="13" a="1"/>
  <c r="G596" i="13" s="1"/>
  <c r="H596" i="13" s="1"/>
  <c r="G81" i="13" a="1"/>
  <c r="G81" i="13" s="1"/>
  <c r="H81" i="13" s="1"/>
  <c r="G54" i="13" a="1"/>
  <c r="G54" i="13" s="1"/>
  <c r="H54" i="13" s="1"/>
  <c r="F608" i="13" a="1"/>
  <c r="F608" i="13" s="1"/>
  <c r="F37" i="13" a="1"/>
  <c r="F37" i="13" s="1"/>
  <c r="I37" i="13" s="1"/>
  <c r="F11" i="13" a="1"/>
  <c r="F11" i="13" s="1"/>
  <c r="G618" i="13" a="1"/>
  <c r="G618" i="13" s="1"/>
  <c r="H618" i="13" s="1"/>
  <c r="G588" i="13" a="1"/>
  <c r="G588" i="13" s="1"/>
  <c r="H588" i="13" s="1"/>
  <c r="G33" i="13" a="1"/>
  <c r="G33" i="13" s="1"/>
  <c r="H33" i="13" s="1"/>
  <c r="F634" i="13" a="1"/>
  <c r="F634" i="13" s="1"/>
  <c r="F607" i="13" a="1"/>
  <c r="F607" i="13" s="1"/>
  <c r="I607" i="13" s="1"/>
  <c r="F92" i="13" a="1"/>
  <c r="F92" i="13" s="1"/>
  <c r="F65" i="13" a="1"/>
  <c r="F65" i="13" s="1"/>
  <c r="G617" i="13" a="1"/>
  <c r="G617" i="13" s="1"/>
  <c r="H617" i="13" s="1"/>
  <c r="G80" i="13" a="1"/>
  <c r="G80" i="13" s="1"/>
  <c r="H80" i="13" s="1"/>
  <c r="G53" i="13" a="1"/>
  <c r="G53" i="13" s="1"/>
  <c r="H53" i="13" s="1"/>
  <c r="G32" i="13" a="1"/>
  <c r="G32" i="13" s="1"/>
  <c r="H32" i="13" s="1"/>
  <c r="F612" i="13" a="1"/>
  <c r="F612" i="13" s="1"/>
  <c r="F70" i="13" a="1"/>
  <c r="F70" i="13" s="1"/>
  <c r="F47" i="13" a="1"/>
  <c r="F47" i="13" s="1"/>
  <c r="G622" i="13" a="1"/>
  <c r="G622" i="13" s="1"/>
  <c r="H622" i="13" s="1"/>
  <c r="G84" i="13" a="1"/>
  <c r="G84" i="13" s="1"/>
  <c r="H84" i="13" s="1"/>
  <c r="F611" i="13" a="1"/>
  <c r="F611" i="13" s="1"/>
  <c r="I611" i="13" s="1"/>
  <c r="F69" i="13" a="1"/>
  <c r="F69" i="13" s="1"/>
  <c r="I69" i="13" s="1"/>
  <c r="F15" i="13" a="1"/>
  <c r="F15" i="13" s="1"/>
  <c r="F585" i="13" a="1"/>
  <c r="F585" i="13" s="1"/>
  <c r="I585" i="13" s="1"/>
  <c r="F14" i="13" a="1"/>
  <c r="F14" i="13" s="1"/>
  <c r="I14" i="13" s="1"/>
  <c r="G598" i="13" a="1"/>
  <c r="G598" i="13" s="1"/>
  <c r="H598" i="13" s="1"/>
  <c r="F606" i="13" a="1"/>
  <c r="F606" i="13" s="1"/>
  <c r="F10" i="13" a="1"/>
  <c r="F10" i="13" s="1"/>
  <c r="I10" i="13" s="1"/>
  <c r="G23" i="13" a="1"/>
  <c r="G23" i="13" s="1"/>
  <c r="H23" i="13" s="1"/>
  <c r="F91" i="13" a="1"/>
  <c r="F91" i="13" s="1"/>
  <c r="G586" i="13" a="1"/>
  <c r="G586" i="13" s="1"/>
  <c r="H586" i="13" s="1"/>
  <c r="G22" i="13" a="1"/>
  <c r="G22" i="13" s="1"/>
  <c r="H22" i="13" s="1"/>
  <c r="F630" i="13" a="1"/>
  <c r="F630" i="13" s="1"/>
  <c r="F88" i="13" a="1"/>
  <c r="F88" i="13" s="1"/>
  <c r="G634" i="13" a="1"/>
  <c r="G634" i="13" s="1"/>
  <c r="H634" i="13" s="1"/>
  <c r="G72" i="13" a="1"/>
  <c r="G72" i="13" s="1"/>
  <c r="H72" i="13" s="1"/>
  <c r="F629" i="13" a="1"/>
  <c r="F629" i="13" s="1"/>
  <c r="F54" i="13" a="1"/>
  <c r="F54" i="13" s="1"/>
  <c r="G583" i="13" a="1"/>
  <c r="G583" i="13" s="1"/>
  <c r="H583" i="13" s="1"/>
  <c r="G18" i="13" a="1"/>
  <c r="G18" i="13" s="1"/>
  <c r="H18" i="13" s="1"/>
  <c r="F595" i="13" a="1"/>
  <c r="F595" i="13" s="1"/>
  <c r="G633" i="13" a="1"/>
  <c r="G633" i="13" s="1"/>
  <c r="H633" i="13" s="1"/>
  <c r="G70" i="13" a="1"/>
  <c r="G70" i="13" s="1"/>
  <c r="H70" i="13" s="1"/>
  <c r="F627" i="13" a="1"/>
  <c r="F627" i="13" s="1"/>
  <c r="F52" i="13" a="1"/>
  <c r="F52" i="13" s="1"/>
  <c r="G605" i="13" a="1"/>
  <c r="G605" i="13" s="1"/>
  <c r="H605" i="13" s="1"/>
  <c r="G16" i="13" a="1"/>
  <c r="G16" i="13" s="1"/>
  <c r="H16" i="13" s="1"/>
  <c r="F593" i="13" a="1"/>
  <c r="F593" i="13" s="1"/>
  <c r="G631" i="13" a="1"/>
  <c r="G631" i="13" s="1"/>
  <c r="H631" i="13" s="1"/>
  <c r="G40" i="13" a="1"/>
  <c r="G40" i="13" s="1"/>
  <c r="H40" i="13" s="1"/>
  <c r="F625" i="13" a="1"/>
  <c r="F625" i="13" s="1"/>
  <c r="F51" i="13" a="1"/>
  <c r="F51" i="13" s="1"/>
  <c r="G39" i="13" a="1"/>
  <c r="G39" i="13" s="1"/>
  <c r="H39" i="13" s="1"/>
  <c r="F82" i="13" a="1"/>
  <c r="F82" i="13" s="1"/>
  <c r="G630" i="13" a="1"/>
  <c r="G630" i="13" s="1"/>
  <c r="H630" i="13" s="1"/>
  <c r="G38" i="13" a="1"/>
  <c r="G38" i="13" s="1"/>
  <c r="H38" i="13" s="1"/>
  <c r="F590" i="13" a="1"/>
  <c r="F590" i="13" s="1"/>
  <c r="G629" i="13" a="1"/>
  <c r="G629" i="13" s="1"/>
  <c r="H629" i="13" s="1"/>
  <c r="G14" i="13" a="1"/>
  <c r="G14" i="13" s="1"/>
  <c r="H14" i="13" s="1"/>
  <c r="F615" i="13" a="1"/>
  <c r="F615" i="13" s="1"/>
  <c r="F589" i="13" a="1"/>
  <c r="F589" i="13" s="1"/>
  <c r="F73" i="13" a="1"/>
  <c r="F73" i="13" s="1"/>
  <c r="F19" i="13" a="1"/>
  <c r="F19" i="13" s="1"/>
  <c r="G87" i="13" a="1"/>
  <c r="G87" i="13" s="1"/>
  <c r="H87" i="13" s="1"/>
  <c r="G37" i="13" a="1"/>
  <c r="G37" i="13" s="1"/>
  <c r="H37" i="13" s="1"/>
  <c r="G13" i="13" a="1"/>
  <c r="G13" i="13" s="1"/>
  <c r="H13" i="13" s="1"/>
  <c r="F587" i="13" a="1"/>
  <c r="F587" i="13" s="1"/>
  <c r="F16" i="13" a="1"/>
  <c r="F16" i="13" s="1"/>
  <c r="G600" i="13" a="1"/>
  <c r="G600" i="13" s="1"/>
  <c r="H600" i="13" s="1"/>
  <c r="G63" i="13" a="1"/>
  <c r="G63" i="13" s="1"/>
  <c r="H63" i="13" s="1"/>
  <c r="F586" i="13" a="1"/>
  <c r="F586" i="13" s="1"/>
  <c r="F46" i="13" a="1"/>
  <c r="F46" i="13" s="1"/>
  <c r="G621" i="13" a="1"/>
  <c r="G621" i="13" s="1"/>
  <c r="H621" i="13" s="1"/>
  <c r="G599" i="13" a="1"/>
  <c r="G599" i="13" s="1"/>
  <c r="H599" i="13" s="1"/>
  <c r="G83" i="13" a="1"/>
  <c r="G83" i="13" s="1"/>
  <c r="H83" i="13" s="1"/>
  <c r="G57" i="13" a="1"/>
  <c r="G57" i="13" s="1"/>
  <c r="H57" i="13" s="1"/>
  <c r="G35" i="13" a="1"/>
  <c r="G35" i="13" s="1"/>
  <c r="H35" i="13" s="1"/>
  <c r="F610" i="13" a="1"/>
  <c r="F610" i="13" s="1"/>
  <c r="F39" i="13" a="1"/>
  <c r="F39" i="13" s="1"/>
  <c r="G56" i="13" a="1"/>
  <c r="G56" i="13" s="1"/>
  <c r="H56" i="13" s="1"/>
  <c r="F64" i="13" a="1"/>
  <c r="F64" i="13" s="1"/>
  <c r="G616" i="13" a="1"/>
  <c r="G616" i="13" s="1"/>
  <c r="H616" i="13" s="1"/>
  <c r="F633" i="13" a="1"/>
  <c r="F633" i="13" s="1"/>
  <c r="F35" i="13" a="1"/>
  <c r="F35" i="13" s="1"/>
  <c r="G79" i="13" a="1"/>
  <c r="G79" i="13" s="1"/>
  <c r="H79" i="13" s="1"/>
  <c r="F604" i="13" a="1"/>
  <c r="F604" i="13" s="1"/>
  <c r="F63" i="13" a="1"/>
  <c r="F63" i="13" s="1"/>
  <c r="G636" i="13" a="1"/>
  <c r="G636" i="13" s="1"/>
  <c r="H636" i="13" s="1"/>
  <c r="G585" i="13" a="1"/>
  <c r="G585" i="13" s="1"/>
  <c r="H585" i="13" s="1"/>
  <c r="G51" i="13" a="1"/>
  <c r="G51" i="13" s="1"/>
  <c r="H51" i="13" s="1"/>
  <c r="F631" i="13" a="1"/>
  <c r="F631" i="13" s="1"/>
  <c r="F89" i="13" a="1"/>
  <c r="F89" i="13" s="1"/>
  <c r="I89" i="13" s="1"/>
  <c r="G635" i="13" a="1"/>
  <c r="G635" i="13" s="1"/>
  <c r="H635" i="13" s="1"/>
  <c r="G20" i="13" a="1"/>
  <c r="G20" i="13" s="1"/>
  <c r="H20" i="13" s="1"/>
  <c r="F55" i="13" a="1"/>
  <c r="F55" i="13" s="1"/>
  <c r="G614" i="13" a="1"/>
  <c r="G614" i="13" s="1"/>
  <c r="H614" i="13" s="1"/>
  <c r="G50" i="13" a="1"/>
  <c r="G50" i="13" s="1"/>
  <c r="H50" i="13" s="1"/>
  <c r="F596" i="13" a="1"/>
  <c r="F596" i="13" s="1"/>
  <c r="F31" i="13" a="1"/>
  <c r="F31" i="13" s="1"/>
  <c r="G49" i="13" a="1"/>
  <c r="G49" i="13" s="1"/>
  <c r="H49" i="13" s="1"/>
  <c r="F86" i="13" a="1"/>
  <c r="F86" i="13" s="1"/>
  <c r="G606" i="13" a="1"/>
  <c r="G606" i="13" s="1"/>
  <c r="H606" i="13" s="1"/>
  <c r="G48" i="13" a="1"/>
  <c r="G48" i="13" s="1"/>
  <c r="H48" i="13" s="1"/>
  <c r="F594" i="13" a="1"/>
  <c r="F594" i="13" s="1"/>
  <c r="F30" i="13" a="1"/>
  <c r="F30" i="13" s="1"/>
  <c r="G69" i="13" a="1"/>
  <c r="G69" i="13" s="1"/>
  <c r="H69" i="13" s="1"/>
  <c r="F626" i="13" a="1"/>
  <c r="F626" i="13" s="1"/>
  <c r="F29" i="13" a="1"/>
  <c r="F29" i="13" s="1"/>
  <c r="G581" i="13" a="1"/>
  <c r="G581" i="13" s="1"/>
  <c r="H581" i="13" s="1"/>
  <c r="F83" i="13" a="1"/>
  <c r="F83" i="13" s="1"/>
  <c r="G67" i="13" a="1"/>
  <c r="G67" i="13" s="1"/>
  <c r="H67" i="13" s="1"/>
  <c r="F624" i="13" a="1"/>
  <c r="F624" i="13" s="1"/>
  <c r="F50" i="13" a="1"/>
  <c r="F50" i="13" s="1"/>
  <c r="G603" i="13" a="1"/>
  <c r="G603" i="13" s="1"/>
  <c r="H603" i="13" s="1"/>
  <c r="F623" i="13" a="1"/>
  <c r="F623" i="13" s="1"/>
  <c r="F20" i="13" a="1"/>
  <c r="F20" i="13" s="1"/>
  <c r="G88" i="13" a="1"/>
  <c r="G88" i="13" s="1"/>
  <c r="H88" i="13" s="1"/>
  <c r="F614" i="13" a="1"/>
  <c r="F614" i="13" s="1"/>
  <c r="F588" i="13" a="1"/>
  <c r="F588" i="13" s="1"/>
  <c r="F72" i="13" a="1"/>
  <c r="F72" i="13" s="1"/>
  <c r="F48" i="13" a="1"/>
  <c r="F48" i="13" s="1"/>
  <c r="F18" i="13" a="1"/>
  <c r="F18" i="13" s="1"/>
  <c r="G628" i="13" a="1"/>
  <c r="G628" i="13" s="1"/>
  <c r="H628" i="13" s="1"/>
  <c r="G601" i="13" a="1"/>
  <c r="G601" i="13" s="1"/>
  <c r="H601" i="13" s="1"/>
  <c r="G86" i="13" a="1"/>
  <c r="G86" i="13" s="1"/>
  <c r="H86" i="13" s="1"/>
  <c r="G65" i="13" a="1"/>
  <c r="G65" i="13" s="1"/>
  <c r="H65" i="13" s="1"/>
  <c r="G12" i="13" a="1"/>
  <c r="G12" i="13" s="1"/>
  <c r="H12" i="13" s="1"/>
  <c r="F68" i="13" a="1"/>
  <c r="F68" i="13" s="1"/>
  <c r="G620" i="13" a="1"/>
  <c r="G620" i="13" s="1"/>
  <c r="H620" i="13" s="1"/>
  <c r="G82" i="13" a="1"/>
  <c r="G82" i="13" s="1"/>
  <c r="H82" i="13" s="1"/>
  <c r="F584" i="13" a="1"/>
  <c r="F584" i="13" s="1"/>
  <c r="F36" i="13" a="1"/>
  <c r="F36" i="13" s="1"/>
  <c r="G587" i="13" a="1"/>
  <c r="G587" i="13" s="1"/>
  <c r="H587" i="13" s="1"/>
  <c r="F605" i="13" a="1"/>
  <c r="F605" i="13" s="1"/>
  <c r="I605" i="13" s="1"/>
  <c r="G637" i="13" a="1"/>
  <c r="G637" i="13" s="1"/>
  <c r="H637" i="13" s="1"/>
  <c r="G52" i="13" a="1"/>
  <c r="G52" i="13" s="1"/>
  <c r="H52" i="13" s="1"/>
  <c r="F632" i="13" a="1"/>
  <c r="F632" i="13" s="1"/>
  <c r="F90" i="13" a="1"/>
  <c r="F90" i="13" s="1"/>
  <c r="I90" i="13" s="1"/>
  <c r="F34" i="13" a="1"/>
  <c r="F34" i="13" s="1"/>
  <c r="I34" i="13" s="1"/>
  <c r="G615" i="13" a="1"/>
  <c r="G615" i="13" s="1"/>
  <c r="H615" i="13" s="1"/>
  <c r="G78" i="13" a="1"/>
  <c r="G78" i="13" s="1"/>
  <c r="H78" i="13" s="1"/>
  <c r="G21" i="13" a="1"/>
  <c r="G21" i="13" s="1"/>
  <c r="H21" i="13" s="1"/>
  <c r="F603" i="13" a="1"/>
  <c r="F603" i="13" s="1"/>
  <c r="F56" i="13" a="1"/>
  <c r="F56" i="13" s="1"/>
  <c r="F33" i="13" a="1"/>
  <c r="F33" i="13" s="1"/>
  <c r="G73" i="13" a="1"/>
  <c r="G73" i="13" s="1"/>
  <c r="H73" i="13" s="1"/>
  <c r="F602" i="13" a="1"/>
  <c r="F602" i="13" s="1"/>
  <c r="F32" i="13" a="1"/>
  <c r="F32" i="13" s="1"/>
  <c r="G584" i="13" a="1"/>
  <c r="G584" i="13" s="1"/>
  <c r="H584" i="13" s="1"/>
  <c r="G19" i="13" a="1"/>
  <c r="G19" i="13" s="1"/>
  <c r="H19" i="13" s="1"/>
  <c r="F87" i="13" a="1"/>
  <c r="F87" i="13" s="1"/>
  <c r="G613" i="13" a="1"/>
  <c r="G613" i="13" s="1"/>
  <c r="H613" i="13" s="1"/>
  <c r="G71" i="13" a="1"/>
  <c r="G71" i="13" s="1"/>
  <c r="H71" i="13" s="1"/>
  <c r="F628" i="13" a="1"/>
  <c r="F628" i="13" s="1"/>
  <c r="F53" i="13" a="1"/>
  <c r="F53" i="13" s="1"/>
  <c r="I53" i="13" s="1"/>
  <c r="G582" i="13" a="1"/>
  <c r="G582" i="13" s="1"/>
  <c r="H582" i="13" s="1"/>
  <c r="G17" i="13" a="1"/>
  <c r="G17" i="13" s="1"/>
  <c r="H17" i="13" s="1"/>
  <c r="F85" i="13" a="1"/>
  <c r="F85" i="13" s="1"/>
  <c r="G632" i="13" a="1"/>
  <c r="G632" i="13" s="1"/>
  <c r="H632" i="13" s="1"/>
  <c r="G47" i="13" a="1"/>
  <c r="G47" i="13" s="1"/>
  <c r="H47" i="13" s="1"/>
  <c r="F84" i="13" a="1"/>
  <c r="F84" i="13" s="1"/>
  <c r="I84" i="13" s="1"/>
  <c r="G604" i="13" a="1"/>
  <c r="G604" i="13" s="1"/>
  <c r="H604" i="13" s="1"/>
  <c r="G68" i="13" a="1"/>
  <c r="G68" i="13" s="1"/>
  <c r="H68" i="13" s="1"/>
  <c r="F592" i="13" a="1"/>
  <c r="F592" i="13" s="1"/>
  <c r="G96" i="13" a="1"/>
  <c r="G96" i="13" s="1"/>
  <c r="H96" i="13" s="1"/>
  <c r="G15" i="13" a="1"/>
  <c r="G15" i="13" s="1"/>
  <c r="H15" i="13" s="1"/>
  <c r="F591" i="13" a="1"/>
  <c r="F591" i="13" s="1"/>
  <c r="F21" i="13" a="1"/>
  <c r="F21" i="13" s="1"/>
  <c r="G95" i="13" a="1"/>
  <c r="G95" i="13" s="1"/>
  <c r="H95" i="13" s="1"/>
  <c r="F49" i="13" a="1"/>
  <c r="F49" i="13" s="1"/>
  <c r="G602" i="13" a="1"/>
  <c r="G602" i="13" s="1"/>
  <c r="H602" i="13" s="1"/>
  <c r="G66" i="13" a="1"/>
  <c r="G66" i="13" s="1"/>
  <c r="H66" i="13" s="1"/>
  <c r="F613" i="13" a="1"/>
  <c r="F613" i="13" s="1"/>
  <c r="F71" i="13" a="1"/>
  <c r="F71" i="13" s="1"/>
  <c r="F17" i="13" a="1"/>
  <c r="F17" i="13" s="1"/>
  <c r="G85" i="13" a="1"/>
  <c r="G85" i="13" s="1"/>
  <c r="H85" i="13" s="1"/>
  <c r="G64" i="13" a="1"/>
  <c r="G64" i="13" s="1"/>
  <c r="H64" i="13" s="1"/>
  <c r="G36" i="13" a="1"/>
  <c r="G36" i="13" s="1"/>
  <c r="H36" i="13" s="1"/>
  <c r="F601" i="13" a="1"/>
  <c r="F601" i="13" s="1"/>
  <c r="I601" i="13" s="1"/>
  <c r="F61" i="13" a="1"/>
  <c r="F61" i="13" s="1"/>
  <c r="G610" i="13" a="1"/>
  <c r="G610" i="13" s="1"/>
  <c r="H610" i="13" s="1"/>
  <c r="G92" i="13" a="1"/>
  <c r="G92" i="13" s="1"/>
  <c r="H92" i="13" s="1"/>
  <c r="G29" i="13" a="1"/>
  <c r="G29" i="13" s="1"/>
  <c r="H29" i="13" s="1"/>
  <c r="F600" i="13" a="1"/>
  <c r="F600" i="13" s="1"/>
  <c r="F78" i="13" a="1"/>
  <c r="F78" i="13" s="1"/>
  <c r="I78" i="13" s="1"/>
  <c r="F26" i="13" a="1"/>
  <c r="F26" i="13" s="1"/>
  <c r="F7" i="13" a="1"/>
  <c r="F7" i="13" s="1"/>
  <c r="G625" i="13" a="1"/>
  <c r="G625" i="13" s="1"/>
  <c r="H625" i="13" s="1"/>
  <c r="G593" i="13" a="1"/>
  <c r="G593" i="13" s="1"/>
  <c r="H593" i="13" s="1"/>
  <c r="G76" i="13" a="1"/>
  <c r="G76" i="13" s="1"/>
  <c r="H76" i="13" s="1"/>
  <c r="G60" i="13" a="1"/>
  <c r="G60" i="13" s="1"/>
  <c r="H60" i="13" s="1"/>
  <c r="G44" i="13" a="1"/>
  <c r="G44" i="13" s="1"/>
  <c r="H44" i="13" s="1"/>
  <c r="G28" i="13" a="1"/>
  <c r="G28" i="13" s="1"/>
  <c r="H28" i="13" s="1"/>
  <c r="G8" i="13" a="1"/>
  <c r="G8" i="13" s="1"/>
  <c r="H8" i="13" s="1"/>
  <c r="F638" i="13" a="1"/>
  <c r="F638" i="13" s="1"/>
  <c r="F619" i="13" a="1"/>
  <c r="F619" i="13" s="1"/>
  <c r="I619" i="13" s="1"/>
  <c r="F599" i="13" a="1"/>
  <c r="F599" i="13" s="1"/>
  <c r="F96" i="13" a="1"/>
  <c r="F96" i="13" s="1"/>
  <c r="F77" i="13" a="1"/>
  <c r="F77" i="13" s="1"/>
  <c r="I77" i="13" s="1"/>
  <c r="F59" i="13" a="1"/>
  <c r="F59" i="13" s="1"/>
  <c r="F42" i="13" a="1"/>
  <c r="F42" i="13" s="1"/>
  <c r="F25" i="13" a="1"/>
  <c r="F25" i="13" s="1"/>
  <c r="F6" i="13" a="1"/>
  <c r="F6" i="13" s="1"/>
  <c r="G609" i="13" a="1"/>
  <c r="G609" i="13" s="1"/>
  <c r="H609" i="13" s="1"/>
  <c r="G592" i="13" a="1"/>
  <c r="G592" i="13" s="1"/>
  <c r="H592" i="13" s="1"/>
  <c r="G91" i="13" a="1"/>
  <c r="G91" i="13" s="1"/>
  <c r="H91" i="13" s="1"/>
  <c r="G43" i="13" a="1"/>
  <c r="G43" i="13" s="1"/>
  <c r="H43" i="13" s="1"/>
  <c r="G27" i="13" a="1"/>
  <c r="G27" i="13" s="1"/>
  <c r="H27" i="13" s="1"/>
  <c r="G7" i="13" a="1"/>
  <c r="G7" i="13" s="1"/>
  <c r="H7" i="13" s="1"/>
  <c r="F9" i="13" a="1"/>
  <c r="F9" i="13" s="1"/>
  <c r="G46" i="13" a="1"/>
  <c r="G46" i="13" s="1"/>
  <c r="H46" i="13" s="1"/>
  <c r="F622" i="13" a="1"/>
  <c r="F622" i="13" s="1"/>
  <c r="F44" i="13" a="1"/>
  <c r="F44" i="13" s="1"/>
  <c r="G595" i="13" a="1"/>
  <c r="G595" i="13" s="1"/>
  <c r="H595" i="13" s="1"/>
  <c r="G30" i="13" a="1"/>
  <c r="G30" i="13" s="1"/>
  <c r="H30" i="13" s="1"/>
  <c r="F79" i="13" a="1"/>
  <c r="F79" i="13" s="1"/>
  <c r="G9" i="13" a="1"/>
  <c r="G9" i="13" s="1"/>
  <c r="H9" i="13" s="1"/>
  <c r="F637" i="13" a="1"/>
  <c r="F637" i="13" s="1"/>
  <c r="F95" i="13" a="1"/>
  <c r="F95" i="13" s="1"/>
  <c r="I95" i="13" s="1"/>
  <c r="F76" i="13" a="1"/>
  <c r="F76" i="13" s="1"/>
  <c r="I76" i="13" s="1"/>
  <c r="F24" i="13" a="1"/>
  <c r="F24" i="13" s="1"/>
  <c r="G624" i="13" a="1"/>
  <c r="G624" i="13" s="1"/>
  <c r="H624" i="13" s="1"/>
  <c r="G608" i="13" a="1"/>
  <c r="G608" i="13" s="1"/>
  <c r="H608" i="13" s="1"/>
  <c r="G591" i="13" a="1"/>
  <c r="G591" i="13" s="1"/>
  <c r="H591" i="13" s="1"/>
  <c r="G90" i="13" a="1"/>
  <c r="G90" i="13" s="1"/>
  <c r="H90" i="13" s="1"/>
  <c r="G75" i="13" a="1"/>
  <c r="G75" i="13" s="1"/>
  <c r="H75" i="13" s="1"/>
  <c r="G59" i="13" a="1"/>
  <c r="G59" i="13" s="1"/>
  <c r="H59" i="13" s="1"/>
  <c r="G26" i="13" a="1"/>
  <c r="G26" i="13" s="1"/>
  <c r="H26" i="13" s="1"/>
  <c r="G6" i="13" a="1"/>
  <c r="G6" i="13" s="1"/>
  <c r="H6" i="13" s="1"/>
  <c r="F45" i="13" a="1"/>
  <c r="F45" i="13" s="1"/>
  <c r="G612" i="13" a="1"/>
  <c r="G612" i="13" s="1"/>
  <c r="H612" i="13" s="1"/>
  <c r="G31" i="13" a="1"/>
  <c r="G31" i="13" s="1"/>
  <c r="H31" i="13" s="1"/>
  <c r="F80" i="13" a="1"/>
  <c r="F80" i="13" s="1"/>
  <c r="G611" i="13" a="1"/>
  <c r="G611" i="13" s="1"/>
  <c r="H611" i="13" s="1"/>
  <c r="G45" i="13" a="1"/>
  <c r="G45" i="13" s="1"/>
  <c r="H45" i="13" s="1"/>
  <c r="F43" i="13" a="1"/>
  <c r="F43" i="13" s="1"/>
  <c r="F636" i="13" a="1"/>
  <c r="F636" i="13" s="1"/>
  <c r="F617" i="13" a="1"/>
  <c r="F617" i="13" s="1"/>
  <c r="F598" i="13" a="1"/>
  <c r="F598" i="13" s="1"/>
  <c r="F94" i="13" a="1"/>
  <c r="F94" i="13" s="1"/>
  <c r="F75" i="13" a="1"/>
  <c r="F75" i="13" s="1"/>
  <c r="F58" i="13" a="1"/>
  <c r="F58" i="13" s="1"/>
  <c r="I58" i="13" s="1"/>
  <c r="F41" i="13" a="1"/>
  <c r="F41" i="13" s="1"/>
  <c r="I41" i="13" s="1"/>
  <c r="F23" i="13" a="1"/>
  <c r="F23" i="13" s="1"/>
  <c r="G590" i="13" a="1"/>
  <c r="G590" i="13" s="1"/>
  <c r="H590" i="13" s="1"/>
  <c r="G74" i="13" a="1"/>
  <c r="G74" i="13" s="1"/>
  <c r="H74" i="13" s="1"/>
  <c r="G42" i="13" a="1"/>
  <c r="G42" i="13" s="1"/>
  <c r="H42" i="13" s="1"/>
  <c r="G25" i="13" a="1"/>
  <c r="G25" i="13" s="1"/>
  <c r="H25" i="13" s="1"/>
  <c r="G5" i="13" a="1"/>
  <c r="G5" i="13" s="1"/>
  <c r="H5" i="13" s="1"/>
  <c r="F81" i="13" a="1"/>
  <c r="F81" i="13" s="1"/>
  <c r="F28" i="13" a="1"/>
  <c r="F28" i="13" s="1"/>
  <c r="G627" i="13" a="1"/>
  <c r="G627" i="13" s="1"/>
  <c r="H627" i="13" s="1"/>
  <c r="G94" i="13" a="1"/>
  <c r="G94" i="13" s="1"/>
  <c r="H94" i="13" s="1"/>
  <c r="G62" i="13" a="1"/>
  <c r="G62" i="13" s="1"/>
  <c r="H62" i="13" s="1"/>
  <c r="G11" i="13" a="1"/>
  <c r="G11" i="13" s="1"/>
  <c r="H11" i="13" s="1"/>
  <c r="F582" i="13" a="1"/>
  <c r="F582" i="13" s="1"/>
  <c r="F62" i="13" a="1"/>
  <c r="F62" i="13" s="1"/>
  <c r="F27" i="13" a="1"/>
  <c r="F27" i="13" s="1"/>
  <c r="G626" i="13" a="1"/>
  <c r="G626" i="13" s="1"/>
  <c r="H626" i="13" s="1"/>
  <c r="G93" i="13" a="1"/>
  <c r="G93" i="13" s="1"/>
  <c r="H93" i="13" s="1"/>
  <c r="G77" i="13" a="1"/>
  <c r="G77" i="13" s="1"/>
  <c r="H77" i="13" s="1"/>
  <c r="G10" i="13" a="1"/>
  <c r="G10" i="13" s="1"/>
  <c r="H10" i="13" s="1"/>
  <c r="F621" i="13" a="1"/>
  <c r="F621" i="13" s="1"/>
  <c r="F581" i="13" a="1"/>
  <c r="F581" i="13" s="1"/>
  <c r="I581" i="13" s="1"/>
  <c r="F8" i="13" a="1"/>
  <c r="F8" i="13" s="1"/>
  <c r="I8" i="13" s="1"/>
  <c r="G594" i="13" a="1"/>
  <c r="G594" i="13" s="1"/>
  <c r="H594" i="13" s="1"/>
  <c r="G61" i="13" a="1"/>
  <c r="G61" i="13" s="1"/>
  <c r="H61" i="13" s="1"/>
  <c r="F620" i="13" a="1"/>
  <c r="F620" i="13" s="1"/>
  <c r="I620" i="13" s="1"/>
  <c r="F60" i="13" a="1"/>
  <c r="F60" i="13" s="1"/>
  <c r="F618" i="13" a="1"/>
  <c r="F618" i="13" s="1"/>
  <c r="I618" i="13" s="1"/>
  <c r="F616" i="13" a="1"/>
  <c r="F616" i="13" s="1"/>
  <c r="I616" i="13" s="1"/>
  <c r="F597" i="13" a="1"/>
  <c r="F597" i="13" s="1"/>
  <c r="F93" i="13" a="1"/>
  <c r="F93" i="13" s="1"/>
  <c r="I93" i="13" s="1"/>
  <c r="F74" i="13" a="1"/>
  <c r="F74" i="13" s="1"/>
  <c r="F57" i="13" a="1"/>
  <c r="F57" i="13" s="1"/>
  <c r="F40" i="13" a="1"/>
  <c r="F40" i="13" s="1"/>
  <c r="F22" i="13" a="1"/>
  <c r="F22" i="13" s="1"/>
  <c r="I22" i="13" s="1"/>
  <c r="G638" i="13" a="1"/>
  <c r="G638" i="13" s="1"/>
  <c r="H638" i="13" s="1"/>
  <c r="G623" i="13" a="1"/>
  <c r="G623" i="13" s="1"/>
  <c r="H623" i="13" s="1"/>
  <c r="G607" i="13" a="1"/>
  <c r="G607" i="13" s="1"/>
  <c r="H607" i="13" s="1"/>
  <c r="G589" i="13" a="1"/>
  <c r="G589" i="13" s="1"/>
  <c r="H589" i="13" s="1"/>
  <c r="G89" i="13" a="1"/>
  <c r="G89" i="13" s="1"/>
  <c r="H89" i="13" s="1"/>
  <c r="G58" i="13" a="1"/>
  <c r="G58" i="13" s="1"/>
  <c r="H58" i="13" s="1"/>
  <c r="G41" i="13" a="1"/>
  <c r="G41" i="13" s="1"/>
  <c r="H41" i="13" s="1"/>
  <c r="A1" i="14" a="1"/>
  <c r="A1" i="14" s="1"/>
  <c r="O3" i="13" l="1"/>
  <c r="S1" i="13"/>
  <c r="I459" i="34"/>
  <c r="I365" i="39"/>
  <c r="I314" i="37"/>
  <c r="I130" i="37"/>
  <c r="I381" i="13"/>
  <c r="I557" i="13"/>
  <c r="I214" i="13"/>
  <c r="I550" i="13"/>
  <c r="I150" i="13"/>
  <c r="I320" i="13"/>
  <c r="I106" i="34"/>
  <c r="I372" i="34"/>
  <c r="I307" i="34"/>
  <c r="I352" i="35"/>
  <c r="I272" i="35"/>
  <c r="I316" i="35"/>
  <c r="I95" i="35"/>
  <c r="I42" i="35"/>
  <c r="I476" i="35"/>
  <c r="I399" i="35"/>
  <c r="I620" i="35"/>
  <c r="I234" i="36"/>
  <c r="I468" i="36"/>
  <c r="I109" i="36"/>
  <c r="I287" i="37"/>
  <c r="I207" i="39"/>
  <c r="I334" i="39"/>
  <c r="I5" i="34"/>
  <c r="I34" i="34"/>
  <c r="I160" i="36"/>
  <c r="I257" i="37"/>
  <c r="I347" i="37"/>
  <c r="I339" i="37"/>
  <c r="I178" i="39"/>
  <c r="I151" i="36"/>
  <c r="I561" i="36"/>
  <c r="I174" i="34"/>
  <c r="I475" i="35"/>
  <c r="I511" i="39"/>
  <c r="I344" i="39"/>
  <c r="I403" i="37"/>
  <c r="I405" i="36"/>
  <c r="I141" i="37"/>
  <c r="I374" i="39"/>
  <c r="I106" i="39"/>
  <c r="I519" i="34"/>
  <c r="I357" i="34"/>
  <c r="I369" i="35"/>
  <c r="I134" i="37"/>
  <c r="I506" i="37"/>
  <c r="I395" i="39"/>
  <c r="I521" i="34"/>
  <c r="I572" i="13"/>
  <c r="I597" i="35"/>
  <c r="I470" i="36"/>
  <c r="I526" i="37"/>
  <c r="I169" i="37"/>
  <c r="I148" i="39"/>
  <c r="I617" i="34"/>
  <c r="I458" i="36"/>
  <c r="I474" i="37"/>
  <c r="I105" i="39"/>
  <c r="I19" i="13"/>
  <c r="I373" i="13"/>
  <c r="I217" i="34"/>
  <c r="I574" i="34"/>
  <c r="I545" i="34"/>
  <c r="I495" i="35"/>
  <c r="I506" i="36"/>
  <c r="I184" i="37"/>
  <c r="I214" i="37"/>
  <c r="I594" i="37"/>
  <c r="I113" i="36"/>
  <c r="I120" i="36"/>
  <c r="I552" i="13"/>
  <c r="I312" i="36"/>
  <c r="I285" i="35"/>
  <c r="I342" i="34"/>
  <c r="I542" i="35"/>
  <c r="I483" i="35"/>
  <c r="I231" i="36"/>
  <c r="I494" i="37"/>
  <c r="I39" i="34"/>
  <c r="I479" i="36"/>
  <c r="I484" i="34"/>
  <c r="I568" i="35"/>
  <c r="I65" i="37"/>
  <c r="I422" i="37"/>
  <c r="I615" i="37"/>
  <c r="I51" i="35"/>
  <c r="I637" i="34"/>
  <c r="I32" i="36"/>
  <c r="I42" i="37"/>
  <c r="I212" i="34"/>
  <c r="I90" i="35"/>
  <c r="I613" i="35"/>
  <c r="I10" i="35"/>
  <c r="I445" i="35"/>
  <c r="I9" i="35"/>
  <c r="I119" i="35"/>
  <c r="I638" i="35"/>
  <c r="I544" i="35"/>
  <c r="I273" i="36"/>
  <c r="I577" i="36"/>
  <c r="I386" i="36"/>
  <c r="I366" i="36"/>
  <c r="I25" i="37"/>
  <c r="I473" i="37"/>
  <c r="I174" i="37"/>
  <c r="I438" i="37"/>
  <c r="I620" i="37"/>
  <c r="I479" i="37"/>
  <c r="I286" i="39"/>
  <c r="I182" i="39"/>
  <c r="I542" i="39"/>
  <c r="I110" i="34"/>
  <c r="I211" i="37"/>
  <c r="I30" i="36"/>
  <c r="I152" i="35"/>
  <c r="I584" i="37"/>
  <c r="I475" i="34"/>
  <c r="I141" i="34"/>
  <c r="I534" i="34"/>
  <c r="I489" i="35"/>
  <c r="I616" i="39"/>
  <c r="I95" i="34"/>
  <c r="I332" i="34"/>
  <c r="I548" i="34"/>
  <c r="I231" i="37"/>
  <c r="I322" i="37"/>
  <c r="I627" i="37"/>
  <c r="I465" i="39"/>
  <c r="I50" i="34"/>
  <c r="I287" i="34"/>
  <c r="I7" i="39"/>
  <c r="I315" i="34"/>
  <c r="I100" i="37"/>
  <c r="I496" i="34"/>
  <c r="I598" i="35"/>
  <c r="I157" i="13"/>
  <c r="I426" i="35"/>
  <c r="I336" i="35"/>
  <c r="I11" i="39"/>
  <c r="I388" i="34"/>
  <c r="I340" i="13"/>
  <c r="I133" i="13"/>
  <c r="I424" i="13"/>
  <c r="I298" i="34"/>
  <c r="I605" i="34"/>
  <c r="I508" i="34"/>
  <c r="I573" i="35"/>
  <c r="I567" i="35"/>
  <c r="I397" i="35"/>
  <c r="I296" i="35"/>
  <c r="I76" i="35"/>
  <c r="I349" i="35"/>
  <c r="I263" i="36"/>
  <c r="I22" i="36"/>
  <c r="I533" i="36"/>
  <c r="I393" i="37"/>
  <c r="I418" i="37"/>
  <c r="I173" i="37"/>
  <c r="I233" i="37"/>
  <c r="I518" i="37"/>
  <c r="I492" i="37"/>
  <c r="I80" i="37"/>
  <c r="I100" i="39"/>
  <c r="I231" i="39"/>
  <c r="I152" i="39"/>
  <c r="I536" i="39"/>
  <c r="I352" i="39"/>
  <c r="I24" i="36"/>
  <c r="I20" i="13"/>
  <c r="I430" i="34"/>
  <c r="I551" i="34"/>
  <c r="I56" i="36"/>
  <c r="I266" i="35"/>
  <c r="I136" i="37"/>
  <c r="I539" i="37"/>
  <c r="I324" i="39"/>
  <c r="I161" i="39"/>
  <c r="I499" i="39"/>
  <c r="I572" i="35"/>
  <c r="I577" i="34"/>
  <c r="I199" i="35"/>
  <c r="I24" i="37"/>
  <c r="I393" i="39"/>
  <c r="I200" i="34"/>
  <c r="I128" i="35"/>
  <c r="I506" i="34"/>
  <c r="I349" i="34"/>
  <c r="I76" i="37"/>
  <c r="I446" i="36"/>
  <c r="I447" i="13"/>
  <c r="I441" i="13"/>
  <c r="I488" i="34"/>
  <c r="I26" i="37"/>
  <c r="I276" i="37"/>
  <c r="I270" i="34"/>
  <c r="I184" i="35"/>
  <c r="I375" i="13"/>
  <c r="I413" i="34"/>
  <c r="I327" i="35"/>
  <c r="I580" i="35"/>
  <c r="I86" i="13"/>
  <c r="I521" i="13"/>
  <c r="I462" i="13"/>
  <c r="I167" i="13"/>
  <c r="I420" i="13"/>
  <c r="I451" i="13"/>
  <c r="I631" i="34"/>
  <c r="I417" i="34"/>
  <c r="I619" i="34"/>
  <c r="I254" i="34"/>
  <c r="I347" i="34"/>
  <c r="I550" i="34"/>
  <c r="I512" i="34"/>
  <c r="I19" i="35"/>
  <c r="I232" i="35"/>
  <c r="I66" i="35"/>
  <c r="I301" i="36"/>
  <c r="I529" i="37"/>
  <c r="I516" i="37"/>
  <c r="I599" i="37"/>
  <c r="I19" i="39"/>
  <c r="I64" i="39"/>
  <c r="I507" i="13"/>
  <c r="I403" i="13"/>
  <c r="I341" i="36"/>
  <c r="I260" i="36"/>
  <c r="I333" i="39"/>
  <c r="I31" i="37"/>
  <c r="I598" i="37"/>
  <c r="I377" i="39"/>
  <c r="I560" i="39"/>
  <c r="I101" i="36"/>
  <c r="I246" i="39"/>
  <c r="I519" i="39"/>
  <c r="I393" i="35"/>
  <c r="I194" i="35"/>
  <c r="I118" i="35"/>
  <c r="I629" i="37"/>
  <c r="I184" i="39"/>
  <c r="I433" i="13"/>
  <c r="I336" i="13"/>
  <c r="I614" i="35"/>
  <c r="I328" i="13"/>
  <c r="I415" i="35"/>
  <c r="I243" i="36"/>
  <c r="I537" i="39"/>
  <c r="I101" i="13"/>
  <c r="I555" i="13"/>
  <c r="I72" i="34"/>
  <c r="I167" i="34"/>
  <c r="I532" i="34"/>
  <c r="I623" i="36"/>
  <c r="I603" i="37"/>
  <c r="I508" i="37"/>
  <c r="I233" i="39"/>
  <c r="I128" i="39"/>
  <c r="I580" i="39"/>
  <c r="I599" i="34"/>
  <c r="I513" i="37"/>
  <c r="I296" i="37"/>
  <c r="I385" i="13"/>
  <c r="I289" i="34"/>
  <c r="I605" i="37"/>
  <c r="I461" i="37"/>
  <c r="I304" i="39"/>
  <c r="I520" i="36"/>
  <c r="I428" i="34"/>
  <c r="I475" i="13"/>
  <c r="I618" i="36"/>
  <c r="I304" i="36"/>
  <c r="I200" i="37"/>
  <c r="I583" i="34"/>
  <c r="I45" i="13"/>
  <c r="I26" i="13"/>
  <c r="I72" i="13"/>
  <c r="I530" i="13"/>
  <c r="I497" i="13"/>
  <c r="I406" i="13"/>
  <c r="I295" i="13"/>
  <c r="I226" i="34"/>
  <c r="I53" i="34"/>
  <c r="I381" i="34"/>
  <c r="I493" i="34"/>
  <c r="I78" i="34"/>
  <c r="I234" i="34"/>
  <c r="I67" i="35"/>
  <c r="I291" i="35"/>
  <c r="I107" i="35"/>
  <c r="I599" i="35"/>
  <c r="I134" i="35"/>
  <c r="I47" i="35"/>
  <c r="I312" i="35"/>
  <c r="I411" i="35"/>
  <c r="I333" i="35"/>
  <c r="I451" i="36"/>
  <c r="I148" i="36"/>
  <c r="I254" i="36"/>
  <c r="I225" i="36"/>
  <c r="I257" i="36"/>
  <c r="I606" i="36"/>
  <c r="I439" i="36"/>
  <c r="I381" i="36"/>
  <c r="I545" i="36"/>
  <c r="I244" i="37"/>
  <c r="I70" i="37"/>
  <c r="I515" i="37"/>
  <c r="I591" i="37"/>
  <c r="I202" i="37"/>
  <c r="I72" i="37"/>
  <c r="I501" i="37"/>
  <c r="I89" i="37"/>
  <c r="I574" i="37"/>
  <c r="I107" i="37"/>
  <c r="I392" i="37"/>
  <c r="I202" i="39"/>
  <c r="I122" i="39"/>
  <c r="I104" i="39"/>
  <c r="I290" i="39"/>
  <c r="I253" i="39"/>
  <c r="I30" i="39"/>
  <c r="I234" i="39"/>
  <c r="I132" i="39"/>
  <c r="I277" i="39"/>
  <c r="I574" i="39"/>
  <c r="I485" i="39"/>
  <c r="I70" i="39"/>
  <c r="I161" i="34"/>
  <c r="I21" i="34"/>
  <c r="I66" i="34"/>
  <c r="I89" i="39"/>
  <c r="I323" i="37"/>
  <c r="I588" i="13"/>
  <c r="I67" i="13"/>
  <c r="I387" i="13"/>
  <c r="I324" i="13"/>
  <c r="I526" i="34"/>
  <c r="I407" i="35"/>
  <c r="I280" i="13"/>
  <c r="I463" i="13"/>
  <c r="I419" i="13"/>
  <c r="I495" i="39"/>
  <c r="I415" i="39"/>
  <c r="I506" i="39"/>
  <c r="I379" i="36"/>
  <c r="I638" i="34"/>
  <c r="I166" i="35"/>
  <c r="I291" i="36"/>
  <c r="I375" i="36"/>
  <c r="I220" i="35"/>
  <c r="I293" i="35"/>
  <c r="I455" i="35"/>
  <c r="I273" i="35"/>
  <c r="I48" i="36"/>
  <c r="I467" i="36"/>
  <c r="I346" i="36"/>
  <c r="I147" i="36"/>
  <c r="I536" i="37"/>
  <c r="I417" i="37"/>
  <c r="I451" i="37"/>
  <c r="I248" i="13"/>
  <c r="I527" i="13"/>
  <c r="I461" i="34"/>
  <c r="I391" i="13"/>
  <c r="I387" i="34"/>
  <c r="I96" i="35"/>
  <c r="I54" i="35"/>
  <c r="I262" i="36"/>
  <c r="I296" i="13"/>
  <c r="I271" i="35"/>
  <c r="I355" i="39"/>
  <c r="I398" i="13"/>
  <c r="H247" i="36"/>
  <c r="I247" i="36"/>
  <c r="I409" i="13"/>
  <c r="I498" i="34"/>
  <c r="I307" i="37"/>
  <c r="I306" i="39"/>
  <c r="I204" i="13"/>
  <c r="I636" i="13"/>
  <c r="I633" i="13"/>
  <c r="I202" i="13"/>
  <c r="I430" i="13"/>
  <c r="I168" i="13"/>
  <c r="I243" i="34"/>
  <c r="I629" i="13"/>
  <c r="I635" i="13"/>
  <c r="I128" i="13"/>
  <c r="I331" i="13"/>
  <c r="I337" i="35"/>
  <c r="I118" i="36"/>
  <c r="I603" i="39"/>
  <c r="I413" i="13"/>
  <c r="I541" i="13"/>
  <c r="I70" i="13"/>
  <c r="I483" i="13"/>
  <c r="I402" i="13"/>
  <c r="I622" i="13"/>
  <c r="I52" i="13"/>
  <c r="I455" i="37"/>
  <c r="I13" i="35"/>
  <c r="I427" i="35"/>
  <c r="I42" i="13"/>
  <c r="I482" i="35"/>
  <c r="I533" i="35"/>
  <c r="I265" i="39"/>
  <c r="I164" i="35"/>
  <c r="I585" i="37"/>
  <c r="I223" i="13"/>
  <c r="I591" i="13"/>
  <c r="I33" i="13"/>
  <c r="I39" i="13"/>
  <c r="I590" i="13"/>
  <c r="I126" i="13"/>
  <c r="I579" i="13"/>
  <c r="I212" i="13"/>
  <c r="I134" i="13"/>
  <c r="I226" i="13"/>
  <c r="I268" i="13"/>
  <c r="I446" i="13"/>
  <c r="I260" i="13"/>
  <c r="I117" i="13"/>
  <c r="I217" i="13"/>
  <c r="I225" i="13"/>
  <c r="I434" i="34"/>
  <c r="I472" i="35"/>
  <c r="I175" i="35"/>
  <c r="I631" i="13"/>
  <c r="I244" i="13"/>
  <c r="I561" i="35"/>
  <c r="I64" i="37"/>
  <c r="I585" i="39"/>
  <c r="I581" i="39"/>
  <c r="I173" i="34"/>
  <c r="I547" i="34"/>
  <c r="I299" i="34"/>
  <c r="I308" i="35"/>
  <c r="I400" i="34"/>
  <c r="I74" i="13"/>
  <c r="I592" i="13"/>
  <c r="I596" i="13"/>
  <c r="I82" i="13"/>
  <c r="I92" i="13"/>
  <c r="I205" i="13"/>
  <c r="I67" i="34"/>
  <c r="I151" i="34"/>
  <c r="I234" i="35"/>
  <c r="I357" i="35"/>
  <c r="I183" i="35"/>
  <c r="I374" i="36"/>
  <c r="I269" i="36"/>
  <c r="H127" i="36"/>
  <c r="I127" i="36"/>
  <c r="I334" i="34"/>
  <c r="I379" i="34"/>
  <c r="I473" i="34"/>
  <c r="I125" i="34"/>
  <c r="I24" i="35"/>
  <c r="I269" i="35"/>
  <c r="I275" i="37"/>
  <c r="H8" i="36"/>
  <c r="I8" i="36"/>
  <c r="I312" i="37"/>
  <c r="I550" i="37"/>
  <c r="I525" i="39"/>
  <c r="I337" i="39"/>
  <c r="I448" i="39"/>
  <c r="I41" i="34"/>
  <c r="I485" i="34"/>
  <c r="I306" i="34"/>
  <c r="I233" i="34"/>
  <c r="I331" i="34"/>
  <c r="I145" i="35"/>
  <c r="I124" i="36"/>
  <c r="I362" i="13"/>
  <c r="I403" i="34"/>
  <c r="I84" i="34"/>
  <c r="I522" i="34"/>
  <c r="I515" i="34"/>
  <c r="I311" i="34"/>
  <c r="I450" i="34"/>
  <c r="I134" i="34"/>
  <c r="I313" i="35"/>
  <c r="I564" i="35"/>
  <c r="I343" i="35"/>
  <c r="I462" i="36"/>
  <c r="I269" i="37"/>
  <c r="I128" i="37"/>
  <c r="I547" i="37"/>
  <c r="I139" i="37"/>
  <c r="I102" i="37"/>
  <c r="I143" i="39"/>
  <c r="I226" i="35"/>
  <c r="I380" i="35"/>
  <c r="I45" i="35"/>
  <c r="I450" i="36"/>
  <c r="I554" i="36"/>
  <c r="I407" i="36"/>
  <c r="I524" i="36"/>
  <c r="I628" i="36"/>
  <c r="I166" i="36"/>
  <c r="H486" i="36"/>
  <c r="I486" i="36"/>
  <c r="I326" i="35"/>
  <c r="I549" i="35"/>
  <c r="I384" i="35"/>
  <c r="H422" i="36"/>
  <c r="I422" i="36"/>
  <c r="I5" i="36"/>
  <c r="I23" i="36"/>
  <c r="I415" i="34"/>
  <c r="I190" i="34"/>
  <c r="I317" i="35"/>
  <c r="I291" i="39"/>
  <c r="I32" i="13"/>
  <c r="I234" i="13"/>
  <c r="I547" i="13"/>
  <c r="I99" i="13"/>
  <c r="I185" i="13"/>
  <c r="I570" i="35"/>
  <c r="I69" i="36"/>
  <c r="I299" i="39"/>
  <c r="I369" i="13"/>
  <c r="I126" i="34"/>
  <c r="I384" i="37"/>
  <c r="I77" i="37"/>
  <c r="I433" i="37"/>
  <c r="I258" i="37"/>
  <c r="I130" i="13"/>
  <c r="I121" i="34"/>
  <c r="I449" i="34"/>
  <c r="I51" i="34"/>
  <c r="I430" i="35"/>
  <c r="I353" i="35"/>
  <c r="I92" i="35"/>
  <c r="I581" i="35"/>
  <c r="I501" i="36"/>
  <c r="I21" i="37"/>
  <c r="I138" i="37"/>
  <c r="I355" i="37"/>
  <c r="I108" i="39"/>
  <c r="I78" i="39"/>
  <c r="I629" i="39"/>
  <c r="I571" i="37"/>
  <c r="I195" i="13"/>
  <c r="I249" i="13"/>
  <c r="I429" i="13"/>
  <c r="I122" i="13"/>
  <c r="I386" i="13"/>
  <c r="I325" i="13"/>
  <c r="I569" i="13"/>
  <c r="I437" i="13"/>
  <c r="I567" i="13"/>
  <c r="I435" i="13"/>
  <c r="I183" i="13"/>
  <c r="I194" i="13"/>
  <c r="I166" i="13"/>
  <c r="I389" i="13"/>
  <c r="I250" i="13"/>
  <c r="I254" i="13"/>
  <c r="I563" i="13"/>
  <c r="I172" i="34"/>
  <c r="I282" i="34"/>
  <c r="I90" i="34"/>
  <c r="I555" i="34"/>
  <c r="I303" i="34"/>
  <c r="I425" i="34"/>
  <c r="I612" i="34"/>
  <c r="I474" i="34"/>
  <c r="I55" i="34"/>
  <c r="I202" i="36"/>
  <c r="I85" i="39"/>
  <c r="I36" i="34"/>
  <c r="I52" i="34"/>
  <c r="I40" i="13"/>
  <c r="I9" i="13"/>
  <c r="I56" i="13"/>
  <c r="I18" i="13"/>
  <c r="I610" i="13"/>
  <c r="I88" i="13"/>
  <c r="I215" i="13"/>
  <c r="I299" i="13"/>
  <c r="I465" i="13"/>
  <c r="I57" i="13"/>
  <c r="I7" i="13"/>
  <c r="I603" i="13"/>
  <c r="I48" i="13"/>
  <c r="I65" i="13"/>
  <c r="I13" i="13"/>
  <c r="I449" i="13"/>
  <c r="I146" i="13"/>
  <c r="I434" i="13"/>
  <c r="I292" i="13"/>
  <c r="I165" i="13"/>
  <c r="I230" i="13"/>
  <c r="I411" i="13"/>
  <c r="I314" i="13"/>
  <c r="I179" i="13"/>
  <c r="I502" i="13"/>
  <c r="I311" i="13"/>
  <c r="I562" i="13"/>
  <c r="I410" i="13"/>
  <c r="I171" i="13"/>
  <c r="I312" i="13"/>
  <c r="I479" i="13"/>
  <c r="I297" i="34"/>
  <c r="I111" i="34"/>
  <c r="I441" i="34"/>
  <c r="I620" i="34"/>
  <c r="I350" i="34"/>
  <c r="I341" i="34"/>
  <c r="I285" i="34"/>
  <c r="I516" i="34"/>
  <c r="I286" i="34"/>
  <c r="I7" i="35"/>
  <c r="I606" i="35"/>
  <c r="I104" i="35"/>
  <c r="I211" i="35"/>
  <c r="I15" i="35"/>
  <c r="I257" i="35"/>
  <c r="I367" i="35"/>
  <c r="I470" i="35"/>
  <c r="I120" i="35"/>
  <c r="I406" i="35"/>
  <c r="I310" i="35"/>
  <c r="I557" i="35"/>
  <c r="I267" i="35"/>
  <c r="I256" i="35"/>
  <c r="I621" i="35"/>
  <c r="I346" i="35"/>
  <c r="I377" i="36"/>
  <c r="I633" i="36"/>
  <c r="I170" i="36"/>
  <c r="I331" i="36"/>
  <c r="I213" i="36"/>
  <c r="I244" i="36"/>
  <c r="I546" i="36"/>
  <c r="I337" i="36"/>
  <c r="I298" i="36"/>
  <c r="I531" i="36"/>
  <c r="I426" i="36"/>
  <c r="I82" i="36"/>
  <c r="I324" i="36"/>
  <c r="I541" i="36"/>
  <c r="I103" i="13"/>
  <c r="I392" i="13"/>
  <c r="I278" i="13"/>
  <c r="I159" i="13"/>
  <c r="I472" i="13"/>
  <c r="I540" i="13"/>
  <c r="I363" i="13"/>
  <c r="I529" i="13"/>
  <c r="I537" i="13"/>
  <c r="I397" i="13"/>
  <c r="I137" i="13"/>
  <c r="I148" i="13"/>
  <c r="I120" i="13"/>
  <c r="I395" i="13"/>
  <c r="I153" i="13"/>
  <c r="I215" i="34"/>
  <c r="I308" i="34"/>
  <c r="I320" i="34"/>
  <c r="I360" i="34"/>
  <c r="I439" i="34"/>
  <c r="I553" i="34"/>
  <c r="I472" i="34"/>
  <c r="I196" i="35"/>
  <c r="I385" i="35"/>
  <c r="I14" i="36"/>
  <c r="I293" i="36"/>
  <c r="I565" i="36"/>
  <c r="I235" i="36"/>
  <c r="I364" i="36"/>
  <c r="I517" i="36"/>
  <c r="I207" i="37"/>
  <c r="I303" i="37"/>
  <c r="I172" i="37"/>
  <c r="I252" i="37"/>
  <c r="I278" i="37"/>
  <c r="I609" i="37"/>
  <c r="I63" i="39"/>
  <c r="I348" i="39"/>
  <c r="I200" i="39"/>
  <c r="I543" i="39"/>
  <c r="I418" i="34"/>
  <c r="I35" i="35"/>
  <c r="I83" i="35"/>
  <c r="I304" i="35"/>
  <c r="I114" i="13"/>
  <c r="I477" i="13"/>
  <c r="I375" i="34"/>
  <c r="I518" i="35"/>
  <c r="I493" i="35"/>
  <c r="I444" i="35"/>
  <c r="I535" i="35"/>
  <c r="I296" i="36"/>
  <c r="I185" i="36"/>
  <c r="I221" i="36"/>
  <c r="I536" i="36"/>
  <c r="I449" i="36"/>
  <c r="I323" i="36"/>
  <c r="I488" i="36"/>
  <c r="I98" i="37"/>
  <c r="I73" i="37"/>
  <c r="I464" i="37"/>
  <c r="I586" i="37"/>
  <c r="I181" i="37"/>
  <c r="I195" i="39"/>
  <c r="I190" i="39"/>
  <c r="I302" i="39"/>
  <c r="I384" i="39"/>
  <c r="I468" i="39"/>
  <c r="I481" i="39"/>
  <c r="I143" i="34"/>
  <c r="I368" i="34"/>
  <c r="I202" i="34"/>
  <c r="I244" i="35"/>
  <c r="I490" i="39"/>
  <c r="I119" i="36"/>
  <c r="I546" i="37"/>
  <c r="I116" i="37"/>
  <c r="I174" i="13"/>
  <c r="I357" i="13"/>
  <c r="I81" i="13"/>
  <c r="I600" i="13"/>
  <c r="I51" i="13"/>
  <c r="I243" i="13"/>
  <c r="I578" i="13"/>
  <c r="I142" i="13"/>
  <c r="I543" i="13"/>
  <c r="I289" i="13"/>
  <c r="I169" i="13"/>
  <c r="I338" i="13"/>
  <c r="I546" i="13"/>
  <c r="I251" i="13"/>
  <c r="I481" i="13"/>
  <c r="I491" i="13"/>
  <c r="I486" i="13"/>
  <c r="I102" i="13"/>
  <c r="I394" i="13"/>
  <c r="I195" i="34"/>
  <c r="I538" i="34"/>
  <c r="I136" i="34"/>
  <c r="I246" i="34"/>
  <c r="I149" i="34"/>
  <c r="I527" i="34"/>
  <c r="I366" i="34"/>
  <c r="I490" i="34"/>
  <c r="I384" i="34"/>
  <c r="I570" i="34"/>
  <c r="I124" i="34"/>
  <c r="I245" i="34"/>
  <c r="I346" i="34"/>
  <c r="I484" i="35"/>
  <c r="I431" i="35"/>
  <c r="I478" i="35"/>
  <c r="I464" i="35"/>
  <c r="I274" i="35"/>
  <c r="I33" i="35"/>
  <c r="I143" i="35"/>
  <c r="I450" i="35"/>
  <c r="I68" i="35"/>
  <c r="I394" i="35"/>
  <c r="I443" i="35"/>
  <c r="I126" i="35"/>
  <c r="I525" i="35"/>
  <c r="I511" i="35"/>
  <c r="I442" i="35"/>
  <c r="I523" i="35"/>
  <c r="I289" i="35"/>
  <c r="I256" i="36"/>
  <c r="I84" i="36"/>
  <c r="I378" i="36"/>
  <c r="I138" i="36"/>
  <c r="I35" i="36"/>
  <c r="I637" i="36"/>
  <c r="I271" i="36"/>
  <c r="I580" i="36"/>
  <c r="I551" i="36"/>
  <c r="I142" i="36"/>
  <c r="I553" i="36"/>
  <c r="I525" i="36"/>
  <c r="I358" i="36"/>
  <c r="I232" i="37"/>
  <c r="I99" i="37"/>
  <c r="I52" i="37"/>
  <c r="I633" i="37"/>
  <c r="I304" i="37"/>
  <c r="I398" i="37"/>
  <c r="I261" i="37"/>
  <c r="I97" i="37"/>
  <c r="I291" i="37"/>
  <c r="I46" i="39"/>
  <c r="I36" i="39"/>
  <c r="I379" i="39"/>
  <c r="I289" i="39"/>
  <c r="I309" i="39"/>
  <c r="I339" i="39"/>
  <c r="I404" i="39"/>
  <c r="I493" i="39"/>
  <c r="I547" i="39"/>
  <c r="I294" i="34"/>
  <c r="I165" i="34"/>
  <c r="I583" i="35"/>
  <c r="I398" i="35"/>
  <c r="I197" i="39"/>
  <c r="I200" i="13"/>
  <c r="I235" i="13"/>
  <c r="I461" i="13"/>
  <c r="I574" i="13"/>
  <c r="I162" i="13"/>
  <c r="I82" i="34"/>
  <c r="I206" i="34"/>
  <c r="I264" i="34"/>
  <c r="I549" i="34"/>
  <c r="I578" i="34"/>
  <c r="I402" i="35"/>
  <c r="I459" i="35"/>
  <c r="I335" i="35"/>
  <c r="I553" i="35"/>
  <c r="I116" i="35"/>
  <c r="I268" i="36"/>
  <c r="I40" i="36"/>
  <c r="I627" i="36"/>
  <c r="I128" i="36"/>
  <c r="I71" i="37"/>
  <c r="I168" i="37"/>
  <c r="I20" i="37"/>
  <c r="I101" i="37"/>
  <c r="I622" i="37"/>
  <c r="I409" i="37"/>
  <c r="I364" i="37"/>
  <c r="I8" i="39"/>
  <c r="I456" i="39"/>
  <c r="I605" i="39"/>
  <c r="I330" i="39"/>
  <c r="I521" i="39"/>
  <c r="I504" i="39"/>
  <c r="I268" i="34"/>
  <c r="I517" i="34"/>
  <c r="I18" i="34"/>
  <c r="I210" i="34"/>
  <c r="I271" i="37"/>
  <c r="I8" i="37"/>
  <c r="I273" i="39"/>
  <c r="I287" i="36"/>
  <c r="I140" i="37"/>
  <c r="I52" i="39"/>
  <c r="I467" i="39"/>
  <c r="I618" i="39"/>
  <c r="I546" i="39"/>
  <c r="I614" i="39"/>
  <c r="I242" i="34"/>
  <c r="I122" i="36"/>
  <c r="I23" i="37"/>
  <c r="I158" i="36"/>
  <c r="I249" i="36"/>
  <c r="I556" i="36"/>
  <c r="I301" i="37"/>
  <c r="I480" i="37"/>
  <c r="I205" i="37"/>
  <c r="I399" i="37"/>
  <c r="I395" i="37"/>
  <c r="I249" i="37"/>
  <c r="I141" i="39"/>
  <c r="I251" i="39"/>
  <c r="I563" i="39"/>
  <c r="I103" i="39"/>
  <c r="I248" i="39"/>
  <c r="I347" i="39"/>
  <c r="I390" i="39"/>
  <c r="I588" i="39"/>
  <c r="I400" i="39"/>
  <c r="I411" i="39"/>
  <c r="I502" i="39"/>
  <c r="I455" i="39"/>
  <c r="I358" i="39"/>
  <c r="I38" i="34"/>
  <c r="I12" i="35"/>
  <c r="I540" i="39"/>
  <c r="I351" i="39"/>
  <c r="I137" i="36"/>
  <c r="I197" i="37"/>
  <c r="I597" i="37"/>
  <c r="I212" i="36"/>
  <c r="I472" i="36"/>
  <c r="I566" i="36"/>
  <c r="I624" i="36"/>
  <c r="I632" i="37"/>
  <c r="I378" i="37"/>
  <c r="I277" i="37"/>
  <c r="I389" i="37"/>
  <c r="I15" i="39"/>
  <c r="I179" i="39"/>
  <c r="I22" i="39"/>
  <c r="I459" i="39"/>
  <c r="I260" i="39"/>
  <c r="I431" i="34"/>
  <c r="I227" i="39"/>
  <c r="I380" i="37"/>
  <c r="I611" i="37"/>
  <c r="I187" i="39"/>
  <c r="I482" i="39"/>
  <c r="I573" i="36"/>
  <c r="I540" i="36"/>
  <c r="I622" i="36"/>
  <c r="I491" i="36"/>
  <c r="I463" i="37"/>
  <c r="I498" i="39"/>
  <c r="I94" i="34"/>
  <c r="I401" i="37"/>
  <c r="I237" i="37"/>
  <c r="I196" i="39"/>
  <c r="I210" i="39"/>
  <c r="I110" i="39"/>
  <c r="I223" i="34"/>
  <c r="I483" i="34"/>
  <c r="I432" i="34"/>
  <c r="I269" i="34"/>
  <c r="I293" i="34"/>
  <c r="I42" i="34"/>
  <c r="I595" i="35"/>
  <c r="I546" i="35"/>
  <c r="I18" i="35"/>
  <c r="I517" i="35"/>
  <c r="I173" i="35"/>
  <c r="I323" i="35"/>
  <c r="I187" i="35"/>
  <c r="I409" i="35"/>
  <c r="I79" i="35"/>
  <c r="I446" i="35"/>
  <c r="I555" i="35"/>
  <c r="I111" i="35"/>
  <c r="I30" i="35"/>
  <c r="I140" i="35"/>
  <c r="I295" i="35"/>
  <c r="I263" i="35"/>
  <c r="I338" i="35"/>
  <c r="I569" i="35"/>
  <c r="I362" i="35"/>
  <c r="I469" i="35"/>
  <c r="I375" i="35"/>
  <c r="I428" i="36"/>
  <c r="I27" i="36"/>
  <c r="I198" i="36"/>
  <c r="I307" i="36"/>
  <c r="I220" i="36"/>
  <c r="I164" i="36"/>
  <c r="I270" i="36"/>
  <c r="I400" i="36"/>
  <c r="I285" i="36"/>
  <c r="I537" i="36"/>
  <c r="I509" i="36"/>
  <c r="I453" i="37"/>
  <c r="I240" i="37"/>
  <c r="I187" i="37"/>
  <c r="I88" i="37"/>
  <c r="I268" i="37"/>
  <c r="I328" i="37"/>
  <c r="I316" i="37"/>
  <c r="I379" i="37"/>
  <c r="I159" i="37"/>
  <c r="I230" i="37"/>
  <c r="I270" i="37"/>
  <c r="I284" i="37"/>
  <c r="I350" i="37"/>
  <c r="I263" i="37"/>
  <c r="I68" i="39"/>
  <c r="I263" i="39"/>
  <c r="I114" i="39"/>
  <c r="I198" i="39"/>
  <c r="I272" i="39"/>
  <c r="I264" i="39"/>
  <c r="I203" i="39"/>
  <c r="I417" i="39"/>
  <c r="I626" i="39"/>
  <c r="I446" i="39"/>
  <c r="I487" i="39"/>
  <c r="I376" i="39"/>
  <c r="I418" i="39"/>
  <c r="I458" i="39"/>
  <c r="I34" i="39"/>
  <c r="I386" i="34"/>
  <c r="I182" i="34"/>
  <c r="I258" i="34"/>
  <c r="I253" i="35"/>
  <c r="I241" i="39"/>
  <c r="I383" i="36"/>
  <c r="I240" i="39"/>
  <c r="I325" i="37"/>
  <c r="I626" i="37"/>
  <c r="I161" i="37"/>
  <c r="I14" i="37"/>
  <c r="I47" i="37"/>
  <c r="I117" i="39"/>
  <c r="I186" i="37"/>
  <c r="I9" i="37"/>
  <c r="I68" i="37"/>
  <c r="I29" i="39"/>
  <c r="I173" i="39"/>
  <c r="I305" i="36"/>
  <c r="I465" i="36"/>
  <c r="I209" i="37"/>
  <c r="I152" i="37"/>
  <c r="I415" i="37"/>
  <c r="I541" i="37"/>
  <c r="I260" i="37"/>
  <c r="I337" i="37"/>
  <c r="I334" i="37"/>
  <c r="I63" i="37"/>
  <c r="I483" i="37"/>
  <c r="I567" i="37"/>
  <c r="I85" i="37"/>
  <c r="I297" i="37"/>
  <c r="I568" i="37"/>
  <c r="I354" i="37"/>
  <c r="I245" i="37"/>
  <c r="I153" i="39"/>
  <c r="I249" i="39"/>
  <c r="I65" i="39"/>
  <c r="I254" i="39"/>
  <c r="I73" i="39"/>
  <c r="I366" i="39"/>
  <c r="I312" i="39"/>
  <c r="I269" i="39"/>
  <c r="I90" i="39"/>
  <c r="I169" i="39"/>
  <c r="I617" i="39"/>
  <c r="I268" i="39"/>
  <c r="I375" i="39"/>
  <c r="I382" i="39"/>
  <c r="I625" i="39"/>
  <c r="I386" i="39"/>
  <c r="I331" i="39"/>
  <c r="I528" i="39"/>
  <c r="I520" i="39"/>
  <c r="I564" i="39"/>
  <c r="I79" i="39"/>
  <c r="I240" i="34"/>
  <c r="I244" i="34"/>
  <c r="I97" i="34"/>
  <c r="I150" i="34"/>
  <c r="I211" i="34"/>
  <c r="I24" i="34"/>
  <c r="I85" i="34"/>
  <c r="I27" i="34"/>
  <c r="I88" i="35"/>
  <c r="I133" i="35"/>
  <c r="I311" i="35"/>
  <c r="I162" i="39"/>
  <c r="I150" i="39"/>
  <c r="I273" i="37"/>
  <c r="I522" i="37"/>
  <c r="I471" i="37"/>
  <c r="I292" i="36"/>
  <c r="I130" i="36"/>
  <c r="I596" i="37"/>
  <c r="I387" i="36"/>
  <c r="I49" i="37"/>
  <c r="I612" i="37"/>
  <c r="I309" i="37"/>
  <c r="I434" i="37"/>
  <c r="I425" i="37"/>
  <c r="I279" i="39"/>
  <c r="I222" i="37"/>
  <c r="I159" i="39"/>
  <c r="I99" i="39"/>
  <c r="I385" i="39"/>
  <c r="I407" i="39"/>
  <c r="I568" i="39"/>
  <c r="I545" i="39"/>
  <c r="I457" i="39"/>
  <c r="I238" i="39"/>
  <c r="I373" i="34"/>
  <c r="I218" i="34"/>
  <c r="I477" i="34"/>
  <c r="I127" i="34"/>
  <c r="I185" i="34"/>
  <c r="I452" i="34"/>
  <c r="I70" i="35"/>
  <c r="I71" i="35"/>
  <c r="I249" i="35"/>
  <c r="I272" i="36"/>
  <c r="I74" i="37"/>
  <c r="I448" i="37"/>
  <c r="I375" i="37"/>
  <c r="I211" i="39"/>
  <c r="I14" i="35"/>
  <c r="I536" i="35"/>
  <c r="I431" i="13"/>
  <c r="I544" i="13"/>
  <c r="I408" i="13"/>
  <c r="I591" i="34"/>
  <c r="I481" i="35"/>
  <c r="I628" i="13"/>
  <c r="I480" i="13"/>
  <c r="I418" i="13"/>
  <c r="I168" i="34"/>
  <c r="I29" i="35"/>
  <c r="I189" i="35"/>
  <c r="I485" i="35"/>
  <c r="I599" i="13"/>
  <c r="I245" i="13"/>
  <c r="I390" i="13"/>
  <c r="I158" i="13"/>
  <c r="I635" i="34"/>
  <c r="I573" i="34"/>
  <c r="I353" i="34"/>
  <c r="I282" i="35"/>
  <c r="I52" i="36"/>
  <c r="I28" i="13"/>
  <c r="I634" i="13"/>
  <c r="I101" i="34"/>
  <c r="I427" i="13"/>
  <c r="I59" i="13"/>
  <c r="I533" i="13"/>
  <c r="I327" i="13"/>
  <c r="I498" i="13"/>
  <c r="I632" i="34"/>
  <c r="I36" i="13"/>
  <c r="I627" i="13"/>
  <c r="I113" i="13"/>
  <c r="I564" i="13"/>
  <c r="H210" i="36"/>
  <c r="I210" i="36"/>
  <c r="H393" i="36"/>
  <c r="I393" i="36"/>
  <c r="I527" i="36"/>
  <c r="H416" i="36"/>
  <c r="I416" i="36"/>
  <c r="I584" i="13"/>
  <c r="I63" i="13"/>
  <c r="I476" i="13"/>
  <c r="I139" i="13"/>
  <c r="I305" i="13"/>
  <c r="I156" i="13"/>
  <c r="I216" i="13"/>
  <c r="I292" i="34"/>
  <c r="I556" i="34"/>
  <c r="I522" i="13"/>
  <c r="I209" i="13"/>
  <c r="I624" i="13"/>
  <c r="I608" i="13"/>
  <c r="I496" i="13"/>
  <c r="I587" i="13"/>
  <c r="I573" i="13"/>
  <c r="I127" i="13"/>
  <c r="I631" i="35"/>
  <c r="I92" i="37"/>
  <c r="I349" i="37"/>
  <c r="I621" i="13"/>
  <c r="I17" i="13"/>
  <c r="I460" i="13"/>
  <c r="I513" i="13"/>
  <c r="I487" i="13"/>
  <c r="I115" i="13"/>
  <c r="I302" i="34"/>
  <c r="I606" i="34"/>
  <c r="I303" i="35"/>
  <c r="I575" i="35"/>
  <c r="I30" i="13"/>
  <c r="I589" i="13"/>
  <c r="I583" i="13"/>
  <c r="I264" i="13"/>
  <c r="I399" i="13"/>
  <c r="I309" i="13"/>
  <c r="I270" i="13"/>
  <c r="I425" i="13"/>
  <c r="I563" i="34"/>
  <c r="I337" i="13"/>
  <c r="I132" i="13"/>
  <c r="I184" i="13"/>
  <c r="I138" i="13"/>
  <c r="I634" i="34"/>
  <c r="I411" i="34"/>
  <c r="I27" i="13"/>
  <c r="I43" i="13"/>
  <c r="I49" i="13"/>
  <c r="I390" i="35"/>
  <c r="I377" i="35"/>
  <c r="I514" i="35"/>
  <c r="I259" i="35"/>
  <c r="I452" i="35"/>
  <c r="I334" i="35"/>
  <c r="I602" i="36"/>
  <c r="I585" i="36"/>
  <c r="H196" i="36"/>
  <c r="I196" i="36"/>
  <c r="I566" i="13"/>
  <c r="I487" i="34"/>
  <c r="I438" i="34"/>
  <c r="I513" i="34"/>
  <c r="I389" i="35"/>
  <c r="I582" i="35"/>
  <c r="H199" i="36"/>
  <c r="I199" i="36"/>
  <c r="H211" i="36"/>
  <c r="I211" i="36"/>
  <c r="I191" i="36"/>
  <c r="H18" i="36"/>
  <c r="I18" i="36"/>
  <c r="H50" i="36"/>
  <c r="I50" i="36"/>
  <c r="I409" i="36"/>
  <c r="I274" i="37"/>
  <c r="I338" i="39"/>
  <c r="I124" i="39"/>
  <c r="I609" i="39"/>
  <c r="I356" i="34"/>
  <c r="I80" i="13"/>
  <c r="I517" i="13"/>
  <c r="I630" i="13"/>
  <c r="I160" i="13"/>
  <c r="I38" i="13"/>
  <c r="I485" i="13"/>
  <c r="I190" i="13"/>
  <c r="I241" i="13"/>
  <c r="I140" i="13"/>
  <c r="I414" i="13"/>
  <c r="I266" i="13"/>
  <c r="I510" i="13"/>
  <c r="I304" i="13"/>
  <c r="I516" i="13"/>
  <c r="I499" i="13"/>
  <c r="I384" i="13"/>
  <c r="I125" i="13"/>
  <c r="I97" i="13"/>
  <c r="I155" i="13"/>
  <c r="I255" i="13"/>
  <c r="I503" i="13"/>
  <c r="I189" i="34"/>
  <c r="I354" i="34"/>
  <c r="I372" i="36"/>
  <c r="H430" i="36"/>
  <c r="I430" i="36"/>
  <c r="I61" i="37"/>
  <c r="I351" i="37"/>
  <c r="I336" i="37"/>
  <c r="I488" i="13"/>
  <c r="I571" i="13"/>
  <c r="I509" i="13"/>
  <c r="I281" i="13"/>
  <c r="I467" i="13"/>
  <c r="I440" i="13"/>
  <c r="I334" i="13"/>
  <c r="I535" i="13"/>
  <c r="I307" i="13"/>
  <c r="I504" i="13"/>
  <c r="I582" i="34"/>
  <c r="I251" i="34"/>
  <c r="I170" i="34"/>
  <c r="I351" i="34"/>
  <c r="I463" i="34"/>
  <c r="I394" i="34"/>
  <c r="I587" i="34"/>
  <c r="I511" i="34"/>
  <c r="I482" i="34"/>
  <c r="I360" i="35"/>
  <c r="I307" i="35"/>
  <c r="I625" i="35"/>
  <c r="I498" i="35"/>
  <c r="I169" i="35"/>
  <c r="I601" i="35"/>
  <c r="I545" i="35"/>
  <c r="I520" i="35"/>
  <c r="I199" i="13"/>
  <c r="I542" i="13"/>
  <c r="I113" i="34"/>
  <c r="I355" i="13"/>
  <c r="I144" i="13"/>
  <c r="I432" i="13"/>
  <c r="I198" i="13"/>
  <c r="I129" i="13"/>
  <c r="I422" i="13"/>
  <c r="I228" i="13"/>
  <c r="I415" i="13"/>
  <c r="I423" i="13"/>
  <c r="I321" i="13"/>
  <c r="I551" i="13"/>
  <c r="I512" i="13"/>
  <c r="I453" i="13"/>
  <c r="I164" i="34"/>
  <c r="I396" i="34"/>
  <c r="I399" i="34"/>
  <c r="I128" i="34"/>
  <c r="I256" i="34"/>
  <c r="I177" i="34"/>
  <c r="I276" i="35"/>
  <c r="I189" i="13"/>
  <c r="I526" i="13"/>
  <c r="I614" i="13"/>
  <c r="I412" i="13"/>
  <c r="I359" i="13"/>
  <c r="H259" i="36"/>
  <c r="I259" i="36"/>
  <c r="I625" i="13"/>
  <c r="I46" i="13"/>
  <c r="I470" i="13"/>
  <c r="I181" i="13"/>
  <c r="I25" i="13"/>
  <c r="I61" i="13"/>
  <c r="I85" i="13"/>
  <c r="I593" i="13"/>
  <c r="I11" i="13"/>
  <c r="I306" i="13"/>
  <c r="I416" i="13"/>
  <c r="I269" i="13"/>
  <c r="I345" i="13"/>
  <c r="I105" i="13"/>
  <c r="I255" i="34"/>
  <c r="I229" i="35"/>
  <c r="I381" i="35"/>
  <c r="I471" i="35"/>
  <c r="I458" i="35"/>
  <c r="I160" i="35"/>
  <c r="I275" i="36"/>
  <c r="I338" i="36"/>
  <c r="H258" i="36"/>
  <c r="I258" i="36"/>
  <c r="I615" i="36"/>
  <c r="H325" i="36"/>
  <c r="I325" i="36"/>
  <c r="I394" i="36"/>
  <c r="H581" i="36"/>
  <c r="I581" i="36"/>
  <c r="I447" i="37"/>
  <c r="I515" i="39"/>
  <c r="I188" i="34"/>
  <c r="I460" i="34"/>
  <c r="I196" i="34"/>
  <c r="I34" i="35"/>
  <c r="I528" i="35"/>
  <c r="H103" i="36"/>
  <c r="I103" i="36"/>
  <c r="I385" i="36"/>
  <c r="H203" i="36"/>
  <c r="I203" i="36"/>
  <c r="I556" i="37"/>
  <c r="I151" i="37"/>
  <c r="I79" i="37"/>
  <c r="I121" i="37"/>
  <c r="I283" i="39"/>
  <c r="I569" i="39"/>
  <c r="I554" i="39"/>
  <c r="I91" i="13"/>
  <c r="I443" i="13"/>
  <c r="I16" i="13"/>
  <c r="I231" i="13"/>
  <c r="I510" i="34"/>
  <c r="I545" i="13"/>
  <c r="I271" i="13"/>
  <c r="I504" i="35"/>
  <c r="I442" i="37"/>
  <c r="I385" i="37"/>
  <c r="H292" i="39"/>
  <c r="I292" i="39"/>
  <c r="I620" i="39"/>
  <c r="I539" i="34"/>
  <c r="I265" i="34"/>
  <c r="I230" i="34"/>
  <c r="I370" i="35"/>
  <c r="I92" i="39"/>
  <c r="I31" i="13"/>
  <c r="I570" i="13"/>
  <c r="I597" i="13"/>
  <c r="I55" i="13"/>
  <c r="I379" i="13"/>
  <c r="I326" i="13"/>
  <c r="I482" i="13"/>
  <c r="I23" i="13"/>
  <c r="I459" i="13"/>
  <c r="I608" i="34"/>
  <c r="I24" i="13"/>
  <c r="I436" i="13"/>
  <c r="I276" i="36"/>
  <c r="I83" i="13"/>
  <c r="I242" i="13"/>
  <c r="I258" i="13"/>
  <c r="I598" i="34"/>
  <c r="I47" i="34"/>
  <c r="I497" i="35"/>
  <c r="I505" i="35"/>
  <c r="I566" i="35"/>
  <c r="I201" i="36"/>
  <c r="H197" i="36"/>
  <c r="I197" i="36"/>
  <c r="I338" i="37"/>
  <c r="I578" i="39"/>
  <c r="I529" i="34"/>
  <c r="I495" i="34"/>
  <c r="I133" i="34"/>
  <c r="I6" i="34"/>
  <c r="I486" i="34"/>
  <c r="I265" i="35"/>
  <c r="I124" i="35"/>
  <c r="I341" i="37"/>
  <c r="I329" i="36"/>
  <c r="I378" i="13"/>
  <c r="I143" i="13"/>
  <c r="I119" i="13"/>
  <c r="I558" i="13"/>
  <c r="I50" i="13"/>
  <c r="I15" i="13"/>
  <c r="I147" i="13"/>
  <c r="I561" i="13"/>
  <c r="I345" i="34"/>
  <c r="I96" i="13"/>
  <c r="I302" i="13"/>
  <c r="I313" i="13"/>
  <c r="I341" i="13"/>
  <c r="I8" i="34"/>
  <c r="I75" i="13"/>
  <c r="I445" i="13"/>
  <c r="I191" i="13"/>
  <c r="I329" i="34"/>
  <c r="I177" i="35"/>
  <c r="I190" i="35"/>
  <c r="I547" i="35"/>
  <c r="I222" i="35"/>
  <c r="I31" i="35"/>
  <c r="I193" i="36"/>
  <c r="H568" i="36"/>
  <c r="I568" i="36"/>
  <c r="I41" i="35"/>
  <c r="I63" i="35"/>
  <c r="I373" i="35"/>
  <c r="I541" i="35"/>
  <c r="I112" i="35"/>
  <c r="I420" i="36"/>
  <c r="I594" i="13"/>
  <c r="I615" i="13"/>
  <c r="I54" i="13"/>
  <c r="I612" i="13"/>
  <c r="I609" i="13"/>
  <c r="I382" i="13"/>
  <c r="I577" i="13"/>
  <c r="I173" i="13"/>
  <c r="I400" i="13"/>
  <c r="I315" i="13"/>
  <c r="I464" i="13"/>
  <c r="I149" i="13"/>
  <c r="I318" i="13"/>
  <c r="I350" i="13"/>
  <c r="I366" i="13"/>
  <c r="I383" i="13"/>
  <c r="I539" i="13"/>
  <c r="I170" i="13"/>
  <c r="I524" i="13"/>
  <c r="I124" i="13"/>
  <c r="I286" i="13"/>
  <c r="I247" i="13"/>
  <c r="I131" i="34"/>
  <c r="I536" i="34"/>
  <c r="I615" i="34"/>
  <c r="I248" i="34"/>
  <c r="I305" i="34"/>
  <c r="I88" i="34"/>
  <c r="I374" i="34"/>
  <c r="I497" i="34"/>
  <c r="I358" i="34"/>
  <c r="I546" i="34"/>
  <c r="I453" i="34"/>
  <c r="I80" i="34"/>
  <c r="I201" i="34"/>
  <c r="I633" i="34"/>
  <c r="I333" i="34"/>
  <c r="I457" i="34"/>
  <c r="I70" i="34"/>
  <c r="I64" i="35"/>
  <c r="I56" i="35"/>
  <c r="I382" i="35"/>
  <c r="I102" i="35"/>
  <c r="I20" i="35"/>
  <c r="I247" i="35"/>
  <c r="I408" i="35"/>
  <c r="I605" i="35"/>
  <c r="I396" i="35"/>
  <c r="I554" i="35"/>
  <c r="I231" i="35"/>
  <c r="I502" i="35"/>
  <c r="I135" i="36"/>
  <c r="I365" i="36"/>
  <c r="I579" i="36"/>
  <c r="I149" i="36"/>
  <c r="I217" i="36"/>
  <c r="I192" i="36"/>
  <c r="I167" i="36"/>
  <c r="I492" i="36"/>
  <c r="I284" i="13"/>
  <c r="I257" i="13"/>
  <c r="I525" i="13"/>
  <c r="I511" i="13"/>
  <c r="I252" i="13"/>
  <c r="I263" i="13"/>
  <c r="I224" i="13"/>
  <c r="I342" i="13"/>
  <c r="I506" i="13"/>
  <c r="I198" i="34"/>
  <c r="I156" i="34"/>
  <c r="I595" i="34"/>
  <c r="I48" i="34"/>
  <c r="I363" i="34"/>
  <c r="I310" i="34"/>
  <c r="I458" i="34"/>
  <c r="I602" i="34"/>
  <c r="I470" i="34"/>
  <c r="I500" i="34"/>
  <c r="I57" i="35"/>
  <c r="I410" i="35"/>
  <c r="I138" i="35"/>
  <c r="I202" i="35"/>
  <c r="I318" i="35"/>
  <c r="I60" i="35"/>
  <c r="I321" i="35"/>
  <c r="I53" i="35"/>
  <c r="I251" i="35"/>
  <c r="I587" i="35"/>
  <c r="I413" i="35"/>
  <c r="I496" i="35"/>
  <c r="I418" i="35"/>
  <c r="I400" i="35"/>
  <c r="I468" i="35"/>
  <c r="I294" i="36"/>
  <c r="I528" i="36"/>
  <c r="I589" i="36"/>
  <c r="I599" i="36"/>
  <c r="I461" i="36"/>
  <c r="I550" i="36"/>
  <c r="I569" i="36"/>
  <c r="I560" i="36"/>
  <c r="I184" i="36"/>
  <c r="I473" i="36"/>
  <c r="I395" i="36"/>
  <c r="I274" i="36"/>
  <c r="I497" i="36"/>
  <c r="I419" i="36"/>
  <c r="I552" i="36"/>
  <c r="I534" i="37"/>
  <c r="I122" i="37"/>
  <c r="I19" i="37"/>
  <c r="I149" i="37"/>
  <c r="I618" i="37"/>
  <c r="I429" i="37"/>
  <c r="I466" i="37"/>
  <c r="I224" i="37"/>
  <c r="I158" i="37"/>
  <c r="I593" i="37"/>
  <c r="I602" i="37"/>
  <c r="I12" i="37"/>
  <c r="I410" i="37"/>
  <c r="I537" i="37"/>
  <c r="I57" i="37"/>
  <c r="I326" i="37"/>
  <c r="I533" i="37"/>
  <c r="I439" i="37"/>
  <c r="I374" i="37"/>
  <c r="I357" i="39"/>
  <c r="I62" i="13"/>
  <c r="I44" i="13"/>
  <c r="I602" i="13"/>
  <c r="I64" i="13"/>
  <c r="I548" i="13"/>
  <c r="I110" i="13"/>
  <c r="I136" i="13"/>
  <c r="I371" i="13"/>
  <c r="I287" i="13"/>
  <c r="I582" i="13"/>
  <c r="I21" i="13"/>
  <c r="I300" i="13"/>
  <c r="I490" i="13"/>
  <c r="I107" i="13"/>
  <c r="I343" i="13"/>
  <c r="I256" i="13"/>
  <c r="I303" i="13"/>
  <c r="I500" i="13"/>
  <c r="I108" i="13"/>
  <c r="I265" i="13"/>
  <c r="I297" i="13"/>
  <c r="I439" i="13"/>
  <c r="I239" i="13"/>
  <c r="I576" i="13"/>
  <c r="I495" i="13"/>
  <c r="I473" i="13"/>
  <c r="I229" i="13"/>
  <c r="I240" i="13"/>
  <c r="I201" i="13"/>
  <c r="I471" i="13"/>
  <c r="I600" i="34"/>
  <c r="I531" i="34"/>
  <c r="I109" i="34"/>
  <c r="I327" i="34"/>
  <c r="I491" i="34"/>
  <c r="I91" i="34"/>
  <c r="I504" i="34"/>
  <c r="I409" i="34"/>
  <c r="I317" i="34"/>
  <c r="I22" i="35"/>
  <c r="I624" i="35"/>
  <c r="I8" i="35"/>
  <c r="I208" i="35"/>
  <c r="I61" i="35"/>
  <c r="I101" i="35"/>
  <c r="I278" i="35"/>
  <c r="I43" i="35"/>
  <c r="I255" i="35"/>
  <c r="I501" i="35"/>
  <c r="I404" i="35"/>
  <c r="I339" i="35"/>
  <c r="I539" i="35"/>
  <c r="I419" i="35"/>
  <c r="I530" i="36"/>
  <c r="I427" i="36"/>
  <c r="I590" i="36"/>
  <c r="I169" i="36"/>
  <c r="I617" i="36"/>
  <c r="I571" i="36"/>
  <c r="I209" i="36"/>
  <c r="I570" i="36"/>
  <c r="I188" i="36"/>
  <c r="I502" i="36"/>
  <c r="I83" i="36"/>
  <c r="I264" i="36"/>
  <c r="I529" i="36"/>
  <c r="I36" i="36"/>
  <c r="I278" i="36"/>
  <c r="I628" i="37"/>
  <c r="I129" i="37"/>
  <c r="I295" i="37"/>
  <c r="I135" i="37"/>
  <c r="I247" i="37"/>
  <c r="I610" i="37"/>
  <c r="I299" i="37"/>
  <c r="I35" i="37"/>
  <c r="I221" i="37"/>
  <c r="I262" i="37"/>
  <c r="I542" i="37"/>
  <c r="I342" i="37"/>
  <c r="I578" i="37"/>
  <c r="I481" i="37"/>
  <c r="I112" i="39"/>
  <c r="I616" i="35"/>
  <c r="I604" i="35"/>
  <c r="I347" i="36"/>
  <c r="I412" i="36"/>
  <c r="I226" i="36"/>
  <c r="I222" i="36"/>
  <c r="I507" i="36"/>
  <c r="I460" i="37"/>
  <c r="I11" i="37"/>
  <c r="I577" i="37"/>
  <c r="I452" i="37"/>
  <c r="I192" i="37"/>
  <c r="I193" i="37"/>
  <c r="I191" i="37"/>
  <c r="I636" i="37"/>
  <c r="I530" i="37"/>
  <c r="I563" i="37"/>
  <c r="I86" i="39"/>
  <c r="I60" i="39"/>
  <c r="I572" i="39"/>
  <c r="I369" i="39"/>
  <c r="I518" i="39"/>
  <c r="I636" i="39"/>
  <c r="I551" i="39"/>
  <c r="I454" i="39"/>
  <c r="I391" i="34"/>
  <c r="I407" i="34"/>
  <c r="I412" i="34"/>
  <c r="I359" i="34"/>
  <c r="I456" i="35"/>
  <c r="I180" i="35"/>
  <c r="I419" i="37"/>
  <c r="I316" i="34"/>
  <c r="I309" i="34"/>
  <c r="I156" i="35"/>
  <c r="I132" i="35"/>
  <c r="I215" i="35"/>
  <c r="I387" i="35"/>
  <c r="I50" i="35"/>
  <c r="H333" i="36"/>
  <c r="I333" i="36"/>
  <c r="I626" i="36"/>
  <c r="I80" i="39"/>
  <c r="I614" i="36"/>
  <c r="I520" i="34"/>
  <c r="I432" i="35"/>
  <c r="I548" i="35"/>
  <c r="I552" i="35"/>
  <c r="I414" i="35"/>
  <c r="I129" i="35"/>
  <c r="I522" i="35"/>
  <c r="I395" i="35"/>
  <c r="I157" i="35"/>
  <c r="I486" i="35"/>
  <c r="I480" i="35"/>
  <c r="I627" i="35"/>
  <c r="I619" i="35"/>
  <c r="I436" i="35"/>
  <c r="I603" i="36"/>
  <c r="I241" i="36"/>
  <c r="I370" i="36"/>
  <c r="I576" i="36"/>
  <c r="I418" i="36"/>
  <c r="I435" i="36"/>
  <c r="I397" i="36"/>
  <c r="I377" i="37"/>
  <c r="I281" i="37"/>
  <c r="I367" i="37"/>
  <c r="I372" i="37"/>
  <c r="I617" i="37"/>
  <c r="I490" i="37"/>
  <c r="I358" i="37"/>
  <c r="I616" i="37"/>
  <c r="I489" i="37"/>
  <c r="I180" i="37"/>
  <c r="I214" i="39"/>
  <c r="I445" i="39"/>
  <c r="I372" i="39"/>
  <c r="I156" i="39"/>
  <c r="I236" i="39"/>
  <c r="I163" i="39"/>
  <c r="I243" i="39"/>
  <c r="I486" i="39"/>
  <c r="I440" i="39"/>
  <c r="I314" i="34"/>
  <c r="I568" i="34"/>
  <c r="I119" i="34"/>
  <c r="I7" i="34"/>
  <c r="I140" i="34"/>
  <c r="I259" i="34"/>
  <c r="I115" i="35"/>
  <c r="I242" i="35"/>
  <c r="I277" i="36"/>
  <c r="I153" i="36"/>
  <c r="I414" i="37"/>
  <c r="I341" i="39"/>
  <c r="I210" i="37"/>
  <c r="I523" i="36"/>
  <c r="I464" i="34"/>
  <c r="I543" i="34"/>
  <c r="I296" i="34"/>
  <c r="I489" i="34"/>
  <c r="I260" i="35"/>
  <c r="I72" i="35"/>
  <c r="I401" i="35"/>
  <c r="I637" i="35"/>
  <c r="I632" i="35"/>
  <c r="I515" i="35"/>
  <c r="I530" i="35"/>
  <c r="I420" i="35"/>
  <c r="I361" i="35"/>
  <c r="H542" i="36"/>
  <c r="I542" i="36"/>
  <c r="I411" i="36"/>
  <c r="I636" i="36"/>
  <c r="I459" i="36"/>
  <c r="I368" i="36"/>
  <c r="I328" i="36"/>
  <c r="I521" i="36"/>
  <c r="I356" i="37"/>
  <c r="I279" i="37"/>
  <c r="I335" i="37"/>
  <c r="I289" i="37"/>
  <c r="I150" i="37"/>
  <c r="I219" i="37"/>
  <c r="I391" i="37"/>
  <c r="I86" i="37"/>
  <c r="I579" i="37"/>
  <c r="I531" i="37"/>
  <c r="I75" i="39"/>
  <c r="I177" i="39"/>
  <c r="I151" i="39"/>
  <c r="I261" i="39"/>
  <c r="I274" i="39"/>
  <c r="I611" i="39"/>
  <c r="I538" i="39"/>
  <c r="I479" i="39"/>
  <c r="I28" i="39"/>
  <c r="I275" i="34"/>
  <c r="I423" i="34"/>
  <c r="I541" i="34"/>
  <c r="I626" i="34"/>
  <c r="I120" i="34"/>
  <c r="I68" i="34"/>
  <c r="I257" i="34"/>
  <c r="I46" i="34"/>
  <c r="I113" i="35"/>
  <c r="I348" i="35"/>
  <c r="I32" i="35"/>
  <c r="I28" i="35"/>
  <c r="I125" i="35"/>
  <c r="I198" i="35"/>
  <c r="I228" i="37"/>
  <c r="I124" i="37"/>
  <c r="I177" i="36"/>
  <c r="I368" i="37"/>
  <c r="I285" i="37"/>
  <c r="I95" i="37"/>
  <c r="I595" i="37"/>
  <c r="I396" i="37"/>
  <c r="I630" i="37"/>
  <c r="I133" i="39"/>
  <c r="I582" i="39"/>
  <c r="I429" i="39"/>
  <c r="I131" i="39"/>
  <c r="I315" i="39"/>
  <c r="I281" i="39"/>
  <c r="I221" i="39"/>
  <c r="I401" i="39"/>
  <c r="I477" i="39"/>
  <c r="I359" i="39"/>
  <c r="I559" i="39"/>
  <c r="I638" i="39"/>
  <c r="I608" i="39"/>
  <c r="I597" i="39"/>
  <c r="I591" i="39"/>
  <c r="I508" i="39"/>
  <c r="I249" i="34"/>
  <c r="I191" i="34"/>
  <c r="I122" i="34"/>
  <c r="I271" i="34"/>
  <c r="I87" i="34"/>
  <c r="I214" i="34"/>
  <c r="I552" i="34"/>
  <c r="I280" i="34"/>
  <c r="I33" i="34"/>
  <c r="I193" i="34"/>
  <c r="I231" i="34"/>
  <c r="I383" i="34"/>
  <c r="I27" i="35"/>
  <c r="I74" i="35"/>
  <c r="I178" i="37"/>
  <c r="I126" i="37"/>
  <c r="I238" i="37"/>
  <c r="I330" i="37"/>
  <c r="I371" i="36"/>
  <c r="I111" i="37"/>
  <c r="I362" i="36"/>
  <c r="I20" i="36"/>
  <c r="I558" i="35"/>
  <c r="I268" i="35"/>
  <c r="I288" i="35"/>
  <c r="I363" i="36"/>
  <c r="I503" i="36"/>
  <c r="I320" i="36"/>
  <c r="H90" i="36"/>
  <c r="I90" i="36"/>
  <c r="I265" i="36"/>
  <c r="I499" i="36"/>
  <c r="I280" i="36"/>
  <c r="I616" i="36"/>
  <c r="I299" i="36"/>
  <c r="I466" i="36"/>
  <c r="I376" i="36"/>
  <c r="I336" i="36"/>
  <c r="I334" i="36"/>
  <c r="I6" i="37"/>
  <c r="I84" i="37"/>
  <c r="I413" i="37"/>
  <c r="I87" i="37"/>
  <c r="I635" i="37"/>
  <c r="I387" i="37"/>
  <c r="I476" i="37"/>
  <c r="I353" i="37"/>
  <c r="I554" i="37"/>
  <c r="I305" i="39"/>
  <c r="I303" i="39"/>
  <c r="I125" i="39"/>
  <c r="I45" i="39"/>
  <c r="I514" i="39"/>
  <c r="I394" i="39"/>
  <c r="I192" i="39"/>
  <c r="I157" i="39"/>
  <c r="I434" i="39"/>
  <c r="I367" i="39"/>
  <c r="I414" i="39"/>
  <c r="I505" i="39"/>
  <c r="I548" i="39"/>
  <c r="I121" i="39"/>
  <c r="I10" i="34"/>
  <c r="I98" i="34"/>
  <c r="I115" i="34"/>
  <c r="I22" i="34"/>
  <c r="I433" i="34"/>
  <c r="I158" i="34"/>
  <c r="I219" i="35"/>
  <c r="I131" i="35"/>
  <c r="I21" i="35"/>
  <c r="I148" i="35"/>
  <c r="I560" i="37"/>
  <c r="I79" i="36"/>
  <c r="I344" i="35"/>
  <c r="I186" i="35"/>
  <c r="I550" i="35"/>
  <c r="I239" i="35"/>
  <c r="I494" i="36"/>
  <c r="I61" i="36"/>
  <c r="I19" i="36"/>
  <c r="I632" i="36"/>
  <c r="I380" i="36"/>
  <c r="I340" i="36"/>
  <c r="I370" i="37"/>
  <c r="I123" i="37"/>
  <c r="I164" i="39"/>
  <c r="I205" i="39"/>
  <c r="I529" i="39"/>
  <c r="I206" i="39"/>
  <c r="I343" i="39"/>
  <c r="I189" i="39"/>
  <c r="I300" i="39"/>
  <c r="I266" i="39"/>
  <c r="I208" i="39"/>
  <c r="I449" i="39"/>
  <c r="I437" i="39"/>
  <c r="I432" i="39"/>
  <c r="I469" i="39"/>
  <c r="I570" i="39"/>
  <c r="I531" i="39"/>
  <c r="I453" i="39"/>
  <c r="I209" i="34"/>
  <c r="I181" i="34"/>
  <c r="I137" i="34"/>
  <c r="I43" i="34"/>
  <c r="I57" i="34"/>
  <c r="I476" i="34"/>
  <c r="I451" i="34"/>
  <c r="I481" i="34"/>
  <c r="I364" i="34"/>
  <c r="I544" i="34"/>
  <c r="I155" i="34"/>
  <c r="I401" i="34"/>
  <c r="I366" i="35"/>
  <c r="I25" i="35"/>
  <c r="I439" i="35"/>
  <c r="I579" i="35"/>
  <c r="I103" i="35"/>
  <c r="I6" i="35"/>
  <c r="I81" i="37"/>
  <c r="I625" i="36"/>
  <c r="I562" i="39"/>
  <c r="I118" i="37"/>
  <c r="I47" i="36"/>
  <c r="I120" i="39"/>
  <c r="I69" i="37"/>
  <c r="I143" i="36"/>
  <c r="I135" i="35"/>
  <c r="I551" i="35"/>
  <c r="I144" i="35"/>
  <c r="I556" i="35"/>
  <c r="I167" i="35"/>
  <c r="I465" i="35"/>
  <c r="I227" i="36"/>
  <c r="I218" i="36"/>
  <c r="I235" i="37"/>
  <c r="I153" i="37"/>
  <c r="I60" i="13"/>
  <c r="I6" i="13"/>
  <c r="I632" i="13"/>
  <c r="I623" i="13"/>
  <c r="I586" i="13"/>
  <c r="I606" i="13"/>
  <c r="I193" i="13"/>
  <c r="I145" i="13"/>
  <c r="I444" i="13"/>
  <c r="I118" i="13"/>
  <c r="I112" i="13"/>
  <c r="I401" i="13"/>
  <c r="I135" i="13"/>
  <c r="I109" i="13"/>
  <c r="I161" i="13"/>
  <c r="I456" i="13"/>
  <c r="I236" i="13"/>
  <c r="I407" i="13"/>
  <c r="I213" i="13"/>
  <c r="I377" i="13"/>
  <c r="I372" i="13"/>
  <c r="I308" i="13"/>
  <c r="I528" i="13"/>
  <c r="I489" i="13"/>
  <c r="I186" i="13"/>
  <c r="I5" i="13"/>
  <c r="I159" i="34"/>
  <c r="I462" i="34"/>
  <c r="I301" i="34"/>
  <c r="I187" i="34"/>
  <c r="I103" i="34"/>
  <c r="I227" i="34"/>
  <c r="I559" i="34"/>
  <c r="I402" i="34"/>
  <c r="I252" i="34"/>
  <c r="I533" i="34"/>
  <c r="I404" i="34"/>
  <c r="I610" i="34"/>
  <c r="I542" i="34"/>
  <c r="I558" i="34"/>
  <c r="I537" i="35"/>
  <c r="I286" i="35"/>
  <c r="I221" i="35"/>
  <c r="I258" i="35"/>
  <c r="I220" i="13"/>
  <c r="I393" i="13"/>
  <c r="I196" i="13"/>
  <c r="I364" i="13"/>
  <c r="I347" i="13"/>
  <c r="I283" i="13"/>
  <c r="I505" i="13"/>
  <c r="I466" i="13"/>
  <c r="I365" i="13"/>
  <c r="I310" i="13"/>
  <c r="I538" i="13"/>
  <c r="I614" i="34"/>
  <c r="I422" i="34"/>
  <c r="I575" i="34"/>
  <c r="I261" i="34"/>
  <c r="I627" i="34"/>
  <c r="I146" i="34"/>
  <c r="I267" i="34"/>
  <c r="I623" i="35"/>
  <c r="I371" i="35"/>
  <c r="I441" i="35"/>
  <c r="I201" i="35"/>
  <c r="I574" i="35"/>
  <c r="I516" i="35"/>
  <c r="I123" i="35"/>
  <c r="I233" i="35"/>
  <c r="I172" i="35"/>
  <c r="I358" i="35"/>
  <c r="I611" i="35"/>
  <c r="I473" i="35"/>
  <c r="I467" i="35"/>
  <c r="I204" i="35"/>
  <c r="I286" i="36"/>
  <c r="I408" i="36"/>
  <c r="I389" i="36"/>
  <c r="I361" i="36"/>
  <c r="I240" i="36"/>
  <c r="I176" i="34"/>
  <c r="I376" i="34"/>
  <c r="I284" i="34"/>
  <c r="I623" i="34"/>
  <c r="I56" i="34"/>
  <c r="I276" i="34"/>
  <c r="I342" i="35"/>
  <c r="I193" i="35"/>
  <c r="I633" i="35"/>
  <c r="I266" i="34"/>
  <c r="I178" i="34"/>
  <c r="I107" i="34"/>
  <c r="I291" i="34"/>
  <c r="I222" i="34"/>
  <c r="I443" i="34"/>
  <c r="I105" i="34"/>
  <c r="I250" i="34"/>
  <c r="I214" i="35"/>
  <c r="I108" i="35"/>
  <c r="I195" i="36"/>
  <c r="I426" i="39"/>
  <c r="I218" i="37"/>
  <c r="I50" i="37"/>
  <c r="I454" i="37"/>
  <c r="I511" i="36"/>
  <c r="I436" i="37"/>
  <c r="I12" i="36"/>
  <c r="I31" i="39"/>
  <c r="I55" i="37"/>
  <c r="I239" i="36"/>
  <c r="I46" i="36"/>
  <c r="I262" i="39"/>
  <c r="I75" i="37"/>
  <c r="I187" i="36"/>
  <c r="I383" i="37"/>
  <c r="I317" i="37"/>
  <c r="I366" i="37"/>
  <c r="I610" i="39"/>
  <c r="I139" i="34"/>
  <c r="I219" i="34"/>
  <c r="I73" i="35"/>
  <c r="I469" i="13"/>
  <c r="I176" i="13"/>
  <c r="I405" i="13"/>
  <c r="I568" i="13"/>
  <c r="I367" i="13"/>
  <c r="I339" i="13"/>
  <c r="I450" i="13"/>
  <c r="I478" i="13"/>
  <c r="I333" i="13"/>
  <c r="I295" i="34"/>
  <c r="I204" i="34"/>
  <c r="I581" i="34"/>
  <c r="I54" i="34"/>
  <c r="I322" i="34"/>
  <c r="I9" i="34"/>
  <c r="I590" i="34"/>
  <c r="I565" i="34"/>
  <c r="I179" i="34"/>
  <c r="I300" i="34"/>
  <c r="I429" i="34"/>
  <c r="I114" i="34"/>
  <c r="I168" i="35"/>
  <c r="I383" i="35"/>
  <c r="I182" i="35"/>
  <c r="I105" i="35"/>
  <c r="I494" i="35"/>
  <c r="I424" i="35"/>
  <c r="I281" i="35"/>
  <c r="I98" i="35"/>
  <c r="I576" i="35"/>
  <c r="I626" i="35"/>
  <c r="I314" i="35"/>
  <c r="I38" i="35"/>
  <c r="I359" i="35"/>
  <c r="I521" i="35"/>
  <c r="I593" i="35"/>
  <c r="I287" i="35"/>
  <c r="I212" i="35"/>
  <c r="I490" i="35"/>
  <c r="I423" i="35"/>
  <c r="I540" i="35"/>
  <c r="I491" i="35"/>
  <c r="I592" i="35"/>
  <c r="I23" i="35"/>
  <c r="I44" i="36"/>
  <c r="I620" i="36"/>
  <c r="I598" i="36"/>
  <c r="I476" i="36"/>
  <c r="I519" i="36"/>
  <c r="I68" i="36"/>
  <c r="I452" i="36"/>
  <c r="I129" i="36"/>
  <c r="I112" i="36"/>
  <c r="I11" i="36"/>
  <c r="I460" i="36"/>
  <c r="I369" i="36"/>
  <c r="I611" i="36"/>
  <c r="I114" i="36"/>
  <c r="I488" i="37"/>
  <c r="I500" i="37"/>
  <c r="I163" i="37"/>
  <c r="I112" i="37"/>
  <c r="I420" i="37"/>
  <c r="I272" i="37"/>
  <c r="I538" i="37"/>
  <c r="I62" i="37"/>
  <c r="I486" i="37"/>
  <c r="I7" i="37"/>
  <c r="I564" i="37"/>
  <c r="I412" i="37"/>
  <c r="I166" i="39"/>
  <c r="I176" i="39"/>
  <c r="I329" i="39"/>
  <c r="I287" i="39"/>
  <c r="I567" i="39"/>
  <c r="I464" i="39"/>
  <c r="I556" i="39"/>
  <c r="I600" i="39"/>
  <c r="I47" i="39"/>
  <c r="I290" i="34"/>
  <c r="I466" i="34"/>
  <c r="I180" i="34"/>
  <c r="I192" i="34"/>
  <c r="I183" i="34"/>
  <c r="I424" i="34"/>
  <c r="I60" i="34"/>
  <c r="I277" i="34"/>
  <c r="I59" i="34"/>
  <c r="I279" i="34"/>
  <c r="I192" i="35"/>
  <c r="I207" i="35"/>
  <c r="I230" i="36"/>
  <c r="I37" i="37"/>
  <c r="H186" i="36"/>
  <c r="I186" i="36"/>
  <c r="I147" i="37"/>
  <c r="I438" i="36"/>
  <c r="H216" i="36"/>
  <c r="I216" i="36"/>
  <c r="I253" i="37"/>
  <c r="I608" i="37"/>
  <c r="I476" i="39"/>
  <c r="I604" i="39"/>
  <c r="I94" i="13"/>
  <c r="I71" i="13"/>
  <c r="I29" i="13"/>
  <c r="I580" i="13"/>
  <c r="I536" i="13"/>
  <c r="I508" i="13"/>
  <c r="I457" i="13"/>
  <c r="I208" i="13"/>
  <c r="I421" i="13"/>
  <c r="I259" i="13"/>
  <c r="I474" i="13"/>
  <c r="I442" i="13"/>
  <c r="I261" i="13"/>
  <c r="I210" i="13"/>
  <c r="I111" i="13"/>
  <c r="I164" i="13"/>
  <c r="I344" i="13"/>
  <c r="I316" i="13"/>
  <c r="I559" i="13"/>
  <c r="I281" i="34"/>
  <c r="I26" i="34"/>
  <c r="I426" i="34"/>
  <c r="I344" i="34"/>
  <c r="I589" i="34"/>
  <c r="I440" i="34"/>
  <c r="I393" i="34"/>
  <c r="I362" i="34"/>
  <c r="I361" i="34"/>
  <c r="I572" i="34"/>
  <c r="I621" i="34"/>
  <c r="I142" i="35"/>
  <c r="I117" i="35"/>
  <c r="I97" i="35"/>
  <c r="I59" i="35"/>
  <c r="I506" i="35"/>
  <c r="I89" i="35"/>
  <c r="I519" i="35"/>
  <c r="I270" i="35"/>
  <c r="I264" i="35"/>
  <c r="I11" i="35"/>
  <c r="I298" i="35"/>
  <c r="I283" i="35"/>
  <c r="I216" i="35"/>
  <c r="I131" i="36"/>
  <c r="I360" i="37"/>
  <c r="I53" i="39"/>
  <c r="I530" i="39"/>
  <c r="I602" i="39"/>
  <c r="I637" i="13"/>
  <c r="I604" i="13"/>
  <c r="I458" i="13"/>
  <c r="I277" i="13"/>
  <c r="I106" i="13"/>
  <c r="I237" i="13"/>
  <c r="I178" i="13"/>
  <c r="I177" i="13"/>
  <c r="I598" i="13"/>
  <c r="I638" i="13"/>
  <c r="I613" i="13"/>
  <c r="I87" i="13"/>
  <c r="I626" i="13"/>
  <c r="I595" i="13"/>
  <c r="I12" i="13"/>
  <c r="I123" i="13"/>
  <c r="I358" i="13"/>
  <c r="I556" i="13"/>
  <c r="I346" i="13"/>
  <c r="I291" i="13"/>
  <c r="I454" i="13"/>
  <c r="I519" i="13"/>
  <c r="I617" i="13"/>
  <c r="I79" i="13"/>
  <c r="I68" i="13"/>
  <c r="I35" i="13"/>
  <c r="I73" i="13"/>
  <c r="I47" i="13"/>
  <c r="I66" i="13"/>
  <c r="I282" i="13"/>
  <c r="I272" i="13"/>
  <c r="I523" i="13"/>
  <c r="I323" i="13"/>
  <c r="I233" i="13"/>
  <c r="I455" i="13"/>
  <c r="I426" i="13"/>
  <c r="I501" i="13"/>
  <c r="I188" i="13"/>
  <c r="I356" i="13"/>
  <c r="I404" i="13"/>
  <c r="I100" i="13"/>
  <c r="I438" i="13"/>
  <c r="I23" i="39"/>
  <c r="I154" i="39"/>
  <c r="I244" i="39"/>
  <c r="I250" i="39"/>
  <c r="I74" i="39"/>
  <c r="I123" i="39"/>
  <c r="I186" i="39"/>
  <c r="I409" i="39"/>
  <c r="I491" i="39"/>
  <c r="I380" i="39"/>
  <c r="I321" i="39"/>
  <c r="I327" i="39"/>
  <c r="I526" i="39"/>
  <c r="I553" i="39"/>
  <c r="I583" i="39"/>
  <c r="I532" i="39"/>
  <c r="I474" i="39"/>
  <c r="I194" i="39"/>
  <c r="I96" i="39"/>
  <c r="I501" i="34"/>
  <c r="I622" i="34"/>
  <c r="I274" i="34"/>
  <c r="I81" i="34"/>
  <c r="I12" i="34"/>
  <c r="I20" i="34"/>
  <c r="I148" i="34"/>
  <c r="I35" i="34"/>
  <c r="I64" i="34"/>
  <c r="I514" i="34"/>
  <c r="I171" i="35"/>
  <c r="I154" i="35"/>
  <c r="I294" i="35"/>
  <c r="I350" i="35"/>
  <c r="I474" i="35"/>
  <c r="I66" i="36"/>
  <c r="I574" i="36"/>
  <c r="I62" i="36"/>
  <c r="I119" i="37"/>
  <c r="I204" i="37"/>
  <c r="I53" i="37"/>
  <c r="I109" i="39"/>
  <c r="I222" i="39"/>
  <c r="I619" i="39"/>
  <c r="I442" i="39"/>
  <c r="I535" i="39"/>
  <c r="I383" i="39"/>
  <c r="I242" i="39"/>
  <c r="I503" i="39"/>
  <c r="I524" i="39"/>
  <c r="I431" i="39"/>
  <c r="I435" i="39"/>
  <c r="I181" i="39"/>
  <c r="I467" i="34"/>
  <c r="I15" i="34"/>
  <c r="I380" i="34"/>
  <c r="I410" i="34"/>
  <c r="I86" i="34"/>
  <c r="I29" i="34"/>
  <c r="I92" i="34"/>
  <c r="I507" i="34"/>
  <c r="I540" i="34"/>
  <c r="I238" i="34"/>
  <c r="I435" i="34"/>
  <c r="I13" i="34"/>
  <c r="I45" i="34"/>
  <c r="I216" i="34"/>
  <c r="I290" i="35"/>
  <c r="I284" i="35"/>
  <c r="I326" i="36"/>
  <c r="I137" i="39"/>
  <c r="I313" i="37"/>
  <c r="I175" i="39"/>
  <c r="I534" i="36"/>
  <c r="I81" i="39"/>
  <c r="I154" i="37"/>
  <c r="I125" i="36"/>
  <c r="I318" i="36"/>
  <c r="I413" i="36"/>
  <c r="I55" i="36"/>
  <c r="I297" i="36"/>
  <c r="I505" i="36"/>
  <c r="I442" i="36"/>
  <c r="I589" i="37"/>
  <c r="I59" i="37"/>
  <c r="I357" i="37"/>
  <c r="I144" i="37"/>
  <c r="I185" i="37"/>
  <c r="I613" i="37"/>
  <c r="I310" i="37"/>
  <c r="I44" i="37"/>
  <c r="I359" i="37"/>
  <c r="I525" i="37"/>
  <c r="I467" i="37"/>
  <c r="I266" i="37"/>
  <c r="I502" i="37"/>
  <c r="I346" i="37"/>
  <c r="I485" i="37"/>
  <c r="I462" i="37"/>
  <c r="I294" i="37"/>
  <c r="I539" i="39"/>
  <c r="I174" i="39"/>
  <c r="I170" i="39"/>
  <c r="I267" i="39"/>
  <c r="I259" i="39"/>
  <c r="I82" i="39"/>
  <c r="I212" i="39"/>
  <c r="I596" i="39"/>
  <c r="I307" i="39"/>
  <c r="I97" i="39"/>
  <c r="I634" i="39"/>
  <c r="I397" i="39"/>
  <c r="I342" i="39"/>
  <c r="I427" i="39"/>
  <c r="I557" i="39"/>
  <c r="I413" i="39"/>
  <c r="I314" i="39"/>
  <c r="I575" i="39"/>
  <c r="I513" i="39"/>
  <c r="I586" i="39"/>
  <c r="I497" i="39"/>
  <c r="I541" i="39"/>
  <c r="I236" i="34"/>
  <c r="I228" i="34"/>
  <c r="I76" i="34"/>
  <c r="I319" i="34"/>
  <c r="I339" i="34"/>
  <c r="I89" i="34"/>
  <c r="I397" i="34"/>
  <c r="I420" i="34"/>
  <c r="I31" i="34"/>
  <c r="I165" i="35"/>
  <c r="I228" i="35"/>
  <c r="I224" i="35"/>
  <c r="I315" i="35"/>
  <c r="I292" i="37"/>
  <c r="I408" i="37"/>
  <c r="I371" i="39"/>
  <c r="I557" i="37"/>
  <c r="I544" i="37"/>
  <c r="I229" i="36"/>
  <c r="I205" i="35"/>
  <c r="I58" i="35"/>
  <c r="I158" i="35"/>
  <c r="I351" i="35"/>
  <c r="I509" i="35"/>
  <c r="I462" i="35"/>
  <c r="I437" i="35"/>
  <c r="I139" i="35"/>
  <c r="I463" i="35"/>
  <c r="I634" i="35"/>
  <c r="I435" i="35"/>
  <c r="I213" i="35"/>
  <c r="I230" i="35"/>
  <c r="I350" i="36"/>
  <c r="I34" i="36"/>
  <c r="I321" i="36"/>
  <c r="I17" i="36"/>
  <c r="I539" i="36"/>
  <c r="I261" i="36"/>
  <c r="I73" i="36"/>
  <c r="I313" i="36"/>
  <c r="I512" i="36"/>
  <c r="I454" i="36"/>
  <c r="I354" i="36"/>
  <c r="I223" i="36"/>
  <c r="I384" i="36"/>
  <c r="I132" i="36"/>
  <c r="I538" i="36"/>
  <c r="I302" i="36"/>
  <c r="I54" i="37"/>
  <c r="I183" i="37"/>
  <c r="I475" i="37"/>
  <c r="I33" i="37"/>
  <c r="I166" i="37"/>
  <c r="I46" i="37"/>
  <c r="I343" i="37"/>
  <c r="I495" i="37"/>
  <c r="I352" i="37"/>
  <c r="I443" i="37"/>
  <c r="I132" i="37"/>
  <c r="I510" i="37"/>
  <c r="I170" i="37"/>
  <c r="I457" i="37"/>
  <c r="I283" i="37"/>
  <c r="I109" i="37"/>
  <c r="I394" i="37"/>
  <c r="I430" i="37"/>
  <c r="I581" i="37"/>
  <c r="I102" i="39"/>
  <c r="I171" i="39"/>
  <c r="I127" i="39"/>
  <c r="I317" i="39"/>
  <c r="I247" i="39"/>
  <c r="I500" i="39"/>
  <c r="I436" i="39"/>
  <c r="I534" i="39"/>
  <c r="I592" i="39"/>
  <c r="I587" i="39"/>
  <c r="I635" i="39"/>
  <c r="I527" i="39"/>
  <c r="I16" i="39"/>
  <c r="I310" i="39"/>
  <c r="I184" i="34"/>
  <c r="I79" i="34"/>
  <c r="I304" i="34"/>
  <c r="I166" i="34"/>
  <c r="I537" i="34"/>
  <c r="I169" i="34"/>
  <c r="I163" i="34"/>
  <c r="I557" i="34"/>
  <c r="I36" i="35"/>
  <c r="I438" i="35"/>
  <c r="I130" i="35"/>
  <c r="I428" i="35"/>
  <c r="I206" i="35"/>
  <c r="I43" i="37"/>
  <c r="I48" i="39"/>
  <c r="I370" i="39"/>
  <c r="I248" i="37"/>
  <c r="I24" i="39"/>
  <c r="I10" i="36"/>
  <c r="I32" i="39"/>
  <c r="I174" i="36"/>
  <c r="I373" i="36"/>
  <c r="I155" i="36"/>
  <c r="I388" i="36"/>
  <c r="I630" i="36"/>
  <c r="I282" i="36"/>
  <c r="I330" i="36"/>
  <c r="I28" i="37"/>
  <c r="I217" i="37"/>
  <c r="I524" i="37"/>
  <c r="I298" i="37"/>
  <c r="I115" i="37"/>
  <c r="I361" i="37"/>
  <c r="I482" i="37"/>
  <c r="I324" i="37"/>
  <c r="I390" i="37"/>
  <c r="I450" i="37"/>
  <c r="I243" i="37"/>
  <c r="I58" i="37"/>
  <c r="I293" i="37"/>
  <c r="I561" i="37"/>
  <c r="I113" i="37"/>
  <c r="I286" i="37"/>
  <c r="I573" i="37"/>
  <c r="I176" i="37"/>
  <c r="I402" i="37"/>
  <c r="I558" i="37"/>
  <c r="I48" i="37"/>
  <c r="I220" i="39"/>
  <c r="I26" i="39"/>
  <c r="I139" i="39"/>
  <c r="I33" i="39"/>
  <c r="I396" i="39"/>
  <c r="I387" i="39"/>
  <c r="I350" i="39"/>
  <c r="I362" i="39"/>
  <c r="I215" i="39"/>
  <c r="I71" i="39"/>
  <c r="I356" i="39"/>
  <c r="I276" i="39"/>
  <c r="I230" i="39"/>
  <c r="I601" i="39"/>
  <c r="I452" i="39"/>
  <c r="I138" i="39"/>
  <c r="I480" i="39"/>
  <c r="I328" i="39"/>
  <c r="I470" i="39"/>
  <c r="I571" i="39"/>
  <c r="I622" i="39"/>
  <c r="I598" i="39"/>
  <c r="I406" i="39"/>
  <c r="I566" i="39"/>
  <c r="I593" i="39"/>
  <c r="I637" i="39"/>
  <c r="I194" i="34"/>
  <c r="I147" i="34"/>
  <c r="I586" i="34"/>
  <c r="I377" i="34"/>
  <c r="I503" i="34"/>
  <c r="I592" i="34"/>
  <c r="I145" i="34"/>
  <c r="I239" i="34"/>
  <c r="I437" i="34"/>
  <c r="I236" i="35"/>
  <c r="I341" i="35"/>
  <c r="I329" i="35"/>
  <c r="I301" i="35"/>
  <c r="I567" i="36"/>
  <c r="I331" i="37"/>
  <c r="I547" i="36"/>
  <c r="I432" i="37"/>
  <c r="I559" i="37"/>
  <c r="I255" i="37"/>
  <c r="I216" i="39"/>
  <c r="I493" i="37"/>
  <c r="I196" i="37"/>
  <c r="I569" i="37"/>
  <c r="I75" i="36"/>
  <c r="I137" i="37"/>
  <c r="I130" i="39"/>
  <c r="I302" i="37"/>
  <c r="I600" i="36"/>
  <c r="I325" i="35"/>
  <c r="I534" i="35"/>
  <c r="I374" i="35"/>
  <c r="I365" i="35"/>
  <c r="I609" i="35"/>
  <c r="I136" i="35"/>
  <c r="I16" i="35"/>
  <c r="I37" i="35"/>
  <c r="I564" i="36"/>
  <c r="I455" i="36"/>
  <c r="I417" i="36"/>
  <c r="I607" i="36"/>
  <c r="I403" i="36"/>
  <c r="I490" i="36"/>
  <c r="I306" i="36"/>
  <c r="I183" i="36"/>
  <c r="I424" i="36"/>
  <c r="I49" i="36"/>
  <c r="I316" i="36"/>
  <c r="I228" i="36"/>
  <c r="I81" i="36"/>
  <c r="I306" i="37"/>
  <c r="I280" i="37"/>
  <c r="I315" i="37"/>
  <c r="I32" i="37"/>
  <c r="I624" i="37"/>
  <c r="I104" i="37"/>
  <c r="I15" i="37"/>
  <c r="I179" i="37"/>
  <c r="I365" i="37"/>
  <c r="I83" i="37"/>
  <c r="I405" i="37"/>
  <c r="I371" i="37"/>
  <c r="I491" i="37"/>
  <c r="I404" i="37"/>
  <c r="I527" i="37"/>
  <c r="I631" i="37"/>
  <c r="I43" i="39"/>
  <c r="I472" i="39"/>
  <c r="I461" i="39"/>
  <c r="I183" i="39"/>
  <c r="I326" i="39"/>
  <c r="I107" i="39"/>
  <c r="I433" i="39"/>
  <c r="I405" i="39"/>
  <c r="I416" i="39"/>
  <c r="I325" i="39"/>
  <c r="I278" i="39"/>
  <c r="I322" i="39"/>
  <c r="I630" i="39"/>
  <c r="I473" i="39"/>
  <c r="I507" i="39"/>
  <c r="I424" i="39"/>
  <c r="I627" i="39"/>
  <c r="I9" i="39"/>
  <c r="I30" i="34"/>
  <c r="I382" i="34"/>
  <c r="I324" i="34"/>
  <c r="I160" i="34"/>
  <c r="I263" i="34"/>
  <c r="I175" i="34"/>
  <c r="I129" i="34"/>
  <c r="I49" i="34"/>
  <c r="I25" i="34"/>
  <c r="I141" i="35"/>
  <c r="I275" i="35"/>
  <c r="I416" i="35"/>
  <c r="I524" i="35"/>
  <c r="I50" i="39"/>
  <c r="I189" i="36"/>
  <c r="I629" i="36"/>
  <c r="I94" i="36"/>
  <c r="I17" i="37"/>
  <c r="I229" i="37"/>
  <c r="I201" i="39"/>
  <c r="I428" i="13"/>
  <c r="I246" i="13"/>
  <c r="I197" i="13"/>
  <c r="I98" i="13"/>
  <c r="I575" i="13"/>
  <c r="I151" i="13"/>
  <c r="I332" i="13"/>
  <c r="I293" i="13"/>
  <c r="I337" i="34"/>
  <c r="I229" i="34"/>
  <c r="I480" i="34"/>
  <c r="I597" i="34"/>
  <c r="I371" i="34"/>
  <c r="I71" i="34"/>
  <c r="I335" i="34"/>
  <c r="I523" i="34"/>
  <c r="I32" i="34"/>
  <c r="I405" i="34"/>
  <c r="I624" i="34"/>
  <c r="I247" i="34"/>
  <c r="I530" i="34"/>
  <c r="I427" i="34"/>
  <c r="I365" i="34"/>
  <c r="I69" i="34"/>
  <c r="I625" i="34"/>
  <c r="I109" i="35"/>
  <c r="I100" i="35"/>
  <c r="I354" i="35"/>
  <c r="I147" i="35"/>
  <c r="I80" i="35"/>
  <c r="I363" i="35"/>
  <c r="I65" i="35"/>
  <c r="I527" i="35"/>
  <c r="I277" i="35"/>
  <c r="I114" i="35"/>
  <c r="I526" i="35"/>
  <c r="I299" i="35"/>
  <c r="I618" i="35"/>
  <c r="I386" i="35"/>
  <c r="I5" i="35"/>
  <c r="I235" i="35"/>
  <c r="I543" i="35"/>
  <c r="I379" i="35"/>
  <c r="I617" i="35"/>
  <c r="I499" i="35"/>
  <c r="I388" i="35"/>
  <c r="I531" i="35"/>
  <c r="I391" i="35"/>
  <c r="I77" i="35"/>
  <c r="I577" i="35"/>
  <c r="I543" i="36"/>
  <c r="I141" i="36"/>
  <c r="I115" i="36"/>
  <c r="I437" i="36"/>
  <c r="I436" i="36"/>
  <c r="I319" i="36"/>
  <c r="I97" i="36"/>
  <c r="I171" i="36"/>
  <c r="I487" i="36"/>
  <c r="I154" i="36"/>
  <c r="I463" i="36"/>
  <c r="I150" i="36"/>
  <c r="I429" i="36"/>
  <c r="I478" i="36"/>
  <c r="I342" i="36"/>
  <c r="I638" i="36"/>
  <c r="I232" i="36"/>
  <c r="I485" i="36"/>
  <c r="I392" i="36"/>
  <c r="I65" i="36"/>
  <c r="I198" i="37"/>
  <c r="I45" i="37"/>
  <c r="I619" i="37"/>
  <c r="I110" i="37"/>
  <c r="I614" i="37"/>
  <c r="I220" i="37"/>
  <c r="I504" i="37"/>
  <c r="I528" i="37"/>
  <c r="I236" i="37"/>
  <c r="I340" i="37"/>
  <c r="I282" i="37"/>
  <c r="I376" i="37"/>
  <c r="I155" i="37"/>
  <c r="I388" i="37"/>
  <c r="I545" i="37"/>
  <c r="I496" i="37"/>
  <c r="I606" i="37"/>
  <c r="I540" i="37"/>
  <c r="I499" i="37"/>
  <c r="I435" i="37"/>
  <c r="I61" i="39"/>
  <c r="I6" i="39"/>
  <c r="I135" i="39"/>
  <c r="I167" i="39"/>
  <c r="I35" i="39"/>
  <c r="I88" i="39"/>
  <c r="I193" i="39"/>
  <c r="I584" i="39"/>
  <c r="I353" i="39"/>
  <c r="I111" i="39"/>
  <c r="I361" i="39"/>
  <c r="I332" i="39"/>
  <c r="I444" i="39"/>
  <c r="I313" i="39"/>
  <c r="I425" i="39"/>
  <c r="I590" i="39"/>
  <c r="I512" i="39"/>
  <c r="I478" i="39"/>
  <c r="I579" i="39"/>
  <c r="I381" i="39"/>
  <c r="I623" i="39"/>
  <c r="I631" i="39"/>
  <c r="I155" i="39"/>
  <c r="I20" i="39"/>
  <c r="I16" i="34"/>
  <c r="I73" i="34"/>
  <c r="I390" i="34"/>
  <c r="I108" i="34"/>
  <c r="I142" i="34"/>
  <c r="I23" i="34"/>
  <c r="I340" i="34"/>
  <c r="I132" i="34"/>
  <c r="I153" i="34"/>
  <c r="I232" i="34"/>
  <c r="I205" i="34"/>
  <c r="I326" i="34"/>
  <c r="I93" i="34"/>
  <c r="I218" i="35"/>
  <c r="I589" i="35"/>
  <c r="I17" i="35"/>
  <c r="I150" i="35"/>
  <c r="I55" i="35"/>
  <c r="I172" i="39"/>
  <c r="I131" i="37"/>
  <c r="I156" i="36"/>
  <c r="I563" i="36"/>
  <c r="I147" i="39"/>
  <c r="I51" i="36"/>
  <c r="I55" i="39"/>
  <c r="I60" i="37"/>
  <c r="I72" i="39"/>
  <c r="I157" i="37"/>
  <c r="I363" i="37"/>
  <c r="I29" i="37"/>
  <c r="I466" i="35"/>
  <c r="I332" i="35"/>
  <c r="I538" i="35"/>
  <c r="I69" i="35"/>
  <c r="I297" i="35"/>
  <c r="I607" i="35"/>
  <c r="I237" i="35"/>
  <c r="I85" i="35"/>
  <c r="I347" i="35"/>
  <c r="I26" i="35"/>
  <c r="I243" i="35"/>
  <c r="I457" i="35"/>
  <c r="I405" i="35"/>
  <c r="I600" i="35"/>
  <c r="I503" i="35"/>
  <c r="I392" i="35"/>
  <c r="I630" i="35"/>
  <c r="I46" i="35"/>
  <c r="I504" i="36"/>
  <c r="I339" i="36"/>
  <c r="I134" i="36"/>
  <c r="I447" i="36"/>
  <c r="I80" i="36"/>
  <c r="I445" i="36"/>
  <c r="I535" i="36"/>
  <c r="I526" i="36"/>
  <c r="I163" i="36"/>
  <c r="I434" i="36"/>
  <c r="I87" i="36"/>
  <c r="I327" i="36"/>
  <c r="I45" i="36"/>
  <c r="I9" i="36"/>
  <c r="I251" i="36"/>
  <c r="I634" i="36"/>
  <c r="I489" i="36"/>
  <c r="I635" i="36"/>
  <c r="I600" i="37"/>
  <c r="I156" i="37"/>
  <c r="I625" i="37"/>
  <c r="I51" i="37"/>
  <c r="I143" i="37"/>
  <c r="I552" i="37"/>
  <c r="I246" i="37"/>
  <c r="I382" i="37"/>
  <c r="I444" i="37"/>
  <c r="I250" i="37"/>
  <c r="I428" i="37"/>
  <c r="I446" i="37"/>
  <c r="I34" i="37"/>
  <c r="I416" i="37"/>
  <c r="I21" i="39"/>
  <c r="I296" i="39"/>
  <c r="I364" i="39"/>
  <c r="I93" i="39"/>
  <c r="I228" i="39"/>
  <c r="I115" i="39"/>
  <c r="I165" i="39"/>
  <c r="I144" i="39"/>
  <c r="I368" i="39"/>
  <c r="I496" i="39"/>
  <c r="I450" i="39"/>
  <c r="I346" i="39"/>
  <c r="I294" i="39"/>
  <c r="I318" i="39"/>
  <c r="I632" i="39"/>
  <c r="I340" i="39"/>
  <c r="I517" i="39"/>
  <c r="I447" i="39"/>
  <c r="I145" i="39"/>
  <c r="I138" i="34"/>
  <c r="I604" i="34"/>
  <c r="I352" i="34"/>
  <c r="I367" i="34"/>
  <c r="I61" i="34"/>
  <c r="I609" i="34"/>
  <c r="I40" i="35"/>
  <c r="I210" i="35"/>
  <c r="I453" i="35"/>
  <c r="I588" i="35"/>
  <c r="I252" i="35"/>
  <c r="I583" i="37"/>
  <c r="I123" i="36"/>
  <c r="I496" i="36"/>
  <c r="I84" i="39"/>
  <c r="I66" i="39"/>
  <c r="I90" i="37"/>
  <c r="I264" i="37"/>
  <c r="I532" i="36"/>
  <c r="I25" i="39"/>
  <c r="I548" i="36"/>
  <c r="I255" i="36"/>
  <c r="I493" i="36"/>
  <c r="I415" i="36"/>
  <c r="I613" i="36"/>
  <c r="I33" i="36"/>
  <c r="I511" i="37"/>
  <c r="I259" i="37"/>
  <c r="I13" i="37"/>
  <c r="I30" i="37"/>
  <c r="I373" i="37"/>
  <c r="I38" i="37"/>
  <c r="I329" i="37"/>
  <c r="I56" i="37"/>
  <c r="I66" i="37"/>
  <c r="I36" i="37"/>
  <c r="I213" i="37"/>
  <c r="I148" i="37"/>
  <c r="I576" i="37"/>
  <c r="I251" i="37"/>
  <c r="I472" i="37"/>
  <c r="I190" i="37"/>
  <c r="I427" i="37"/>
  <c r="I582" i="37"/>
  <c r="I254" i="37"/>
  <c r="I532" i="37"/>
  <c r="I320" i="37"/>
  <c r="I565" i="37"/>
  <c r="I69" i="39"/>
  <c r="I149" i="39"/>
  <c r="I523" i="39"/>
  <c r="I443" i="39"/>
  <c r="I422" i="39"/>
  <c r="I39" i="39"/>
  <c r="I62" i="39"/>
  <c r="I126" i="39"/>
  <c r="I402" i="39"/>
  <c r="I119" i="39"/>
  <c r="I484" i="39"/>
  <c r="I463" i="39"/>
  <c r="I360" i="39"/>
  <c r="I475" i="39"/>
  <c r="I308" i="39"/>
  <c r="I349" i="39"/>
  <c r="I516" i="39"/>
  <c r="I316" i="39"/>
  <c r="I354" i="39"/>
  <c r="I219" i="39"/>
  <c r="I492" i="39"/>
  <c r="I522" i="39"/>
  <c r="I501" i="39"/>
  <c r="I606" i="39"/>
  <c r="I408" i="39"/>
  <c r="I412" i="39"/>
  <c r="I63" i="34"/>
  <c r="I77" i="34"/>
  <c r="I260" i="34"/>
  <c r="I40" i="34"/>
  <c r="I273" i="34"/>
  <c r="I478" i="34"/>
  <c r="I213" i="34"/>
  <c r="I447" i="34"/>
  <c r="I235" i="34"/>
  <c r="I186" i="34"/>
  <c r="I378" i="34"/>
  <c r="I283" i="34"/>
  <c r="I440" i="35"/>
  <c r="I512" i="35"/>
  <c r="I629" i="35"/>
  <c r="I49" i="39"/>
  <c r="I88" i="36"/>
  <c r="I441" i="36"/>
  <c r="I38" i="39"/>
  <c r="I22" i="37"/>
  <c r="I548" i="37"/>
  <c r="I311" i="37"/>
  <c r="I40" i="37"/>
  <c r="I13" i="39"/>
  <c r="I456" i="36"/>
  <c r="BZ3" i="14"/>
  <c r="BC3" i="14" s="1" a="1"/>
  <c r="BC3" i="14" s="1"/>
  <c r="O2" i="35" a="1"/>
  <c r="O2" i="35" s="1"/>
  <c r="O2" i="34" a="1"/>
  <c r="O2" i="34" s="1"/>
  <c r="H123" i="36"/>
  <c r="H626" i="36"/>
  <c r="H43" i="37"/>
  <c r="H126" i="37"/>
  <c r="H426" i="39"/>
  <c r="H218" i="37"/>
  <c r="H197" i="39"/>
  <c r="H469" i="36"/>
  <c r="H195" i="36"/>
  <c r="H335" i="36"/>
  <c r="H402" i="36"/>
  <c r="H50" i="37"/>
  <c r="H544" i="37"/>
  <c r="H239" i="37"/>
  <c r="H292" i="36"/>
  <c r="H245" i="36"/>
  <c r="H534" i="36"/>
  <c r="H94" i="36"/>
  <c r="H544" i="39"/>
  <c r="H380" i="37"/>
  <c r="H196" i="37"/>
  <c r="H175" i="39"/>
  <c r="H137" i="39"/>
  <c r="H484" i="36"/>
  <c r="H567" i="36"/>
  <c r="H548" i="37"/>
  <c r="H583" i="36"/>
  <c r="H614" i="36"/>
  <c r="H49" i="37"/>
  <c r="H593" i="36"/>
  <c r="H129" i="39"/>
  <c r="H396" i="36"/>
  <c r="H17" i="39"/>
  <c r="H211" i="39"/>
  <c r="H66" i="39"/>
  <c r="H53" i="37"/>
  <c r="H10" i="36"/>
  <c r="H496" i="36"/>
  <c r="H482" i="36"/>
  <c r="H122" i="36"/>
  <c r="H311" i="37"/>
  <c r="H31" i="39"/>
  <c r="H456" i="36"/>
  <c r="H111" i="36"/>
  <c r="H555" i="36"/>
  <c r="H200" i="36"/>
  <c r="H495" i="36"/>
  <c r="H546" i="37"/>
  <c r="H49" i="39"/>
  <c r="H574" i="36"/>
  <c r="H399" i="36"/>
  <c r="H118" i="37"/>
  <c r="H58" i="39"/>
  <c r="H120" i="39"/>
  <c r="H612" i="36"/>
  <c r="H584" i="36"/>
  <c r="H137" i="37"/>
  <c r="H362" i="36"/>
  <c r="H595" i="36"/>
  <c r="H292" i="37"/>
  <c r="H596" i="37"/>
  <c r="H13" i="39"/>
  <c r="H177" i="36"/>
  <c r="H248" i="36"/>
  <c r="H480" i="36"/>
  <c r="H210" i="37"/>
  <c r="H419" i="37"/>
  <c r="H562" i="39"/>
  <c r="R3" i="14" a="1"/>
  <c r="R3" i="14" s="1"/>
  <c r="B1" i="36" a="1"/>
  <c r="B1" i="36" s="1"/>
  <c r="B1" i="39" a="1"/>
  <c r="B1" i="39" s="1"/>
  <c r="B1" i="35" a="1"/>
  <c r="B1" i="35" s="1"/>
  <c r="B1" i="37" a="1"/>
  <c r="B1" i="37" s="1"/>
  <c r="B1" i="13" a="1"/>
  <c r="B1" i="13" s="1"/>
  <c r="O2" i="37" l="1" a="1"/>
  <c r="O2" i="37" s="1"/>
  <c r="O2" i="36" a="1"/>
  <c r="S1" i="34" a="1"/>
  <c r="S1" i="34" s="1"/>
  <c r="N1" i="34"/>
  <c r="O2" i="39" a="1"/>
  <c r="N1" i="35"/>
  <c r="S1" i="35" a="1"/>
  <c r="S1" i="35" s="1"/>
  <c r="S2" i="13" a="1"/>
  <c r="S2" i="13" s="1"/>
  <c r="I19" i="11" a="1"/>
  <c r="N1" i="37" l="1"/>
  <c r="S1" i="37" a="1"/>
  <c r="S1" i="37" s="1"/>
  <c r="O2" i="39"/>
  <c r="S1" i="39" s="1" a="1"/>
  <c r="S1" i="39" s="1"/>
  <c r="O2" i="36"/>
  <c r="S1" i="36" s="1" a="1"/>
  <c r="S1" i="36" s="1"/>
  <c r="I19" i="11"/>
  <c r="Q2" i="1" a="1"/>
  <c r="Q2" i="1" s="1"/>
  <c r="P8" i="1"/>
  <c r="Q8" i="1" a="1"/>
  <c r="Q8" i="1" s="1"/>
  <c r="P7" i="1"/>
  <c r="Q7" i="1" a="1"/>
  <c r="Q7" i="1" s="1"/>
  <c r="B2" i="1" a="1"/>
  <c r="B2" i="1" s="1"/>
  <c r="P2" i="1"/>
  <c r="P3" i="1"/>
  <c r="Q3" i="1" a="1"/>
  <c r="Q3" i="1" s="1"/>
  <c r="P4" i="1"/>
  <c r="Q4" i="1" a="1"/>
  <c r="Q4" i="1" s="1"/>
  <c r="P5" i="1"/>
  <c r="Q5" i="1" a="1"/>
  <c r="Q5" i="1" s="1"/>
  <c r="P6" i="1"/>
  <c r="Q6" i="1" a="1"/>
  <c r="Q6" i="1" s="1"/>
  <c r="AT3" i="14" l="1" a="1"/>
  <c r="AT3" i="14" s="1"/>
  <c r="N1" i="36"/>
  <c r="N1" i="39"/>
  <c r="C2" i="1" a="1"/>
  <c r="C2" i="1" s="1"/>
  <c r="S2" i="5" a="1"/>
  <c r="S2" i="5" s="1"/>
  <c r="AE8" i="11" a="1"/>
  <c r="A2" i="1" l="1" a="1"/>
  <c r="AE8" i="11"/>
  <c r="A2" i="1" l="1"/>
  <c r="CE4" i="18" s="1" a="1"/>
  <c r="AF8" i="11" a="1"/>
  <c r="AF8" i="11" s="1"/>
  <c r="D2" i="1" a="1"/>
  <c r="D2" i="1" s="1"/>
  <c r="AP5" i="39" l="1" a="1"/>
  <c r="AP5" i="36" a="1"/>
  <c r="AP5" i="37" a="1"/>
  <c r="CE4" i="18"/>
  <c r="AP5" i="35" s="1" a="1"/>
  <c r="C1" i="11" a="1"/>
  <c r="C1" i="11" s="1"/>
  <c r="B1" i="11" a="1"/>
  <c r="B1" i="11" s="1"/>
  <c r="AP5" i="35" l="1"/>
  <c r="D5" i="35" a="1"/>
  <c r="AP5" i="36"/>
  <c r="D5" i="36" a="1"/>
  <c r="AP5" i="34" a="1"/>
  <c r="AP5" i="37"/>
  <c r="D5" i="37" a="1"/>
  <c r="AP5" i="39"/>
  <c r="D5" i="39" s="1" a="1"/>
  <c r="D5" i="39" l="1"/>
  <c r="Z2" i="39" s="1" a="1"/>
  <c r="Z2" i="39" s="1"/>
  <c r="D5" i="37"/>
  <c r="J1" i="37" s="1" a="1"/>
  <c r="J1" i="37" s="1"/>
  <c r="D5" i="36"/>
  <c r="Z2" i="36" s="1" a="1"/>
  <c r="Z2" i="36" s="1"/>
  <c r="D5" i="35"/>
  <c r="Z2" i="35" s="1" a="1"/>
  <c r="Z2" i="35" s="1"/>
  <c r="AP5" i="34"/>
  <c r="D5" i="34" a="1"/>
  <c r="D5" i="13" a="1"/>
  <c r="D5" i="13" s="1"/>
  <c r="J1" i="35" l="1" a="1"/>
  <c r="J1" i="35" s="1"/>
  <c r="J1" i="39" a="1"/>
  <c r="J1" i="39" s="1"/>
  <c r="J1" i="36" a="1"/>
  <c r="J1" i="36" s="1"/>
  <c r="J1" i="13" a="1"/>
  <c r="J1" i="13" s="1"/>
  <c r="Z2" i="37" a="1"/>
  <c r="Z2" i="37" s="1"/>
  <c r="D5" i="34"/>
  <c r="J1" i="34" s="1" a="1"/>
  <c r="J1" i="34" s="1"/>
  <c r="Z2" i="34" l="1" a="1"/>
  <c r="Z2" i="34" s="1"/>
  <c r="AD3" i="14" l="1" a="1"/>
  <c r="AD3" i="14" l="1"/>
  <c r="AN3" i="14" s="1" a="1"/>
  <c r="AN3" i="14" s="1"/>
  <c r="C3" i="16" l="1" a="1"/>
  <c r="C1" i="16" l="1"/>
  <c r="C3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667A68-671F-44EE-8FC9-563A29BB984C}" keepAlive="1" name="Query - Block" description="Connection to the 'Block' query in the workbook." type="5" refreshedVersion="8" background="1" saveData="1">
    <dbPr connection="Provider=Microsoft.Mashup.OleDb.1;Data Source=$Workbook$;Location=Block;Extended Properties=&quot;&quot;" command="SELECT * FROM [Block]"/>
  </connection>
  <connection id="2" xr16:uid="{11AECF24-0398-4310-801B-3FCF5C5362F2}" keepAlive="1" name="Query - LocBy_STP" description="Connection to the 'LocBy_STP' query in the workbook." type="5" refreshedVersion="0" background="1">
    <dbPr connection="Provider=Microsoft.Mashup.OleDb.1;Data Source=$Workbook$;Location=LocBy_STP;Extended Properties=&quot;&quot;" command="SELECT * FROM [LocBy_STP]"/>
  </connection>
  <connection id="3" xr16:uid="{F6099344-54E9-4E6E-B81D-62E2220FD0EB}" keepAlive="1" name="Query - ore_production" description="Connection to the 'ore_production' query in the workbook." type="5" refreshedVersion="8" background="1" saveData="1">
    <dbPr connection="Provider=Microsoft.Mashup.OleDb.1;Data Source=$Workbook$;Location=ore_production;Extended Properties=&quot;&quot;" command="SELECT * FROM [ore_production]"/>
  </connection>
  <connection id="4" xr16:uid="{3BF88249-A297-4FF3-A62B-4FE4114FECA8}" keepAlive="1" name="Query - Pile" description="Connection to the 'Pile' query in the workbook." type="5" refreshedVersion="8" background="1" saveData="1">
    <dbPr connection="Provider=Microsoft.Mashup.OleDb.1;Data Source=$Workbook$;Location=Pile;Extended Properties=&quot;&quot;" command="SELECT * FROM [Pile]"/>
  </connection>
  <connection id="5" xr16:uid="{99483DCD-1451-47C7-9C6A-E5D9C51F5FD5}" keepAlive="1" name="Query - Prospect" description="Connection to the 'Prospect' query in the workbook." type="5" refreshedVersion="8" background="1" saveData="1">
    <dbPr connection="Provider=Microsoft.Mashup.OleDb.1;Data Source=$Workbook$;Location=Prospect;Extended Properties=&quot;&quot;" command="SELECT * FROM [Prospec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<sst xmlns="http://schemas.openxmlformats.org/spreadsheetml/2006/main" count="10730" uniqueCount="2628">
  <si>
    <t>Type</t>
  </si>
  <si>
    <t>SMA</t>
  </si>
  <si>
    <t>STM</t>
  </si>
  <si>
    <t>No</t>
  </si>
  <si>
    <t>PT</t>
  </si>
  <si>
    <t>Name of Hauler Owner</t>
  </si>
  <si>
    <t>PT Putra Morowali Sejahtera</t>
  </si>
  <si>
    <t>PMS</t>
  </si>
  <si>
    <t>PT Mulia Rentalindo Persada</t>
  </si>
  <si>
    <t>MRP</t>
  </si>
  <si>
    <t>HS</t>
  </si>
  <si>
    <t>PT Malachite International Mining</t>
  </si>
  <si>
    <t>MIM</t>
  </si>
  <si>
    <t>PT Teknologi Infrastruktur Indonesia</t>
  </si>
  <si>
    <t>TII</t>
  </si>
  <si>
    <t>PT Sinar Terang Mandiri</t>
  </si>
  <si>
    <t>PT Sinar Mulia Abadi</t>
  </si>
  <si>
    <t>PT Rajawali Emas Ancora Lestari</t>
  </si>
  <si>
    <t>RL</t>
  </si>
  <si>
    <t>ADT40</t>
  </si>
  <si>
    <t>NIK</t>
  </si>
  <si>
    <t>EMP_NAME</t>
  </si>
  <si>
    <t>Yahazkiel Eka Putra</t>
  </si>
  <si>
    <t>Karunia Rener Simon Tandidatu</t>
  </si>
  <si>
    <t>Adryan Muhta Syam</t>
  </si>
  <si>
    <t>Hasyim Asy'ari, S.Pd</t>
  </si>
  <si>
    <t>Deri</t>
  </si>
  <si>
    <t>Saprianto</t>
  </si>
  <si>
    <t>Gustanto</t>
  </si>
  <si>
    <t>Muhammad Syahrul</t>
  </si>
  <si>
    <t>Junaidi</t>
  </si>
  <si>
    <t>Ismail</t>
  </si>
  <si>
    <t>Herman Avandi Azis</t>
  </si>
  <si>
    <t>Muh. Aditya Ariel Saputra</t>
  </si>
  <si>
    <t>Riswan Yamin</t>
  </si>
  <si>
    <t>Muhammad Farhan Zaini</t>
  </si>
  <si>
    <t>Indra Febriansyah</t>
  </si>
  <si>
    <t>Rendy Perdana Putra</t>
  </si>
  <si>
    <t>Farmandaris Sattu Ponglanda</t>
  </si>
  <si>
    <t>Rizal R</t>
  </si>
  <si>
    <t>Rella Irawan</t>
  </si>
  <si>
    <t>Yusran</t>
  </si>
  <si>
    <t>Takdir</t>
  </si>
  <si>
    <t>Amrullah</t>
  </si>
  <si>
    <t>Roni Hakim</t>
  </si>
  <si>
    <t>Ulhabri Hl Hasbuan</t>
  </si>
  <si>
    <t>Iksan, S.Ap</t>
  </si>
  <si>
    <t>Irawan Saputra</t>
  </si>
  <si>
    <t>Nabil_1</t>
  </si>
  <si>
    <t>Ashar Ridwan</t>
  </si>
  <si>
    <t>Randy Safutra S</t>
  </si>
  <si>
    <t>La Ode Amir</t>
  </si>
  <si>
    <t>Riki Ibranto</t>
  </si>
  <si>
    <t>Iqbal Ramdani</t>
  </si>
  <si>
    <t>Hendrianto</t>
  </si>
  <si>
    <t>Ash Habul Yamin</t>
  </si>
  <si>
    <t>Fahrul Alam</t>
  </si>
  <si>
    <t>Delon Geonaldo Rivera</t>
  </si>
  <si>
    <t>Yakub Tammu</t>
  </si>
  <si>
    <t>Evan Rianto</t>
  </si>
  <si>
    <t>Akram</t>
  </si>
  <si>
    <t>Alfiansyah</t>
  </si>
  <si>
    <t>Fardimansyah Jumareng</t>
  </si>
  <si>
    <t>Muhamad Oca</t>
  </si>
  <si>
    <t>Muh. Lutfi Ardiansyah</t>
  </si>
  <si>
    <t>Ahmad Dani</t>
  </si>
  <si>
    <t>Fergiawan Jody Maulana</t>
  </si>
  <si>
    <t>Muhammad Dany Saputra Ismail</t>
  </si>
  <si>
    <t>Wayan Sumrika</t>
  </si>
  <si>
    <t>Ali Musafiar</t>
  </si>
  <si>
    <t>Indra</t>
  </si>
  <si>
    <t>Muh. Gibran Rivaldi Lamambo</t>
  </si>
  <si>
    <t>La Ode Muh. Azkha</t>
  </si>
  <si>
    <t>Ardan</t>
  </si>
  <si>
    <t>Rauf</t>
  </si>
  <si>
    <t>Andri Tani Kusuma</t>
  </si>
  <si>
    <t>Febrianto</t>
  </si>
  <si>
    <t>Muh. Jemix Rismawan</t>
  </si>
  <si>
    <t>Muhammad Al Irsyad</t>
  </si>
  <si>
    <t>Ipan</t>
  </si>
  <si>
    <t>Andika Saputra Nair</t>
  </si>
  <si>
    <t>Arun Prasetyo</t>
  </si>
  <si>
    <t>Jusman</t>
  </si>
  <si>
    <t>Muhammad Sabrianto</t>
  </si>
  <si>
    <t>Firman Salahuddin</t>
  </si>
  <si>
    <t>Adin</t>
  </si>
  <si>
    <t>Adit Saputra</t>
  </si>
  <si>
    <t>Arif Munajar</t>
  </si>
  <si>
    <t>Apriyadi</t>
  </si>
  <si>
    <t>Ardi Abriansyah</t>
  </si>
  <si>
    <t>Muh. Rahmad Hidayat</t>
  </si>
  <si>
    <t>Kurniawan M</t>
  </si>
  <si>
    <t>Alan Saputra</t>
  </si>
  <si>
    <t>Nabil_2</t>
  </si>
  <si>
    <t>Ferri Nur</t>
  </si>
  <si>
    <t>Muhammad Faiz</t>
  </si>
  <si>
    <t>Dzakir Muslim</t>
  </si>
  <si>
    <t>Muh. Ridwan</t>
  </si>
  <si>
    <t>Arif Afriadi</t>
  </si>
  <si>
    <t>Dadin Rahman</t>
  </si>
  <si>
    <t>Asjun</t>
  </si>
  <si>
    <t>Stockpile</t>
  </si>
  <si>
    <t>BR1</t>
  </si>
  <si>
    <t>SS_01</t>
  </si>
  <si>
    <t>S1_01</t>
  </si>
  <si>
    <t>Sector</t>
  </si>
  <si>
    <t>DS</t>
  </si>
  <si>
    <t>BR23W</t>
  </si>
  <si>
    <t>BR23E</t>
  </si>
  <si>
    <t>Name</t>
  </si>
  <si>
    <t>SH_01</t>
  </si>
  <si>
    <t>Sector:</t>
  </si>
  <si>
    <t>Sampling:</t>
  </si>
  <si>
    <t>Date / Shift:</t>
  </si>
  <si>
    <t>PT Hillconjaya Sukses</t>
  </si>
  <si>
    <t>Front_ID</t>
  </si>
  <si>
    <t>stockpile</t>
  </si>
  <si>
    <t>pile_id</t>
  </si>
  <si>
    <t>BR-C_02</t>
  </si>
  <si>
    <t>BR-C2_S05</t>
  </si>
  <si>
    <t>BR-C2_S06</t>
  </si>
  <si>
    <t>BR-C2_S07</t>
  </si>
  <si>
    <t>BR-C2_S08</t>
  </si>
  <si>
    <t>BR-C_03</t>
  </si>
  <si>
    <t>BR-C3_L08</t>
  </si>
  <si>
    <t>BR-C3_L09</t>
  </si>
  <si>
    <t>BR-C3_S05</t>
  </si>
  <si>
    <t>BR-C3B_S14</t>
  </si>
  <si>
    <t>BR-C_04</t>
  </si>
  <si>
    <t>BR-C4_S06</t>
  </si>
  <si>
    <t>BR-C_06</t>
  </si>
  <si>
    <t>BR-C6_L22</t>
  </si>
  <si>
    <t>BR-C6_L23</t>
  </si>
  <si>
    <t>BR-C6_S07</t>
  </si>
  <si>
    <t>BR-C6_S08</t>
  </si>
  <si>
    <t>BR-C6C_S06</t>
  </si>
  <si>
    <t>BR-C6C_S07</t>
  </si>
  <si>
    <t>BR-C6D_S06</t>
  </si>
  <si>
    <t>BR-C6D_S16</t>
  </si>
  <si>
    <t>BR-C_12</t>
  </si>
  <si>
    <t>BR-C12_L10</t>
  </si>
  <si>
    <t>BR-C12_L11</t>
  </si>
  <si>
    <t>C_02</t>
  </si>
  <si>
    <t>BR-C2_S01</t>
  </si>
  <si>
    <t>BR-C2_S02</t>
  </si>
  <si>
    <t>BR-C2_S03</t>
  </si>
  <si>
    <t>BR-C2_S04</t>
  </si>
  <si>
    <t>C2_L01</t>
  </si>
  <si>
    <t>C_03</t>
  </si>
  <si>
    <t>C3_01</t>
  </si>
  <si>
    <t>C3_L01</t>
  </si>
  <si>
    <t>C3_L02</t>
  </si>
  <si>
    <t>C3_L03</t>
  </si>
  <si>
    <t>C3_L04</t>
  </si>
  <si>
    <t>C3_L05</t>
  </si>
  <si>
    <t>C3_L06</t>
  </si>
  <si>
    <t>C3_L07</t>
  </si>
  <si>
    <t>C3_S01</t>
  </si>
  <si>
    <t>C3_S02</t>
  </si>
  <si>
    <t>C3A_01</t>
  </si>
  <si>
    <t>C3A_02</t>
  </si>
  <si>
    <t>C3A_L04</t>
  </si>
  <si>
    <t>C3A_S03</t>
  </si>
  <si>
    <t>C3A_S04</t>
  </si>
  <si>
    <t>C3B_02</t>
  </si>
  <si>
    <t>C3B_03</t>
  </si>
  <si>
    <t>C3B_04</t>
  </si>
  <si>
    <t>C3B_05</t>
  </si>
  <si>
    <t>C3B_L05</t>
  </si>
  <si>
    <t>C3B_L06</t>
  </si>
  <si>
    <t>C3B_L07</t>
  </si>
  <si>
    <t>C3B_S06</t>
  </si>
  <si>
    <t>C3B_S07</t>
  </si>
  <si>
    <t>C3B_S09</t>
  </si>
  <si>
    <t>C3B_S10</t>
  </si>
  <si>
    <t>C3B_S11</t>
  </si>
  <si>
    <t>C3B_S12</t>
  </si>
  <si>
    <t>C3B_S13</t>
  </si>
  <si>
    <t>C_04</t>
  </si>
  <si>
    <t>BR-C4_S01</t>
  </si>
  <si>
    <t>BR-C4_S02</t>
  </si>
  <si>
    <t>BR-C4_S03</t>
  </si>
  <si>
    <t>BR-C4_S04</t>
  </si>
  <si>
    <t>BR-C4_S05</t>
  </si>
  <si>
    <t>C_05</t>
  </si>
  <si>
    <t>BR-C5_S04</t>
  </si>
  <si>
    <t>BR-C5_S05</t>
  </si>
  <si>
    <t>BR-C5_S06</t>
  </si>
  <si>
    <t>C5_L01</t>
  </si>
  <si>
    <t>C5_L02</t>
  </si>
  <si>
    <t>C5_L03</t>
  </si>
  <si>
    <t>C5_L04</t>
  </si>
  <si>
    <t>C5_L05</t>
  </si>
  <si>
    <t>C5_L06</t>
  </si>
  <si>
    <t>C5_L07</t>
  </si>
  <si>
    <t>C5_L08</t>
  </si>
  <si>
    <t>C5_S01</t>
  </si>
  <si>
    <t>C5_S02</t>
  </si>
  <si>
    <t>C5_S03</t>
  </si>
  <si>
    <t>C_06</t>
  </si>
  <si>
    <t>BR-C6_L19</t>
  </si>
  <si>
    <t>BR-C6_L20</t>
  </si>
  <si>
    <t>BR-C6_L21</t>
  </si>
  <si>
    <t>BR-C6_S06</t>
  </si>
  <si>
    <t>C6_02</t>
  </si>
  <si>
    <t>C6_03</t>
  </si>
  <si>
    <t>C6_L01</t>
  </si>
  <si>
    <t>C6_L02</t>
  </si>
  <si>
    <t>C6_L03</t>
  </si>
  <si>
    <t>C6_L04</t>
  </si>
  <si>
    <t>C6_L05</t>
  </si>
  <si>
    <t>C6_L06</t>
  </si>
  <si>
    <t>C6_L07</t>
  </si>
  <si>
    <t>C6_L08</t>
  </si>
  <si>
    <t>C6_L09</t>
  </si>
  <si>
    <t>C6_L10</t>
  </si>
  <si>
    <t>C6_L11</t>
  </si>
  <si>
    <t>C6_L12</t>
  </si>
  <si>
    <t>C6_L13</t>
  </si>
  <si>
    <t>C6_L14</t>
  </si>
  <si>
    <t>C6_L15</t>
  </si>
  <si>
    <t>C6_L16</t>
  </si>
  <si>
    <t>C6_L17</t>
  </si>
  <si>
    <t>C6_L18</t>
  </si>
  <si>
    <t>C6_S04</t>
  </si>
  <si>
    <t>C6_S05</t>
  </si>
  <si>
    <t>C6B_S01</t>
  </si>
  <si>
    <t>C6C_S01</t>
  </si>
  <si>
    <t>C6C_S02</t>
  </si>
  <si>
    <t>C6C_S03</t>
  </si>
  <si>
    <t>C6C_S04</t>
  </si>
  <si>
    <t>C6C_S05</t>
  </si>
  <si>
    <t>C6D_L01</t>
  </si>
  <si>
    <t>C6D_L02</t>
  </si>
  <si>
    <t>C6D_L03</t>
  </si>
  <si>
    <t>C6D_L04</t>
  </si>
  <si>
    <t>C6D_L05</t>
  </si>
  <si>
    <t>C6D_L06</t>
  </si>
  <si>
    <t>C6D_L07</t>
  </si>
  <si>
    <t>C6D_L08</t>
  </si>
  <si>
    <t>C6D_L09</t>
  </si>
  <si>
    <t>C6D_L10</t>
  </si>
  <si>
    <t>C6D_L11</t>
  </si>
  <si>
    <t>C6D_L12</t>
  </si>
  <si>
    <t>C6D_L13</t>
  </si>
  <si>
    <t>C6D_L14</t>
  </si>
  <si>
    <t>C6D_L15</t>
  </si>
  <si>
    <t>C6D_L16</t>
  </si>
  <si>
    <t>C6D_L17</t>
  </si>
  <si>
    <t>C6D_L18</t>
  </si>
  <si>
    <t>C6D_L19</t>
  </si>
  <si>
    <t>C6D_L20</t>
  </si>
  <si>
    <t>C6D_L21</t>
  </si>
  <si>
    <t>C6D_L22</t>
  </si>
  <si>
    <t>C6D_L23</t>
  </si>
  <si>
    <t>C6D_L24</t>
  </si>
  <si>
    <t>C6D_L25</t>
  </si>
  <si>
    <t>C6D_S01</t>
  </si>
  <si>
    <t>C6D_S02</t>
  </si>
  <si>
    <t>C6D_S03</t>
  </si>
  <si>
    <t>C6D_S04</t>
  </si>
  <si>
    <t>C6D_S05</t>
  </si>
  <si>
    <t>C6D_S07</t>
  </si>
  <si>
    <t>C6D_S08</t>
  </si>
  <si>
    <t>C6D_S09</t>
  </si>
  <si>
    <t>C6D_S10</t>
  </si>
  <si>
    <t>C6D_S11</t>
  </si>
  <si>
    <t>C6D_S12</t>
  </si>
  <si>
    <t>C6D_S13</t>
  </si>
  <si>
    <t>C6D_S14</t>
  </si>
  <si>
    <t>C6D_S15</t>
  </si>
  <si>
    <t>C_10</t>
  </si>
  <si>
    <t>C10_L01</t>
  </si>
  <si>
    <t>C10_L02</t>
  </si>
  <si>
    <t>C10_S01</t>
  </si>
  <si>
    <t>C10_S02</t>
  </si>
  <si>
    <t>C10_S03</t>
  </si>
  <si>
    <t>C10_S04</t>
  </si>
  <si>
    <t>C10_S05</t>
  </si>
  <si>
    <t>C10_S06</t>
  </si>
  <si>
    <t>C10_S07</t>
  </si>
  <si>
    <t>C10_S08</t>
  </si>
  <si>
    <t>C10_S09</t>
  </si>
  <si>
    <t>C10_S10</t>
  </si>
  <si>
    <t>C10_S11</t>
  </si>
  <si>
    <t>C10B_S01</t>
  </si>
  <si>
    <t>C_12</t>
  </si>
  <si>
    <t>BR_C12_L01</t>
  </si>
  <si>
    <t>BR_C12_L02</t>
  </si>
  <si>
    <t>BR_C12_L03</t>
  </si>
  <si>
    <t>BR-C12_L04</t>
  </si>
  <si>
    <t>BR-C12_L05</t>
  </si>
  <si>
    <t>BR-C12_L06</t>
  </si>
  <si>
    <t>BR-C12_L07</t>
  </si>
  <si>
    <t>BR-C12_L08</t>
  </si>
  <si>
    <t>BR-C12_L09</t>
  </si>
  <si>
    <t>LS_01</t>
  </si>
  <si>
    <t>L1_01</t>
  </si>
  <si>
    <t>L1_02</t>
  </si>
  <si>
    <t>L1_03</t>
  </si>
  <si>
    <t>L1_04</t>
  </si>
  <si>
    <t>L1_05</t>
  </si>
  <si>
    <t>L1_06</t>
  </si>
  <si>
    <t>L1_08</t>
  </si>
  <si>
    <t>L1_10</t>
  </si>
  <si>
    <t>L1_12</t>
  </si>
  <si>
    <t>L1_13</t>
  </si>
  <si>
    <t>L1_14</t>
  </si>
  <si>
    <t>L1_15</t>
  </si>
  <si>
    <t>L1_16</t>
  </si>
  <si>
    <t>L1_17</t>
  </si>
  <si>
    <t>L1_18</t>
  </si>
  <si>
    <t>L1_19</t>
  </si>
  <si>
    <t>L1_20</t>
  </si>
  <si>
    <t>L1_21</t>
  </si>
  <si>
    <t>L1_22</t>
  </si>
  <si>
    <t>L1_23</t>
  </si>
  <si>
    <t>L1_24</t>
  </si>
  <si>
    <t>L1_25</t>
  </si>
  <si>
    <t>L1_26</t>
  </si>
  <si>
    <t>L1_27</t>
  </si>
  <si>
    <t>L1_28</t>
  </si>
  <si>
    <t>L1_29</t>
  </si>
  <si>
    <t>L1_30</t>
  </si>
  <si>
    <t>L1_31</t>
  </si>
  <si>
    <t>L1_32</t>
  </si>
  <si>
    <t>L1_33</t>
  </si>
  <si>
    <t>L1_34</t>
  </si>
  <si>
    <t>L1_35</t>
  </si>
  <si>
    <t>L1_36</t>
  </si>
  <si>
    <t>L1_37</t>
  </si>
  <si>
    <t>L1_38</t>
  </si>
  <si>
    <t>L1_39</t>
  </si>
  <si>
    <t>L1_40</t>
  </si>
  <si>
    <t>L1_41</t>
  </si>
  <si>
    <t>L1_42</t>
  </si>
  <si>
    <t>L1_43</t>
  </si>
  <si>
    <t>L1_44</t>
  </si>
  <si>
    <t>L1_45</t>
  </si>
  <si>
    <t>L1_46</t>
  </si>
  <si>
    <t>L1_47</t>
  </si>
  <si>
    <t>L1_48</t>
  </si>
  <si>
    <t>L1_49</t>
  </si>
  <si>
    <t>L1_50</t>
  </si>
  <si>
    <t>L1_51</t>
  </si>
  <si>
    <t>L1_52</t>
  </si>
  <si>
    <t>L1_53</t>
  </si>
  <si>
    <t>L1_54</t>
  </si>
  <si>
    <t>L1_55</t>
  </si>
  <si>
    <t>L1_56</t>
  </si>
  <si>
    <t>L1_57</t>
  </si>
  <si>
    <t>L1_58</t>
  </si>
  <si>
    <t>L1_59</t>
  </si>
  <si>
    <t>L1_60</t>
  </si>
  <si>
    <t>L1_61</t>
  </si>
  <si>
    <t>L1_62</t>
  </si>
  <si>
    <t>L1_63</t>
  </si>
  <si>
    <t>L1_64</t>
  </si>
  <si>
    <t>L1_65</t>
  </si>
  <si>
    <t>L1_66</t>
  </si>
  <si>
    <t>L1_67</t>
  </si>
  <si>
    <t>L1_69</t>
  </si>
  <si>
    <t>L1_70</t>
  </si>
  <si>
    <t>L1_71</t>
  </si>
  <si>
    <t>L1_72</t>
  </si>
  <si>
    <t>L1_73</t>
  </si>
  <si>
    <t>L1_74</t>
  </si>
  <si>
    <t>L1_75</t>
  </si>
  <si>
    <t>L1_76</t>
  </si>
  <si>
    <t>L1_S01</t>
  </si>
  <si>
    <t>L1_S02</t>
  </si>
  <si>
    <t>L1_S03</t>
  </si>
  <si>
    <t>L1_S04</t>
  </si>
  <si>
    <t>L1_S05</t>
  </si>
  <si>
    <t>L1_S06</t>
  </si>
  <si>
    <t>L1_S07</t>
  </si>
  <si>
    <t>L1_S08</t>
  </si>
  <si>
    <t>L1_S09</t>
  </si>
  <si>
    <t>L1_S10</t>
  </si>
  <si>
    <t>L1_S11</t>
  </si>
  <si>
    <t>L1_S12</t>
  </si>
  <si>
    <t>L1_S13</t>
  </si>
  <si>
    <t>L1_S14</t>
  </si>
  <si>
    <t>L1_S15</t>
  </si>
  <si>
    <t>L1_S16</t>
  </si>
  <si>
    <t>L1_S17</t>
  </si>
  <si>
    <t>L1_S18</t>
  </si>
  <si>
    <t>L1_S19</t>
  </si>
  <si>
    <t>L1_S20</t>
  </si>
  <si>
    <t>L1_S21</t>
  </si>
  <si>
    <t>L1_S22</t>
  </si>
  <si>
    <t>L1_S23</t>
  </si>
  <si>
    <t>L1_S24</t>
  </si>
  <si>
    <t>L1_S25</t>
  </si>
  <si>
    <t>L1_S26</t>
  </si>
  <si>
    <t>L1_S27</t>
  </si>
  <si>
    <t>L1_S28</t>
  </si>
  <si>
    <t>L1_S29</t>
  </si>
  <si>
    <t>L1_S30</t>
  </si>
  <si>
    <t>L1_S31</t>
  </si>
  <si>
    <t>L1_S32</t>
  </si>
  <si>
    <t>L1_S33</t>
  </si>
  <si>
    <t>L1_S34</t>
  </si>
  <si>
    <t>L1_S35</t>
  </si>
  <si>
    <t>L1_S36</t>
  </si>
  <si>
    <t>L1_S37</t>
  </si>
  <si>
    <t>L1_S38</t>
  </si>
  <si>
    <t>LS_02</t>
  </si>
  <si>
    <t>L2_01</t>
  </si>
  <si>
    <t>L2_02</t>
  </si>
  <si>
    <t>L2_03</t>
  </si>
  <si>
    <t>L2_04</t>
  </si>
  <si>
    <t>L2_05</t>
  </si>
  <si>
    <t>L2_06</t>
  </si>
  <si>
    <t>L2_07</t>
  </si>
  <si>
    <t>L2_09</t>
  </si>
  <si>
    <t>L2_10</t>
  </si>
  <si>
    <t>L2_11</t>
  </si>
  <si>
    <t>L2_12</t>
  </si>
  <si>
    <t>L2_13</t>
  </si>
  <si>
    <t>L2_14</t>
  </si>
  <si>
    <t>L2_15</t>
  </si>
  <si>
    <t>L2_16</t>
  </si>
  <si>
    <t>L2_17</t>
  </si>
  <si>
    <t>L2_18</t>
  </si>
  <si>
    <t>L2_19</t>
  </si>
  <si>
    <t>L2_20</t>
  </si>
  <si>
    <t>L2_21</t>
  </si>
  <si>
    <t>L2_22</t>
  </si>
  <si>
    <t>L2_23</t>
  </si>
  <si>
    <t>L2_24</t>
  </si>
  <si>
    <t>L2_25</t>
  </si>
  <si>
    <t>L2_26</t>
  </si>
  <si>
    <t>L2_27</t>
  </si>
  <si>
    <t>L2_28</t>
  </si>
  <si>
    <t>L2_29</t>
  </si>
  <si>
    <t>L2_30</t>
  </si>
  <si>
    <t>L2_31</t>
  </si>
  <si>
    <t>L2_32</t>
  </si>
  <si>
    <t>L2_33</t>
  </si>
  <si>
    <t>L2_34</t>
  </si>
  <si>
    <t>L2_35</t>
  </si>
  <si>
    <t>L2_36</t>
  </si>
  <si>
    <t>L2_37</t>
  </si>
  <si>
    <t>L2_38</t>
  </si>
  <si>
    <t>L2_S01</t>
  </si>
  <si>
    <t>L2_S02</t>
  </si>
  <si>
    <t>L2_S03</t>
  </si>
  <si>
    <t>L2_S04</t>
  </si>
  <si>
    <t>L2_S05</t>
  </si>
  <si>
    <t>L2_S06</t>
  </si>
  <si>
    <t>L2_S07</t>
  </si>
  <si>
    <t>L2_S08</t>
  </si>
  <si>
    <t>L2_S09</t>
  </si>
  <si>
    <t>LS_03</t>
  </si>
  <si>
    <t>L3_01</t>
  </si>
  <si>
    <t>L3_01B</t>
  </si>
  <si>
    <t>L3_02</t>
  </si>
  <si>
    <t>L3_03</t>
  </si>
  <si>
    <t>L3_04</t>
  </si>
  <si>
    <t>L3_05</t>
  </si>
  <si>
    <t>L3_06</t>
  </si>
  <si>
    <t>L3_07</t>
  </si>
  <si>
    <t>L3_08</t>
  </si>
  <si>
    <t>L3_09</t>
  </si>
  <si>
    <t>L3_10</t>
  </si>
  <si>
    <t>L3_11</t>
  </si>
  <si>
    <t>L3_12</t>
  </si>
  <si>
    <t>L3_13</t>
  </si>
  <si>
    <t>L3_14</t>
  </si>
  <si>
    <t>L3_15</t>
  </si>
  <si>
    <t>L3_S01</t>
  </si>
  <si>
    <t>L3_S02</t>
  </si>
  <si>
    <t>L3_S03</t>
  </si>
  <si>
    <t>L3_S04</t>
  </si>
  <si>
    <t>L3_S05</t>
  </si>
  <si>
    <t>L3_S06</t>
  </si>
  <si>
    <t>LS_04</t>
  </si>
  <si>
    <t>L4_01</t>
  </si>
  <si>
    <t>L4_02</t>
  </si>
  <si>
    <t>L4_04</t>
  </si>
  <si>
    <t>LS_05</t>
  </si>
  <si>
    <t>L5_01</t>
  </si>
  <si>
    <t>LS_07</t>
  </si>
  <si>
    <t>L7_01</t>
  </si>
  <si>
    <t>L7_02</t>
  </si>
  <si>
    <t>L7_03</t>
  </si>
  <si>
    <t>L7_04</t>
  </si>
  <si>
    <t>L7_05</t>
  </si>
  <si>
    <t>L7_S01</t>
  </si>
  <si>
    <t>L7_S02</t>
  </si>
  <si>
    <t>L7_S03</t>
  </si>
  <si>
    <t>L7_S04</t>
  </si>
  <si>
    <t>LS_08</t>
  </si>
  <si>
    <t>L8_01</t>
  </si>
  <si>
    <t>L8_02</t>
  </si>
  <si>
    <t>L8_03</t>
  </si>
  <si>
    <t>L8_04</t>
  </si>
  <si>
    <t>L8_05</t>
  </si>
  <si>
    <t>L8_06</t>
  </si>
  <si>
    <t>L8_07</t>
  </si>
  <si>
    <t>L8_08</t>
  </si>
  <si>
    <t>L8_09</t>
  </si>
  <si>
    <t>L8_10</t>
  </si>
  <si>
    <t>L8_11</t>
  </si>
  <si>
    <t>L8_12</t>
  </si>
  <si>
    <t>L8_13</t>
  </si>
  <si>
    <t>L8_14</t>
  </si>
  <si>
    <t>L8_15</t>
  </si>
  <si>
    <t>L8_16</t>
  </si>
  <si>
    <t>L8_S01</t>
  </si>
  <si>
    <t>L8_S02</t>
  </si>
  <si>
    <t>L8_S03</t>
  </si>
  <si>
    <t>L8_S04</t>
  </si>
  <si>
    <t>L8_S05</t>
  </si>
  <si>
    <t>L8_S06</t>
  </si>
  <si>
    <t>L8_S07</t>
  </si>
  <si>
    <t>LS_09</t>
  </si>
  <si>
    <t>L9_01</t>
  </si>
  <si>
    <t>L9_02</t>
  </si>
  <si>
    <t>L9_04</t>
  </si>
  <si>
    <t>L9_05</t>
  </si>
  <si>
    <t>L9_06</t>
  </si>
  <si>
    <t>L9_07</t>
  </si>
  <si>
    <t>L9_08</t>
  </si>
  <si>
    <t>L9_09</t>
  </si>
  <si>
    <t>L9_10</t>
  </si>
  <si>
    <t>L9_11</t>
  </si>
  <si>
    <t>L9_12</t>
  </si>
  <si>
    <t>L9_13</t>
  </si>
  <si>
    <t>L9_14</t>
  </si>
  <si>
    <t>L9_15</t>
  </si>
  <si>
    <t>L9_16</t>
  </si>
  <si>
    <t>L9_17</t>
  </si>
  <si>
    <t>L9_18</t>
  </si>
  <si>
    <t>L9_19</t>
  </si>
  <si>
    <t>L9_20</t>
  </si>
  <si>
    <t>L9_21</t>
  </si>
  <si>
    <t>L9_22</t>
  </si>
  <si>
    <t>L9_23</t>
  </si>
  <si>
    <t>L9_24</t>
  </si>
  <si>
    <t>L9_S01</t>
  </si>
  <si>
    <t>L9_S02</t>
  </si>
  <si>
    <t>L9_S03</t>
  </si>
  <si>
    <t>L9_S04</t>
  </si>
  <si>
    <t>LS_12</t>
  </si>
  <si>
    <t>L12_01</t>
  </si>
  <si>
    <t>LS_14</t>
  </si>
  <si>
    <t>L14_01</t>
  </si>
  <si>
    <t>L14_02</t>
  </si>
  <si>
    <t>L14_S01</t>
  </si>
  <si>
    <t>L14_S02</t>
  </si>
  <si>
    <t>L14_S03</t>
  </si>
  <si>
    <t>LS_15</t>
  </si>
  <si>
    <t>L15_01</t>
  </si>
  <si>
    <t>L15_02</t>
  </si>
  <si>
    <t>L15_03</t>
  </si>
  <si>
    <t>L15_04</t>
  </si>
  <si>
    <t>L15_05</t>
  </si>
  <si>
    <t>L15_06</t>
  </si>
  <si>
    <t>L15_07</t>
  </si>
  <si>
    <t>LS_16</t>
  </si>
  <si>
    <t>L16_01</t>
  </si>
  <si>
    <t>L16_02</t>
  </si>
  <si>
    <t>LS_18</t>
  </si>
  <si>
    <t>L18_01</t>
  </si>
  <si>
    <t>L18_03</t>
  </si>
  <si>
    <t>L18_04</t>
  </si>
  <si>
    <t>L18_05</t>
  </si>
  <si>
    <t>L18_06</t>
  </si>
  <si>
    <t>L18_07</t>
  </si>
  <si>
    <t>L18_08</t>
  </si>
  <si>
    <t>L18_09</t>
  </si>
  <si>
    <t>L18_10</t>
  </si>
  <si>
    <t>L18_11</t>
  </si>
  <si>
    <t>L18_S01</t>
  </si>
  <si>
    <t>L18_S02</t>
  </si>
  <si>
    <t>L18_S03</t>
  </si>
  <si>
    <t>L18_S04</t>
  </si>
  <si>
    <t>L18_S05</t>
  </si>
  <si>
    <t>L18_S06</t>
  </si>
  <si>
    <t>L18_S07</t>
  </si>
  <si>
    <t>LS_21</t>
  </si>
  <si>
    <t>L21_01</t>
  </si>
  <si>
    <t>S1_04</t>
  </si>
  <si>
    <t>S1_04_02</t>
  </si>
  <si>
    <t>S1_36</t>
  </si>
  <si>
    <t>S1_38</t>
  </si>
  <si>
    <t>S1_39</t>
  </si>
  <si>
    <t>S1_41</t>
  </si>
  <si>
    <t>S1_A</t>
  </si>
  <si>
    <t>S1_B</t>
  </si>
  <si>
    <t>S1_C</t>
  </si>
  <si>
    <t>S1_D</t>
  </si>
  <si>
    <t>S1_E</t>
  </si>
  <si>
    <t>S1_F</t>
  </si>
  <si>
    <t>S1_F2A</t>
  </si>
  <si>
    <t>S1_G</t>
  </si>
  <si>
    <t>S1_H</t>
  </si>
  <si>
    <t>S1A_02</t>
  </si>
  <si>
    <t>S1A_03</t>
  </si>
  <si>
    <t>S1A_04</t>
  </si>
  <si>
    <t>S1A_05</t>
  </si>
  <si>
    <t>S1A_06</t>
  </si>
  <si>
    <t>S1A_07</t>
  </si>
  <si>
    <t>S1A_L01</t>
  </si>
  <si>
    <t>S1B_02A</t>
  </si>
  <si>
    <t>S1B_03</t>
  </si>
  <si>
    <t>S1B_04</t>
  </si>
  <si>
    <t>S1B_05</t>
  </si>
  <si>
    <t>S1B_06</t>
  </si>
  <si>
    <t>S1C_02A</t>
  </si>
  <si>
    <t>S1C_02B</t>
  </si>
  <si>
    <t>S1D_02</t>
  </si>
  <si>
    <t>S1D_03</t>
  </si>
  <si>
    <t>S1E_02</t>
  </si>
  <si>
    <t>S1E_03</t>
  </si>
  <si>
    <t>S1E_04</t>
  </si>
  <si>
    <t>S1E_L01</t>
  </si>
  <si>
    <t>S1E_L02</t>
  </si>
  <si>
    <t>S1F_02</t>
  </si>
  <si>
    <t>S1G_02</t>
  </si>
  <si>
    <t>S1G_03</t>
  </si>
  <si>
    <t>S1G_L01</t>
  </si>
  <si>
    <t>S1G_L02</t>
  </si>
  <si>
    <t>S1H_02</t>
  </si>
  <si>
    <t>S1H_03</t>
  </si>
  <si>
    <t>S1J_01</t>
  </si>
  <si>
    <t>S1J_02</t>
  </si>
  <si>
    <t>S1J_03</t>
  </si>
  <si>
    <t>S1K_01</t>
  </si>
  <si>
    <t>S1K_02</t>
  </si>
  <si>
    <t>S1K_03</t>
  </si>
  <si>
    <t>S1K_04</t>
  </si>
  <si>
    <t>S1K_L01</t>
  </si>
  <si>
    <t>S1L_01</t>
  </si>
  <si>
    <t>S1M_01</t>
  </si>
  <si>
    <t>SS_02</t>
  </si>
  <si>
    <t>S2_01</t>
  </si>
  <si>
    <t>S2_02</t>
  </si>
  <si>
    <t>S2_03</t>
  </si>
  <si>
    <t>S2_04</t>
  </si>
  <si>
    <t>S2_05</t>
  </si>
  <si>
    <t>S2_06</t>
  </si>
  <si>
    <t>S2_13</t>
  </si>
  <si>
    <t>S2_15</t>
  </si>
  <si>
    <t>S2_16</t>
  </si>
  <si>
    <t>S2_17</t>
  </si>
  <si>
    <t>S2_18</t>
  </si>
  <si>
    <t>SS_03</t>
  </si>
  <si>
    <t>S3_01</t>
  </si>
  <si>
    <t>S3_01_03</t>
  </si>
  <si>
    <t>S3_01A_02</t>
  </si>
  <si>
    <t>S3_01B_02</t>
  </si>
  <si>
    <t>S3_02</t>
  </si>
  <si>
    <t>S3_02_02</t>
  </si>
  <si>
    <t>S3_03</t>
  </si>
  <si>
    <t>S3_04</t>
  </si>
  <si>
    <t>S3_05</t>
  </si>
  <si>
    <t>S3_06</t>
  </si>
  <si>
    <t>S3_07</t>
  </si>
  <si>
    <t>S3_07_02</t>
  </si>
  <si>
    <t>S3_08</t>
  </si>
  <si>
    <t>S3_09</t>
  </si>
  <si>
    <t>S3_10</t>
  </si>
  <si>
    <t>S3_100</t>
  </si>
  <si>
    <t>S3_101</t>
  </si>
  <si>
    <t>S3_102</t>
  </si>
  <si>
    <t>S3_103</t>
  </si>
  <si>
    <t>S3_104</t>
  </si>
  <si>
    <t>S3_105</t>
  </si>
  <si>
    <t>S3_106</t>
  </si>
  <si>
    <t>S3_107</t>
  </si>
  <si>
    <t>S3_108</t>
  </si>
  <si>
    <t>S3_109</t>
  </si>
  <si>
    <t>S3_11</t>
  </si>
  <si>
    <t>S3_110</t>
  </si>
  <si>
    <t>S3_111</t>
  </si>
  <si>
    <t>S3_112</t>
  </si>
  <si>
    <t>S3_113</t>
  </si>
  <si>
    <t>S3_12</t>
  </si>
  <si>
    <t>S3_13</t>
  </si>
  <si>
    <t>S3_14</t>
  </si>
  <si>
    <t>S3_15</t>
  </si>
  <si>
    <t>S3_16</t>
  </si>
  <si>
    <t>S3_17</t>
  </si>
  <si>
    <t>S3_18</t>
  </si>
  <si>
    <t>S3_19</t>
  </si>
  <si>
    <t>S3_20</t>
  </si>
  <si>
    <t>S3_21</t>
  </si>
  <si>
    <t>S3_22</t>
  </si>
  <si>
    <t>S3_23</t>
  </si>
  <si>
    <t>S3_24</t>
  </si>
  <si>
    <t>S3_25</t>
  </si>
  <si>
    <t>S3_26</t>
  </si>
  <si>
    <t>S3_27</t>
  </si>
  <si>
    <t>S3_28</t>
  </si>
  <si>
    <t>S3_29</t>
  </si>
  <si>
    <t>S3_30</t>
  </si>
  <si>
    <t>S3_31</t>
  </si>
  <si>
    <t>S3_32</t>
  </si>
  <si>
    <t>S3_33</t>
  </si>
  <si>
    <t>S3_34</t>
  </si>
  <si>
    <t>S3_35</t>
  </si>
  <si>
    <t>S3_36</t>
  </si>
  <si>
    <t>S3_37</t>
  </si>
  <si>
    <t>S3_38</t>
  </si>
  <si>
    <t>S3_39</t>
  </si>
  <si>
    <t>S3_40</t>
  </si>
  <si>
    <t>S3_41</t>
  </si>
  <si>
    <t>S3_42</t>
  </si>
  <si>
    <t>S3_43</t>
  </si>
  <si>
    <t>S3_44</t>
  </si>
  <si>
    <t>S3_45</t>
  </si>
  <si>
    <t>S3_46</t>
  </si>
  <si>
    <t>S3_47</t>
  </si>
  <si>
    <t>S3_48</t>
  </si>
  <si>
    <t>S3_49</t>
  </si>
  <si>
    <t>S3_50</t>
  </si>
  <si>
    <t>S3_51</t>
  </si>
  <si>
    <t>S3_52</t>
  </si>
  <si>
    <t>S3_53</t>
  </si>
  <si>
    <t>S3_54</t>
  </si>
  <si>
    <t>S3_55</t>
  </si>
  <si>
    <t>S3_56</t>
  </si>
  <si>
    <t>S3_57</t>
  </si>
  <si>
    <t>S3_58</t>
  </si>
  <si>
    <t>S3_59</t>
  </si>
  <si>
    <t>S3_60</t>
  </si>
  <si>
    <t>S3_61</t>
  </si>
  <si>
    <t>S3_62</t>
  </si>
  <si>
    <t>S3_63</t>
  </si>
  <si>
    <t>S3_64</t>
  </si>
  <si>
    <t>S3_65</t>
  </si>
  <si>
    <t>S3_66</t>
  </si>
  <si>
    <t>S3_67</t>
  </si>
  <si>
    <t>S3_68</t>
  </si>
  <si>
    <t>S3_69</t>
  </si>
  <si>
    <t>S3_70</t>
  </si>
  <si>
    <t>S3_71</t>
  </si>
  <si>
    <t>S3_72</t>
  </si>
  <si>
    <t>S3_73</t>
  </si>
  <si>
    <t>S3_74</t>
  </si>
  <si>
    <t>S3_75</t>
  </si>
  <si>
    <t>S3_76</t>
  </si>
  <si>
    <t>S3_77</t>
  </si>
  <si>
    <t>S3_78</t>
  </si>
  <si>
    <t>S3_79</t>
  </si>
  <si>
    <t>S3_80</t>
  </si>
  <si>
    <t>S3_81</t>
  </si>
  <si>
    <t>S3_82</t>
  </si>
  <si>
    <t>S3_83</t>
  </si>
  <si>
    <t>S3_84</t>
  </si>
  <si>
    <t>S3_85</t>
  </si>
  <si>
    <t>S3_86</t>
  </si>
  <si>
    <t>S3_87</t>
  </si>
  <si>
    <t>S3_88</t>
  </si>
  <si>
    <t>S3_89</t>
  </si>
  <si>
    <t>S3_90</t>
  </si>
  <si>
    <t>S3_91</t>
  </si>
  <si>
    <t>S3_92</t>
  </si>
  <si>
    <t>S3_93</t>
  </si>
  <si>
    <t>S3_94</t>
  </si>
  <si>
    <t>S3_95</t>
  </si>
  <si>
    <t>S3_96</t>
  </si>
  <si>
    <t>S3_97</t>
  </si>
  <si>
    <t>S3_98</t>
  </si>
  <si>
    <t>S3_99</t>
  </si>
  <si>
    <t>S3_L01</t>
  </si>
  <si>
    <t>S3_L02</t>
  </si>
  <si>
    <t>S3_L03</t>
  </si>
  <si>
    <t>S3_L04</t>
  </si>
  <si>
    <t>S3_L05</t>
  </si>
  <si>
    <t>S3_L06</t>
  </si>
  <si>
    <t>S3_L07</t>
  </si>
  <si>
    <t>S3_L08</t>
  </si>
  <si>
    <t>S3_L09</t>
  </si>
  <si>
    <t>S3_L10</t>
  </si>
  <si>
    <t>S3_L11</t>
  </si>
  <si>
    <t>SS_04</t>
  </si>
  <si>
    <t>S4_01</t>
  </si>
  <si>
    <t>S4_04</t>
  </si>
  <si>
    <t>S4_04_02A</t>
  </si>
  <si>
    <t>S4_05</t>
  </si>
  <si>
    <t>S4_06</t>
  </si>
  <si>
    <t>S4_07</t>
  </si>
  <si>
    <t>S4_08</t>
  </si>
  <si>
    <t>S4_09</t>
  </si>
  <si>
    <t>S4_10</t>
  </si>
  <si>
    <t>S4_11</t>
  </si>
  <si>
    <t>S4_12</t>
  </si>
  <si>
    <t>S4_13</t>
  </si>
  <si>
    <t>S4_14</t>
  </si>
  <si>
    <t>S4_15</t>
  </si>
  <si>
    <t>S4_16</t>
  </si>
  <si>
    <t>S4_17</t>
  </si>
  <si>
    <t>S4_18</t>
  </si>
  <si>
    <t>S4_19</t>
  </si>
  <si>
    <t>S4_20</t>
  </si>
  <si>
    <t>S4_21</t>
  </si>
  <si>
    <t>S4_22</t>
  </si>
  <si>
    <t>S4_23</t>
  </si>
  <si>
    <t>S4_24</t>
  </si>
  <si>
    <t>S4_25</t>
  </si>
  <si>
    <t>S4_26</t>
  </si>
  <si>
    <t>S4_27</t>
  </si>
  <si>
    <t>S4_28</t>
  </si>
  <si>
    <t>S4_29</t>
  </si>
  <si>
    <t>S4_30</t>
  </si>
  <si>
    <t>S4_31</t>
  </si>
  <si>
    <t>S4_32</t>
  </si>
  <si>
    <t>S4_33</t>
  </si>
  <si>
    <t>S4_34</t>
  </si>
  <si>
    <t>S4_35</t>
  </si>
  <si>
    <t>S4_37</t>
  </si>
  <si>
    <t>S4_38</t>
  </si>
  <si>
    <t>S4_39</t>
  </si>
  <si>
    <t>S4_40</t>
  </si>
  <si>
    <t>S4_41</t>
  </si>
  <si>
    <t>S4_42</t>
  </si>
  <si>
    <t>S4_43</t>
  </si>
  <si>
    <t>S4_44</t>
  </si>
  <si>
    <t>S4_45</t>
  </si>
  <si>
    <t>S4_46</t>
  </si>
  <si>
    <t>S4_47</t>
  </si>
  <si>
    <t>S4_48</t>
  </si>
  <si>
    <t>S4_49</t>
  </si>
  <si>
    <t>S4_50</t>
  </si>
  <si>
    <t>S4_51</t>
  </si>
  <si>
    <t>S4_52</t>
  </si>
  <si>
    <t>S4_53</t>
  </si>
  <si>
    <t>S4_54</t>
  </si>
  <si>
    <t>S4_55</t>
  </si>
  <si>
    <t>S4_56</t>
  </si>
  <si>
    <t>S4_57</t>
  </si>
  <si>
    <t>S4_58</t>
  </si>
  <si>
    <t>S4_59</t>
  </si>
  <si>
    <t>S4_60</t>
  </si>
  <si>
    <t>S4_61</t>
  </si>
  <si>
    <t>S4_62</t>
  </si>
  <si>
    <t>S4_63</t>
  </si>
  <si>
    <t>S4_64</t>
  </si>
  <si>
    <t>S4_65</t>
  </si>
  <si>
    <t>S4_66</t>
  </si>
  <si>
    <t>S4_67</t>
  </si>
  <si>
    <t>S4_L01</t>
  </si>
  <si>
    <t>S4_L02</t>
  </si>
  <si>
    <t>S4_L03</t>
  </si>
  <si>
    <t>S4_L04</t>
  </si>
  <si>
    <t>S4_L05</t>
  </si>
  <si>
    <t>S4_L06</t>
  </si>
  <si>
    <t>S4_L07</t>
  </si>
  <si>
    <t>S4_L08</t>
  </si>
  <si>
    <t>S4_L09</t>
  </si>
  <si>
    <t>S4_L10</t>
  </si>
  <si>
    <t>S4_L11</t>
  </si>
  <si>
    <t>S4_L12</t>
  </si>
  <si>
    <t>S4_L13</t>
  </si>
  <si>
    <t>S4_L14</t>
  </si>
  <si>
    <t>S4_L15</t>
  </si>
  <si>
    <t>S4_L16</t>
  </si>
  <si>
    <t>S4_L17</t>
  </si>
  <si>
    <t>S4_L18</t>
  </si>
  <si>
    <t>S4_L19</t>
  </si>
  <si>
    <t>S4_L20</t>
  </si>
  <si>
    <t>S4_L21</t>
  </si>
  <si>
    <t>S4_L22</t>
  </si>
  <si>
    <t>SS_05</t>
  </si>
  <si>
    <t>S5_01</t>
  </si>
  <si>
    <t>S5_06</t>
  </si>
  <si>
    <t>S5_06_02A</t>
  </si>
  <si>
    <t>S5_07</t>
  </si>
  <si>
    <t>S5_12_02</t>
  </si>
  <si>
    <t>S5_13</t>
  </si>
  <si>
    <t>S5_14</t>
  </si>
  <si>
    <t>S5_15</t>
  </si>
  <si>
    <t>S5_16</t>
  </si>
  <si>
    <t>S5_17</t>
  </si>
  <si>
    <t>S5_18</t>
  </si>
  <si>
    <t>S5_19</t>
  </si>
  <si>
    <t>S5_20</t>
  </si>
  <si>
    <t>S5_21</t>
  </si>
  <si>
    <t>S5_22</t>
  </si>
  <si>
    <t>S5_23</t>
  </si>
  <si>
    <t>S5_24</t>
  </si>
  <si>
    <t>S5_25</t>
  </si>
  <si>
    <t>S5_26</t>
  </si>
  <si>
    <t>S5_27</t>
  </si>
  <si>
    <t>S5_28</t>
  </si>
  <si>
    <t>S5_29</t>
  </si>
  <si>
    <t>S5_30</t>
  </si>
  <si>
    <t>S5_31</t>
  </si>
  <si>
    <t>S5_32</t>
  </si>
  <si>
    <t>S5_33</t>
  </si>
  <si>
    <t>S5_34</t>
  </si>
  <si>
    <t>S5_35</t>
  </si>
  <si>
    <t>S5_36</t>
  </si>
  <si>
    <t>S5_37</t>
  </si>
  <si>
    <t>S5_38</t>
  </si>
  <si>
    <t>S5_39</t>
  </si>
  <si>
    <t>S5_40</t>
  </si>
  <si>
    <t>S5_41</t>
  </si>
  <si>
    <t>S5_42</t>
  </si>
  <si>
    <t>S5_43</t>
  </si>
  <si>
    <t>S5_44</t>
  </si>
  <si>
    <t>S5_45</t>
  </si>
  <si>
    <t>S5_46</t>
  </si>
  <si>
    <t>S5_47</t>
  </si>
  <si>
    <t>S5_48</t>
  </si>
  <si>
    <t>S5_49</t>
  </si>
  <si>
    <t>S5_50</t>
  </si>
  <si>
    <t>S5_51</t>
  </si>
  <si>
    <t>S5_52</t>
  </si>
  <si>
    <t>S5_53</t>
  </si>
  <si>
    <t>S5_54</t>
  </si>
  <si>
    <t>S5_55</t>
  </si>
  <si>
    <t>S5_56</t>
  </si>
  <si>
    <t>S5_57</t>
  </si>
  <si>
    <t>S5_58</t>
  </si>
  <si>
    <t>S5_59</t>
  </si>
  <si>
    <t>S5_60</t>
  </si>
  <si>
    <t>S5_61</t>
  </si>
  <si>
    <t>S5_62</t>
  </si>
  <si>
    <t>S5_63</t>
  </si>
  <si>
    <t>S5_64</t>
  </si>
  <si>
    <t>S5_65</t>
  </si>
  <si>
    <t>S5_66</t>
  </si>
  <si>
    <t>S5_67</t>
  </si>
  <si>
    <t>S5_68</t>
  </si>
  <si>
    <t>S5_69</t>
  </si>
  <si>
    <t>S5_70</t>
  </si>
  <si>
    <t>S5_71</t>
  </si>
  <si>
    <t>S5_72</t>
  </si>
  <si>
    <t>S5_73</t>
  </si>
  <si>
    <t>S5_74</t>
  </si>
  <si>
    <t>S5_75</t>
  </si>
  <si>
    <t>S5_76</t>
  </si>
  <si>
    <t>S5_77</t>
  </si>
  <si>
    <t>S5_79</t>
  </si>
  <si>
    <t>S5_80</t>
  </si>
  <si>
    <t>S5_81</t>
  </si>
  <si>
    <t>S5_82</t>
  </si>
  <si>
    <t>S5_83</t>
  </si>
  <si>
    <t>S5_84</t>
  </si>
  <si>
    <t>S5_85</t>
  </si>
  <si>
    <t>S5_86</t>
  </si>
  <si>
    <t>S5_87</t>
  </si>
  <si>
    <t>S5_88</t>
  </si>
  <si>
    <t>S5_89</t>
  </si>
  <si>
    <t>S5_90</t>
  </si>
  <si>
    <t>S5_91</t>
  </si>
  <si>
    <t>S5_92</t>
  </si>
  <si>
    <t>S5_L01</t>
  </si>
  <si>
    <t>S5_L02</t>
  </si>
  <si>
    <t>S5_L03</t>
  </si>
  <si>
    <t>S5_L04</t>
  </si>
  <si>
    <t>S5_L05</t>
  </si>
  <si>
    <t>S5_L06</t>
  </si>
  <si>
    <t>S5_L07</t>
  </si>
  <si>
    <t>S5_L08</t>
  </si>
  <si>
    <t>SS_07</t>
  </si>
  <si>
    <t>S7_01</t>
  </si>
  <si>
    <t>S7_02</t>
  </si>
  <si>
    <t>S7_03</t>
  </si>
  <si>
    <t>S7_04</t>
  </si>
  <si>
    <t>S7_05</t>
  </si>
  <si>
    <t>S7_06</t>
  </si>
  <si>
    <t>S7_07</t>
  </si>
  <si>
    <t>S7_08</t>
  </si>
  <si>
    <t>S7_09</t>
  </si>
  <si>
    <t>S7_10</t>
  </si>
  <si>
    <t>S7_11</t>
  </si>
  <si>
    <t>S7_12</t>
  </si>
  <si>
    <t>S7_13</t>
  </si>
  <si>
    <t>S7_14</t>
  </si>
  <si>
    <t>S7_15</t>
  </si>
  <si>
    <t>S7_16</t>
  </si>
  <si>
    <t>S7_17</t>
  </si>
  <si>
    <t>S7_18</t>
  </si>
  <si>
    <t>S7_19</t>
  </si>
  <si>
    <t>S7_20</t>
  </si>
  <si>
    <t>S7_21</t>
  </si>
  <si>
    <t>S7_22</t>
  </si>
  <si>
    <t>S7_23</t>
  </si>
  <si>
    <t>S7_24</t>
  </si>
  <si>
    <t>S7_25</t>
  </si>
  <si>
    <t>S7_26</t>
  </si>
  <si>
    <t>S7_27</t>
  </si>
  <si>
    <t>S7_28</t>
  </si>
  <si>
    <t>S7_29</t>
  </si>
  <si>
    <t>S7_30</t>
  </si>
  <si>
    <t>S7_31</t>
  </si>
  <si>
    <t>S7_32</t>
  </si>
  <si>
    <t>S7_33</t>
  </si>
  <si>
    <t>S7_34</t>
  </si>
  <si>
    <t>S7_35</t>
  </si>
  <si>
    <t>S7_36</t>
  </si>
  <si>
    <t>S7_37</t>
  </si>
  <si>
    <t>S7_38</t>
  </si>
  <si>
    <t>SS_08</t>
  </si>
  <si>
    <t>S8_05</t>
  </si>
  <si>
    <t>S8_06</t>
  </si>
  <si>
    <t>S8_07</t>
  </si>
  <si>
    <t>S8_08</t>
  </si>
  <si>
    <t>S8_L01</t>
  </si>
  <si>
    <t>S8_L02</t>
  </si>
  <si>
    <t>S8_L03</t>
  </si>
  <si>
    <t>S8_L04</t>
  </si>
  <si>
    <t>S8_L05</t>
  </si>
  <si>
    <t>S8_L06</t>
  </si>
  <si>
    <t>S8_L07</t>
  </si>
  <si>
    <t>S8_L08</t>
  </si>
  <si>
    <t>S8_L09</t>
  </si>
  <si>
    <t>S8_L10</t>
  </si>
  <si>
    <t>S8_L11</t>
  </si>
  <si>
    <t>S8_L12</t>
  </si>
  <si>
    <t>S8_L13</t>
  </si>
  <si>
    <t>S8_L14</t>
  </si>
  <si>
    <t>S8_L15</t>
  </si>
  <si>
    <t>S8_L16</t>
  </si>
  <si>
    <t>S8_L17</t>
  </si>
  <si>
    <t>S8_L18</t>
  </si>
  <si>
    <t>S8_L19</t>
  </si>
  <si>
    <t>S8_L20</t>
  </si>
  <si>
    <t>S8_L21</t>
  </si>
  <si>
    <t>S8_L22</t>
  </si>
  <si>
    <t>S8_L23</t>
  </si>
  <si>
    <t>S8_L24</t>
  </si>
  <si>
    <t>S8A_01</t>
  </si>
  <si>
    <t>S8A_02</t>
  </si>
  <si>
    <t>S8A_03</t>
  </si>
  <si>
    <t>S8A_04</t>
  </si>
  <si>
    <t>S8B_01</t>
  </si>
  <si>
    <t>S8B_05</t>
  </si>
  <si>
    <t>S8B_06</t>
  </si>
  <si>
    <t>S8B_07</t>
  </si>
  <si>
    <t>S8B_08</t>
  </si>
  <si>
    <t>S8B_09</t>
  </si>
  <si>
    <t>S8B_10</t>
  </si>
  <si>
    <t>S8B_11</t>
  </si>
  <si>
    <t>S8B_12</t>
  </si>
  <si>
    <t>S8B_13</t>
  </si>
  <si>
    <t>S8B_14</t>
  </si>
  <si>
    <t>S8B_15</t>
  </si>
  <si>
    <t>S8B_L01</t>
  </si>
  <si>
    <t>S8B_L02</t>
  </si>
  <si>
    <t>S8B_L03</t>
  </si>
  <si>
    <t>S8B_L04</t>
  </si>
  <si>
    <t>S8C_01</t>
  </si>
  <si>
    <t>S8C_02</t>
  </si>
  <si>
    <t>S8C_03</t>
  </si>
  <si>
    <t>S8C_04</t>
  </si>
  <si>
    <t>S8C_05</t>
  </si>
  <si>
    <t>S8C_06</t>
  </si>
  <si>
    <t>S8C_07</t>
  </si>
  <si>
    <t>S8C_08</t>
  </si>
  <si>
    <t>S8C_09</t>
  </si>
  <si>
    <t>S8C_10</t>
  </si>
  <si>
    <t>S8D_01</t>
  </si>
  <si>
    <t>S8D_02</t>
  </si>
  <si>
    <t>S8D_03</t>
  </si>
  <si>
    <t>S8D_04</t>
  </si>
  <si>
    <t>S8D_L01</t>
  </si>
  <si>
    <t>S8D_L02</t>
  </si>
  <si>
    <t>S8D_L03</t>
  </si>
  <si>
    <t>S8D_L04</t>
  </si>
  <si>
    <t>S8E_01</t>
  </si>
  <si>
    <t>S8E_02</t>
  </si>
  <si>
    <t>S8E_03</t>
  </si>
  <si>
    <t>S8E_04</t>
  </si>
  <si>
    <t>S8E_05</t>
  </si>
  <si>
    <t>S8E_06</t>
  </si>
  <si>
    <t>S8E_07</t>
  </si>
  <si>
    <t>S8E_08</t>
  </si>
  <si>
    <t>S8E_L01</t>
  </si>
  <si>
    <t>S8E_L02</t>
  </si>
  <si>
    <t>S8E_L03</t>
  </si>
  <si>
    <t>S8E_L04</t>
  </si>
  <si>
    <t>S8E_L05</t>
  </si>
  <si>
    <t>S8E_L06</t>
  </si>
  <si>
    <t>S8E_L07</t>
  </si>
  <si>
    <t>S8E_L08</t>
  </si>
  <si>
    <t>S8E_L09</t>
  </si>
  <si>
    <t>S8F_01</t>
  </si>
  <si>
    <t>S8F_02</t>
  </si>
  <si>
    <t>SS_09</t>
  </si>
  <si>
    <t>S9_02</t>
  </si>
  <si>
    <t>S9_03</t>
  </si>
  <si>
    <t>S9_03_02</t>
  </si>
  <si>
    <t>S9_04</t>
  </si>
  <si>
    <t>S9_05</t>
  </si>
  <si>
    <t>S9_06</t>
  </si>
  <si>
    <t>S9_07</t>
  </si>
  <si>
    <t>S9_08</t>
  </si>
  <si>
    <t>S9_09</t>
  </si>
  <si>
    <t>S9_10</t>
  </si>
  <si>
    <t>S9_11</t>
  </si>
  <si>
    <t>S9_12</t>
  </si>
  <si>
    <t>S9_13</t>
  </si>
  <si>
    <t>S9_14</t>
  </si>
  <si>
    <t>S9_15</t>
  </si>
  <si>
    <t>S9_16</t>
  </si>
  <si>
    <t>S9_17</t>
  </si>
  <si>
    <t>S9_18</t>
  </si>
  <si>
    <t>S9_19</t>
  </si>
  <si>
    <t>S9_20</t>
  </si>
  <si>
    <t>S9_21</t>
  </si>
  <si>
    <t>S9_22</t>
  </si>
  <si>
    <t>S9_23</t>
  </si>
  <si>
    <t>S9_24</t>
  </si>
  <si>
    <t>S9_25</t>
  </si>
  <si>
    <t>S9_26</t>
  </si>
  <si>
    <t>S9_27</t>
  </si>
  <si>
    <t>S9_28</t>
  </si>
  <si>
    <t>S9_29</t>
  </si>
  <si>
    <t>S9_30</t>
  </si>
  <si>
    <t>S9_31</t>
  </si>
  <si>
    <t>S9_32</t>
  </si>
  <si>
    <t>S9_33</t>
  </si>
  <si>
    <t>S9_L01</t>
  </si>
  <si>
    <t>S9_L02</t>
  </si>
  <si>
    <t>S9_L03</t>
  </si>
  <si>
    <t>S9_L04</t>
  </si>
  <si>
    <t>S9_L05</t>
  </si>
  <si>
    <t>S9_L06</t>
  </si>
  <si>
    <t>S9_L07</t>
  </si>
  <si>
    <t>S9_L08</t>
  </si>
  <si>
    <t>S9_L09</t>
  </si>
  <si>
    <t>S9_L10</t>
  </si>
  <si>
    <t>S9_L11</t>
  </si>
  <si>
    <t>S9_L12</t>
  </si>
  <si>
    <t>S9_L13</t>
  </si>
  <si>
    <t>S9_L14</t>
  </si>
  <si>
    <t>S9_L15</t>
  </si>
  <si>
    <t>S9_L16</t>
  </si>
  <si>
    <t>S9B_01</t>
  </si>
  <si>
    <t>S9B_02</t>
  </si>
  <si>
    <t>SS_10</t>
  </si>
  <si>
    <t>S10_01</t>
  </si>
  <si>
    <t>S10_02</t>
  </si>
  <si>
    <t>S10_03</t>
  </si>
  <si>
    <t>S10_03_02A</t>
  </si>
  <si>
    <t>S10_03_02B</t>
  </si>
  <si>
    <t>S10_03_02C</t>
  </si>
  <si>
    <t>S10_04</t>
  </si>
  <si>
    <t>S10_05</t>
  </si>
  <si>
    <t>S10_06</t>
  </si>
  <si>
    <t>S10_07</t>
  </si>
  <si>
    <t>S10_08</t>
  </si>
  <si>
    <t>S10_09</t>
  </si>
  <si>
    <t>S10_10</t>
  </si>
  <si>
    <t>S10_11</t>
  </si>
  <si>
    <t>S10_12</t>
  </si>
  <si>
    <t>S10_13</t>
  </si>
  <si>
    <t>S10_14</t>
  </si>
  <si>
    <t>S10_15</t>
  </si>
  <si>
    <t>S10_16</t>
  </si>
  <si>
    <t>S10_17</t>
  </si>
  <si>
    <t>S10_18</t>
  </si>
  <si>
    <t>S10_20</t>
  </si>
  <si>
    <t>S10_21</t>
  </si>
  <si>
    <t>S10_22</t>
  </si>
  <si>
    <t>S10_23</t>
  </si>
  <si>
    <t>S10_24</t>
  </si>
  <si>
    <t>S10_25</t>
  </si>
  <si>
    <t>S10_26</t>
  </si>
  <si>
    <t>S10_27</t>
  </si>
  <si>
    <t>S10_28</t>
  </si>
  <si>
    <t>S10_29</t>
  </si>
  <si>
    <t>S10_30</t>
  </si>
  <si>
    <t>S10_31</t>
  </si>
  <si>
    <t>S10_32</t>
  </si>
  <si>
    <t>S10_33</t>
  </si>
  <si>
    <t>S10_34</t>
  </si>
  <si>
    <t>S10_35</t>
  </si>
  <si>
    <t>S10_36</t>
  </si>
  <si>
    <t>S10_37</t>
  </si>
  <si>
    <t>S10_38</t>
  </si>
  <si>
    <t>S10_39</t>
  </si>
  <si>
    <t>S10_40</t>
  </si>
  <si>
    <t>S10_41</t>
  </si>
  <si>
    <t>S10_42</t>
  </si>
  <si>
    <t>S10_43</t>
  </si>
  <si>
    <t>S10_44</t>
  </si>
  <si>
    <t>S10_45</t>
  </si>
  <si>
    <t>S10_46</t>
  </si>
  <si>
    <t>S10_47</t>
  </si>
  <si>
    <t>S10_48</t>
  </si>
  <si>
    <t>S10_49</t>
  </si>
  <si>
    <t>S10_50</t>
  </si>
  <si>
    <t>S10_51</t>
  </si>
  <si>
    <t>S10_52</t>
  </si>
  <si>
    <t>S10_L01</t>
  </si>
  <si>
    <t>S10_L02</t>
  </si>
  <si>
    <t>S10_L03</t>
  </si>
  <si>
    <t>S10_L04</t>
  </si>
  <si>
    <t>S10_L05</t>
  </si>
  <si>
    <t>S10_L06</t>
  </si>
  <si>
    <t>S10_L07</t>
  </si>
  <si>
    <t>S10_L08</t>
  </si>
  <si>
    <t>S10_L09</t>
  </si>
  <si>
    <t>S10_L10</t>
  </si>
  <si>
    <t>S10_L11</t>
  </si>
  <si>
    <t>S10_L13</t>
  </si>
  <si>
    <t>S10_L14</t>
  </si>
  <si>
    <t>S10_L15</t>
  </si>
  <si>
    <t>S10_L16</t>
  </si>
  <si>
    <t>S10_L17</t>
  </si>
  <si>
    <t>S10_L18</t>
  </si>
  <si>
    <t>S10_L19</t>
  </si>
  <si>
    <t>S10_L20</t>
  </si>
  <si>
    <t>S10_L21</t>
  </si>
  <si>
    <t>S10_L22</t>
  </si>
  <si>
    <t>S10_L23</t>
  </si>
  <si>
    <t>SS_11</t>
  </si>
  <si>
    <t>S11_01</t>
  </si>
  <si>
    <t>S11_02</t>
  </si>
  <si>
    <t>S11_03</t>
  </si>
  <si>
    <t>S11_04</t>
  </si>
  <si>
    <t>S11_05</t>
  </si>
  <si>
    <t>S11_06</t>
  </si>
  <si>
    <t>S11_07</t>
  </si>
  <si>
    <t>S11_08</t>
  </si>
  <si>
    <t>S11_09</t>
  </si>
  <si>
    <t>S11_10</t>
  </si>
  <si>
    <t>S11_11</t>
  </si>
  <si>
    <t>S11_12</t>
  </si>
  <si>
    <t>S11_13</t>
  </si>
  <si>
    <t>S11_14</t>
  </si>
  <si>
    <t>S11_15</t>
  </si>
  <si>
    <t>S11_16</t>
  </si>
  <si>
    <t>S11_17</t>
  </si>
  <si>
    <t>S11_18</t>
  </si>
  <si>
    <t>S11_19</t>
  </si>
  <si>
    <t>S11_20</t>
  </si>
  <si>
    <t>S11_21</t>
  </si>
  <si>
    <t>S11_22</t>
  </si>
  <si>
    <t>S11_23</t>
  </si>
  <si>
    <t>S11_24</t>
  </si>
  <si>
    <t>S11_25</t>
  </si>
  <si>
    <t>S11_26</t>
  </si>
  <si>
    <t>S11_27</t>
  </si>
  <si>
    <t>S11_28</t>
  </si>
  <si>
    <t>S11_29</t>
  </si>
  <si>
    <t>S11_30</t>
  </si>
  <si>
    <t>S11_L01</t>
  </si>
  <si>
    <t>S11_L02</t>
  </si>
  <si>
    <t>S11_L03</t>
  </si>
  <si>
    <t>S11_L04</t>
  </si>
  <si>
    <t>S11_L05</t>
  </si>
  <si>
    <t>S11_L06</t>
  </si>
  <si>
    <t>S11_L07</t>
  </si>
  <si>
    <t>S11_L08</t>
  </si>
  <si>
    <t>LS_39</t>
  </si>
  <si>
    <t>L39_01</t>
  </si>
  <si>
    <t>LS_29</t>
  </si>
  <si>
    <t>L29_01</t>
  </si>
  <si>
    <t>L29_02</t>
  </si>
  <si>
    <t>L29_04</t>
  </si>
  <si>
    <t>L29_05</t>
  </si>
  <si>
    <t>L29_07</t>
  </si>
  <si>
    <t>LS_30</t>
  </si>
  <si>
    <t>L30_02</t>
  </si>
  <si>
    <t>L30_03</t>
  </si>
  <si>
    <t>L30_04</t>
  </si>
  <si>
    <t>LS_31</t>
  </si>
  <si>
    <t>L31_02</t>
  </si>
  <si>
    <t>L31_03</t>
  </si>
  <si>
    <t>L31_04</t>
  </si>
  <si>
    <t>L31_05</t>
  </si>
  <si>
    <t>L31_07</t>
  </si>
  <si>
    <t>L31_08</t>
  </si>
  <si>
    <t>L31_09</t>
  </si>
  <si>
    <t>L31_10</t>
  </si>
  <si>
    <t>L31_11</t>
  </si>
  <si>
    <t>L31_12</t>
  </si>
  <si>
    <t>L31_13</t>
  </si>
  <si>
    <t>L31_14</t>
  </si>
  <si>
    <t>L31_S01</t>
  </si>
  <si>
    <t>L31_S02</t>
  </si>
  <si>
    <t>L31_S03</t>
  </si>
  <si>
    <t>L31_S04</t>
  </si>
  <si>
    <t>L31_S05</t>
  </si>
  <si>
    <t>LS_32</t>
  </si>
  <si>
    <t>L32_S01</t>
  </si>
  <si>
    <t>L32_S02</t>
  </si>
  <si>
    <t>L32_S03</t>
  </si>
  <si>
    <t>L32_S04</t>
  </si>
  <si>
    <t>L32_S05</t>
  </si>
  <si>
    <t>L32_S06</t>
  </si>
  <si>
    <t>L32_S07</t>
  </si>
  <si>
    <t>L32_S08</t>
  </si>
  <si>
    <t>L32_S09</t>
  </si>
  <si>
    <t>L32_S10</t>
  </si>
  <si>
    <t>L32_S11</t>
  </si>
  <si>
    <t>L32_S12</t>
  </si>
  <si>
    <t>L32_S13</t>
  </si>
  <si>
    <t>L32_S14</t>
  </si>
  <si>
    <t>L32_S15</t>
  </si>
  <si>
    <t>L32_S16</t>
  </si>
  <si>
    <t>L32_S17</t>
  </si>
  <si>
    <t>L32_S18</t>
  </si>
  <si>
    <t>L32_S19</t>
  </si>
  <si>
    <t>L32_S20</t>
  </si>
  <si>
    <t>L32_S21</t>
  </si>
  <si>
    <t>L32_S22</t>
  </si>
  <si>
    <t>L32_S23</t>
  </si>
  <si>
    <t>L32_S24</t>
  </si>
  <si>
    <t>L32_S25</t>
  </si>
  <si>
    <t>L32_S26</t>
  </si>
  <si>
    <t>L32_S27</t>
  </si>
  <si>
    <t>L32_S28</t>
  </si>
  <si>
    <t>L32_S29</t>
  </si>
  <si>
    <t>L32_S30</t>
  </si>
  <si>
    <t>L32_S31</t>
  </si>
  <si>
    <t>L32_S32</t>
  </si>
  <si>
    <t>LS_37</t>
  </si>
  <si>
    <t>L37_01</t>
  </si>
  <si>
    <t>L37_02</t>
  </si>
  <si>
    <t>L37_03</t>
  </si>
  <si>
    <t>L37_05</t>
  </si>
  <si>
    <t>L37_06</t>
  </si>
  <si>
    <t>L37_08</t>
  </si>
  <si>
    <t>L37_09</t>
  </si>
  <si>
    <t>L37_11</t>
  </si>
  <si>
    <t>L37_12</t>
  </si>
  <si>
    <t>L37B_S01</t>
  </si>
  <si>
    <t>L37B_S02</t>
  </si>
  <si>
    <t>L37B_S03</t>
  </si>
  <si>
    <t>L37B_S04</t>
  </si>
  <si>
    <t>LS_44</t>
  </si>
  <si>
    <t>L44_03</t>
  </si>
  <si>
    <t>L44_S01</t>
  </si>
  <si>
    <t>LS_45</t>
  </si>
  <si>
    <t>L45_01</t>
  </si>
  <si>
    <t>L45_02</t>
  </si>
  <si>
    <t>L45_03</t>
  </si>
  <si>
    <t>L45_04</t>
  </si>
  <si>
    <t>L45_05</t>
  </si>
  <si>
    <t>L45_06</t>
  </si>
  <si>
    <t>L45_07</t>
  </si>
  <si>
    <t>L45_S01</t>
  </si>
  <si>
    <t>L45_S02</t>
  </si>
  <si>
    <t>L45_S03</t>
  </si>
  <si>
    <t>L45_S04</t>
  </si>
  <si>
    <t>L45_S05</t>
  </si>
  <si>
    <t>L45_S06</t>
  </si>
  <si>
    <t>SS_13</t>
  </si>
  <si>
    <t>S13_01</t>
  </si>
  <si>
    <t>S13_02</t>
  </si>
  <si>
    <t>S13_03</t>
  </si>
  <si>
    <t>S13_04</t>
  </si>
  <si>
    <t>S13_05</t>
  </si>
  <si>
    <t>S13_L01</t>
  </si>
  <si>
    <t>S13_L02</t>
  </si>
  <si>
    <t>SS_14</t>
  </si>
  <si>
    <t>S14_02</t>
  </si>
  <si>
    <t>S14_03</t>
  </si>
  <si>
    <t>S14_04</t>
  </si>
  <si>
    <t>S14_05</t>
  </si>
  <si>
    <t>S14_06</t>
  </si>
  <si>
    <t>S14_07</t>
  </si>
  <si>
    <t>S14_08</t>
  </si>
  <si>
    <t>S14_09</t>
  </si>
  <si>
    <t>S14_10</t>
  </si>
  <si>
    <t>S14_11</t>
  </si>
  <si>
    <t>S14_12</t>
  </si>
  <si>
    <t>S14_13</t>
  </si>
  <si>
    <t>S14_14</t>
  </si>
  <si>
    <t>S14_15</t>
  </si>
  <si>
    <t>S14_16</t>
  </si>
  <si>
    <t>S14_17</t>
  </si>
  <si>
    <t>S14_18</t>
  </si>
  <si>
    <t>S14_19</t>
  </si>
  <si>
    <t>S14_20</t>
  </si>
  <si>
    <t>S14_21</t>
  </si>
  <si>
    <t>S14_L01</t>
  </si>
  <si>
    <t>S14_L02</t>
  </si>
  <si>
    <t>S14_L03</t>
  </si>
  <si>
    <t>S14_L04</t>
  </si>
  <si>
    <t>S14_L05</t>
  </si>
  <si>
    <t>S14_L06</t>
  </si>
  <si>
    <t>S14_L07</t>
  </si>
  <si>
    <t>C4_L01</t>
  </si>
  <si>
    <t>C4_L02</t>
  </si>
  <si>
    <t>C4_L03</t>
  </si>
  <si>
    <t>C4_S01</t>
  </si>
  <si>
    <t>C4_S02</t>
  </si>
  <si>
    <t>C4_S03</t>
  </si>
  <si>
    <t>C4_S04</t>
  </si>
  <si>
    <t>C4_S05</t>
  </si>
  <si>
    <t>C4_S06</t>
  </si>
  <si>
    <t>C_07</t>
  </si>
  <si>
    <t>C7_L02</t>
  </si>
  <si>
    <t>C7_L03</t>
  </si>
  <si>
    <t>C7_L04</t>
  </si>
  <si>
    <t>C7_L05</t>
  </si>
  <si>
    <t>C7_L06</t>
  </si>
  <si>
    <t>C7_L07</t>
  </si>
  <si>
    <t>C7_L08</t>
  </si>
  <si>
    <t>C7_S01</t>
  </si>
  <si>
    <t>C7_S02</t>
  </si>
  <si>
    <t>C7_S03</t>
  </si>
  <si>
    <t>C7_S04</t>
  </si>
  <si>
    <t>C7_S05</t>
  </si>
  <si>
    <t>C7_S06</t>
  </si>
  <si>
    <t>C7_S07</t>
  </si>
  <si>
    <t>C7_S08</t>
  </si>
  <si>
    <t>C7_S09</t>
  </si>
  <si>
    <t>C7_S10</t>
  </si>
  <si>
    <t>C7_S11</t>
  </si>
  <si>
    <t>C7_S12</t>
  </si>
  <si>
    <t>C_08</t>
  </si>
  <si>
    <t>C8_L01</t>
  </si>
  <si>
    <t>C8_L02</t>
  </si>
  <si>
    <t>C8_L03</t>
  </si>
  <si>
    <t>C8_L04</t>
  </si>
  <si>
    <t>C8_L05</t>
  </si>
  <si>
    <t>C8_L06</t>
  </si>
  <si>
    <t>C8_L07</t>
  </si>
  <si>
    <t>C8_L08</t>
  </si>
  <si>
    <t>C8_L09</t>
  </si>
  <si>
    <t>C8_L10</t>
  </si>
  <si>
    <t>C8_S01</t>
  </si>
  <si>
    <t>C8_S02</t>
  </si>
  <si>
    <t>C8_S03</t>
  </si>
  <si>
    <t>C8_S04</t>
  </si>
  <si>
    <t>C8_S05</t>
  </si>
  <si>
    <t>C8_S06</t>
  </si>
  <si>
    <t>C8_S07</t>
  </si>
  <si>
    <t>C8_S08</t>
  </si>
  <si>
    <t>C8_S09</t>
  </si>
  <si>
    <t>C8_S10</t>
  </si>
  <si>
    <t>C_09</t>
  </si>
  <si>
    <t>C9_L01</t>
  </si>
  <si>
    <t>C9_L02</t>
  </si>
  <si>
    <t>C9_L03</t>
  </si>
  <si>
    <t>C9_L04</t>
  </si>
  <si>
    <t>C9_L05</t>
  </si>
  <si>
    <t>C9_L06</t>
  </si>
  <si>
    <t>C9_L07</t>
  </si>
  <si>
    <t>C9_L08</t>
  </si>
  <si>
    <t>C9_L09</t>
  </si>
  <si>
    <t>C9_L10</t>
  </si>
  <si>
    <t>C9_L11</t>
  </si>
  <si>
    <t>C9_L12</t>
  </si>
  <si>
    <t>C9_L13</t>
  </si>
  <si>
    <t>C9_S02</t>
  </si>
  <si>
    <t>C9_S05</t>
  </si>
  <si>
    <t>C9_S06</t>
  </si>
  <si>
    <t>C9_S07</t>
  </si>
  <si>
    <t>C9_S08</t>
  </si>
  <si>
    <t>C9_S09</t>
  </si>
  <si>
    <t>C9_S10</t>
  </si>
  <si>
    <t>C9_S11</t>
  </si>
  <si>
    <t>C12_L02</t>
  </si>
  <si>
    <t>C12_L05</t>
  </si>
  <si>
    <t>DS-C_04</t>
  </si>
  <si>
    <t>DS-C4_L04</t>
  </si>
  <si>
    <t>DS-C4_L05</t>
  </si>
  <si>
    <t>DS-C_07</t>
  </si>
  <si>
    <t>DS-C7_L01</t>
  </si>
  <si>
    <t>DS-C7_L09</t>
  </si>
  <si>
    <t>DS-C7_L10</t>
  </si>
  <si>
    <t>DS-C7_L11</t>
  </si>
  <si>
    <t>DS-C7_S14</t>
  </si>
  <si>
    <t>DS-C_10</t>
  </si>
  <si>
    <t>DS-C10_L01</t>
  </si>
  <si>
    <t>DS-C10_L02</t>
  </si>
  <si>
    <t>DS-C10_L03</t>
  </si>
  <si>
    <t>DS-C10_L04</t>
  </si>
  <si>
    <t>LS_06</t>
  </si>
  <si>
    <t>L6_04</t>
  </si>
  <si>
    <t>L6_05</t>
  </si>
  <si>
    <t>L6_06</t>
  </si>
  <si>
    <t>L6_07</t>
  </si>
  <si>
    <t>L6_08</t>
  </si>
  <si>
    <t>L6_09</t>
  </si>
  <si>
    <t>L6_10</t>
  </si>
  <si>
    <t>L6_100</t>
  </si>
  <si>
    <t>L6_101</t>
  </si>
  <si>
    <t>L6_102</t>
  </si>
  <si>
    <t>L6_103</t>
  </si>
  <si>
    <t>L6_104</t>
  </si>
  <si>
    <t>L6_105</t>
  </si>
  <si>
    <t>L6_106</t>
  </si>
  <si>
    <t>L6_107</t>
  </si>
  <si>
    <t>L6_108</t>
  </si>
  <si>
    <t>L6_109</t>
  </si>
  <si>
    <t>L6_11</t>
  </si>
  <si>
    <t>L6_111</t>
  </si>
  <si>
    <t>L6_112</t>
  </si>
  <si>
    <t>L6_113</t>
  </si>
  <si>
    <t>L6_114</t>
  </si>
  <si>
    <t>L6_115</t>
  </si>
  <si>
    <t>L6_116</t>
  </si>
  <si>
    <t>L6_117</t>
  </si>
  <si>
    <t>L6_118</t>
  </si>
  <si>
    <t>L6_119</t>
  </si>
  <si>
    <t>L6_12</t>
  </si>
  <si>
    <t>L6_120</t>
  </si>
  <si>
    <t>L6_121</t>
  </si>
  <si>
    <t>L6_122</t>
  </si>
  <si>
    <t>L6_123</t>
  </si>
  <si>
    <t>L6_124</t>
  </si>
  <si>
    <t>L6_125</t>
  </si>
  <si>
    <t>L6_126</t>
  </si>
  <si>
    <t>L6_127</t>
  </si>
  <si>
    <t>L6_128</t>
  </si>
  <si>
    <t>L6_129</t>
  </si>
  <si>
    <t>L6_13</t>
  </si>
  <si>
    <t>L6_130</t>
  </si>
  <si>
    <t>L6_131</t>
  </si>
  <si>
    <t>L6_132</t>
  </si>
  <si>
    <t>L6_133</t>
  </si>
  <si>
    <t>L6_134</t>
  </si>
  <si>
    <t>L6_135</t>
  </si>
  <si>
    <t>L6_136</t>
  </si>
  <si>
    <t>L6_137</t>
  </si>
  <si>
    <t>L6_138</t>
  </si>
  <si>
    <t>L6_139</t>
  </si>
  <si>
    <t>L6_14</t>
  </si>
  <si>
    <t>L6_140</t>
  </si>
  <si>
    <t>L6_141</t>
  </si>
  <si>
    <t>L6_142</t>
  </si>
  <si>
    <t>L6_143</t>
  </si>
  <si>
    <t>L6_144</t>
  </si>
  <si>
    <t>L6_145</t>
  </si>
  <si>
    <t>L6_146</t>
  </si>
  <si>
    <t>L6_147</t>
  </si>
  <si>
    <t>L6_148</t>
  </si>
  <si>
    <t>L6_149</t>
  </si>
  <si>
    <t>L6_15</t>
  </si>
  <si>
    <t>L6_150</t>
  </si>
  <si>
    <t>L6_151</t>
  </si>
  <si>
    <t>L6_152</t>
  </si>
  <si>
    <t>L6_153</t>
  </si>
  <si>
    <t>L6_154</t>
  </si>
  <si>
    <t>L6_155</t>
  </si>
  <si>
    <t>L6_156</t>
  </si>
  <si>
    <t>L6_157</t>
  </si>
  <si>
    <t>L6_158</t>
  </si>
  <si>
    <t>L6_159</t>
  </si>
  <si>
    <t>L6_16</t>
  </si>
  <si>
    <t>L6_160</t>
  </si>
  <si>
    <t>L6_161</t>
  </si>
  <si>
    <t>L6_162</t>
  </si>
  <si>
    <t>L6_163</t>
  </si>
  <si>
    <t>L6_164</t>
  </si>
  <si>
    <t>L6_165</t>
  </si>
  <si>
    <t>L6_166</t>
  </si>
  <si>
    <t>L6_167</t>
  </si>
  <si>
    <t>L6_168</t>
  </si>
  <si>
    <t>L6_169</t>
  </si>
  <si>
    <t>L6_17</t>
  </si>
  <si>
    <t>L6_170</t>
  </si>
  <si>
    <t>L6_171</t>
  </si>
  <si>
    <t>L6_172</t>
  </si>
  <si>
    <t>L6_173</t>
  </si>
  <si>
    <t>L6_174</t>
  </si>
  <si>
    <t>L6_175</t>
  </si>
  <si>
    <t>L6_176</t>
  </si>
  <si>
    <t>L6_177</t>
  </si>
  <si>
    <t>L6_178</t>
  </si>
  <si>
    <t>L6_179</t>
  </si>
  <si>
    <t>L6_18</t>
  </si>
  <si>
    <t>L6_180</t>
  </si>
  <si>
    <t>L6_181</t>
  </si>
  <si>
    <t>L6_182</t>
  </si>
  <si>
    <t>L6_183</t>
  </si>
  <si>
    <t>L6_184</t>
  </si>
  <si>
    <t>L6_185</t>
  </si>
  <si>
    <t>L6_186</t>
  </si>
  <si>
    <t>L6_187</t>
  </si>
  <si>
    <t>L6_188</t>
  </si>
  <si>
    <t>L6_189</t>
  </si>
  <si>
    <t>L6_19</t>
  </si>
  <si>
    <t>L6_190</t>
  </si>
  <si>
    <t>L6_191</t>
  </si>
  <si>
    <t>L6_192</t>
  </si>
  <si>
    <t>L6_193</t>
  </si>
  <si>
    <t>L6_194</t>
  </si>
  <si>
    <t>L6_195</t>
  </si>
  <si>
    <t>L6_196</t>
  </si>
  <si>
    <t>L6_197</t>
  </si>
  <si>
    <t>L6_198</t>
  </si>
  <si>
    <t>L6_199</t>
  </si>
  <si>
    <t>L6_20</t>
  </si>
  <si>
    <t>L6_200</t>
  </si>
  <si>
    <t>L6_201</t>
  </si>
  <si>
    <t>L6_202</t>
  </si>
  <si>
    <t>L6_203</t>
  </si>
  <si>
    <t>L6_204</t>
  </si>
  <si>
    <t>L6_205</t>
  </si>
  <si>
    <t>L6_206</t>
  </si>
  <si>
    <t>L6_207</t>
  </si>
  <si>
    <t>L6_208</t>
  </si>
  <si>
    <t>L6_209</t>
  </si>
  <si>
    <t>L6_21</t>
  </si>
  <si>
    <t>L6_210</t>
  </si>
  <si>
    <t>L6_211</t>
  </si>
  <si>
    <t>L6_212</t>
  </si>
  <si>
    <t>L6_213</t>
  </si>
  <si>
    <t>L6_214</t>
  </si>
  <si>
    <t>L6_215</t>
  </si>
  <si>
    <t>L6_216</t>
  </si>
  <si>
    <t>L6_217</t>
  </si>
  <si>
    <t>L6_218</t>
  </si>
  <si>
    <t>L6_219</t>
  </si>
  <si>
    <t>L6_22</t>
  </si>
  <si>
    <t>L6_220</t>
  </si>
  <si>
    <t>L6_221</t>
  </si>
  <si>
    <t>L6_222</t>
  </si>
  <si>
    <t>L6_223</t>
  </si>
  <si>
    <t>L6_224</t>
  </si>
  <si>
    <t>L6_225</t>
  </si>
  <si>
    <t>L6_226</t>
  </si>
  <si>
    <t>L6_227</t>
  </si>
  <si>
    <t>L6_228</t>
  </si>
  <si>
    <t>L6_229</t>
  </si>
  <si>
    <t>L6_23</t>
  </si>
  <si>
    <t>L6_230</t>
  </si>
  <si>
    <t>L6_231</t>
  </si>
  <si>
    <t>L6_232</t>
  </si>
  <si>
    <t>L6_233</t>
  </si>
  <si>
    <t>L6_234</t>
  </si>
  <si>
    <t>L6_235</t>
  </si>
  <si>
    <t>L6_236</t>
  </si>
  <si>
    <t>L6_237</t>
  </si>
  <si>
    <t>L6_238</t>
  </si>
  <si>
    <t>L6_239</t>
  </si>
  <si>
    <t>L6_24</t>
  </si>
  <si>
    <t>L6_240</t>
  </si>
  <si>
    <t>L6_241</t>
  </si>
  <si>
    <t>L6_242</t>
  </si>
  <si>
    <t>L6_243</t>
  </si>
  <si>
    <t>L6_244</t>
  </si>
  <si>
    <t>L6_245</t>
  </si>
  <si>
    <t>L6_246</t>
  </si>
  <si>
    <t>L6_247</t>
  </si>
  <si>
    <t>L6_248</t>
  </si>
  <si>
    <t>L6_25</t>
  </si>
  <si>
    <t>L6_250</t>
  </si>
  <si>
    <t>L6_251</t>
  </si>
  <si>
    <t>L6_252</t>
  </si>
  <si>
    <t>L6_253</t>
  </si>
  <si>
    <t>L6_254</t>
  </si>
  <si>
    <t>L6_255</t>
  </si>
  <si>
    <t>L6_256</t>
  </si>
  <si>
    <t>L6_257</t>
  </si>
  <si>
    <t>L6_258</t>
  </si>
  <si>
    <t>L6_259</t>
  </si>
  <si>
    <t>L6_26</t>
  </si>
  <si>
    <t>L6_260</t>
  </si>
  <si>
    <t>L6_261</t>
  </si>
  <si>
    <t>L6_262</t>
  </si>
  <si>
    <t>L6_263</t>
  </si>
  <si>
    <t>L6_264</t>
  </si>
  <si>
    <t>L6_265</t>
  </si>
  <si>
    <t>L6_266</t>
  </si>
  <si>
    <t>L6_267</t>
  </si>
  <si>
    <t>L6_268</t>
  </si>
  <si>
    <t>L6_269</t>
  </si>
  <si>
    <t>L6_27</t>
  </si>
  <si>
    <t>L6_270</t>
  </si>
  <si>
    <t>L6_271</t>
  </si>
  <si>
    <t>L6_272</t>
  </si>
  <si>
    <t>L6_273</t>
  </si>
  <si>
    <t>L6_274</t>
  </si>
  <si>
    <t>L6_275</t>
  </si>
  <si>
    <t>L6_276</t>
  </si>
  <si>
    <t>L6_277</t>
  </si>
  <si>
    <t>L6_278</t>
  </si>
  <si>
    <t>L6_279</t>
  </si>
  <si>
    <t>L6_28</t>
  </si>
  <si>
    <t>L6_280</t>
  </si>
  <si>
    <t>L6_281</t>
  </si>
  <si>
    <t>L6_282</t>
  </si>
  <si>
    <t>L6_283</t>
  </si>
  <si>
    <t>L6_284</t>
  </si>
  <si>
    <t>L6_285</t>
  </si>
  <si>
    <t>L6_286</t>
  </si>
  <si>
    <t>L6_287</t>
  </si>
  <si>
    <t>L6_288</t>
  </si>
  <si>
    <t>L6_289</t>
  </si>
  <si>
    <t>L6_29</t>
  </si>
  <si>
    <t>L6_290</t>
  </si>
  <si>
    <t>L6_291</t>
  </si>
  <si>
    <t>L6_292</t>
  </si>
  <si>
    <t>L6_293</t>
  </si>
  <si>
    <t>L6_294</t>
  </si>
  <si>
    <t>L6_295</t>
  </si>
  <si>
    <t>L6_296</t>
  </si>
  <si>
    <t>L6_297</t>
  </si>
  <si>
    <t>L6_298</t>
  </si>
  <si>
    <t>L6_299</t>
  </si>
  <si>
    <t>L6_30</t>
  </si>
  <si>
    <t>L6_300</t>
  </si>
  <si>
    <t>L6_301</t>
  </si>
  <si>
    <t>L6_302</t>
  </si>
  <si>
    <t>L6_31</t>
  </si>
  <si>
    <t>L6_32</t>
  </si>
  <si>
    <t>L6_33</t>
  </si>
  <si>
    <t>L6_34</t>
  </si>
  <si>
    <t>L6_35</t>
  </si>
  <si>
    <t>L6_36</t>
  </si>
  <si>
    <t>L6_37</t>
  </si>
  <si>
    <t>L6_38</t>
  </si>
  <si>
    <t>L6_39</t>
  </si>
  <si>
    <t>L6_40</t>
  </si>
  <si>
    <t>L6_41</t>
  </si>
  <si>
    <t>L6_42</t>
  </si>
  <si>
    <t>L6_43</t>
  </si>
  <si>
    <t>L6_44</t>
  </si>
  <si>
    <t>L6_45</t>
  </si>
  <si>
    <t>L6_46</t>
  </si>
  <si>
    <t>L6_47</t>
  </si>
  <si>
    <t>L6_48</t>
  </si>
  <si>
    <t>L6_49</t>
  </si>
  <si>
    <t>L6_50</t>
  </si>
  <si>
    <t>L6_51</t>
  </si>
  <si>
    <t>L6_52</t>
  </si>
  <si>
    <t>L6_53</t>
  </si>
  <si>
    <t>L6_54</t>
  </si>
  <si>
    <t>L6_55</t>
  </si>
  <si>
    <t>L6_56</t>
  </si>
  <si>
    <t>L6_57</t>
  </si>
  <si>
    <t>L6_58</t>
  </si>
  <si>
    <t>L6_59</t>
  </si>
  <si>
    <t>L6_60</t>
  </si>
  <si>
    <t>L6_61</t>
  </si>
  <si>
    <t>L6_62</t>
  </si>
  <si>
    <t>L6_63</t>
  </si>
  <si>
    <t>L6_64</t>
  </si>
  <si>
    <t>L6_65</t>
  </si>
  <si>
    <t>L6_66</t>
  </si>
  <si>
    <t>L6_67</t>
  </si>
  <si>
    <t>L6_68</t>
  </si>
  <si>
    <t>L6_69</t>
  </si>
  <si>
    <t>L6_70</t>
  </si>
  <si>
    <t>L6_71</t>
  </si>
  <si>
    <t>L6_72</t>
  </si>
  <si>
    <t>L6_73</t>
  </si>
  <si>
    <t>L6_74</t>
  </si>
  <si>
    <t>L6_75</t>
  </si>
  <si>
    <t>L6_76</t>
  </si>
  <si>
    <t>L6_77</t>
  </si>
  <si>
    <t>L6_78</t>
  </si>
  <si>
    <t>L6_79</t>
  </si>
  <si>
    <t>L6_80</t>
  </si>
  <si>
    <t>L6_81</t>
  </si>
  <si>
    <t>L6_82</t>
  </si>
  <si>
    <t>L6_83</t>
  </si>
  <si>
    <t>L6_84</t>
  </si>
  <si>
    <t>L6_85</t>
  </si>
  <si>
    <t>L6_86</t>
  </si>
  <si>
    <t>L6_87</t>
  </si>
  <si>
    <t>L6_88</t>
  </si>
  <si>
    <t>L6_89</t>
  </si>
  <si>
    <t>L6_90</t>
  </si>
  <si>
    <t>L6_91</t>
  </si>
  <si>
    <t>L6_92</t>
  </si>
  <si>
    <t>L6_93</t>
  </si>
  <si>
    <t>L6_94</t>
  </si>
  <si>
    <t>L6_95</t>
  </si>
  <si>
    <t>L6_96</t>
  </si>
  <si>
    <t>L6_97</t>
  </si>
  <si>
    <t>L6_98</t>
  </si>
  <si>
    <t>L6_99</t>
  </si>
  <si>
    <t>L6_P1</t>
  </si>
  <si>
    <t>L6_P10</t>
  </si>
  <si>
    <t>L6_P11</t>
  </si>
  <si>
    <t>L6_P12</t>
  </si>
  <si>
    <t>L6_P13</t>
  </si>
  <si>
    <t>L6_P14</t>
  </si>
  <si>
    <t>L6_P15</t>
  </si>
  <si>
    <t>L6_P2</t>
  </si>
  <si>
    <t>L6_P3</t>
  </si>
  <si>
    <t>L6_P4</t>
  </si>
  <si>
    <t>L6_P5</t>
  </si>
  <si>
    <t>L6_P6</t>
  </si>
  <si>
    <t>L6_P7</t>
  </si>
  <si>
    <t>L6_P8</t>
  </si>
  <si>
    <t>L6_P9</t>
  </si>
  <si>
    <t>L6_S02</t>
  </si>
  <si>
    <t>L6_S03</t>
  </si>
  <si>
    <t>L6_S04</t>
  </si>
  <si>
    <t>L6_S05</t>
  </si>
  <si>
    <t>L6_S06</t>
  </si>
  <si>
    <t>L6_S07</t>
  </si>
  <si>
    <t>L6_S08</t>
  </si>
  <si>
    <t>L6_S09</t>
  </si>
  <si>
    <t>L6_S10</t>
  </si>
  <si>
    <t>L6_S11</t>
  </si>
  <si>
    <t>L6_S12</t>
  </si>
  <si>
    <t>L6_S13</t>
  </si>
  <si>
    <t>L6_S14</t>
  </si>
  <si>
    <t>L6_S15</t>
  </si>
  <si>
    <t>L6_S16</t>
  </si>
  <si>
    <t>L6_S17</t>
  </si>
  <si>
    <t>L6_S18</t>
  </si>
  <si>
    <t>L6_S19</t>
  </si>
  <si>
    <t>L6_S20</t>
  </si>
  <si>
    <t>L6_S21</t>
  </si>
  <si>
    <t>L6_S22</t>
  </si>
  <si>
    <t>L6_S23</t>
  </si>
  <si>
    <t>L6_S24</t>
  </si>
  <si>
    <t>L6_S25</t>
  </si>
  <si>
    <t>L6_S26</t>
  </si>
  <si>
    <t>L6_S27</t>
  </si>
  <si>
    <t>L6_S28</t>
  </si>
  <si>
    <t>L6_S29</t>
  </si>
  <si>
    <t>L6_S30</t>
  </si>
  <si>
    <t>L6_S31</t>
  </si>
  <si>
    <t>L6_S32</t>
  </si>
  <si>
    <t>L6_S33</t>
  </si>
  <si>
    <t>L6_S34</t>
  </si>
  <si>
    <t>L6_S35</t>
  </si>
  <si>
    <t>L6_S36</t>
  </si>
  <si>
    <t>L6_S37</t>
  </si>
  <si>
    <t>L6_S38</t>
  </si>
  <si>
    <t>L6_S39</t>
  </si>
  <si>
    <t>LS_17</t>
  </si>
  <si>
    <t>L17_01</t>
  </si>
  <si>
    <t>L17_02</t>
  </si>
  <si>
    <t>L17_03</t>
  </si>
  <si>
    <t>L17_04</t>
  </si>
  <si>
    <t>L17_06</t>
  </si>
  <si>
    <t>L17_S01</t>
  </si>
  <si>
    <t>L17_S02</t>
  </si>
  <si>
    <t>LS_19</t>
  </si>
  <si>
    <t>L19_01</t>
  </si>
  <si>
    <t>L19_02</t>
  </si>
  <si>
    <t>L19_03</t>
  </si>
  <si>
    <t>L19_04</t>
  </si>
  <si>
    <t>L19_05</t>
  </si>
  <si>
    <t>L19_06</t>
  </si>
  <si>
    <t>L19_07</t>
  </si>
  <si>
    <t>L19_08</t>
  </si>
  <si>
    <t>L19_09</t>
  </si>
  <si>
    <t>L19_10</t>
  </si>
  <si>
    <t>L19_11</t>
  </si>
  <si>
    <t>L19_12</t>
  </si>
  <si>
    <t>L19_13</t>
  </si>
  <si>
    <t>L19_14</t>
  </si>
  <si>
    <t>L19_15</t>
  </si>
  <si>
    <t>L19_16</t>
  </si>
  <si>
    <t>L19_17</t>
  </si>
  <si>
    <t>L19_18</t>
  </si>
  <si>
    <t>L19_19</t>
  </si>
  <si>
    <t>L19_20</t>
  </si>
  <si>
    <t>L19_21</t>
  </si>
  <si>
    <t>L19_22</t>
  </si>
  <si>
    <t>L19_23</t>
  </si>
  <si>
    <t>L19_24</t>
  </si>
  <si>
    <t>L19_25</t>
  </si>
  <si>
    <t>L19_26</t>
  </si>
  <si>
    <t>L19_27</t>
  </si>
  <si>
    <t>L19_28</t>
  </si>
  <si>
    <t>L19_29</t>
  </si>
  <si>
    <t>L19_30</t>
  </si>
  <si>
    <t>L19_31</t>
  </si>
  <si>
    <t>L19_32</t>
  </si>
  <si>
    <t>L19_33</t>
  </si>
  <si>
    <t>L19_34</t>
  </si>
  <si>
    <t>L19_35</t>
  </si>
  <si>
    <t>L19_36</t>
  </si>
  <si>
    <t>L19_37</t>
  </si>
  <si>
    <t>L19_38</t>
  </si>
  <si>
    <t>L19_39</t>
  </si>
  <si>
    <t>L19_40</t>
  </si>
  <si>
    <t>L19_41</t>
  </si>
  <si>
    <t>L19_42</t>
  </si>
  <si>
    <t>L19_43</t>
  </si>
  <si>
    <t>L19_44</t>
  </si>
  <si>
    <t>L19_45</t>
  </si>
  <si>
    <t>L19_46</t>
  </si>
  <si>
    <t>L19_47</t>
  </si>
  <si>
    <t>L19_48</t>
  </si>
  <si>
    <t>L19_49</t>
  </si>
  <si>
    <t>L19_50</t>
  </si>
  <si>
    <t>L19_51</t>
  </si>
  <si>
    <t>L19_52</t>
  </si>
  <si>
    <t>L19_53</t>
  </si>
  <si>
    <t>L19_54</t>
  </si>
  <si>
    <t>L19_55</t>
  </si>
  <si>
    <t>L19_56</t>
  </si>
  <si>
    <t>L19_57</t>
  </si>
  <si>
    <t>L19_58</t>
  </si>
  <si>
    <t>L19_59</t>
  </si>
  <si>
    <t>L19_60</t>
  </si>
  <si>
    <t>L19_61</t>
  </si>
  <si>
    <t>L19_62</t>
  </si>
  <si>
    <t>L19_63</t>
  </si>
  <si>
    <t>L19_64</t>
  </si>
  <si>
    <t>L19_65</t>
  </si>
  <si>
    <t>L19_66</t>
  </si>
  <si>
    <t>L19_67</t>
  </si>
  <si>
    <t>L19_68</t>
  </si>
  <si>
    <t>L19_69</t>
  </si>
  <si>
    <t>L19_70</t>
  </si>
  <si>
    <t>L19_71</t>
  </si>
  <si>
    <t>L19_72</t>
  </si>
  <si>
    <t>L19_73</t>
  </si>
  <si>
    <t>L19_74</t>
  </si>
  <si>
    <t>L19_75</t>
  </si>
  <si>
    <t>L19_76</t>
  </si>
  <si>
    <t>L19_77</t>
  </si>
  <si>
    <t>L19_78</t>
  </si>
  <si>
    <t>L19_79</t>
  </si>
  <si>
    <t>L19_80</t>
  </si>
  <si>
    <t>L19_81</t>
  </si>
  <si>
    <t>L19_82</t>
  </si>
  <si>
    <t>L19_83</t>
  </si>
  <si>
    <t>L19_84</t>
  </si>
  <si>
    <t>L19_85</t>
  </si>
  <si>
    <t>L19_86</t>
  </si>
  <si>
    <t>L19_S01</t>
  </si>
  <si>
    <t>L19_S02</t>
  </si>
  <si>
    <t>LS_20</t>
  </si>
  <si>
    <t>L20_01</t>
  </si>
  <si>
    <t>L20_02</t>
  </si>
  <si>
    <t>L20_03</t>
  </si>
  <si>
    <t>L20_04</t>
  </si>
  <si>
    <t>L20_05</t>
  </si>
  <si>
    <t>L20_06</t>
  </si>
  <si>
    <t>L20_07</t>
  </si>
  <si>
    <t>L20_08</t>
  </si>
  <si>
    <t>L20_09</t>
  </si>
  <si>
    <t>L20_100</t>
  </si>
  <si>
    <t>L20_101</t>
  </si>
  <si>
    <t>L20_102</t>
  </si>
  <si>
    <t>L20_103</t>
  </si>
  <si>
    <t>L20_104</t>
  </si>
  <si>
    <t>L20_105</t>
  </si>
  <si>
    <t>L20_106</t>
  </si>
  <si>
    <t>L20_107</t>
  </si>
  <si>
    <t>L20_108</t>
  </si>
  <si>
    <t>L20_109</t>
  </si>
  <si>
    <t>L20_11</t>
  </si>
  <si>
    <t>L20_110</t>
  </si>
  <si>
    <t>L20_111</t>
  </si>
  <si>
    <t>L20_112</t>
  </si>
  <si>
    <t>L20_113</t>
  </si>
  <si>
    <t>L20_114</t>
  </si>
  <si>
    <t>L20_115</t>
  </si>
  <si>
    <t>L20_116</t>
  </si>
  <si>
    <t>L20_117</t>
  </si>
  <si>
    <t>L20_118</t>
  </si>
  <si>
    <t>L20_119</t>
  </si>
  <si>
    <t>L20_12</t>
  </si>
  <si>
    <t>L20_120</t>
  </si>
  <si>
    <t>L20_121</t>
  </si>
  <si>
    <t>L20_122</t>
  </si>
  <si>
    <t>L20_123</t>
  </si>
  <si>
    <t>L20_124</t>
  </si>
  <si>
    <t>L20_125</t>
  </si>
  <si>
    <t>L20_126</t>
  </si>
  <si>
    <t>L20_127</t>
  </si>
  <si>
    <t>L20_128</t>
  </si>
  <si>
    <t>L20_129</t>
  </si>
  <si>
    <t>L20_13</t>
  </si>
  <si>
    <t>L20_130</t>
  </si>
  <si>
    <t>L20_131</t>
  </si>
  <si>
    <t>L20_132</t>
  </si>
  <si>
    <t>L20_133</t>
  </si>
  <si>
    <t>L20_134</t>
  </si>
  <si>
    <t>L20_135</t>
  </si>
  <si>
    <t>L20_136</t>
  </si>
  <si>
    <t>L20_137</t>
  </si>
  <si>
    <t>L20_138</t>
  </si>
  <si>
    <t>L20_139</t>
  </si>
  <si>
    <t>L20_14</t>
  </si>
  <si>
    <t>L20_140</t>
  </si>
  <si>
    <t>L20_141</t>
  </si>
  <si>
    <t>L20_142</t>
  </si>
  <si>
    <t>L20_143</t>
  </si>
  <si>
    <t>L20_144</t>
  </si>
  <si>
    <t>L20_145</t>
  </si>
  <si>
    <t>L20_146</t>
  </si>
  <si>
    <t>L20_147</t>
  </si>
  <si>
    <t>L20_148</t>
  </si>
  <si>
    <t>L20_149</t>
  </si>
  <si>
    <t>L20_15</t>
  </si>
  <si>
    <t>L20_150</t>
  </si>
  <si>
    <t>L20_151</t>
  </si>
  <si>
    <t>L20_152</t>
  </si>
  <si>
    <t>L20_153</t>
  </si>
  <si>
    <t>L20_154</t>
  </si>
  <si>
    <t>L20_155</t>
  </si>
  <si>
    <t>L20_156</t>
  </si>
  <si>
    <t>L20_157</t>
  </si>
  <si>
    <t>L20_158</t>
  </si>
  <si>
    <t>L20_159</t>
  </si>
  <si>
    <t>L20_16</t>
  </si>
  <si>
    <t>L20_160</t>
  </si>
  <si>
    <t>L20_161</t>
  </si>
  <si>
    <t>L20_162</t>
  </si>
  <si>
    <t>L20_163</t>
  </si>
  <si>
    <t>L20_164</t>
  </si>
  <si>
    <t>L20_165</t>
  </si>
  <si>
    <t>L20_166</t>
  </si>
  <si>
    <t>L20_167</t>
  </si>
  <si>
    <t>L20_168</t>
  </si>
  <si>
    <t>L20_169</t>
  </si>
  <si>
    <t>L20_17</t>
  </si>
  <si>
    <t>L20_170</t>
  </si>
  <si>
    <t>L20_171</t>
  </si>
  <si>
    <t>L20_172</t>
  </si>
  <si>
    <t>L20_173</t>
  </si>
  <si>
    <t>L20_174</t>
  </si>
  <si>
    <t>L20_175</t>
  </si>
  <si>
    <t>L20_176</t>
  </si>
  <si>
    <t>L20_177</t>
  </si>
  <si>
    <t>L20_178</t>
  </si>
  <si>
    <t>L20_179</t>
  </si>
  <si>
    <t>L20_18</t>
  </si>
  <si>
    <t>L20_180</t>
  </si>
  <si>
    <t>L20_181</t>
  </si>
  <si>
    <t>L20_182</t>
  </si>
  <si>
    <t>L20_183</t>
  </si>
  <si>
    <t>L20_184</t>
  </si>
  <si>
    <t>L20_185</t>
  </si>
  <si>
    <t>L20_186</t>
  </si>
  <si>
    <t>L20_187</t>
  </si>
  <si>
    <t>L20_188</t>
  </si>
  <si>
    <t>L20_189</t>
  </si>
  <si>
    <t>L20_19</t>
  </si>
  <si>
    <t>L20_190</t>
  </si>
  <si>
    <t>L20_191</t>
  </si>
  <si>
    <t>L20_192</t>
  </si>
  <si>
    <t>L20_193</t>
  </si>
  <si>
    <t>L20_195</t>
  </si>
  <si>
    <t>L20_196</t>
  </si>
  <si>
    <t>L20_197</t>
  </si>
  <si>
    <t>L20_198</t>
  </si>
  <si>
    <t>L20_20</t>
  </si>
  <si>
    <t>L20_21</t>
  </si>
  <si>
    <t>L20_22</t>
  </si>
  <si>
    <t>L20_23</t>
  </si>
  <si>
    <t>L20_24</t>
  </si>
  <si>
    <t>L20_25</t>
  </si>
  <si>
    <t>L20_26</t>
  </si>
  <si>
    <t>L20_27</t>
  </si>
  <si>
    <t>L20_28</t>
  </si>
  <si>
    <t>L20_29</t>
  </si>
  <si>
    <t>L20_30</t>
  </si>
  <si>
    <t>L20_31</t>
  </si>
  <si>
    <t>L20_32</t>
  </si>
  <si>
    <t>L20_33</t>
  </si>
  <si>
    <t>L20_34</t>
  </si>
  <si>
    <t>L20_35</t>
  </si>
  <si>
    <t>L20_36</t>
  </si>
  <si>
    <t>L20_37</t>
  </si>
  <si>
    <t>L20_38</t>
  </si>
  <si>
    <t>L20_39</t>
  </si>
  <si>
    <t>L20_40</t>
  </si>
  <si>
    <t>L20_41</t>
  </si>
  <si>
    <t>L20_42</t>
  </si>
  <si>
    <t>L20_43</t>
  </si>
  <si>
    <t>L20_44</t>
  </si>
  <si>
    <t>L20_45</t>
  </si>
  <si>
    <t>L20_46</t>
  </si>
  <si>
    <t>L20_47</t>
  </si>
  <si>
    <t>L20_48</t>
  </si>
  <si>
    <t>L20_49</t>
  </si>
  <si>
    <t>L20_50</t>
  </si>
  <si>
    <t>L20_51</t>
  </si>
  <si>
    <t>L20_52</t>
  </si>
  <si>
    <t>L20_53</t>
  </si>
  <si>
    <t>L20_54</t>
  </si>
  <si>
    <t>L20_55</t>
  </si>
  <si>
    <t>L20_56</t>
  </si>
  <si>
    <t>L20_57</t>
  </si>
  <si>
    <t>L20_58</t>
  </si>
  <si>
    <t>L20_59</t>
  </si>
  <si>
    <t>L20_60</t>
  </si>
  <si>
    <t>L20_61</t>
  </si>
  <si>
    <t>L20_62</t>
  </si>
  <si>
    <t>L20_63</t>
  </si>
  <si>
    <t>L20_64</t>
  </si>
  <si>
    <t>L20_65</t>
  </si>
  <si>
    <t>L20_66</t>
  </si>
  <si>
    <t>L20_67</t>
  </si>
  <si>
    <t>L20_68</t>
  </si>
  <si>
    <t>L20_69</t>
  </si>
  <si>
    <t>L20_70</t>
  </si>
  <si>
    <t>L20_71</t>
  </si>
  <si>
    <t>L20_72</t>
  </si>
  <si>
    <t>L20_73</t>
  </si>
  <si>
    <t>L20_74</t>
  </si>
  <si>
    <t>L20_75</t>
  </si>
  <si>
    <t>L20_76</t>
  </si>
  <si>
    <t>L20_77</t>
  </si>
  <si>
    <t>L20_78</t>
  </si>
  <si>
    <t>L20_79</t>
  </si>
  <si>
    <t>L20_80</t>
  </si>
  <si>
    <t>L20_81</t>
  </si>
  <si>
    <t>L20_82</t>
  </si>
  <si>
    <t>L20_83</t>
  </si>
  <si>
    <t>L20_84</t>
  </si>
  <si>
    <t>L20_85</t>
  </si>
  <si>
    <t>L20_86</t>
  </si>
  <si>
    <t>L20_87</t>
  </si>
  <si>
    <t>L20_88</t>
  </si>
  <si>
    <t>L20_89</t>
  </si>
  <si>
    <t>L20_90</t>
  </si>
  <si>
    <t>L20_91</t>
  </si>
  <si>
    <t>L20_92</t>
  </si>
  <si>
    <t>L20_93</t>
  </si>
  <si>
    <t>L20_94</t>
  </si>
  <si>
    <t>L20_95</t>
  </si>
  <si>
    <t>L20_96</t>
  </si>
  <si>
    <t>L20_97</t>
  </si>
  <si>
    <t>L20_98</t>
  </si>
  <si>
    <t>L20_99</t>
  </si>
  <si>
    <t>L20_S02</t>
  </si>
  <si>
    <t>L20_S03</t>
  </si>
  <si>
    <t>L20_S04</t>
  </si>
  <si>
    <t>L20_S05</t>
  </si>
  <si>
    <t>L20_S06</t>
  </si>
  <si>
    <t>L20_S07</t>
  </si>
  <si>
    <t>L20_S08</t>
  </si>
  <si>
    <t>L20_S09</t>
  </si>
  <si>
    <t>L20_S10</t>
  </si>
  <si>
    <t>L20_S11</t>
  </si>
  <si>
    <t>L20_S12</t>
  </si>
  <si>
    <t>L20_S14</t>
  </si>
  <si>
    <t>L20_S15</t>
  </si>
  <si>
    <t>L20_S16</t>
  </si>
  <si>
    <t>L20_S17</t>
  </si>
  <si>
    <t>L20_S18</t>
  </si>
  <si>
    <t>L20_S19</t>
  </si>
  <si>
    <t>L20_S20</t>
  </si>
  <si>
    <t>L20_S21</t>
  </si>
  <si>
    <t>L20_S22</t>
  </si>
  <si>
    <t>L20_S23</t>
  </si>
  <si>
    <t>L20_S24</t>
  </si>
  <si>
    <t>L20_S25</t>
  </si>
  <si>
    <t>L20_S26</t>
  </si>
  <si>
    <t>L20_S27</t>
  </si>
  <si>
    <t>L20_S28</t>
  </si>
  <si>
    <t>L20_S29</t>
  </si>
  <si>
    <t>L20_S30</t>
  </si>
  <si>
    <t>L20_S31</t>
  </si>
  <si>
    <t>L20_S32</t>
  </si>
  <si>
    <t>L20_S33</t>
  </si>
  <si>
    <t>L20_S34</t>
  </si>
  <si>
    <t>L20_S35</t>
  </si>
  <si>
    <t>L20_S36</t>
  </si>
  <si>
    <t>L20_S37</t>
  </si>
  <si>
    <t>L20_S38</t>
  </si>
  <si>
    <t>L20_S39</t>
  </si>
  <si>
    <t>L20_S40</t>
  </si>
  <si>
    <t>L20_S41</t>
  </si>
  <si>
    <t>L20_S42</t>
  </si>
  <si>
    <t>L20_S43</t>
  </si>
  <si>
    <t>L20_S44</t>
  </si>
  <si>
    <t>L20_S45</t>
  </si>
  <si>
    <t>L20_S46</t>
  </si>
  <si>
    <t>L20_S47</t>
  </si>
  <si>
    <t>L20_S48</t>
  </si>
  <si>
    <t>L20_S49</t>
  </si>
  <si>
    <t>L20_S50</t>
  </si>
  <si>
    <t>L20_S51</t>
  </si>
  <si>
    <t>L20_S52</t>
  </si>
  <si>
    <t>L20_S53</t>
  </si>
  <si>
    <t>L20_S54</t>
  </si>
  <si>
    <t>L20_S55</t>
  </si>
  <si>
    <t>L20_S56</t>
  </si>
  <si>
    <t>L20_S58</t>
  </si>
  <si>
    <t>L20_S59</t>
  </si>
  <si>
    <t>L20_S60</t>
  </si>
  <si>
    <t>L20_S61</t>
  </si>
  <si>
    <t>LS_22</t>
  </si>
  <si>
    <t>L22_01</t>
  </si>
  <si>
    <t>L22_02</t>
  </si>
  <si>
    <t>L22_03</t>
  </si>
  <si>
    <t>L22_04</t>
  </si>
  <si>
    <t>L22_05</t>
  </si>
  <si>
    <t>L22_06</t>
  </si>
  <si>
    <t>L22_07</t>
  </si>
  <si>
    <t>L22_08</t>
  </si>
  <si>
    <t>L22_S01</t>
  </si>
  <si>
    <t>L22_S02</t>
  </si>
  <si>
    <t>L22_S03</t>
  </si>
  <si>
    <t>L22_S04</t>
  </si>
  <si>
    <t>L22_S05</t>
  </si>
  <si>
    <t>L22_S06</t>
  </si>
  <si>
    <t>L22_S07</t>
  </si>
  <si>
    <t>L22_S08</t>
  </si>
  <si>
    <t>L22_S09</t>
  </si>
  <si>
    <t>L22_S10</t>
  </si>
  <si>
    <t>LS_28</t>
  </si>
  <si>
    <t>L28_01</t>
  </si>
  <si>
    <t>L28_02</t>
  </si>
  <si>
    <t>L28_04</t>
  </si>
  <si>
    <t>L28_05</t>
  </si>
  <si>
    <t>L28_06</t>
  </si>
  <si>
    <t>L28_07</t>
  </si>
  <si>
    <t>L28_08</t>
  </si>
  <si>
    <t>L28_09</t>
  </si>
  <si>
    <t>L28_10</t>
  </si>
  <si>
    <t>L28_11</t>
  </si>
  <si>
    <t>L28_12</t>
  </si>
  <si>
    <t>L28_13</t>
  </si>
  <si>
    <t>L28_14</t>
  </si>
  <si>
    <t>L28_15</t>
  </si>
  <si>
    <t>L28_16</t>
  </si>
  <si>
    <t>L28_17</t>
  </si>
  <si>
    <t>L28_18</t>
  </si>
  <si>
    <t>L28_19</t>
  </si>
  <si>
    <t>L28_20</t>
  </si>
  <si>
    <t>L28_21</t>
  </si>
  <si>
    <t>L28_22</t>
  </si>
  <si>
    <t>L28_23</t>
  </si>
  <si>
    <t>L28_S01</t>
  </si>
  <si>
    <t>L28_S02</t>
  </si>
  <si>
    <t>L28_S03</t>
  </si>
  <si>
    <t>L28_S04</t>
  </si>
  <si>
    <t>L28_S05</t>
  </si>
  <si>
    <t>L28_S06</t>
  </si>
  <si>
    <t>L28_S07</t>
  </si>
  <si>
    <t>L28_S08</t>
  </si>
  <si>
    <t>L28_S09</t>
  </si>
  <si>
    <t>L28_S10</t>
  </si>
  <si>
    <t>L28_S11</t>
  </si>
  <si>
    <t>L28_S12</t>
  </si>
  <si>
    <t>L28_S13</t>
  </si>
  <si>
    <t>L28_S14</t>
  </si>
  <si>
    <t>L28_S15</t>
  </si>
  <si>
    <t>L28_S16</t>
  </si>
  <si>
    <t>L28_S17</t>
  </si>
  <si>
    <t>SS_06</t>
  </si>
  <si>
    <t>S6_BH01</t>
  </si>
  <si>
    <t>S6A_01</t>
  </si>
  <si>
    <t>S6A_02</t>
  </si>
  <si>
    <t>S6A_03</t>
  </si>
  <si>
    <t>S6A_04</t>
  </si>
  <si>
    <t>S6A_05</t>
  </si>
  <si>
    <t>S6A_06</t>
  </si>
  <si>
    <t>S6A_08</t>
  </si>
  <si>
    <t>S6A_10</t>
  </si>
  <si>
    <t>S6A_11</t>
  </si>
  <si>
    <t>S6A_12</t>
  </si>
  <si>
    <t>S6A_15</t>
  </si>
  <si>
    <t>S6A_16</t>
  </si>
  <si>
    <t>S6A_17</t>
  </si>
  <si>
    <t>S6A_18</t>
  </si>
  <si>
    <t>S6A_19</t>
  </si>
  <si>
    <t>S6A_20</t>
  </si>
  <si>
    <t>S6A_21</t>
  </si>
  <si>
    <t>S6A_22</t>
  </si>
  <si>
    <t>S6A_23</t>
  </si>
  <si>
    <t>S6A_24</t>
  </si>
  <si>
    <t>S6A_25</t>
  </si>
  <si>
    <t>S6A_26</t>
  </si>
  <si>
    <t>S6A_27</t>
  </si>
  <si>
    <t>S6A_28</t>
  </si>
  <si>
    <t>S6A_29</t>
  </si>
  <si>
    <t>S6A_30</t>
  </si>
  <si>
    <t>S6A_31</t>
  </si>
  <si>
    <t>S6A_L01</t>
  </si>
  <si>
    <t>S6A_L02</t>
  </si>
  <si>
    <t>S6A_L03</t>
  </si>
  <si>
    <t>S6A_L04</t>
  </si>
  <si>
    <t>S6A_L05</t>
  </si>
  <si>
    <t>S6A_L06</t>
  </si>
  <si>
    <t>S6A_L07</t>
  </si>
  <si>
    <t>S6A_L08</t>
  </si>
  <si>
    <t>S6A_L09</t>
  </si>
  <si>
    <t>S6A_L10</t>
  </si>
  <si>
    <t>S6A_L11</t>
  </si>
  <si>
    <t>S6A_L12</t>
  </si>
  <si>
    <t>S6A_L14</t>
  </si>
  <si>
    <t>S6A_L15</t>
  </si>
  <si>
    <t>S6A_L16</t>
  </si>
  <si>
    <t>S6A_L17</t>
  </si>
  <si>
    <t>S6A_L18</t>
  </si>
  <si>
    <t>S6A_L19</t>
  </si>
  <si>
    <t>S6A_L20</t>
  </si>
  <si>
    <t>S6A_L21</t>
  </si>
  <si>
    <t>S6A_L22</t>
  </si>
  <si>
    <t>S6A_L23</t>
  </si>
  <si>
    <t>S6A_L24</t>
  </si>
  <si>
    <t>S6A_L25</t>
  </si>
  <si>
    <t>S6A_L26</t>
  </si>
  <si>
    <t>S6A_L27</t>
  </si>
  <si>
    <t>S6A_L31</t>
  </si>
  <si>
    <t>S6A_L32</t>
  </si>
  <si>
    <t>S6A_L33</t>
  </si>
  <si>
    <t>S6A_L37</t>
  </si>
  <si>
    <t>S6A_L38</t>
  </si>
  <si>
    <t>S6A_L39</t>
  </si>
  <si>
    <t>S6A_L40</t>
  </si>
  <si>
    <t>S6A_L41</t>
  </si>
  <si>
    <t>S6A_L42</t>
  </si>
  <si>
    <t>S6A_L43</t>
  </si>
  <si>
    <t>S6A_L45</t>
  </si>
  <si>
    <t>S6A_L46</t>
  </si>
  <si>
    <t>S6A_L47</t>
  </si>
  <si>
    <t>S6A_L48</t>
  </si>
  <si>
    <t>S6A_L49</t>
  </si>
  <si>
    <t>S6A_L50</t>
  </si>
  <si>
    <t>S6A_L51</t>
  </si>
  <si>
    <t>S6A_L52</t>
  </si>
  <si>
    <t>S6A_L53</t>
  </si>
  <si>
    <t>S6A_L54</t>
  </si>
  <si>
    <t>S6A_L55</t>
  </si>
  <si>
    <t>S6A_L56</t>
  </si>
  <si>
    <t>S6A_L57</t>
  </si>
  <si>
    <t>S6A_L58</t>
  </si>
  <si>
    <t>S6A_L59</t>
  </si>
  <si>
    <t>S6A_L60</t>
  </si>
  <si>
    <t>S6A_L61</t>
  </si>
  <si>
    <t>S6A_L62</t>
  </si>
  <si>
    <t>S6A_L63</t>
  </si>
  <si>
    <t>S6A_L64</t>
  </si>
  <si>
    <t>S6A_L65</t>
  </si>
  <si>
    <t>S6A_L66</t>
  </si>
  <si>
    <t>S6A_L67</t>
  </si>
  <si>
    <t>S6A_L68</t>
  </si>
  <si>
    <t>S6A_L69</t>
  </si>
  <si>
    <t>S6A_L70</t>
  </si>
  <si>
    <t>S6A_L72</t>
  </si>
  <si>
    <t>S6A_L73</t>
  </si>
  <si>
    <t>S6B_01</t>
  </si>
  <si>
    <t>S6B_03</t>
  </si>
  <si>
    <t>S6B_04</t>
  </si>
  <si>
    <t>S6B_05</t>
  </si>
  <si>
    <t>S6B_06</t>
  </si>
  <si>
    <t>S6B_07</t>
  </si>
  <si>
    <t>S6B_08</t>
  </si>
  <si>
    <t>S6B_09</t>
  </si>
  <si>
    <t>S6B_10</t>
  </si>
  <si>
    <t>S6B_11</t>
  </si>
  <si>
    <t>S6B_12</t>
  </si>
  <si>
    <t>S6B_13</t>
  </si>
  <si>
    <t>S6B_14</t>
  </si>
  <si>
    <t>S6B_15</t>
  </si>
  <si>
    <t>S6B_16</t>
  </si>
  <si>
    <t>S6B_17</t>
  </si>
  <si>
    <t>S6B_18</t>
  </si>
  <si>
    <t>S6B_19</t>
  </si>
  <si>
    <t>S6B_20</t>
  </si>
  <si>
    <t>S6B_21</t>
  </si>
  <si>
    <t>S6B_22</t>
  </si>
  <si>
    <t>S6B_23</t>
  </si>
  <si>
    <t>S6B_24</t>
  </si>
  <si>
    <t>S6B_25</t>
  </si>
  <si>
    <t>S6B_26</t>
  </si>
  <si>
    <t>S6B_27</t>
  </si>
  <si>
    <t>S6B_28</t>
  </si>
  <si>
    <t>S6B_29</t>
  </si>
  <si>
    <t>S6B_31</t>
  </si>
  <si>
    <t>S6B_32</t>
  </si>
  <si>
    <t>S6B_33</t>
  </si>
  <si>
    <t>S6B_34</t>
  </si>
  <si>
    <t>S6B_35</t>
  </si>
  <si>
    <t>S6B_36</t>
  </si>
  <si>
    <t>S6B_37</t>
  </si>
  <si>
    <t>S6B_L01</t>
  </si>
  <si>
    <t>S6B_L02</t>
  </si>
  <si>
    <t>S6B_L02_02</t>
  </si>
  <si>
    <t>S6B_L04</t>
  </si>
  <si>
    <t>S6B_L05</t>
  </si>
  <si>
    <t>S6B_L06</t>
  </si>
  <si>
    <t>S6B_L07</t>
  </si>
  <si>
    <t>S6B_L08</t>
  </si>
  <si>
    <t>S6B_L09</t>
  </si>
  <si>
    <t>S6B_L10</t>
  </si>
  <si>
    <t>S6B_L11</t>
  </si>
  <si>
    <t>S6B_L12</t>
  </si>
  <si>
    <t>S6B_L13</t>
  </si>
  <si>
    <t>S6B_L14</t>
  </si>
  <si>
    <t>S6B_L15</t>
  </si>
  <si>
    <t>S6B_L16</t>
  </si>
  <si>
    <t>S6B_L17</t>
  </si>
  <si>
    <t>S6B_L19</t>
  </si>
  <si>
    <t>S6B_L20</t>
  </si>
  <si>
    <t>S6C_02</t>
  </si>
  <si>
    <t>S6C_03</t>
  </si>
  <si>
    <t>S6C_04</t>
  </si>
  <si>
    <t>S6C_05</t>
  </si>
  <si>
    <t>S6C_06</t>
  </si>
  <si>
    <t>S6C_07</t>
  </si>
  <si>
    <t>S6C_08</t>
  </si>
  <si>
    <t>S6C_09</t>
  </si>
  <si>
    <t>S6C_10</t>
  </si>
  <si>
    <t>S6C_11</t>
  </si>
  <si>
    <t>S6C_12</t>
  </si>
  <si>
    <t>S6C_13</t>
  </si>
  <si>
    <t>S6C_14</t>
  </si>
  <si>
    <t>S6C_15</t>
  </si>
  <si>
    <t>S6C_L01</t>
  </si>
  <si>
    <t>S6C_L02</t>
  </si>
  <si>
    <t>S6C_L03</t>
  </si>
  <si>
    <t>S6C_L04</t>
  </si>
  <si>
    <t>S6C_L06</t>
  </si>
  <si>
    <t>S6C_L07</t>
  </si>
  <si>
    <t>S6C_L08</t>
  </si>
  <si>
    <t>S6C_L09</t>
  </si>
  <si>
    <t>S6C_L10</t>
  </si>
  <si>
    <t>S6C_L11</t>
  </si>
  <si>
    <t>S6C_L12</t>
  </si>
  <si>
    <t>S6C_L13</t>
  </si>
  <si>
    <t>S6D_01</t>
  </si>
  <si>
    <t>S6D_02</t>
  </si>
  <si>
    <t>S6D_03</t>
  </si>
  <si>
    <t>S6D_04</t>
  </si>
  <si>
    <t>S6D_05</t>
  </si>
  <si>
    <t>S6D_06</t>
  </si>
  <si>
    <t>S6D_07</t>
  </si>
  <si>
    <t>S6D_09</t>
  </si>
  <si>
    <t>S6D_L01</t>
  </si>
  <si>
    <t>S6D_L02</t>
  </si>
  <si>
    <t>SS_12</t>
  </si>
  <si>
    <t>S12_01</t>
  </si>
  <si>
    <t>S12_02</t>
  </si>
  <si>
    <t>S12_03</t>
  </si>
  <si>
    <t>S12_04</t>
  </si>
  <si>
    <t>S12_05</t>
  </si>
  <si>
    <t>S12_06</t>
  </si>
  <si>
    <t>S12_07</t>
  </si>
  <si>
    <t>S12_08</t>
  </si>
  <si>
    <t>S12_09</t>
  </si>
  <si>
    <t>S12_10</t>
  </si>
  <si>
    <t>S12_11</t>
  </si>
  <si>
    <t>S12_12</t>
  </si>
  <si>
    <t>S12_13</t>
  </si>
  <si>
    <t>S12_14</t>
  </si>
  <si>
    <t>S12_15</t>
  </si>
  <si>
    <t>S12_16</t>
  </si>
  <si>
    <t>S12_17</t>
  </si>
  <si>
    <t>S12_18</t>
  </si>
  <si>
    <t>S12_L01</t>
  </si>
  <si>
    <t>S12B_01</t>
  </si>
  <si>
    <t>S12B_02</t>
  </si>
  <si>
    <t>S12B_03</t>
  </si>
  <si>
    <t>S12B_04</t>
  </si>
  <si>
    <t>Eppe</t>
  </si>
  <si>
    <t>Puncak_Eppe</t>
  </si>
  <si>
    <t>Eppe_S01</t>
  </si>
  <si>
    <t>Eppe_S02</t>
  </si>
  <si>
    <t>Eppe_S03</t>
  </si>
  <si>
    <t>BR1_C02</t>
  </si>
  <si>
    <t>BR1-C2_S01</t>
  </si>
  <si>
    <t>Jl_KNW</t>
  </si>
  <si>
    <t>Jl_SRG</t>
  </si>
  <si>
    <t>Hauler</t>
  </si>
  <si>
    <t>Pile_ID</t>
  </si>
  <si>
    <t>Batch</t>
  </si>
  <si>
    <t>Remark</t>
  </si>
  <si>
    <t>Hauler Type</t>
  </si>
  <si>
    <t>Code</t>
  </si>
  <si>
    <t>Dump Truck</t>
  </si>
  <si>
    <t>DT</t>
  </si>
  <si>
    <t>Articulated Dump Truck</t>
  </si>
  <si>
    <t>ADT</t>
  </si>
  <si>
    <t>Front No</t>
  </si>
  <si>
    <t>PF Type</t>
  </si>
  <si>
    <t>Ore</t>
  </si>
  <si>
    <t>SAP</t>
  </si>
  <si>
    <t>LIM</t>
  </si>
  <si>
    <t>Class</t>
  </si>
  <si>
    <t>LGLO</t>
  </si>
  <si>
    <t>MGLO</t>
  </si>
  <si>
    <t>HGLO</t>
  </si>
  <si>
    <t>LGSO(-)</t>
  </si>
  <si>
    <t>MWS</t>
  </si>
  <si>
    <t>LGSO</t>
  </si>
  <si>
    <t>MGSO</t>
  </si>
  <si>
    <t>HGSO</t>
  </si>
  <si>
    <t>Ore:</t>
  </si>
  <si>
    <t>Rit</t>
  </si>
  <si>
    <t>Inc</t>
  </si>
  <si>
    <t>PENDING SAMPLES</t>
  </si>
  <si>
    <t>Truck_ID</t>
  </si>
  <si>
    <t>Input_Truck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</si>
  <si>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</si>
  <si>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</si>
  <si>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</si>
  <si>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</si>
  <si>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</si>
  <si>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</si>
  <si>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</si>
  <si>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</si>
  <si>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</si>
  <si>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</si>
  <si>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.</t>
  </si>
  <si>
    <t>PF</t>
  </si>
  <si>
    <t>Model</t>
  </si>
  <si>
    <t>SCM0268</t>
  </si>
  <si>
    <t>Mega Putri Arisanda</t>
  </si>
  <si>
    <t>SCM0285</t>
  </si>
  <si>
    <t>Ajumarlan</t>
  </si>
  <si>
    <t>SCM0299</t>
  </si>
  <si>
    <t>Imam Noor Setiadi</t>
  </si>
  <si>
    <t>SCM0333</t>
  </si>
  <si>
    <t>Raharjo Rahman</t>
  </si>
  <si>
    <t>SCM0607</t>
  </si>
  <si>
    <t>Imam Septian</t>
  </si>
  <si>
    <t>SCM1040</t>
  </si>
  <si>
    <t>Febi Prabowo</t>
  </si>
  <si>
    <t>SCM1135</t>
  </si>
  <si>
    <t>Yusran Abu'bakar</t>
  </si>
  <si>
    <t>SCM1148</t>
  </si>
  <si>
    <t>Sutomo Eka Putra</t>
  </si>
  <si>
    <t>SCM0290</t>
  </si>
  <si>
    <t>Hardin</t>
  </si>
  <si>
    <t>SCM0293</t>
  </si>
  <si>
    <t>Aswar Meilsandy</t>
  </si>
  <si>
    <t>SCM0601</t>
  </si>
  <si>
    <t>Erick Riyanto</t>
  </si>
  <si>
    <t>SCM0606</t>
  </si>
  <si>
    <t>Muh. Reski</t>
  </si>
  <si>
    <t>SCM0627</t>
  </si>
  <si>
    <t>Wahyudin Madilao</t>
  </si>
  <si>
    <t>SCM0897</t>
  </si>
  <si>
    <t>Aris Ashari</t>
  </si>
  <si>
    <t>SCM0898</t>
  </si>
  <si>
    <t>Yogi Ardianto</t>
  </si>
  <si>
    <t>SCM0899</t>
  </si>
  <si>
    <t>Rikal Ma'ruf</t>
  </si>
  <si>
    <t>SCM0931</t>
  </si>
  <si>
    <t>Irwan</t>
  </si>
  <si>
    <t>SCM0932</t>
  </si>
  <si>
    <t>Algiyul Belo Patiung</t>
  </si>
  <si>
    <t>SCM1077</t>
  </si>
  <si>
    <t>Krismala Ghiovanny Sepriyanti</t>
  </si>
  <si>
    <t>SCM1086</t>
  </si>
  <si>
    <t>Muhammad Farhan Putra</t>
  </si>
  <si>
    <t>SCM1087</t>
  </si>
  <si>
    <t>Ahmad Syaiful</t>
  </si>
  <si>
    <t>SCM1098</t>
  </si>
  <si>
    <t>Boy</t>
  </si>
  <si>
    <t>SCM1101</t>
  </si>
  <si>
    <t>Memory Putri Delima</t>
  </si>
  <si>
    <t>SCM1108</t>
  </si>
  <si>
    <t>Diran Ruista F R</t>
  </si>
  <si>
    <t>SCM1111</t>
  </si>
  <si>
    <t>Haris Sajri Saleh</t>
  </si>
  <si>
    <t>SCM1112</t>
  </si>
  <si>
    <t>Tryana Rahmat</t>
  </si>
  <si>
    <t>SCM1113</t>
  </si>
  <si>
    <t>Isran Husain</t>
  </si>
  <si>
    <t>SCM1120</t>
  </si>
  <si>
    <t>Teddy T W</t>
  </si>
  <si>
    <t>sector</t>
  </si>
  <si>
    <t>Smple</t>
  </si>
  <si>
    <t>Status</t>
  </si>
  <si>
    <t>_*Haulage_ID</t>
  </si>
  <si>
    <t>*</t>
  </si>
  <si>
    <t>Dest</t>
  </si>
  <si>
    <t>List_Front</t>
  </si>
  <si>
    <t>Dispatch By</t>
  </si>
  <si>
    <t>Job</t>
  </si>
  <si>
    <t>Dispatcher</t>
  </si>
  <si>
    <t>SHT/Road-A</t>
  </si>
  <si>
    <t>SHT/Road-E</t>
  </si>
  <si>
    <t>SHT/Road-AA</t>
  </si>
  <si>
    <t>SHT/SOM</t>
  </si>
  <si>
    <t>SHT/C01</t>
  </si>
  <si>
    <t>Ditambah</t>
  </si>
  <si>
    <t>DATA VALIDASI SAME FLEET</t>
  </si>
  <si>
    <t>Keterangan:</t>
  </si>
  <si>
    <t>Fleet Reff</t>
  </si>
  <si>
    <t>Incriment</t>
  </si>
  <si>
    <t>Dikeluarkan</t>
  </si>
  <si>
    <t>Total</t>
  </si>
  <si>
    <t>Packing</t>
  </si>
  <si>
    <t>Pile_ID_</t>
  </si>
  <si>
    <t>Deliver To</t>
  </si>
  <si>
    <t>Prep Stat</t>
  </si>
  <si>
    <t>Sampling House</t>
  </si>
  <si>
    <t>SHT/C05</t>
  </si>
  <si>
    <t>SS_16</t>
  </si>
  <si>
    <t>S16_01</t>
  </si>
  <si>
    <t>L39_02</t>
  </si>
  <si>
    <t>BR1C2_S01</t>
  </si>
  <si>
    <t>D</t>
  </si>
  <si>
    <t>Cont</t>
  </si>
  <si>
    <t>FLEET DETERMINATION</t>
  </si>
  <si>
    <t>Not Picked Up</t>
  </si>
  <si>
    <t>Remark*_</t>
  </si>
  <si>
    <t>Truck11</t>
  </si>
  <si>
    <t>Truck12</t>
  </si>
  <si>
    <t>Truck13</t>
  </si>
  <si>
    <t>Truck14</t>
  </si>
  <si>
    <t>Truck15</t>
  </si>
  <si>
    <t>Ganda</t>
  </si>
  <si>
    <t>Rit_F</t>
  </si>
  <si>
    <t>Rit_T</t>
  </si>
  <si>
    <t>bag</t>
  </si>
  <si>
    <t>Sample</t>
  </si>
  <si>
    <t>STM-A40_0119</t>
  </si>
  <si>
    <t>BR-C3_L10</t>
  </si>
  <si>
    <t>BR-C12_L12</t>
  </si>
  <si>
    <t>BR-C6_S10</t>
  </si>
  <si>
    <t>L18_S09</t>
  </si>
  <si>
    <t>S5_93</t>
  </si>
  <si>
    <t>L9_26</t>
  </si>
  <si>
    <t>STM-A40_0121</t>
  </si>
  <si>
    <t>STM-A40_0107</t>
  </si>
  <si>
    <t>STM-A40_0105</t>
  </si>
  <si>
    <t>STM-A40_0136</t>
  </si>
  <si>
    <t>STM-A40_0106</t>
  </si>
  <si>
    <t>STM-A40_0098</t>
  </si>
  <si>
    <t>STM-A40_0087</t>
  </si>
  <si>
    <t>STM-A40_0133</t>
  </si>
  <si>
    <t>STM-A40_0132</t>
  </si>
  <si>
    <t>STM-A40_0097</t>
  </si>
  <si>
    <t>STM-A40_0068</t>
  </si>
  <si>
    <t>STM-A40_0069</t>
  </si>
  <si>
    <t>STM-A40_0096</t>
  </si>
  <si>
    <t>STM-A40_0095</t>
  </si>
  <si>
    <t>STM-A40_0131</t>
  </si>
  <si>
    <t>STM-A40_0135</t>
  </si>
  <si>
    <t>STM-A40_0103</t>
  </si>
  <si>
    <t>STM-A40_2010</t>
  </si>
  <si>
    <t>BR1/01</t>
  </si>
  <si>
    <t>BR1/02</t>
  </si>
  <si>
    <t>BR1/04</t>
  </si>
  <si>
    <t>BR1/05</t>
  </si>
  <si>
    <t>BR1/03</t>
  </si>
  <si>
    <t>Sampler</t>
  </si>
  <si>
    <t>STM-A40_0088</t>
  </si>
  <si>
    <t>STM-A40_0067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</si>
</sst>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0000"/>
    <numFmt numFmtId="165" formatCode="[$-409]dd\-mmm\-yy;@"/>
    <numFmt numFmtId="166" formatCode="&quot;/&quot;\ @"/>
    <numFmt numFmtId="167" formatCode="0;\-0;&quot;&quot;;@"/>
    <numFmt numFmtId="168" formatCode="00"/>
  </numFmts>
  <fonts count="1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1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4" tint="-0.499984740745262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b/>
      <sz val="8"/>
      <color theme="4" tint="-0.499984740745262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AFFFFF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A02B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hair">
        <color indexed="64"/>
      </bottom>
      <diagonal/>
    </border>
    <border>
      <left/>
      <right style="thin">
        <color theme="1"/>
      </right>
      <top style="hair">
        <color indexed="64"/>
      </top>
      <bottom style="hair">
        <color indexed="64"/>
      </bottom>
      <diagonal/>
    </border>
    <border>
      <left/>
      <right style="thin">
        <color theme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156082"/>
      </right>
      <top/>
      <bottom/>
      <diagonal/>
    </border>
    <border>
      <left style="thin">
        <color rgb="FF156082"/>
      </left>
      <right style="thin">
        <color rgb="FF156082"/>
      </right>
      <top/>
      <bottom/>
      <diagonal/>
    </border>
    <border>
      <left style="thin">
        <color rgb="FF156082"/>
      </left>
      <right/>
      <top/>
      <bottom/>
      <diagonal/>
    </border>
    <border>
      <left/>
      <right style="thin">
        <color rgb="FFA02B93"/>
      </right>
      <top/>
      <bottom/>
      <diagonal/>
    </border>
    <border>
      <left style="thin">
        <color rgb="FFA02B93"/>
      </left>
      <right style="thin">
        <color rgb="FFA02B93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A02B9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hair">
        <color indexed="64"/>
      </bottom>
      <diagonal/>
    </border>
    <border>
      <left/>
      <right style="thin">
        <color theme="1"/>
      </right>
      <top style="hair">
        <color indexed="64"/>
      </top>
      <bottom/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65" fontId="0" fillId="0" borderId="0" xfId="0" applyNumberFormat="1"/>
    <xf numFmtId="0" fontId="2" fillId="0" borderId="2" xfId="0" applyFont="1" applyBorder="1" applyAlignment="1">
      <alignment horizontal="centerContinuous"/>
    </xf>
    <xf numFmtId="0" fontId="0" fillId="4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165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5" fontId="3" fillId="0" borderId="0" xfId="0" applyNumberFormat="1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4" fillId="6" borderId="1" xfId="0" applyFont="1" applyFill="1" applyBorder="1"/>
    <xf numFmtId="0" fontId="4" fillId="6" borderId="2" xfId="0" applyFont="1" applyFill="1" applyBorder="1"/>
    <xf numFmtId="0" fontId="0" fillId="0" borderId="14" xfId="0" applyBorder="1" applyProtection="1">
      <protection locked="0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41" fontId="6" fillId="0" borderId="8" xfId="0" applyNumberFormat="1" applyFont="1" applyBorder="1" applyAlignment="1" applyProtection="1">
      <alignment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6" fillId="0" borderId="8" xfId="0" applyNumberFormat="1" applyFont="1" applyBorder="1" applyAlignment="1" applyProtection="1">
      <alignment horizontal="right" vertical="center"/>
      <protection locked="0"/>
    </xf>
    <xf numFmtId="0" fontId="0" fillId="0" borderId="0" xfId="0" applyProtection="1">
      <protection locked="0"/>
    </xf>
    <xf numFmtId="0" fontId="3" fillId="10" borderId="4" xfId="0" applyFont="1" applyFill="1" applyBorder="1" applyAlignment="1" applyProtection="1">
      <alignment horizontal="left" vertical="center"/>
      <protection locked="0"/>
    </xf>
    <xf numFmtId="0" fontId="3" fillId="10" borderId="0" xfId="0" applyFont="1" applyFill="1" applyAlignment="1">
      <alignment vertical="center"/>
    </xf>
    <xf numFmtId="0" fontId="3" fillId="10" borderId="5" xfId="0" applyFont="1" applyFill="1" applyBorder="1" applyAlignment="1" applyProtection="1">
      <alignment horizontal="left" vertical="center"/>
      <protection locked="0"/>
    </xf>
    <xf numFmtId="0" fontId="3" fillId="10" borderId="6" xfId="0" applyFont="1" applyFill="1" applyBorder="1" applyAlignment="1" applyProtection="1">
      <alignment horizontal="left" vertical="center"/>
      <protection locked="0"/>
    </xf>
    <xf numFmtId="0" fontId="3" fillId="11" borderId="4" xfId="0" applyFont="1" applyFill="1" applyBorder="1" applyAlignment="1" applyProtection="1">
      <alignment horizontal="left" vertical="center"/>
      <protection locked="0"/>
    </xf>
    <xf numFmtId="0" fontId="3" fillId="11" borderId="0" xfId="0" applyFont="1" applyFill="1" applyAlignment="1">
      <alignment vertical="center"/>
    </xf>
    <xf numFmtId="0" fontId="3" fillId="11" borderId="5" xfId="0" applyFont="1" applyFill="1" applyBorder="1" applyAlignment="1" applyProtection="1">
      <alignment horizontal="left" vertical="center"/>
      <protection locked="0"/>
    </xf>
    <xf numFmtId="0" fontId="3" fillId="11" borderId="6" xfId="0" applyFont="1" applyFill="1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vertical="center"/>
      <protection locked="0"/>
    </xf>
    <xf numFmtId="0" fontId="0" fillId="13" borderId="0" xfId="0" applyFill="1" applyAlignment="1">
      <alignment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left" vertical="center"/>
    </xf>
    <xf numFmtId="0" fontId="10" fillId="7" borderId="2" xfId="0" applyFont="1" applyFill="1" applyBorder="1" applyAlignment="1">
      <alignment vertical="center"/>
    </xf>
    <xf numFmtId="0" fontId="3" fillId="2" borderId="11" xfId="0" applyFont="1" applyFill="1" applyBorder="1" applyAlignment="1" applyProtection="1">
      <alignment vertical="center"/>
      <protection locked="0"/>
    </xf>
    <xf numFmtId="0" fontId="3" fillId="2" borderId="12" xfId="0" applyFont="1" applyFill="1" applyBorder="1" applyAlignment="1" applyProtection="1">
      <alignment vertical="center"/>
      <protection locked="0"/>
    </xf>
    <xf numFmtId="0" fontId="8" fillId="7" borderId="2" xfId="0" applyFont="1" applyFill="1" applyBorder="1" applyAlignment="1">
      <alignment vertical="center"/>
    </xf>
    <xf numFmtId="167" fontId="4" fillId="14" borderId="0" xfId="0" applyNumberFormat="1" applyFont="1" applyFill="1" applyAlignment="1">
      <alignment horizontal="center" vertical="center"/>
    </xf>
    <xf numFmtId="167" fontId="0" fillId="0" borderId="0" xfId="0" applyNumberFormat="1" applyAlignment="1">
      <alignment vertical="center"/>
    </xf>
    <xf numFmtId="0" fontId="5" fillId="16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12" fillId="7" borderId="15" xfId="0" applyFont="1" applyFill="1" applyBorder="1" applyAlignment="1" applyProtection="1">
      <alignment vertical="center"/>
      <protection locked="0"/>
    </xf>
    <xf numFmtId="0" fontId="5" fillId="0" borderId="0" xfId="0" applyFont="1"/>
    <xf numFmtId="0" fontId="11" fillId="12" borderId="0" xfId="0" applyFont="1" applyFill="1" applyAlignment="1">
      <alignment horizontal="right" vertical="center"/>
    </xf>
    <xf numFmtId="167" fontId="8" fillId="17" borderId="0" xfId="0" applyNumberFormat="1" applyFont="1" applyFill="1" applyAlignment="1">
      <alignment horizontal="center" vertical="center"/>
    </xf>
    <xf numFmtId="0" fontId="0" fillId="17" borderId="0" xfId="0" applyFill="1"/>
    <xf numFmtId="0" fontId="0" fillId="17" borderId="0" xfId="0" applyFill="1" applyAlignment="1">
      <alignment horizontal="center" vertical="center"/>
    </xf>
    <xf numFmtId="0" fontId="0" fillId="17" borderId="0" xfId="0" applyFill="1" applyAlignment="1">
      <alignment horizontal="center"/>
    </xf>
    <xf numFmtId="165" fontId="8" fillId="12" borderId="0" xfId="0" applyNumberFormat="1" applyFont="1" applyFill="1" applyAlignment="1">
      <alignment vertical="center"/>
    </xf>
    <xf numFmtId="165" fontId="0" fillId="13" borderId="0" xfId="0" applyNumberFormat="1" applyFill="1" applyAlignment="1">
      <alignment vertical="center"/>
    </xf>
    <xf numFmtId="165" fontId="9" fillId="13" borderId="0" xfId="0" applyNumberFormat="1" applyFont="1" applyFill="1" applyAlignment="1">
      <alignment vertical="center"/>
    </xf>
    <xf numFmtId="165" fontId="5" fillId="13" borderId="0" xfId="0" applyNumberFormat="1" applyFont="1" applyFill="1" applyAlignment="1">
      <alignment vertical="center"/>
    </xf>
    <xf numFmtId="165" fontId="0" fillId="0" borderId="0" xfId="0" applyNumberFormat="1" applyAlignment="1">
      <alignment vertical="center"/>
    </xf>
    <xf numFmtId="0" fontId="10" fillId="4" borderId="1" xfId="0" applyFont="1" applyFill="1" applyBorder="1" applyAlignment="1" applyProtection="1">
      <alignment horizontal="right"/>
      <protection locked="0"/>
    </xf>
    <xf numFmtId="165" fontId="10" fillId="2" borderId="1" xfId="0" applyNumberFormat="1" applyFont="1" applyFill="1" applyBorder="1" applyProtection="1">
      <protection locked="0"/>
    </xf>
    <xf numFmtId="166" fontId="10" fillId="3" borderId="1" xfId="0" applyNumberFormat="1" applyFont="1" applyFill="1" applyBorder="1" applyAlignment="1" applyProtection="1">
      <alignment horizontal="left"/>
      <protection locked="0"/>
    </xf>
    <xf numFmtId="167" fontId="0" fillId="0" borderId="0" xfId="0" applyNumberFormat="1" applyAlignment="1">
      <alignment horizontal="center" vertical="center"/>
    </xf>
    <xf numFmtId="167" fontId="4" fillId="9" borderId="0" xfId="0" applyNumberFormat="1" applyFont="1" applyFill="1" applyAlignment="1">
      <alignment horizontal="center" vertical="center"/>
    </xf>
    <xf numFmtId="168" fontId="0" fillId="0" borderId="13" xfId="0" applyNumberFormat="1" applyBorder="1" applyAlignment="1" applyProtection="1">
      <alignment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6" xfId="0" applyBorder="1" applyProtection="1">
      <protection locked="0"/>
    </xf>
    <xf numFmtId="0" fontId="13" fillId="17" borderId="0" xfId="0" applyFont="1" applyFill="1"/>
    <xf numFmtId="0" fontId="13" fillId="0" borderId="0" xfId="0" applyFont="1"/>
    <xf numFmtId="0" fontId="5" fillId="18" borderId="0" xfId="0" applyFont="1" applyFill="1" applyAlignment="1">
      <alignment horizontal="center" vertical="center"/>
    </xf>
    <xf numFmtId="43" fontId="0" fillId="0" borderId="0" xfId="1" applyFont="1" applyAlignment="1">
      <alignment vertical="center"/>
    </xf>
    <xf numFmtId="0" fontId="15" fillId="17" borderId="0" xfId="0" applyFont="1" applyFill="1" applyAlignment="1">
      <alignment horizontal="center" vertical="center"/>
    </xf>
    <xf numFmtId="0" fontId="0" fillId="10" borderId="17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167" fontId="0" fillId="0" borderId="0" xfId="1" applyNumberFormat="1" applyFont="1" applyAlignment="1">
      <alignment vertical="center"/>
    </xf>
    <xf numFmtId="167" fontId="0" fillId="5" borderId="0" xfId="1" applyNumberFormat="1" applyFont="1" applyFill="1" applyAlignment="1">
      <alignment vertical="center"/>
    </xf>
    <xf numFmtId="0" fontId="13" fillId="17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17" borderId="0" xfId="0" applyFont="1" applyFill="1" applyAlignment="1">
      <alignment horizontal="center"/>
    </xf>
    <xf numFmtId="0" fontId="13" fillId="17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5" fillId="17" borderId="0" xfId="0" applyFont="1" applyFill="1" applyAlignment="1">
      <alignment horizontal="center"/>
    </xf>
    <xf numFmtId="0" fontId="16" fillId="17" borderId="0" xfId="0" applyFont="1" applyFill="1" applyAlignment="1">
      <alignment horizontal="right" vertical="center"/>
    </xf>
    <xf numFmtId="0" fontId="16" fillId="17" borderId="0" xfId="0" applyFont="1" applyFill="1" applyAlignment="1">
      <alignment horizontal="center"/>
    </xf>
    <xf numFmtId="0" fontId="16" fillId="17" borderId="0" xfId="0" applyFont="1" applyFill="1" applyAlignment="1">
      <alignment horizontal="left"/>
    </xf>
    <xf numFmtId="0" fontId="1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11" borderId="18" xfId="0" applyFont="1" applyFill="1" applyBorder="1" applyAlignment="1" applyProtection="1">
      <alignment horizontal="left" vertical="center"/>
      <protection locked="0"/>
    </xf>
    <xf numFmtId="0" fontId="3" fillId="11" borderId="19" xfId="0" applyFont="1" applyFill="1" applyBorder="1" applyAlignment="1" applyProtection="1">
      <alignment horizontal="left" vertical="center"/>
      <protection locked="0"/>
    </xf>
    <xf numFmtId="0" fontId="10" fillId="5" borderId="1" xfId="0" applyFont="1" applyFill="1" applyBorder="1" applyAlignment="1" applyProtection="1">
      <alignment horizontal="left"/>
      <protection locked="0"/>
    </xf>
    <xf numFmtId="0" fontId="4" fillId="9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18" fillId="17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42"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/>
        <i/>
      </font>
      <fill>
        <patternFill>
          <bgColor theme="0" tint="-4.9989318521683403E-2"/>
        </patternFill>
      </fill>
      <border>
        <bottom style="thin">
          <color auto="1"/>
        </bottom>
      </border>
    </dxf>
    <dxf>
      <font>
        <b val="0"/>
        <i val="0"/>
      </font>
      <fill>
        <patternFill>
          <bgColor theme="9" tint="0.79998168889431442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rgb="FFA02B93"/>
        </left>
        <right style="thin">
          <color rgb="FFA02B93"/>
        </right>
        <top style="thin">
          <color rgb="FFA02B93"/>
        </top>
        <bottom style="thin">
          <color rgb="FFA02B93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ill>
        <patternFill>
          <bgColor rgb="FFFF0066"/>
        </patternFill>
      </fill>
    </dxf>
    <dxf>
      <fill>
        <patternFill>
          <bgColor rgb="FFFFFF00"/>
        </patternFill>
      </fill>
    </dxf>
    <dxf>
      <fill>
        <patternFill>
          <bgColor rgb="FFFF0066"/>
        </patternFill>
      </fill>
    </dxf>
    <dxf>
      <fill>
        <patternFill>
          <bgColor rgb="FFFF0066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0066"/>
        </patternFill>
      </fill>
    </dxf>
    <dxf>
      <fill>
        <patternFill>
          <bgColor rgb="FFFFD597"/>
        </patternFill>
      </fill>
    </dxf>
    <dxf>
      <fill>
        <patternFill>
          <bgColor rgb="FF97FFEB"/>
        </patternFill>
      </fill>
    </dxf>
    <dxf>
      <fill>
        <patternFill>
          <bgColor rgb="FFFF0066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ill>
        <patternFill>
          <bgColor rgb="FFFF0066"/>
        </patternFill>
      </fill>
    </dxf>
    <dxf>
      <fill>
        <patternFill>
          <bgColor rgb="FFFFFF00"/>
        </patternFill>
      </fill>
    </dxf>
    <dxf>
      <fill>
        <patternFill>
          <bgColor rgb="FFFF0066"/>
        </patternFill>
      </fill>
    </dxf>
    <dxf>
      <fill>
        <patternFill>
          <bgColor rgb="FFFF0066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0066"/>
        </patternFill>
      </fill>
    </dxf>
    <dxf>
      <fill>
        <patternFill>
          <bgColor rgb="FFFFD597"/>
        </patternFill>
      </fill>
    </dxf>
    <dxf>
      <fill>
        <patternFill>
          <bgColor rgb="FF97FFEB"/>
        </patternFill>
      </fill>
    </dxf>
    <dxf>
      <fill>
        <patternFill>
          <bgColor rgb="FFFF0066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ill>
        <patternFill>
          <bgColor rgb="FFFF0066"/>
        </patternFill>
      </fill>
    </dxf>
    <dxf>
      <fill>
        <patternFill>
          <bgColor rgb="FFFFFF00"/>
        </patternFill>
      </fill>
    </dxf>
    <dxf>
      <fill>
        <patternFill>
          <bgColor rgb="FFFF0066"/>
        </patternFill>
      </fill>
    </dxf>
    <dxf>
      <fill>
        <patternFill>
          <bgColor rgb="FFFF0066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0066"/>
        </patternFill>
      </fill>
    </dxf>
    <dxf>
      <fill>
        <patternFill>
          <bgColor rgb="FFFFD597"/>
        </patternFill>
      </fill>
    </dxf>
    <dxf>
      <fill>
        <patternFill>
          <bgColor rgb="FF97FFEB"/>
        </patternFill>
      </fill>
    </dxf>
    <dxf>
      <fill>
        <patternFill>
          <bgColor rgb="FFFF0066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ill>
        <patternFill>
          <bgColor rgb="FFFF0066"/>
        </patternFill>
      </fill>
    </dxf>
    <dxf>
      <fill>
        <patternFill>
          <bgColor rgb="FFFFFF00"/>
        </patternFill>
      </fill>
    </dxf>
    <dxf>
      <fill>
        <patternFill>
          <bgColor rgb="FFFF0066"/>
        </patternFill>
      </fill>
    </dxf>
    <dxf>
      <fill>
        <patternFill>
          <bgColor rgb="FFFF0066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0066"/>
        </patternFill>
      </fill>
    </dxf>
    <dxf>
      <fill>
        <patternFill>
          <bgColor rgb="FFFFD597"/>
        </patternFill>
      </fill>
    </dxf>
    <dxf>
      <fill>
        <patternFill>
          <bgColor rgb="FF97FFEB"/>
        </patternFill>
      </fill>
    </dxf>
    <dxf>
      <fill>
        <patternFill>
          <bgColor rgb="FFFF0066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ill>
        <patternFill>
          <bgColor rgb="FFFF0066"/>
        </patternFill>
      </fill>
    </dxf>
    <dxf>
      <fill>
        <patternFill>
          <bgColor rgb="FFFFFF00"/>
        </patternFill>
      </fill>
    </dxf>
    <dxf>
      <fill>
        <patternFill>
          <bgColor rgb="FFFF0066"/>
        </patternFill>
      </fill>
    </dxf>
    <dxf>
      <fill>
        <patternFill>
          <bgColor rgb="FFFF0066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0066"/>
        </patternFill>
      </fill>
    </dxf>
    <dxf>
      <fill>
        <patternFill>
          <bgColor rgb="FFFFD597"/>
        </patternFill>
      </fill>
    </dxf>
    <dxf>
      <fill>
        <patternFill>
          <bgColor rgb="FF97FFEB"/>
        </patternFill>
      </fill>
    </dxf>
    <dxf>
      <fill>
        <patternFill>
          <bgColor rgb="FFFF0066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FF0066"/>
        </patternFill>
      </fill>
    </dxf>
    <dxf>
      <fill>
        <patternFill>
          <bgColor rgb="FFFF0066"/>
        </patternFill>
      </fill>
    </dxf>
    <dxf>
      <fill>
        <patternFill>
          <bgColor rgb="FFFFFF00"/>
        </patternFill>
      </fill>
    </dxf>
    <dxf>
      <fill>
        <patternFill>
          <bgColor rgb="FFFF0066"/>
        </patternFill>
      </fill>
    </dxf>
    <dxf>
      <fill>
        <patternFill>
          <bgColor rgb="FFFF0066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0066"/>
        </patternFill>
      </fill>
    </dxf>
    <dxf>
      <fill>
        <patternFill>
          <bgColor rgb="FFFFD597"/>
        </patternFill>
      </fill>
    </dxf>
    <dxf>
      <fill>
        <patternFill>
          <bgColor rgb="FF97FFEB"/>
        </patternFill>
      </fill>
    </dxf>
    <dxf>
      <fill>
        <patternFill>
          <bgColor rgb="FFFF0066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00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bottom style="thin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966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alignment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rgb="FFA02B93"/>
        </left>
        <right/>
        <top/>
        <bottom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rgb="FFA02B93"/>
        </left>
        <right style="thin">
          <color rgb="FFA02B93"/>
        </right>
        <top/>
        <bottom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rgb="FFA02B93"/>
        </left>
        <right style="thin">
          <color rgb="FFA02B93"/>
        </right>
        <top/>
        <bottom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rgb="FFA02B93"/>
        </left>
        <right style="thin">
          <color rgb="FFA02B93"/>
        </right>
        <top/>
        <bottom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A02B93"/>
        </right>
        <top/>
        <bottom/>
        <vertical/>
        <horizontal/>
      </border>
      <protection locked="0" hidden="0"/>
    </dxf>
    <dxf>
      <numFmt numFmtId="168" formatCode="00"/>
      <alignment vertical="center" textRotation="0" wrapText="0" indent="0" justifyLastLine="0" shrinkToFit="0" readingOrder="0"/>
      <border diagonalUp="0" diagonalDown="0">
        <left/>
        <right style="thin">
          <color rgb="FFA02B93"/>
        </right>
        <top/>
        <bottom/>
      </border>
      <protection locked="0" hidden="0"/>
    </dxf>
    <dxf>
      <alignment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0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3" formatCode="_(* #,##0_);_(* \(#,##0\);_(* &quot;-&quot;_);_(@_)"/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1" hidden="1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0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3" formatCode="_(* #,##0_);_(* \(#,##0\);_(* &quot;-&quot;_);_(@_)"/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1" hidden="1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0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3" formatCode="_(* #,##0_);_(* \(#,##0\);_(* &quot;-&quot;_);_(@_)"/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1" hidden="1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0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3" formatCode="_(* #,##0_);_(* \(#,##0\);_(* &quot;-&quot;_);_(@_)"/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1" hidden="1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0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3" formatCode="_(* #,##0_);_(* \(#,##0\);_(* &quot;-&quot;_);_(@_)"/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1" hidden="1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156082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156082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156082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156082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156082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156082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156082"/>
        </left>
        <right style="thin">
          <color rgb="FF156082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156082"/>
        </left>
        <right style="thin">
          <color rgb="FF156082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156082"/>
        </left>
        <right style="thin">
          <color rgb="FF156082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156082"/>
        </left>
        <right style="thin">
          <color rgb="FF156082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156082"/>
        </left>
        <right style="thin">
          <color rgb="FF156082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156082"/>
        </left>
        <right style="thin">
          <color rgb="FF156082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156082"/>
        </left>
        <right style="thin">
          <color rgb="FF156082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156082"/>
        </left>
        <right style="thin">
          <color rgb="FF156082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156082"/>
        </left>
        <right style="thin">
          <color rgb="FF156082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general" vertical="center" textRotation="0" wrapText="0" indent="0" justifyLastLine="0" shrinkToFit="0" readingOrder="0"/>
      <border diagonalUp="0" diagonalDown="0">
        <left style="thin">
          <color rgb="FF156082"/>
        </left>
        <right style="thin">
          <color rgb="FF156082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156082"/>
        </left>
        <right style="thin">
          <color rgb="FF156082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rgb="FF156082"/>
        </left>
        <right style="thin">
          <color rgb="FF156082"/>
        </right>
        <top/>
        <bottom/>
        <vertical style="thin">
          <color rgb="FF156082"/>
        </vertical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rgb="FF156082"/>
        </left>
        <right style="thin">
          <color rgb="FF156082"/>
        </right>
        <top/>
        <bottom/>
        <vertical style="thin">
          <color rgb="FF156082"/>
        </vertical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156082"/>
        </right>
        <top/>
        <bottom/>
        <vertical style="thin">
          <color rgb="FF156082"/>
        </vertical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hair">
          <color indexed="64"/>
        </top>
        <bottom style="hair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1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center" textRotation="0" wrapText="0" indent="0" justifyLastLine="0" shrinkToFit="0" readingOrder="0"/>
      <border diagonalUp="0" diagonalDown="0">
        <left style="thin">
          <color rgb="FFA02B93"/>
        </left>
        <right/>
        <top/>
        <bottom/>
        <vertical style="thin">
          <color rgb="FFA02B93"/>
        </vertical>
        <horizontal/>
      </border>
      <protection locked="0" hidden="0"/>
    </dxf>
    <dxf>
      <border diagonalUp="0" diagonalDown="0">
        <left style="thin">
          <color rgb="FFA02B93"/>
        </left>
        <right style="thin">
          <color rgb="FFA02B93"/>
        </right>
        <top/>
        <bottom/>
        <vertical style="thin">
          <color rgb="FFA02B93"/>
        </vertical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rgb="FFA02B93"/>
        </left>
        <right style="thin">
          <color rgb="FFA02B93"/>
        </right>
        <top/>
        <bottom/>
        <vertical style="thin">
          <color rgb="FFA02B93"/>
        </vertical>
        <horizontal/>
      </border>
      <protection locked="0" hidden="0"/>
    </dxf>
    <dxf>
      <border diagonalUp="0" diagonalDown="0">
        <left/>
        <right style="thin">
          <color rgb="FFA02B93"/>
        </right>
        <top/>
        <bottom/>
        <vertical style="thin">
          <color rgb="FFA02B93"/>
        </vertical>
        <horizontal/>
      </border>
      <protection locked="0" hidden="0"/>
    </dxf>
    <dxf>
      <border diagonalUp="0" diagonalDown="0">
        <left/>
        <right style="thin">
          <color rgb="FFA02B93"/>
        </right>
        <top/>
        <bottom/>
        <vertical/>
        <horizontal/>
      </border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hair">
          <color indexed="64"/>
        </top>
        <bottom style="hair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  <protection locked="0" hidden="0"/>
    </dxf>
    <dxf>
      <alignment horizontal="general" vertical="center" textRotation="0" wrapText="0" indent="0" justifyLastLine="0" shrinkToFit="0" readingOrder="0"/>
      <protection locked="0" hidden="0"/>
    </dxf>
    <dxf>
      <alignment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center" textRotation="0" wrapText="0" indent="0" justifyLastLine="0" shrinkToFit="0" readingOrder="0"/>
      <protection locked="0" hidden="0"/>
    </dxf>
    <dxf>
      <alignment horizontal="general" vertical="top" textRotation="0" wrapText="0" indent="0" justifyLastLine="0" shrinkToFit="0" readingOrder="0"/>
      <protection locked="0" hidden="0"/>
    </dxf>
    <dxf>
      <alignment horizontal="general" vertical="top" textRotation="0" indent="0" justifyLastLine="0" shrinkToFit="0" readingOrder="0"/>
      <protection locked="0" hidden="0"/>
    </dxf>
    <dxf>
      <alignment horizontal="general" vertical="bottom" textRotation="0" wrapText="1" indent="0" justifyLastLine="0" shrinkToFit="0" readingOrder="0"/>
    </dxf>
    <dxf>
      <numFmt numFmtId="164" formatCode="0000"/>
      <alignment vertical="center" textRotation="0" wrapText="0" indent="0" justifyLastLine="0" shrinkToFit="0" readingOrder="0"/>
      <protection locked="0" hidden="0"/>
    </dxf>
    <dxf>
      <alignment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diagonalUp="0" diagonalDown="0">
        <left style="thin">
          <color rgb="FFA02B93"/>
        </left>
        <right/>
        <top/>
        <bottom/>
        <vertical style="thin">
          <color rgb="FFA02B93"/>
        </vertical>
        <horizontal/>
      </border>
      <protection locked="0" hidden="0"/>
    </dxf>
    <dxf>
      <border diagonalUp="0" diagonalDown="0">
        <left style="thin">
          <color rgb="FFA02B93"/>
        </left>
        <right style="thin">
          <color rgb="FFA02B93"/>
        </right>
        <top/>
        <bottom/>
        <vertical style="thin">
          <color rgb="FFA02B93"/>
        </vertical>
        <horizontal/>
      </border>
      <protection locked="0" hidden="0"/>
    </dxf>
    <dxf>
      <border diagonalUp="0" diagonalDown="0">
        <left style="thin">
          <color rgb="FFA02B93"/>
        </left>
        <right style="thin">
          <color rgb="FFA02B93"/>
        </right>
        <top/>
        <bottom/>
        <vertical style="thin">
          <color rgb="FFA02B93"/>
        </vertical>
        <horizontal/>
      </border>
      <protection locked="0" hidden="0"/>
    </dxf>
    <dxf>
      <border diagonalUp="0" diagonalDown="0">
        <left/>
        <right style="thin">
          <color rgb="FFA02B93"/>
        </right>
        <top/>
        <bottom/>
        <vertical style="thin">
          <color rgb="FFA02B93"/>
        </vertical>
        <horizontal/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0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3" formatCode="_(* #,##0_);_(* \(#,##0\);_(* &quot;-&quot;_);_(@_)"/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1" hidden="1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0066"/>
      <color rgb="FFFF6699"/>
      <color rgb="FFA02B93"/>
      <color rgb="FF9966FF"/>
      <color rgb="FF156082"/>
      <color rgb="FFFFFFCC"/>
      <color rgb="FFDCEAF8"/>
      <color rgb="FFCCECFF"/>
      <color rgb="FFFFD597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1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E4E0D5-3F06-426C-ABB5-909A63E6335F}" name="Emply_Crew" displayName="Emply_Crew" ref="E1:G154" totalsRowShown="0" dataDxfId="233">
  <autoFilter ref="E1:G154" xr:uid="{B7E4E0D5-3F06-426C-ABB5-909A63E6335F}"/>
  <sortState xmlns:xlrd2="http://schemas.microsoft.com/office/spreadsheetml/2017/richdata2" ref="E2:F154">
    <sortCondition ref="E1:E154"/>
  </sortState>
  <tableColumns count="3">
    <tableColumn id="1" xr3:uid="{24E6F1B8-B3EE-4A22-9155-7CDA82DA0A10}" name="NIK" dataDxfId="232"/>
    <tableColumn id="2" xr3:uid="{7032205C-1ADE-4FD0-8202-4728A387BFB5}" name="EMP_NAME" dataDxfId="231"/>
    <tableColumn id="3" xr3:uid="{EA45677C-457D-4EB2-A84C-DB9AC3E223FD}" name="Job" dataDxfId="230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157A5B4-D293-4ABB-864F-9F3DDF8F3BA2}" name="Location" displayName="Location" ref="K1:L15" totalsRowShown="0" dataDxfId="229">
  <autoFilter ref="K1:L15" xr:uid="{7157A5B4-D293-4ABB-864F-9F3DDF8F3BA2}"/>
  <tableColumns count="2">
    <tableColumn id="1" xr3:uid="{677ECBCB-1811-4A10-861B-19D3BCFA53AF}" name="Sector" dataDxfId="228"/>
    <tableColumn id="2" xr3:uid="{2F86694F-104D-4DF5-B8D4-14E1C55AC7D1}" name="Sampling House" dataDxfId="227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CCC3DB-B218-4846-BE86-DB9338C26DBB}" name="Pile_area" displayName="Pile_area" ref="N1:Q2530" totalsRowShown="0" dataDxfId="226">
  <autoFilter ref="N1:Q2530" xr:uid="{0A8F4747-4EC7-4CEC-966E-6BE1023727A6}"/>
  <tableColumns count="4">
    <tableColumn id="1" xr3:uid="{63E4020B-14FF-4EA0-9D71-55782736F1CD}" name="sector" dataDxfId="225"/>
    <tableColumn id="2" xr3:uid="{F4DC24FD-4072-46A4-A1CF-71CC289AAE30}" name="stockpile" dataDxfId="224"/>
    <tableColumn id="3" xr3:uid="{C1CE42CF-D329-4CA1-A98B-5DDDC4E19163}" name="pile_id" dataDxfId="223"/>
    <tableColumn id="4" xr3:uid="{6584B0E5-7124-4DB7-A8BA-5DF1EA7FA858}" name="Ore" dataDxfId="222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5DD507-6351-4132-B5EB-6CE5C85A78FB}" name="Sector" displayName="Sector" ref="I1:I27" totalsRowShown="0" dataDxfId="221">
  <autoFilter ref="I1:I27" xr:uid="{365DD507-6351-4132-B5EB-6CE5C85A78FB}"/>
  <tableColumns count="1">
    <tableColumn id="1" xr3:uid="{E05BD5B9-6C29-44D5-A1DC-DC6E87ADA9EB}" name="Sector" dataDxfId="220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6392B43-B202-484E-8B1E-8E422271DDA4}" name="Ore_Class" displayName="Ore_Class" ref="U1:V12" totalsRowShown="0" dataDxfId="219">
  <autoFilter ref="U1:V12" xr:uid="{B6392B43-B202-484E-8B1E-8E422271DDA4}"/>
  <tableColumns count="2">
    <tableColumn id="1" xr3:uid="{52550CB0-907A-4810-AC5C-5D033FD0EEF8}" name="Ore" dataDxfId="218"/>
    <tableColumn id="2" xr3:uid="{E9EC049D-F79C-49BC-A70C-E6CB28783D0F}" name="Class" dataDxfId="217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424247A-69B5-4789-AEE0-045F82D31CA5}" name="Int_Sample" displayName="Int_Sample" ref="X1:AA5" totalsRowShown="0" dataDxfId="216">
  <autoFilter ref="X1:AA5" xr:uid="{E424247A-69B5-4789-AEE0-045F82D31CA5}"/>
  <tableColumns count="4">
    <tableColumn id="1" xr3:uid="{6B2A02EA-356F-401B-9D3C-470255D3A4F7}" name="Ore" dataDxfId="215"/>
    <tableColumn id="2" xr3:uid="{22CC10F6-1420-4CBC-A36B-EEF142B05344}" name="Inc" dataDxfId="214"/>
    <tableColumn id="3" xr3:uid="{968C0B0E-EB54-4C49-8406-6DE3D74CD638}" name="Batch" dataDxfId="213"/>
    <tableColumn id="4" xr3:uid="{08D96433-B3CC-4364-8786-AA508688490A}" name="Packing" dataDxfId="2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9B0290-8EC9-4C02-9CBE-F3C477E9ED3F}" name="Emply_Staff" displayName="Emply_Staff" ref="B1:C42" totalsRowShown="0" dataDxfId="211">
  <autoFilter ref="B1:C42" xr:uid="{809B0290-8EC9-4C02-9CBE-F3C477E9ED3F}"/>
  <tableColumns count="2">
    <tableColumn id="1" xr3:uid="{6931C512-5D7F-45F9-849C-00EED2299777}" name="NIK" dataDxfId="210"/>
    <tableColumn id="2" xr3:uid="{226ADB59-A77E-4BB7-9D4E-64E3EA341929}" name="Name" dataDxfId="209"/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81E4BA9-9C3B-49D6-848B-C7C960C34C78}" name="Prep_Stat" displayName="Prep_Stat" ref="AC1:AC6" totalsRowShown="0">
  <autoFilter ref="AC1:AC6" xr:uid="{081E4BA9-9C3B-49D6-848B-C7C960C34C78}"/>
  <tableColumns count="1">
    <tableColumn id="1" xr3:uid="{A4EA411A-FE91-4DF8-96CB-4DCEC970BE07}" name="Prep St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3EE45-0A1E-4429-8BCE-8C94045E1271}" name="d_trucks" displayName="d_trucks" ref="F1:H384" totalsRowShown="0" headerRowDxfId="208" dataDxfId="207">
  <tableColumns count="3">
    <tableColumn id="1" xr3:uid="{DAA0590B-E715-4FC6-AACD-2E242BD65A2A}" name="PT" dataDxfId="206"/>
    <tableColumn id="2" xr3:uid="{6D147029-76AF-44D3-9815-E2C7ECAEFC2C}" name="Model" dataDxfId="205"/>
    <tableColumn id="3" xr3:uid="{5FB5C545-328C-4E83-B585-791C70E0CA45}" name="No" dataDxfId="204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1BC8D6-271F-4F27-AD1C-6A45DF18BEB0}" name="Hauler_PT" displayName="Hauler_PT" ref="J1:K16" totalsRowShown="0" headerRowDxfId="203" dataDxfId="202">
  <tableColumns count="2">
    <tableColumn id="2" xr3:uid="{17FCB2F8-BB3E-4CDD-AE2B-791E202DA084}" name="Name of Hauler Owner" dataDxfId="201"/>
    <tableColumn id="3" xr3:uid="{EA6F6023-6CB4-4E9A-B387-2EF7AF0ECFF9}" name="Code" dataDxfId="200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199AA4-06E6-4DF7-94A8-ACD90B7DDF64}" name="Table8" displayName="Table8" ref="M1:Q8" totalsRowShown="0" headerRowDxfId="199" dataDxfId="198">
  <autoFilter ref="M1:Q8" xr:uid="{0F199AA4-06E6-4DF7-94A8-ACD90B7DDF64}"/>
  <sortState xmlns:xlrd2="http://schemas.microsoft.com/office/spreadsheetml/2017/richdata2" ref="M2:Q6">
    <sortCondition ref="M1:M6"/>
  </sortState>
  <tableColumns count="5">
    <tableColumn id="1" xr3:uid="{164DA24C-6C4E-4665-B639-E5F44C4E32B4}" name="Hauler Type" dataDxfId="197"/>
    <tableColumn id="3" xr3:uid="{EB36A0D7-FCEE-4804-971A-1799BB927767}" name="Type" dataDxfId="196"/>
    <tableColumn id="2" xr3:uid="{7C5C1766-8B43-4139-BEB9-1392FDF51858}" name="PF" dataDxfId="195"/>
    <tableColumn id="5" xr3:uid="{54BE891A-0BCB-4832-A677-571EB69C2F1A}" name="Model" dataDxfId="194">
      <calculatedColumnFormula>Table8[[#This Row],[Type]]&amp;Table8[[#This Row],[PF]]</calculatedColumnFormula>
    </tableColumn>
    <tableColumn id="4" xr3:uid="{55C4816C-89D1-4CC4-94B4-ECC3F2BEC033}" name="Code" dataDxfId="193">
      <calculatedColumnFormula array="1">_xlfn.LET( _xlpm.typ, Table8[[#This Row],[Type]],
      _xlpm.trck, IF(_xlpm.typ="TOT", _xlpm.typ, _xlfn.SWITCH(_xlpm.typ, "DT", "T", "ADT", "A")&amp;Table8[[#This Row],[PF]]),
      IF(Table8[[#This Row],[Type]]="","",_xlpm.trck))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6E1687A-F2F3-4A08-B374-D9C34404F6A3}" name="Person" displayName="Person" ref="G7:G16" totalsRowShown="0" headerRowDxfId="192" dataDxfId="190" headerRowBorderDxfId="191">
  <tableColumns count="1">
    <tableColumn id="1" xr3:uid="{2F13EF0F-067C-4D32-BF7F-96F6E3F76AF6}" name="NIK" dataDxfId="189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440A43C-B156-49D8-902D-9A42CB36115D}" name="Sample_Pending" displayName="Sample_Pending" ref="M7:Q35" totalsRowShown="0" headerRowDxfId="188" dataDxfId="187">
  <autoFilter ref="M7:Q35" xr:uid="{9440A43C-B156-49D8-902D-9A42CB36115D}"/>
  <sortState xmlns:xlrd2="http://schemas.microsoft.com/office/spreadsheetml/2017/richdata2" ref="M8:Q35">
    <sortCondition ref="N7:N35"/>
  </sortState>
  <tableColumns count="5">
    <tableColumn id="5" xr3:uid="{D1FCF1EE-8B48-4EFA-9F6A-E3C5D83B3605}" name="Stockpile" dataDxfId="186"/>
    <tableColumn id="1" xr3:uid="{F1DF64D0-8753-4718-9AA6-BC23BCB2FA3F}" name="Pile_ID" dataDxfId="185"/>
    <tableColumn id="2" xr3:uid="{531AB0B0-FD80-4724-B0BB-65B24F454A5D}" name="Batch" dataDxfId="184"/>
    <tableColumn id="3" xr3:uid="{0E9FEFF8-9F9C-4771-94F5-C85A932FB501}" name="Rit" dataDxfId="183"/>
    <tableColumn id="4" xr3:uid="{BF1DF3B1-E447-4C44-B052-7990769F00C7}" name="Status" dataDxfId="182"/>
  </tableColumns>
  <tableStyleInfo name="TableStyleLight1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58D588-F046-4725-8DBF-C66C8EDCF8EF}" name="Person4" displayName="Person4" ref="G18:H27" totalsRowShown="0" headerRowDxfId="181" dataDxfId="179" headerRowBorderDxfId="180">
  <tableColumns count="2">
    <tableColumn id="2" xr3:uid="{01E7EF54-50A6-472F-8102-919C169AF920}" name="Job" dataDxfId="178"/>
    <tableColumn id="1" xr3:uid="{AFAC6D41-99C4-451F-8E0A-9D861B526913}" name="NIK" dataDxfId="177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2685CF-1E51-4F28-A89C-7B5C07C7D80D}" name="Front_Des" displayName="Front_Des" ref="D3:W83" totalsRowShown="0" headerRowDxfId="176" dataDxfId="175">
  <tableColumns count="20">
    <tableColumn id="3" xr3:uid="{AA8BFC37-EB92-4A54-9AD8-75299D00DE7B}" name="Sector" dataDxfId="174"/>
    <tableColumn id="1" xr3:uid="{1FF323B5-5A34-4D97-A810-AD8D2FED8B4B}" name="Front No" dataDxfId="173"/>
    <tableColumn id="2" xr3:uid="{356EFE94-015C-49C3-BE68-12DEDE7D3E92}" name="Hauler" dataDxfId="172"/>
    <tableColumn id="6" xr3:uid="{6972ED20-6B91-4801-9B0F-A7E110325ABD}" name="Dest" dataDxfId="171"/>
    <tableColumn id="17" xr3:uid="{C3C60ED4-EB3F-4F7D-9EB8-E35F3EF953CA}" name="Fleet Reff" dataDxfId="170"/>
    <tableColumn id="7" xr3:uid="{C320F143-4E8D-46FD-8ADA-A651B11BFA80}" name="Truck1" dataDxfId="169"/>
    <tableColumn id="9" xr3:uid="{A5C6980A-9F3F-42EC-998F-357E86D6B9F1}" name="Truck2" dataDxfId="168"/>
    <tableColumn id="10" xr3:uid="{477BDF6D-8105-4733-9298-5B6A7DF186A4}" name="Truck3" dataDxfId="167"/>
    <tableColumn id="16" xr3:uid="{C7BCA7ED-4C97-4CD7-8E2E-2C22558191F5}" name="Truck4" dataDxfId="166"/>
    <tableColumn id="11" xr3:uid="{943C361E-C079-4F0A-BE90-6BBA77411DB6}" name="Truck5" dataDxfId="165"/>
    <tableColumn id="12" xr3:uid="{48AE983C-A2A3-47EE-A5C6-BC2EA7B914A7}" name="Truck6" dataDxfId="164"/>
    <tableColumn id="13" xr3:uid="{41902032-B86C-495E-9946-DF2952F99071}" name="Truck7" dataDxfId="163"/>
    <tableColumn id="14" xr3:uid="{C6B95B55-9541-430D-85B9-49F7E0572D46}" name="Truck8" dataDxfId="162"/>
    <tableColumn id="15" xr3:uid="{CF5E55E7-C1D0-4338-AB74-4822B763B7E7}" name="Truck9" dataDxfId="161"/>
    <tableColumn id="4" xr3:uid="{1C53E85B-F1A9-43B6-91F2-8743F8A12804}" name="Truck10" dataDxfId="160"/>
    <tableColumn id="5" xr3:uid="{EBAEFBA7-68ED-444F-913A-4FD1F0D0C047}" name="Truck11" dataDxfId="159"/>
    <tableColumn id="18" xr3:uid="{187E419E-520A-4974-A101-B30DEF250BB7}" name="Truck12" dataDxfId="158"/>
    <tableColumn id="20" xr3:uid="{64D2B79D-1BBE-4C1D-86D1-CDA991E9F575}" name="Truck13" dataDxfId="157"/>
    <tableColumn id="19" xr3:uid="{4EF320FE-2283-4C19-9D95-24DF12BAB4A4}" name="Truck14" dataDxfId="156"/>
    <tableColumn id="8" xr3:uid="{ABDF0F07-4C6D-4CAD-ADD1-1D43DFFD7D52}" name="Truck15" dataDxfId="155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EBF7C1A-0E09-4FD0-980C-84B0BF0B865F}" name="HLG_01" displayName="HLG_01" ref="F4:L638" totalsRowShown="0" dataDxfId="241">
  <tableColumns count="7">
    <tableColumn id="12" xr3:uid="{F7495A8B-BEAB-4D5A-9CC5-CFCC4652A84F}" name="Batch" dataDxfId="240">
      <calculatedColumnFormula array="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calculatedColumnFormula>
    </tableColumn>
    <tableColumn id="13" xr3:uid="{9CC09C4A-B0C3-420D-A5BD-8B33AD8B4010}" name="Rit" dataDxfId="239">
      <calculatedColumnFormula array="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calculatedColumnFormula>
    </tableColumn>
    <tableColumn id="14" xr3:uid="{935179D0-5E3D-4DEF-9DD4-51AD6A9D7A39}" name="Smple" dataDxfId="238">
      <calculatedColumnFormula>_xlfn.LET( _xlpm.ore, _xlfn.XLOOKUP($I$2,Pile_area[pile_id],Pile_area[Ore]),
      _xlpm.incr,_xlfn.XLOOKUP($G$2,Int_Sample[Ore],Int_Sample[Inc]),
      _xlfn.IFNA(IF(MOD(HLG_01[[#This Row],[Rit]], _xlpm.incr) = 0, "YES", "NO"),""))</calculatedColumnFormula>
    </tableColumn>
    <tableColumn id="2" xr3:uid="{57E7D0D0-AE5E-4F6C-9415-2353FE4E9CB7}" name="Incriment" dataDxfId="237">
      <calculatedColumnFormula>TEXT(HLG_01[[#This Row],[Batch]],"000")&amp; " / " &amp; TEXT(HLG_01[[#This Row],[Rit]],"000")</calculatedColumnFormula>
    </tableColumn>
    <tableColumn id="1" xr3:uid="{7C27BE29-A952-4A09-B08E-E5B9E116F1FF}" name="Front_ID" dataDxfId="236"/>
    <tableColumn id="3" xr3:uid="{9F66C9F1-1E0A-4DBA-9C43-84E33794AD6A}" name="Truck_ID" dataDxfId="235"/>
    <tableColumn id="8" xr3:uid="{4F4DE87B-A124-4AEF-8FE3-6E23F27AED7D}" name="Remark" dataDxfId="234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028BFAC-A030-4F69-AA63-95BBB4992ADA}" name="HLG_02" displayName="HLG_02" ref="F4:L638" totalsRowShown="0" dataDxfId="154">
  <tableColumns count="7">
    <tableColumn id="12" xr3:uid="{CEAA8CBD-9652-4CF9-ABCA-44FBB2E3B37B}" name="Batch" dataDxfId="153">
      <calculatedColumnFormula array="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calculatedColumnFormula>
    </tableColumn>
    <tableColumn id="13" xr3:uid="{6D30C6B4-679A-43E5-A66E-FE187C887FD0}" name="Rit" dataDxfId="152">
      <calculatedColumnFormula array="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calculatedColumnFormula>
    </tableColumn>
    <tableColumn id="14" xr3:uid="{E93EDE53-0611-460A-A36A-243BE36B65D9}" name="Smple" dataDxfId="151">
      <calculatedColumnFormula>_xlfn.IFNA(IF(MOD(HLG_02[[#This Row],[Rit]],
    _xlfn.XLOOKUP($G$2,Int_Sample[Ore],Int_Sample[Inc])) = 0, "YES", "NO"),"")</calculatedColumnFormula>
    </tableColumn>
    <tableColumn id="2" xr3:uid="{8A17AF6F-F382-4DD5-BAA7-FA83CBB78509}" name="Incriment" dataDxfId="150">
      <calculatedColumnFormula>TEXT(HLG_02[[#This Row],[Batch]],"000")&amp; " / " &amp; TEXT(HLG_02[[#This Row],[Rit]],"000")</calculatedColumnFormula>
    </tableColumn>
    <tableColumn id="1" xr3:uid="{052FAEE4-6337-4930-B82E-12A7EC109AD9}" name="Front_ID" dataDxfId="149"/>
    <tableColumn id="3" xr3:uid="{8BDF4FD0-82A8-478F-9ACB-6A64A3766737}" name="Truck_ID" dataDxfId="148"/>
    <tableColumn id="8" xr3:uid="{3DD8559B-B0AE-40D2-BC3F-B532A982CCB7}" name="Remark" dataDxfId="147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8E996F7-91C5-4EAD-B35C-63571DF2FB4B}" name="HLG_03" displayName="HLG_03" ref="F4:L638" totalsRowShown="0" dataDxfId="146">
  <tableColumns count="7">
    <tableColumn id="12" xr3:uid="{903704AD-763C-46D2-89B0-2B38FF26D7C4}" name="Batch" dataDxfId="145">
      <calculatedColumnFormula array="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calculatedColumnFormula>
    </tableColumn>
    <tableColumn id="13" xr3:uid="{B57AA056-6521-44B2-85B7-90A4CD970528}" name="Rit" dataDxfId="144">
      <calculatedColumnFormula array="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calculatedColumnFormula>
    </tableColumn>
    <tableColumn id="14" xr3:uid="{67B10887-E637-49BB-8480-B567909CFE33}" name="Smple" dataDxfId="143">
      <calculatedColumnFormula>_xlfn.IFNA(IF(MOD(HLG_03[[#This Row],[Rit]],
    _xlfn.XLOOKUP($G$2,Int_Sample[Ore],Int_Sample[Inc])) = 0, "YES", "NO"),"")</calculatedColumnFormula>
    </tableColumn>
    <tableColumn id="2" xr3:uid="{2FDCF8B2-D800-48F1-B125-83F2952297D2}" name="Incriment" dataDxfId="142">
      <calculatedColumnFormula>TEXT(HLG_03[[#This Row],[Batch]],"000")&amp; " / " &amp; TEXT(HLG_03[[#This Row],[Rit]],"000")</calculatedColumnFormula>
    </tableColumn>
    <tableColumn id="1" xr3:uid="{34346672-CD4B-427C-8F40-AD72B61F95F3}" name="Front_ID" dataDxfId="141"/>
    <tableColumn id="3" xr3:uid="{FEF5BEBC-26EE-4151-869F-332E4963BC59}" name="Truck_ID" dataDxfId="140"/>
    <tableColumn id="8" xr3:uid="{9AA5CDFD-63F4-40F4-94BA-528D1C83D135}" name="Remark" dataDxfId="139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951238F-FAAF-449E-A864-6F125DC47AC4}" name="HLG_04" displayName="HLG_04" ref="F4:L638" totalsRowShown="0" dataDxfId="138">
  <tableColumns count="7">
    <tableColumn id="12" xr3:uid="{DD0ADC58-0CD0-4C2F-839A-2D9CBED5CEC9}" name="Batch" dataDxfId="137">
      <calculatedColumnFormula array="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calculatedColumnFormula>
    </tableColumn>
    <tableColumn id="13" xr3:uid="{9C57B2B0-7BFF-4347-90AF-71A6EAB79EF3}" name="Rit" dataDxfId="136">
      <calculatedColumnFormula array="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calculatedColumnFormula>
    </tableColumn>
    <tableColumn id="14" xr3:uid="{D3672D96-1CD4-45B3-8591-0B73999C8791}" name="Smple" dataDxfId="135">
      <calculatedColumnFormula>_xlfn.IFNA(IF(MOD(HLG_04[[#This Row],[Rit]],
    _xlfn.XLOOKUP($G$2,Int_Sample[Ore],Int_Sample[Inc])) = 0, "YES", "NO"),"")</calculatedColumnFormula>
    </tableColumn>
    <tableColumn id="2" xr3:uid="{76ECDF7B-F87A-4123-80D0-48D1C12D7E17}" name="Incriment" dataDxfId="134">
      <calculatedColumnFormula>TEXT(HLG_04[[#This Row],[Batch]],"000")&amp; " / " &amp; TEXT(HLG_04[[#This Row],[Rit]],"000")</calculatedColumnFormula>
    </tableColumn>
    <tableColumn id="1" xr3:uid="{10BC388B-5723-4AEE-9670-C2881AC6479C}" name="Front_ID" dataDxfId="133"/>
    <tableColumn id="3" xr3:uid="{24B94694-23A2-4C5E-A78C-9BE1566ABB0C}" name="Truck_ID" dataDxfId="132"/>
    <tableColumn id="8" xr3:uid="{3838D92E-5B76-4E16-8D03-EA73DEE03764}" name="Remark" dataDxfId="131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54A445-024E-47B2-8649-EDCA02DBF4BC}" name="HLG_05" displayName="HLG_05" ref="F4:L638" totalsRowShown="0" dataDxfId="130">
  <tableColumns count="7">
    <tableColumn id="12" xr3:uid="{0D905568-4CF2-4591-89DC-62D57380CEDF}" name="Batch" dataDxfId="129">
      <calculatedColumnFormula array="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calculatedColumnFormula>
    </tableColumn>
    <tableColumn id="13" xr3:uid="{6D8A07BB-2D9E-40F2-8A76-C4195A20BBFA}" name="Rit" dataDxfId="128">
      <calculatedColumnFormula array="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calculatedColumnFormula>
    </tableColumn>
    <tableColumn id="14" xr3:uid="{8B77DA79-5130-42AD-A881-14C6262D1481}" name="Smple" dataDxfId="127">
      <calculatedColumnFormula>_xlfn.IFNA(IF(MOD(HLG_05[[#This Row],[Rit]],
    _xlfn.XLOOKUP($G$2,Int_Sample[Ore],Int_Sample[Inc])) = 0, "YES", "NO"),"")</calculatedColumnFormula>
    </tableColumn>
    <tableColumn id="2" xr3:uid="{46A99AA2-25B9-491B-A34C-1F6A8BB3EBBA}" name="Incriment" dataDxfId="126">
      <calculatedColumnFormula>TEXT(HLG_05[[#This Row],[Batch]],"000")&amp; " / " &amp; TEXT(HLG_05[[#This Row],[Rit]],"000")</calculatedColumnFormula>
    </tableColumn>
    <tableColumn id="1" xr3:uid="{F8F0BEB2-FE59-4619-BF05-0E669F8FD826}" name="Front_ID" dataDxfId="125"/>
    <tableColumn id="3" xr3:uid="{3DC13D27-B3B9-4B0F-9011-6306226F003A}" name="Truck_ID" dataDxfId="124"/>
    <tableColumn id="8" xr3:uid="{E4A7666D-C579-4D1C-8A5B-8017C7ECE77B}" name="Remark" dataDxfId="123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A1B0CEE-D4B8-4016-A3E3-067EF7917224}" name="HLG_06" displayName="HLG_06" ref="F4:L638" totalsRowShown="0" dataDxfId="122">
  <tableColumns count="7">
    <tableColumn id="12" xr3:uid="{C467220E-23D3-4F51-B3B3-99510E8746CC}" name="Batch" dataDxfId="121">
      <calculatedColumnFormula array="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calculatedColumnFormula>
    </tableColumn>
    <tableColumn id="13" xr3:uid="{64C39765-32F8-42DD-B9F3-597A092CBC21}" name="Rit" dataDxfId="120">
      <calculatedColumnFormula array="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calculatedColumnFormula>
    </tableColumn>
    <tableColumn id="14" xr3:uid="{8F9E51EC-6C4F-41F3-91AB-4F52395F4AFB}" name="Smple" dataDxfId="119">
      <calculatedColumnFormula>_xlfn.IFNA(IF(MOD(HLG_06[[#This Row],[Rit]],
    _xlfn.XLOOKUP($G$2,Int_Sample[Ore],Int_Sample[Inc])) = 0, "YES", "NO"),"")</calculatedColumnFormula>
    </tableColumn>
    <tableColumn id="2" xr3:uid="{DA89D268-FBF0-4033-B39B-73025551DFF9}" name="Incriment" dataDxfId="118">
      <calculatedColumnFormula>TEXT(HLG_06[[#This Row],[Batch]],"000")&amp; " / " &amp; TEXT(HLG_06[[#This Row],[Rit]],"000")</calculatedColumnFormula>
    </tableColumn>
    <tableColumn id="1" xr3:uid="{9AB8EDC4-F867-48FD-8E27-8BB998B05F7E}" name="Front_ID" dataDxfId="117"/>
    <tableColumn id="3" xr3:uid="{CD3249E2-CF5C-4D32-BC96-C93056C304FD}" name="Truck_ID" dataDxfId="116"/>
    <tableColumn id="8" xr3:uid="{7C0D4585-91F6-4682-852B-FF705C6E8D8E}" name="Remark" dataDxfId="115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545BC60-882F-427D-8BB1-C99A112053B7}" name="Sample_Pos" displayName="Sample_Pos" ref="J2:P99" totalsRowShown="0" headerRowDxfId="114" dataDxfId="113">
  <tableColumns count="7">
    <tableColumn id="1" xr3:uid="{A886F648-EF15-44EF-8469-3CA2124907C6}" name="No" dataDxfId="112"/>
    <tableColumn id="6" xr3:uid="{77514745-11EF-4FF8-B594-0EFEC293C4F1}" name="Pile_ID_" dataDxfId="111"/>
    <tableColumn id="2" xr3:uid="{6C23B7A8-8C1F-4650-A386-4A54ADE36356}" name="Batch" dataDxfId="110"/>
    <tableColumn id="12" xr3:uid="{92FAB828-B6EC-4EE3-9A08-ED736CD21403}" name="Rit_F" dataDxfId="109"/>
    <tableColumn id="13" xr3:uid="{80FD5506-DE0F-4CA4-A026-E1BC656EDE0C}" name="Rit_T" dataDxfId="108"/>
    <tableColumn id="3" xr3:uid="{D633DBC6-E5A2-44FD-AC6C-D3747287BF7A}" name="Deliver To" dataDxfId="107"/>
    <tableColumn id="5" xr3:uid="{E2B831B2-91E0-4BFF-B4CA-AC2A7246CBD0}" name="NIK" dataDxfId="106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5335-0F26-4822-85D9-D14A6A73E695}">
  <sheetPr codeName="Sheet1"/>
  <dimension ref="B1:AH2530"/>
  <sheetViews>
    <sheetView showGridLines="0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9" sqref="I9"/>
    </sheetView>
  </sheetViews>
  <sheetFormatPr defaultRowHeight="15" x14ac:dyDescent="0.25"/>
  <cols>
    <col min="1" max="1" width="1.42578125" customWidth="1"/>
    <col min="2" max="2" width="9.28515625" customWidth="1"/>
    <col min="3" max="3" width="28.42578125" bestFit="1" customWidth="1"/>
    <col min="4" max="4" width="1.28515625" customWidth="1"/>
    <col min="5" max="5" width="7.7109375" customWidth="1"/>
    <col min="6" max="6" width="30.5703125" bestFit="1" customWidth="1"/>
    <col min="7" max="7" width="16.42578125" customWidth="1"/>
    <col min="8" max="8" width="2.140625" customWidth="1"/>
    <col min="9" max="9" width="9.140625" bestFit="1" customWidth="1"/>
    <col min="10" max="10" width="2.28515625" customWidth="1"/>
    <col min="11" max="11" width="9.140625" bestFit="1" customWidth="1"/>
    <col min="12" max="12" width="17" customWidth="1"/>
    <col min="13" max="13" width="2.28515625" customWidth="1"/>
    <col min="14" max="14" width="7.85546875" customWidth="1"/>
    <col min="15" max="15" width="12.7109375" bestFit="1" customWidth="1"/>
    <col min="16" max="16" width="12" bestFit="1" customWidth="1"/>
    <col min="17" max="17" width="6.5703125" bestFit="1" customWidth="1"/>
    <col min="18" max="18" width="2.28515625" customWidth="1"/>
    <col min="19" max="20" width="0" hidden="1" customWidth="1"/>
    <col min="23" max="23" width="2.28515625" customWidth="1"/>
    <col min="25" max="25" width="6" bestFit="1" customWidth="1"/>
    <col min="26" max="26" width="8.28515625" bestFit="1" customWidth="1"/>
    <col min="27" max="27" width="10.140625" bestFit="1" customWidth="1"/>
    <col min="28" max="28" width="1.7109375" customWidth="1"/>
    <col min="29" max="29" width="10.140625" customWidth="1"/>
    <col min="33" max="33" width="12.28515625" customWidth="1"/>
    <col min="34" max="34" width="11" bestFit="1" customWidth="1"/>
  </cols>
  <sheetData>
    <row r="1" spans="2:34" x14ac:dyDescent="0.25">
      <c r="B1" t="s">
        <v>20</v>
      </c>
      <c r="C1" t="s">
        <v>109</v>
      </c>
      <c r="E1" t="s">
        <v>20</v>
      </c>
      <c r="F1" t="s">
        <v>21</v>
      </c>
      <c r="G1" t="s">
        <v>2556</v>
      </c>
      <c r="I1" t="s">
        <v>105</v>
      </c>
      <c r="K1" t="s">
        <v>105</v>
      </c>
      <c r="L1" t="s">
        <v>2574</v>
      </c>
      <c r="N1" t="s">
        <v>2548</v>
      </c>
      <c r="O1" t="s">
        <v>116</v>
      </c>
      <c r="P1" t="s">
        <v>117</v>
      </c>
      <c r="Q1" t="s">
        <v>2461</v>
      </c>
      <c r="S1" t="s">
        <v>2461</v>
      </c>
      <c r="U1" t="s">
        <v>2461</v>
      </c>
      <c r="V1" t="s">
        <v>2464</v>
      </c>
      <c r="X1" t="s">
        <v>2461</v>
      </c>
      <c r="Y1" t="s">
        <v>2475</v>
      </c>
      <c r="Z1" t="s">
        <v>2451</v>
      </c>
      <c r="AA1" t="s">
        <v>2570</v>
      </c>
      <c r="AC1" t="s">
        <v>2573</v>
      </c>
    </row>
    <row r="2" spans="2:34" x14ac:dyDescent="0.25">
      <c r="B2" s="39" t="s">
        <v>2492</v>
      </c>
      <c r="C2" s="39" t="s">
        <v>2493</v>
      </c>
      <c r="E2" s="39">
        <v>220126</v>
      </c>
      <c r="F2" s="39" t="s">
        <v>88</v>
      </c>
      <c r="G2" s="39"/>
      <c r="I2" s="39" t="s">
        <v>102</v>
      </c>
      <c r="K2" s="39" t="s">
        <v>102</v>
      </c>
      <c r="L2" s="39" t="s">
        <v>110</v>
      </c>
      <c r="N2" s="23" t="s">
        <v>102</v>
      </c>
      <c r="O2" s="30" t="s">
        <v>118</v>
      </c>
      <c r="P2" s="30" t="s">
        <v>119</v>
      </c>
      <c r="Q2" s="84" t="s">
        <v>2462</v>
      </c>
      <c r="S2" t="b" cm="1">
        <f t="array" ref="S2:S2530">_xlfn.LET(_xlpm.c, ISNUMBER(SEARCH("C",Pile_area[stockpile])),
     _xlpm.ls, ISNUMBER(SEARCH("LS",Pile_area[stockpile])),
     _xlpm.ss, ISNUMBER(SEARCH("SS",Pile_area[stockpile])),
     _xlpm.sap, ISNUMBER(SEARCH("S",Pile_area[pile_id])),
     _xlpm.lim, ISNUMBER(SEARCH("L",Pile_area[pile_id])),
     _xlpm.rslt, IF(Pile_area[pile_id]="","",IF((_xlpm.c*_xlpm.sap)+(_xlpm.ss*--(_xlpm.lim=FALSE)),"SAP","LIM")),
     _xlpm.lim=FALSE)</f>
        <v>1</v>
      </c>
      <c r="U2" s="39" t="s">
        <v>2463</v>
      </c>
      <c r="V2" s="39" t="s">
        <v>2465</v>
      </c>
      <c r="X2" s="39" t="s">
        <v>2462</v>
      </c>
      <c r="Y2" s="39">
        <v>2</v>
      </c>
      <c r="Z2" s="39">
        <v>20</v>
      </c>
      <c r="AA2" s="39">
        <v>2</v>
      </c>
      <c r="AC2" t="s">
        <v>102</v>
      </c>
      <c r="AG2" t="s">
        <v>2445</v>
      </c>
      <c r="AH2" t="s">
        <v>2446</v>
      </c>
    </row>
    <row r="3" spans="2:34" x14ac:dyDescent="0.25">
      <c r="B3" s="39" t="s">
        <v>2494</v>
      </c>
      <c r="C3" s="39" t="s">
        <v>2495</v>
      </c>
      <c r="E3" s="39">
        <v>220144</v>
      </c>
      <c r="F3" s="39" t="s">
        <v>39</v>
      </c>
      <c r="G3" s="39"/>
      <c r="I3" s="39" t="s">
        <v>106</v>
      </c>
      <c r="K3" s="39" t="s">
        <v>102</v>
      </c>
      <c r="L3" s="39" t="s">
        <v>2562</v>
      </c>
      <c r="N3" s="23" t="s">
        <v>102</v>
      </c>
      <c r="O3" s="30" t="s">
        <v>118</v>
      </c>
      <c r="P3" s="30" t="s">
        <v>120</v>
      </c>
      <c r="Q3" s="84" t="s">
        <v>2462</v>
      </c>
      <c r="S3" t="b">
        <v>1</v>
      </c>
      <c r="U3" s="39" t="s">
        <v>2463</v>
      </c>
      <c r="V3" s="39" t="s">
        <v>2466</v>
      </c>
      <c r="X3" s="39" t="s">
        <v>2463</v>
      </c>
      <c r="Y3" s="39">
        <v>5</v>
      </c>
      <c r="Z3" s="39">
        <v>100</v>
      </c>
      <c r="AA3" s="39">
        <v>10</v>
      </c>
      <c r="AC3" t="s">
        <v>106</v>
      </c>
      <c r="AH3" t="s">
        <v>2579</v>
      </c>
    </row>
    <row r="4" spans="2:34" x14ac:dyDescent="0.25">
      <c r="B4" s="39" t="s">
        <v>2496</v>
      </c>
      <c r="C4" s="39" t="s">
        <v>2497</v>
      </c>
      <c r="E4" s="39">
        <v>220194</v>
      </c>
      <c r="F4" s="39" t="s">
        <v>35</v>
      </c>
      <c r="G4" s="39"/>
      <c r="I4" s="39" t="s">
        <v>107</v>
      </c>
      <c r="K4" s="39" t="s">
        <v>106</v>
      </c>
      <c r="L4" s="39" t="s">
        <v>110</v>
      </c>
      <c r="N4" s="23" t="s">
        <v>102</v>
      </c>
      <c r="O4" s="30" t="s">
        <v>118</v>
      </c>
      <c r="P4" s="30" t="s">
        <v>121</v>
      </c>
      <c r="Q4" s="84" t="s">
        <v>2462</v>
      </c>
      <c r="S4" t="b">
        <v>1</v>
      </c>
      <c r="U4" s="39" t="s">
        <v>2463</v>
      </c>
      <c r="V4" s="39" t="s">
        <v>2467</v>
      </c>
      <c r="X4" s="39"/>
      <c r="Y4" s="39"/>
      <c r="Z4" s="39"/>
      <c r="AA4" s="39"/>
      <c r="AC4" t="s">
        <v>107</v>
      </c>
    </row>
    <row r="5" spans="2:34" x14ac:dyDescent="0.25">
      <c r="B5" s="39" t="s">
        <v>2498</v>
      </c>
      <c r="C5" s="39" t="s">
        <v>2499</v>
      </c>
      <c r="E5" s="39">
        <v>220220</v>
      </c>
      <c r="F5" s="39" t="s">
        <v>22</v>
      </c>
      <c r="G5" s="39" t="s">
        <v>2557</v>
      </c>
      <c r="I5" s="39" t="s">
        <v>108</v>
      </c>
      <c r="K5" s="39" t="s">
        <v>106</v>
      </c>
      <c r="L5" s="39" t="s">
        <v>2562</v>
      </c>
      <c r="N5" s="23" t="s">
        <v>102</v>
      </c>
      <c r="O5" s="30" t="s">
        <v>118</v>
      </c>
      <c r="P5" s="30" t="s">
        <v>122</v>
      </c>
      <c r="Q5" s="84" t="s">
        <v>2462</v>
      </c>
      <c r="S5" t="b">
        <v>1</v>
      </c>
      <c r="U5" s="39" t="s">
        <v>2462</v>
      </c>
      <c r="V5" s="39" t="s">
        <v>2468</v>
      </c>
      <c r="X5" s="39"/>
      <c r="Y5" s="39"/>
      <c r="Z5" s="39"/>
      <c r="AA5" s="39"/>
    </row>
    <row r="6" spans="2:34" x14ac:dyDescent="0.25">
      <c r="B6" s="39" t="s">
        <v>2500</v>
      </c>
      <c r="C6" s="39" t="s">
        <v>2501</v>
      </c>
      <c r="E6" s="39">
        <v>220221</v>
      </c>
      <c r="F6" s="39" t="s">
        <v>90</v>
      </c>
      <c r="G6" s="39"/>
      <c r="I6" s="39" t="s">
        <v>2440</v>
      </c>
      <c r="K6" s="39" t="s">
        <v>106</v>
      </c>
      <c r="L6" s="39" t="s">
        <v>2575</v>
      </c>
      <c r="N6" s="23" t="s">
        <v>102</v>
      </c>
      <c r="O6" s="30" t="s">
        <v>123</v>
      </c>
      <c r="P6" s="30" t="s">
        <v>124</v>
      </c>
      <c r="Q6" s="84" t="s">
        <v>2463</v>
      </c>
      <c r="S6" t="b">
        <v>0</v>
      </c>
      <c r="U6" s="39" t="s">
        <v>2462</v>
      </c>
      <c r="V6" s="39" t="s">
        <v>2469</v>
      </c>
    </row>
    <row r="7" spans="2:34" x14ac:dyDescent="0.25">
      <c r="B7" s="39" t="s">
        <v>2502</v>
      </c>
      <c r="C7" s="39" t="s">
        <v>2503</v>
      </c>
      <c r="E7" s="39">
        <v>220229</v>
      </c>
      <c r="F7" s="39" t="s">
        <v>25</v>
      </c>
      <c r="G7" s="39"/>
      <c r="I7" s="39" t="s">
        <v>2447</v>
      </c>
      <c r="K7" s="39" t="s">
        <v>106</v>
      </c>
      <c r="L7" s="39" t="s">
        <v>2561</v>
      </c>
      <c r="N7" s="23" t="s">
        <v>102</v>
      </c>
      <c r="O7" s="30" t="s">
        <v>123</v>
      </c>
      <c r="P7" s="30" t="s">
        <v>125</v>
      </c>
      <c r="Q7" s="84" t="s">
        <v>2463</v>
      </c>
      <c r="S7" t="b">
        <v>0</v>
      </c>
      <c r="U7" s="39" t="s">
        <v>2462</v>
      </c>
      <c r="V7" s="39" t="s">
        <v>2470</v>
      </c>
    </row>
    <row r="8" spans="2:34" x14ac:dyDescent="0.25">
      <c r="B8" s="39" t="s">
        <v>2504</v>
      </c>
      <c r="C8" s="39" t="s">
        <v>2505</v>
      </c>
      <c r="E8" s="39">
        <v>230232</v>
      </c>
      <c r="F8" s="39" t="s">
        <v>27</v>
      </c>
      <c r="G8" s="39"/>
      <c r="I8" s="39" t="s">
        <v>2448</v>
      </c>
      <c r="K8" s="39" t="s">
        <v>108</v>
      </c>
      <c r="L8" s="39" t="s">
        <v>2560</v>
      </c>
      <c r="N8" s="23" t="s">
        <v>102</v>
      </c>
      <c r="O8" s="30" t="s">
        <v>123</v>
      </c>
      <c r="P8" s="30" t="s">
        <v>126</v>
      </c>
      <c r="Q8" s="84" t="s">
        <v>2462</v>
      </c>
      <c r="S8" t="b">
        <v>1</v>
      </c>
      <c r="U8" s="39" t="s">
        <v>2462</v>
      </c>
      <c r="V8" s="39" t="s">
        <v>2471</v>
      </c>
    </row>
    <row r="9" spans="2:34" x14ac:dyDescent="0.25">
      <c r="B9" s="39" t="s">
        <v>2506</v>
      </c>
      <c r="C9" s="39" t="s">
        <v>2507</v>
      </c>
      <c r="E9" s="39">
        <v>230235</v>
      </c>
      <c r="F9" s="39" t="s">
        <v>31</v>
      </c>
      <c r="G9" s="39"/>
      <c r="I9" s="39"/>
      <c r="K9" s="39" t="s">
        <v>107</v>
      </c>
      <c r="L9" s="39" t="s">
        <v>2558</v>
      </c>
      <c r="N9" s="23" t="s">
        <v>102</v>
      </c>
      <c r="O9" s="30" t="s">
        <v>123</v>
      </c>
      <c r="P9" s="30" t="s">
        <v>127</v>
      </c>
      <c r="Q9" s="84" t="s">
        <v>2462</v>
      </c>
      <c r="S9" t="b">
        <v>1</v>
      </c>
      <c r="U9" s="39" t="s">
        <v>2462</v>
      </c>
      <c r="V9" s="39" t="s">
        <v>2472</v>
      </c>
    </row>
    <row r="10" spans="2:34" x14ac:dyDescent="0.25">
      <c r="B10" s="39" t="s">
        <v>2508</v>
      </c>
      <c r="C10" s="39" t="s">
        <v>2509</v>
      </c>
      <c r="E10" s="39">
        <v>230240</v>
      </c>
      <c r="F10" s="39" t="s">
        <v>34</v>
      </c>
      <c r="G10" s="39"/>
      <c r="I10" s="39"/>
      <c r="K10" s="39" t="s">
        <v>107</v>
      </c>
      <c r="L10" s="39" t="s">
        <v>2559</v>
      </c>
      <c r="N10" s="23" t="s">
        <v>102</v>
      </c>
      <c r="O10" s="30" t="s">
        <v>128</v>
      </c>
      <c r="P10" s="30" t="s">
        <v>129</v>
      </c>
      <c r="Q10" s="84" t="s">
        <v>2462</v>
      </c>
      <c r="S10" t="b">
        <v>1</v>
      </c>
      <c r="U10" s="39"/>
      <c r="V10" s="39"/>
    </row>
    <row r="11" spans="2:34" x14ac:dyDescent="0.25">
      <c r="B11" s="39" t="s">
        <v>2510</v>
      </c>
      <c r="C11" s="39" t="s">
        <v>2511</v>
      </c>
      <c r="E11" s="39">
        <v>230255</v>
      </c>
      <c r="F11" s="39" t="s">
        <v>91</v>
      </c>
      <c r="G11" s="39"/>
      <c r="I11" s="39"/>
      <c r="K11" s="39"/>
      <c r="L11" s="39"/>
      <c r="N11" s="23" t="s">
        <v>102</v>
      </c>
      <c r="O11" s="30" t="s">
        <v>130</v>
      </c>
      <c r="P11" s="30" t="s">
        <v>131</v>
      </c>
      <c r="Q11" s="84" t="s">
        <v>2463</v>
      </c>
      <c r="S11" t="b">
        <v>0</v>
      </c>
      <c r="U11" s="39"/>
      <c r="V11" s="39"/>
    </row>
    <row r="12" spans="2:34" x14ac:dyDescent="0.25">
      <c r="B12" s="39" t="s">
        <v>2512</v>
      </c>
      <c r="C12" s="39" t="s">
        <v>2513</v>
      </c>
      <c r="E12" s="39">
        <v>230257</v>
      </c>
      <c r="F12" s="39" t="s">
        <v>40</v>
      </c>
      <c r="G12" s="39"/>
      <c r="I12" s="39"/>
      <c r="K12" s="39"/>
      <c r="L12" s="39"/>
      <c r="N12" s="23" t="s">
        <v>102</v>
      </c>
      <c r="O12" s="30" t="s">
        <v>130</v>
      </c>
      <c r="P12" s="30" t="s">
        <v>132</v>
      </c>
      <c r="Q12" s="84" t="s">
        <v>2463</v>
      </c>
      <c r="S12" t="b">
        <v>0</v>
      </c>
      <c r="U12" s="39"/>
      <c r="V12" s="39"/>
    </row>
    <row r="13" spans="2:34" x14ac:dyDescent="0.25">
      <c r="B13" s="39" t="s">
        <v>2514</v>
      </c>
      <c r="C13" s="39" t="s">
        <v>2515</v>
      </c>
      <c r="E13" s="39">
        <v>230266</v>
      </c>
      <c r="F13" s="39" t="s">
        <v>41</v>
      </c>
      <c r="G13" s="39"/>
      <c r="I13" s="39"/>
      <c r="K13" s="39"/>
      <c r="L13" s="39"/>
      <c r="N13" s="23" t="s">
        <v>102</v>
      </c>
      <c r="O13" s="30" t="s">
        <v>130</v>
      </c>
      <c r="P13" s="30" t="s">
        <v>133</v>
      </c>
      <c r="Q13" s="84" t="s">
        <v>2462</v>
      </c>
      <c r="S13" t="b">
        <v>1</v>
      </c>
    </row>
    <row r="14" spans="2:34" x14ac:dyDescent="0.25">
      <c r="B14" s="39" t="s">
        <v>2516</v>
      </c>
      <c r="C14" s="39" t="s">
        <v>2517</v>
      </c>
      <c r="E14" s="39">
        <v>230268</v>
      </c>
      <c r="F14" s="39" t="s">
        <v>42</v>
      </c>
      <c r="G14" s="39"/>
      <c r="I14" s="39"/>
      <c r="K14" s="39"/>
      <c r="L14" s="39"/>
      <c r="N14" s="23" t="s">
        <v>102</v>
      </c>
      <c r="O14" s="30" t="s">
        <v>130</v>
      </c>
      <c r="P14" s="30" t="s">
        <v>134</v>
      </c>
      <c r="Q14" s="84" t="s">
        <v>2462</v>
      </c>
      <c r="S14" t="b">
        <v>1</v>
      </c>
    </row>
    <row r="15" spans="2:34" x14ac:dyDescent="0.25">
      <c r="B15" s="39" t="s">
        <v>2518</v>
      </c>
      <c r="C15" s="39" t="s">
        <v>2519</v>
      </c>
      <c r="E15" s="39">
        <v>230278</v>
      </c>
      <c r="F15" s="39" t="s">
        <v>33</v>
      </c>
      <c r="G15" s="39"/>
      <c r="I15" s="39"/>
      <c r="K15" s="39"/>
      <c r="L15" s="39"/>
      <c r="N15" s="23" t="s">
        <v>102</v>
      </c>
      <c r="O15" s="30" t="s">
        <v>130</v>
      </c>
      <c r="P15" s="30" t="s">
        <v>135</v>
      </c>
      <c r="Q15" s="84" t="s">
        <v>2462</v>
      </c>
      <c r="S15" t="b">
        <v>1</v>
      </c>
    </row>
    <row r="16" spans="2:34" x14ac:dyDescent="0.25">
      <c r="B16" s="39" t="s">
        <v>2520</v>
      </c>
      <c r="C16" s="39" t="s">
        <v>2521</v>
      </c>
      <c r="E16" s="39">
        <v>230314</v>
      </c>
      <c r="F16" s="39" t="s">
        <v>38</v>
      </c>
      <c r="G16" s="39"/>
      <c r="I16" s="39"/>
      <c r="N16" s="23" t="s">
        <v>102</v>
      </c>
      <c r="O16" s="30" t="s">
        <v>130</v>
      </c>
      <c r="P16" s="30" t="s">
        <v>136</v>
      </c>
      <c r="Q16" s="84" t="s">
        <v>2462</v>
      </c>
      <c r="S16" t="b">
        <v>1</v>
      </c>
    </row>
    <row r="17" spans="2:19" x14ac:dyDescent="0.25">
      <c r="B17" s="39" t="s">
        <v>2522</v>
      </c>
      <c r="C17" s="39" t="s">
        <v>2523</v>
      </c>
      <c r="E17" s="39">
        <v>230322</v>
      </c>
      <c r="F17" s="39" t="s">
        <v>43</v>
      </c>
      <c r="G17" s="39"/>
      <c r="I17" s="39"/>
      <c r="N17" s="23" t="s">
        <v>102</v>
      </c>
      <c r="O17" s="30" t="s">
        <v>130</v>
      </c>
      <c r="P17" s="30" t="s">
        <v>137</v>
      </c>
      <c r="Q17" s="84" t="s">
        <v>2462</v>
      </c>
      <c r="S17" t="b">
        <v>1</v>
      </c>
    </row>
    <row r="18" spans="2:19" x14ac:dyDescent="0.25">
      <c r="B18" s="39" t="s">
        <v>2524</v>
      </c>
      <c r="C18" s="39" t="s">
        <v>2525</v>
      </c>
      <c r="E18" s="39">
        <v>230323</v>
      </c>
      <c r="F18" s="39" t="s">
        <v>28</v>
      </c>
      <c r="G18" s="39"/>
      <c r="I18" s="39"/>
      <c r="N18" s="23" t="s">
        <v>102</v>
      </c>
      <c r="O18" s="30" t="s">
        <v>130</v>
      </c>
      <c r="P18" s="30" t="s">
        <v>138</v>
      </c>
      <c r="Q18" s="84" t="s">
        <v>2462</v>
      </c>
      <c r="S18" t="b">
        <v>1</v>
      </c>
    </row>
    <row r="19" spans="2:19" x14ac:dyDescent="0.25">
      <c r="B19" s="39" t="s">
        <v>2526</v>
      </c>
      <c r="C19" s="39" t="s">
        <v>2527</v>
      </c>
      <c r="E19" s="39">
        <v>230324</v>
      </c>
      <c r="F19" s="39" t="s">
        <v>44</v>
      </c>
      <c r="G19" s="39"/>
      <c r="I19" s="39"/>
      <c r="N19" s="23" t="s">
        <v>102</v>
      </c>
      <c r="O19" s="30" t="s">
        <v>139</v>
      </c>
      <c r="P19" s="30" t="s">
        <v>140</v>
      </c>
      <c r="Q19" s="84" t="s">
        <v>2463</v>
      </c>
      <c r="S19" t="b">
        <v>0</v>
      </c>
    </row>
    <row r="20" spans="2:19" x14ac:dyDescent="0.25">
      <c r="B20" s="39" t="s">
        <v>2528</v>
      </c>
      <c r="C20" s="39" t="s">
        <v>2529</v>
      </c>
      <c r="E20" s="39">
        <v>230325</v>
      </c>
      <c r="F20" s="39" t="s">
        <v>32</v>
      </c>
      <c r="G20" s="39"/>
      <c r="I20" s="39"/>
      <c r="N20" s="23" t="s">
        <v>102</v>
      </c>
      <c r="O20" s="30" t="s">
        <v>139</v>
      </c>
      <c r="P20" s="30" t="s">
        <v>141</v>
      </c>
      <c r="Q20" s="84" t="s">
        <v>2463</v>
      </c>
      <c r="S20" t="b">
        <v>0</v>
      </c>
    </row>
    <row r="21" spans="2:19" x14ac:dyDescent="0.25">
      <c r="B21" s="39" t="s">
        <v>2530</v>
      </c>
      <c r="C21" s="39" t="s">
        <v>2531</v>
      </c>
      <c r="E21" s="39">
        <v>230330</v>
      </c>
      <c r="F21" s="39" t="s">
        <v>45</v>
      </c>
      <c r="G21" s="39"/>
      <c r="I21" s="39"/>
      <c r="N21" s="23" t="s">
        <v>102</v>
      </c>
      <c r="O21" s="30" t="s">
        <v>142</v>
      </c>
      <c r="P21" s="30" t="s">
        <v>143</v>
      </c>
      <c r="Q21" s="84" t="s">
        <v>2462</v>
      </c>
      <c r="S21" t="b">
        <v>1</v>
      </c>
    </row>
    <row r="22" spans="2:19" x14ac:dyDescent="0.25">
      <c r="B22" s="39" t="s">
        <v>2532</v>
      </c>
      <c r="C22" s="39" t="s">
        <v>2533</v>
      </c>
      <c r="E22" s="39">
        <v>230350</v>
      </c>
      <c r="F22" s="39" t="s">
        <v>89</v>
      </c>
      <c r="G22" s="39"/>
      <c r="I22" s="39"/>
      <c r="N22" s="23" t="s">
        <v>102</v>
      </c>
      <c r="O22" s="30" t="s">
        <v>142</v>
      </c>
      <c r="P22" s="30" t="s">
        <v>144</v>
      </c>
      <c r="Q22" s="84" t="s">
        <v>2462</v>
      </c>
      <c r="S22" t="b">
        <v>1</v>
      </c>
    </row>
    <row r="23" spans="2:19" x14ac:dyDescent="0.25">
      <c r="B23" s="39" t="s">
        <v>2534</v>
      </c>
      <c r="C23" s="39" t="s">
        <v>2535</v>
      </c>
      <c r="E23" s="39">
        <v>230371</v>
      </c>
      <c r="F23" s="39" t="s">
        <v>46</v>
      </c>
      <c r="G23" s="39"/>
      <c r="I23" s="39"/>
      <c r="N23" s="23" t="s">
        <v>102</v>
      </c>
      <c r="O23" s="30" t="s">
        <v>142</v>
      </c>
      <c r="P23" s="30" t="s">
        <v>145</v>
      </c>
      <c r="Q23" s="84" t="s">
        <v>2462</v>
      </c>
      <c r="S23" t="b">
        <v>1</v>
      </c>
    </row>
    <row r="24" spans="2:19" x14ac:dyDescent="0.25">
      <c r="B24" s="39" t="s">
        <v>2536</v>
      </c>
      <c r="C24" s="39" t="s">
        <v>2537</v>
      </c>
      <c r="E24" s="39">
        <v>230372</v>
      </c>
      <c r="F24" s="39" t="s">
        <v>47</v>
      </c>
      <c r="G24" s="39"/>
      <c r="I24" s="39"/>
      <c r="N24" s="23" t="s">
        <v>102</v>
      </c>
      <c r="O24" s="30" t="s">
        <v>142</v>
      </c>
      <c r="P24" s="30" t="s">
        <v>146</v>
      </c>
      <c r="Q24" s="84" t="s">
        <v>2462</v>
      </c>
      <c r="S24" t="b">
        <v>1</v>
      </c>
    </row>
    <row r="25" spans="2:19" x14ac:dyDescent="0.25">
      <c r="B25" s="39" t="s">
        <v>2538</v>
      </c>
      <c r="C25" s="39" t="s">
        <v>2539</v>
      </c>
      <c r="E25" s="39">
        <v>230374</v>
      </c>
      <c r="F25" s="39" t="s">
        <v>48</v>
      </c>
      <c r="G25" s="39"/>
      <c r="I25" s="39"/>
      <c r="N25" s="23" t="s">
        <v>102</v>
      </c>
      <c r="O25" s="30" t="s">
        <v>142</v>
      </c>
      <c r="P25" s="30" t="s">
        <v>147</v>
      </c>
      <c r="Q25" s="84" t="s">
        <v>2463</v>
      </c>
      <c r="S25" t="b">
        <v>0</v>
      </c>
    </row>
    <row r="26" spans="2:19" x14ac:dyDescent="0.25">
      <c r="B26" s="39" t="s">
        <v>2540</v>
      </c>
      <c r="C26" s="39" t="s">
        <v>2541</v>
      </c>
      <c r="E26" s="39">
        <v>240516</v>
      </c>
      <c r="F26" s="39" t="s">
        <v>87</v>
      </c>
      <c r="G26" s="39"/>
      <c r="I26" s="39"/>
      <c r="N26" s="23" t="s">
        <v>102</v>
      </c>
      <c r="O26" s="30" t="s">
        <v>148</v>
      </c>
      <c r="P26" s="30" t="s">
        <v>149</v>
      </c>
      <c r="Q26" s="84" t="s">
        <v>2462</v>
      </c>
      <c r="S26" t="b">
        <v>1</v>
      </c>
    </row>
    <row r="27" spans="2:19" x14ac:dyDescent="0.25">
      <c r="B27" s="39" t="s">
        <v>2542</v>
      </c>
      <c r="C27" s="39" t="s">
        <v>2543</v>
      </c>
      <c r="E27" s="39">
        <v>240517</v>
      </c>
      <c r="F27" s="39" t="s">
        <v>49</v>
      </c>
      <c r="G27" s="39"/>
      <c r="I27" s="39"/>
      <c r="N27" s="23" t="s">
        <v>102</v>
      </c>
      <c r="O27" s="30" t="s">
        <v>148</v>
      </c>
      <c r="P27" s="30" t="s">
        <v>150</v>
      </c>
      <c r="Q27" s="84" t="s">
        <v>2463</v>
      </c>
      <c r="S27" t="b">
        <v>0</v>
      </c>
    </row>
    <row r="28" spans="2:19" x14ac:dyDescent="0.25">
      <c r="B28" s="39" t="s">
        <v>2544</v>
      </c>
      <c r="C28" s="39" t="s">
        <v>2545</v>
      </c>
      <c r="E28" s="39">
        <v>240631</v>
      </c>
      <c r="F28" s="39" t="s">
        <v>30</v>
      </c>
      <c r="G28" s="39"/>
      <c r="N28" s="23" t="s">
        <v>102</v>
      </c>
      <c r="O28" s="30" t="s">
        <v>148</v>
      </c>
      <c r="P28" s="30" t="s">
        <v>151</v>
      </c>
      <c r="Q28" s="84" t="s">
        <v>2463</v>
      </c>
      <c r="S28" t="b">
        <v>0</v>
      </c>
    </row>
    <row r="29" spans="2:19" x14ac:dyDescent="0.25">
      <c r="B29" s="39" t="s">
        <v>2546</v>
      </c>
      <c r="C29" s="39" t="s">
        <v>2547</v>
      </c>
      <c r="E29" s="39">
        <v>240632</v>
      </c>
      <c r="F29" s="39" t="s">
        <v>92</v>
      </c>
      <c r="G29" s="39"/>
      <c r="N29" s="23" t="s">
        <v>102</v>
      </c>
      <c r="O29" s="30" t="s">
        <v>148</v>
      </c>
      <c r="P29" s="30" t="s">
        <v>152</v>
      </c>
      <c r="Q29" s="84" t="s">
        <v>2463</v>
      </c>
      <c r="S29" t="b">
        <v>0</v>
      </c>
    </row>
    <row r="30" spans="2:19" x14ac:dyDescent="0.25">
      <c r="B30" s="39"/>
      <c r="C30" s="39"/>
      <c r="E30" s="39">
        <v>240641</v>
      </c>
      <c r="F30" s="39" t="s">
        <v>50</v>
      </c>
      <c r="G30" s="39"/>
      <c r="N30" s="23" t="s">
        <v>102</v>
      </c>
      <c r="O30" s="30" t="s">
        <v>148</v>
      </c>
      <c r="P30" s="30" t="s">
        <v>153</v>
      </c>
      <c r="Q30" s="84" t="s">
        <v>2463</v>
      </c>
      <c r="S30" t="b">
        <v>0</v>
      </c>
    </row>
    <row r="31" spans="2:19" x14ac:dyDescent="0.25">
      <c r="B31" s="39"/>
      <c r="C31" s="39"/>
      <c r="E31" s="39">
        <v>240642</v>
      </c>
      <c r="F31" s="39" t="s">
        <v>51</v>
      </c>
      <c r="G31" s="39"/>
      <c r="N31" s="23" t="s">
        <v>102</v>
      </c>
      <c r="O31" s="30" t="s">
        <v>148</v>
      </c>
      <c r="P31" s="30" t="s">
        <v>154</v>
      </c>
      <c r="Q31" s="84" t="s">
        <v>2463</v>
      </c>
      <c r="S31" t="b">
        <v>0</v>
      </c>
    </row>
    <row r="32" spans="2:19" x14ac:dyDescent="0.25">
      <c r="B32" s="39"/>
      <c r="C32" s="39"/>
      <c r="E32" s="39">
        <v>240643</v>
      </c>
      <c r="F32" s="39" t="s">
        <v>86</v>
      </c>
      <c r="G32" s="39"/>
      <c r="N32" s="23" t="s">
        <v>102</v>
      </c>
      <c r="O32" s="30" t="s">
        <v>148</v>
      </c>
      <c r="P32" s="30" t="s">
        <v>155</v>
      </c>
      <c r="Q32" s="84" t="s">
        <v>2463</v>
      </c>
      <c r="S32" t="b">
        <v>0</v>
      </c>
    </row>
    <row r="33" spans="2:19" x14ac:dyDescent="0.25">
      <c r="B33" s="39"/>
      <c r="C33" s="39"/>
      <c r="E33" s="39">
        <v>240644</v>
      </c>
      <c r="F33" s="39" t="s">
        <v>93</v>
      </c>
      <c r="G33" s="39"/>
      <c r="N33" s="23" t="s">
        <v>102</v>
      </c>
      <c r="O33" s="30" t="s">
        <v>148</v>
      </c>
      <c r="P33" s="30" t="s">
        <v>156</v>
      </c>
      <c r="Q33" s="84" t="s">
        <v>2463</v>
      </c>
      <c r="S33" t="b">
        <v>0</v>
      </c>
    </row>
    <row r="34" spans="2:19" x14ac:dyDescent="0.25">
      <c r="B34" s="39"/>
      <c r="C34" s="39"/>
      <c r="E34" s="39">
        <v>240704</v>
      </c>
      <c r="F34" s="39" t="s">
        <v>26</v>
      </c>
      <c r="G34" s="39"/>
      <c r="N34" s="23" t="s">
        <v>102</v>
      </c>
      <c r="O34" s="30" t="s">
        <v>148</v>
      </c>
      <c r="P34" s="30" t="s">
        <v>157</v>
      </c>
      <c r="Q34" s="84" t="s">
        <v>2462</v>
      </c>
      <c r="S34" t="b">
        <v>1</v>
      </c>
    </row>
    <row r="35" spans="2:19" x14ac:dyDescent="0.25">
      <c r="B35" s="39"/>
      <c r="C35" s="39"/>
      <c r="E35" s="39">
        <v>240817</v>
      </c>
      <c r="F35" s="39" t="s">
        <v>29</v>
      </c>
      <c r="G35" s="39"/>
      <c r="N35" s="23" t="s">
        <v>102</v>
      </c>
      <c r="O35" s="30" t="s">
        <v>148</v>
      </c>
      <c r="P35" s="30" t="s">
        <v>158</v>
      </c>
      <c r="Q35" s="84" t="s">
        <v>2462</v>
      </c>
      <c r="S35" t="b">
        <v>1</v>
      </c>
    </row>
    <row r="36" spans="2:19" x14ac:dyDescent="0.25">
      <c r="B36" s="39"/>
      <c r="C36" s="39"/>
      <c r="E36" s="39">
        <v>240818</v>
      </c>
      <c r="F36" s="39" t="s">
        <v>84</v>
      </c>
      <c r="G36" s="39" t="s">
        <v>2557</v>
      </c>
      <c r="N36" s="23" t="s">
        <v>102</v>
      </c>
      <c r="O36" s="30" t="s">
        <v>148</v>
      </c>
      <c r="P36" s="30" t="s">
        <v>159</v>
      </c>
      <c r="Q36" s="84" t="s">
        <v>2462</v>
      </c>
      <c r="S36" t="b">
        <v>1</v>
      </c>
    </row>
    <row r="37" spans="2:19" x14ac:dyDescent="0.25">
      <c r="B37" s="39"/>
      <c r="C37" s="39"/>
      <c r="E37" s="39">
        <v>240911</v>
      </c>
      <c r="F37" s="39" t="s">
        <v>37</v>
      </c>
      <c r="G37" s="39"/>
      <c r="N37" s="23" t="s">
        <v>102</v>
      </c>
      <c r="O37" s="30" t="s">
        <v>148</v>
      </c>
      <c r="P37" s="30" t="s">
        <v>160</v>
      </c>
      <c r="Q37" s="84" t="s">
        <v>2462</v>
      </c>
      <c r="S37" t="b">
        <v>1</v>
      </c>
    </row>
    <row r="38" spans="2:19" x14ac:dyDescent="0.25">
      <c r="B38" s="39"/>
      <c r="C38" s="39"/>
      <c r="E38" s="39">
        <v>240914</v>
      </c>
      <c r="F38" s="39" t="s">
        <v>36</v>
      </c>
      <c r="G38" s="39"/>
      <c r="N38" s="23" t="s">
        <v>102</v>
      </c>
      <c r="O38" s="30" t="s">
        <v>148</v>
      </c>
      <c r="P38" s="30" t="s">
        <v>161</v>
      </c>
      <c r="Q38" s="84" t="s">
        <v>2463</v>
      </c>
      <c r="S38" t="b">
        <v>0</v>
      </c>
    </row>
    <row r="39" spans="2:19" x14ac:dyDescent="0.25">
      <c r="B39" s="39"/>
      <c r="C39" s="39"/>
      <c r="E39" s="39">
        <v>240915</v>
      </c>
      <c r="F39" s="39" t="s">
        <v>24</v>
      </c>
      <c r="G39" s="39" t="s">
        <v>2557</v>
      </c>
      <c r="N39" s="23" t="s">
        <v>102</v>
      </c>
      <c r="O39" s="30" t="s">
        <v>148</v>
      </c>
      <c r="P39" s="30" t="s">
        <v>162</v>
      </c>
      <c r="Q39" s="84" t="s">
        <v>2462</v>
      </c>
      <c r="S39" t="b">
        <v>1</v>
      </c>
    </row>
    <row r="40" spans="2:19" x14ac:dyDescent="0.25">
      <c r="B40" s="39"/>
      <c r="C40" s="39"/>
      <c r="E40" s="39">
        <v>241001</v>
      </c>
      <c r="F40" s="39" t="s">
        <v>52</v>
      </c>
      <c r="G40" s="39"/>
      <c r="N40" s="23" t="s">
        <v>102</v>
      </c>
      <c r="O40" s="30" t="s">
        <v>148</v>
      </c>
      <c r="P40" s="30" t="s">
        <v>163</v>
      </c>
      <c r="Q40" s="84" t="s">
        <v>2462</v>
      </c>
      <c r="S40" t="b">
        <v>1</v>
      </c>
    </row>
    <row r="41" spans="2:19" x14ac:dyDescent="0.25">
      <c r="B41" s="39"/>
      <c r="C41" s="39"/>
      <c r="E41" s="39">
        <v>241002</v>
      </c>
      <c r="F41" s="39" t="s">
        <v>85</v>
      </c>
      <c r="G41" s="39"/>
      <c r="N41" s="23" t="s">
        <v>102</v>
      </c>
      <c r="O41" s="30" t="s">
        <v>148</v>
      </c>
      <c r="P41" s="30" t="s">
        <v>164</v>
      </c>
      <c r="Q41" s="84" t="s">
        <v>2462</v>
      </c>
      <c r="S41" t="b">
        <v>1</v>
      </c>
    </row>
    <row r="42" spans="2:19" x14ac:dyDescent="0.25">
      <c r="B42" s="39"/>
      <c r="C42" s="39"/>
      <c r="E42" s="39">
        <v>241015</v>
      </c>
      <c r="F42" s="39" t="s">
        <v>23</v>
      </c>
      <c r="G42" s="39" t="s">
        <v>2557</v>
      </c>
      <c r="N42" s="23" t="s">
        <v>102</v>
      </c>
      <c r="O42" s="30" t="s">
        <v>148</v>
      </c>
      <c r="P42" s="30" t="s">
        <v>165</v>
      </c>
      <c r="Q42" s="84" t="s">
        <v>2462</v>
      </c>
      <c r="S42" t="b">
        <v>1</v>
      </c>
    </row>
    <row r="43" spans="2:19" x14ac:dyDescent="0.25">
      <c r="E43" s="39">
        <v>250403</v>
      </c>
      <c r="F43" s="39" t="s">
        <v>53</v>
      </c>
      <c r="G43" s="39"/>
      <c r="N43" s="23" t="s">
        <v>102</v>
      </c>
      <c r="O43" s="30" t="s">
        <v>148</v>
      </c>
      <c r="P43" s="30" t="s">
        <v>166</v>
      </c>
      <c r="Q43" s="84" t="s">
        <v>2462</v>
      </c>
      <c r="S43" t="b">
        <v>1</v>
      </c>
    </row>
    <row r="44" spans="2:19" x14ac:dyDescent="0.25">
      <c r="E44" s="39">
        <v>250405</v>
      </c>
      <c r="F44" s="39" t="s">
        <v>94</v>
      </c>
      <c r="G44" s="39"/>
      <c r="N44" s="23" t="s">
        <v>102</v>
      </c>
      <c r="O44" s="30" t="s">
        <v>148</v>
      </c>
      <c r="P44" s="30" t="s">
        <v>167</v>
      </c>
      <c r="Q44" s="84" t="s">
        <v>2462</v>
      </c>
      <c r="S44" t="b">
        <v>1</v>
      </c>
    </row>
    <row r="45" spans="2:19" x14ac:dyDescent="0.25">
      <c r="E45" s="39">
        <v>250406</v>
      </c>
      <c r="F45" s="39" t="s">
        <v>54</v>
      </c>
      <c r="G45" s="39"/>
      <c r="N45" s="23" t="s">
        <v>102</v>
      </c>
      <c r="O45" s="30" t="s">
        <v>148</v>
      </c>
      <c r="P45" s="30" t="s">
        <v>168</v>
      </c>
      <c r="Q45" s="84" t="s">
        <v>2463</v>
      </c>
      <c r="S45" t="b">
        <v>0</v>
      </c>
    </row>
    <row r="46" spans="2:19" x14ac:dyDescent="0.25">
      <c r="E46" s="39">
        <v>250413</v>
      </c>
      <c r="F46" s="39" t="s">
        <v>55</v>
      </c>
      <c r="G46" s="39"/>
      <c r="N46" s="23" t="s">
        <v>102</v>
      </c>
      <c r="O46" s="30" t="s">
        <v>148</v>
      </c>
      <c r="P46" s="30" t="s">
        <v>169</v>
      </c>
      <c r="Q46" s="84" t="s">
        <v>2463</v>
      </c>
      <c r="S46" t="b">
        <v>0</v>
      </c>
    </row>
    <row r="47" spans="2:19" x14ac:dyDescent="0.25">
      <c r="E47" s="39">
        <v>250501</v>
      </c>
      <c r="F47" s="39" t="s">
        <v>56</v>
      </c>
      <c r="G47" s="39"/>
      <c r="N47" s="23" t="s">
        <v>102</v>
      </c>
      <c r="O47" s="30" t="s">
        <v>148</v>
      </c>
      <c r="P47" s="30" t="s">
        <v>170</v>
      </c>
      <c r="Q47" s="84" t="s">
        <v>2463</v>
      </c>
      <c r="S47" t="b">
        <v>0</v>
      </c>
    </row>
    <row r="48" spans="2:19" x14ac:dyDescent="0.25">
      <c r="E48" s="39">
        <v>250503</v>
      </c>
      <c r="F48" s="39" t="s">
        <v>95</v>
      </c>
      <c r="G48" s="39"/>
      <c r="N48" s="23" t="s">
        <v>102</v>
      </c>
      <c r="O48" s="30" t="s">
        <v>148</v>
      </c>
      <c r="P48" s="30" t="s">
        <v>171</v>
      </c>
      <c r="Q48" s="84" t="s">
        <v>2462</v>
      </c>
      <c r="S48" t="b">
        <v>1</v>
      </c>
    </row>
    <row r="49" spans="5:19" x14ac:dyDescent="0.25">
      <c r="E49" s="39">
        <v>250508</v>
      </c>
      <c r="F49" s="39" t="s">
        <v>57</v>
      </c>
      <c r="G49" s="39"/>
      <c r="N49" s="23" t="s">
        <v>102</v>
      </c>
      <c r="O49" s="30" t="s">
        <v>148</v>
      </c>
      <c r="P49" s="30" t="s">
        <v>172</v>
      </c>
      <c r="Q49" s="84" t="s">
        <v>2462</v>
      </c>
      <c r="S49" t="b">
        <v>1</v>
      </c>
    </row>
    <row r="50" spans="5:19" x14ac:dyDescent="0.25">
      <c r="E50" s="39">
        <v>250702</v>
      </c>
      <c r="F50" s="39" t="s">
        <v>58</v>
      </c>
      <c r="G50" s="39"/>
      <c r="N50" s="23" t="s">
        <v>102</v>
      </c>
      <c r="O50" s="30" t="s">
        <v>148</v>
      </c>
      <c r="P50" s="30" t="s">
        <v>173</v>
      </c>
      <c r="Q50" s="84" t="s">
        <v>2462</v>
      </c>
      <c r="S50" t="b">
        <v>1</v>
      </c>
    </row>
    <row r="51" spans="5:19" x14ac:dyDescent="0.25">
      <c r="E51" s="39">
        <v>250716</v>
      </c>
      <c r="F51" s="39" t="s">
        <v>61</v>
      </c>
      <c r="G51" s="39"/>
      <c r="N51" s="23" t="s">
        <v>102</v>
      </c>
      <c r="O51" s="30" t="s">
        <v>148</v>
      </c>
      <c r="P51" s="30" t="s">
        <v>174</v>
      </c>
      <c r="Q51" s="84" t="s">
        <v>2462</v>
      </c>
      <c r="S51" t="b">
        <v>1</v>
      </c>
    </row>
    <row r="52" spans="5:19" x14ac:dyDescent="0.25">
      <c r="E52" s="39">
        <v>250717</v>
      </c>
      <c r="F52" s="39" t="s">
        <v>59</v>
      </c>
      <c r="G52" s="39"/>
      <c r="N52" s="23" t="s">
        <v>102</v>
      </c>
      <c r="O52" s="30" t="s">
        <v>148</v>
      </c>
      <c r="P52" s="30" t="s">
        <v>175</v>
      </c>
      <c r="Q52" s="84" t="s">
        <v>2462</v>
      </c>
      <c r="S52" t="b">
        <v>1</v>
      </c>
    </row>
    <row r="53" spans="5:19" x14ac:dyDescent="0.25">
      <c r="E53" s="39">
        <v>250718</v>
      </c>
      <c r="F53" s="39" t="s">
        <v>60</v>
      </c>
      <c r="G53" s="39"/>
      <c r="N53" s="23" t="s">
        <v>102</v>
      </c>
      <c r="O53" s="30" t="s">
        <v>148</v>
      </c>
      <c r="P53" s="30" t="s">
        <v>176</v>
      </c>
      <c r="Q53" s="84" t="s">
        <v>2462</v>
      </c>
      <c r="S53" t="b">
        <v>1</v>
      </c>
    </row>
    <row r="54" spans="5:19" x14ac:dyDescent="0.25">
      <c r="E54" s="39">
        <v>250806</v>
      </c>
      <c r="F54" s="39" t="s">
        <v>62</v>
      </c>
      <c r="G54" s="39"/>
      <c r="N54" s="23" t="s">
        <v>102</v>
      </c>
      <c r="O54" s="30" t="s">
        <v>148</v>
      </c>
      <c r="P54" s="30" t="s">
        <v>177</v>
      </c>
      <c r="Q54" s="84" t="s">
        <v>2462</v>
      </c>
      <c r="S54" t="b">
        <v>1</v>
      </c>
    </row>
    <row r="55" spans="5:19" x14ac:dyDescent="0.25">
      <c r="E55" s="39">
        <v>251001</v>
      </c>
      <c r="F55" s="39" t="s">
        <v>63</v>
      </c>
      <c r="G55" s="39"/>
      <c r="N55" s="23" t="s">
        <v>102</v>
      </c>
      <c r="O55" s="30" t="s">
        <v>178</v>
      </c>
      <c r="P55" s="30" t="s">
        <v>179</v>
      </c>
      <c r="Q55" s="84" t="s">
        <v>2462</v>
      </c>
      <c r="S55" t="b">
        <v>1</v>
      </c>
    </row>
    <row r="56" spans="5:19" x14ac:dyDescent="0.25">
      <c r="E56" s="39">
        <v>251106</v>
      </c>
      <c r="F56" s="39" t="s">
        <v>64</v>
      </c>
      <c r="G56" s="39"/>
      <c r="N56" s="23" t="s">
        <v>102</v>
      </c>
      <c r="O56" s="30" t="s">
        <v>178</v>
      </c>
      <c r="P56" s="30" t="s">
        <v>180</v>
      </c>
      <c r="Q56" s="84" t="s">
        <v>2462</v>
      </c>
      <c r="S56" t="b">
        <v>1</v>
      </c>
    </row>
    <row r="57" spans="5:19" x14ac:dyDescent="0.25">
      <c r="E57" s="39">
        <v>251107</v>
      </c>
      <c r="F57" s="39" t="s">
        <v>96</v>
      </c>
      <c r="G57" s="39"/>
      <c r="N57" s="23" t="s">
        <v>102</v>
      </c>
      <c r="O57" s="30" t="s">
        <v>178</v>
      </c>
      <c r="P57" s="30" t="s">
        <v>181</v>
      </c>
      <c r="Q57" s="84" t="s">
        <v>2462</v>
      </c>
      <c r="S57" t="b">
        <v>1</v>
      </c>
    </row>
    <row r="58" spans="5:19" x14ac:dyDescent="0.25">
      <c r="E58" s="39">
        <v>251122</v>
      </c>
      <c r="F58" s="39" t="s">
        <v>65</v>
      </c>
      <c r="G58" s="39"/>
      <c r="N58" s="23" t="s">
        <v>102</v>
      </c>
      <c r="O58" s="30" t="s">
        <v>178</v>
      </c>
      <c r="P58" s="30" t="s">
        <v>182</v>
      </c>
      <c r="Q58" s="84" t="s">
        <v>2462</v>
      </c>
      <c r="S58" t="b">
        <v>1</v>
      </c>
    </row>
    <row r="59" spans="5:19" x14ac:dyDescent="0.25">
      <c r="E59" s="39">
        <v>251125</v>
      </c>
      <c r="F59" s="39" t="s">
        <v>66</v>
      </c>
      <c r="G59" s="39"/>
      <c r="N59" s="23" t="s">
        <v>102</v>
      </c>
      <c r="O59" s="30" t="s">
        <v>178</v>
      </c>
      <c r="P59" s="30" t="s">
        <v>183</v>
      </c>
      <c r="Q59" s="84" t="s">
        <v>2462</v>
      </c>
      <c r="S59" t="b">
        <v>1</v>
      </c>
    </row>
    <row r="60" spans="5:19" x14ac:dyDescent="0.25">
      <c r="E60" s="39">
        <v>251231</v>
      </c>
      <c r="F60" s="39" t="s">
        <v>67</v>
      </c>
      <c r="G60" s="39"/>
      <c r="N60" s="23" t="s">
        <v>106</v>
      </c>
      <c r="O60" s="30" t="s">
        <v>178</v>
      </c>
      <c r="P60" s="30" t="s">
        <v>1383</v>
      </c>
      <c r="Q60" s="84" t="s">
        <v>2463</v>
      </c>
      <c r="S60" t="b">
        <v>0</v>
      </c>
    </row>
    <row r="61" spans="5:19" x14ac:dyDescent="0.25">
      <c r="E61" s="39">
        <v>260105</v>
      </c>
      <c r="F61" s="39" t="s">
        <v>68</v>
      </c>
      <c r="G61" s="39"/>
      <c r="N61" s="23" t="s">
        <v>106</v>
      </c>
      <c r="O61" s="30" t="s">
        <v>178</v>
      </c>
      <c r="P61" s="30" t="s">
        <v>1384</v>
      </c>
      <c r="Q61" s="84" t="s">
        <v>2463</v>
      </c>
      <c r="S61" t="b">
        <v>0</v>
      </c>
    </row>
    <row r="62" spans="5:19" x14ac:dyDescent="0.25">
      <c r="E62" s="39">
        <v>260110</v>
      </c>
      <c r="F62" s="39" t="s">
        <v>70</v>
      </c>
      <c r="G62" s="39"/>
      <c r="N62" s="23" t="s">
        <v>106</v>
      </c>
      <c r="O62" s="30" t="s">
        <v>178</v>
      </c>
      <c r="P62" s="30" t="s">
        <v>1385</v>
      </c>
      <c r="Q62" s="84" t="s">
        <v>2463</v>
      </c>
      <c r="S62" t="b">
        <v>0</v>
      </c>
    </row>
    <row r="63" spans="5:19" x14ac:dyDescent="0.25">
      <c r="E63" s="39">
        <v>260113</v>
      </c>
      <c r="F63" s="39" t="s">
        <v>69</v>
      </c>
      <c r="G63" s="39"/>
      <c r="N63" s="23" t="s">
        <v>106</v>
      </c>
      <c r="O63" s="30" t="s">
        <v>178</v>
      </c>
      <c r="P63" s="30" t="s">
        <v>1386</v>
      </c>
      <c r="Q63" s="84" t="s">
        <v>2462</v>
      </c>
      <c r="S63" t="b">
        <v>1</v>
      </c>
    </row>
    <row r="64" spans="5:19" x14ac:dyDescent="0.25">
      <c r="E64" s="39">
        <v>260125</v>
      </c>
      <c r="F64" s="39" t="s">
        <v>98</v>
      </c>
      <c r="G64" s="39"/>
      <c r="N64" s="23" t="s">
        <v>106</v>
      </c>
      <c r="O64" s="30" t="s">
        <v>178</v>
      </c>
      <c r="P64" s="30" t="s">
        <v>1387</v>
      </c>
      <c r="Q64" s="84" t="s">
        <v>2462</v>
      </c>
      <c r="S64" t="b">
        <v>1</v>
      </c>
    </row>
    <row r="65" spans="5:19" x14ac:dyDescent="0.25">
      <c r="E65" s="39">
        <v>260126</v>
      </c>
      <c r="F65" s="39" t="s">
        <v>71</v>
      </c>
      <c r="G65" s="39"/>
      <c r="N65" s="23" t="s">
        <v>106</v>
      </c>
      <c r="O65" s="30" t="s">
        <v>178</v>
      </c>
      <c r="P65" s="30" t="s">
        <v>1388</v>
      </c>
      <c r="Q65" s="84" t="s">
        <v>2462</v>
      </c>
      <c r="S65" t="b">
        <v>1</v>
      </c>
    </row>
    <row r="66" spans="5:19" x14ac:dyDescent="0.25">
      <c r="E66" s="39">
        <v>260127</v>
      </c>
      <c r="F66" s="39" t="s">
        <v>97</v>
      </c>
      <c r="G66" s="39"/>
      <c r="N66" s="23" t="s">
        <v>106</v>
      </c>
      <c r="O66" s="30" t="s">
        <v>178</v>
      </c>
      <c r="P66" s="30" t="s">
        <v>1389</v>
      </c>
      <c r="Q66" s="84" t="s">
        <v>2462</v>
      </c>
      <c r="S66" t="b">
        <v>1</v>
      </c>
    </row>
    <row r="67" spans="5:19" x14ac:dyDescent="0.25">
      <c r="E67" s="39">
        <v>260213</v>
      </c>
      <c r="F67" s="39" t="s">
        <v>73</v>
      </c>
      <c r="G67" s="39"/>
      <c r="N67" s="23" t="s">
        <v>106</v>
      </c>
      <c r="O67" s="30" t="s">
        <v>178</v>
      </c>
      <c r="P67" s="30" t="s">
        <v>1390</v>
      </c>
      <c r="Q67" s="84" t="s">
        <v>2462</v>
      </c>
      <c r="S67" t="b">
        <v>1</v>
      </c>
    </row>
    <row r="68" spans="5:19" x14ac:dyDescent="0.25">
      <c r="E68" s="39">
        <v>260214</v>
      </c>
      <c r="F68" s="39" t="s">
        <v>72</v>
      </c>
      <c r="G68" s="39"/>
      <c r="N68" s="23" t="s">
        <v>106</v>
      </c>
      <c r="O68" s="30" t="s">
        <v>178</v>
      </c>
      <c r="P68" s="30" t="s">
        <v>1391</v>
      </c>
      <c r="Q68" s="84" t="s">
        <v>2462</v>
      </c>
      <c r="S68" t="b">
        <v>1</v>
      </c>
    </row>
    <row r="69" spans="5:19" x14ac:dyDescent="0.25">
      <c r="E69" s="39">
        <v>260220</v>
      </c>
      <c r="F69" s="39" t="s">
        <v>74</v>
      </c>
      <c r="G69" s="39"/>
      <c r="N69" s="23" t="s">
        <v>102</v>
      </c>
      <c r="O69" s="30" t="s">
        <v>184</v>
      </c>
      <c r="P69" s="30" t="s">
        <v>185</v>
      </c>
      <c r="Q69" s="84" t="s">
        <v>2462</v>
      </c>
      <c r="S69" t="b">
        <v>1</v>
      </c>
    </row>
    <row r="70" spans="5:19" x14ac:dyDescent="0.25">
      <c r="E70" s="39">
        <v>260225</v>
      </c>
      <c r="F70" s="39" t="s">
        <v>75</v>
      </c>
      <c r="G70" s="39"/>
      <c r="N70" s="23" t="s">
        <v>102</v>
      </c>
      <c r="O70" s="30" t="s">
        <v>184</v>
      </c>
      <c r="P70" s="30" t="s">
        <v>186</v>
      </c>
      <c r="Q70" s="84" t="s">
        <v>2462</v>
      </c>
      <c r="S70" t="b">
        <v>1</v>
      </c>
    </row>
    <row r="71" spans="5:19" x14ac:dyDescent="0.25">
      <c r="E71" s="39">
        <v>260414</v>
      </c>
      <c r="F71" s="39" t="s">
        <v>76</v>
      </c>
      <c r="G71" s="39"/>
      <c r="N71" s="23" t="s">
        <v>102</v>
      </c>
      <c r="O71" s="30" t="s">
        <v>184</v>
      </c>
      <c r="P71" s="30" t="s">
        <v>187</v>
      </c>
      <c r="Q71" s="84" t="s">
        <v>2462</v>
      </c>
      <c r="S71" t="b">
        <v>1</v>
      </c>
    </row>
    <row r="72" spans="5:19" x14ac:dyDescent="0.25">
      <c r="E72" s="39">
        <v>260415</v>
      </c>
      <c r="F72" s="39" t="s">
        <v>77</v>
      </c>
      <c r="G72" s="39"/>
      <c r="N72" s="23" t="s">
        <v>102</v>
      </c>
      <c r="O72" s="30" t="s">
        <v>184</v>
      </c>
      <c r="P72" s="30" t="s">
        <v>188</v>
      </c>
      <c r="Q72" s="84" t="s">
        <v>2463</v>
      </c>
      <c r="S72" t="b">
        <v>0</v>
      </c>
    </row>
    <row r="73" spans="5:19" x14ac:dyDescent="0.25">
      <c r="E73" s="39">
        <v>260416</v>
      </c>
      <c r="F73" s="39" t="s">
        <v>99</v>
      </c>
      <c r="G73" s="39"/>
      <c r="N73" s="23" t="s">
        <v>102</v>
      </c>
      <c r="O73" s="30" t="s">
        <v>184</v>
      </c>
      <c r="P73" s="30" t="s">
        <v>189</v>
      </c>
      <c r="Q73" s="84" t="s">
        <v>2463</v>
      </c>
      <c r="S73" t="b">
        <v>0</v>
      </c>
    </row>
    <row r="74" spans="5:19" x14ac:dyDescent="0.25">
      <c r="E74" s="39">
        <v>260417</v>
      </c>
      <c r="F74" s="39" t="s">
        <v>78</v>
      </c>
      <c r="G74" s="39"/>
      <c r="N74" s="23" t="s">
        <v>102</v>
      </c>
      <c r="O74" s="30" t="s">
        <v>184</v>
      </c>
      <c r="P74" s="30" t="s">
        <v>190</v>
      </c>
      <c r="Q74" s="84" t="s">
        <v>2463</v>
      </c>
      <c r="S74" t="b">
        <v>0</v>
      </c>
    </row>
    <row r="75" spans="5:19" x14ac:dyDescent="0.25">
      <c r="E75" s="39">
        <v>260418</v>
      </c>
      <c r="F75" s="39" t="s">
        <v>79</v>
      </c>
      <c r="G75" s="39"/>
      <c r="N75" s="23" t="s">
        <v>102</v>
      </c>
      <c r="O75" s="30" t="s">
        <v>184</v>
      </c>
      <c r="P75" s="30" t="s">
        <v>191</v>
      </c>
      <c r="Q75" s="84" t="s">
        <v>2463</v>
      </c>
      <c r="S75" t="b">
        <v>0</v>
      </c>
    </row>
    <row r="76" spans="5:19" x14ac:dyDescent="0.25">
      <c r="E76" s="39">
        <v>260420</v>
      </c>
      <c r="F76" s="39" t="s">
        <v>80</v>
      </c>
      <c r="G76" s="39"/>
      <c r="N76" s="23" t="s">
        <v>102</v>
      </c>
      <c r="O76" s="30" t="s">
        <v>184</v>
      </c>
      <c r="P76" s="30" t="s">
        <v>192</v>
      </c>
      <c r="Q76" s="84" t="s">
        <v>2463</v>
      </c>
      <c r="S76" t="b">
        <v>0</v>
      </c>
    </row>
    <row r="77" spans="5:19" x14ac:dyDescent="0.25">
      <c r="E77" s="39">
        <v>260434</v>
      </c>
      <c r="F77" s="39" t="s">
        <v>81</v>
      </c>
      <c r="G77" s="39"/>
      <c r="N77" s="23" t="s">
        <v>102</v>
      </c>
      <c r="O77" s="30" t="s">
        <v>184</v>
      </c>
      <c r="P77" s="30" t="s">
        <v>193</v>
      </c>
      <c r="Q77" s="84" t="s">
        <v>2463</v>
      </c>
      <c r="S77" t="b">
        <v>0</v>
      </c>
    </row>
    <row r="78" spans="5:19" x14ac:dyDescent="0.25">
      <c r="E78" s="39">
        <v>260440</v>
      </c>
      <c r="F78" s="39" t="s">
        <v>100</v>
      </c>
      <c r="G78" s="39"/>
      <c r="N78" s="23" t="s">
        <v>102</v>
      </c>
      <c r="O78" s="30" t="s">
        <v>184</v>
      </c>
      <c r="P78" s="30" t="s">
        <v>194</v>
      </c>
      <c r="Q78" s="84" t="s">
        <v>2463</v>
      </c>
      <c r="S78" t="b">
        <v>0</v>
      </c>
    </row>
    <row r="79" spans="5:19" x14ac:dyDescent="0.25">
      <c r="E79" s="39">
        <v>260502</v>
      </c>
      <c r="F79" s="39" t="s">
        <v>82</v>
      </c>
      <c r="G79" s="39"/>
      <c r="N79" s="23" t="s">
        <v>102</v>
      </c>
      <c r="O79" s="30" t="s">
        <v>184</v>
      </c>
      <c r="P79" s="30" t="s">
        <v>195</v>
      </c>
      <c r="Q79" s="84" t="s">
        <v>2463</v>
      </c>
      <c r="S79" t="b">
        <v>0</v>
      </c>
    </row>
    <row r="80" spans="5:19" x14ac:dyDescent="0.25">
      <c r="E80" s="39">
        <v>260517</v>
      </c>
      <c r="F80" s="39" t="s">
        <v>83</v>
      </c>
      <c r="G80" s="39"/>
      <c r="N80" s="23" t="s">
        <v>102</v>
      </c>
      <c r="O80" s="30" t="s">
        <v>184</v>
      </c>
      <c r="P80" s="30" t="s">
        <v>196</v>
      </c>
      <c r="Q80" s="84" t="s">
        <v>2462</v>
      </c>
      <c r="S80" t="b">
        <v>1</v>
      </c>
    </row>
    <row r="81" spans="5:19" x14ac:dyDescent="0.25">
      <c r="E81" s="39"/>
      <c r="F81" s="39"/>
      <c r="G81" s="39"/>
      <c r="N81" s="23" t="s">
        <v>102</v>
      </c>
      <c r="O81" s="30" t="s">
        <v>184</v>
      </c>
      <c r="P81" s="30" t="s">
        <v>197</v>
      </c>
      <c r="Q81" s="84" t="s">
        <v>2462</v>
      </c>
      <c r="S81" t="b">
        <v>1</v>
      </c>
    </row>
    <row r="82" spans="5:19" x14ac:dyDescent="0.25">
      <c r="E82" s="39"/>
      <c r="F82" s="39"/>
      <c r="G82" s="39"/>
      <c r="N82" s="23" t="s">
        <v>102</v>
      </c>
      <c r="O82" s="30" t="s">
        <v>184</v>
      </c>
      <c r="P82" s="30" t="s">
        <v>198</v>
      </c>
      <c r="Q82" s="84" t="s">
        <v>2462</v>
      </c>
      <c r="S82" t="b">
        <v>1</v>
      </c>
    </row>
    <row r="83" spans="5:19" x14ac:dyDescent="0.25">
      <c r="E83" s="39"/>
      <c r="F83" s="39"/>
      <c r="G83" s="39"/>
      <c r="N83" s="23" t="s">
        <v>102</v>
      </c>
      <c r="O83" s="30" t="s">
        <v>199</v>
      </c>
      <c r="P83" s="30" t="s">
        <v>200</v>
      </c>
      <c r="Q83" s="84" t="s">
        <v>2463</v>
      </c>
      <c r="S83" t="b">
        <v>0</v>
      </c>
    </row>
    <row r="84" spans="5:19" x14ac:dyDescent="0.25">
      <c r="E84" s="39"/>
      <c r="F84" s="39"/>
      <c r="G84" s="39"/>
      <c r="N84" s="23" t="s">
        <v>102</v>
      </c>
      <c r="O84" s="30" t="s">
        <v>199</v>
      </c>
      <c r="P84" s="30" t="s">
        <v>201</v>
      </c>
      <c r="Q84" s="84" t="s">
        <v>2463</v>
      </c>
      <c r="S84" t="b">
        <v>0</v>
      </c>
    </row>
    <row r="85" spans="5:19" x14ac:dyDescent="0.25">
      <c r="E85" s="39"/>
      <c r="F85" s="39"/>
      <c r="G85" s="39"/>
      <c r="N85" s="23" t="s">
        <v>102</v>
      </c>
      <c r="O85" s="30" t="s">
        <v>199</v>
      </c>
      <c r="P85" s="30" t="s">
        <v>202</v>
      </c>
      <c r="Q85" s="84" t="s">
        <v>2463</v>
      </c>
      <c r="S85" t="b">
        <v>0</v>
      </c>
    </row>
    <row r="86" spans="5:19" x14ac:dyDescent="0.25">
      <c r="E86" s="39"/>
      <c r="F86" s="39"/>
      <c r="G86" s="39"/>
      <c r="N86" s="23" t="s">
        <v>102</v>
      </c>
      <c r="O86" s="30" t="s">
        <v>199</v>
      </c>
      <c r="P86" s="30" t="s">
        <v>203</v>
      </c>
      <c r="Q86" s="84" t="s">
        <v>2462</v>
      </c>
      <c r="S86" t="b">
        <v>1</v>
      </c>
    </row>
    <row r="87" spans="5:19" x14ac:dyDescent="0.25">
      <c r="E87" s="39"/>
      <c r="F87" s="39"/>
      <c r="G87" s="39"/>
      <c r="N87" s="23" t="s">
        <v>102</v>
      </c>
      <c r="O87" s="30" t="s">
        <v>199</v>
      </c>
      <c r="P87" s="30" t="s">
        <v>204</v>
      </c>
      <c r="Q87" s="84" t="s">
        <v>2462</v>
      </c>
      <c r="S87" t="b">
        <v>1</v>
      </c>
    </row>
    <row r="88" spans="5:19" x14ac:dyDescent="0.25">
      <c r="E88" s="39"/>
      <c r="F88" s="39"/>
      <c r="G88" s="39"/>
      <c r="N88" s="23" t="s">
        <v>102</v>
      </c>
      <c r="O88" s="30" t="s">
        <v>199</v>
      </c>
      <c r="P88" s="30" t="s">
        <v>205</v>
      </c>
      <c r="Q88" s="84" t="s">
        <v>2462</v>
      </c>
      <c r="S88" t="b">
        <v>1</v>
      </c>
    </row>
    <row r="89" spans="5:19" x14ac:dyDescent="0.25">
      <c r="E89" s="39"/>
      <c r="F89" s="39"/>
      <c r="G89" s="39"/>
      <c r="N89" s="23" t="s">
        <v>102</v>
      </c>
      <c r="O89" s="30" t="s">
        <v>199</v>
      </c>
      <c r="P89" s="30" t="s">
        <v>206</v>
      </c>
      <c r="Q89" s="84" t="s">
        <v>2463</v>
      </c>
      <c r="S89" t="b">
        <v>0</v>
      </c>
    </row>
    <row r="90" spans="5:19" x14ac:dyDescent="0.25">
      <c r="E90" s="39"/>
      <c r="F90" s="39"/>
      <c r="G90" s="39"/>
      <c r="N90" s="23" t="s">
        <v>102</v>
      </c>
      <c r="O90" s="30" t="s">
        <v>199</v>
      </c>
      <c r="P90" s="30" t="s">
        <v>207</v>
      </c>
      <c r="Q90" s="84" t="s">
        <v>2463</v>
      </c>
      <c r="S90" t="b">
        <v>0</v>
      </c>
    </row>
    <row r="91" spans="5:19" x14ac:dyDescent="0.25">
      <c r="E91" s="39"/>
      <c r="F91" s="39"/>
      <c r="G91" s="39"/>
      <c r="N91" s="23" t="s">
        <v>102</v>
      </c>
      <c r="O91" s="30" t="s">
        <v>199</v>
      </c>
      <c r="P91" s="30" t="s">
        <v>208</v>
      </c>
      <c r="Q91" s="84" t="s">
        <v>2463</v>
      </c>
      <c r="S91" t="b">
        <v>0</v>
      </c>
    </row>
    <row r="92" spans="5:19" x14ac:dyDescent="0.25">
      <c r="E92" s="39"/>
      <c r="F92" s="39"/>
      <c r="G92" s="39"/>
      <c r="N92" s="23" t="s">
        <v>102</v>
      </c>
      <c r="O92" s="30" t="s">
        <v>199</v>
      </c>
      <c r="P92" s="30" t="s">
        <v>209</v>
      </c>
      <c r="Q92" s="84" t="s">
        <v>2463</v>
      </c>
      <c r="S92" t="b">
        <v>0</v>
      </c>
    </row>
    <row r="93" spans="5:19" x14ac:dyDescent="0.25">
      <c r="E93" s="39"/>
      <c r="F93" s="39"/>
      <c r="G93" s="39"/>
      <c r="N93" s="23" t="s">
        <v>102</v>
      </c>
      <c r="O93" s="30" t="s">
        <v>199</v>
      </c>
      <c r="P93" s="30" t="s">
        <v>210</v>
      </c>
      <c r="Q93" s="84" t="s">
        <v>2463</v>
      </c>
      <c r="S93" t="b">
        <v>0</v>
      </c>
    </row>
    <row r="94" spans="5:19" x14ac:dyDescent="0.25">
      <c r="E94" s="39"/>
      <c r="F94" s="39"/>
      <c r="G94" s="39"/>
      <c r="N94" s="23" t="s">
        <v>102</v>
      </c>
      <c r="O94" s="30" t="s">
        <v>199</v>
      </c>
      <c r="P94" s="30" t="s">
        <v>211</v>
      </c>
      <c r="Q94" s="84" t="s">
        <v>2463</v>
      </c>
      <c r="S94" t="b">
        <v>0</v>
      </c>
    </row>
    <row r="95" spans="5:19" x14ac:dyDescent="0.25">
      <c r="E95" s="39"/>
      <c r="F95" s="39"/>
      <c r="G95" s="39"/>
      <c r="N95" s="23" t="s">
        <v>102</v>
      </c>
      <c r="O95" s="30" t="s">
        <v>199</v>
      </c>
      <c r="P95" s="30" t="s">
        <v>212</v>
      </c>
      <c r="Q95" s="84" t="s">
        <v>2463</v>
      </c>
      <c r="S95" t="b">
        <v>0</v>
      </c>
    </row>
    <row r="96" spans="5:19" x14ac:dyDescent="0.25">
      <c r="E96" s="39"/>
      <c r="F96" s="39"/>
      <c r="G96" s="39"/>
      <c r="N96" s="23" t="s">
        <v>102</v>
      </c>
      <c r="O96" s="30" t="s">
        <v>199</v>
      </c>
      <c r="P96" s="30" t="s">
        <v>213</v>
      </c>
      <c r="Q96" s="84" t="s">
        <v>2463</v>
      </c>
      <c r="S96" t="b">
        <v>0</v>
      </c>
    </row>
    <row r="97" spans="5:19" x14ac:dyDescent="0.25">
      <c r="E97" s="39"/>
      <c r="F97" s="39"/>
      <c r="G97" s="39"/>
      <c r="N97" s="23" t="s">
        <v>102</v>
      </c>
      <c r="O97" s="30" t="s">
        <v>199</v>
      </c>
      <c r="P97" s="30" t="s">
        <v>214</v>
      </c>
      <c r="Q97" s="84" t="s">
        <v>2463</v>
      </c>
      <c r="S97" t="b">
        <v>0</v>
      </c>
    </row>
    <row r="98" spans="5:19" x14ac:dyDescent="0.25">
      <c r="E98" s="39"/>
      <c r="F98" s="39"/>
      <c r="G98" s="39"/>
      <c r="N98" s="23" t="s">
        <v>102</v>
      </c>
      <c r="O98" s="30" t="s">
        <v>199</v>
      </c>
      <c r="P98" s="30" t="s">
        <v>215</v>
      </c>
      <c r="Q98" s="84" t="s">
        <v>2463</v>
      </c>
      <c r="S98" t="b">
        <v>0</v>
      </c>
    </row>
    <row r="99" spans="5:19" x14ac:dyDescent="0.25">
      <c r="E99" s="39"/>
      <c r="F99" s="39"/>
      <c r="G99" s="39"/>
      <c r="N99" s="23" t="s">
        <v>102</v>
      </c>
      <c r="O99" s="30" t="s">
        <v>199</v>
      </c>
      <c r="P99" s="30" t="s">
        <v>216</v>
      </c>
      <c r="Q99" s="84" t="s">
        <v>2463</v>
      </c>
      <c r="S99" t="b">
        <v>0</v>
      </c>
    </row>
    <row r="100" spans="5:19" x14ac:dyDescent="0.25">
      <c r="E100" s="39"/>
      <c r="F100" s="39"/>
      <c r="G100" s="39"/>
      <c r="N100" s="23" t="s">
        <v>102</v>
      </c>
      <c r="O100" s="30" t="s">
        <v>199</v>
      </c>
      <c r="P100" s="30" t="s">
        <v>217</v>
      </c>
      <c r="Q100" s="84" t="s">
        <v>2463</v>
      </c>
      <c r="S100" t="b">
        <v>0</v>
      </c>
    </row>
    <row r="101" spans="5:19" x14ac:dyDescent="0.25">
      <c r="E101" s="39"/>
      <c r="F101" s="39"/>
      <c r="G101" s="39"/>
      <c r="N101" s="23" t="s">
        <v>102</v>
      </c>
      <c r="O101" s="30" t="s">
        <v>199</v>
      </c>
      <c r="P101" s="30" t="s">
        <v>218</v>
      </c>
      <c r="Q101" s="84" t="s">
        <v>2463</v>
      </c>
      <c r="S101" t="b">
        <v>0</v>
      </c>
    </row>
    <row r="102" spans="5:19" x14ac:dyDescent="0.25">
      <c r="E102" s="39"/>
      <c r="F102" s="39"/>
      <c r="G102" s="39"/>
      <c r="N102" s="23" t="s">
        <v>102</v>
      </c>
      <c r="O102" s="30" t="s">
        <v>199</v>
      </c>
      <c r="P102" s="30" t="s">
        <v>219</v>
      </c>
      <c r="Q102" s="84" t="s">
        <v>2463</v>
      </c>
      <c r="S102" t="b">
        <v>0</v>
      </c>
    </row>
    <row r="103" spans="5:19" x14ac:dyDescent="0.25">
      <c r="E103" s="39"/>
      <c r="F103" s="39"/>
      <c r="G103" s="39"/>
      <c r="N103" s="23" t="s">
        <v>102</v>
      </c>
      <c r="O103" s="30" t="s">
        <v>199</v>
      </c>
      <c r="P103" s="30" t="s">
        <v>220</v>
      </c>
      <c r="Q103" s="84" t="s">
        <v>2463</v>
      </c>
      <c r="S103" t="b">
        <v>0</v>
      </c>
    </row>
    <row r="104" spans="5:19" x14ac:dyDescent="0.25">
      <c r="E104" s="39"/>
      <c r="F104" s="39"/>
      <c r="G104" s="39"/>
      <c r="N104" s="23" t="s">
        <v>102</v>
      </c>
      <c r="O104" s="30" t="s">
        <v>199</v>
      </c>
      <c r="P104" s="30" t="s">
        <v>221</v>
      </c>
      <c r="Q104" s="84" t="s">
        <v>2463</v>
      </c>
      <c r="S104" t="b">
        <v>0</v>
      </c>
    </row>
    <row r="105" spans="5:19" x14ac:dyDescent="0.25">
      <c r="E105" s="39"/>
      <c r="F105" s="39"/>
      <c r="G105" s="39"/>
      <c r="N105" s="23" t="s">
        <v>102</v>
      </c>
      <c r="O105" s="30" t="s">
        <v>199</v>
      </c>
      <c r="P105" s="30" t="s">
        <v>222</v>
      </c>
      <c r="Q105" s="84" t="s">
        <v>2463</v>
      </c>
      <c r="S105" t="b">
        <v>0</v>
      </c>
    </row>
    <row r="106" spans="5:19" x14ac:dyDescent="0.25">
      <c r="E106" s="39"/>
      <c r="F106" s="39"/>
      <c r="G106" s="39"/>
      <c r="N106" s="23" t="s">
        <v>102</v>
      </c>
      <c r="O106" s="30" t="s">
        <v>199</v>
      </c>
      <c r="P106" s="30" t="s">
        <v>223</v>
      </c>
      <c r="Q106" s="84" t="s">
        <v>2463</v>
      </c>
      <c r="S106" t="b">
        <v>0</v>
      </c>
    </row>
    <row r="107" spans="5:19" x14ac:dyDescent="0.25">
      <c r="E107" s="39"/>
      <c r="F107" s="39"/>
      <c r="G107" s="39"/>
      <c r="N107" s="23" t="s">
        <v>102</v>
      </c>
      <c r="O107" s="30" t="s">
        <v>199</v>
      </c>
      <c r="P107" s="30" t="s">
        <v>224</v>
      </c>
      <c r="Q107" s="84" t="s">
        <v>2462</v>
      </c>
      <c r="S107" t="b">
        <v>1</v>
      </c>
    </row>
    <row r="108" spans="5:19" x14ac:dyDescent="0.25">
      <c r="E108" s="39"/>
      <c r="F108" s="39"/>
      <c r="G108" s="39"/>
      <c r="N108" s="23" t="s">
        <v>102</v>
      </c>
      <c r="O108" s="30" t="s">
        <v>199</v>
      </c>
      <c r="P108" s="30" t="s">
        <v>225</v>
      </c>
      <c r="Q108" s="84" t="s">
        <v>2462</v>
      </c>
      <c r="S108" t="b">
        <v>1</v>
      </c>
    </row>
    <row r="109" spans="5:19" x14ac:dyDescent="0.25">
      <c r="E109" s="39"/>
      <c r="F109" s="39"/>
      <c r="G109" s="39"/>
      <c r="N109" s="23" t="s">
        <v>102</v>
      </c>
      <c r="O109" s="30" t="s">
        <v>199</v>
      </c>
      <c r="P109" s="30" t="s">
        <v>226</v>
      </c>
      <c r="Q109" s="84" t="s">
        <v>2462</v>
      </c>
      <c r="S109" t="b">
        <v>1</v>
      </c>
    </row>
    <row r="110" spans="5:19" x14ac:dyDescent="0.25">
      <c r="E110" s="39"/>
      <c r="F110" s="39"/>
      <c r="G110" s="39"/>
      <c r="N110" s="23" t="s">
        <v>102</v>
      </c>
      <c r="O110" s="30" t="s">
        <v>199</v>
      </c>
      <c r="P110" s="30" t="s">
        <v>227</v>
      </c>
      <c r="Q110" s="84" t="s">
        <v>2462</v>
      </c>
      <c r="S110" t="b">
        <v>1</v>
      </c>
    </row>
    <row r="111" spans="5:19" x14ac:dyDescent="0.25">
      <c r="E111" s="39"/>
      <c r="F111" s="39"/>
      <c r="G111" s="39"/>
      <c r="N111" s="23" t="s">
        <v>102</v>
      </c>
      <c r="O111" s="30" t="s">
        <v>199</v>
      </c>
      <c r="P111" s="30" t="s">
        <v>228</v>
      </c>
      <c r="Q111" s="84" t="s">
        <v>2462</v>
      </c>
      <c r="S111" t="b">
        <v>1</v>
      </c>
    </row>
    <row r="112" spans="5:19" x14ac:dyDescent="0.25">
      <c r="E112" s="39"/>
      <c r="F112" s="39"/>
      <c r="G112" s="39"/>
      <c r="N112" s="23" t="s">
        <v>102</v>
      </c>
      <c r="O112" s="30" t="s">
        <v>199</v>
      </c>
      <c r="P112" s="30" t="s">
        <v>229</v>
      </c>
      <c r="Q112" s="84" t="s">
        <v>2462</v>
      </c>
      <c r="S112" t="b">
        <v>1</v>
      </c>
    </row>
    <row r="113" spans="5:19" x14ac:dyDescent="0.25">
      <c r="E113" s="39"/>
      <c r="F113" s="39"/>
      <c r="G113" s="39"/>
      <c r="N113" s="23" t="s">
        <v>102</v>
      </c>
      <c r="O113" s="30" t="s">
        <v>199</v>
      </c>
      <c r="P113" s="30" t="s">
        <v>230</v>
      </c>
      <c r="Q113" s="84" t="s">
        <v>2462</v>
      </c>
      <c r="S113" t="b">
        <v>1</v>
      </c>
    </row>
    <row r="114" spans="5:19" x14ac:dyDescent="0.25">
      <c r="E114" s="39"/>
      <c r="F114" s="39"/>
      <c r="G114" s="39"/>
      <c r="N114" s="23" t="s">
        <v>102</v>
      </c>
      <c r="O114" s="30" t="s">
        <v>199</v>
      </c>
      <c r="P114" s="30" t="s">
        <v>231</v>
      </c>
      <c r="Q114" s="84" t="s">
        <v>2462</v>
      </c>
      <c r="S114" t="b">
        <v>1</v>
      </c>
    </row>
    <row r="115" spans="5:19" x14ac:dyDescent="0.25">
      <c r="E115" s="39"/>
      <c r="F115" s="39"/>
      <c r="G115" s="39"/>
      <c r="N115" s="23" t="s">
        <v>102</v>
      </c>
      <c r="O115" s="30" t="s">
        <v>199</v>
      </c>
      <c r="P115" s="30" t="s">
        <v>232</v>
      </c>
      <c r="Q115" s="84" t="s">
        <v>2463</v>
      </c>
      <c r="S115" t="b">
        <v>0</v>
      </c>
    </row>
    <row r="116" spans="5:19" x14ac:dyDescent="0.25">
      <c r="E116" s="39"/>
      <c r="F116" s="39"/>
      <c r="G116" s="39"/>
      <c r="N116" s="23" t="s">
        <v>102</v>
      </c>
      <c r="O116" s="30" t="s">
        <v>199</v>
      </c>
      <c r="P116" s="30" t="s">
        <v>233</v>
      </c>
      <c r="Q116" s="84" t="s">
        <v>2463</v>
      </c>
      <c r="S116" t="b">
        <v>0</v>
      </c>
    </row>
    <row r="117" spans="5:19" x14ac:dyDescent="0.25">
      <c r="E117" s="39"/>
      <c r="F117" s="39"/>
      <c r="G117" s="39"/>
      <c r="N117" s="23" t="s">
        <v>102</v>
      </c>
      <c r="O117" s="30" t="s">
        <v>199</v>
      </c>
      <c r="P117" s="30" t="s">
        <v>234</v>
      </c>
      <c r="Q117" s="84" t="s">
        <v>2463</v>
      </c>
      <c r="S117" t="b">
        <v>0</v>
      </c>
    </row>
    <row r="118" spans="5:19" x14ac:dyDescent="0.25">
      <c r="E118" s="39"/>
      <c r="F118" s="39"/>
      <c r="G118" s="39"/>
      <c r="N118" s="23" t="s">
        <v>102</v>
      </c>
      <c r="O118" s="30" t="s">
        <v>199</v>
      </c>
      <c r="P118" s="30" t="s">
        <v>235</v>
      </c>
      <c r="Q118" s="84" t="s">
        <v>2463</v>
      </c>
      <c r="S118" t="b">
        <v>0</v>
      </c>
    </row>
    <row r="119" spans="5:19" x14ac:dyDescent="0.25">
      <c r="E119" s="39"/>
      <c r="F119" s="39"/>
      <c r="G119" s="39"/>
      <c r="N119" s="23" t="s">
        <v>102</v>
      </c>
      <c r="O119" s="30" t="s">
        <v>199</v>
      </c>
      <c r="P119" s="30" t="s">
        <v>236</v>
      </c>
      <c r="Q119" s="84" t="s">
        <v>2463</v>
      </c>
      <c r="S119" t="b">
        <v>0</v>
      </c>
    </row>
    <row r="120" spans="5:19" x14ac:dyDescent="0.25">
      <c r="E120" s="39"/>
      <c r="F120" s="39"/>
      <c r="G120" s="39"/>
      <c r="N120" s="23" t="s">
        <v>102</v>
      </c>
      <c r="O120" s="30" t="s">
        <v>199</v>
      </c>
      <c r="P120" s="30" t="s">
        <v>237</v>
      </c>
      <c r="Q120" s="84" t="s">
        <v>2463</v>
      </c>
      <c r="S120" t="b">
        <v>0</v>
      </c>
    </row>
    <row r="121" spans="5:19" x14ac:dyDescent="0.25">
      <c r="E121" s="39"/>
      <c r="F121" s="39"/>
      <c r="G121" s="39"/>
      <c r="N121" s="23" t="s">
        <v>102</v>
      </c>
      <c r="O121" s="30" t="s">
        <v>199</v>
      </c>
      <c r="P121" s="30" t="s">
        <v>238</v>
      </c>
      <c r="Q121" s="84" t="s">
        <v>2463</v>
      </c>
      <c r="S121" t="b">
        <v>0</v>
      </c>
    </row>
    <row r="122" spans="5:19" x14ac:dyDescent="0.25">
      <c r="E122" s="39"/>
      <c r="F122" s="39"/>
      <c r="G122" s="39"/>
      <c r="N122" s="23" t="s">
        <v>102</v>
      </c>
      <c r="O122" s="30" t="s">
        <v>199</v>
      </c>
      <c r="P122" s="30" t="s">
        <v>239</v>
      </c>
      <c r="Q122" s="84" t="s">
        <v>2463</v>
      </c>
      <c r="S122" t="b">
        <v>0</v>
      </c>
    </row>
    <row r="123" spans="5:19" x14ac:dyDescent="0.25">
      <c r="E123" s="39"/>
      <c r="F123" s="39"/>
      <c r="G123" s="39"/>
      <c r="N123" s="23" t="s">
        <v>102</v>
      </c>
      <c r="O123" s="30" t="s">
        <v>199</v>
      </c>
      <c r="P123" s="30" t="s">
        <v>240</v>
      </c>
      <c r="Q123" s="84" t="s">
        <v>2463</v>
      </c>
      <c r="S123" t="b">
        <v>0</v>
      </c>
    </row>
    <row r="124" spans="5:19" x14ac:dyDescent="0.25">
      <c r="E124" s="39"/>
      <c r="F124" s="39"/>
      <c r="G124" s="39"/>
      <c r="N124" s="23" t="s">
        <v>102</v>
      </c>
      <c r="O124" s="30" t="s">
        <v>199</v>
      </c>
      <c r="P124" s="30" t="s">
        <v>241</v>
      </c>
      <c r="Q124" s="84" t="s">
        <v>2463</v>
      </c>
      <c r="S124" t="b">
        <v>0</v>
      </c>
    </row>
    <row r="125" spans="5:19" x14ac:dyDescent="0.25">
      <c r="E125" s="39"/>
      <c r="F125" s="39"/>
      <c r="G125" s="39"/>
      <c r="N125" s="23" t="s">
        <v>102</v>
      </c>
      <c r="O125" s="30" t="s">
        <v>199</v>
      </c>
      <c r="P125" s="30" t="s">
        <v>242</v>
      </c>
      <c r="Q125" s="84" t="s">
        <v>2463</v>
      </c>
      <c r="S125" t="b">
        <v>0</v>
      </c>
    </row>
    <row r="126" spans="5:19" x14ac:dyDescent="0.25">
      <c r="E126" s="39"/>
      <c r="F126" s="39"/>
      <c r="G126" s="39"/>
      <c r="N126" s="23" t="s">
        <v>102</v>
      </c>
      <c r="O126" s="30" t="s">
        <v>199</v>
      </c>
      <c r="P126" s="30" t="s">
        <v>243</v>
      </c>
      <c r="Q126" s="84" t="s">
        <v>2463</v>
      </c>
      <c r="S126" t="b">
        <v>0</v>
      </c>
    </row>
    <row r="127" spans="5:19" x14ac:dyDescent="0.25">
      <c r="E127" s="39"/>
      <c r="F127" s="39"/>
      <c r="G127" s="39"/>
      <c r="N127" s="23" t="s">
        <v>102</v>
      </c>
      <c r="O127" s="30" t="s">
        <v>199</v>
      </c>
      <c r="P127" s="30" t="s">
        <v>244</v>
      </c>
      <c r="Q127" s="84" t="s">
        <v>2463</v>
      </c>
      <c r="S127" t="b">
        <v>0</v>
      </c>
    </row>
    <row r="128" spans="5:19" x14ac:dyDescent="0.25">
      <c r="E128" s="39"/>
      <c r="F128" s="39"/>
      <c r="G128" s="39"/>
      <c r="N128" s="23" t="s">
        <v>102</v>
      </c>
      <c r="O128" s="30" t="s">
        <v>199</v>
      </c>
      <c r="P128" s="30" t="s">
        <v>245</v>
      </c>
      <c r="Q128" s="84" t="s">
        <v>2463</v>
      </c>
      <c r="S128" t="b">
        <v>0</v>
      </c>
    </row>
    <row r="129" spans="5:19" x14ac:dyDescent="0.25">
      <c r="E129" s="39"/>
      <c r="F129" s="39"/>
      <c r="G129" s="39"/>
      <c r="N129" s="23" t="s">
        <v>102</v>
      </c>
      <c r="O129" s="30" t="s">
        <v>199</v>
      </c>
      <c r="P129" s="30" t="s">
        <v>246</v>
      </c>
      <c r="Q129" s="84" t="s">
        <v>2463</v>
      </c>
      <c r="S129" t="b">
        <v>0</v>
      </c>
    </row>
    <row r="130" spans="5:19" x14ac:dyDescent="0.25">
      <c r="E130" s="39"/>
      <c r="F130" s="39"/>
      <c r="G130" s="39"/>
      <c r="N130" s="23" t="s">
        <v>102</v>
      </c>
      <c r="O130" s="30" t="s">
        <v>199</v>
      </c>
      <c r="P130" s="30" t="s">
        <v>247</v>
      </c>
      <c r="Q130" s="84" t="s">
        <v>2463</v>
      </c>
      <c r="S130" t="b">
        <v>0</v>
      </c>
    </row>
    <row r="131" spans="5:19" x14ac:dyDescent="0.25">
      <c r="E131" s="39"/>
      <c r="F131" s="39"/>
      <c r="G131" s="39"/>
      <c r="N131" s="23" t="s">
        <v>102</v>
      </c>
      <c r="O131" s="30" t="s">
        <v>199</v>
      </c>
      <c r="P131" s="30" t="s">
        <v>248</v>
      </c>
      <c r="Q131" s="84" t="s">
        <v>2463</v>
      </c>
      <c r="S131" t="b">
        <v>0</v>
      </c>
    </row>
    <row r="132" spans="5:19" x14ac:dyDescent="0.25">
      <c r="E132" s="39"/>
      <c r="F132" s="39"/>
      <c r="G132" s="39"/>
      <c r="N132" s="23" t="s">
        <v>102</v>
      </c>
      <c r="O132" s="30" t="s">
        <v>199</v>
      </c>
      <c r="P132" s="30" t="s">
        <v>249</v>
      </c>
      <c r="Q132" s="84" t="s">
        <v>2463</v>
      </c>
      <c r="S132" t="b">
        <v>0</v>
      </c>
    </row>
    <row r="133" spans="5:19" x14ac:dyDescent="0.25">
      <c r="E133" s="39"/>
      <c r="F133" s="39"/>
      <c r="G133" s="39"/>
      <c r="N133" s="23" t="s">
        <v>102</v>
      </c>
      <c r="O133" s="30" t="s">
        <v>199</v>
      </c>
      <c r="P133" s="30" t="s">
        <v>250</v>
      </c>
      <c r="Q133" s="84" t="s">
        <v>2463</v>
      </c>
      <c r="S133" t="b">
        <v>0</v>
      </c>
    </row>
    <row r="134" spans="5:19" x14ac:dyDescent="0.25">
      <c r="E134" s="39"/>
      <c r="F134" s="39"/>
      <c r="G134" s="39"/>
      <c r="N134" s="23" t="s">
        <v>102</v>
      </c>
      <c r="O134" s="30" t="s">
        <v>199</v>
      </c>
      <c r="P134" s="30" t="s">
        <v>251</v>
      </c>
      <c r="Q134" s="84" t="s">
        <v>2463</v>
      </c>
      <c r="S134" t="b">
        <v>0</v>
      </c>
    </row>
    <row r="135" spans="5:19" x14ac:dyDescent="0.25">
      <c r="E135" s="39"/>
      <c r="F135" s="39"/>
      <c r="G135" s="39"/>
      <c r="N135" s="23" t="s">
        <v>102</v>
      </c>
      <c r="O135" s="30" t="s">
        <v>199</v>
      </c>
      <c r="P135" s="30" t="s">
        <v>252</v>
      </c>
      <c r="Q135" s="84" t="s">
        <v>2463</v>
      </c>
      <c r="S135" t="b">
        <v>0</v>
      </c>
    </row>
    <row r="136" spans="5:19" x14ac:dyDescent="0.25">
      <c r="E136" s="39"/>
      <c r="F136" s="39"/>
      <c r="G136" s="39"/>
      <c r="N136" s="23" t="s">
        <v>102</v>
      </c>
      <c r="O136" s="30" t="s">
        <v>199</v>
      </c>
      <c r="P136" s="30" t="s">
        <v>253</v>
      </c>
      <c r="Q136" s="84" t="s">
        <v>2463</v>
      </c>
      <c r="S136" t="b">
        <v>0</v>
      </c>
    </row>
    <row r="137" spans="5:19" x14ac:dyDescent="0.25">
      <c r="E137" s="39"/>
      <c r="F137" s="39"/>
      <c r="G137" s="39"/>
      <c r="N137" s="23" t="s">
        <v>102</v>
      </c>
      <c r="O137" s="30" t="s">
        <v>199</v>
      </c>
      <c r="P137" s="30" t="s">
        <v>254</v>
      </c>
      <c r="Q137" s="84" t="s">
        <v>2463</v>
      </c>
      <c r="S137" t="b">
        <v>0</v>
      </c>
    </row>
    <row r="138" spans="5:19" x14ac:dyDescent="0.25">
      <c r="E138" s="39"/>
      <c r="F138" s="39"/>
      <c r="G138" s="39"/>
      <c r="N138" s="23" t="s">
        <v>102</v>
      </c>
      <c r="O138" s="30" t="s">
        <v>199</v>
      </c>
      <c r="P138" s="30" t="s">
        <v>255</v>
      </c>
      <c r="Q138" s="84" t="s">
        <v>2463</v>
      </c>
      <c r="S138" t="b">
        <v>0</v>
      </c>
    </row>
    <row r="139" spans="5:19" x14ac:dyDescent="0.25">
      <c r="E139" s="39"/>
      <c r="F139" s="39"/>
      <c r="G139" s="39"/>
      <c r="N139" s="23" t="s">
        <v>102</v>
      </c>
      <c r="O139" s="30" t="s">
        <v>199</v>
      </c>
      <c r="P139" s="30" t="s">
        <v>256</v>
      </c>
      <c r="Q139" s="84" t="s">
        <v>2463</v>
      </c>
      <c r="S139" t="b">
        <v>0</v>
      </c>
    </row>
    <row r="140" spans="5:19" x14ac:dyDescent="0.25">
      <c r="E140" s="39"/>
      <c r="F140" s="39"/>
      <c r="G140" s="39"/>
      <c r="N140" s="23" t="s">
        <v>102</v>
      </c>
      <c r="O140" s="30" t="s">
        <v>199</v>
      </c>
      <c r="P140" s="30" t="s">
        <v>257</v>
      </c>
      <c r="Q140" s="84" t="s">
        <v>2462</v>
      </c>
      <c r="S140" t="b">
        <v>1</v>
      </c>
    </row>
    <row r="141" spans="5:19" x14ac:dyDescent="0.25">
      <c r="E141" s="39"/>
      <c r="F141" s="39"/>
      <c r="G141" s="39"/>
      <c r="N141" s="23" t="s">
        <v>102</v>
      </c>
      <c r="O141" s="30" t="s">
        <v>199</v>
      </c>
      <c r="P141" s="30" t="s">
        <v>258</v>
      </c>
      <c r="Q141" s="84" t="s">
        <v>2462</v>
      </c>
      <c r="S141" t="b">
        <v>1</v>
      </c>
    </row>
    <row r="142" spans="5:19" x14ac:dyDescent="0.25">
      <c r="E142" s="39"/>
      <c r="F142" s="39"/>
      <c r="G142" s="39"/>
      <c r="N142" s="23" t="s">
        <v>102</v>
      </c>
      <c r="O142" s="30" t="s">
        <v>199</v>
      </c>
      <c r="P142" s="30" t="s">
        <v>259</v>
      </c>
      <c r="Q142" s="84" t="s">
        <v>2462</v>
      </c>
      <c r="S142" t="b">
        <v>1</v>
      </c>
    </row>
    <row r="143" spans="5:19" x14ac:dyDescent="0.25">
      <c r="E143" s="39"/>
      <c r="F143" s="39"/>
      <c r="G143" s="39"/>
      <c r="N143" s="23" t="s">
        <v>102</v>
      </c>
      <c r="O143" s="30" t="s">
        <v>199</v>
      </c>
      <c r="P143" s="30" t="s">
        <v>260</v>
      </c>
      <c r="Q143" s="84" t="s">
        <v>2462</v>
      </c>
      <c r="S143" t="b">
        <v>1</v>
      </c>
    </row>
    <row r="144" spans="5:19" x14ac:dyDescent="0.25">
      <c r="E144" s="39"/>
      <c r="F144" s="39"/>
      <c r="G144" s="39"/>
      <c r="N144" s="23" t="s">
        <v>102</v>
      </c>
      <c r="O144" s="30" t="s">
        <v>199</v>
      </c>
      <c r="P144" s="30" t="s">
        <v>261</v>
      </c>
      <c r="Q144" s="84" t="s">
        <v>2462</v>
      </c>
      <c r="S144" t="b">
        <v>1</v>
      </c>
    </row>
    <row r="145" spans="5:19" x14ac:dyDescent="0.25">
      <c r="E145" s="39"/>
      <c r="F145" s="39"/>
      <c r="G145" s="39"/>
      <c r="N145" s="23" t="s">
        <v>102</v>
      </c>
      <c r="O145" s="30" t="s">
        <v>199</v>
      </c>
      <c r="P145" s="30" t="s">
        <v>262</v>
      </c>
      <c r="Q145" s="84" t="s">
        <v>2462</v>
      </c>
      <c r="S145" t="b">
        <v>1</v>
      </c>
    </row>
    <row r="146" spans="5:19" x14ac:dyDescent="0.25">
      <c r="E146" s="39"/>
      <c r="F146" s="39"/>
      <c r="G146" s="39"/>
      <c r="N146" s="23" t="s">
        <v>102</v>
      </c>
      <c r="O146" s="30" t="s">
        <v>199</v>
      </c>
      <c r="P146" s="30" t="s">
        <v>263</v>
      </c>
      <c r="Q146" s="84" t="s">
        <v>2462</v>
      </c>
      <c r="S146" t="b">
        <v>1</v>
      </c>
    </row>
    <row r="147" spans="5:19" x14ac:dyDescent="0.25">
      <c r="E147" s="39"/>
      <c r="F147" s="39"/>
      <c r="G147" s="39"/>
      <c r="N147" s="23" t="s">
        <v>102</v>
      </c>
      <c r="O147" s="30" t="s">
        <v>199</v>
      </c>
      <c r="P147" s="30" t="s">
        <v>264</v>
      </c>
      <c r="Q147" s="84" t="s">
        <v>2462</v>
      </c>
      <c r="S147" t="b">
        <v>1</v>
      </c>
    </row>
    <row r="148" spans="5:19" x14ac:dyDescent="0.25">
      <c r="E148" s="39"/>
      <c r="F148" s="39"/>
      <c r="G148" s="39"/>
      <c r="N148" s="23" t="s">
        <v>102</v>
      </c>
      <c r="O148" s="30" t="s">
        <v>199</v>
      </c>
      <c r="P148" s="30" t="s">
        <v>265</v>
      </c>
      <c r="Q148" s="84" t="s">
        <v>2462</v>
      </c>
      <c r="S148" t="b">
        <v>1</v>
      </c>
    </row>
    <row r="149" spans="5:19" x14ac:dyDescent="0.25">
      <c r="E149" s="39"/>
      <c r="F149" s="39"/>
      <c r="G149" s="39"/>
      <c r="N149" s="23" t="s">
        <v>102</v>
      </c>
      <c r="O149" s="30" t="s">
        <v>199</v>
      </c>
      <c r="P149" s="30" t="s">
        <v>266</v>
      </c>
      <c r="Q149" s="84" t="s">
        <v>2462</v>
      </c>
      <c r="S149" t="b">
        <v>1</v>
      </c>
    </row>
    <row r="150" spans="5:19" x14ac:dyDescent="0.25">
      <c r="E150" s="39"/>
      <c r="F150" s="39"/>
      <c r="G150" s="39"/>
      <c r="N150" s="23" t="s">
        <v>102</v>
      </c>
      <c r="O150" s="30" t="s">
        <v>199</v>
      </c>
      <c r="P150" s="30" t="s">
        <v>267</v>
      </c>
      <c r="Q150" s="84" t="s">
        <v>2462</v>
      </c>
      <c r="S150" t="b">
        <v>1</v>
      </c>
    </row>
    <row r="151" spans="5:19" x14ac:dyDescent="0.25">
      <c r="E151" s="39"/>
      <c r="F151" s="39"/>
      <c r="G151" s="39"/>
      <c r="N151" s="23" t="s">
        <v>102</v>
      </c>
      <c r="O151" s="30" t="s">
        <v>199</v>
      </c>
      <c r="P151" s="30" t="s">
        <v>268</v>
      </c>
      <c r="Q151" s="84" t="s">
        <v>2462</v>
      </c>
      <c r="S151" t="b">
        <v>1</v>
      </c>
    </row>
    <row r="152" spans="5:19" x14ac:dyDescent="0.25">
      <c r="E152" s="39"/>
      <c r="F152" s="39"/>
      <c r="G152" s="39"/>
      <c r="N152" s="23" t="s">
        <v>102</v>
      </c>
      <c r="O152" s="30" t="s">
        <v>199</v>
      </c>
      <c r="P152" s="30" t="s">
        <v>269</v>
      </c>
      <c r="Q152" s="84" t="s">
        <v>2462</v>
      </c>
      <c r="S152" t="b">
        <v>1</v>
      </c>
    </row>
    <row r="153" spans="5:19" x14ac:dyDescent="0.25">
      <c r="E153" s="39"/>
      <c r="F153" s="39"/>
      <c r="G153" s="39"/>
      <c r="N153" s="23" t="s">
        <v>102</v>
      </c>
      <c r="O153" s="30" t="s">
        <v>199</v>
      </c>
      <c r="P153" s="30" t="s">
        <v>270</v>
      </c>
      <c r="Q153" s="84" t="s">
        <v>2462</v>
      </c>
      <c r="S153" t="b">
        <v>1</v>
      </c>
    </row>
    <row r="154" spans="5:19" x14ac:dyDescent="0.25">
      <c r="E154" s="39"/>
      <c r="F154" s="39"/>
      <c r="G154" s="39"/>
      <c r="N154" s="23" t="s">
        <v>106</v>
      </c>
      <c r="O154" s="30" t="s">
        <v>1392</v>
      </c>
      <c r="P154" s="30" t="s">
        <v>1393</v>
      </c>
      <c r="Q154" s="84" t="s">
        <v>2463</v>
      </c>
      <c r="S154" t="b">
        <v>0</v>
      </c>
    </row>
    <row r="155" spans="5:19" x14ac:dyDescent="0.25">
      <c r="N155" s="23" t="s">
        <v>106</v>
      </c>
      <c r="O155" s="30" t="s">
        <v>1392</v>
      </c>
      <c r="P155" s="30" t="s">
        <v>1394</v>
      </c>
      <c r="Q155" s="84" t="s">
        <v>2463</v>
      </c>
      <c r="S155" t="b">
        <v>0</v>
      </c>
    </row>
    <row r="156" spans="5:19" x14ac:dyDescent="0.25">
      <c r="N156" s="23" t="s">
        <v>106</v>
      </c>
      <c r="O156" s="30" t="s">
        <v>1392</v>
      </c>
      <c r="P156" s="30" t="s">
        <v>1395</v>
      </c>
      <c r="Q156" s="84" t="s">
        <v>2463</v>
      </c>
      <c r="S156" t="b">
        <v>0</v>
      </c>
    </row>
    <row r="157" spans="5:19" x14ac:dyDescent="0.25">
      <c r="N157" s="23" t="s">
        <v>106</v>
      </c>
      <c r="O157" s="30" t="s">
        <v>1392</v>
      </c>
      <c r="P157" s="30" t="s">
        <v>1396</v>
      </c>
      <c r="Q157" s="84" t="s">
        <v>2463</v>
      </c>
      <c r="S157" t="b">
        <v>0</v>
      </c>
    </row>
    <row r="158" spans="5:19" x14ac:dyDescent="0.25">
      <c r="N158" s="23" t="s">
        <v>106</v>
      </c>
      <c r="O158" s="30" t="s">
        <v>1392</v>
      </c>
      <c r="P158" s="30" t="s">
        <v>1397</v>
      </c>
      <c r="Q158" s="84" t="s">
        <v>2463</v>
      </c>
      <c r="S158" t="b">
        <v>0</v>
      </c>
    </row>
    <row r="159" spans="5:19" x14ac:dyDescent="0.25">
      <c r="N159" s="23" t="s">
        <v>106</v>
      </c>
      <c r="O159" s="30" t="s">
        <v>1392</v>
      </c>
      <c r="P159" s="30" t="s">
        <v>1398</v>
      </c>
      <c r="Q159" s="84" t="s">
        <v>2463</v>
      </c>
      <c r="S159" t="b">
        <v>0</v>
      </c>
    </row>
    <row r="160" spans="5:19" x14ac:dyDescent="0.25">
      <c r="N160" s="23" t="s">
        <v>106</v>
      </c>
      <c r="O160" s="30" t="s">
        <v>1392</v>
      </c>
      <c r="P160" s="30" t="s">
        <v>1399</v>
      </c>
      <c r="Q160" s="84" t="s">
        <v>2463</v>
      </c>
      <c r="S160" t="b">
        <v>0</v>
      </c>
    </row>
    <row r="161" spans="14:19" x14ac:dyDescent="0.25">
      <c r="N161" s="23" t="s">
        <v>106</v>
      </c>
      <c r="O161" s="30" t="s">
        <v>1392</v>
      </c>
      <c r="P161" s="30" t="s">
        <v>1400</v>
      </c>
      <c r="Q161" s="84" t="s">
        <v>2462</v>
      </c>
      <c r="S161" t="b">
        <v>1</v>
      </c>
    </row>
    <row r="162" spans="14:19" x14ac:dyDescent="0.25">
      <c r="N162" s="23" t="s">
        <v>106</v>
      </c>
      <c r="O162" s="30" t="s">
        <v>1392</v>
      </c>
      <c r="P162" s="30" t="s">
        <v>1401</v>
      </c>
      <c r="Q162" s="84" t="s">
        <v>2462</v>
      </c>
      <c r="S162" t="b">
        <v>1</v>
      </c>
    </row>
    <row r="163" spans="14:19" x14ac:dyDescent="0.25">
      <c r="N163" s="23" t="s">
        <v>106</v>
      </c>
      <c r="O163" s="30" t="s">
        <v>1392</v>
      </c>
      <c r="P163" s="30" t="s">
        <v>1402</v>
      </c>
      <c r="Q163" s="84" t="s">
        <v>2462</v>
      </c>
      <c r="S163" t="b">
        <v>1</v>
      </c>
    </row>
    <row r="164" spans="14:19" x14ac:dyDescent="0.25">
      <c r="N164" s="23" t="s">
        <v>106</v>
      </c>
      <c r="O164" s="30" t="s">
        <v>1392</v>
      </c>
      <c r="P164" s="30" t="s">
        <v>1403</v>
      </c>
      <c r="Q164" s="84" t="s">
        <v>2462</v>
      </c>
      <c r="S164" t="b">
        <v>1</v>
      </c>
    </row>
    <row r="165" spans="14:19" x14ac:dyDescent="0.25">
      <c r="N165" s="23" t="s">
        <v>106</v>
      </c>
      <c r="O165" s="30" t="s">
        <v>1392</v>
      </c>
      <c r="P165" s="30" t="s">
        <v>1404</v>
      </c>
      <c r="Q165" s="84" t="s">
        <v>2462</v>
      </c>
      <c r="S165" t="b">
        <v>1</v>
      </c>
    </row>
    <row r="166" spans="14:19" x14ac:dyDescent="0.25">
      <c r="N166" s="23" t="s">
        <v>106</v>
      </c>
      <c r="O166" s="30" t="s">
        <v>1392</v>
      </c>
      <c r="P166" s="30" t="s">
        <v>1405</v>
      </c>
      <c r="Q166" s="84" t="s">
        <v>2462</v>
      </c>
      <c r="S166" t="b">
        <v>1</v>
      </c>
    </row>
    <row r="167" spans="14:19" x14ac:dyDescent="0.25">
      <c r="N167" s="23" t="s">
        <v>106</v>
      </c>
      <c r="O167" s="30" t="s">
        <v>1392</v>
      </c>
      <c r="P167" s="30" t="s">
        <v>1406</v>
      </c>
      <c r="Q167" s="84" t="s">
        <v>2462</v>
      </c>
      <c r="S167" t="b">
        <v>1</v>
      </c>
    </row>
    <row r="168" spans="14:19" x14ac:dyDescent="0.25">
      <c r="N168" s="23" t="s">
        <v>106</v>
      </c>
      <c r="O168" s="30" t="s">
        <v>1392</v>
      </c>
      <c r="P168" s="30" t="s">
        <v>1407</v>
      </c>
      <c r="Q168" s="84" t="s">
        <v>2462</v>
      </c>
      <c r="S168" t="b">
        <v>1</v>
      </c>
    </row>
    <row r="169" spans="14:19" x14ac:dyDescent="0.25">
      <c r="N169" s="23" t="s">
        <v>106</v>
      </c>
      <c r="O169" s="30" t="s">
        <v>1392</v>
      </c>
      <c r="P169" s="30" t="s">
        <v>1408</v>
      </c>
      <c r="Q169" s="84" t="s">
        <v>2462</v>
      </c>
      <c r="S169" t="b">
        <v>1</v>
      </c>
    </row>
    <row r="170" spans="14:19" x14ac:dyDescent="0.25">
      <c r="N170" s="23" t="s">
        <v>106</v>
      </c>
      <c r="O170" s="30" t="s">
        <v>1392</v>
      </c>
      <c r="P170" s="30" t="s">
        <v>1409</v>
      </c>
      <c r="Q170" s="84" t="s">
        <v>2462</v>
      </c>
      <c r="S170" t="b">
        <v>1</v>
      </c>
    </row>
    <row r="171" spans="14:19" x14ac:dyDescent="0.25">
      <c r="N171" s="23" t="s">
        <v>106</v>
      </c>
      <c r="O171" s="30" t="s">
        <v>1392</v>
      </c>
      <c r="P171" s="30" t="s">
        <v>1410</v>
      </c>
      <c r="Q171" s="84" t="s">
        <v>2462</v>
      </c>
      <c r="S171" t="b">
        <v>1</v>
      </c>
    </row>
    <row r="172" spans="14:19" x14ac:dyDescent="0.25">
      <c r="N172" s="23" t="s">
        <v>106</v>
      </c>
      <c r="O172" s="30" t="s">
        <v>1392</v>
      </c>
      <c r="P172" s="30" t="s">
        <v>1411</v>
      </c>
      <c r="Q172" s="84" t="s">
        <v>2462</v>
      </c>
      <c r="S172" t="b">
        <v>1</v>
      </c>
    </row>
    <row r="173" spans="14:19" x14ac:dyDescent="0.25">
      <c r="N173" s="23" t="s">
        <v>106</v>
      </c>
      <c r="O173" s="30" t="s">
        <v>1412</v>
      </c>
      <c r="P173" s="30" t="s">
        <v>1413</v>
      </c>
      <c r="Q173" s="84" t="s">
        <v>2463</v>
      </c>
      <c r="S173" t="b">
        <v>0</v>
      </c>
    </row>
    <row r="174" spans="14:19" x14ac:dyDescent="0.25">
      <c r="N174" s="23" t="s">
        <v>106</v>
      </c>
      <c r="O174" s="30" t="s">
        <v>1412</v>
      </c>
      <c r="P174" s="30" t="s">
        <v>1414</v>
      </c>
      <c r="Q174" s="84" t="s">
        <v>2463</v>
      </c>
      <c r="S174" t="b">
        <v>0</v>
      </c>
    </row>
    <row r="175" spans="14:19" x14ac:dyDescent="0.25">
      <c r="N175" s="23" t="s">
        <v>106</v>
      </c>
      <c r="O175" s="30" t="s">
        <v>1412</v>
      </c>
      <c r="P175" s="30" t="s">
        <v>1415</v>
      </c>
      <c r="Q175" s="84" t="s">
        <v>2463</v>
      </c>
      <c r="S175" t="b">
        <v>0</v>
      </c>
    </row>
    <row r="176" spans="14:19" x14ac:dyDescent="0.25">
      <c r="N176" s="23" t="s">
        <v>106</v>
      </c>
      <c r="O176" s="30" t="s">
        <v>1412</v>
      </c>
      <c r="P176" s="30" t="s">
        <v>1416</v>
      </c>
      <c r="Q176" s="84" t="s">
        <v>2463</v>
      </c>
      <c r="S176" t="b">
        <v>0</v>
      </c>
    </row>
    <row r="177" spans="14:19" x14ac:dyDescent="0.25">
      <c r="N177" s="23" t="s">
        <v>106</v>
      </c>
      <c r="O177" s="30" t="s">
        <v>1412</v>
      </c>
      <c r="P177" s="30" t="s">
        <v>1417</v>
      </c>
      <c r="Q177" s="84" t="s">
        <v>2463</v>
      </c>
      <c r="S177" t="b">
        <v>0</v>
      </c>
    </row>
    <row r="178" spans="14:19" x14ac:dyDescent="0.25">
      <c r="N178" s="23" t="s">
        <v>106</v>
      </c>
      <c r="O178" s="30" t="s">
        <v>1412</v>
      </c>
      <c r="P178" s="30" t="s">
        <v>1418</v>
      </c>
      <c r="Q178" s="84" t="s">
        <v>2463</v>
      </c>
      <c r="S178" t="b">
        <v>0</v>
      </c>
    </row>
    <row r="179" spans="14:19" x14ac:dyDescent="0.25">
      <c r="N179" s="23" t="s">
        <v>106</v>
      </c>
      <c r="O179" s="30" t="s">
        <v>1412</v>
      </c>
      <c r="P179" s="30" t="s">
        <v>1419</v>
      </c>
      <c r="Q179" s="84" t="s">
        <v>2463</v>
      </c>
      <c r="S179" t="b">
        <v>0</v>
      </c>
    </row>
    <row r="180" spans="14:19" x14ac:dyDescent="0.25">
      <c r="N180" s="23" t="s">
        <v>106</v>
      </c>
      <c r="O180" s="30" t="s">
        <v>1412</v>
      </c>
      <c r="P180" s="30" t="s">
        <v>1420</v>
      </c>
      <c r="Q180" s="84" t="s">
        <v>2463</v>
      </c>
      <c r="S180" t="b">
        <v>0</v>
      </c>
    </row>
    <row r="181" spans="14:19" x14ac:dyDescent="0.25">
      <c r="N181" s="23" t="s">
        <v>106</v>
      </c>
      <c r="O181" s="30" t="s">
        <v>1412</v>
      </c>
      <c r="P181" s="30" t="s">
        <v>1421</v>
      </c>
      <c r="Q181" s="84" t="s">
        <v>2463</v>
      </c>
      <c r="S181" t="b">
        <v>0</v>
      </c>
    </row>
    <row r="182" spans="14:19" x14ac:dyDescent="0.25">
      <c r="N182" s="23" t="s">
        <v>106</v>
      </c>
      <c r="O182" s="30" t="s">
        <v>1412</v>
      </c>
      <c r="P182" s="30" t="s">
        <v>1422</v>
      </c>
      <c r="Q182" s="84" t="s">
        <v>2463</v>
      </c>
      <c r="S182" t="b">
        <v>0</v>
      </c>
    </row>
    <row r="183" spans="14:19" x14ac:dyDescent="0.25">
      <c r="N183" s="23" t="s">
        <v>106</v>
      </c>
      <c r="O183" s="30" t="s">
        <v>1412</v>
      </c>
      <c r="P183" s="30" t="s">
        <v>1423</v>
      </c>
      <c r="Q183" s="84" t="s">
        <v>2462</v>
      </c>
      <c r="S183" t="b">
        <v>1</v>
      </c>
    </row>
    <row r="184" spans="14:19" x14ac:dyDescent="0.25">
      <c r="N184" s="23" t="s">
        <v>106</v>
      </c>
      <c r="O184" s="30" t="s">
        <v>1412</v>
      </c>
      <c r="P184" s="30" t="s">
        <v>1424</v>
      </c>
      <c r="Q184" s="84" t="s">
        <v>2462</v>
      </c>
      <c r="S184" t="b">
        <v>1</v>
      </c>
    </row>
    <row r="185" spans="14:19" x14ac:dyDescent="0.25">
      <c r="N185" s="23" t="s">
        <v>106</v>
      </c>
      <c r="O185" s="30" t="s">
        <v>1412</v>
      </c>
      <c r="P185" s="30" t="s">
        <v>1425</v>
      </c>
      <c r="Q185" s="84" t="s">
        <v>2462</v>
      </c>
      <c r="S185" t="b">
        <v>1</v>
      </c>
    </row>
    <row r="186" spans="14:19" x14ac:dyDescent="0.25">
      <c r="N186" s="23" t="s">
        <v>106</v>
      </c>
      <c r="O186" s="30" t="s">
        <v>1412</v>
      </c>
      <c r="P186" s="30" t="s">
        <v>1426</v>
      </c>
      <c r="Q186" s="84" t="s">
        <v>2462</v>
      </c>
      <c r="S186" t="b">
        <v>1</v>
      </c>
    </row>
    <row r="187" spans="14:19" x14ac:dyDescent="0.25">
      <c r="N187" s="23" t="s">
        <v>106</v>
      </c>
      <c r="O187" s="30" t="s">
        <v>1412</v>
      </c>
      <c r="P187" s="30" t="s">
        <v>1427</v>
      </c>
      <c r="Q187" s="84" t="s">
        <v>2462</v>
      </c>
      <c r="S187" t="b">
        <v>1</v>
      </c>
    </row>
    <row r="188" spans="14:19" x14ac:dyDescent="0.25">
      <c r="N188" s="23" t="s">
        <v>106</v>
      </c>
      <c r="O188" s="30" t="s">
        <v>1412</v>
      </c>
      <c r="P188" s="30" t="s">
        <v>1428</v>
      </c>
      <c r="Q188" s="84" t="s">
        <v>2462</v>
      </c>
      <c r="S188" t="b">
        <v>1</v>
      </c>
    </row>
    <row r="189" spans="14:19" x14ac:dyDescent="0.25">
      <c r="N189" s="23" t="s">
        <v>106</v>
      </c>
      <c r="O189" s="30" t="s">
        <v>1412</v>
      </c>
      <c r="P189" s="30" t="s">
        <v>1429</v>
      </c>
      <c r="Q189" s="84" t="s">
        <v>2462</v>
      </c>
      <c r="S189" t="b">
        <v>1</v>
      </c>
    </row>
    <row r="190" spans="14:19" x14ac:dyDescent="0.25">
      <c r="N190" s="23" t="s">
        <v>106</v>
      </c>
      <c r="O190" s="30" t="s">
        <v>1412</v>
      </c>
      <c r="P190" s="30" t="s">
        <v>1430</v>
      </c>
      <c r="Q190" s="84" t="s">
        <v>2462</v>
      </c>
      <c r="S190" t="b">
        <v>1</v>
      </c>
    </row>
    <row r="191" spans="14:19" x14ac:dyDescent="0.25">
      <c r="N191" s="23" t="s">
        <v>106</v>
      </c>
      <c r="O191" s="30" t="s">
        <v>1412</v>
      </c>
      <c r="P191" s="30" t="s">
        <v>1431</v>
      </c>
      <c r="Q191" s="84" t="s">
        <v>2462</v>
      </c>
      <c r="S191" t="b">
        <v>1</v>
      </c>
    </row>
    <row r="192" spans="14:19" x14ac:dyDescent="0.25">
      <c r="N192" s="23" t="s">
        <v>106</v>
      </c>
      <c r="O192" s="30" t="s">
        <v>1412</v>
      </c>
      <c r="P192" s="30" t="s">
        <v>1432</v>
      </c>
      <c r="Q192" s="84" t="s">
        <v>2462</v>
      </c>
      <c r="S192" t="b">
        <v>1</v>
      </c>
    </row>
    <row r="193" spans="14:19" x14ac:dyDescent="0.25">
      <c r="N193" s="23" t="s">
        <v>106</v>
      </c>
      <c r="O193" s="30" t="s">
        <v>1433</v>
      </c>
      <c r="P193" s="30" t="s">
        <v>1434</v>
      </c>
      <c r="Q193" s="84" t="s">
        <v>2463</v>
      </c>
      <c r="S193" t="b">
        <v>0</v>
      </c>
    </row>
    <row r="194" spans="14:19" x14ac:dyDescent="0.25">
      <c r="N194" s="23" t="s">
        <v>106</v>
      </c>
      <c r="O194" s="30" t="s">
        <v>1433</v>
      </c>
      <c r="P194" s="30" t="s">
        <v>1435</v>
      </c>
      <c r="Q194" s="84" t="s">
        <v>2463</v>
      </c>
      <c r="S194" t="b">
        <v>0</v>
      </c>
    </row>
    <row r="195" spans="14:19" x14ac:dyDescent="0.25">
      <c r="N195" s="23" t="s">
        <v>106</v>
      </c>
      <c r="O195" s="30" t="s">
        <v>1433</v>
      </c>
      <c r="P195" s="30" t="s">
        <v>1436</v>
      </c>
      <c r="Q195" s="84" t="s">
        <v>2463</v>
      </c>
      <c r="S195" t="b">
        <v>0</v>
      </c>
    </row>
    <row r="196" spans="14:19" x14ac:dyDescent="0.25">
      <c r="N196" s="23" t="s">
        <v>106</v>
      </c>
      <c r="O196" s="30" t="s">
        <v>1433</v>
      </c>
      <c r="P196" s="30" t="s">
        <v>1437</v>
      </c>
      <c r="Q196" s="84" t="s">
        <v>2463</v>
      </c>
      <c r="S196" t="b">
        <v>0</v>
      </c>
    </row>
    <row r="197" spans="14:19" x14ac:dyDescent="0.25">
      <c r="N197" s="23" t="s">
        <v>106</v>
      </c>
      <c r="O197" s="30" t="s">
        <v>1433</v>
      </c>
      <c r="P197" s="30" t="s">
        <v>1438</v>
      </c>
      <c r="Q197" s="84" t="s">
        <v>2463</v>
      </c>
      <c r="S197" t="b">
        <v>0</v>
      </c>
    </row>
    <row r="198" spans="14:19" x14ac:dyDescent="0.25">
      <c r="N198" s="23" t="s">
        <v>106</v>
      </c>
      <c r="O198" s="30" t="s">
        <v>1433</v>
      </c>
      <c r="P198" s="30" t="s">
        <v>1439</v>
      </c>
      <c r="Q198" s="84" t="s">
        <v>2463</v>
      </c>
      <c r="S198" t="b">
        <v>0</v>
      </c>
    </row>
    <row r="199" spans="14:19" x14ac:dyDescent="0.25">
      <c r="N199" s="23" t="s">
        <v>106</v>
      </c>
      <c r="O199" s="30" t="s">
        <v>1433</v>
      </c>
      <c r="P199" s="30" t="s">
        <v>1440</v>
      </c>
      <c r="Q199" s="84" t="s">
        <v>2463</v>
      </c>
      <c r="S199" t="b">
        <v>0</v>
      </c>
    </row>
    <row r="200" spans="14:19" x14ac:dyDescent="0.25">
      <c r="N200" s="23" t="s">
        <v>106</v>
      </c>
      <c r="O200" s="30" t="s">
        <v>1433</v>
      </c>
      <c r="P200" s="30" t="s">
        <v>1441</v>
      </c>
      <c r="Q200" s="84" t="s">
        <v>2463</v>
      </c>
      <c r="S200" t="b">
        <v>0</v>
      </c>
    </row>
    <row r="201" spans="14:19" x14ac:dyDescent="0.25">
      <c r="N201" s="23" t="s">
        <v>106</v>
      </c>
      <c r="O201" s="30" t="s">
        <v>1433</v>
      </c>
      <c r="P201" s="30" t="s">
        <v>1442</v>
      </c>
      <c r="Q201" s="84" t="s">
        <v>2463</v>
      </c>
      <c r="S201" t="b">
        <v>0</v>
      </c>
    </row>
    <row r="202" spans="14:19" x14ac:dyDescent="0.25">
      <c r="N202" s="23" t="s">
        <v>106</v>
      </c>
      <c r="O202" s="30" t="s">
        <v>1433</v>
      </c>
      <c r="P202" s="30" t="s">
        <v>1443</v>
      </c>
      <c r="Q202" s="84" t="s">
        <v>2463</v>
      </c>
      <c r="S202" t="b">
        <v>0</v>
      </c>
    </row>
    <row r="203" spans="14:19" x14ac:dyDescent="0.25">
      <c r="N203" s="23" t="s">
        <v>106</v>
      </c>
      <c r="O203" s="30" t="s">
        <v>1433</v>
      </c>
      <c r="P203" s="30" t="s">
        <v>1444</v>
      </c>
      <c r="Q203" s="84" t="s">
        <v>2463</v>
      </c>
      <c r="S203" t="b">
        <v>0</v>
      </c>
    </row>
    <row r="204" spans="14:19" x14ac:dyDescent="0.25">
      <c r="N204" s="23" t="s">
        <v>106</v>
      </c>
      <c r="O204" s="30" t="s">
        <v>1433</v>
      </c>
      <c r="P204" s="30" t="s">
        <v>1445</v>
      </c>
      <c r="Q204" s="84" t="s">
        <v>2463</v>
      </c>
      <c r="S204" t="b">
        <v>0</v>
      </c>
    </row>
    <row r="205" spans="14:19" x14ac:dyDescent="0.25">
      <c r="N205" s="23" t="s">
        <v>106</v>
      </c>
      <c r="O205" s="30" t="s">
        <v>1433</v>
      </c>
      <c r="P205" s="30" t="s">
        <v>1446</v>
      </c>
      <c r="Q205" s="84" t="s">
        <v>2463</v>
      </c>
      <c r="S205" t="b">
        <v>0</v>
      </c>
    </row>
    <row r="206" spans="14:19" x14ac:dyDescent="0.25">
      <c r="N206" s="23" t="s">
        <v>106</v>
      </c>
      <c r="O206" s="30" t="s">
        <v>1433</v>
      </c>
      <c r="P206" s="30" t="s">
        <v>1447</v>
      </c>
      <c r="Q206" s="84" t="s">
        <v>2462</v>
      </c>
      <c r="S206" t="b">
        <v>1</v>
      </c>
    </row>
    <row r="207" spans="14:19" x14ac:dyDescent="0.25">
      <c r="N207" s="23" t="s">
        <v>106</v>
      </c>
      <c r="O207" s="30" t="s">
        <v>1433</v>
      </c>
      <c r="P207" s="30" t="s">
        <v>1448</v>
      </c>
      <c r="Q207" s="84" t="s">
        <v>2462</v>
      </c>
      <c r="S207" t="b">
        <v>1</v>
      </c>
    </row>
    <row r="208" spans="14:19" x14ac:dyDescent="0.25">
      <c r="N208" s="23" t="s">
        <v>106</v>
      </c>
      <c r="O208" s="30" t="s">
        <v>1433</v>
      </c>
      <c r="P208" s="30" t="s">
        <v>1449</v>
      </c>
      <c r="Q208" s="84" t="s">
        <v>2462</v>
      </c>
      <c r="S208" t="b">
        <v>1</v>
      </c>
    </row>
    <row r="209" spans="14:19" x14ac:dyDescent="0.25">
      <c r="N209" s="23" t="s">
        <v>106</v>
      </c>
      <c r="O209" s="30" t="s">
        <v>1433</v>
      </c>
      <c r="P209" s="30" t="s">
        <v>1450</v>
      </c>
      <c r="Q209" s="84" t="s">
        <v>2462</v>
      </c>
      <c r="S209" t="b">
        <v>1</v>
      </c>
    </row>
    <row r="210" spans="14:19" x14ac:dyDescent="0.25">
      <c r="N210" s="23" t="s">
        <v>106</v>
      </c>
      <c r="O210" s="30" t="s">
        <v>1433</v>
      </c>
      <c r="P210" s="30" t="s">
        <v>1451</v>
      </c>
      <c r="Q210" s="84" t="s">
        <v>2462</v>
      </c>
      <c r="S210" t="b">
        <v>1</v>
      </c>
    </row>
    <row r="211" spans="14:19" x14ac:dyDescent="0.25">
      <c r="N211" s="23" t="s">
        <v>106</v>
      </c>
      <c r="O211" s="30" t="s">
        <v>1433</v>
      </c>
      <c r="P211" s="30" t="s">
        <v>1452</v>
      </c>
      <c r="Q211" s="84" t="s">
        <v>2462</v>
      </c>
      <c r="S211" t="b">
        <v>1</v>
      </c>
    </row>
    <row r="212" spans="14:19" x14ac:dyDescent="0.25">
      <c r="N212" s="23" t="s">
        <v>106</v>
      </c>
      <c r="O212" s="30" t="s">
        <v>1433</v>
      </c>
      <c r="P212" s="30" t="s">
        <v>1453</v>
      </c>
      <c r="Q212" s="84" t="s">
        <v>2462</v>
      </c>
      <c r="S212" t="b">
        <v>1</v>
      </c>
    </row>
    <row r="213" spans="14:19" x14ac:dyDescent="0.25">
      <c r="N213" s="23" t="s">
        <v>106</v>
      </c>
      <c r="O213" s="30" t="s">
        <v>1433</v>
      </c>
      <c r="P213" s="30" t="s">
        <v>1454</v>
      </c>
      <c r="Q213" s="84" t="s">
        <v>2462</v>
      </c>
      <c r="S213" t="b">
        <v>1</v>
      </c>
    </row>
    <row r="214" spans="14:19" x14ac:dyDescent="0.25">
      <c r="N214" s="23" t="s">
        <v>102</v>
      </c>
      <c r="O214" s="30" t="s">
        <v>271</v>
      </c>
      <c r="P214" s="30" t="s">
        <v>272</v>
      </c>
      <c r="Q214" s="84" t="s">
        <v>2463</v>
      </c>
      <c r="S214" t="b">
        <v>0</v>
      </c>
    </row>
    <row r="215" spans="14:19" x14ac:dyDescent="0.25">
      <c r="N215" s="23" t="s">
        <v>102</v>
      </c>
      <c r="O215" s="30" t="s">
        <v>271</v>
      </c>
      <c r="P215" s="30" t="s">
        <v>273</v>
      </c>
      <c r="Q215" s="84" t="s">
        <v>2463</v>
      </c>
      <c r="S215" t="b">
        <v>0</v>
      </c>
    </row>
    <row r="216" spans="14:19" x14ac:dyDescent="0.25">
      <c r="N216" s="23" t="s">
        <v>102</v>
      </c>
      <c r="O216" s="30" t="s">
        <v>271</v>
      </c>
      <c r="P216" s="30" t="s">
        <v>274</v>
      </c>
      <c r="Q216" s="84" t="s">
        <v>2462</v>
      </c>
      <c r="S216" t="b">
        <v>1</v>
      </c>
    </row>
    <row r="217" spans="14:19" x14ac:dyDescent="0.25">
      <c r="N217" s="23" t="s">
        <v>102</v>
      </c>
      <c r="O217" s="30" t="s">
        <v>271</v>
      </c>
      <c r="P217" s="30" t="s">
        <v>275</v>
      </c>
      <c r="Q217" s="84" t="s">
        <v>2462</v>
      </c>
      <c r="S217" t="b">
        <v>1</v>
      </c>
    </row>
    <row r="218" spans="14:19" x14ac:dyDescent="0.25">
      <c r="N218" s="23" t="s">
        <v>102</v>
      </c>
      <c r="O218" s="30" t="s">
        <v>271</v>
      </c>
      <c r="P218" s="30" t="s">
        <v>276</v>
      </c>
      <c r="Q218" s="84" t="s">
        <v>2462</v>
      </c>
      <c r="S218" t="b">
        <v>1</v>
      </c>
    </row>
    <row r="219" spans="14:19" x14ac:dyDescent="0.25">
      <c r="N219" s="23" t="s">
        <v>102</v>
      </c>
      <c r="O219" s="30" t="s">
        <v>271</v>
      </c>
      <c r="P219" s="30" t="s">
        <v>277</v>
      </c>
      <c r="Q219" s="84" t="s">
        <v>2462</v>
      </c>
      <c r="S219" t="b">
        <v>1</v>
      </c>
    </row>
    <row r="220" spans="14:19" x14ac:dyDescent="0.25">
      <c r="N220" s="23" t="s">
        <v>102</v>
      </c>
      <c r="O220" s="30" t="s">
        <v>271</v>
      </c>
      <c r="P220" s="30" t="s">
        <v>278</v>
      </c>
      <c r="Q220" s="84" t="s">
        <v>2462</v>
      </c>
      <c r="S220" t="b">
        <v>1</v>
      </c>
    </row>
    <row r="221" spans="14:19" x14ac:dyDescent="0.25">
      <c r="N221" s="23" t="s">
        <v>102</v>
      </c>
      <c r="O221" s="30" t="s">
        <v>271</v>
      </c>
      <c r="P221" s="30" t="s">
        <v>279</v>
      </c>
      <c r="Q221" s="84" t="s">
        <v>2462</v>
      </c>
      <c r="S221" t="b">
        <v>1</v>
      </c>
    </row>
    <row r="222" spans="14:19" x14ac:dyDescent="0.25">
      <c r="N222" s="23" t="s">
        <v>102</v>
      </c>
      <c r="O222" s="30" t="s">
        <v>271</v>
      </c>
      <c r="P222" s="30" t="s">
        <v>280</v>
      </c>
      <c r="Q222" s="84" t="s">
        <v>2462</v>
      </c>
      <c r="S222" t="b">
        <v>1</v>
      </c>
    </row>
    <row r="223" spans="14:19" x14ac:dyDescent="0.25">
      <c r="N223" s="23" t="s">
        <v>102</v>
      </c>
      <c r="O223" s="30" t="s">
        <v>271</v>
      </c>
      <c r="P223" s="30" t="s">
        <v>281</v>
      </c>
      <c r="Q223" s="84" t="s">
        <v>2462</v>
      </c>
      <c r="S223" t="b">
        <v>1</v>
      </c>
    </row>
    <row r="224" spans="14:19" x14ac:dyDescent="0.25">
      <c r="N224" s="23" t="s">
        <v>102</v>
      </c>
      <c r="O224" s="30" t="s">
        <v>271</v>
      </c>
      <c r="P224" s="30" t="s">
        <v>282</v>
      </c>
      <c r="Q224" s="84" t="s">
        <v>2462</v>
      </c>
      <c r="S224" t="b">
        <v>1</v>
      </c>
    </row>
    <row r="225" spans="14:19" x14ac:dyDescent="0.25">
      <c r="N225" s="23" t="s">
        <v>102</v>
      </c>
      <c r="O225" s="30" t="s">
        <v>271</v>
      </c>
      <c r="P225" s="30" t="s">
        <v>283</v>
      </c>
      <c r="Q225" s="84" t="s">
        <v>2462</v>
      </c>
      <c r="S225" t="b">
        <v>1</v>
      </c>
    </row>
    <row r="226" spans="14:19" x14ac:dyDescent="0.25">
      <c r="N226" s="23" t="s">
        <v>102</v>
      </c>
      <c r="O226" s="30" t="s">
        <v>271</v>
      </c>
      <c r="P226" s="30" t="s">
        <v>284</v>
      </c>
      <c r="Q226" s="84" t="s">
        <v>2462</v>
      </c>
      <c r="S226" t="b">
        <v>1</v>
      </c>
    </row>
    <row r="227" spans="14:19" x14ac:dyDescent="0.25">
      <c r="N227" s="23" t="s">
        <v>102</v>
      </c>
      <c r="O227" s="30" t="s">
        <v>271</v>
      </c>
      <c r="P227" s="30" t="s">
        <v>285</v>
      </c>
      <c r="Q227" s="84" t="s">
        <v>2462</v>
      </c>
      <c r="S227" t="b">
        <v>1</v>
      </c>
    </row>
    <row r="228" spans="14:19" x14ac:dyDescent="0.25">
      <c r="N228" s="23" t="s">
        <v>102</v>
      </c>
      <c r="O228" s="30" t="s">
        <v>286</v>
      </c>
      <c r="P228" s="30" t="s">
        <v>287</v>
      </c>
      <c r="Q228" s="84" t="s">
        <v>2463</v>
      </c>
      <c r="S228" t="b">
        <v>0</v>
      </c>
    </row>
    <row r="229" spans="14:19" x14ac:dyDescent="0.25">
      <c r="N229" s="23" t="s">
        <v>102</v>
      </c>
      <c r="O229" s="30" t="s">
        <v>286</v>
      </c>
      <c r="P229" s="30" t="s">
        <v>288</v>
      </c>
      <c r="Q229" s="84" t="s">
        <v>2463</v>
      </c>
      <c r="S229" t="b">
        <v>0</v>
      </c>
    </row>
    <row r="230" spans="14:19" x14ac:dyDescent="0.25">
      <c r="N230" s="23" t="s">
        <v>102</v>
      </c>
      <c r="O230" s="30" t="s">
        <v>286</v>
      </c>
      <c r="P230" s="30" t="s">
        <v>289</v>
      </c>
      <c r="Q230" s="84" t="s">
        <v>2463</v>
      </c>
      <c r="S230" t="b">
        <v>0</v>
      </c>
    </row>
    <row r="231" spans="14:19" x14ac:dyDescent="0.25">
      <c r="N231" s="23" t="s">
        <v>102</v>
      </c>
      <c r="O231" s="30" t="s">
        <v>286</v>
      </c>
      <c r="P231" s="30" t="s">
        <v>290</v>
      </c>
      <c r="Q231" s="84" t="s">
        <v>2463</v>
      </c>
      <c r="S231" t="b">
        <v>0</v>
      </c>
    </row>
    <row r="232" spans="14:19" x14ac:dyDescent="0.25">
      <c r="N232" s="23" t="s">
        <v>102</v>
      </c>
      <c r="O232" s="30" t="s">
        <v>286</v>
      </c>
      <c r="P232" s="30" t="s">
        <v>291</v>
      </c>
      <c r="Q232" s="84" t="s">
        <v>2463</v>
      </c>
      <c r="S232" t="b">
        <v>0</v>
      </c>
    </row>
    <row r="233" spans="14:19" x14ac:dyDescent="0.25">
      <c r="N233" s="23" t="s">
        <v>102</v>
      </c>
      <c r="O233" s="30" t="s">
        <v>286</v>
      </c>
      <c r="P233" s="30" t="s">
        <v>292</v>
      </c>
      <c r="Q233" s="84" t="s">
        <v>2463</v>
      </c>
      <c r="S233" t="b">
        <v>0</v>
      </c>
    </row>
    <row r="234" spans="14:19" x14ac:dyDescent="0.25">
      <c r="N234" s="23" t="s">
        <v>102</v>
      </c>
      <c r="O234" s="30" t="s">
        <v>286</v>
      </c>
      <c r="P234" s="30" t="s">
        <v>293</v>
      </c>
      <c r="Q234" s="84" t="s">
        <v>2463</v>
      </c>
      <c r="S234" t="b">
        <v>0</v>
      </c>
    </row>
    <row r="235" spans="14:19" x14ac:dyDescent="0.25">
      <c r="N235" s="23" t="s">
        <v>102</v>
      </c>
      <c r="O235" s="30" t="s">
        <v>286</v>
      </c>
      <c r="P235" s="30" t="s">
        <v>294</v>
      </c>
      <c r="Q235" s="84" t="s">
        <v>2463</v>
      </c>
      <c r="S235" t="b">
        <v>0</v>
      </c>
    </row>
    <row r="236" spans="14:19" x14ac:dyDescent="0.25">
      <c r="N236" s="23" t="s">
        <v>102</v>
      </c>
      <c r="O236" s="30" t="s">
        <v>286</v>
      </c>
      <c r="P236" s="30" t="s">
        <v>295</v>
      </c>
      <c r="Q236" s="84" t="s">
        <v>2463</v>
      </c>
      <c r="S236" t="b">
        <v>0</v>
      </c>
    </row>
    <row r="237" spans="14:19" x14ac:dyDescent="0.25">
      <c r="N237" s="23" t="s">
        <v>106</v>
      </c>
      <c r="O237" s="30" t="s">
        <v>286</v>
      </c>
      <c r="P237" s="30" t="s">
        <v>1455</v>
      </c>
      <c r="Q237" s="84" t="s">
        <v>2463</v>
      </c>
      <c r="S237" t="b">
        <v>0</v>
      </c>
    </row>
    <row r="238" spans="14:19" x14ac:dyDescent="0.25">
      <c r="N238" s="23" t="s">
        <v>106</v>
      </c>
      <c r="O238" s="30" t="s">
        <v>286</v>
      </c>
      <c r="P238" s="30" t="s">
        <v>1456</v>
      </c>
      <c r="Q238" s="84" t="s">
        <v>2463</v>
      </c>
      <c r="S238" t="b">
        <v>0</v>
      </c>
    </row>
    <row r="239" spans="14:19" x14ac:dyDescent="0.25">
      <c r="N239" s="23" t="s">
        <v>106</v>
      </c>
      <c r="O239" s="30" t="s">
        <v>1457</v>
      </c>
      <c r="P239" s="30" t="s">
        <v>1458</v>
      </c>
      <c r="Q239" s="84" t="s">
        <v>2462</v>
      </c>
      <c r="S239" t="b">
        <v>0</v>
      </c>
    </row>
    <row r="240" spans="14:19" x14ac:dyDescent="0.25">
      <c r="N240" s="23" t="s">
        <v>106</v>
      </c>
      <c r="O240" s="30" t="s">
        <v>1457</v>
      </c>
      <c r="P240" s="30" t="s">
        <v>1459</v>
      </c>
      <c r="Q240" s="84" t="s">
        <v>2462</v>
      </c>
      <c r="S240" t="b">
        <v>0</v>
      </c>
    </row>
    <row r="241" spans="14:19" x14ac:dyDescent="0.25">
      <c r="N241" s="23" t="s">
        <v>106</v>
      </c>
      <c r="O241" s="30" t="s">
        <v>1460</v>
      </c>
      <c r="P241" s="30" t="s">
        <v>1461</v>
      </c>
      <c r="Q241" s="84" t="s">
        <v>2462</v>
      </c>
      <c r="S241" t="b">
        <v>0</v>
      </c>
    </row>
    <row r="242" spans="14:19" x14ac:dyDescent="0.25">
      <c r="N242" s="23" t="s">
        <v>106</v>
      </c>
      <c r="O242" s="30" t="s">
        <v>1460</v>
      </c>
      <c r="P242" s="30" t="s">
        <v>1462</v>
      </c>
      <c r="Q242" s="84" t="s">
        <v>2462</v>
      </c>
      <c r="S242" t="b">
        <v>0</v>
      </c>
    </row>
    <row r="243" spans="14:19" x14ac:dyDescent="0.25">
      <c r="N243" s="23" t="s">
        <v>106</v>
      </c>
      <c r="O243" s="30" t="s">
        <v>1460</v>
      </c>
      <c r="P243" s="30" t="s">
        <v>1463</v>
      </c>
      <c r="Q243" s="84" t="s">
        <v>2462</v>
      </c>
      <c r="S243" t="b">
        <v>0</v>
      </c>
    </row>
    <row r="244" spans="14:19" x14ac:dyDescent="0.25">
      <c r="N244" s="23" t="s">
        <v>106</v>
      </c>
      <c r="O244" s="30" t="s">
        <v>1460</v>
      </c>
      <c r="P244" s="30" t="s">
        <v>1464</v>
      </c>
      <c r="Q244" s="84" t="s">
        <v>2462</v>
      </c>
      <c r="S244" t="b">
        <v>0</v>
      </c>
    </row>
    <row r="245" spans="14:19" x14ac:dyDescent="0.25">
      <c r="N245" s="23" t="s">
        <v>106</v>
      </c>
      <c r="O245" s="30" t="s">
        <v>1460</v>
      </c>
      <c r="P245" s="30" t="s">
        <v>1465</v>
      </c>
      <c r="Q245" s="84" t="s">
        <v>2462</v>
      </c>
      <c r="S245" t="b">
        <v>1</v>
      </c>
    </row>
    <row r="246" spans="14:19" x14ac:dyDescent="0.25">
      <c r="N246" s="23" t="s">
        <v>106</v>
      </c>
      <c r="O246" s="30" t="s">
        <v>1466</v>
      </c>
      <c r="P246" s="30" t="s">
        <v>1467</v>
      </c>
      <c r="Q246" s="84" t="s">
        <v>2462</v>
      </c>
      <c r="S246" t="b">
        <v>0</v>
      </c>
    </row>
    <row r="247" spans="14:19" x14ac:dyDescent="0.25">
      <c r="N247" s="23" t="s">
        <v>106</v>
      </c>
      <c r="O247" s="30" t="s">
        <v>1466</v>
      </c>
      <c r="P247" s="30" t="s">
        <v>1468</v>
      </c>
      <c r="Q247" s="84" t="s">
        <v>2462</v>
      </c>
      <c r="S247" t="b">
        <v>0</v>
      </c>
    </row>
    <row r="248" spans="14:19" x14ac:dyDescent="0.25">
      <c r="N248" s="23" t="s">
        <v>106</v>
      </c>
      <c r="O248" s="30" t="s">
        <v>1466</v>
      </c>
      <c r="P248" s="30" t="s">
        <v>1469</v>
      </c>
      <c r="Q248" s="84" t="s">
        <v>2462</v>
      </c>
      <c r="S248" t="b">
        <v>0</v>
      </c>
    </row>
    <row r="249" spans="14:19" x14ac:dyDescent="0.25">
      <c r="N249" s="23" t="s">
        <v>106</v>
      </c>
      <c r="O249" s="30" t="s">
        <v>1466</v>
      </c>
      <c r="P249" s="30" t="s">
        <v>1470</v>
      </c>
      <c r="Q249" s="84" t="s">
        <v>2462</v>
      </c>
      <c r="S249" t="b">
        <v>0</v>
      </c>
    </row>
    <row r="250" spans="14:19" x14ac:dyDescent="0.25">
      <c r="N250" s="23" t="s">
        <v>102</v>
      </c>
      <c r="O250" s="30" t="s">
        <v>296</v>
      </c>
      <c r="P250" s="30" t="s">
        <v>297</v>
      </c>
      <c r="Q250" s="84" t="s">
        <v>2463</v>
      </c>
      <c r="S250" t="b">
        <v>0</v>
      </c>
    </row>
    <row r="251" spans="14:19" x14ac:dyDescent="0.25">
      <c r="N251" s="23" t="s">
        <v>102</v>
      </c>
      <c r="O251" s="30" t="s">
        <v>296</v>
      </c>
      <c r="P251" s="30" t="s">
        <v>298</v>
      </c>
      <c r="Q251" s="84" t="s">
        <v>2463</v>
      </c>
      <c r="S251" t="b">
        <v>0</v>
      </c>
    </row>
    <row r="252" spans="14:19" x14ac:dyDescent="0.25">
      <c r="N252" s="23" t="s">
        <v>102</v>
      </c>
      <c r="O252" s="30" t="s">
        <v>296</v>
      </c>
      <c r="P252" s="30" t="s">
        <v>299</v>
      </c>
      <c r="Q252" s="84" t="s">
        <v>2463</v>
      </c>
      <c r="S252" t="b">
        <v>0</v>
      </c>
    </row>
    <row r="253" spans="14:19" x14ac:dyDescent="0.25">
      <c r="N253" s="23" t="s">
        <v>102</v>
      </c>
      <c r="O253" s="30" t="s">
        <v>296</v>
      </c>
      <c r="P253" s="30" t="s">
        <v>300</v>
      </c>
      <c r="Q253" s="84" t="s">
        <v>2463</v>
      </c>
      <c r="S253" t="b">
        <v>0</v>
      </c>
    </row>
    <row r="254" spans="14:19" x14ac:dyDescent="0.25">
      <c r="N254" s="23" t="s">
        <v>102</v>
      </c>
      <c r="O254" s="30" t="s">
        <v>296</v>
      </c>
      <c r="P254" s="30" t="s">
        <v>301</v>
      </c>
      <c r="Q254" s="84" t="s">
        <v>2463</v>
      </c>
      <c r="S254" t="b">
        <v>0</v>
      </c>
    </row>
    <row r="255" spans="14:19" x14ac:dyDescent="0.25">
      <c r="N255" s="23" t="s">
        <v>102</v>
      </c>
      <c r="O255" s="30" t="s">
        <v>296</v>
      </c>
      <c r="P255" s="30" t="s">
        <v>302</v>
      </c>
      <c r="Q255" s="84" t="s">
        <v>2463</v>
      </c>
      <c r="S255" t="b">
        <v>0</v>
      </c>
    </row>
    <row r="256" spans="14:19" x14ac:dyDescent="0.25">
      <c r="N256" s="23" t="s">
        <v>102</v>
      </c>
      <c r="O256" s="30" t="s">
        <v>296</v>
      </c>
      <c r="P256" s="30" t="s">
        <v>303</v>
      </c>
      <c r="Q256" s="84" t="s">
        <v>2463</v>
      </c>
      <c r="S256" t="b">
        <v>0</v>
      </c>
    </row>
    <row r="257" spans="14:19" x14ac:dyDescent="0.25">
      <c r="N257" s="23" t="s">
        <v>102</v>
      </c>
      <c r="O257" s="30" t="s">
        <v>296</v>
      </c>
      <c r="P257" s="30" t="s">
        <v>304</v>
      </c>
      <c r="Q257" s="84" t="s">
        <v>2463</v>
      </c>
      <c r="S257" t="b">
        <v>0</v>
      </c>
    </row>
    <row r="258" spans="14:19" x14ac:dyDescent="0.25">
      <c r="N258" s="23" t="s">
        <v>102</v>
      </c>
      <c r="O258" s="30" t="s">
        <v>296</v>
      </c>
      <c r="P258" s="30" t="s">
        <v>305</v>
      </c>
      <c r="Q258" s="84" t="s">
        <v>2463</v>
      </c>
      <c r="S258" t="b">
        <v>0</v>
      </c>
    </row>
    <row r="259" spans="14:19" x14ac:dyDescent="0.25">
      <c r="N259" s="23" t="s">
        <v>102</v>
      </c>
      <c r="O259" s="30" t="s">
        <v>296</v>
      </c>
      <c r="P259" s="30" t="s">
        <v>306</v>
      </c>
      <c r="Q259" s="84" t="s">
        <v>2463</v>
      </c>
      <c r="S259" t="b">
        <v>0</v>
      </c>
    </row>
    <row r="260" spans="14:19" x14ac:dyDescent="0.25">
      <c r="N260" s="23" t="s">
        <v>102</v>
      </c>
      <c r="O260" s="30" t="s">
        <v>296</v>
      </c>
      <c r="P260" s="30" t="s">
        <v>307</v>
      </c>
      <c r="Q260" s="84" t="s">
        <v>2463</v>
      </c>
      <c r="S260" t="b">
        <v>0</v>
      </c>
    </row>
    <row r="261" spans="14:19" x14ac:dyDescent="0.25">
      <c r="N261" s="23" t="s">
        <v>102</v>
      </c>
      <c r="O261" s="30" t="s">
        <v>296</v>
      </c>
      <c r="P261" s="30" t="s">
        <v>308</v>
      </c>
      <c r="Q261" s="84" t="s">
        <v>2463</v>
      </c>
      <c r="S261" t="b">
        <v>0</v>
      </c>
    </row>
    <row r="262" spans="14:19" x14ac:dyDescent="0.25">
      <c r="N262" s="23" t="s">
        <v>102</v>
      </c>
      <c r="O262" s="30" t="s">
        <v>296</v>
      </c>
      <c r="P262" s="30" t="s">
        <v>309</v>
      </c>
      <c r="Q262" s="84" t="s">
        <v>2463</v>
      </c>
      <c r="S262" t="b">
        <v>0</v>
      </c>
    </row>
    <row r="263" spans="14:19" x14ac:dyDescent="0.25">
      <c r="N263" s="23" t="s">
        <v>102</v>
      </c>
      <c r="O263" s="30" t="s">
        <v>296</v>
      </c>
      <c r="P263" s="30" t="s">
        <v>310</v>
      </c>
      <c r="Q263" s="84" t="s">
        <v>2463</v>
      </c>
      <c r="S263" t="b">
        <v>0</v>
      </c>
    </row>
    <row r="264" spans="14:19" x14ac:dyDescent="0.25">
      <c r="N264" s="23" t="s">
        <v>102</v>
      </c>
      <c r="O264" s="30" t="s">
        <v>296</v>
      </c>
      <c r="P264" s="30" t="s">
        <v>311</v>
      </c>
      <c r="Q264" s="84" t="s">
        <v>2463</v>
      </c>
      <c r="S264" t="b">
        <v>0</v>
      </c>
    </row>
    <row r="265" spans="14:19" x14ac:dyDescent="0.25">
      <c r="N265" s="23" t="s">
        <v>102</v>
      </c>
      <c r="O265" s="30" t="s">
        <v>296</v>
      </c>
      <c r="P265" s="30" t="s">
        <v>312</v>
      </c>
      <c r="Q265" s="84" t="s">
        <v>2463</v>
      </c>
      <c r="S265" t="b">
        <v>0</v>
      </c>
    </row>
    <row r="266" spans="14:19" x14ac:dyDescent="0.25">
      <c r="N266" s="23" t="s">
        <v>102</v>
      </c>
      <c r="O266" s="30" t="s">
        <v>296</v>
      </c>
      <c r="P266" s="30" t="s">
        <v>313</v>
      </c>
      <c r="Q266" s="84" t="s">
        <v>2463</v>
      </c>
      <c r="S266" t="b">
        <v>0</v>
      </c>
    </row>
    <row r="267" spans="14:19" x14ac:dyDescent="0.25">
      <c r="N267" s="23" t="s">
        <v>102</v>
      </c>
      <c r="O267" s="30" t="s">
        <v>296</v>
      </c>
      <c r="P267" s="30" t="s">
        <v>314</v>
      </c>
      <c r="Q267" s="84" t="s">
        <v>2463</v>
      </c>
      <c r="S267" t="b">
        <v>0</v>
      </c>
    </row>
    <row r="268" spans="14:19" x14ac:dyDescent="0.25">
      <c r="N268" s="23" t="s">
        <v>102</v>
      </c>
      <c r="O268" s="30" t="s">
        <v>296</v>
      </c>
      <c r="P268" s="30" t="s">
        <v>315</v>
      </c>
      <c r="Q268" s="84" t="s">
        <v>2463</v>
      </c>
      <c r="S268" t="b">
        <v>0</v>
      </c>
    </row>
    <row r="269" spans="14:19" x14ac:dyDescent="0.25">
      <c r="N269" s="23" t="s">
        <v>102</v>
      </c>
      <c r="O269" s="30" t="s">
        <v>296</v>
      </c>
      <c r="P269" s="30" t="s">
        <v>316</v>
      </c>
      <c r="Q269" s="84" t="s">
        <v>2463</v>
      </c>
      <c r="S269" t="b">
        <v>0</v>
      </c>
    </row>
    <row r="270" spans="14:19" x14ac:dyDescent="0.25">
      <c r="N270" s="23" t="s">
        <v>102</v>
      </c>
      <c r="O270" s="30" t="s">
        <v>296</v>
      </c>
      <c r="P270" s="30" t="s">
        <v>317</v>
      </c>
      <c r="Q270" s="84" t="s">
        <v>2463</v>
      </c>
      <c r="S270" t="b">
        <v>0</v>
      </c>
    </row>
    <row r="271" spans="14:19" x14ac:dyDescent="0.25">
      <c r="N271" s="23" t="s">
        <v>102</v>
      </c>
      <c r="O271" s="30" t="s">
        <v>296</v>
      </c>
      <c r="P271" s="30" t="s">
        <v>318</v>
      </c>
      <c r="Q271" s="84" t="s">
        <v>2463</v>
      </c>
      <c r="S271" t="b">
        <v>0</v>
      </c>
    </row>
    <row r="272" spans="14:19" x14ac:dyDescent="0.25">
      <c r="N272" s="23" t="s">
        <v>102</v>
      </c>
      <c r="O272" s="30" t="s">
        <v>296</v>
      </c>
      <c r="P272" s="30" t="s">
        <v>319</v>
      </c>
      <c r="Q272" s="84" t="s">
        <v>2463</v>
      </c>
      <c r="S272" t="b">
        <v>0</v>
      </c>
    </row>
    <row r="273" spans="14:19" x14ac:dyDescent="0.25">
      <c r="N273" s="23" t="s">
        <v>102</v>
      </c>
      <c r="O273" s="30" t="s">
        <v>296</v>
      </c>
      <c r="P273" s="30" t="s">
        <v>320</v>
      </c>
      <c r="Q273" s="84" t="s">
        <v>2463</v>
      </c>
      <c r="S273" t="b">
        <v>0</v>
      </c>
    </row>
    <row r="274" spans="14:19" x14ac:dyDescent="0.25">
      <c r="N274" s="23" t="s">
        <v>102</v>
      </c>
      <c r="O274" s="30" t="s">
        <v>296</v>
      </c>
      <c r="P274" s="30" t="s">
        <v>321</v>
      </c>
      <c r="Q274" s="84" t="s">
        <v>2463</v>
      </c>
      <c r="S274" t="b">
        <v>0</v>
      </c>
    </row>
    <row r="275" spans="14:19" x14ac:dyDescent="0.25">
      <c r="N275" s="23" t="s">
        <v>102</v>
      </c>
      <c r="O275" s="30" t="s">
        <v>296</v>
      </c>
      <c r="P275" s="30" t="s">
        <v>322</v>
      </c>
      <c r="Q275" s="84" t="s">
        <v>2463</v>
      </c>
      <c r="S275" t="b">
        <v>0</v>
      </c>
    </row>
    <row r="276" spans="14:19" x14ac:dyDescent="0.25">
      <c r="N276" s="23" t="s">
        <v>102</v>
      </c>
      <c r="O276" s="30" t="s">
        <v>296</v>
      </c>
      <c r="P276" s="30" t="s">
        <v>323</v>
      </c>
      <c r="Q276" s="84" t="s">
        <v>2463</v>
      </c>
      <c r="S276" t="b">
        <v>0</v>
      </c>
    </row>
    <row r="277" spans="14:19" x14ac:dyDescent="0.25">
      <c r="N277" s="23" t="s">
        <v>102</v>
      </c>
      <c r="O277" s="30" t="s">
        <v>296</v>
      </c>
      <c r="P277" s="30" t="s">
        <v>324</v>
      </c>
      <c r="Q277" s="84" t="s">
        <v>2463</v>
      </c>
      <c r="S277" t="b">
        <v>0</v>
      </c>
    </row>
    <row r="278" spans="14:19" x14ac:dyDescent="0.25">
      <c r="N278" s="23" t="s">
        <v>102</v>
      </c>
      <c r="O278" s="30" t="s">
        <v>296</v>
      </c>
      <c r="P278" s="30" t="s">
        <v>325</v>
      </c>
      <c r="Q278" s="84" t="s">
        <v>2463</v>
      </c>
      <c r="S278" t="b">
        <v>0</v>
      </c>
    </row>
    <row r="279" spans="14:19" x14ac:dyDescent="0.25">
      <c r="N279" s="23" t="s">
        <v>102</v>
      </c>
      <c r="O279" s="30" t="s">
        <v>296</v>
      </c>
      <c r="P279" s="30" t="s">
        <v>326</v>
      </c>
      <c r="Q279" s="84" t="s">
        <v>2463</v>
      </c>
      <c r="S279" t="b">
        <v>0</v>
      </c>
    </row>
    <row r="280" spans="14:19" x14ac:dyDescent="0.25">
      <c r="N280" s="23" t="s">
        <v>102</v>
      </c>
      <c r="O280" s="30" t="s">
        <v>296</v>
      </c>
      <c r="P280" s="30" t="s">
        <v>327</v>
      </c>
      <c r="Q280" s="84" t="s">
        <v>2463</v>
      </c>
      <c r="S280" t="b">
        <v>0</v>
      </c>
    </row>
    <row r="281" spans="14:19" x14ac:dyDescent="0.25">
      <c r="N281" s="23" t="s">
        <v>102</v>
      </c>
      <c r="O281" s="30" t="s">
        <v>296</v>
      </c>
      <c r="P281" s="30" t="s">
        <v>328</v>
      </c>
      <c r="Q281" s="84" t="s">
        <v>2463</v>
      </c>
      <c r="S281" t="b">
        <v>0</v>
      </c>
    </row>
    <row r="282" spans="14:19" x14ac:dyDescent="0.25">
      <c r="N282" s="23" t="s">
        <v>102</v>
      </c>
      <c r="O282" s="30" t="s">
        <v>296</v>
      </c>
      <c r="P282" s="30" t="s">
        <v>329</v>
      </c>
      <c r="Q282" s="84" t="s">
        <v>2463</v>
      </c>
      <c r="S282" t="b">
        <v>0</v>
      </c>
    </row>
    <row r="283" spans="14:19" x14ac:dyDescent="0.25">
      <c r="N283" s="23" t="s">
        <v>102</v>
      </c>
      <c r="O283" s="30" t="s">
        <v>296</v>
      </c>
      <c r="P283" s="30" t="s">
        <v>330</v>
      </c>
      <c r="Q283" s="84" t="s">
        <v>2463</v>
      </c>
      <c r="S283" t="b">
        <v>0</v>
      </c>
    </row>
    <row r="284" spans="14:19" x14ac:dyDescent="0.25">
      <c r="N284" s="23" t="s">
        <v>102</v>
      </c>
      <c r="O284" s="30" t="s">
        <v>296</v>
      </c>
      <c r="P284" s="30" t="s">
        <v>331</v>
      </c>
      <c r="Q284" s="84" t="s">
        <v>2463</v>
      </c>
      <c r="S284" t="b">
        <v>0</v>
      </c>
    </row>
    <row r="285" spans="14:19" x14ac:dyDescent="0.25">
      <c r="N285" s="23" t="s">
        <v>102</v>
      </c>
      <c r="O285" s="30" t="s">
        <v>296</v>
      </c>
      <c r="P285" s="30" t="s">
        <v>332</v>
      </c>
      <c r="Q285" s="84" t="s">
        <v>2463</v>
      </c>
      <c r="S285" t="b">
        <v>0</v>
      </c>
    </row>
    <row r="286" spans="14:19" x14ac:dyDescent="0.25">
      <c r="N286" s="23" t="s">
        <v>102</v>
      </c>
      <c r="O286" s="30" t="s">
        <v>296</v>
      </c>
      <c r="P286" s="30" t="s">
        <v>333</v>
      </c>
      <c r="Q286" s="84" t="s">
        <v>2463</v>
      </c>
      <c r="S286" t="b">
        <v>0</v>
      </c>
    </row>
    <row r="287" spans="14:19" x14ac:dyDescent="0.25">
      <c r="N287" s="23" t="s">
        <v>102</v>
      </c>
      <c r="O287" s="30" t="s">
        <v>296</v>
      </c>
      <c r="P287" s="30" t="s">
        <v>334</v>
      </c>
      <c r="Q287" s="84" t="s">
        <v>2463</v>
      </c>
      <c r="S287" t="b">
        <v>0</v>
      </c>
    </row>
    <row r="288" spans="14:19" x14ac:dyDescent="0.25">
      <c r="N288" s="23" t="s">
        <v>102</v>
      </c>
      <c r="O288" s="30" t="s">
        <v>296</v>
      </c>
      <c r="P288" s="30" t="s">
        <v>335</v>
      </c>
      <c r="Q288" s="84" t="s">
        <v>2463</v>
      </c>
      <c r="S288" t="b">
        <v>0</v>
      </c>
    </row>
    <row r="289" spans="14:19" x14ac:dyDescent="0.25">
      <c r="N289" s="23" t="s">
        <v>102</v>
      </c>
      <c r="O289" s="30" t="s">
        <v>296</v>
      </c>
      <c r="P289" s="30" t="s">
        <v>336</v>
      </c>
      <c r="Q289" s="84" t="s">
        <v>2463</v>
      </c>
      <c r="S289" t="b">
        <v>0</v>
      </c>
    </row>
    <row r="290" spans="14:19" x14ac:dyDescent="0.25">
      <c r="N290" s="23" t="s">
        <v>102</v>
      </c>
      <c r="O290" s="30" t="s">
        <v>296</v>
      </c>
      <c r="P290" s="30" t="s">
        <v>337</v>
      </c>
      <c r="Q290" s="84" t="s">
        <v>2463</v>
      </c>
      <c r="S290" t="b">
        <v>0</v>
      </c>
    </row>
    <row r="291" spans="14:19" x14ac:dyDescent="0.25">
      <c r="N291" s="23" t="s">
        <v>102</v>
      </c>
      <c r="O291" s="30" t="s">
        <v>296</v>
      </c>
      <c r="P291" s="30" t="s">
        <v>338</v>
      </c>
      <c r="Q291" s="84" t="s">
        <v>2463</v>
      </c>
      <c r="S291" t="b">
        <v>0</v>
      </c>
    </row>
    <row r="292" spans="14:19" x14ac:dyDescent="0.25">
      <c r="N292" s="23" t="s">
        <v>102</v>
      </c>
      <c r="O292" s="30" t="s">
        <v>296</v>
      </c>
      <c r="P292" s="30" t="s">
        <v>339</v>
      </c>
      <c r="Q292" s="84" t="s">
        <v>2463</v>
      </c>
      <c r="S292" t="b">
        <v>0</v>
      </c>
    </row>
    <row r="293" spans="14:19" x14ac:dyDescent="0.25">
      <c r="N293" s="23" t="s">
        <v>102</v>
      </c>
      <c r="O293" s="30" t="s">
        <v>296</v>
      </c>
      <c r="P293" s="30" t="s">
        <v>340</v>
      </c>
      <c r="Q293" s="84" t="s">
        <v>2463</v>
      </c>
      <c r="S293" t="b">
        <v>0</v>
      </c>
    </row>
    <row r="294" spans="14:19" x14ac:dyDescent="0.25">
      <c r="N294" s="23" t="s">
        <v>102</v>
      </c>
      <c r="O294" s="30" t="s">
        <v>296</v>
      </c>
      <c r="P294" s="30" t="s">
        <v>341</v>
      </c>
      <c r="Q294" s="84" t="s">
        <v>2463</v>
      </c>
      <c r="S294" t="b">
        <v>0</v>
      </c>
    </row>
    <row r="295" spans="14:19" x14ac:dyDescent="0.25">
      <c r="N295" s="23" t="s">
        <v>102</v>
      </c>
      <c r="O295" s="30" t="s">
        <v>296</v>
      </c>
      <c r="P295" s="30" t="s">
        <v>342</v>
      </c>
      <c r="Q295" s="84" t="s">
        <v>2463</v>
      </c>
      <c r="S295" t="b">
        <v>0</v>
      </c>
    </row>
    <row r="296" spans="14:19" x14ac:dyDescent="0.25">
      <c r="N296" s="23" t="s">
        <v>102</v>
      </c>
      <c r="O296" s="30" t="s">
        <v>296</v>
      </c>
      <c r="P296" s="30" t="s">
        <v>343</v>
      </c>
      <c r="Q296" s="84" t="s">
        <v>2463</v>
      </c>
      <c r="S296" t="b">
        <v>0</v>
      </c>
    </row>
    <row r="297" spans="14:19" x14ac:dyDescent="0.25">
      <c r="N297" s="23" t="s">
        <v>102</v>
      </c>
      <c r="O297" s="30" t="s">
        <v>296</v>
      </c>
      <c r="P297" s="30" t="s">
        <v>344</v>
      </c>
      <c r="Q297" s="84" t="s">
        <v>2463</v>
      </c>
      <c r="S297" t="b">
        <v>0</v>
      </c>
    </row>
    <row r="298" spans="14:19" x14ac:dyDescent="0.25">
      <c r="N298" s="23" t="s">
        <v>102</v>
      </c>
      <c r="O298" s="30" t="s">
        <v>296</v>
      </c>
      <c r="P298" s="30" t="s">
        <v>345</v>
      </c>
      <c r="Q298" s="84" t="s">
        <v>2463</v>
      </c>
      <c r="S298" t="b">
        <v>0</v>
      </c>
    </row>
    <row r="299" spans="14:19" x14ac:dyDescent="0.25">
      <c r="N299" s="23" t="s">
        <v>102</v>
      </c>
      <c r="O299" s="30" t="s">
        <v>296</v>
      </c>
      <c r="P299" s="30" t="s">
        <v>346</v>
      </c>
      <c r="Q299" s="84" t="s">
        <v>2463</v>
      </c>
      <c r="S299" t="b">
        <v>0</v>
      </c>
    </row>
    <row r="300" spans="14:19" x14ac:dyDescent="0.25">
      <c r="N300" s="23" t="s">
        <v>102</v>
      </c>
      <c r="O300" s="30" t="s">
        <v>296</v>
      </c>
      <c r="P300" s="30" t="s">
        <v>347</v>
      </c>
      <c r="Q300" s="84" t="s">
        <v>2463</v>
      </c>
      <c r="S300" t="b">
        <v>0</v>
      </c>
    </row>
    <row r="301" spans="14:19" x14ac:dyDescent="0.25">
      <c r="N301" s="23" t="s">
        <v>102</v>
      </c>
      <c r="O301" s="30" t="s">
        <v>296</v>
      </c>
      <c r="P301" s="30" t="s">
        <v>348</v>
      </c>
      <c r="Q301" s="84" t="s">
        <v>2463</v>
      </c>
      <c r="S301" t="b">
        <v>0</v>
      </c>
    </row>
    <row r="302" spans="14:19" x14ac:dyDescent="0.25">
      <c r="N302" s="23" t="s">
        <v>102</v>
      </c>
      <c r="O302" s="30" t="s">
        <v>296</v>
      </c>
      <c r="P302" s="30" t="s">
        <v>349</v>
      </c>
      <c r="Q302" s="84" t="s">
        <v>2463</v>
      </c>
      <c r="S302" t="b">
        <v>0</v>
      </c>
    </row>
    <row r="303" spans="14:19" x14ac:dyDescent="0.25">
      <c r="N303" s="23" t="s">
        <v>102</v>
      </c>
      <c r="O303" s="30" t="s">
        <v>296</v>
      </c>
      <c r="P303" s="30" t="s">
        <v>350</v>
      </c>
      <c r="Q303" s="84" t="s">
        <v>2463</v>
      </c>
      <c r="S303" t="b">
        <v>0</v>
      </c>
    </row>
    <row r="304" spans="14:19" x14ac:dyDescent="0.25">
      <c r="N304" s="23" t="s">
        <v>102</v>
      </c>
      <c r="O304" s="30" t="s">
        <v>296</v>
      </c>
      <c r="P304" s="30" t="s">
        <v>351</v>
      </c>
      <c r="Q304" s="84" t="s">
        <v>2463</v>
      </c>
      <c r="S304" t="b">
        <v>0</v>
      </c>
    </row>
    <row r="305" spans="14:19" x14ac:dyDescent="0.25">
      <c r="N305" s="23" t="s">
        <v>102</v>
      </c>
      <c r="O305" s="30" t="s">
        <v>296</v>
      </c>
      <c r="P305" s="30" t="s">
        <v>352</v>
      </c>
      <c r="Q305" s="84" t="s">
        <v>2463</v>
      </c>
      <c r="S305" t="b">
        <v>0</v>
      </c>
    </row>
    <row r="306" spans="14:19" x14ac:dyDescent="0.25">
      <c r="N306" s="23" t="s">
        <v>102</v>
      </c>
      <c r="O306" s="30" t="s">
        <v>296</v>
      </c>
      <c r="P306" s="30" t="s">
        <v>353</v>
      </c>
      <c r="Q306" s="84" t="s">
        <v>2463</v>
      </c>
      <c r="S306" t="b">
        <v>0</v>
      </c>
    </row>
    <row r="307" spans="14:19" x14ac:dyDescent="0.25">
      <c r="N307" s="23" t="s">
        <v>102</v>
      </c>
      <c r="O307" s="30" t="s">
        <v>296</v>
      </c>
      <c r="P307" s="30" t="s">
        <v>354</v>
      </c>
      <c r="Q307" s="84" t="s">
        <v>2463</v>
      </c>
      <c r="S307" t="b">
        <v>0</v>
      </c>
    </row>
    <row r="308" spans="14:19" x14ac:dyDescent="0.25">
      <c r="N308" s="23" t="s">
        <v>102</v>
      </c>
      <c r="O308" s="30" t="s">
        <v>296</v>
      </c>
      <c r="P308" s="30" t="s">
        <v>355</v>
      </c>
      <c r="Q308" s="84" t="s">
        <v>2463</v>
      </c>
      <c r="S308" t="b">
        <v>0</v>
      </c>
    </row>
    <row r="309" spans="14:19" x14ac:dyDescent="0.25">
      <c r="N309" s="23" t="s">
        <v>102</v>
      </c>
      <c r="O309" s="30" t="s">
        <v>296</v>
      </c>
      <c r="P309" s="30" t="s">
        <v>356</v>
      </c>
      <c r="Q309" s="84" t="s">
        <v>2463</v>
      </c>
      <c r="S309" t="b">
        <v>0</v>
      </c>
    </row>
    <row r="310" spans="14:19" x14ac:dyDescent="0.25">
      <c r="N310" s="23" t="s">
        <v>102</v>
      </c>
      <c r="O310" s="30" t="s">
        <v>296</v>
      </c>
      <c r="P310" s="30" t="s">
        <v>357</v>
      </c>
      <c r="Q310" s="84" t="s">
        <v>2463</v>
      </c>
      <c r="S310" t="b">
        <v>0</v>
      </c>
    </row>
    <row r="311" spans="14:19" x14ac:dyDescent="0.25">
      <c r="N311" s="23" t="s">
        <v>102</v>
      </c>
      <c r="O311" s="30" t="s">
        <v>296</v>
      </c>
      <c r="P311" s="30" t="s">
        <v>358</v>
      </c>
      <c r="Q311" s="84" t="s">
        <v>2463</v>
      </c>
      <c r="S311" t="b">
        <v>0</v>
      </c>
    </row>
    <row r="312" spans="14:19" x14ac:dyDescent="0.25">
      <c r="N312" s="23" t="s">
        <v>102</v>
      </c>
      <c r="O312" s="30" t="s">
        <v>296</v>
      </c>
      <c r="P312" s="30" t="s">
        <v>359</v>
      </c>
      <c r="Q312" s="84" t="s">
        <v>2463</v>
      </c>
      <c r="S312" t="b">
        <v>0</v>
      </c>
    </row>
    <row r="313" spans="14:19" x14ac:dyDescent="0.25">
      <c r="N313" s="23" t="s">
        <v>102</v>
      </c>
      <c r="O313" s="30" t="s">
        <v>296</v>
      </c>
      <c r="P313" s="30" t="s">
        <v>360</v>
      </c>
      <c r="Q313" s="84" t="s">
        <v>2463</v>
      </c>
      <c r="S313" t="b">
        <v>0</v>
      </c>
    </row>
    <row r="314" spans="14:19" x14ac:dyDescent="0.25">
      <c r="N314" s="23" t="s">
        <v>102</v>
      </c>
      <c r="O314" s="30" t="s">
        <v>296</v>
      </c>
      <c r="P314" s="30" t="s">
        <v>361</v>
      </c>
      <c r="Q314" s="84" t="s">
        <v>2463</v>
      </c>
      <c r="S314" t="b">
        <v>0</v>
      </c>
    </row>
    <row r="315" spans="14:19" x14ac:dyDescent="0.25">
      <c r="N315" s="23" t="s">
        <v>102</v>
      </c>
      <c r="O315" s="30" t="s">
        <v>296</v>
      </c>
      <c r="P315" s="30" t="s">
        <v>362</v>
      </c>
      <c r="Q315" s="84" t="s">
        <v>2463</v>
      </c>
      <c r="S315" t="b">
        <v>0</v>
      </c>
    </row>
    <row r="316" spans="14:19" x14ac:dyDescent="0.25">
      <c r="N316" s="23" t="s">
        <v>102</v>
      </c>
      <c r="O316" s="30" t="s">
        <v>296</v>
      </c>
      <c r="P316" s="30" t="s">
        <v>363</v>
      </c>
      <c r="Q316" s="84" t="s">
        <v>2463</v>
      </c>
      <c r="S316" t="b">
        <v>0</v>
      </c>
    </row>
    <row r="317" spans="14:19" x14ac:dyDescent="0.25">
      <c r="N317" s="23" t="s">
        <v>102</v>
      </c>
      <c r="O317" s="30" t="s">
        <v>296</v>
      </c>
      <c r="P317" s="30" t="s">
        <v>364</v>
      </c>
      <c r="Q317" s="84" t="s">
        <v>2463</v>
      </c>
      <c r="S317" t="b">
        <v>0</v>
      </c>
    </row>
    <row r="318" spans="14:19" x14ac:dyDescent="0.25">
      <c r="N318" s="23" t="s">
        <v>102</v>
      </c>
      <c r="O318" s="30" t="s">
        <v>296</v>
      </c>
      <c r="P318" s="30" t="s">
        <v>365</v>
      </c>
      <c r="Q318" s="84" t="s">
        <v>2463</v>
      </c>
      <c r="S318" t="b">
        <v>0</v>
      </c>
    </row>
    <row r="319" spans="14:19" x14ac:dyDescent="0.25">
      <c r="N319" s="23" t="s">
        <v>102</v>
      </c>
      <c r="O319" s="30" t="s">
        <v>296</v>
      </c>
      <c r="P319" s="30" t="s">
        <v>366</v>
      </c>
      <c r="Q319" s="84" t="s">
        <v>2463</v>
      </c>
      <c r="S319" t="b">
        <v>0</v>
      </c>
    </row>
    <row r="320" spans="14:19" x14ac:dyDescent="0.25">
      <c r="N320" s="23" t="s">
        <v>102</v>
      </c>
      <c r="O320" s="30" t="s">
        <v>296</v>
      </c>
      <c r="P320" s="30" t="s">
        <v>367</v>
      </c>
      <c r="Q320" s="84" t="s">
        <v>2463</v>
      </c>
      <c r="S320" t="b">
        <v>0</v>
      </c>
    </row>
    <row r="321" spans="14:19" x14ac:dyDescent="0.25">
      <c r="N321" s="23" t="s">
        <v>102</v>
      </c>
      <c r="O321" s="30" t="s">
        <v>296</v>
      </c>
      <c r="P321" s="30" t="s">
        <v>368</v>
      </c>
      <c r="Q321" s="84" t="s">
        <v>2463</v>
      </c>
      <c r="S321" t="b">
        <v>0</v>
      </c>
    </row>
    <row r="322" spans="14:19" x14ac:dyDescent="0.25">
      <c r="N322" s="23" t="s">
        <v>102</v>
      </c>
      <c r="O322" s="30" t="s">
        <v>296</v>
      </c>
      <c r="P322" s="30" t="s">
        <v>369</v>
      </c>
      <c r="Q322" s="84" t="s">
        <v>2462</v>
      </c>
      <c r="S322" t="b">
        <v>0</v>
      </c>
    </row>
    <row r="323" spans="14:19" x14ac:dyDescent="0.25">
      <c r="N323" s="23" t="s">
        <v>102</v>
      </c>
      <c r="O323" s="30" t="s">
        <v>296</v>
      </c>
      <c r="P323" s="30" t="s">
        <v>370</v>
      </c>
      <c r="Q323" s="84" t="s">
        <v>2462</v>
      </c>
      <c r="S323" t="b">
        <v>0</v>
      </c>
    </row>
    <row r="324" spans="14:19" x14ac:dyDescent="0.25">
      <c r="N324" s="23" t="s">
        <v>102</v>
      </c>
      <c r="O324" s="30" t="s">
        <v>296</v>
      </c>
      <c r="P324" s="30" t="s">
        <v>371</v>
      </c>
      <c r="Q324" s="84" t="s">
        <v>2462</v>
      </c>
      <c r="S324" t="b">
        <v>0</v>
      </c>
    </row>
    <row r="325" spans="14:19" x14ac:dyDescent="0.25">
      <c r="N325" s="23" t="s">
        <v>102</v>
      </c>
      <c r="O325" s="30" t="s">
        <v>296</v>
      </c>
      <c r="P325" s="30" t="s">
        <v>372</v>
      </c>
      <c r="Q325" s="84" t="s">
        <v>2462</v>
      </c>
      <c r="S325" t="b">
        <v>0</v>
      </c>
    </row>
    <row r="326" spans="14:19" x14ac:dyDescent="0.25">
      <c r="N326" s="23" t="s">
        <v>102</v>
      </c>
      <c r="O326" s="30" t="s">
        <v>296</v>
      </c>
      <c r="P326" s="30" t="s">
        <v>373</v>
      </c>
      <c r="Q326" s="84" t="s">
        <v>2462</v>
      </c>
      <c r="S326" t="b">
        <v>0</v>
      </c>
    </row>
    <row r="327" spans="14:19" x14ac:dyDescent="0.25">
      <c r="N327" s="23" t="s">
        <v>102</v>
      </c>
      <c r="O327" s="30" t="s">
        <v>296</v>
      </c>
      <c r="P327" s="30" t="s">
        <v>374</v>
      </c>
      <c r="Q327" s="84" t="s">
        <v>2462</v>
      </c>
      <c r="S327" t="b">
        <v>0</v>
      </c>
    </row>
    <row r="328" spans="14:19" x14ac:dyDescent="0.25">
      <c r="N328" s="23" t="s">
        <v>102</v>
      </c>
      <c r="O328" s="30" t="s">
        <v>296</v>
      </c>
      <c r="P328" s="30" t="s">
        <v>375</v>
      </c>
      <c r="Q328" s="84" t="s">
        <v>2462</v>
      </c>
      <c r="S328" t="b">
        <v>0</v>
      </c>
    </row>
    <row r="329" spans="14:19" x14ac:dyDescent="0.25">
      <c r="N329" s="23" t="s">
        <v>102</v>
      </c>
      <c r="O329" s="30" t="s">
        <v>296</v>
      </c>
      <c r="P329" s="30" t="s">
        <v>376</v>
      </c>
      <c r="Q329" s="84" t="s">
        <v>2462</v>
      </c>
      <c r="S329" t="b">
        <v>0</v>
      </c>
    </row>
    <row r="330" spans="14:19" x14ac:dyDescent="0.25">
      <c r="N330" s="23" t="s">
        <v>102</v>
      </c>
      <c r="O330" s="30" t="s">
        <v>296</v>
      </c>
      <c r="P330" s="30" t="s">
        <v>377</v>
      </c>
      <c r="Q330" s="84" t="s">
        <v>2462</v>
      </c>
      <c r="S330" t="b">
        <v>0</v>
      </c>
    </row>
    <row r="331" spans="14:19" x14ac:dyDescent="0.25">
      <c r="N331" s="23" t="s">
        <v>102</v>
      </c>
      <c r="O331" s="30" t="s">
        <v>296</v>
      </c>
      <c r="P331" s="30" t="s">
        <v>378</v>
      </c>
      <c r="Q331" s="84" t="s">
        <v>2462</v>
      </c>
      <c r="S331" t="b">
        <v>0</v>
      </c>
    </row>
    <row r="332" spans="14:19" x14ac:dyDescent="0.25">
      <c r="N332" s="23" t="s">
        <v>102</v>
      </c>
      <c r="O332" s="30" t="s">
        <v>296</v>
      </c>
      <c r="P332" s="30" t="s">
        <v>379</v>
      </c>
      <c r="Q332" s="84" t="s">
        <v>2462</v>
      </c>
      <c r="S332" t="b">
        <v>0</v>
      </c>
    </row>
    <row r="333" spans="14:19" x14ac:dyDescent="0.25">
      <c r="N333" s="23" t="s">
        <v>102</v>
      </c>
      <c r="O333" s="30" t="s">
        <v>296</v>
      </c>
      <c r="P333" s="30" t="s">
        <v>380</v>
      </c>
      <c r="Q333" s="84" t="s">
        <v>2462</v>
      </c>
      <c r="S333" t="b">
        <v>0</v>
      </c>
    </row>
    <row r="334" spans="14:19" x14ac:dyDescent="0.25">
      <c r="N334" s="23" t="s">
        <v>102</v>
      </c>
      <c r="O334" s="30" t="s">
        <v>296</v>
      </c>
      <c r="P334" s="30" t="s">
        <v>381</v>
      </c>
      <c r="Q334" s="84" t="s">
        <v>2462</v>
      </c>
      <c r="S334" t="b">
        <v>0</v>
      </c>
    </row>
    <row r="335" spans="14:19" x14ac:dyDescent="0.25">
      <c r="N335" s="23" t="s">
        <v>102</v>
      </c>
      <c r="O335" s="30" t="s">
        <v>296</v>
      </c>
      <c r="P335" s="30" t="s">
        <v>382</v>
      </c>
      <c r="Q335" s="84" t="s">
        <v>2462</v>
      </c>
      <c r="S335" t="b">
        <v>0</v>
      </c>
    </row>
    <row r="336" spans="14:19" x14ac:dyDescent="0.25">
      <c r="N336" s="23" t="s">
        <v>102</v>
      </c>
      <c r="O336" s="30" t="s">
        <v>296</v>
      </c>
      <c r="P336" s="30" t="s">
        <v>383</v>
      </c>
      <c r="Q336" s="84" t="s">
        <v>2462</v>
      </c>
      <c r="S336" t="b">
        <v>0</v>
      </c>
    </row>
    <row r="337" spans="14:19" x14ac:dyDescent="0.25">
      <c r="N337" s="23" t="s">
        <v>102</v>
      </c>
      <c r="O337" s="30" t="s">
        <v>296</v>
      </c>
      <c r="P337" s="30" t="s">
        <v>384</v>
      </c>
      <c r="Q337" s="84" t="s">
        <v>2462</v>
      </c>
      <c r="S337" t="b">
        <v>0</v>
      </c>
    </row>
    <row r="338" spans="14:19" x14ac:dyDescent="0.25">
      <c r="N338" s="23" t="s">
        <v>102</v>
      </c>
      <c r="O338" s="30" t="s">
        <v>296</v>
      </c>
      <c r="P338" s="30" t="s">
        <v>385</v>
      </c>
      <c r="Q338" s="84" t="s">
        <v>2462</v>
      </c>
      <c r="S338" t="b">
        <v>0</v>
      </c>
    </row>
    <row r="339" spans="14:19" x14ac:dyDescent="0.25">
      <c r="N339" s="23" t="s">
        <v>102</v>
      </c>
      <c r="O339" s="30" t="s">
        <v>296</v>
      </c>
      <c r="P339" s="30" t="s">
        <v>386</v>
      </c>
      <c r="Q339" s="84" t="s">
        <v>2462</v>
      </c>
      <c r="S339" t="b">
        <v>0</v>
      </c>
    </row>
    <row r="340" spans="14:19" x14ac:dyDescent="0.25">
      <c r="N340" s="23" t="s">
        <v>102</v>
      </c>
      <c r="O340" s="30" t="s">
        <v>296</v>
      </c>
      <c r="P340" s="30" t="s">
        <v>387</v>
      </c>
      <c r="Q340" s="84" t="s">
        <v>2462</v>
      </c>
      <c r="S340" t="b">
        <v>0</v>
      </c>
    </row>
    <row r="341" spans="14:19" x14ac:dyDescent="0.25">
      <c r="N341" s="23" t="s">
        <v>102</v>
      </c>
      <c r="O341" s="30" t="s">
        <v>296</v>
      </c>
      <c r="P341" s="30" t="s">
        <v>388</v>
      </c>
      <c r="Q341" s="84" t="s">
        <v>2462</v>
      </c>
      <c r="S341" t="b">
        <v>0</v>
      </c>
    </row>
    <row r="342" spans="14:19" x14ac:dyDescent="0.25">
      <c r="N342" s="23" t="s">
        <v>102</v>
      </c>
      <c r="O342" s="30" t="s">
        <v>296</v>
      </c>
      <c r="P342" s="30" t="s">
        <v>389</v>
      </c>
      <c r="Q342" s="84" t="s">
        <v>2462</v>
      </c>
      <c r="S342" t="b">
        <v>0</v>
      </c>
    </row>
    <row r="343" spans="14:19" x14ac:dyDescent="0.25">
      <c r="N343" s="23" t="s">
        <v>102</v>
      </c>
      <c r="O343" s="30" t="s">
        <v>296</v>
      </c>
      <c r="P343" s="30" t="s">
        <v>390</v>
      </c>
      <c r="Q343" s="84" t="s">
        <v>2462</v>
      </c>
      <c r="S343" t="b">
        <v>0</v>
      </c>
    </row>
    <row r="344" spans="14:19" x14ac:dyDescent="0.25">
      <c r="N344" s="23" t="s">
        <v>102</v>
      </c>
      <c r="O344" s="30" t="s">
        <v>296</v>
      </c>
      <c r="P344" s="30" t="s">
        <v>391</v>
      </c>
      <c r="Q344" s="84" t="s">
        <v>2462</v>
      </c>
      <c r="S344" t="b">
        <v>0</v>
      </c>
    </row>
    <row r="345" spans="14:19" x14ac:dyDescent="0.25">
      <c r="N345" s="23" t="s">
        <v>102</v>
      </c>
      <c r="O345" s="30" t="s">
        <v>296</v>
      </c>
      <c r="P345" s="30" t="s">
        <v>392</v>
      </c>
      <c r="Q345" s="84" t="s">
        <v>2462</v>
      </c>
      <c r="S345" t="b">
        <v>0</v>
      </c>
    </row>
    <row r="346" spans="14:19" x14ac:dyDescent="0.25">
      <c r="N346" s="23" t="s">
        <v>102</v>
      </c>
      <c r="O346" s="30" t="s">
        <v>296</v>
      </c>
      <c r="P346" s="30" t="s">
        <v>393</v>
      </c>
      <c r="Q346" s="84" t="s">
        <v>2462</v>
      </c>
      <c r="S346" t="b">
        <v>0</v>
      </c>
    </row>
    <row r="347" spans="14:19" x14ac:dyDescent="0.25">
      <c r="N347" s="23" t="s">
        <v>102</v>
      </c>
      <c r="O347" s="30" t="s">
        <v>296</v>
      </c>
      <c r="P347" s="30" t="s">
        <v>394</v>
      </c>
      <c r="Q347" s="84" t="s">
        <v>2462</v>
      </c>
      <c r="S347" t="b">
        <v>0</v>
      </c>
    </row>
    <row r="348" spans="14:19" x14ac:dyDescent="0.25">
      <c r="N348" s="23" t="s">
        <v>102</v>
      </c>
      <c r="O348" s="30" t="s">
        <v>296</v>
      </c>
      <c r="P348" s="30" t="s">
        <v>395</v>
      </c>
      <c r="Q348" s="84" t="s">
        <v>2462</v>
      </c>
      <c r="S348" t="b">
        <v>0</v>
      </c>
    </row>
    <row r="349" spans="14:19" x14ac:dyDescent="0.25">
      <c r="N349" s="23" t="s">
        <v>102</v>
      </c>
      <c r="O349" s="30" t="s">
        <v>296</v>
      </c>
      <c r="P349" s="30" t="s">
        <v>396</v>
      </c>
      <c r="Q349" s="84" t="s">
        <v>2462</v>
      </c>
      <c r="S349" t="b">
        <v>0</v>
      </c>
    </row>
    <row r="350" spans="14:19" x14ac:dyDescent="0.25">
      <c r="N350" s="23" t="s">
        <v>102</v>
      </c>
      <c r="O350" s="30" t="s">
        <v>296</v>
      </c>
      <c r="P350" s="30" t="s">
        <v>397</v>
      </c>
      <c r="Q350" s="84" t="s">
        <v>2462</v>
      </c>
      <c r="S350" t="b">
        <v>0</v>
      </c>
    </row>
    <row r="351" spans="14:19" x14ac:dyDescent="0.25">
      <c r="N351" s="23" t="s">
        <v>102</v>
      </c>
      <c r="O351" s="30" t="s">
        <v>296</v>
      </c>
      <c r="P351" s="30" t="s">
        <v>398</v>
      </c>
      <c r="Q351" s="84" t="s">
        <v>2462</v>
      </c>
      <c r="S351" t="b">
        <v>0</v>
      </c>
    </row>
    <row r="352" spans="14:19" x14ac:dyDescent="0.25">
      <c r="N352" s="23" t="s">
        <v>102</v>
      </c>
      <c r="O352" s="30" t="s">
        <v>296</v>
      </c>
      <c r="P352" s="30" t="s">
        <v>399</v>
      </c>
      <c r="Q352" s="84" t="s">
        <v>2462</v>
      </c>
      <c r="S352" t="b">
        <v>0</v>
      </c>
    </row>
    <row r="353" spans="14:19" x14ac:dyDescent="0.25">
      <c r="N353" s="23" t="s">
        <v>102</v>
      </c>
      <c r="O353" s="30" t="s">
        <v>296</v>
      </c>
      <c r="P353" s="30" t="s">
        <v>400</v>
      </c>
      <c r="Q353" s="84" t="s">
        <v>2462</v>
      </c>
      <c r="S353" t="b">
        <v>0</v>
      </c>
    </row>
    <row r="354" spans="14:19" x14ac:dyDescent="0.25">
      <c r="N354" s="23" t="s">
        <v>102</v>
      </c>
      <c r="O354" s="30" t="s">
        <v>296</v>
      </c>
      <c r="P354" s="30" t="s">
        <v>401</v>
      </c>
      <c r="Q354" s="84" t="s">
        <v>2462</v>
      </c>
      <c r="S354" t="b">
        <v>0</v>
      </c>
    </row>
    <row r="355" spans="14:19" x14ac:dyDescent="0.25">
      <c r="N355" s="23" t="s">
        <v>102</v>
      </c>
      <c r="O355" s="30" t="s">
        <v>296</v>
      </c>
      <c r="P355" s="30" t="s">
        <v>402</v>
      </c>
      <c r="Q355" s="84" t="s">
        <v>2462</v>
      </c>
      <c r="S355" t="b">
        <v>0</v>
      </c>
    </row>
    <row r="356" spans="14:19" x14ac:dyDescent="0.25">
      <c r="N356" s="23" t="s">
        <v>102</v>
      </c>
      <c r="O356" s="30" t="s">
        <v>296</v>
      </c>
      <c r="P356" s="30" t="s">
        <v>403</v>
      </c>
      <c r="Q356" s="84" t="s">
        <v>2462</v>
      </c>
      <c r="S356" t="b">
        <v>0</v>
      </c>
    </row>
    <row r="357" spans="14:19" x14ac:dyDescent="0.25">
      <c r="N357" s="23" t="s">
        <v>102</v>
      </c>
      <c r="O357" s="30" t="s">
        <v>296</v>
      </c>
      <c r="P357" s="30" t="s">
        <v>404</v>
      </c>
      <c r="Q357" s="84" t="s">
        <v>2462</v>
      </c>
      <c r="S357" t="b">
        <v>0</v>
      </c>
    </row>
    <row r="358" spans="14:19" x14ac:dyDescent="0.25">
      <c r="N358" s="23" t="s">
        <v>102</v>
      </c>
      <c r="O358" s="30" t="s">
        <v>296</v>
      </c>
      <c r="P358" s="30" t="s">
        <v>405</v>
      </c>
      <c r="Q358" s="84" t="s">
        <v>2462</v>
      </c>
      <c r="S358" t="b">
        <v>0</v>
      </c>
    </row>
    <row r="359" spans="14:19" x14ac:dyDescent="0.25">
      <c r="N359" s="23" t="s">
        <v>102</v>
      </c>
      <c r="O359" s="30" t="s">
        <v>296</v>
      </c>
      <c r="P359" s="30" t="s">
        <v>406</v>
      </c>
      <c r="Q359" s="84" t="s">
        <v>2462</v>
      </c>
      <c r="S359" t="b">
        <v>0</v>
      </c>
    </row>
    <row r="360" spans="14:19" x14ac:dyDescent="0.25">
      <c r="N360" s="23" t="s">
        <v>102</v>
      </c>
      <c r="O360" s="30" t="s">
        <v>407</v>
      </c>
      <c r="P360" s="30" t="s">
        <v>408</v>
      </c>
      <c r="Q360" s="84" t="s">
        <v>2463</v>
      </c>
      <c r="S360" t="b">
        <v>0</v>
      </c>
    </row>
    <row r="361" spans="14:19" x14ac:dyDescent="0.25">
      <c r="N361" s="23" t="s">
        <v>102</v>
      </c>
      <c r="O361" s="30" t="s">
        <v>407</v>
      </c>
      <c r="P361" s="30" t="s">
        <v>409</v>
      </c>
      <c r="Q361" s="84" t="s">
        <v>2463</v>
      </c>
      <c r="S361" t="b">
        <v>0</v>
      </c>
    </row>
    <row r="362" spans="14:19" x14ac:dyDescent="0.25">
      <c r="N362" s="23" t="s">
        <v>102</v>
      </c>
      <c r="O362" s="30" t="s">
        <v>407</v>
      </c>
      <c r="P362" s="30" t="s">
        <v>410</v>
      </c>
      <c r="Q362" s="84" t="s">
        <v>2463</v>
      </c>
      <c r="S362" t="b">
        <v>0</v>
      </c>
    </row>
    <row r="363" spans="14:19" x14ac:dyDescent="0.25">
      <c r="N363" s="23" t="s">
        <v>102</v>
      </c>
      <c r="O363" s="30" t="s">
        <v>407</v>
      </c>
      <c r="P363" s="30" t="s">
        <v>411</v>
      </c>
      <c r="Q363" s="84" t="s">
        <v>2463</v>
      </c>
      <c r="S363" t="b">
        <v>0</v>
      </c>
    </row>
    <row r="364" spans="14:19" x14ac:dyDescent="0.25">
      <c r="N364" s="23" t="s">
        <v>102</v>
      </c>
      <c r="O364" s="30" t="s">
        <v>407</v>
      </c>
      <c r="P364" s="30" t="s">
        <v>412</v>
      </c>
      <c r="Q364" s="84" t="s">
        <v>2463</v>
      </c>
      <c r="S364" t="b">
        <v>0</v>
      </c>
    </row>
    <row r="365" spans="14:19" x14ac:dyDescent="0.25">
      <c r="N365" s="23" t="s">
        <v>102</v>
      </c>
      <c r="O365" s="30" t="s">
        <v>407</v>
      </c>
      <c r="P365" s="30" t="s">
        <v>413</v>
      </c>
      <c r="Q365" s="84" t="s">
        <v>2463</v>
      </c>
      <c r="S365" t="b">
        <v>0</v>
      </c>
    </row>
    <row r="366" spans="14:19" x14ac:dyDescent="0.25">
      <c r="N366" s="23" t="s">
        <v>102</v>
      </c>
      <c r="O366" s="30" t="s">
        <v>407</v>
      </c>
      <c r="P366" s="30" t="s">
        <v>414</v>
      </c>
      <c r="Q366" s="84" t="s">
        <v>2463</v>
      </c>
      <c r="S366" t="b">
        <v>0</v>
      </c>
    </row>
    <row r="367" spans="14:19" x14ac:dyDescent="0.25">
      <c r="N367" s="23" t="s">
        <v>102</v>
      </c>
      <c r="O367" s="30" t="s">
        <v>407</v>
      </c>
      <c r="P367" s="30" t="s">
        <v>415</v>
      </c>
      <c r="Q367" s="84" t="s">
        <v>2463</v>
      </c>
      <c r="S367" t="b">
        <v>0</v>
      </c>
    </row>
    <row r="368" spans="14:19" x14ac:dyDescent="0.25">
      <c r="N368" s="23" t="s">
        <v>102</v>
      </c>
      <c r="O368" s="30" t="s">
        <v>407</v>
      </c>
      <c r="P368" s="30" t="s">
        <v>416</v>
      </c>
      <c r="Q368" s="84" t="s">
        <v>2463</v>
      </c>
      <c r="S368" t="b">
        <v>0</v>
      </c>
    </row>
    <row r="369" spans="14:19" x14ac:dyDescent="0.25">
      <c r="N369" s="23" t="s">
        <v>102</v>
      </c>
      <c r="O369" s="30" t="s">
        <v>407</v>
      </c>
      <c r="P369" s="30" t="s">
        <v>417</v>
      </c>
      <c r="Q369" s="84" t="s">
        <v>2463</v>
      </c>
      <c r="S369" t="b">
        <v>0</v>
      </c>
    </row>
    <row r="370" spans="14:19" x14ac:dyDescent="0.25">
      <c r="N370" s="23" t="s">
        <v>102</v>
      </c>
      <c r="O370" s="30" t="s">
        <v>407</v>
      </c>
      <c r="P370" s="30" t="s">
        <v>418</v>
      </c>
      <c r="Q370" s="84" t="s">
        <v>2463</v>
      </c>
      <c r="S370" t="b">
        <v>0</v>
      </c>
    </row>
    <row r="371" spans="14:19" x14ac:dyDescent="0.25">
      <c r="N371" s="23" t="s">
        <v>102</v>
      </c>
      <c r="O371" s="30" t="s">
        <v>407</v>
      </c>
      <c r="P371" s="30" t="s">
        <v>419</v>
      </c>
      <c r="Q371" s="84" t="s">
        <v>2463</v>
      </c>
      <c r="S371" t="b">
        <v>0</v>
      </c>
    </row>
    <row r="372" spans="14:19" x14ac:dyDescent="0.25">
      <c r="N372" s="23" t="s">
        <v>102</v>
      </c>
      <c r="O372" s="30" t="s">
        <v>407</v>
      </c>
      <c r="P372" s="30" t="s">
        <v>420</v>
      </c>
      <c r="Q372" s="84" t="s">
        <v>2463</v>
      </c>
      <c r="S372" t="b">
        <v>0</v>
      </c>
    </row>
    <row r="373" spans="14:19" x14ac:dyDescent="0.25">
      <c r="N373" s="23" t="s">
        <v>102</v>
      </c>
      <c r="O373" s="30" t="s">
        <v>407</v>
      </c>
      <c r="P373" s="30" t="s">
        <v>421</v>
      </c>
      <c r="Q373" s="84" t="s">
        <v>2463</v>
      </c>
      <c r="S373" t="b">
        <v>0</v>
      </c>
    </row>
    <row r="374" spans="14:19" x14ac:dyDescent="0.25">
      <c r="N374" s="23" t="s">
        <v>102</v>
      </c>
      <c r="O374" s="30" t="s">
        <v>407</v>
      </c>
      <c r="P374" s="30" t="s">
        <v>422</v>
      </c>
      <c r="Q374" s="84" t="s">
        <v>2463</v>
      </c>
      <c r="S374" t="b">
        <v>0</v>
      </c>
    </row>
    <row r="375" spans="14:19" x14ac:dyDescent="0.25">
      <c r="N375" s="23" t="s">
        <v>102</v>
      </c>
      <c r="O375" s="30" t="s">
        <v>407</v>
      </c>
      <c r="P375" s="30" t="s">
        <v>423</v>
      </c>
      <c r="Q375" s="84" t="s">
        <v>2463</v>
      </c>
      <c r="S375" t="b">
        <v>0</v>
      </c>
    </row>
    <row r="376" spans="14:19" x14ac:dyDescent="0.25">
      <c r="N376" s="23" t="s">
        <v>102</v>
      </c>
      <c r="O376" s="30" t="s">
        <v>407</v>
      </c>
      <c r="P376" s="30" t="s">
        <v>424</v>
      </c>
      <c r="Q376" s="84" t="s">
        <v>2463</v>
      </c>
      <c r="S376" t="b">
        <v>0</v>
      </c>
    </row>
    <row r="377" spans="14:19" x14ac:dyDescent="0.25">
      <c r="N377" s="23" t="s">
        <v>102</v>
      </c>
      <c r="O377" s="30" t="s">
        <v>407</v>
      </c>
      <c r="P377" s="30" t="s">
        <v>425</v>
      </c>
      <c r="Q377" s="84" t="s">
        <v>2463</v>
      </c>
      <c r="S377" t="b">
        <v>0</v>
      </c>
    </row>
    <row r="378" spans="14:19" x14ac:dyDescent="0.25">
      <c r="N378" s="23" t="s">
        <v>102</v>
      </c>
      <c r="O378" s="30" t="s">
        <v>407</v>
      </c>
      <c r="P378" s="30" t="s">
        <v>426</v>
      </c>
      <c r="Q378" s="84" t="s">
        <v>2463</v>
      </c>
      <c r="S378" t="b">
        <v>0</v>
      </c>
    </row>
    <row r="379" spans="14:19" x14ac:dyDescent="0.25">
      <c r="N379" s="23" t="s">
        <v>102</v>
      </c>
      <c r="O379" s="30" t="s">
        <v>407</v>
      </c>
      <c r="P379" s="30" t="s">
        <v>427</v>
      </c>
      <c r="Q379" s="84" t="s">
        <v>2463</v>
      </c>
      <c r="S379" t="b">
        <v>0</v>
      </c>
    </row>
    <row r="380" spans="14:19" x14ac:dyDescent="0.25">
      <c r="N380" s="23" t="s">
        <v>102</v>
      </c>
      <c r="O380" s="30" t="s">
        <v>407</v>
      </c>
      <c r="P380" s="30" t="s">
        <v>428</v>
      </c>
      <c r="Q380" s="84" t="s">
        <v>2463</v>
      </c>
      <c r="S380" t="b">
        <v>0</v>
      </c>
    </row>
    <row r="381" spans="14:19" x14ac:dyDescent="0.25">
      <c r="N381" s="23" t="s">
        <v>102</v>
      </c>
      <c r="O381" s="30" t="s">
        <v>407</v>
      </c>
      <c r="P381" s="30" t="s">
        <v>429</v>
      </c>
      <c r="Q381" s="84" t="s">
        <v>2463</v>
      </c>
      <c r="S381" t="b">
        <v>0</v>
      </c>
    </row>
    <row r="382" spans="14:19" x14ac:dyDescent="0.25">
      <c r="N382" s="23" t="s">
        <v>102</v>
      </c>
      <c r="O382" s="30" t="s">
        <v>407</v>
      </c>
      <c r="P382" s="30" t="s">
        <v>430</v>
      </c>
      <c r="Q382" s="84" t="s">
        <v>2463</v>
      </c>
      <c r="S382" t="b">
        <v>0</v>
      </c>
    </row>
    <row r="383" spans="14:19" x14ac:dyDescent="0.25">
      <c r="N383" s="23" t="s">
        <v>102</v>
      </c>
      <c r="O383" s="30" t="s">
        <v>407</v>
      </c>
      <c r="P383" s="30" t="s">
        <v>431</v>
      </c>
      <c r="Q383" s="84" t="s">
        <v>2463</v>
      </c>
      <c r="S383" t="b">
        <v>0</v>
      </c>
    </row>
    <row r="384" spans="14:19" x14ac:dyDescent="0.25">
      <c r="N384" s="23" t="s">
        <v>102</v>
      </c>
      <c r="O384" s="30" t="s">
        <v>407</v>
      </c>
      <c r="P384" s="30" t="s">
        <v>432</v>
      </c>
      <c r="Q384" s="84" t="s">
        <v>2463</v>
      </c>
      <c r="S384" t="b">
        <v>0</v>
      </c>
    </row>
    <row r="385" spans="14:19" x14ac:dyDescent="0.25">
      <c r="N385" s="23" t="s">
        <v>102</v>
      </c>
      <c r="O385" s="30" t="s">
        <v>407</v>
      </c>
      <c r="P385" s="30" t="s">
        <v>433</v>
      </c>
      <c r="Q385" s="84" t="s">
        <v>2463</v>
      </c>
      <c r="S385" t="b">
        <v>0</v>
      </c>
    </row>
    <row r="386" spans="14:19" x14ac:dyDescent="0.25">
      <c r="N386" s="23" t="s">
        <v>102</v>
      </c>
      <c r="O386" s="30" t="s">
        <v>407</v>
      </c>
      <c r="P386" s="30" t="s">
        <v>434</v>
      </c>
      <c r="Q386" s="84" t="s">
        <v>2463</v>
      </c>
      <c r="S386" t="b">
        <v>0</v>
      </c>
    </row>
    <row r="387" spans="14:19" x14ac:dyDescent="0.25">
      <c r="N387" s="23" t="s">
        <v>102</v>
      </c>
      <c r="O387" s="30" t="s">
        <v>407</v>
      </c>
      <c r="P387" s="30" t="s">
        <v>435</v>
      </c>
      <c r="Q387" s="84" t="s">
        <v>2463</v>
      </c>
      <c r="S387" t="b">
        <v>0</v>
      </c>
    </row>
    <row r="388" spans="14:19" x14ac:dyDescent="0.25">
      <c r="N388" s="23" t="s">
        <v>102</v>
      </c>
      <c r="O388" s="30" t="s">
        <v>407</v>
      </c>
      <c r="P388" s="30" t="s">
        <v>436</v>
      </c>
      <c r="Q388" s="84" t="s">
        <v>2463</v>
      </c>
      <c r="S388" t="b">
        <v>0</v>
      </c>
    </row>
    <row r="389" spans="14:19" x14ac:dyDescent="0.25">
      <c r="N389" s="23" t="s">
        <v>102</v>
      </c>
      <c r="O389" s="30" t="s">
        <v>407</v>
      </c>
      <c r="P389" s="30" t="s">
        <v>437</v>
      </c>
      <c r="Q389" s="84" t="s">
        <v>2463</v>
      </c>
      <c r="S389" t="b">
        <v>0</v>
      </c>
    </row>
    <row r="390" spans="14:19" x14ac:dyDescent="0.25">
      <c r="N390" s="23" t="s">
        <v>102</v>
      </c>
      <c r="O390" s="30" t="s">
        <v>407</v>
      </c>
      <c r="P390" s="30" t="s">
        <v>438</v>
      </c>
      <c r="Q390" s="84" t="s">
        <v>2463</v>
      </c>
      <c r="S390" t="b">
        <v>0</v>
      </c>
    </row>
    <row r="391" spans="14:19" x14ac:dyDescent="0.25">
      <c r="N391" s="23" t="s">
        <v>102</v>
      </c>
      <c r="O391" s="30" t="s">
        <v>407</v>
      </c>
      <c r="P391" s="30" t="s">
        <v>439</v>
      </c>
      <c r="Q391" s="84" t="s">
        <v>2463</v>
      </c>
      <c r="S391" t="b">
        <v>0</v>
      </c>
    </row>
    <row r="392" spans="14:19" x14ac:dyDescent="0.25">
      <c r="N392" s="23" t="s">
        <v>102</v>
      </c>
      <c r="O392" s="30" t="s">
        <v>407</v>
      </c>
      <c r="P392" s="30" t="s">
        <v>440</v>
      </c>
      <c r="Q392" s="84" t="s">
        <v>2463</v>
      </c>
      <c r="S392" t="b">
        <v>0</v>
      </c>
    </row>
    <row r="393" spans="14:19" x14ac:dyDescent="0.25">
      <c r="N393" s="23" t="s">
        <v>102</v>
      </c>
      <c r="O393" s="30" t="s">
        <v>407</v>
      </c>
      <c r="P393" s="30" t="s">
        <v>441</v>
      </c>
      <c r="Q393" s="84" t="s">
        <v>2463</v>
      </c>
      <c r="S393" t="b">
        <v>0</v>
      </c>
    </row>
    <row r="394" spans="14:19" x14ac:dyDescent="0.25">
      <c r="N394" s="23" t="s">
        <v>102</v>
      </c>
      <c r="O394" s="30" t="s">
        <v>407</v>
      </c>
      <c r="P394" s="30" t="s">
        <v>442</v>
      </c>
      <c r="Q394" s="84" t="s">
        <v>2463</v>
      </c>
      <c r="S394" t="b">
        <v>0</v>
      </c>
    </row>
    <row r="395" spans="14:19" x14ac:dyDescent="0.25">
      <c r="N395" s="23" t="s">
        <v>102</v>
      </c>
      <c r="O395" s="30" t="s">
        <v>407</v>
      </c>
      <c r="P395" s="30" t="s">
        <v>443</v>
      </c>
      <c r="Q395" s="84" t="s">
        <v>2463</v>
      </c>
      <c r="S395" t="b">
        <v>0</v>
      </c>
    </row>
    <row r="396" spans="14:19" x14ac:dyDescent="0.25">
      <c r="N396" s="23" t="s">
        <v>102</v>
      </c>
      <c r="O396" s="30" t="s">
        <v>407</v>
      </c>
      <c r="P396" s="30" t="s">
        <v>444</v>
      </c>
      <c r="Q396" s="84" t="s">
        <v>2463</v>
      </c>
      <c r="S396" t="b">
        <v>0</v>
      </c>
    </row>
    <row r="397" spans="14:19" x14ac:dyDescent="0.25">
      <c r="N397" s="23" t="s">
        <v>102</v>
      </c>
      <c r="O397" s="30" t="s">
        <v>407</v>
      </c>
      <c r="P397" s="30" t="s">
        <v>445</v>
      </c>
      <c r="Q397" s="84" t="s">
        <v>2462</v>
      </c>
      <c r="S397" t="b">
        <v>0</v>
      </c>
    </row>
    <row r="398" spans="14:19" x14ac:dyDescent="0.25">
      <c r="N398" s="23" t="s">
        <v>102</v>
      </c>
      <c r="O398" s="30" t="s">
        <v>407</v>
      </c>
      <c r="P398" s="30" t="s">
        <v>446</v>
      </c>
      <c r="Q398" s="84" t="s">
        <v>2462</v>
      </c>
      <c r="S398" t="b">
        <v>0</v>
      </c>
    </row>
    <row r="399" spans="14:19" x14ac:dyDescent="0.25">
      <c r="N399" s="23" t="s">
        <v>102</v>
      </c>
      <c r="O399" s="30" t="s">
        <v>407</v>
      </c>
      <c r="P399" s="30" t="s">
        <v>447</v>
      </c>
      <c r="Q399" s="84" t="s">
        <v>2462</v>
      </c>
      <c r="S399" t="b">
        <v>0</v>
      </c>
    </row>
    <row r="400" spans="14:19" x14ac:dyDescent="0.25">
      <c r="N400" s="23" t="s">
        <v>102</v>
      </c>
      <c r="O400" s="30" t="s">
        <v>407</v>
      </c>
      <c r="P400" s="30" t="s">
        <v>448</v>
      </c>
      <c r="Q400" s="84" t="s">
        <v>2462</v>
      </c>
      <c r="S400" t="b">
        <v>0</v>
      </c>
    </row>
    <row r="401" spans="14:19" x14ac:dyDescent="0.25">
      <c r="N401" s="23" t="s">
        <v>102</v>
      </c>
      <c r="O401" s="30" t="s">
        <v>407</v>
      </c>
      <c r="P401" s="30" t="s">
        <v>449</v>
      </c>
      <c r="Q401" s="84" t="s">
        <v>2462</v>
      </c>
      <c r="S401" t="b">
        <v>0</v>
      </c>
    </row>
    <row r="402" spans="14:19" x14ac:dyDescent="0.25">
      <c r="N402" s="23" t="s">
        <v>102</v>
      </c>
      <c r="O402" s="30" t="s">
        <v>407</v>
      </c>
      <c r="P402" s="30" t="s">
        <v>450</v>
      </c>
      <c r="Q402" s="84" t="s">
        <v>2462</v>
      </c>
      <c r="S402" t="b">
        <v>0</v>
      </c>
    </row>
    <row r="403" spans="14:19" x14ac:dyDescent="0.25">
      <c r="N403" s="23" t="s">
        <v>102</v>
      </c>
      <c r="O403" s="30" t="s">
        <v>407</v>
      </c>
      <c r="P403" s="30" t="s">
        <v>451</v>
      </c>
      <c r="Q403" s="84" t="s">
        <v>2462</v>
      </c>
      <c r="S403" t="b">
        <v>0</v>
      </c>
    </row>
    <row r="404" spans="14:19" x14ac:dyDescent="0.25">
      <c r="N404" s="23" t="s">
        <v>102</v>
      </c>
      <c r="O404" s="30" t="s">
        <v>407</v>
      </c>
      <c r="P404" s="30" t="s">
        <v>452</v>
      </c>
      <c r="Q404" s="84" t="s">
        <v>2462</v>
      </c>
      <c r="S404" t="b">
        <v>0</v>
      </c>
    </row>
    <row r="405" spans="14:19" x14ac:dyDescent="0.25">
      <c r="N405" s="23" t="s">
        <v>102</v>
      </c>
      <c r="O405" s="30" t="s">
        <v>407</v>
      </c>
      <c r="P405" s="30" t="s">
        <v>453</v>
      </c>
      <c r="Q405" s="84" t="s">
        <v>2462</v>
      </c>
      <c r="S405" t="b">
        <v>0</v>
      </c>
    </row>
    <row r="406" spans="14:19" x14ac:dyDescent="0.25">
      <c r="N406" s="23" t="s">
        <v>102</v>
      </c>
      <c r="O406" s="30" t="s">
        <v>454</v>
      </c>
      <c r="P406" s="30" t="s">
        <v>455</v>
      </c>
      <c r="Q406" s="84" t="s">
        <v>2463</v>
      </c>
      <c r="S406" t="b">
        <v>0</v>
      </c>
    </row>
    <row r="407" spans="14:19" x14ac:dyDescent="0.25">
      <c r="N407" s="23" t="s">
        <v>102</v>
      </c>
      <c r="O407" s="30" t="s">
        <v>454</v>
      </c>
      <c r="P407" s="30" t="s">
        <v>456</v>
      </c>
      <c r="Q407" s="84" t="s">
        <v>2463</v>
      </c>
      <c r="S407" t="b">
        <v>0</v>
      </c>
    </row>
    <row r="408" spans="14:19" x14ac:dyDescent="0.25">
      <c r="N408" s="23" t="s">
        <v>102</v>
      </c>
      <c r="O408" s="30" t="s">
        <v>454</v>
      </c>
      <c r="P408" s="30" t="s">
        <v>457</v>
      </c>
      <c r="Q408" s="84" t="s">
        <v>2463</v>
      </c>
      <c r="S408" t="b">
        <v>0</v>
      </c>
    </row>
    <row r="409" spans="14:19" x14ac:dyDescent="0.25">
      <c r="N409" s="23" t="s">
        <v>102</v>
      </c>
      <c r="O409" s="30" t="s">
        <v>454</v>
      </c>
      <c r="P409" s="30" t="s">
        <v>458</v>
      </c>
      <c r="Q409" s="84" t="s">
        <v>2463</v>
      </c>
      <c r="S409" t="b">
        <v>0</v>
      </c>
    </row>
    <row r="410" spans="14:19" x14ac:dyDescent="0.25">
      <c r="N410" s="23" t="s">
        <v>102</v>
      </c>
      <c r="O410" s="30" t="s">
        <v>454</v>
      </c>
      <c r="P410" s="30" t="s">
        <v>459</v>
      </c>
      <c r="Q410" s="84" t="s">
        <v>2463</v>
      </c>
      <c r="S410" t="b">
        <v>0</v>
      </c>
    </row>
    <row r="411" spans="14:19" x14ac:dyDescent="0.25">
      <c r="N411" s="23" t="s">
        <v>102</v>
      </c>
      <c r="O411" s="30" t="s">
        <v>454</v>
      </c>
      <c r="P411" s="30" t="s">
        <v>460</v>
      </c>
      <c r="Q411" s="84" t="s">
        <v>2463</v>
      </c>
      <c r="S411" t="b">
        <v>0</v>
      </c>
    </row>
    <row r="412" spans="14:19" x14ac:dyDescent="0.25">
      <c r="N412" s="23" t="s">
        <v>102</v>
      </c>
      <c r="O412" s="30" t="s">
        <v>454</v>
      </c>
      <c r="P412" s="30" t="s">
        <v>461</v>
      </c>
      <c r="Q412" s="84" t="s">
        <v>2463</v>
      </c>
      <c r="S412" t="b">
        <v>0</v>
      </c>
    </row>
    <row r="413" spans="14:19" x14ac:dyDescent="0.25">
      <c r="N413" s="23" t="s">
        <v>102</v>
      </c>
      <c r="O413" s="30" t="s">
        <v>454</v>
      </c>
      <c r="P413" s="30" t="s">
        <v>462</v>
      </c>
      <c r="Q413" s="84" t="s">
        <v>2463</v>
      </c>
      <c r="S413" t="b">
        <v>0</v>
      </c>
    </row>
    <row r="414" spans="14:19" x14ac:dyDescent="0.25">
      <c r="N414" s="23" t="s">
        <v>102</v>
      </c>
      <c r="O414" s="30" t="s">
        <v>454</v>
      </c>
      <c r="P414" s="30" t="s">
        <v>463</v>
      </c>
      <c r="Q414" s="84" t="s">
        <v>2463</v>
      </c>
      <c r="S414" t="b">
        <v>0</v>
      </c>
    </row>
    <row r="415" spans="14:19" x14ac:dyDescent="0.25">
      <c r="N415" s="23" t="s">
        <v>102</v>
      </c>
      <c r="O415" s="30" t="s">
        <v>454</v>
      </c>
      <c r="P415" s="30" t="s">
        <v>464</v>
      </c>
      <c r="Q415" s="84" t="s">
        <v>2463</v>
      </c>
      <c r="S415" t="b">
        <v>0</v>
      </c>
    </row>
    <row r="416" spans="14:19" x14ac:dyDescent="0.25">
      <c r="N416" s="23" t="s">
        <v>102</v>
      </c>
      <c r="O416" s="30" t="s">
        <v>454</v>
      </c>
      <c r="P416" s="30" t="s">
        <v>465</v>
      </c>
      <c r="Q416" s="84" t="s">
        <v>2463</v>
      </c>
      <c r="S416" t="b">
        <v>0</v>
      </c>
    </row>
    <row r="417" spans="14:19" x14ac:dyDescent="0.25">
      <c r="N417" s="23" t="s">
        <v>102</v>
      </c>
      <c r="O417" s="30" t="s">
        <v>454</v>
      </c>
      <c r="P417" s="30" t="s">
        <v>466</v>
      </c>
      <c r="Q417" s="84" t="s">
        <v>2463</v>
      </c>
      <c r="S417" t="b">
        <v>0</v>
      </c>
    </row>
    <row r="418" spans="14:19" x14ac:dyDescent="0.25">
      <c r="N418" s="23" t="s">
        <v>102</v>
      </c>
      <c r="O418" s="30" t="s">
        <v>454</v>
      </c>
      <c r="P418" s="30" t="s">
        <v>467</v>
      </c>
      <c r="Q418" s="84" t="s">
        <v>2463</v>
      </c>
      <c r="S418" t="b">
        <v>0</v>
      </c>
    </row>
    <row r="419" spans="14:19" x14ac:dyDescent="0.25">
      <c r="N419" s="23" t="s">
        <v>102</v>
      </c>
      <c r="O419" s="30" t="s">
        <v>454</v>
      </c>
      <c r="P419" s="30" t="s">
        <v>468</v>
      </c>
      <c r="Q419" s="84" t="s">
        <v>2463</v>
      </c>
      <c r="S419" t="b">
        <v>0</v>
      </c>
    </row>
    <row r="420" spans="14:19" x14ac:dyDescent="0.25">
      <c r="N420" s="23" t="s">
        <v>102</v>
      </c>
      <c r="O420" s="30" t="s">
        <v>454</v>
      </c>
      <c r="P420" s="30" t="s">
        <v>469</v>
      </c>
      <c r="Q420" s="84" t="s">
        <v>2463</v>
      </c>
      <c r="S420" t="b">
        <v>0</v>
      </c>
    </row>
    <row r="421" spans="14:19" x14ac:dyDescent="0.25">
      <c r="N421" s="23" t="s">
        <v>102</v>
      </c>
      <c r="O421" s="30" t="s">
        <v>454</v>
      </c>
      <c r="P421" s="30" t="s">
        <v>470</v>
      </c>
      <c r="Q421" s="84" t="s">
        <v>2463</v>
      </c>
      <c r="S421" t="b">
        <v>0</v>
      </c>
    </row>
    <row r="422" spans="14:19" x14ac:dyDescent="0.25">
      <c r="N422" s="23" t="s">
        <v>102</v>
      </c>
      <c r="O422" s="30" t="s">
        <v>454</v>
      </c>
      <c r="P422" s="30" t="s">
        <v>471</v>
      </c>
      <c r="Q422" s="84" t="s">
        <v>2462</v>
      </c>
      <c r="S422" t="b">
        <v>0</v>
      </c>
    </row>
    <row r="423" spans="14:19" x14ac:dyDescent="0.25">
      <c r="N423" s="23" t="s">
        <v>102</v>
      </c>
      <c r="O423" s="30" t="s">
        <v>454</v>
      </c>
      <c r="P423" s="30" t="s">
        <v>472</v>
      </c>
      <c r="Q423" s="84" t="s">
        <v>2462</v>
      </c>
      <c r="S423" t="b">
        <v>0</v>
      </c>
    </row>
    <row r="424" spans="14:19" x14ac:dyDescent="0.25">
      <c r="N424" s="23" t="s">
        <v>102</v>
      </c>
      <c r="O424" s="30" t="s">
        <v>454</v>
      </c>
      <c r="P424" s="30" t="s">
        <v>473</v>
      </c>
      <c r="Q424" s="84" t="s">
        <v>2462</v>
      </c>
      <c r="S424" t="b">
        <v>0</v>
      </c>
    </row>
    <row r="425" spans="14:19" x14ac:dyDescent="0.25">
      <c r="N425" s="23" t="s">
        <v>102</v>
      </c>
      <c r="O425" s="30" t="s">
        <v>454</v>
      </c>
      <c r="P425" s="30" t="s">
        <v>474</v>
      </c>
      <c r="Q425" s="84" t="s">
        <v>2462</v>
      </c>
      <c r="S425" t="b">
        <v>0</v>
      </c>
    </row>
    <row r="426" spans="14:19" x14ac:dyDescent="0.25">
      <c r="N426" s="23" t="s">
        <v>102</v>
      </c>
      <c r="O426" s="30" t="s">
        <v>454</v>
      </c>
      <c r="P426" s="30" t="s">
        <v>475</v>
      </c>
      <c r="Q426" s="84" t="s">
        <v>2462</v>
      </c>
      <c r="S426" t="b">
        <v>0</v>
      </c>
    </row>
    <row r="427" spans="14:19" x14ac:dyDescent="0.25">
      <c r="N427" s="23" t="s">
        <v>102</v>
      </c>
      <c r="O427" s="30" t="s">
        <v>454</v>
      </c>
      <c r="P427" s="30" t="s">
        <v>476</v>
      </c>
      <c r="Q427" s="84" t="s">
        <v>2462</v>
      </c>
      <c r="S427" t="b">
        <v>0</v>
      </c>
    </row>
    <row r="428" spans="14:19" x14ac:dyDescent="0.25">
      <c r="N428" s="23" t="s">
        <v>102</v>
      </c>
      <c r="O428" s="30" t="s">
        <v>477</v>
      </c>
      <c r="P428" s="30" t="s">
        <v>478</v>
      </c>
      <c r="Q428" s="84" t="s">
        <v>2463</v>
      </c>
      <c r="S428" t="b">
        <v>0</v>
      </c>
    </row>
    <row r="429" spans="14:19" x14ac:dyDescent="0.25">
      <c r="N429" s="23" t="s">
        <v>102</v>
      </c>
      <c r="O429" s="30" t="s">
        <v>477</v>
      </c>
      <c r="P429" s="30" t="s">
        <v>479</v>
      </c>
      <c r="Q429" s="84" t="s">
        <v>2463</v>
      </c>
      <c r="S429" t="b">
        <v>0</v>
      </c>
    </row>
    <row r="430" spans="14:19" x14ac:dyDescent="0.25">
      <c r="N430" s="23" t="s">
        <v>102</v>
      </c>
      <c r="O430" s="30" t="s">
        <v>477</v>
      </c>
      <c r="P430" s="30" t="s">
        <v>480</v>
      </c>
      <c r="Q430" s="84" t="s">
        <v>2463</v>
      </c>
      <c r="S430" t="b">
        <v>0</v>
      </c>
    </row>
    <row r="431" spans="14:19" x14ac:dyDescent="0.25">
      <c r="N431" s="23" t="s">
        <v>102</v>
      </c>
      <c r="O431" s="30" t="s">
        <v>481</v>
      </c>
      <c r="P431" s="30" t="s">
        <v>482</v>
      </c>
      <c r="Q431" s="84" t="s">
        <v>2463</v>
      </c>
      <c r="S431" t="b">
        <v>0</v>
      </c>
    </row>
    <row r="432" spans="14:19" x14ac:dyDescent="0.25">
      <c r="N432" s="23" t="s">
        <v>106</v>
      </c>
      <c r="O432" s="30" t="s">
        <v>1471</v>
      </c>
      <c r="P432" s="30" t="s">
        <v>1472</v>
      </c>
      <c r="Q432" s="84" t="s">
        <v>2463</v>
      </c>
      <c r="S432" t="b">
        <v>0</v>
      </c>
    </row>
    <row r="433" spans="14:19" x14ac:dyDescent="0.25">
      <c r="N433" s="23" t="s">
        <v>106</v>
      </c>
      <c r="O433" s="30" t="s">
        <v>1471</v>
      </c>
      <c r="P433" s="30" t="s">
        <v>1473</v>
      </c>
      <c r="Q433" s="84" t="s">
        <v>2463</v>
      </c>
      <c r="S433" t="b">
        <v>0</v>
      </c>
    </row>
    <row r="434" spans="14:19" x14ac:dyDescent="0.25">
      <c r="N434" s="23" t="s">
        <v>106</v>
      </c>
      <c r="O434" s="30" t="s">
        <v>1471</v>
      </c>
      <c r="P434" s="30" t="s">
        <v>1474</v>
      </c>
      <c r="Q434" s="84" t="s">
        <v>2463</v>
      </c>
      <c r="S434" t="b">
        <v>0</v>
      </c>
    </row>
    <row r="435" spans="14:19" x14ac:dyDescent="0.25">
      <c r="N435" s="23" t="s">
        <v>106</v>
      </c>
      <c r="O435" s="30" t="s">
        <v>1471</v>
      </c>
      <c r="P435" s="30" t="s">
        <v>1475</v>
      </c>
      <c r="Q435" s="84" t="s">
        <v>2463</v>
      </c>
      <c r="S435" t="b">
        <v>0</v>
      </c>
    </row>
    <row r="436" spans="14:19" x14ac:dyDescent="0.25">
      <c r="N436" s="23" t="s">
        <v>106</v>
      </c>
      <c r="O436" s="30" t="s">
        <v>1471</v>
      </c>
      <c r="P436" s="30" t="s">
        <v>1476</v>
      </c>
      <c r="Q436" s="84" t="s">
        <v>2463</v>
      </c>
      <c r="S436" t="b">
        <v>0</v>
      </c>
    </row>
    <row r="437" spans="14:19" x14ac:dyDescent="0.25">
      <c r="N437" s="23" t="s">
        <v>106</v>
      </c>
      <c r="O437" s="30" t="s">
        <v>1471</v>
      </c>
      <c r="P437" s="30" t="s">
        <v>1477</v>
      </c>
      <c r="Q437" s="84" t="s">
        <v>2463</v>
      </c>
      <c r="S437" t="b">
        <v>0</v>
      </c>
    </row>
    <row r="438" spans="14:19" x14ac:dyDescent="0.25">
      <c r="N438" s="23" t="s">
        <v>106</v>
      </c>
      <c r="O438" s="30" t="s">
        <v>1471</v>
      </c>
      <c r="P438" s="30" t="s">
        <v>1478</v>
      </c>
      <c r="Q438" s="84" t="s">
        <v>2463</v>
      </c>
      <c r="S438" t="b">
        <v>0</v>
      </c>
    </row>
    <row r="439" spans="14:19" x14ac:dyDescent="0.25">
      <c r="N439" s="23" t="s">
        <v>106</v>
      </c>
      <c r="O439" s="30" t="s">
        <v>1471</v>
      </c>
      <c r="P439" s="30" t="s">
        <v>1479</v>
      </c>
      <c r="Q439" s="84" t="s">
        <v>2463</v>
      </c>
      <c r="S439" t="b">
        <v>0</v>
      </c>
    </row>
    <row r="440" spans="14:19" x14ac:dyDescent="0.25">
      <c r="N440" s="23" t="s">
        <v>106</v>
      </c>
      <c r="O440" s="30" t="s">
        <v>1471</v>
      </c>
      <c r="P440" s="30" t="s">
        <v>1480</v>
      </c>
      <c r="Q440" s="84" t="s">
        <v>2463</v>
      </c>
      <c r="S440" t="b">
        <v>0</v>
      </c>
    </row>
    <row r="441" spans="14:19" x14ac:dyDescent="0.25">
      <c r="N441" s="23" t="s">
        <v>106</v>
      </c>
      <c r="O441" s="30" t="s">
        <v>1471</v>
      </c>
      <c r="P441" s="30" t="s">
        <v>1481</v>
      </c>
      <c r="Q441" s="84" t="s">
        <v>2463</v>
      </c>
      <c r="S441" t="b">
        <v>0</v>
      </c>
    </row>
    <row r="442" spans="14:19" x14ac:dyDescent="0.25">
      <c r="N442" s="23" t="s">
        <v>106</v>
      </c>
      <c r="O442" s="30" t="s">
        <v>1471</v>
      </c>
      <c r="P442" s="30" t="s">
        <v>1482</v>
      </c>
      <c r="Q442" s="84" t="s">
        <v>2463</v>
      </c>
      <c r="S442" t="b">
        <v>0</v>
      </c>
    </row>
    <row r="443" spans="14:19" x14ac:dyDescent="0.25">
      <c r="N443" s="23" t="s">
        <v>106</v>
      </c>
      <c r="O443" s="30" t="s">
        <v>1471</v>
      </c>
      <c r="P443" s="30" t="s">
        <v>1483</v>
      </c>
      <c r="Q443" s="84" t="s">
        <v>2463</v>
      </c>
      <c r="S443" t="b">
        <v>0</v>
      </c>
    </row>
    <row r="444" spans="14:19" x14ac:dyDescent="0.25">
      <c r="N444" s="23" t="s">
        <v>106</v>
      </c>
      <c r="O444" s="30" t="s">
        <v>1471</v>
      </c>
      <c r="P444" s="30" t="s">
        <v>1484</v>
      </c>
      <c r="Q444" s="84" t="s">
        <v>2463</v>
      </c>
      <c r="S444" t="b">
        <v>0</v>
      </c>
    </row>
    <row r="445" spans="14:19" x14ac:dyDescent="0.25">
      <c r="N445" s="23" t="s">
        <v>106</v>
      </c>
      <c r="O445" s="30" t="s">
        <v>1471</v>
      </c>
      <c r="P445" s="30" t="s">
        <v>1485</v>
      </c>
      <c r="Q445" s="84" t="s">
        <v>2463</v>
      </c>
      <c r="S445" t="b">
        <v>0</v>
      </c>
    </row>
    <row r="446" spans="14:19" x14ac:dyDescent="0.25">
      <c r="N446" s="23" t="s">
        <v>106</v>
      </c>
      <c r="O446" s="30" t="s">
        <v>1471</v>
      </c>
      <c r="P446" s="30" t="s">
        <v>1486</v>
      </c>
      <c r="Q446" s="84" t="s">
        <v>2463</v>
      </c>
      <c r="S446" t="b">
        <v>0</v>
      </c>
    </row>
    <row r="447" spans="14:19" x14ac:dyDescent="0.25">
      <c r="N447" s="23" t="s">
        <v>106</v>
      </c>
      <c r="O447" s="30" t="s">
        <v>1471</v>
      </c>
      <c r="P447" s="30" t="s">
        <v>1487</v>
      </c>
      <c r="Q447" s="84" t="s">
        <v>2463</v>
      </c>
      <c r="S447" t="b">
        <v>0</v>
      </c>
    </row>
    <row r="448" spans="14:19" x14ac:dyDescent="0.25">
      <c r="N448" s="23" t="s">
        <v>106</v>
      </c>
      <c r="O448" s="30" t="s">
        <v>1471</v>
      </c>
      <c r="P448" s="30" t="s">
        <v>1488</v>
      </c>
      <c r="Q448" s="84" t="s">
        <v>2463</v>
      </c>
      <c r="S448" t="b">
        <v>0</v>
      </c>
    </row>
    <row r="449" spans="14:19" x14ac:dyDescent="0.25">
      <c r="N449" s="23" t="s">
        <v>106</v>
      </c>
      <c r="O449" s="30" t="s">
        <v>1471</v>
      </c>
      <c r="P449" s="30" t="s">
        <v>1489</v>
      </c>
      <c r="Q449" s="84" t="s">
        <v>2463</v>
      </c>
      <c r="S449" t="b">
        <v>0</v>
      </c>
    </row>
    <row r="450" spans="14:19" x14ac:dyDescent="0.25">
      <c r="N450" s="23" t="s">
        <v>106</v>
      </c>
      <c r="O450" s="30" t="s">
        <v>1471</v>
      </c>
      <c r="P450" s="30" t="s">
        <v>1490</v>
      </c>
      <c r="Q450" s="84" t="s">
        <v>2463</v>
      </c>
      <c r="S450" t="b">
        <v>0</v>
      </c>
    </row>
    <row r="451" spans="14:19" x14ac:dyDescent="0.25">
      <c r="N451" s="23" t="s">
        <v>106</v>
      </c>
      <c r="O451" s="30" t="s">
        <v>1471</v>
      </c>
      <c r="P451" s="30" t="s">
        <v>1491</v>
      </c>
      <c r="Q451" s="84" t="s">
        <v>2463</v>
      </c>
      <c r="S451" t="b">
        <v>0</v>
      </c>
    </row>
    <row r="452" spans="14:19" x14ac:dyDescent="0.25">
      <c r="N452" s="23" t="s">
        <v>106</v>
      </c>
      <c r="O452" s="30" t="s">
        <v>1471</v>
      </c>
      <c r="P452" s="30" t="s">
        <v>1492</v>
      </c>
      <c r="Q452" s="84" t="s">
        <v>2463</v>
      </c>
      <c r="S452" t="b">
        <v>0</v>
      </c>
    </row>
    <row r="453" spans="14:19" x14ac:dyDescent="0.25">
      <c r="N453" s="23" t="s">
        <v>106</v>
      </c>
      <c r="O453" s="30" t="s">
        <v>1471</v>
      </c>
      <c r="P453" s="30" t="s">
        <v>1493</v>
      </c>
      <c r="Q453" s="84" t="s">
        <v>2463</v>
      </c>
      <c r="S453" t="b">
        <v>0</v>
      </c>
    </row>
    <row r="454" spans="14:19" x14ac:dyDescent="0.25">
      <c r="N454" s="23" t="s">
        <v>106</v>
      </c>
      <c r="O454" s="30" t="s">
        <v>1471</v>
      </c>
      <c r="P454" s="30" t="s">
        <v>1494</v>
      </c>
      <c r="Q454" s="84" t="s">
        <v>2463</v>
      </c>
      <c r="S454" t="b">
        <v>0</v>
      </c>
    </row>
    <row r="455" spans="14:19" x14ac:dyDescent="0.25">
      <c r="N455" s="23" t="s">
        <v>106</v>
      </c>
      <c r="O455" s="30" t="s">
        <v>1471</v>
      </c>
      <c r="P455" s="30" t="s">
        <v>1495</v>
      </c>
      <c r="Q455" s="84" t="s">
        <v>2463</v>
      </c>
      <c r="S455" t="b">
        <v>0</v>
      </c>
    </row>
    <row r="456" spans="14:19" x14ac:dyDescent="0.25">
      <c r="N456" s="23" t="s">
        <v>106</v>
      </c>
      <c r="O456" s="30" t="s">
        <v>1471</v>
      </c>
      <c r="P456" s="30" t="s">
        <v>1496</v>
      </c>
      <c r="Q456" s="84" t="s">
        <v>2463</v>
      </c>
      <c r="S456" t="b">
        <v>0</v>
      </c>
    </row>
    <row r="457" spans="14:19" x14ac:dyDescent="0.25">
      <c r="N457" s="23" t="s">
        <v>106</v>
      </c>
      <c r="O457" s="30" t="s">
        <v>1471</v>
      </c>
      <c r="P457" s="30" t="s">
        <v>1497</v>
      </c>
      <c r="Q457" s="84" t="s">
        <v>2463</v>
      </c>
      <c r="S457" t="b">
        <v>0</v>
      </c>
    </row>
    <row r="458" spans="14:19" x14ac:dyDescent="0.25">
      <c r="N458" s="23" t="s">
        <v>106</v>
      </c>
      <c r="O458" s="30" t="s">
        <v>1471</v>
      </c>
      <c r="P458" s="30" t="s">
        <v>1498</v>
      </c>
      <c r="Q458" s="84" t="s">
        <v>2463</v>
      </c>
      <c r="S458" t="b">
        <v>0</v>
      </c>
    </row>
    <row r="459" spans="14:19" x14ac:dyDescent="0.25">
      <c r="N459" s="23" t="s">
        <v>106</v>
      </c>
      <c r="O459" s="30" t="s">
        <v>1471</v>
      </c>
      <c r="P459" s="30" t="s">
        <v>1499</v>
      </c>
      <c r="Q459" s="84" t="s">
        <v>2463</v>
      </c>
      <c r="S459" t="b">
        <v>0</v>
      </c>
    </row>
    <row r="460" spans="14:19" x14ac:dyDescent="0.25">
      <c r="N460" s="23" t="s">
        <v>106</v>
      </c>
      <c r="O460" s="30" t="s">
        <v>1471</v>
      </c>
      <c r="P460" s="30" t="s">
        <v>1500</v>
      </c>
      <c r="Q460" s="84" t="s">
        <v>2463</v>
      </c>
      <c r="S460" t="b">
        <v>0</v>
      </c>
    </row>
    <row r="461" spans="14:19" x14ac:dyDescent="0.25">
      <c r="N461" s="23" t="s">
        <v>106</v>
      </c>
      <c r="O461" s="30" t="s">
        <v>1471</v>
      </c>
      <c r="P461" s="30" t="s">
        <v>1501</v>
      </c>
      <c r="Q461" s="84" t="s">
        <v>2463</v>
      </c>
      <c r="S461" t="b">
        <v>0</v>
      </c>
    </row>
    <row r="462" spans="14:19" x14ac:dyDescent="0.25">
      <c r="N462" s="23" t="s">
        <v>106</v>
      </c>
      <c r="O462" s="30" t="s">
        <v>1471</v>
      </c>
      <c r="P462" s="30" t="s">
        <v>1502</v>
      </c>
      <c r="Q462" s="84" t="s">
        <v>2463</v>
      </c>
      <c r="S462" t="b">
        <v>0</v>
      </c>
    </row>
    <row r="463" spans="14:19" x14ac:dyDescent="0.25">
      <c r="N463" s="23" t="s">
        <v>106</v>
      </c>
      <c r="O463" s="30" t="s">
        <v>1471</v>
      </c>
      <c r="P463" s="30" t="s">
        <v>1503</v>
      </c>
      <c r="Q463" s="84" t="s">
        <v>2463</v>
      </c>
      <c r="S463" t="b">
        <v>0</v>
      </c>
    </row>
    <row r="464" spans="14:19" x14ac:dyDescent="0.25">
      <c r="N464" s="23" t="s">
        <v>106</v>
      </c>
      <c r="O464" s="30" t="s">
        <v>1471</v>
      </c>
      <c r="P464" s="30" t="s">
        <v>1504</v>
      </c>
      <c r="Q464" s="84" t="s">
        <v>2463</v>
      </c>
      <c r="S464" t="b">
        <v>0</v>
      </c>
    </row>
    <row r="465" spans="14:19" x14ac:dyDescent="0.25">
      <c r="N465" s="23" t="s">
        <v>106</v>
      </c>
      <c r="O465" s="30" t="s">
        <v>1471</v>
      </c>
      <c r="P465" s="30" t="s">
        <v>1505</v>
      </c>
      <c r="Q465" s="84" t="s">
        <v>2463</v>
      </c>
      <c r="S465" t="b">
        <v>0</v>
      </c>
    </row>
    <row r="466" spans="14:19" x14ac:dyDescent="0.25">
      <c r="N466" s="23" t="s">
        <v>106</v>
      </c>
      <c r="O466" s="30" t="s">
        <v>1471</v>
      </c>
      <c r="P466" s="30" t="s">
        <v>1506</v>
      </c>
      <c r="Q466" s="84" t="s">
        <v>2463</v>
      </c>
      <c r="S466" t="b">
        <v>0</v>
      </c>
    </row>
    <row r="467" spans="14:19" x14ac:dyDescent="0.25">
      <c r="N467" s="23" t="s">
        <v>106</v>
      </c>
      <c r="O467" s="30" t="s">
        <v>1471</v>
      </c>
      <c r="P467" s="30" t="s">
        <v>1507</v>
      </c>
      <c r="Q467" s="84" t="s">
        <v>2463</v>
      </c>
      <c r="S467" t="b">
        <v>0</v>
      </c>
    </row>
    <row r="468" spans="14:19" x14ac:dyDescent="0.25">
      <c r="N468" s="23" t="s">
        <v>106</v>
      </c>
      <c r="O468" s="30" t="s">
        <v>1471</v>
      </c>
      <c r="P468" s="30" t="s">
        <v>1508</v>
      </c>
      <c r="Q468" s="84" t="s">
        <v>2463</v>
      </c>
      <c r="S468" t="b">
        <v>0</v>
      </c>
    </row>
    <row r="469" spans="14:19" x14ac:dyDescent="0.25">
      <c r="N469" s="23" t="s">
        <v>106</v>
      </c>
      <c r="O469" s="30" t="s">
        <v>1471</v>
      </c>
      <c r="P469" s="30" t="s">
        <v>1509</v>
      </c>
      <c r="Q469" s="84" t="s">
        <v>2463</v>
      </c>
      <c r="S469" t="b">
        <v>0</v>
      </c>
    </row>
    <row r="470" spans="14:19" x14ac:dyDescent="0.25">
      <c r="N470" s="23" t="s">
        <v>106</v>
      </c>
      <c r="O470" s="30" t="s">
        <v>1471</v>
      </c>
      <c r="P470" s="30" t="s">
        <v>1510</v>
      </c>
      <c r="Q470" s="84" t="s">
        <v>2463</v>
      </c>
      <c r="S470" t="b">
        <v>0</v>
      </c>
    </row>
    <row r="471" spans="14:19" x14ac:dyDescent="0.25">
      <c r="N471" s="23" t="s">
        <v>106</v>
      </c>
      <c r="O471" s="30" t="s">
        <v>1471</v>
      </c>
      <c r="P471" s="30" t="s">
        <v>1511</v>
      </c>
      <c r="Q471" s="84" t="s">
        <v>2463</v>
      </c>
      <c r="S471" t="b">
        <v>0</v>
      </c>
    </row>
    <row r="472" spans="14:19" x14ac:dyDescent="0.25">
      <c r="N472" s="23" t="s">
        <v>106</v>
      </c>
      <c r="O472" s="30" t="s">
        <v>1471</v>
      </c>
      <c r="P472" s="30" t="s">
        <v>1512</v>
      </c>
      <c r="Q472" s="84" t="s">
        <v>2463</v>
      </c>
      <c r="S472" t="b">
        <v>0</v>
      </c>
    </row>
    <row r="473" spans="14:19" x14ac:dyDescent="0.25">
      <c r="N473" s="23" t="s">
        <v>106</v>
      </c>
      <c r="O473" s="30" t="s">
        <v>1471</v>
      </c>
      <c r="P473" s="30" t="s">
        <v>1513</v>
      </c>
      <c r="Q473" s="84" t="s">
        <v>2463</v>
      </c>
      <c r="S473" t="b">
        <v>0</v>
      </c>
    </row>
    <row r="474" spans="14:19" x14ac:dyDescent="0.25">
      <c r="N474" s="23" t="s">
        <v>106</v>
      </c>
      <c r="O474" s="30" t="s">
        <v>1471</v>
      </c>
      <c r="P474" s="30" t="s">
        <v>1514</v>
      </c>
      <c r="Q474" s="84" t="s">
        <v>2463</v>
      </c>
      <c r="S474" t="b">
        <v>0</v>
      </c>
    </row>
    <row r="475" spans="14:19" x14ac:dyDescent="0.25">
      <c r="N475" s="23" t="s">
        <v>106</v>
      </c>
      <c r="O475" s="30" t="s">
        <v>1471</v>
      </c>
      <c r="P475" s="30" t="s">
        <v>1515</v>
      </c>
      <c r="Q475" s="84" t="s">
        <v>2463</v>
      </c>
      <c r="S475" t="b">
        <v>0</v>
      </c>
    </row>
    <row r="476" spans="14:19" x14ac:dyDescent="0.25">
      <c r="N476" s="23" t="s">
        <v>106</v>
      </c>
      <c r="O476" s="30" t="s">
        <v>1471</v>
      </c>
      <c r="P476" s="30" t="s">
        <v>1516</v>
      </c>
      <c r="Q476" s="84" t="s">
        <v>2463</v>
      </c>
      <c r="S476" t="b">
        <v>0</v>
      </c>
    </row>
    <row r="477" spans="14:19" x14ac:dyDescent="0.25">
      <c r="N477" s="23" t="s">
        <v>106</v>
      </c>
      <c r="O477" s="30" t="s">
        <v>1471</v>
      </c>
      <c r="P477" s="30" t="s">
        <v>1517</v>
      </c>
      <c r="Q477" s="84" t="s">
        <v>2463</v>
      </c>
      <c r="S477" t="b">
        <v>0</v>
      </c>
    </row>
    <row r="478" spans="14:19" x14ac:dyDescent="0.25">
      <c r="N478" s="23" t="s">
        <v>106</v>
      </c>
      <c r="O478" s="30" t="s">
        <v>1471</v>
      </c>
      <c r="P478" s="30" t="s">
        <v>1518</v>
      </c>
      <c r="Q478" s="84" t="s">
        <v>2463</v>
      </c>
      <c r="S478" t="b">
        <v>0</v>
      </c>
    </row>
    <row r="479" spans="14:19" x14ac:dyDescent="0.25">
      <c r="N479" s="23" t="s">
        <v>106</v>
      </c>
      <c r="O479" s="30" t="s">
        <v>1471</v>
      </c>
      <c r="P479" s="30" t="s">
        <v>1519</v>
      </c>
      <c r="Q479" s="84" t="s">
        <v>2463</v>
      </c>
      <c r="S479" t="b">
        <v>0</v>
      </c>
    </row>
    <row r="480" spans="14:19" x14ac:dyDescent="0.25">
      <c r="N480" s="23" t="s">
        <v>106</v>
      </c>
      <c r="O480" s="30" t="s">
        <v>1471</v>
      </c>
      <c r="P480" s="30" t="s">
        <v>1520</v>
      </c>
      <c r="Q480" s="84" t="s">
        <v>2463</v>
      </c>
      <c r="S480" t="b">
        <v>0</v>
      </c>
    </row>
    <row r="481" spans="14:19" x14ac:dyDescent="0.25">
      <c r="N481" s="23" t="s">
        <v>106</v>
      </c>
      <c r="O481" s="30" t="s">
        <v>1471</v>
      </c>
      <c r="P481" s="30" t="s">
        <v>1521</v>
      </c>
      <c r="Q481" s="84" t="s">
        <v>2463</v>
      </c>
      <c r="S481" t="b">
        <v>0</v>
      </c>
    </row>
    <row r="482" spans="14:19" x14ac:dyDescent="0.25">
      <c r="N482" s="23" t="s">
        <v>106</v>
      </c>
      <c r="O482" s="30" t="s">
        <v>1471</v>
      </c>
      <c r="P482" s="30" t="s">
        <v>1522</v>
      </c>
      <c r="Q482" s="84" t="s">
        <v>2463</v>
      </c>
      <c r="S482" t="b">
        <v>0</v>
      </c>
    </row>
    <row r="483" spans="14:19" x14ac:dyDescent="0.25">
      <c r="N483" s="23" t="s">
        <v>106</v>
      </c>
      <c r="O483" s="30" t="s">
        <v>1471</v>
      </c>
      <c r="P483" s="30" t="s">
        <v>1523</v>
      </c>
      <c r="Q483" s="84" t="s">
        <v>2463</v>
      </c>
      <c r="S483" t="b">
        <v>0</v>
      </c>
    </row>
    <row r="484" spans="14:19" x14ac:dyDescent="0.25">
      <c r="N484" s="23" t="s">
        <v>106</v>
      </c>
      <c r="O484" s="30" t="s">
        <v>1471</v>
      </c>
      <c r="P484" s="30" t="s">
        <v>1524</v>
      </c>
      <c r="Q484" s="84" t="s">
        <v>2463</v>
      </c>
      <c r="S484" t="b">
        <v>0</v>
      </c>
    </row>
    <row r="485" spans="14:19" x14ac:dyDescent="0.25">
      <c r="N485" s="23" t="s">
        <v>106</v>
      </c>
      <c r="O485" s="30" t="s">
        <v>1471</v>
      </c>
      <c r="P485" s="30" t="s">
        <v>1525</v>
      </c>
      <c r="Q485" s="84" t="s">
        <v>2463</v>
      </c>
      <c r="S485" t="b">
        <v>0</v>
      </c>
    </row>
    <row r="486" spans="14:19" x14ac:dyDescent="0.25">
      <c r="N486" s="23" t="s">
        <v>106</v>
      </c>
      <c r="O486" s="30" t="s">
        <v>1471</v>
      </c>
      <c r="P486" s="30" t="s">
        <v>1526</v>
      </c>
      <c r="Q486" s="84" t="s">
        <v>2463</v>
      </c>
      <c r="S486" t="b">
        <v>0</v>
      </c>
    </row>
    <row r="487" spans="14:19" x14ac:dyDescent="0.25">
      <c r="N487" s="23" t="s">
        <v>106</v>
      </c>
      <c r="O487" s="30" t="s">
        <v>1471</v>
      </c>
      <c r="P487" s="30" t="s">
        <v>1527</v>
      </c>
      <c r="Q487" s="84" t="s">
        <v>2463</v>
      </c>
      <c r="S487" t="b">
        <v>0</v>
      </c>
    </row>
    <row r="488" spans="14:19" x14ac:dyDescent="0.25">
      <c r="N488" s="23" t="s">
        <v>106</v>
      </c>
      <c r="O488" s="30" t="s">
        <v>1471</v>
      </c>
      <c r="P488" s="30" t="s">
        <v>1528</v>
      </c>
      <c r="Q488" s="84" t="s">
        <v>2463</v>
      </c>
      <c r="S488" t="b">
        <v>0</v>
      </c>
    </row>
    <row r="489" spans="14:19" x14ac:dyDescent="0.25">
      <c r="N489" s="23" t="s">
        <v>106</v>
      </c>
      <c r="O489" s="30" t="s">
        <v>1471</v>
      </c>
      <c r="P489" s="30" t="s">
        <v>1529</v>
      </c>
      <c r="Q489" s="84" t="s">
        <v>2463</v>
      </c>
      <c r="S489" t="b">
        <v>0</v>
      </c>
    </row>
    <row r="490" spans="14:19" x14ac:dyDescent="0.25">
      <c r="N490" s="23" t="s">
        <v>106</v>
      </c>
      <c r="O490" s="30" t="s">
        <v>1471</v>
      </c>
      <c r="P490" s="30" t="s">
        <v>1530</v>
      </c>
      <c r="Q490" s="84" t="s">
        <v>2463</v>
      </c>
      <c r="S490" t="b">
        <v>0</v>
      </c>
    </row>
    <row r="491" spans="14:19" x14ac:dyDescent="0.25">
      <c r="N491" s="23" t="s">
        <v>106</v>
      </c>
      <c r="O491" s="30" t="s">
        <v>1471</v>
      </c>
      <c r="P491" s="30" t="s">
        <v>1531</v>
      </c>
      <c r="Q491" s="84" t="s">
        <v>2463</v>
      </c>
      <c r="S491" t="b">
        <v>0</v>
      </c>
    </row>
    <row r="492" spans="14:19" x14ac:dyDescent="0.25">
      <c r="N492" s="23" t="s">
        <v>106</v>
      </c>
      <c r="O492" s="30" t="s">
        <v>1471</v>
      </c>
      <c r="P492" s="30" t="s">
        <v>1532</v>
      </c>
      <c r="Q492" s="84" t="s">
        <v>2463</v>
      </c>
      <c r="S492" t="b">
        <v>0</v>
      </c>
    </row>
    <row r="493" spans="14:19" x14ac:dyDescent="0.25">
      <c r="N493" s="23" t="s">
        <v>106</v>
      </c>
      <c r="O493" s="30" t="s">
        <v>1471</v>
      </c>
      <c r="P493" s="30" t="s">
        <v>1533</v>
      </c>
      <c r="Q493" s="84" t="s">
        <v>2463</v>
      </c>
      <c r="S493" t="b">
        <v>0</v>
      </c>
    </row>
    <row r="494" spans="14:19" x14ac:dyDescent="0.25">
      <c r="N494" s="23" t="s">
        <v>106</v>
      </c>
      <c r="O494" s="30" t="s">
        <v>1471</v>
      </c>
      <c r="P494" s="30" t="s">
        <v>1534</v>
      </c>
      <c r="Q494" s="84" t="s">
        <v>2463</v>
      </c>
      <c r="S494" t="b">
        <v>0</v>
      </c>
    </row>
    <row r="495" spans="14:19" x14ac:dyDescent="0.25">
      <c r="N495" s="23" t="s">
        <v>106</v>
      </c>
      <c r="O495" s="30" t="s">
        <v>1471</v>
      </c>
      <c r="P495" s="30" t="s">
        <v>1535</v>
      </c>
      <c r="Q495" s="84" t="s">
        <v>2463</v>
      </c>
      <c r="S495" t="b">
        <v>0</v>
      </c>
    </row>
    <row r="496" spans="14:19" x14ac:dyDescent="0.25">
      <c r="N496" s="23" t="s">
        <v>106</v>
      </c>
      <c r="O496" s="30" t="s">
        <v>1471</v>
      </c>
      <c r="P496" s="30" t="s">
        <v>1536</v>
      </c>
      <c r="Q496" s="84" t="s">
        <v>2463</v>
      </c>
      <c r="S496" t="b">
        <v>0</v>
      </c>
    </row>
    <row r="497" spans="14:19" x14ac:dyDescent="0.25">
      <c r="N497" s="23" t="s">
        <v>106</v>
      </c>
      <c r="O497" s="30" t="s">
        <v>1471</v>
      </c>
      <c r="P497" s="30" t="s">
        <v>1537</v>
      </c>
      <c r="Q497" s="84" t="s">
        <v>2463</v>
      </c>
      <c r="S497" t="b">
        <v>0</v>
      </c>
    </row>
    <row r="498" spans="14:19" x14ac:dyDescent="0.25">
      <c r="N498" s="23" t="s">
        <v>106</v>
      </c>
      <c r="O498" s="30" t="s">
        <v>1471</v>
      </c>
      <c r="P498" s="30" t="s">
        <v>1538</v>
      </c>
      <c r="Q498" s="84" t="s">
        <v>2463</v>
      </c>
      <c r="S498" t="b">
        <v>0</v>
      </c>
    </row>
    <row r="499" spans="14:19" x14ac:dyDescent="0.25">
      <c r="N499" s="23" t="s">
        <v>106</v>
      </c>
      <c r="O499" s="30" t="s">
        <v>1471</v>
      </c>
      <c r="P499" s="30" t="s">
        <v>1539</v>
      </c>
      <c r="Q499" s="84" t="s">
        <v>2463</v>
      </c>
      <c r="S499" t="b">
        <v>0</v>
      </c>
    </row>
    <row r="500" spans="14:19" x14ac:dyDescent="0.25">
      <c r="N500" s="23" t="s">
        <v>106</v>
      </c>
      <c r="O500" s="30" t="s">
        <v>1471</v>
      </c>
      <c r="P500" s="30" t="s">
        <v>1540</v>
      </c>
      <c r="Q500" s="84" t="s">
        <v>2463</v>
      </c>
      <c r="S500" t="b">
        <v>0</v>
      </c>
    </row>
    <row r="501" spans="14:19" x14ac:dyDescent="0.25">
      <c r="N501" s="23" t="s">
        <v>106</v>
      </c>
      <c r="O501" s="30" t="s">
        <v>1471</v>
      </c>
      <c r="P501" s="30" t="s">
        <v>1541</v>
      </c>
      <c r="Q501" s="84" t="s">
        <v>2463</v>
      </c>
      <c r="S501" t="b">
        <v>0</v>
      </c>
    </row>
    <row r="502" spans="14:19" x14ac:dyDescent="0.25">
      <c r="N502" s="23" t="s">
        <v>106</v>
      </c>
      <c r="O502" s="30" t="s">
        <v>1471</v>
      </c>
      <c r="P502" s="30" t="s">
        <v>1542</v>
      </c>
      <c r="Q502" s="84" t="s">
        <v>2463</v>
      </c>
      <c r="S502" t="b">
        <v>0</v>
      </c>
    </row>
    <row r="503" spans="14:19" x14ac:dyDescent="0.25">
      <c r="N503" s="23" t="s">
        <v>106</v>
      </c>
      <c r="O503" s="30" t="s">
        <v>1471</v>
      </c>
      <c r="P503" s="30" t="s">
        <v>1543</v>
      </c>
      <c r="Q503" s="84" t="s">
        <v>2463</v>
      </c>
      <c r="S503" t="b">
        <v>0</v>
      </c>
    </row>
    <row r="504" spans="14:19" x14ac:dyDescent="0.25">
      <c r="N504" s="23" t="s">
        <v>106</v>
      </c>
      <c r="O504" s="30" t="s">
        <v>1471</v>
      </c>
      <c r="P504" s="30" t="s">
        <v>1544</v>
      </c>
      <c r="Q504" s="84" t="s">
        <v>2463</v>
      </c>
      <c r="S504" t="b">
        <v>0</v>
      </c>
    </row>
    <row r="505" spans="14:19" x14ac:dyDescent="0.25">
      <c r="N505" s="23" t="s">
        <v>106</v>
      </c>
      <c r="O505" s="30" t="s">
        <v>1471</v>
      </c>
      <c r="P505" s="30" t="s">
        <v>1545</v>
      </c>
      <c r="Q505" s="84" t="s">
        <v>2463</v>
      </c>
      <c r="S505" t="b">
        <v>0</v>
      </c>
    </row>
    <row r="506" spans="14:19" x14ac:dyDescent="0.25">
      <c r="N506" s="23" t="s">
        <v>106</v>
      </c>
      <c r="O506" s="30" t="s">
        <v>1471</v>
      </c>
      <c r="P506" s="30" t="s">
        <v>1546</v>
      </c>
      <c r="Q506" s="84" t="s">
        <v>2463</v>
      </c>
      <c r="S506" t="b">
        <v>0</v>
      </c>
    </row>
    <row r="507" spans="14:19" x14ac:dyDescent="0.25">
      <c r="N507" s="23" t="s">
        <v>106</v>
      </c>
      <c r="O507" s="30" t="s">
        <v>1471</v>
      </c>
      <c r="P507" s="30" t="s">
        <v>1547</v>
      </c>
      <c r="Q507" s="84" t="s">
        <v>2463</v>
      </c>
      <c r="S507" t="b">
        <v>0</v>
      </c>
    </row>
    <row r="508" spans="14:19" x14ac:dyDescent="0.25">
      <c r="N508" s="23" t="s">
        <v>106</v>
      </c>
      <c r="O508" s="30" t="s">
        <v>1471</v>
      </c>
      <c r="P508" s="30" t="s">
        <v>1548</v>
      </c>
      <c r="Q508" s="84" t="s">
        <v>2463</v>
      </c>
      <c r="S508" t="b">
        <v>0</v>
      </c>
    </row>
    <row r="509" spans="14:19" x14ac:dyDescent="0.25">
      <c r="N509" s="23" t="s">
        <v>106</v>
      </c>
      <c r="O509" s="30" t="s">
        <v>1471</v>
      </c>
      <c r="P509" s="30" t="s">
        <v>1549</v>
      </c>
      <c r="Q509" s="84" t="s">
        <v>2463</v>
      </c>
      <c r="S509" t="b">
        <v>0</v>
      </c>
    </row>
    <row r="510" spans="14:19" x14ac:dyDescent="0.25">
      <c r="N510" s="23" t="s">
        <v>106</v>
      </c>
      <c r="O510" s="30" t="s">
        <v>1471</v>
      </c>
      <c r="P510" s="30" t="s">
        <v>1550</v>
      </c>
      <c r="Q510" s="84" t="s">
        <v>2463</v>
      </c>
      <c r="S510" t="b">
        <v>0</v>
      </c>
    </row>
    <row r="511" spans="14:19" x14ac:dyDescent="0.25">
      <c r="N511" s="23" t="s">
        <v>106</v>
      </c>
      <c r="O511" s="30" t="s">
        <v>1471</v>
      </c>
      <c r="P511" s="30" t="s">
        <v>1551</v>
      </c>
      <c r="Q511" s="84" t="s">
        <v>2463</v>
      </c>
      <c r="S511" t="b">
        <v>0</v>
      </c>
    </row>
    <row r="512" spans="14:19" x14ac:dyDescent="0.25">
      <c r="N512" s="23" t="s">
        <v>106</v>
      </c>
      <c r="O512" s="30" t="s">
        <v>1471</v>
      </c>
      <c r="P512" s="30" t="s">
        <v>1552</v>
      </c>
      <c r="Q512" s="84" t="s">
        <v>2463</v>
      </c>
      <c r="S512" t="b">
        <v>0</v>
      </c>
    </row>
    <row r="513" spans="14:19" x14ac:dyDescent="0.25">
      <c r="N513" s="23" t="s">
        <v>106</v>
      </c>
      <c r="O513" s="30" t="s">
        <v>1471</v>
      </c>
      <c r="P513" s="30" t="s">
        <v>1553</v>
      </c>
      <c r="Q513" s="84" t="s">
        <v>2463</v>
      </c>
      <c r="S513" t="b">
        <v>0</v>
      </c>
    </row>
    <row r="514" spans="14:19" x14ac:dyDescent="0.25">
      <c r="N514" s="23" t="s">
        <v>106</v>
      </c>
      <c r="O514" s="30" t="s">
        <v>1471</v>
      </c>
      <c r="P514" s="30" t="s">
        <v>1554</v>
      </c>
      <c r="Q514" s="84" t="s">
        <v>2463</v>
      </c>
      <c r="S514" t="b">
        <v>0</v>
      </c>
    </row>
    <row r="515" spans="14:19" x14ac:dyDescent="0.25">
      <c r="N515" s="23" t="s">
        <v>106</v>
      </c>
      <c r="O515" s="30" t="s">
        <v>1471</v>
      </c>
      <c r="P515" s="30" t="s">
        <v>1555</v>
      </c>
      <c r="Q515" s="84" t="s">
        <v>2463</v>
      </c>
      <c r="S515" t="b">
        <v>0</v>
      </c>
    </row>
    <row r="516" spans="14:19" x14ac:dyDescent="0.25">
      <c r="N516" s="23" t="s">
        <v>106</v>
      </c>
      <c r="O516" s="30" t="s">
        <v>1471</v>
      </c>
      <c r="P516" s="30" t="s">
        <v>1556</v>
      </c>
      <c r="Q516" s="84" t="s">
        <v>2463</v>
      </c>
      <c r="S516" t="b">
        <v>0</v>
      </c>
    </row>
    <row r="517" spans="14:19" x14ac:dyDescent="0.25">
      <c r="N517" s="23" t="s">
        <v>106</v>
      </c>
      <c r="O517" s="30" t="s">
        <v>1471</v>
      </c>
      <c r="P517" s="30" t="s">
        <v>1557</v>
      </c>
      <c r="Q517" s="84" t="s">
        <v>2463</v>
      </c>
      <c r="S517" t="b">
        <v>0</v>
      </c>
    </row>
    <row r="518" spans="14:19" x14ac:dyDescent="0.25">
      <c r="N518" s="23" t="s">
        <v>106</v>
      </c>
      <c r="O518" s="30" t="s">
        <v>1471</v>
      </c>
      <c r="P518" s="30" t="s">
        <v>1558</v>
      </c>
      <c r="Q518" s="84" t="s">
        <v>2463</v>
      </c>
      <c r="S518" t="b">
        <v>0</v>
      </c>
    </row>
    <row r="519" spans="14:19" x14ac:dyDescent="0.25">
      <c r="N519" s="23" t="s">
        <v>106</v>
      </c>
      <c r="O519" s="30" t="s">
        <v>1471</v>
      </c>
      <c r="P519" s="30" t="s">
        <v>1559</v>
      </c>
      <c r="Q519" s="84" t="s">
        <v>2463</v>
      </c>
      <c r="S519" t="b">
        <v>0</v>
      </c>
    </row>
    <row r="520" spans="14:19" x14ac:dyDescent="0.25">
      <c r="N520" s="23" t="s">
        <v>106</v>
      </c>
      <c r="O520" s="30" t="s">
        <v>1471</v>
      </c>
      <c r="P520" s="30" t="s">
        <v>1560</v>
      </c>
      <c r="Q520" s="84" t="s">
        <v>2463</v>
      </c>
      <c r="S520" t="b">
        <v>0</v>
      </c>
    </row>
    <row r="521" spans="14:19" x14ac:dyDescent="0.25">
      <c r="N521" s="23" t="s">
        <v>106</v>
      </c>
      <c r="O521" s="30" t="s">
        <v>1471</v>
      </c>
      <c r="P521" s="30" t="s">
        <v>1561</v>
      </c>
      <c r="Q521" s="84" t="s">
        <v>2463</v>
      </c>
      <c r="S521" t="b">
        <v>0</v>
      </c>
    </row>
    <row r="522" spans="14:19" x14ac:dyDescent="0.25">
      <c r="N522" s="23" t="s">
        <v>106</v>
      </c>
      <c r="O522" s="30" t="s">
        <v>1471</v>
      </c>
      <c r="P522" s="30" t="s">
        <v>1562</v>
      </c>
      <c r="Q522" s="84" t="s">
        <v>2463</v>
      </c>
      <c r="S522" t="b">
        <v>0</v>
      </c>
    </row>
    <row r="523" spans="14:19" x14ac:dyDescent="0.25">
      <c r="N523" s="23" t="s">
        <v>106</v>
      </c>
      <c r="O523" s="30" t="s">
        <v>1471</v>
      </c>
      <c r="P523" s="30" t="s">
        <v>1563</v>
      </c>
      <c r="Q523" s="84" t="s">
        <v>2463</v>
      </c>
      <c r="S523" t="b">
        <v>0</v>
      </c>
    </row>
    <row r="524" spans="14:19" x14ac:dyDescent="0.25">
      <c r="N524" s="23" t="s">
        <v>106</v>
      </c>
      <c r="O524" s="30" t="s">
        <v>1471</v>
      </c>
      <c r="P524" s="30" t="s">
        <v>1564</v>
      </c>
      <c r="Q524" s="84" t="s">
        <v>2463</v>
      </c>
      <c r="S524" t="b">
        <v>0</v>
      </c>
    </row>
    <row r="525" spans="14:19" x14ac:dyDescent="0.25">
      <c r="N525" s="23" t="s">
        <v>106</v>
      </c>
      <c r="O525" s="30" t="s">
        <v>1471</v>
      </c>
      <c r="P525" s="30" t="s">
        <v>1565</v>
      </c>
      <c r="Q525" s="84" t="s">
        <v>2463</v>
      </c>
      <c r="S525" t="b">
        <v>0</v>
      </c>
    </row>
    <row r="526" spans="14:19" x14ac:dyDescent="0.25">
      <c r="N526" s="23" t="s">
        <v>106</v>
      </c>
      <c r="O526" s="30" t="s">
        <v>1471</v>
      </c>
      <c r="P526" s="30" t="s">
        <v>1566</v>
      </c>
      <c r="Q526" s="84" t="s">
        <v>2463</v>
      </c>
      <c r="S526" t="b">
        <v>0</v>
      </c>
    </row>
    <row r="527" spans="14:19" x14ac:dyDescent="0.25">
      <c r="N527" s="23" t="s">
        <v>106</v>
      </c>
      <c r="O527" s="30" t="s">
        <v>1471</v>
      </c>
      <c r="P527" s="30" t="s">
        <v>1567</v>
      </c>
      <c r="Q527" s="84" t="s">
        <v>2463</v>
      </c>
      <c r="S527" t="b">
        <v>0</v>
      </c>
    </row>
    <row r="528" spans="14:19" x14ac:dyDescent="0.25">
      <c r="N528" s="23" t="s">
        <v>106</v>
      </c>
      <c r="O528" s="30" t="s">
        <v>1471</v>
      </c>
      <c r="P528" s="30" t="s">
        <v>1568</v>
      </c>
      <c r="Q528" s="84" t="s">
        <v>2463</v>
      </c>
      <c r="S528" t="b">
        <v>0</v>
      </c>
    </row>
    <row r="529" spans="14:19" x14ac:dyDescent="0.25">
      <c r="N529" s="23" t="s">
        <v>106</v>
      </c>
      <c r="O529" s="30" t="s">
        <v>1471</v>
      </c>
      <c r="P529" s="30" t="s">
        <v>1569</v>
      </c>
      <c r="Q529" s="84" t="s">
        <v>2463</v>
      </c>
      <c r="S529" t="b">
        <v>0</v>
      </c>
    </row>
    <row r="530" spans="14:19" x14ac:dyDescent="0.25">
      <c r="N530" s="23" t="s">
        <v>106</v>
      </c>
      <c r="O530" s="30" t="s">
        <v>1471</v>
      </c>
      <c r="P530" s="30" t="s">
        <v>1570</v>
      </c>
      <c r="Q530" s="84" t="s">
        <v>2463</v>
      </c>
      <c r="S530" t="b">
        <v>0</v>
      </c>
    </row>
    <row r="531" spans="14:19" x14ac:dyDescent="0.25">
      <c r="N531" s="23" t="s">
        <v>106</v>
      </c>
      <c r="O531" s="30" t="s">
        <v>1471</v>
      </c>
      <c r="P531" s="30" t="s">
        <v>1571</v>
      </c>
      <c r="Q531" s="84" t="s">
        <v>2463</v>
      </c>
      <c r="S531" t="b">
        <v>0</v>
      </c>
    </row>
    <row r="532" spans="14:19" x14ac:dyDescent="0.25">
      <c r="N532" s="23" t="s">
        <v>106</v>
      </c>
      <c r="O532" s="30" t="s">
        <v>1471</v>
      </c>
      <c r="P532" s="30" t="s">
        <v>1572</v>
      </c>
      <c r="Q532" s="84" t="s">
        <v>2463</v>
      </c>
      <c r="S532" t="b">
        <v>0</v>
      </c>
    </row>
    <row r="533" spans="14:19" x14ac:dyDescent="0.25">
      <c r="N533" s="23" t="s">
        <v>106</v>
      </c>
      <c r="O533" s="30" t="s">
        <v>1471</v>
      </c>
      <c r="P533" s="30" t="s">
        <v>1573</v>
      </c>
      <c r="Q533" s="84" t="s">
        <v>2463</v>
      </c>
      <c r="S533" t="b">
        <v>0</v>
      </c>
    </row>
    <row r="534" spans="14:19" x14ac:dyDescent="0.25">
      <c r="N534" s="23" t="s">
        <v>106</v>
      </c>
      <c r="O534" s="30" t="s">
        <v>1471</v>
      </c>
      <c r="P534" s="30" t="s">
        <v>1574</v>
      </c>
      <c r="Q534" s="84" t="s">
        <v>2463</v>
      </c>
      <c r="S534" t="b">
        <v>0</v>
      </c>
    </row>
    <row r="535" spans="14:19" x14ac:dyDescent="0.25">
      <c r="N535" s="23" t="s">
        <v>106</v>
      </c>
      <c r="O535" s="30" t="s">
        <v>1471</v>
      </c>
      <c r="P535" s="30" t="s">
        <v>1575</v>
      </c>
      <c r="Q535" s="84" t="s">
        <v>2463</v>
      </c>
      <c r="S535" t="b">
        <v>0</v>
      </c>
    </row>
    <row r="536" spans="14:19" x14ac:dyDescent="0.25">
      <c r="N536" s="23" t="s">
        <v>106</v>
      </c>
      <c r="O536" s="30" t="s">
        <v>1471</v>
      </c>
      <c r="P536" s="30" t="s">
        <v>1576</v>
      </c>
      <c r="Q536" s="84" t="s">
        <v>2463</v>
      </c>
      <c r="S536" t="b">
        <v>0</v>
      </c>
    </row>
    <row r="537" spans="14:19" x14ac:dyDescent="0.25">
      <c r="N537" s="23" t="s">
        <v>106</v>
      </c>
      <c r="O537" s="30" t="s">
        <v>1471</v>
      </c>
      <c r="P537" s="30" t="s">
        <v>1577</v>
      </c>
      <c r="Q537" s="84" t="s">
        <v>2463</v>
      </c>
      <c r="S537" t="b">
        <v>0</v>
      </c>
    </row>
    <row r="538" spans="14:19" x14ac:dyDescent="0.25">
      <c r="N538" s="23" t="s">
        <v>106</v>
      </c>
      <c r="O538" s="30" t="s">
        <v>1471</v>
      </c>
      <c r="P538" s="30" t="s">
        <v>1578</v>
      </c>
      <c r="Q538" s="84" t="s">
        <v>2463</v>
      </c>
      <c r="S538" t="b">
        <v>0</v>
      </c>
    </row>
    <row r="539" spans="14:19" x14ac:dyDescent="0.25">
      <c r="N539" s="23" t="s">
        <v>106</v>
      </c>
      <c r="O539" s="30" t="s">
        <v>1471</v>
      </c>
      <c r="P539" s="30" t="s">
        <v>1579</v>
      </c>
      <c r="Q539" s="84" t="s">
        <v>2463</v>
      </c>
      <c r="S539" t="b">
        <v>0</v>
      </c>
    </row>
    <row r="540" spans="14:19" x14ac:dyDescent="0.25">
      <c r="N540" s="23" t="s">
        <v>106</v>
      </c>
      <c r="O540" s="30" t="s">
        <v>1471</v>
      </c>
      <c r="P540" s="30" t="s">
        <v>1580</v>
      </c>
      <c r="Q540" s="84" t="s">
        <v>2463</v>
      </c>
      <c r="S540" t="b">
        <v>0</v>
      </c>
    </row>
    <row r="541" spans="14:19" x14ac:dyDescent="0.25">
      <c r="N541" s="23" t="s">
        <v>106</v>
      </c>
      <c r="O541" s="30" t="s">
        <v>1471</v>
      </c>
      <c r="P541" s="30" t="s">
        <v>1581</v>
      </c>
      <c r="Q541" s="84" t="s">
        <v>2463</v>
      </c>
      <c r="S541" t="b">
        <v>0</v>
      </c>
    </row>
    <row r="542" spans="14:19" x14ac:dyDescent="0.25">
      <c r="N542" s="23" t="s">
        <v>106</v>
      </c>
      <c r="O542" s="30" t="s">
        <v>1471</v>
      </c>
      <c r="P542" s="30" t="s">
        <v>1582</v>
      </c>
      <c r="Q542" s="84" t="s">
        <v>2463</v>
      </c>
      <c r="S542" t="b">
        <v>0</v>
      </c>
    </row>
    <row r="543" spans="14:19" x14ac:dyDescent="0.25">
      <c r="N543" s="23" t="s">
        <v>106</v>
      </c>
      <c r="O543" s="30" t="s">
        <v>1471</v>
      </c>
      <c r="P543" s="30" t="s">
        <v>1583</v>
      </c>
      <c r="Q543" s="84" t="s">
        <v>2463</v>
      </c>
      <c r="S543" t="b">
        <v>0</v>
      </c>
    </row>
    <row r="544" spans="14:19" x14ac:dyDescent="0.25">
      <c r="N544" s="23" t="s">
        <v>106</v>
      </c>
      <c r="O544" s="30" t="s">
        <v>1471</v>
      </c>
      <c r="P544" s="30" t="s">
        <v>1584</v>
      </c>
      <c r="Q544" s="84" t="s">
        <v>2463</v>
      </c>
      <c r="S544" t="b">
        <v>0</v>
      </c>
    </row>
    <row r="545" spans="14:19" x14ac:dyDescent="0.25">
      <c r="N545" s="23" t="s">
        <v>106</v>
      </c>
      <c r="O545" s="30" t="s">
        <v>1471</v>
      </c>
      <c r="P545" s="30" t="s">
        <v>1585</v>
      </c>
      <c r="Q545" s="84" t="s">
        <v>2463</v>
      </c>
      <c r="S545" t="b">
        <v>0</v>
      </c>
    </row>
    <row r="546" spans="14:19" x14ac:dyDescent="0.25">
      <c r="N546" s="23" t="s">
        <v>106</v>
      </c>
      <c r="O546" s="30" t="s">
        <v>1471</v>
      </c>
      <c r="P546" s="30" t="s">
        <v>1586</v>
      </c>
      <c r="Q546" s="84" t="s">
        <v>2463</v>
      </c>
      <c r="S546" t="b">
        <v>0</v>
      </c>
    </row>
    <row r="547" spans="14:19" x14ac:dyDescent="0.25">
      <c r="N547" s="23" t="s">
        <v>106</v>
      </c>
      <c r="O547" s="30" t="s">
        <v>1471</v>
      </c>
      <c r="P547" s="30" t="s">
        <v>1587</v>
      </c>
      <c r="Q547" s="84" t="s">
        <v>2463</v>
      </c>
      <c r="S547" t="b">
        <v>0</v>
      </c>
    </row>
    <row r="548" spans="14:19" x14ac:dyDescent="0.25">
      <c r="N548" s="23" t="s">
        <v>106</v>
      </c>
      <c r="O548" s="30" t="s">
        <v>1471</v>
      </c>
      <c r="P548" s="30" t="s">
        <v>1588</v>
      </c>
      <c r="Q548" s="84" t="s">
        <v>2463</v>
      </c>
      <c r="S548" t="b">
        <v>0</v>
      </c>
    </row>
    <row r="549" spans="14:19" x14ac:dyDescent="0.25">
      <c r="N549" s="23" t="s">
        <v>106</v>
      </c>
      <c r="O549" s="30" t="s">
        <v>1471</v>
      </c>
      <c r="P549" s="30" t="s">
        <v>1589</v>
      </c>
      <c r="Q549" s="84" t="s">
        <v>2463</v>
      </c>
      <c r="S549" t="b">
        <v>0</v>
      </c>
    </row>
    <row r="550" spans="14:19" x14ac:dyDescent="0.25">
      <c r="N550" s="23" t="s">
        <v>106</v>
      </c>
      <c r="O550" s="30" t="s">
        <v>1471</v>
      </c>
      <c r="P550" s="30" t="s">
        <v>1590</v>
      </c>
      <c r="Q550" s="84" t="s">
        <v>2463</v>
      </c>
      <c r="S550" t="b">
        <v>0</v>
      </c>
    </row>
    <row r="551" spans="14:19" x14ac:dyDescent="0.25">
      <c r="N551" s="23" t="s">
        <v>106</v>
      </c>
      <c r="O551" s="30" t="s">
        <v>1471</v>
      </c>
      <c r="P551" s="30" t="s">
        <v>1591</v>
      </c>
      <c r="Q551" s="84" t="s">
        <v>2463</v>
      </c>
      <c r="S551" t="b">
        <v>0</v>
      </c>
    </row>
    <row r="552" spans="14:19" x14ac:dyDescent="0.25">
      <c r="N552" s="23" t="s">
        <v>106</v>
      </c>
      <c r="O552" s="30" t="s">
        <v>1471</v>
      </c>
      <c r="P552" s="30" t="s">
        <v>1592</v>
      </c>
      <c r="Q552" s="84" t="s">
        <v>2463</v>
      </c>
      <c r="S552" t="b">
        <v>0</v>
      </c>
    </row>
    <row r="553" spans="14:19" x14ac:dyDescent="0.25">
      <c r="N553" s="23" t="s">
        <v>106</v>
      </c>
      <c r="O553" s="30" t="s">
        <v>1471</v>
      </c>
      <c r="P553" s="30" t="s">
        <v>1593</v>
      </c>
      <c r="Q553" s="84" t="s">
        <v>2463</v>
      </c>
      <c r="S553" t="b">
        <v>0</v>
      </c>
    </row>
    <row r="554" spans="14:19" x14ac:dyDescent="0.25">
      <c r="N554" s="23" t="s">
        <v>106</v>
      </c>
      <c r="O554" s="30" t="s">
        <v>1471</v>
      </c>
      <c r="P554" s="30" t="s">
        <v>1594</v>
      </c>
      <c r="Q554" s="84" t="s">
        <v>2463</v>
      </c>
      <c r="S554" t="b">
        <v>0</v>
      </c>
    </row>
    <row r="555" spans="14:19" x14ac:dyDescent="0.25">
      <c r="N555" s="23" t="s">
        <v>106</v>
      </c>
      <c r="O555" s="30" t="s">
        <v>1471</v>
      </c>
      <c r="P555" s="30" t="s">
        <v>1595</v>
      </c>
      <c r="Q555" s="84" t="s">
        <v>2463</v>
      </c>
      <c r="S555" t="b">
        <v>0</v>
      </c>
    </row>
    <row r="556" spans="14:19" x14ac:dyDescent="0.25">
      <c r="N556" s="23" t="s">
        <v>106</v>
      </c>
      <c r="O556" s="30" t="s">
        <v>1471</v>
      </c>
      <c r="P556" s="30" t="s">
        <v>1596</v>
      </c>
      <c r="Q556" s="84" t="s">
        <v>2463</v>
      </c>
      <c r="S556" t="b">
        <v>0</v>
      </c>
    </row>
    <row r="557" spans="14:19" x14ac:dyDescent="0.25">
      <c r="N557" s="23" t="s">
        <v>106</v>
      </c>
      <c r="O557" s="30" t="s">
        <v>1471</v>
      </c>
      <c r="P557" s="30" t="s">
        <v>1597</v>
      </c>
      <c r="Q557" s="84" t="s">
        <v>2463</v>
      </c>
      <c r="S557" t="b">
        <v>0</v>
      </c>
    </row>
    <row r="558" spans="14:19" x14ac:dyDescent="0.25">
      <c r="N558" s="23" t="s">
        <v>106</v>
      </c>
      <c r="O558" s="30" t="s">
        <v>1471</v>
      </c>
      <c r="P558" s="30" t="s">
        <v>1598</v>
      </c>
      <c r="Q558" s="84" t="s">
        <v>2463</v>
      </c>
      <c r="S558" t="b">
        <v>0</v>
      </c>
    </row>
    <row r="559" spans="14:19" x14ac:dyDescent="0.25">
      <c r="N559" s="23" t="s">
        <v>106</v>
      </c>
      <c r="O559" s="30" t="s">
        <v>1471</v>
      </c>
      <c r="P559" s="30" t="s">
        <v>1599</v>
      </c>
      <c r="Q559" s="84" t="s">
        <v>2463</v>
      </c>
      <c r="S559" t="b">
        <v>0</v>
      </c>
    </row>
    <row r="560" spans="14:19" x14ac:dyDescent="0.25">
      <c r="N560" s="23" t="s">
        <v>106</v>
      </c>
      <c r="O560" s="30" t="s">
        <v>1471</v>
      </c>
      <c r="P560" s="30" t="s">
        <v>1600</v>
      </c>
      <c r="Q560" s="84" t="s">
        <v>2463</v>
      </c>
      <c r="S560" t="b">
        <v>0</v>
      </c>
    </row>
    <row r="561" spans="14:19" x14ac:dyDescent="0.25">
      <c r="N561" s="23" t="s">
        <v>106</v>
      </c>
      <c r="O561" s="30" t="s">
        <v>1471</v>
      </c>
      <c r="P561" s="30" t="s">
        <v>1601</v>
      </c>
      <c r="Q561" s="84" t="s">
        <v>2463</v>
      </c>
      <c r="S561" t="b">
        <v>0</v>
      </c>
    </row>
    <row r="562" spans="14:19" x14ac:dyDescent="0.25">
      <c r="N562" s="23" t="s">
        <v>106</v>
      </c>
      <c r="O562" s="30" t="s">
        <v>1471</v>
      </c>
      <c r="P562" s="30" t="s">
        <v>1602</v>
      </c>
      <c r="Q562" s="84" t="s">
        <v>2463</v>
      </c>
      <c r="S562" t="b">
        <v>0</v>
      </c>
    </row>
    <row r="563" spans="14:19" x14ac:dyDescent="0.25">
      <c r="N563" s="23" t="s">
        <v>106</v>
      </c>
      <c r="O563" s="30" t="s">
        <v>1471</v>
      </c>
      <c r="P563" s="30" t="s">
        <v>1603</v>
      </c>
      <c r="Q563" s="84" t="s">
        <v>2463</v>
      </c>
      <c r="S563" t="b">
        <v>0</v>
      </c>
    </row>
    <row r="564" spans="14:19" x14ac:dyDescent="0.25">
      <c r="N564" s="23" t="s">
        <v>106</v>
      </c>
      <c r="O564" s="30" t="s">
        <v>1471</v>
      </c>
      <c r="P564" s="30" t="s">
        <v>1604</v>
      </c>
      <c r="Q564" s="84" t="s">
        <v>2463</v>
      </c>
      <c r="S564" t="b">
        <v>0</v>
      </c>
    </row>
    <row r="565" spans="14:19" x14ac:dyDescent="0.25">
      <c r="N565" s="23" t="s">
        <v>106</v>
      </c>
      <c r="O565" s="30" t="s">
        <v>1471</v>
      </c>
      <c r="P565" s="30" t="s">
        <v>1605</v>
      </c>
      <c r="Q565" s="84" t="s">
        <v>2463</v>
      </c>
      <c r="S565" t="b">
        <v>0</v>
      </c>
    </row>
    <row r="566" spans="14:19" x14ac:dyDescent="0.25">
      <c r="N566" s="23" t="s">
        <v>106</v>
      </c>
      <c r="O566" s="30" t="s">
        <v>1471</v>
      </c>
      <c r="P566" s="30" t="s">
        <v>1606</v>
      </c>
      <c r="Q566" s="84" t="s">
        <v>2463</v>
      </c>
      <c r="S566" t="b">
        <v>0</v>
      </c>
    </row>
    <row r="567" spans="14:19" x14ac:dyDescent="0.25">
      <c r="N567" s="23" t="s">
        <v>106</v>
      </c>
      <c r="O567" s="30" t="s">
        <v>1471</v>
      </c>
      <c r="P567" s="30" t="s">
        <v>1607</v>
      </c>
      <c r="Q567" s="84" t="s">
        <v>2463</v>
      </c>
      <c r="S567" t="b">
        <v>0</v>
      </c>
    </row>
    <row r="568" spans="14:19" x14ac:dyDescent="0.25">
      <c r="N568" s="23" t="s">
        <v>106</v>
      </c>
      <c r="O568" s="30" t="s">
        <v>1471</v>
      </c>
      <c r="P568" s="30" t="s">
        <v>1608</v>
      </c>
      <c r="Q568" s="84" t="s">
        <v>2463</v>
      </c>
      <c r="S568" t="b">
        <v>0</v>
      </c>
    </row>
    <row r="569" spans="14:19" x14ac:dyDescent="0.25">
      <c r="N569" s="23" t="s">
        <v>106</v>
      </c>
      <c r="O569" s="30" t="s">
        <v>1471</v>
      </c>
      <c r="P569" s="30" t="s">
        <v>1609</v>
      </c>
      <c r="Q569" s="84" t="s">
        <v>2463</v>
      </c>
      <c r="S569" t="b">
        <v>0</v>
      </c>
    </row>
    <row r="570" spans="14:19" x14ac:dyDescent="0.25">
      <c r="N570" s="23" t="s">
        <v>106</v>
      </c>
      <c r="O570" s="30" t="s">
        <v>1471</v>
      </c>
      <c r="P570" s="30" t="s">
        <v>1610</v>
      </c>
      <c r="Q570" s="84" t="s">
        <v>2463</v>
      </c>
      <c r="S570" t="b">
        <v>0</v>
      </c>
    </row>
    <row r="571" spans="14:19" x14ac:dyDescent="0.25">
      <c r="N571" s="23" t="s">
        <v>106</v>
      </c>
      <c r="O571" s="30" t="s">
        <v>1471</v>
      </c>
      <c r="P571" s="30" t="s">
        <v>1611</v>
      </c>
      <c r="Q571" s="84" t="s">
        <v>2463</v>
      </c>
      <c r="S571" t="b">
        <v>0</v>
      </c>
    </row>
    <row r="572" spans="14:19" x14ac:dyDescent="0.25">
      <c r="N572" s="23" t="s">
        <v>106</v>
      </c>
      <c r="O572" s="30" t="s">
        <v>1471</v>
      </c>
      <c r="P572" s="30" t="s">
        <v>1612</v>
      </c>
      <c r="Q572" s="84" t="s">
        <v>2463</v>
      </c>
      <c r="S572" t="b">
        <v>0</v>
      </c>
    </row>
    <row r="573" spans="14:19" x14ac:dyDescent="0.25">
      <c r="N573" s="23" t="s">
        <v>106</v>
      </c>
      <c r="O573" s="30" t="s">
        <v>1471</v>
      </c>
      <c r="P573" s="30" t="s">
        <v>1613</v>
      </c>
      <c r="Q573" s="84" t="s">
        <v>2463</v>
      </c>
      <c r="S573" t="b">
        <v>0</v>
      </c>
    </row>
    <row r="574" spans="14:19" x14ac:dyDescent="0.25">
      <c r="N574" s="23" t="s">
        <v>106</v>
      </c>
      <c r="O574" s="30" t="s">
        <v>1471</v>
      </c>
      <c r="P574" s="30" t="s">
        <v>1614</v>
      </c>
      <c r="Q574" s="84" t="s">
        <v>2463</v>
      </c>
      <c r="S574" t="b">
        <v>0</v>
      </c>
    </row>
    <row r="575" spans="14:19" x14ac:dyDescent="0.25">
      <c r="N575" s="23" t="s">
        <v>106</v>
      </c>
      <c r="O575" s="30" t="s">
        <v>1471</v>
      </c>
      <c r="P575" s="30" t="s">
        <v>1615</v>
      </c>
      <c r="Q575" s="84" t="s">
        <v>2463</v>
      </c>
      <c r="S575" t="b">
        <v>0</v>
      </c>
    </row>
    <row r="576" spans="14:19" x14ac:dyDescent="0.25">
      <c r="N576" s="23" t="s">
        <v>106</v>
      </c>
      <c r="O576" s="30" t="s">
        <v>1471</v>
      </c>
      <c r="P576" s="30" t="s">
        <v>1616</v>
      </c>
      <c r="Q576" s="84" t="s">
        <v>2463</v>
      </c>
      <c r="S576" t="b">
        <v>0</v>
      </c>
    </row>
    <row r="577" spans="14:19" x14ac:dyDescent="0.25">
      <c r="N577" s="23" t="s">
        <v>106</v>
      </c>
      <c r="O577" s="30" t="s">
        <v>1471</v>
      </c>
      <c r="P577" s="30" t="s">
        <v>1617</v>
      </c>
      <c r="Q577" s="84" t="s">
        <v>2463</v>
      </c>
      <c r="S577" t="b">
        <v>0</v>
      </c>
    </row>
    <row r="578" spans="14:19" x14ac:dyDescent="0.25">
      <c r="N578" s="23" t="s">
        <v>106</v>
      </c>
      <c r="O578" s="30" t="s">
        <v>1471</v>
      </c>
      <c r="P578" s="30" t="s">
        <v>1618</v>
      </c>
      <c r="Q578" s="84" t="s">
        <v>2463</v>
      </c>
      <c r="S578" t="b">
        <v>0</v>
      </c>
    </row>
    <row r="579" spans="14:19" x14ac:dyDescent="0.25">
      <c r="N579" s="23" t="s">
        <v>106</v>
      </c>
      <c r="O579" s="30" t="s">
        <v>1471</v>
      </c>
      <c r="P579" s="30" t="s">
        <v>1619</v>
      </c>
      <c r="Q579" s="84" t="s">
        <v>2463</v>
      </c>
      <c r="S579" t="b">
        <v>0</v>
      </c>
    </row>
    <row r="580" spans="14:19" x14ac:dyDescent="0.25">
      <c r="N580" s="23" t="s">
        <v>106</v>
      </c>
      <c r="O580" s="30" t="s">
        <v>1471</v>
      </c>
      <c r="P580" s="30" t="s">
        <v>1620</v>
      </c>
      <c r="Q580" s="84" t="s">
        <v>2463</v>
      </c>
      <c r="S580" t="b">
        <v>0</v>
      </c>
    </row>
    <row r="581" spans="14:19" x14ac:dyDescent="0.25">
      <c r="N581" s="23" t="s">
        <v>106</v>
      </c>
      <c r="O581" s="30" t="s">
        <v>1471</v>
      </c>
      <c r="P581" s="30" t="s">
        <v>1621</v>
      </c>
      <c r="Q581" s="84" t="s">
        <v>2463</v>
      </c>
      <c r="S581" t="b">
        <v>0</v>
      </c>
    </row>
    <row r="582" spans="14:19" x14ac:dyDescent="0.25">
      <c r="N582" s="23" t="s">
        <v>106</v>
      </c>
      <c r="O582" s="30" t="s">
        <v>1471</v>
      </c>
      <c r="P582" s="30" t="s">
        <v>1622</v>
      </c>
      <c r="Q582" s="84" t="s">
        <v>2463</v>
      </c>
      <c r="S582" t="b">
        <v>0</v>
      </c>
    </row>
    <row r="583" spans="14:19" x14ac:dyDescent="0.25">
      <c r="N583" s="23" t="s">
        <v>106</v>
      </c>
      <c r="O583" s="30" t="s">
        <v>1471</v>
      </c>
      <c r="P583" s="30" t="s">
        <v>1623</v>
      </c>
      <c r="Q583" s="84" t="s">
        <v>2463</v>
      </c>
      <c r="S583" t="b">
        <v>0</v>
      </c>
    </row>
    <row r="584" spans="14:19" x14ac:dyDescent="0.25">
      <c r="N584" s="23" t="s">
        <v>106</v>
      </c>
      <c r="O584" s="30" t="s">
        <v>1471</v>
      </c>
      <c r="P584" s="30" t="s">
        <v>1624</v>
      </c>
      <c r="Q584" s="84" t="s">
        <v>2463</v>
      </c>
      <c r="S584" t="b">
        <v>0</v>
      </c>
    </row>
    <row r="585" spans="14:19" x14ac:dyDescent="0.25">
      <c r="N585" s="23" t="s">
        <v>106</v>
      </c>
      <c r="O585" s="30" t="s">
        <v>1471</v>
      </c>
      <c r="P585" s="30" t="s">
        <v>1625</v>
      </c>
      <c r="Q585" s="84" t="s">
        <v>2463</v>
      </c>
      <c r="S585" t="b">
        <v>0</v>
      </c>
    </row>
    <row r="586" spans="14:19" x14ac:dyDescent="0.25">
      <c r="N586" s="23" t="s">
        <v>106</v>
      </c>
      <c r="O586" s="30" t="s">
        <v>1471</v>
      </c>
      <c r="P586" s="30" t="s">
        <v>1626</v>
      </c>
      <c r="Q586" s="84" t="s">
        <v>2463</v>
      </c>
      <c r="S586" t="b">
        <v>0</v>
      </c>
    </row>
    <row r="587" spans="14:19" x14ac:dyDescent="0.25">
      <c r="N587" s="23" t="s">
        <v>106</v>
      </c>
      <c r="O587" s="30" t="s">
        <v>1471</v>
      </c>
      <c r="P587" s="30" t="s">
        <v>1627</v>
      </c>
      <c r="Q587" s="84" t="s">
        <v>2463</v>
      </c>
      <c r="S587" t="b">
        <v>0</v>
      </c>
    </row>
    <row r="588" spans="14:19" x14ac:dyDescent="0.25">
      <c r="N588" s="23" t="s">
        <v>106</v>
      </c>
      <c r="O588" s="30" t="s">
        <v>1471</v>
      </c>
      <c r="P588" s="30" t="s">
        <v>1628</v>
      </c>
      <c r="Q588" s="84" t="s">
        <v>2463</v>
      </c>
      <c r="S588" t="b">
        <v>0</v>
      </c>
    </row>
    <row r="589" spans="14:19" x14ac:dyDescent="0.25">
      <c r="N589" s="23" t="s">
        <v>106</v>
      </c>
      <c r="O589" s="30" t="s">
        <v>1471</v>
      </c>
      <c r="P589" s="30" t="s">
        <v>1629</v>
      </c>
      <c r="Q589" s="84" t="s">
        <v>2463</v>
      </c>
      <c r="S589" t="b">
        <v>0</v>
      </c>
    </row>
    <row r="590" spans="14:19" x14ac:dyDescent="0.25">
      <c r="N590" s="23" t="s">
        <v>106</v>
      </c>
      <c r="O590" s="30" t="s">
        <v>1471</v>
      </c>
      <c r="P590" s="30" t="s">
        <v>1630</v>
      </c>
      <c r="Q590" s="84" t="s">
        <v>2463</v>
      </c>
      <c r="S590" t="b">
        <v>0</v>
      </c>
    </row>
    <row r="591" spans="14:19" x14ac:dyDescent="0.25">
      <c r="N591" s="23" t="s">
        <v>106</v>
      </c>
      <c r="O591" s="30" t="s">
        <v>1471</v>
      </c>
      <c r="P591" s="30" t="s">
        <v>1631</v>
      </c>
      <c r="Q591" s="84" t="s">
        <v>2463</v>
      </c>
      <c r="S591" t="b">
        <v>0</v>
      </c>
    </row>
    <row r="592" spans="14:19" x14ac:dyDescent="0.25">
      <c r="N592" s="23" t="s">
        <v>106</v>
      </c>
      <c r="O592" s="30" t="s">
        <v>1471</v>
      </c>
      <c r="P592" s="30" t="s">
        <v>1632</v>
      </c>
      <c r="Q592" s="84" t="s">
        <v>2463</v>
      </c>
      <c r="S592" t="b">
        <v>0</v>
      </c>
    </row>
    <row r="593" spans="14:19" x14ac:dyDescent="0.25">
      <c r="N593" s="23" t="s">
        <v>106</v>
      </c>
      <c r="O593" s="30" t="s">
        <v>1471</v>
      </c>
      <c r="P593" s="30" t="s">
        <v>1633</v>
      </c>
      <c r="Q593" s="84" t="s">
        <v>2463</v>
      </c>
      <c r="S593" t="b">
        <v>0</v>
      </c>
    </row>
    <row r="594" spans="14:19" x14ac:dyDescent="0.25">
      <c r="N594" s="23" t="s">
        <v>106</v>
      </c>
      <c r="O594" s="30" t="s">
        <v>1471</v>
      </c>
      <c r="P594" s="30" t="s">
        <v>1634</v>
      </c>
      <c r="Q594" s="84" t="s">
        <v>2463</v>
      </c>
      <c r="S594" t="b">
        <v>0</v>
      </c>
    </row>
    <row r="595" spans="14:19" x14ac:dyDescent="0.25">
      <c r="N595" s="23" t="s">
        <v>106</v>
      </c>
      <c r="O595" s="30" t="s">
        <v>1471</v>
      </c>
      <c r="P595" s="30" t="s">
        <v>1635</v>
      </c>
      <c r="Q595" s="84" t="s">
        <v>2463</v>
      </c>
      <c r="S595" t="b">
        <v>0</v>
      </c>
    </row>
    <row r="596" spans="14:19" x14ac:dyDescent="0.25">
      <c r="N596" s="23" t="s">
        <v>106</v>
      </c>
      <c r="O596" s="30" t="s">
        <v>1471</v>
      </c>
      <c r="P596" s="30" t="s">
        <v>1636</v>
      </c>
      <c r="Q596" s="84" t="s">
        <v>2463</v>
      </c>
      <c r="S596" t="b">
        <v>0</v>
      </c>
    </row>
    <row r="597" spans="14:19" x14ac:dyDescent="0.25">
      <c r="N597" s="23" t="s">
        <v>106</v>
      </c>
      <c r="O597" s="30" t="s">
        <v>1471</v>
      </c>
      <c r="P597" s="30" t="s">
        <v>1637</v>
      </c>
      <c r="Q597" s="84" t="s">
        <v>2463</v>
      </c>
      <c r="S597" t="b">
        <v>0</v>
      </c>
    </row>
    <row r="598" spans="14:19" x14ac:dyDescent="0.25">
      <c r="N598" s="23" t="s">
        <v>106</v>
      </c>
      <c r="O598" s="30" t="s">
        <v>1471</v>
      </c>
      <c r="P598" s="30" t="s">
        <v>1638</v>
      </c>
      <c r="Q598" s="84" t="s">
        <v>2463</v>
      </c>
      <c r="S598" t="b">
        <v>0</v>
      </c>
    </row>
    <row r="599" spans="14:19" x14ac:dyDescent="0.25">
      <c r="N599" s="23" t="s">
        <v>106</v>
      </c>
      <c r="O599" s="30" t="s">
        <v>1471</v>
      </c>
      <c r="P599" s="30" t="s">
        <v>1639</v>
      </c>
      <c r="Q599" s="84" t="s">
        <v>2463</v>
      </c>
      <c r="S599" t="b">
        <v>0</v>
      </c>
    </row>
    <row r="600" spans="14:19" x14ac:dyDescent="0.25">
      <c r="N600" s="23" t="s">
        <v>106</v>
      </c>
      <c r="O600" s="30" t="s">
        <v>1471</v>
      </c>
      <c r="P600" s="30" t="s">
        <v>1640</v>
      </c>
      <c r="Q600" s="84" t="s">
        <v>2463</v>
      </c>
      <c r="S600" t="b">
        <v>0</v>
      </c>
    </row>
    <row r="601" spans="14:19" x14ac:dyDescent="0.25">
      <c r="N601" s="23" t="s">
        <v>106</v>
      </c>
      <c r="O601" s="30" t="s">
        <v>1471</v>
      </c>
      <c r="P601" s="30" t="s">
        <v>1641</v>
      </c>
      <c r="Q601" s="84" t="s">
        <v>2463</v>
      </c>
      <c r="S601" t="b">
        <v>0</v>
      </c>
    </row>
    <row r="602" spans="14:19" x14ac:dyDescent="0.25">
      <c r="N602" s="23" t="s">
        <v>106</v>
      </c>
      <c r="O602" s="30" t="s">
        <v>1471</v>
      </c>
      <c r="P602" s="30" t="s">
        <v>1642</v>
      </c>
      <c r="Q602" s="84" t="s">
        <v>2463</v>
      </c>
      <c r="S602" t="b">
        <v>0</v>
      </c>
    </row>
    <row r="603" spans="14:19" x14ac:dyDescent="0.25">
      <c r="N603" s="23" t="s">
        <v>106</v>
      </c>
      <c r="O603" s="30" t="s">
        <v>1471</v>
      </c>
      <c r="P603" s="30" t="s">
        <v>1643</v>
      </c>
      <c r="Q603" s="84" t="s">
        <v>2463</v>
      </c>
      <c r="S603" t="b">
        <v>0</v>
      </c>
    </row>
    <row r="604" spans="14:19" x14ac:dyDescent="0.25">
      <c r="N604" s="23" t="s">
        <v>106</v>
      </c>
      <c r="O604" s="30" t="s">
        <v>1471</v>
      </c>
      <c r="P604" s="30" t="s">
        <v>1644</v>
      </c>
      <c r="Q604" s="84" t="s">
        <v>2463</v>
      </c>
      <c r="S604" t="b">
        <v>0</v>
      </c>
    </row>
    <row r="605" spans="14:19" x14ac:dyDescent="0.25">
      <c r="N605" s="23" t="s">
        <v>106</v>
      </c>
      <c r="O605" s="30" t="s">
        <v>1471</v>
      </c>
      <c r="P605" s="30" t="s">
        <v>1645</v>
      </c>
      <c r="Q605" s="84" t="s">
        <v>2463</v>
      </c>
      <c r="S605" t="b">
        <v>0</v>
      </c>
    </row>
    <row r="606" spans="14:19" x14ac:dyDescent="0.25">
      <c r="N606" s="23" t="s">
        <v>106</v>
      </c>
      <c r="O606" s="30" t="s">
        <v>1471</v>
      </c>
      <c r="P606" s="30" t="s">
        <v>1646</v>
      </c>
      <c r="Q606" s="84" t="s">
        <v>2463</v>
      </c>
      <c r="S606" t="b">
        <v>0</v>
      </c>
    </row>
    <row r="607" spans="14:19" x14ac:dyDescent="0.25">
      <c r="N607" s="23" t="s">
        <v>106</v>
      </c>
      <c r="O607" s="30" t="s">
        <v>1471</v>
      </c>
      <c r="P607" s="30" t="s">
        <v>1647</v>
      </c>
      <c r="Q607" s="84" t="s">
        <v>2463</v>
      </c>
      <c r="S607" t="b">
        <v>0</v>
      </c>
    </row>
    <row r="608" spans="14:19" x14ac:dyDescent="0.25">
      <c r="N608" s="23" t="s">
        <v>106</v>
      </c>
      <c r="O608" s="30" t="s">
        <v>1471</v>
      </c>
      <c r="P608" s="30" t="s">
        <v>1648</v>
      </c>
      <c r="Q608" s="84" t="s">
        <v>2463</v>
      </c>
      <c r="S608" t="b">
        <v>0</v>
      </c>
    </row>
    <row r="609" spans="14:19" x14ac:dyDescent="0.25">
      <c r="N609" s="23" t="s">
        <v>106</v>
      </c>
      <c r="O609" s="30" t="s">
        <v>1471</v>
      </c>
      <c r="P609" s="30" t="s">
        <v>1649</v>
      </c>
      <c r="Q609" s="84" t="s">
        <v>2463</v>
      </c>
      <c r="S609" t="b">
        <v>0</v>
      </c>
    </row>
    <row r="610" spans="14:19" x14ac:dyDescent="0.25">
      <c r="N610" s="23" t="s">
        <v>106</v>
      </c>
      <c r="O610" s="30" t="s">
        <v>1471</v>
      </c>
      <c r="P610" s="30" t="s">
        <v>1650</v>
      </c>
      <c r="Q610" s="84" t="s">
        <v>2463</v>
      </c>
      <c r="S610" t="b">
        <v>0</v>
      </c>
    </row>
    <row r="611" spans="14:19" x14ac:dyDescent="0.25">
      <c r="N611" s="23" t="s">
        <v>106</v>
      </c>
      <c r="O611" s="30" t="s">
        <v>1471</v>
      </c>
      <c r="P611" s="30" t="s">
        <v>1651</v>
      </c>
      <c r="Q611" s="84" t="s">
        <v>2463</v>
      </c>
      <c r="S611" t="b">
        <v>0</v>
      </c>
    </row>
    <row r="612" spans="14:19" x14ac:dyDescent="0.25">
      <c r="N612" s="23" t="s">
        <v>106</v>
      </c>
      <c r="O612" s="30" t="s">
        <v>1471</v>
      </c>
      <c r="P612" s="30" t="s">
        <v>1652</v>
      </c>
      <c r="Q612" s="84" t="s">
        <v>2463</v>
      </c>
      <c r="S612" t="b">
        <v>0</v>
      </c>
    </row>
    <row r="613" spans="14:19" x14ac:dyDescent="0.25">
      <c r="N613" s="23" t="s">
        <v>106</v>
      </c>
      <c r="O613" s="30" t="s">
        <v>1471</v>
      </c>
      <c r="P613" s="30" t="s">
        <v>1653</v>
      </c>
      <c r="Q613" s="84" t="s">
        <v>2463</v>
      </c>
      <c r="S613" t="b">
        <v>0</v>
      </c>
    </row>
    <row r="614" spans="14:19" x14ac:dyDescent="0.25">
      <c r="N614" s="23" t="s">
        <v>106</v>
      </c>
      <c r="O614" s="30" t="s">
        <v>1471</v>
      </c>
      <c r="P614" s="30" t="s">
        <v>1654</v>
      </c>
      <c r="Q614" s="84" t="s">
        <v>2463</v>
      </c>
      <c r="S614" t="b">
        <v>0</v>
      </c>
    </row>
    <row r="615" spans="14:19" x14ac:dyDescent="0.25">
      <c r="N615" s="23" t="s">
        <v>106</v>
      </c>
      <c r="O615" s="30" t="s">
        <v>1471</v>
      </c>
      <c r="P615" s="30" t="s">
        <v>1655</v>
      </c>
      <c r="Q615" s="84" t="s">
        <v>2463</v>
      </c>
      <c r="S615" t="b">
        <v>0</v>
      </c>
    </row>
    <row r="616" spans="14:19" x14ac:dyDescent="0.25">
      <c r="N616" s="23" t="s">
        <v>106</v>
      </c>
      <c r="O616" s="30" t="s">
        <v>1471</v>
      </c>
      <c r="P616" s="30" t="s">
        <v>1656</v>
      </c>
      <c r="Q616" s="84" t="s">
        <v>2463</v>
      </c>
      <c r="S616" t="b">
        <v>0</v>
      </c>
    </row>
    <row r="617" spans="14:19" x14ac:dyDescent="0.25">
      <c r="N617" s="23" t="s">
        <v>106</v>
      </c>
      <c r="O617" s="30" t="s">
        <v>1471</v>
      </c>
      <c r="P617" s="30" t="s">
        <v>1657</v>
      </c>
      <c r="Q617" s="84" t="s">
        <v>2463</v>
      </c>
      <c r="S617" t="b">
        <v>0</v>
      </c>
    </row>
    <row r="618" spans="14:19" x14ac:dyDescent="0.25">
      <c r="N618" s="23" t="s">
        <v>106</v>
      </c>
      <c r="O618" s="30" t="s">
        <v>1471</v>
      </c>
      <c r="P618" s="30" t="s">
        <v>1658</v>
      </c>
      <c r="Q618" s="84" t="s">
        <v>2463</v>
      </c>
      <c r="S618" t="b">
        <v>0</v>
      </c>
    </row>
    <row r="619" spans="14:19" x14ac:dyDescent="0.25">
      <c r="N619" s="23" t="s">
        <v>106</v>
      </c>
      <c r="O619" s="30" t="s">
        <v>1471</v>
      </c>
      <c r="P619" s="30" t="s">
        <v>1659</v>
      </c>
      <c r="Q619" s="84" t="s">
        <v>2463</v>
      </c>
      <c r="S619" t="b">
        <v>0</v>
      </c>
    </row>
    <row r="620" spans="14:19" x14ac:dyDescent="0.25">
      <c r="N620" s="23" t="s">
        <v>106</v>
      </c>
      <c r="O620" s="30" t="s">
        <v>1471</v>
      </c>
      <c r="P620" s="30" t="s">
        <v>1660</v>
      </c>
      <c r="Q620" s="84" t="s">
        <v>2463</v>
      </c>
      <c r="S620" t="b">
        <v>0</v>
      </c>
    </row>
    <row r="621" spans="14:19" x14ac:dyDescent="0.25">
      <c r="N621" s="23" t="s">
        <v>106</v>
      </c>
      <c r="O621" s="30" t="s">
        <v>1471</v>
      </c>
      <c r="P621" s="30" t="s">
        <v>1661</v>
      </c>
      <c r="Q621" s="84" t="s">
        <v>2463</v>
      </c>
      <c r="S621" t="b">
        <v>0</v>
      </c>
    </row>
    <row r="622" spans="14:19" x14ac:dyDescent="0.25">
      <c r="N622" s="23" t="s">
        <v>106</v>
      </c>
      <c r="O622" s="30" t="s">
        <v>1471</v>
      </c>
      <c r="P622" s="30" t="s">
        <v>1662</v>
      </c>
      <c r="Q622" s="84" t="s">
        <v>2463</v>
      </c>
      <c r="S622" t="b">
        <v>0</v>
      </c>
    </row>
    <row r="623" spans="14:19" x14ac:dyDescent="0.25">
      <c r="N623" s="23" t="s">
        <v>106</v>
      </c>
      <c r="O623" s="30" t="s">
        <v>1471</v>
      </c>
      <c r="P623" s="30" t="s">
        <v>1663</v>
      </c>
      <c r="Q623" s="84" t="s">
        <v>2463</v>
      </c>
      <c r="S623" t="b">
        <v>0</v>
      </c>
    </row>
    <row r="624" spans="14:19" x14ac:dyDescent="0.25">
      <c r="N624" s="23" t="s">
        <v>106</v>
      </c>
      <c r="O624" s="30" t="s">
        <v>1471</v>
      </c>
      <c r="P624" s="30" t="s">
        <v>1664</v>
      </c>
      <c r="Q624" s="84" t="s">
        <v>2463</v>
      </c>
      <c r="S624" t="b">
        <v>0</v>
      </c>
    </row>
    <row r="625" spans="14:19" x14ac:dyDescent="0.25">
      <c r="N625" s="23" t="s">
        <v>106</v>
      </c>
      <c r="O625" s="30" t="s">
        <v>1471</v>
      </c>
      <c r="P625" s="30" t="s">
        <v>1665</v>
      </c>
      <c r="Q625" s="84" t="s">
        <v>2463</v>
      </c>
      <c r="S625" t="b">
        <v>0</v>
      </c>
    </row>
    <row r="626" spans="14:19" x14ac:dyDescent="0.25">
      <c r="N626" s="23" t="s">
        <v>106</v>
      </c>
      <c r="O626" s="30" t="s">
        <v>1471</v>
      </c>
      <c r="P626" s="30" t="s">
        <v>1666</v>
      </c>
      <c r="Q626" s="84" t="s">
        <v>2463</v>
      </c>
      <c r="S626" t="b">
        <v>0</v>
      </c>
    </row>
    <row r="627" spans="14:19" x14ac:dyDescent="0.25">
      <c r="N627" s="23" t="s">
        <v>106</v>
      </c>
      <c r="O627" s="30" t="s">
        <v>1471</v>
      </c>
      <c r="P627" s="30" t="s">
        <v>1667</v>
      </c>
      <c r="Q627" s="84" t="s">
        <v>2463</v>
      </c>
      <c r="S627" t="b">
        <v>0</v>
      </c>
    </row>
    <row r="628" spans="14:19" x14ac:dyDescent="0.25">
      <c r="N628" s="23" t="s">
        <v>106</v>
      </c>
      <c r="O628" s="30" t="s">
        <v>1471</v>
      </c>
      <c r="P628" s="30" t="s">
        <v>1668</v>
      </c>
      <c r="Q628" s="84" t="s">
        <v>2463</v>
      </c>
      <c r="S628" t="b">
        <v>0</v>
      </c>
    </row>
    <row r="629" spans="14:19" x14ac:dyDescent="0.25">
      <c r="N629" s="23" t="s">
        <v>106</v>
      </c>
      <c r="O629" s="30" t="s">
        <v>1471</v>
      </c>
      <c r="P629" s="30" t="s">
        <v>1669</v>
      </c>
      <c r="Q629" s="84" t="s">
        <v>2463</v>
      </c>
      <c r="S629" t="b">
        <v>0</v>
      </c>
    </row>
    <row r="630" spans="14:19" x14ac:dyDescent="0.25">
      <c r="N630" s="23" t="s">
        <v>106</v>
      </c>
      <c r="O630" s="30" t="s">
        <v>1471</v>
      </c>
      <c r="P630" s="30" t="s">
        <v>1670</v>
      </c>
      <c r="Q630" s="84" t="s">
        <v>2463</v>
      </c>
      <c r="S630" t="b">
        <v>0</v>
      </c>
    </row>
    <row r="631" spans="14:19" x14ac:dyDescent="0.25">
      <c r="N631" s="23" t="s">
        <v>106</v>
      </c>
      <c r="O631" s="30" t="s">
        <v>1471</v>
      </c>
      <c r="P631" s="30" t="s">
        <v>1671</v>
      </c>
      <c r="Q631" s="84" t="s">
        <v>2463</v>
      </c>
      <c r="S631" t="b">
        <v>0</v>
      </c>
    </row>
    <row r="632" spans="14:19" x14ac:dyDescent="0.25">
      <c r="N632" s="23" t="s">
        <v>106</v>
      </c>
      <c r="O632" s="30" t="s">
        <v>1471</v>
      </c>
      <c r="P632" s="30" t="s">
        <v>1672</v>
      </c>
      <c r="Q632" s="84" t="s">
        <v>2463</v>
      </c>
      <c r="S632" t="b">
        <v>0</v>
      </c>
    </row>
    <row r="633" spans="14:19" x14ac:dyDescent="0.25">
      <c r="N633" s="23" t="s">
        <v>106</v>
      </c>
      <c r="O633" s="30" t="s">
        <v>1471</v>
      </c>
      <c r="P633" s="30" t="s">
        <v>1673</v>
      </c>
      <c r="Q633" s="84" t="s">
        <v>2463</v>
      </c>
      <c r="S633" t="b">
        <v>0</v>
      </c>
    </row>
    <row r="634" spans="14:19" x14ac:dyDescent="0.25">
      <c r="N634" s="23" t="s">
        <v>106</v>
      </c>
      <c r="O634" s="30" t="s">
        <v>1471</v>
      </c>
      <c r="P634" s="30" t="s">
        <v>1674</v>
      </c>
      <c r="Q634" s="84" t="s">
        <v>2463</v>
      </c>
      <c r="S634" t="b">
        <v>0</v>
      </c>
    </row>
    <row r="635" spans="14:19" x14ac:dyDescent="0.25">
      <c r="N635" s="23" t="s">
        <v>106</v>
      </c>
      <c r="O635" s="30" t="s">
        <v>1471</v>
      </c>
      <c r="P635" s="30" t="s">
        <v>1675</v>
      </c>
      <c r="Q635" s="84" t="s">
        <v>2463</v>
      </c>
      <c r="S635" t="b">
        <v>0</v>
      </c>
    </row>
    <row r="636" spans="14:19" x14ac:dyDescent="0.25">
      <c r="N636" s="23" t="s">
        <v>106</v>
      </c>
      <c r="O636" s="30" t="s">
        <v>1471</v>
      </c>
      <c r="P636" s="30" t="s">
        <v>1676</v>
      </c>
      <c r="Q636" s="84" t="s">
        <v>2463</v>
      </c>
      <c r="S636" t="b">
        <v>0</v>
      </c>
    </row>
    <row r="637" spans="14:19" x14ac:dyDescent="0.25">
      <c r="N637" s="23" t="s">
        <v>106</v>
      </c>
      <c r="O637" s="30" t="s">
        <v>1471</v>
      </c>
      <c r="P637" s="30" t="s">
        <v>1677</v>
      </c>
      <c r="Q637" s="84" t="s">
        <v>2463</v>
      </c>
      <c r="S637" t="b">
        <v>0</v>
      </c>
    </row>
    <row r="638" spans="14:19" x14ac:dyDescent="0.25">
      <c r="N638" s="23" t="s">
        <v>106</v>
      </c>
      <c r="O638" s="30" t="s">
        <v>1471</v>
      </c>
      <c r="P638" s="30" t="s">
        <v>1678</v>
      </c>
      <c r="Q638" s="84" t="s">
        <v>2463</v>
      </c>
      <c r="S638" t="b">
        <v>0</v>
      </c>
    </row>
    <row r="639" spans="14:19" x14ac:dyDescent="0.25">
      <c r="N639" s="23" t="s">
        <v>106</v>
      </c>
      <c r="O639" s="30" t="s">
        <v>1471</v>
      </c>
      <c r="P639" s="30" t="s">
        <v>1679</v>
      </c>
      <c r="Q639" s="84" t="s">
        <v>2463</v>
      </c>
      <c r="S639" t="b">
        <v>0</v>
      </c>
    </row>
    <row r="640" spans="14:19" x14ac:dyDescent="0.25">
      <c r="N640" s="23" t="s">
        <v>106</v>
      </c>
      <c r="O640" s="30" t="s">
        <v>1471</v>
      </c>
      <c r="P640" s="30" t="s">
        <v>1680</v>
      </c>
      <c r="Q640" s="84" t="s">
        <v>2463</v>
      </c>
      <c r="S640" t="b">
        <v>0</v>
      </c>
    </row>
    <row r="641" spans="14:19" x14ac:dyDescent="0.25">
      <c r="N641" s="23" t="s">
        <v>106</v>
      </c>
      <c r="O641" s="30" t="s">
        <v>1471</v>
      </c>
      <c r="P641" s="30" t="s">
        <v>1681</v>
      </c>
      <c r="Q641" s="84" t="s">
        <v>2463</v>
      </c>
      <c r="S641" t="b">
        <v>0</v>
      </c>
    </row>
    <row r="642" spans="14:19" x14ac:dyDescent="0.25">
      <c r="N642" s="23" t="s">
        <v>106</v>
      </c>
      <c r="O642" s="30" t="s">
        <v>1471</v>
      </c>
      <c r="P642" s="30" t="s">
        <v>1682</v>
      </c>
      <c r="Q642" s="84" t="s">
        <v>2463</v>
      </c>
      <c r="S642" t="b">
        <v>0</v>
      </c>
    </row>
    <row r="643" spans="14:19" x14ac:dyDescent="0.25">
      <c r="N643" s="23" t="s">
        <v>106</v>
      </c>
      <c r="O643" s="30" t="s">
        <v>1471</v>
      </c>
      <c r="P643" s="30" t="s">
        <v>1683</v>
      </c>
      <c r="Q643" s="84" t="s">
        <v>2463</v>
      </c>
      <c r="S643" t="b">
        <v>0</v>
      </c>
    </row>
    <row r="644" spans="14:19" x14ac:dyDescent="0.25">
      <c r="N644" s="23" t="s">
        <v>106</v>
      </c>
      <c r="O644" s="30" t="s">
        <v>1471</v>
      </c>
      <c r="P644" s="30" t="s">
        <v>1684</v>
      </c>
      <c r="Q644" s="84" t="s">
        <v>2463</v>
      </c>
      <c r="S644" t="b">
        <v>0</v>
      </c>
    </row>
    <row r="645" spans="14:19" x14ac:dyDescent="0.25">
      <c r="N645" s="23" t="s">
        <v>106</v>
      </c>
      <c r="O645" s="30" t="s">
        <v>1471</v>
      </c>
      <c r="P645" s="30" t="s">
        <v>1685</v>
      </c>
      <c r="Q645" s="84" t="s">
        <v>2463</v>
      </c>
      <c r="S645" t="b">
        <v>0</v>
      </c>
    </row>
    <row r="646" spans="14:19" x14ac:dyDescent="0.25">
      <c r="N646" s="23" t="s">
        <v>106</v>
      </c>
      <c r="O646" s="30" t="s">
        <v>1471</v>
      </c>
      <c r="P646" s="30" t="s">
        <v>1686</v>
      </c>
      <c r="Q646" s="84" t="s">
        <v>2463</v>
      </c>
      <c r="S646" t="b">
        <v>0</v>
      </c>
    </row>
    <row r="647" spans="14:19" x14ac:dyDescent="0.25">
      <c r="N647" s="23" t="s">
        <v>106</v>
      </c>
      <c r="O647" s="30" t="s">
        <v>1471</v>
      </c>
      <c r="P647" s="30" t="s">
        <v>1687</v>
      </c>
      <c r="Q647" s="84" t="s">
        <v>2463</v>
      </c>
      <c r="S647" t="b">
        <v>0</v>
      </c>
    </row>
    <row r="648" spans="14:19" x14ac:dyDescent="0.25">
      <c r="N648" s="23" t="s">
        <v>106</v>
      </c>
      <c r="O648" s="30" t="s">
        <v>1471</v>
      </c>
      <c r="P648" s="30" t="s">
        <v>1688</v>
      </c>
      <c r="Q648" s="84" t="s">
        <v>2463</v>
      </c>
      <c r="S648" t="b">
        <v>0</v>
      </c>
    </row>
    <row r="649" spans="14:19" x14ac:dyDescent="0.25">
      <c r="N649" s="23" t="s">
        <v>106</v>
      </c>
      <c r="O649" s="30" t="s">
        <v>1471</v>
      </c>
      <c r="P649" s="30" t="s">
        <v>1689</v>
      </c>
      <c r="Q649" s="84" t="s">
        <v>2463</v>
      </c>
      <c r="S649" t="b">
        <v>0</v>
      </c>
    </row>
    <row r="650" spans="14:19" x14ac:dyDescent="0.25">
      <c r="N650" s="23" t="s">
        <v>106</v>
      </c>
      <c r="O650" s="30" t="s">
        <v>1471</v>
      </c>
      <c r="P650" s="30" t="s">
        <v>1690</v>
      </c>
      <c r="Q650" s="84" t="s">
        <v>2463</v>
      </c>
      <c r="S650" t="b">
        <v>0</v>
      </c>
    </row>
    <row r="651" spans="14:19" x14ac:dyDescent="0.25">
      <c r="N651" s="23" t="s">
        <v>106</v>
      </c>
      <c r="O651" s="30" t="s">
        <v>1471</v>
      </c>
      <c r="P651" s="30" t="s">
        <v>1691</v>
      </c>
      <c r="Q651" s="84" t="s">
        <v>2463</v>
      </c>
      <c r="S651" t="b">
        <v>0</v>
      </c>
    </row>
    <row r="652" spans="14:19" x14ac:dyDescent="0.25">
      <c r="N652" s="23" t="s">
        <v>106</v>
      </c>
      <c r="O652" s="30" t="s">
        <v>1471</v>
      </c>
      <c r="P652" s="30" t="s">
        <v>1692</v>
      </c>
      <c r="Q652" s="84" t="s">
        <v>2463</v>
      </c>
      <c r="S652" t="b">
        <v>0</v>
      </c>
    </row>
    <row r="653" spans="14:19" x14ac:dyDescent="0.25">
      <c r="N653" s="23" t="s">
        <v>106</v>
      </c>
      <c r="O653" s="30" t="s">
        <v>1471</v>
      </c>
      <c r="P653" s="30" t="s">
        <v>1693</v>
      </c>
      <c r="Q653" s="84" t="s">
        <v>2463</v>
      </c>
      <c r="S653" t="b">
        <v>0</v>
      </c>
    </row>
    <row r="654" spans="14:19" x14ac:dyDescent="0.25">
      <c r="N654" s="23" t="s">
        <v>106</v>
      </c>
      <c r="O654" s="30" t="s">
        <v>1471</v>
      </c>
      <c r="P654" s="30" t="s">
        <v>1694</v>
      </c>
      <c r="Q654" s="84" t="s">
        <v>2463</v>
      </c>
      <c r="S654" t="b">
        <v>0</v>
      </c>
    </row>
    <row r="655" spans="14:19" x14ac:dyDescent="0.25">
      <c r="N655" s="23" t="s">
        <v>106</v>
      </c>
      <c r="O655" s="30" t="s">
        <v>1471</v>
      </c>
      <c r="P655" s="30" t="s">
        <v>1695</v>
      </c>
      <c r="Q655" s="84" t="s">
        <v>2463</v>
      </c>
      <c r="S655" t="b">
        <v>0</v>
      </c>
    </row>
    <row r="656" spans="14:19" x14ac:dyDescent="0.25">
      <c r="N656" s="23" t="s">
        <v>106</v>
      </c>
      <c r="O656" s="30" t="s">
        <v>1471</v>
      </c>
      <c r="P656" s="30" t="s">
        <v>1696</v>
      </c>
      <c r="Q656" s="84" t="s">
        <v>2463</v>
      </c>
      <c r="S656" t="b">
        <v>0</v>
      </c>
    </row>
    <row r="657" spans="14:19" x14ac:dyDescent="0.25">
      <c r="N657" s="23" t="s">
        <v>106</v>
      </c>
      <c r="O657" s="30" t="s">
        <v>1471</v>
      </c>
      <c r="P657" s="30" t="s">
        <v>1697</v>
      </c>
      <c r="Q657" s="84" t="s">
        <v>2463</v>
      </c>
      <c r="S657" t="b">
        <v>0</v>
      </c>
    </row>
    <row r="658" spans="14:19" x14ac:dyDescent="0.25">
      <c r="N658" s="23" t="s">
        <v>106</v>
      </c>
      <c r="O658" s="30" t="s">
        <v>1471</v>
      </c>
      <c r="P658" s="30" t="s">
        <v>1698</v>
      </c>
      <c r="Q658" s="84" t="s">
        <v>2463</v>
      </c>
      <c r="S658" t="b">
        <v>0</v>
      </c>
    </row>
    <row r="659" spans="14:19" x14ac:dyDescent="0.25">
      <c r="N659" s="23" t="s">
        <v>106</v>
      </c>
      <c r="O659" s="30" t="s">
        <v>1471</v>
      </c>
      <c r="P659" s="30" t="s">
        <v>1699</v>
      </c>
      <c r="Q659" s="84" t="s">
        <v>2463</v>
      </c>
      <c r="S659" t="b">
        <v>0</v>
      </c>
    </row>
    <row r="660" spans="14:19" x14ac:dyDescent="0.25">
      <c r="N660" s="23" t="s">
        <v>106</v>
      </c>
      <c r="O660" s="30" t="s">
        <v>1471</v>
      </c>
      <c r="P660" s="30" t="s">
        <v>1700</v>
      </c>
      <c r="Q660" s="84" t="s">
        <v>2463</v>
      </c>
      <c r="S660" t="b">
        <v>0</v>
      </c>
    </row>
    <row r="661" spans="14:19" x14ac:dyDescent="0.25">
      <c r="N661" s="23" t="s">
        <v>106</v>
      </c>
      <c r="O661" s="30" t="s">
        <v>1471</v>
      </c>
      <c r="P661" s="30" t="s">
        <v>1701</v>
      </c>
      <c r="Q661" s="84" t="s">
        <v>2463</v>
      </c>
      <c r="S661" t="b">
        <v>0</v>
      </c>
    </row>
    <row r="662" spans="14:19" x14ac:dyDescent="0.25">
      <c r="N662" s="23" t="s">
        <v>106</v>
      </c>
      <c r="O662" s="30" t="s">
        <v>1471</v>
      </c>
      <c r="P662" s="30" t="s">
        <v>1702</v>
      </c>
      <c r="Q662" s="84" t="s">
        <v>2463</v>
      </c>
      <c r="S662" t="b">
        <v>0</v>
      </c>
    </row>
    <row r="663" spans="14:19" x14ac:dyDescent="0.25">
      <c r="N663" s="23" t="s">
        <v>106</v>
      </c>
      <c r="O663" s="30" t="s">
        <v>1471</v>
      </c>
      <c r="P663" s="30" t="s">
        <v>1703</v>
      </c>
      <c r="Q663" s="84" t="s">
        <v>2463</v>
      </c>
      <c r="S663" t="b">
        <v>0</v>
      </c>
    </row>
    <row r="664" spans="14:19" x14ac:dyDescent="0.25">
      <c r="N664" s="23" t="s">
        <v>106</v>
      </c>
      <c r="O664" s="30" t="s">
        <v>1471</v>
      </c>
      <c r="P664" s="30" t="s">
        <v>1704</v>
      </c>
      <c r="Q664" s="84" t="s">
        <v>2463</v>
      </c>
      <c r="S664" t="b">
        <v>0</v>
      </c>
    </row>
    <row r="665" spans="14:19" x14ac:dyDescent="0.25">
      <c r="N665" s="23" t="s">
        <v>106</v>
      </c>
      <c r="O665" s="30" t="s">
        <v>1471</v>
      </c>
      <c r="P665" s="30" t="s">
        <v>1705</v>
      </c>
      <c r="Q665" s="84" t="s">
        <v>2463</v>
      </c>
      <c r="S665" t="b">
        <v>0</v>
      </c>
    </row>
    <row r="666" spans="14:19" x14ac:dyDescent="0.25">
      <c r="N666" s="23" t="s">
        <v>106</v>
      </c>
      <c r="O666" s="30" t="s">
        <v>1471</v>
      </c>
      <c r="P666" s="30" t="s">
        <v>1706</v>
      </c>
      <c r="Q666" s="84" t="s">
        <v>2463</v>
      </c>
      <c r="S666" t="b">
        <v>0</v>
      </c>
    </row>
    <row r="667" spans="14:19" x14ac:dyDescent="0.25">
      <c r="N667" s="23" t="s">
        <v>106</v>
      </c>
      <c r="O667" s="30" t="s">
        <v>1471</v>
      </c>
      <c r="P667" s="30" t="s">
        <v>1707</v>
      </c>
      <c r="Q667" s="84" t="s">
        <v>2463</v>
      </c>
      <c r="S667" t="b">
        <v>0</v>
      </c>
    </row>
    <row r="668" spans="14:19" x14ac:dyDescent="0.25">
      <c r="N668" s="23" t="s">
        <v>106</v>
      </c>
      <c r="O668" s="30" t="s">
        <v>1471</v>
      </c>
      <c r="P668" s="30" t="s">
        <v>1708</v>
      </c>
      <c r="Q668" s="84" t="s">
        <v>2463</v>
      </c>
      <c r="S668" t="b">
        <v>0</v>
      </c>
    </row>
    <row r="669" spans="14:19" x14ac:dyDescent="0.25">
      <c r="N669" s="23" t="s">
        <v>106</v>
      </c>
      <c r="O669" s="30" t="s">
        <v>1471</v>
      </c>
      <c r="P669" s="30" t="s">
        <v>1709</v>
      </c>
      <c r="Q669" s="84" t="s">
        <v>2463</v>
      </c>
      <c r="S669" t="b">
        <v>0</v>
      </c>
    </row>
    <row r="670" spans="14:19" x14ac:dyDescent="0.25">
      <c r="N670" s="23" t="s">
        <v>106</v>
      </c>
      <c r="O670" s="30" t="s">
        <v>1471</v>
      </c>
      <c r="P670" s="30" t="s">
        <v>1710</v>
      </c>
      <c r="Q670" s="84" t="s">
        <v>2463</v>
      </c>
      <c r="S670" t="b">
        <v>0</v>
      </c>
    </row>
    <row r="671" spans="14:19" x14ac:dyDescent="0.25">
      <c r="N671" s="23" t="s">
        <v>106</v>
      </c>
      <c r="O671" s="30" t="s">
        <v>1471</v>
      </c>
      <c r="P671" s="30" t="s">
        <v>1711</v>
      </c>
      <c r="Q671" s="84" t="s">
        <v>2463</v>
      </c>
      <c r="S671" t="b">
        <v>0</v>
      </c>
    </row>
    <row r="672" spans="14:19" x14ac:dyDescent="0.25">
      <c r="N672" s="23" t="s">
        <v>106</v>
      </c>
      <c r="O672" s="30" t="s">
        <v>1471</v>
      </c>
      <c r="P672" s="30" t="s">
        <v>1712</v>
      </c>
      <c r="Q672" s="84" t="s">
        <v>2463</v>
      </c>
      <c r="S672" t="b">
        <v>0</v>
      </c>
    </row>
    <row r="673" spans="14:19" x14ac:dyDescent="0.25">
      <c r="N673" s="23" t="s">
        <v>106</v>
      </c>
      <c r="O673" s="30" t="s">
        <v>1471</v>
      </c>
      <c r="P673" s="30" t="s">
        <v>1713</v>
      </c>
      <c r="Q673" s="84" t="s">
        <v>2463</v>
      </c>
      <c r="S673" t="b">
        <v>0</v>
      </c>
    </row>
    <row r="674" spans="14:19" x14ac:dyDescent="0.25">
      <c r="N674" s="23" t="s">
        <v>106</v>
      </c>
      <c r="O674" s="30" t="s">
        <v>1471</v>
      </c>
      <c r="P674" s="30" t="s">
        <v>1714</v>
      </c>
      <c r="Q674" s="84" t="s">
        <v>2463</v>
      </c>
      <c r="S674" t="b">
        <v>0</v>
      </c>
    </row>
    <row r="675" spans="14:19" x14ac:dyDescent="0.25">
      <c r="N675" s="23" t="s">
        <v>106</v>
      </c>
      <c r="O675" s="30" t="s">
        <v>1471</v>
      </c>
      <c r="P675" s="30" t="s">
        <v>1715</v>
      </c>
      <c r="Q675" s="84" t="s">
        <v>2463</v>
      </c>
      <c r="S675" t="b">
        <v>0</v>
      </c>
    </row>
    <row r="676" spans="14:19" x14ac:dyDescent="0.25">
      <c r="N676" s="23" t="s">
        <v>106</v>
      </c>
      <c r="O676" s="30" t="s">
        <v>1471</v>
      </c>
      <c r="P676" s="30" t="s">
        <v>1716</v>
      </c>
      <c r="Q676" s="84" t="s">
        <v>2463</v>
      </c>
      <c r="S676" t="b">
        <v>0</v>
      </c>
    </row>
    <row r="677" spans="14:19" x14ac:dyDescent="0.25">
      <c r="N677" s="23" t="s">
        <v>106</v>
      </c>
      <c r="O677" s="30" t="s">
        <v>1471</v>
      </c>
      <c r="P677" s="30" t="s">
        <v>1717</v>
      </c>
      <c r="Q677" s="84" t="s">
        <v>2463</v>
      </c>
      <c r="S677" t="b">
        <v>0</v>
      </c>
    </row>
    <row r="678" spans="14:19" x14ac:dyDescent="0.25">
      <c r="N678" s="23" t="s">
        <v>106</v>
      </c>
      <c r="O678" s="30" t="s">
        <v>1471</v>
      </c>
      <c r="P678" s="30" t="s">
        <v>1718</v>
      </c>
      <c r="Q678" s="84" t="s">
        <v>2463</v>
      </c>
      <c r="S678" t="b">
        <v>0</v>
      </c>
    </row>
    <row r="679" spans="14:19" x14ac:dyDescent="0.25">
      <c r="N679" s="23" t="s">
        <v>106</v>
      </c>
      <c r="O679" s="30" t="s">
        <v>1471</v>
      </c>
      <c r="P679" s="30" t="s">
        <v>1719</v>
      </c>
      <c r="Q679" s="84" t="s">
        <v>2463</v>
      </c>
      <c r="S679" t="b">
        <v>0</v>
      </c>
    </row>
    <row r="680" spans="14:19" x14ac:dyDescent="0.25">
      <c r="N680" s="23" t="s">
        <v>106</v>
      </c>
      <c r="O680" s="30" t="s">
        <v>1471</v>
      </c>
      <c r="P680" s="30" t="s">
        <v>1720</v>
      </c>
      <c r="Q680" s="84" t="s">
        <v>2463</v>
      </c>
      <c r="S680" t="b">
        <v>0</v>
      </c>
    </row>
    <row r="681" spans="14:19" x14ac:dyDescent="0.25">
      <c r="N681" s="23" t="s">
        <v>106</v>
      </c>
      <c r="O681" s="30" t="s">
        <v>1471</v>
      </c>
      <c r="P681" s="30" t="s">
        <v>1721</v>
      </c>
      <c r="Q681" s="84" t="s">
        <v>2463</v>
      </c>
      <c r="S681" t="b">
        <v>0</v>
      </c>
    </row>
    <row r="682" spans="14:19" x14ac:dyDescent="0.25">
      <c r="N682" s="23" t="s">
        <v>106</v>
      </c>
      <c r="O682" s="30" t="s">
        <v>1471</v>
      </c>
      <c r="P682" s="30" t="s">
        <v>1722</v>
      </c>
      <c r="Q682" s="84" t="s">
        <v>2463</v>
      </c>
      <c r="S682" t="b">
        <v>0</v>
      </c>
    </row>
    <row r="683" spans="14:19" x14ac:dyDescent="0.25">
      <c r="N683" s="23" t="s">
        <v>106</v>
      </c>
      <c r="O683" s="30" t="s">
        <v>1471</v>
      </c>
      <c r="P683" s="30" t="s">
        <v>1723</v>
      </c>
      <c r="Q683" s="84" t="s">
        <v>2463</v>
      </c>
      <c r="S683" t="b">
        <v>0</v>
      </c>
    </row>
    <row r="684" spans="14:19" x14ac:dyDescent="0.25">
      <c r="N684" s="23" t="s">
        <v>106</v>
      </c>
      <c r="O684" s="30" t="s">
        <v>1471</v>
      </c>
      <c r="P684" s="30" t="s">
        <v>1724</v>
      </c>
      <c r="Q684" s="84" t="s">
        <v>2463</v>
      </c>
      <c r="S684" t="b">
        <v>0</v>
      </c>
    </row>
    <row r="685" spans="14:19" x14ac:dyDescent="0.25">
      <c r="N685" s="23" t="s">
        <v>106</v>
      </c>
      <c r="O685" s="30" t="s">
        <v>1471</v>
      </c>
      <c r="P685" s="30" t="s">
        <v>1725</v>
      </c>
      <c r="Q685" s="84" t="s">
        <v>2463</v>
      </c>
      <c r="S685" t="b">
        <v>0</v>
      </c>
    </row>
    <row r="686" spans="14:19" x14ac:dyDescent="0.25">
      <c r="N686" s="23" t="s">
        <v>106</v>
      </c>
      <c r="O686" s="30" t="s">
        <v>1471</v>
      </c>
      <c r="P686" s="30" t="s">
        <v>1726</v>
      </c>
      <c r="Q686" s="84" t="s">
        <v>2463</v>
      </c>
      <c r="S686" t="b">
        <v>0</v>
      </c>
    </row>
    <row r="687" spans="14:19" x14ac:dyDescent="0.25">
      <c r="N687" s="23" t="s">
        <v>106</v>
      </c>
      <c r="O687" s="30" t="s">
        <v>1471</v>
      </c>
      <c r="P687" s="30" t="s">
        <v>1727</v>
      </c>
      <c r="Q687" s="84" t="s">
        <v>2463</v>
      </c>
      <c r="S687" t="b">
        <v>0</v>
      </c>
    </row>
    <row r="688" spans="14:19" x14ac:dyDescent="0.25">
      <c r="N688" s="23" t="s">
        <v>106</v>
      </c>
      <c r="O688" s="30" t="s">
        <v>1471</v>
      </c>
      <c r="P688" s="30" t="s">
        <v>1728</v>
      </c>
      <c r="Q688" s="84" t="s">
        <v>2463</v>
      </c>
      <c r="S688" t="b">
        <v>0</v>
      </c>
    </row>
    <row r="689" spans="14:19" x14ac:dyDescent="0.25">
      <c r="N689" s="23" t="s">
        <v>106</v>
      </c>
      <c r="O689" s="30" t="s">
        <v>1471</v>
      </c>
      <c r="P689" s="30" t="s">
        <v>1729</v>
      </c>
      <c r="Q689" s="84" t="s">
        <v>2463</v>
      </c>
      <c r="S689" t="b">
        <v>0</v>
      </c>
    </row>
    <row r="690" spans="14:19" x14ac:dyDescent="0.25">
      <c r="N690" s="23" t="s">
        <v>106</v>
      </c>
      <c r="O690" s="30" t="s">
        <v>1471</v>
      </c>
      <c r="P690" s="30" t="s">
        <v>1730</v>
      </c>
      <c r="Q690" s="84" t="s">
        <v>2463</v>
      </c>
      <c r="S690" t="b">
        <v>0</v>
      </c>
    </row>
    <row r="691" spans="14:19" x14ac:dyDescent="0.25">
      <c r="N691" s="23" t="s">
        <v>106</v>
      </c>
      <c r="O691" s="30" t="s">
        <v>1471</v>
      </c>
      <c r="P691" s="30" t="s">
        <v>1731</v>
      </c>
      <c r="Q691" s="84" t="s">
        <v>2463</v>
      </c>
      <c r="S691" t="b">
        <v>0</v>
      </c>
    </row>
    <row r="692" spans="14:19" x14ac:dyDescent="0.25">
      <c r="N692" s="23" t="s">
        <v>106</v>
      </c>
      <c r="O692" s="30" t="s">
        <v>1471</v>
      </c>
      <c r="P692" s="30" t="s">
        <v>1732</v>
      </c>
      <c r="Q692" s="84" t="s">
        <v>2463</v>
      </c>
      <c r="S692" t="b">
        <v>0</v>
      </c>
    </row>
    <row r="693" spans="14:19" x14ac:dyDescent="0.25">
      <c r="N693" s="23" t="s">
        <v>106</v>
      </c>
      <c r="O693" s="30" t="s">
        <v>1471</v>
      </c>
      <c r="P693" s="30" t="s">
        <v>1733</v>
      </c>
      <c r="Q693" s="84" t="s">
        <v>2463</v>
      </c>
      <c r="S693" t="b">
        <v>0</v>
      </c>
    </row>
    <row r="694" spans="14:19" x14ac:dyDescent="0.25">
      <c r="N694" s="23" t="s">
        <v>106</v>
      </c>
      <c r="O694" s="30" t="s">
        <v>1471</v>
      </c>
      <c r="P694" s="30" t="s">
        <v>1734</v>
      </c>
      <c r="Q694" s="84" t="s">
        <v>2463</v>
      </c>
      <c r="S694" t="b">
        <v>0</v>
      </c>
    </row>
    <row r="695" spans="14:19" x14ac:dyDescent="0.25">
      <c r="N695" s="23" t="s">
        <v>106</v>
      </c>
      <c r="O695" s="30" t="s">
        <v>1471</v>
      </c>
      <c r="P695" s="30" t="s">
        <v>1735</v>
      </c>
      <c r="Q695" s="84" t="s">
        <v>2463</v>
      </c>
      <c r="S695" t="b">
        <v>0</v>
      </c>
    </row>
    <row r="696" spans="14:19" x14ac:dyDescent="0.25">
      <c r="N696" s="23" t="s">
        <v>106</v>
      </c>
      <c r="O696" s="30" t="s">
        <v>1471</v>
      </c>
      <c r="P696" s="30" t="s">
        <v>1736</v>
      </c>
      <c r="Q696" s="84" t="s">
        <v>2463</v>
      </c>
      <c r="S696" t="b">
        <v>0</v>
      </c>
    </row>
    <row r="697" spans="14:19" x14ac:dyDescent="0.25">
      <c r="N697" s="23" t="s">
        <v>106</v>
      </c>
      <c r="O697" s="30" t="s">
        <v>1471</v>
      </c>
      <c r="P697" s="30" t="s">
        <v>1737</v>
      </c>
      <c r="Q697" s="84" t="s">
        <v>2463</v>
      </c>
      <c r="S697" t="b">
        <v>0</v>
      </c>
    </row>
    <row r="698" spans="14:19" x14ac:dyDescent="0.25">
      <c r="N698" s="23" t="s">
        <v>106</v>
      </c>
      <c r="O698" s="30" t="s">
        <v>1471</v>
      </c>
      <c r="P698" s="30" t="s">
        <v>1738</v>
      </c>
      <c r="Q698" s="84" t="s">
        <v>2463</v>
      </c>
      <c r="S698" t="b">
        <v>0</v>
      </c>
    </row>
    <row r="699" spans="14:19" x14ac:dyDescent="0.25">
      <c r="N699" s="23" t="s">
        <v>106</v>
      </c>
      <c r="O699" s="30" t="s">
        <v>1471</v>
      </c>
      <c r="P699" s="30" t="s">
        <v>1739</v>
      </c>
      <c r="Q699" s="84" t="s">
        <v>2463</v>
      </c>
      <c r="S699" t="b">
        <v>0</v>
      </c>
    </row>
    <row r="700" spans="14:19" x14ac:dyDescent="0.25">
      <c r="N700" s="23" t="s">
        <v>106</v>
      </c>
      <c r="O700" s="30" t="s">
        <v>1471</v>
      </c>
      <c r="P700" s="30" t="s">
        <v>1740</v>
      </c>
      <c r="Q700" s="84" t="s">
        <v>2463</v>
      </c>
      <c r="S700" t="b">
        <v>0</v>
      </c>
    </row>
    <row r="701" spans="14:19" x14ac:dyDescent="0.25">
      <c r="N701" s="23" t="s">
        <v>106</v>
      </c>
      <c r="O701" s="30" t="s">
        <v>1471</v>
      </c>
      <c r="P701" s="30" t="s">
        <v>1741</v>
      </c>
      <c r="Q701" s="84" t="s">
        <v>2463</v>
      </c>
      <c r="S701" t="b">
        <v>0</v>
      </c>
    </row>
    <row r="702" spans="14:19" x14ac:dyDescent="0.25">
      <c r="N702" s="23" t="s">
        <v>106</v>
      </c>
      <c r="O702" s="30" t="s">
        <v>1471</v>
      </c>
      <c r="P702" s="30" t="s">
        <v>1742</v>
      </c>
      <c r="Q702" s="84" t="s">
        <v>2463</v>
      </c>
      <c r="S702" t="b">
        <v>0</v>
      </c>
    </row>
    <row r="703" spans="14:19" x14ac:dyDescent="0.25">
      <c r="N703" s="23" t="s">
        <v>106</v>
      </c>
      <c r="O703" s="30" t="s">
        <v>1471</v>
      </c>
      <c r="P703" s="30" t="s">
        <v>1743</v>
      </c>
      <c r="Q703" s="84" t="s">
        <v>2463</v>
      </c>
      <c r="S703" t="b">
        <v>0</v>
      </c>
    </row>
    <row r="704" spans="14:19" x14ac:dyDescent="0.25">
      <c r="N704" s="23" t="s">
        <v>106</v>
      </c>
      <c r="O704" s="30" t="s">
        <v>1471</v>
      </c>
      <c r="P704" s="30" t="s">
        <v>1744</v>
      </c>
      <c r="Q704" s="84" t="s">
        <v>2463</v>
      </c>
      <c r="S704" t="b">
        <v>0</v>
      </c>
    </row>
    <row r="705" spans="14:19" x14ac:dyDescent="0.25">
      <c r="N705" s="23" t="s">
        <v>106</v>
      </c>
      <c r="O705" s="30" t="s">
        <v>1471</v>
      </c>
      <c r="P705" s="30" t="s">
        <v>1745</v>
      </c>
      <c r="Q705" s="84" t="s">
        <v>2463</v>
      </c>
      <c r="S705" t="b">
        <v>0</v>
      </c>
    </row>
    <row r="706" spans="14:19" x14ac:dyDescent="0.25">
      <c r="N706" s="23" t="s">
        <v>106</v>
      </c>
      <c r="O706" s="30" t="s">
        <v>1471</v>
      </c>
      <c r="P706" s="30" t="s">
        <v>1746</v>
      </c>
      <c r="Q706" s="84" t="s">
        <v>2463</v>
      </c>
      <c r="S706" t="b">
        <v>0</v>
      </c>
    </row>
    <row r="707" spans="14:19" x14ac:dyDescent="0.25">
      <c r="N707" s="23" t="s">
        <v>106</v>
      </c>
      <c r="O707" s="30" t="s">
        <v>1471</v>
      </c>
      <c r="P707" s="30" t="s">
        <v>1747</v>
      </c>
      <c r="Q707" s="84" t="s">
        <v>2463</v>
      </c>
      <c r="S707" t="b">
        <v>0</v>
      </c>
    </row>
    <row r="708" spans="14:19" x14ac:dyDescent="0.25">
      <c r="N708" s="23" t="s">
        <v>106</v>
      </c>
      <c r="O708" s="30" t="s">
        <v>1471</v>
      </c>
      <c r="P708" s="30" t="s">
        <v>1748</v>
      </c>
      <c r="Q708" s="84" t="s">
        <v>2463</v>
      </c>
      <c r="S708" t="b">
        <v>0</v>
      </c>
    </row>
    <row r="709" spans="14:19" x14ac:dyDescent="0.25">
      <c r="N709" s="23" t="s">
        <v>106</v>
      </c>
      <c r="O709" s="30" t="s">
        <v>1471</v>
      </c>
      <c r="P709" s="30" t="s">
        <v>1749</v>
      </c>
      <c r="Q709" s="84" t="s">
        <v>2463</v>
      </c>
      <c r="S709" t="b">
        <v>0</v>
      </c>
    </row>
    <row r="710" spans="14:19" x14ac:dyDescent="0.25">
      <c r="N710" s="23" t="s">
        <v>106</v>
      </c>
      <c r="O710" s="30" t="s">
        <v>1471</v>
      </c>
      <c r="P710" s="30" t="s">
        <v>1750</v>
      </c>
      <c r="Q710" s="84" t="s">
        <v>2463</v>
      </c>
      <c r="S710" t="b">
        <v>0</v>
      </c>
    </row>
    <row r="711" spans="14:19" x14ac:dyDescent="0.25">
      <c r="N711" s="23" t="s">
        <v>106</v>
      </c>
      <c r="O711" s="30" t="s">
        <v>1471</v>
      </c>
      <c r="P711" s="30" t="s">
        <v>1751</v>
      </c>
      <c r="Q711" s="84" t="s">
        <v>2463</v>
      </c>
      <c r="S711" t="b">
        <v>0</v>
      </c>
    </row>
    <row r="712" spans="14:19" x14ac:dyDescent="0.25">
      <c r="N712" s="23" t="s">
        <v>106</v>
      </c>
      <c r="O712" s="30" t="s">
        <v>1471</v>
      </c>
      <c r="P712" s="30" t="s">
        <v>1752</v>
      </c>
      <c r="Q712" s="84" t="s">
        <v>2463</v>
      </c>
      <c r="S712" t="b">
        <v>0</v>
      </c>
    </row>
    <row r="713" spans="14:19" x14ac:dyDescent="0.25">
      <c r="N713" s="23" t="s">
        <v>106</v>
      </c>
      <c r="O713" s="30" t="s">
        <v>1471</v>
      </c>
      <c r="P713" s="30" t="s">
        <v>1753</v>
      </c>
      <c r="Q713" s="84" t="s">
        <v>2463</v>
      </c>
      <c r="S713" t="b">
        <v>0</v>
      </c>
    </row>
    <row r="714" spans="14:19" x14ac:dyDescent="0.25">
      <c r="N714" s="23" t="s">
        <v>106</v>
      </c>
      <c r="O714" s="30" t="s">
        <v>1471</v>
      </c>
      <c r="P714" s="30" t="s">
        <v>1754</v>
      </c>
      <c r="Q714" s="84" t="s">
        <v>2463</v>
      </c>
      <c r="S714" t="b">
        <v>0</v>
      </c>
    </row>
    <row r="715" spans="14:19" x14ac:dyDescent="0.25">
      <c r="N715" s="23" t="s">
        <v>106</v>
      </c>
      <c r="O715" s="30" t="s">
        <v>1471</v>
      </c>
      <c r="P715" s="30" t="s">
        <v>1755</v>
      </c>
      <c r="Q715" s="84" t="s">
        <v>2463</v>
      </c>
      <c r="S715" t="b">
        <v>0</v>
      </c>
    </row>
    <row r="716" spans="14:19" x14ac:dyDescent="0.25">
      <c r="N716" s="23" t="s">
        <v>106</v>
      </c>
      <c r="O716" s="30" t="s">
        <v>1471</v>
      </c>
      <c r="P716" s="30" t="s">
        <v>1756</v>
      </c>
      <c r="Q716" s="84" t="s">
        <v>2463</v>
      </c>
      <c r="S716" t="b">
        <v>0</v>
      </c>
    </row>
    <row r="717" spans="14:19" x14ac:dyDescent="0.25">
      <c r="N717" s="23" t="s">
        <v>106</v>
      </c>
      <c r="O717" s="30" t="s">
        <v>1471</v>
      </c>
      <c r="P717" s="30" t="s">
        <v>1757</v>
      </c>
      <c r="Q717" s="84" t="s">
        <v>2463</v>
      </c>
      <c r="S717" t="b">
        <v>0</v>
      </c>
    </row>
    <row r="718" spans="14:19" x14ac:dyDescent="0.25">
      <c r="N718" s="23" t="s">
        <v>106</v>
      </c>
      <c r="O718" s="30" t="s">
        <v>1471</v>
      </c>
      <c r="P718" s="30" t="s">
        <v>1758</v>
      </c>
      <c r="Q718" s="84" t="s">
        <v>2463</v>
      </c>
      <c r="S718" t="b">
        <v>0</v>
      </c>
    </row>
    <row r="719" spans="14:19" x14ac:dyDescent="0.25">
      <c r="N719" s="23" t="s">
        <v>106</v>
      </c>
      <c r="O719" s="30" t="s">
        <v>1471</v>
      </c>
      <c r="P719" s="30" t="s">
        <v>1759</v>
      </c>
      <c r="Q719" s="84" t="s">
        <v>2463</v>
      </c>
      <c r="S719" t="b">
        <v>0</v>
      </c>
    </row>
    <row r="720" spans="14:19" x14ac:dyDescent="0.25">
      <c r="N720" s="23" t="s">
        <v>106</v>
      </c>
      <c r="O720" s="30" t="s">
        <v>1471</v>
      </c>
      <c r="P720" s="30" t="s">
        <v>1760</v>
      </c>
      <c r="Q720" s="84" t="s">
        <v>2463</v>
      </c>
      <c r="S720" t="b">
        <v>0</v>
      </c>
    </row>
    <row r="721" spans="14:19" x14ac:dyDescent="0.25">
      <c r="N721" s="23" t="s">
        <v>106</v>
      </c>
      <c r="O721" s="30" t="s">
        <v>1471</v>
      </c>
      <c r="P721" s="30" t="s">
        <v>1761</v>
      </c>
      <c r="Q721" s="84" t="s">
        <v>2463</v>
      </c>
      <c r="S721" t="b">
        <v>0</v>
      </c>
    </row>
    <row r="722" spans="14:19" x14ac:dyDescent="0.25">
      <c r="N722" s="23" t="s">
        <v>106</v>
      </c>
      <c r="O722" s="30" t="s">
        <v>1471</v>
      </c>
      <c r="P722" s="30" t="s">
        <v>1762</v>
      </c>
      <c r="Q722" s="84" t="s">
        <v>2463</v>
      </c>
      <c r="S722" t="b">
        <v>0</v>
      </c>
    </row>
    <row r="723" spans="14:19" x14ac:dyDescent="0.25">
      <c r="N723" s="23" t="s">
        <v>106</v>
      </c>
      <c r="O723" s="30" t="s">
        <v>1471</v>
      </c>
      <c r="P723" s="30" t="s">
        <v>1763</v>
      </c>
      <c r="Q723" s="84" t="s">
        <v>2463</v>
      </c>
      <c r="S723" t="b">
        <v>0</v>
      </c>
    </row>
    <row r="724" spans="14:19" x14ac:dyDescent="0.25">
      <c r="N724" s="23" t="s">
        <v>106</v>
      </c>
      <c r="O724" s="30" t="s">
        <v>1471</v>
      </c>
      <c r="P724" s="30" t="s">
        <v>1764</v>
      </c>
      <c r="Q724" s="84" t="s">
        <v>2463</v>
      </c>
      <c r="S724" t="b">
        <v>0</v>
      </c>
    </row>
    <row r="725" spans="14:19" x14ac:dyDescent="0.25">
      <c r="N725" s="23" t="s">
        <v>106</v>
      </c>
      <c r="O725" s="30" t="s">
        <v>1471</v>
      </c>
      <c r="P725" s="30" t="s">
        <v>1765</v>
      </c>
      <c r="Q725" s="84" t="s">
        <v>2463</v>
      </c>
      <c r="S725" t="b">
        <v>0</v>
      </c>
    </row>
    <row r="726" spans="14:19" x14ac:dyDescent="0.25">
      <c r="N726" s="23" t="s">
        <v>106</v>
      </c>
      <c r="O726" s="30" t="s">
        <v>1471</v>
      </c>
      <c r="P726" s="30" t="s">
        <v>1766</v>
      </c>
      <c r="Q726" s="84" t="s">
        <v>2463</v>
      </c>
      <c r="S726" t="b">
        <v>0</v>
      </c>
    </row>
    <row r="727" spans="14:19" x14ac:dyDescent="0.25">
      <c r="N727" s="23" t="s">
        <v>106</v>
      </c>
      <c r="O727" s="30" t="s">
        <v>1471</v>
      </c>
      <c r="P727" s="30" t="s">
        <v>1767</v>
      </c>
      <c r="Q727" s="84" t="s">
        <v>2463</v>
      </c>
      <c r="S727" t="b">
        <v>0</v>
      </c>
    </row>
    <row r="728" spans="14:19" x14ac:dyDescent="0.25">
      <c r="N728" s="23" t="s">
        <v>106</v>
      </c>
      <c r="O728" s="30" t="s">
        <v>1471</v>
      </c>
      <c r="P728" s="30" t="s">
        <v>1768</v>
      </c>
      <c r="Q728" s="84" t="s">
        <v>2463</v>
      </c>
      <c r="S728" t="b">
        <v>0</v>
      </c>
    </row>
    <row r="729" spans="14:19" x14ac:dyDescent="0.25">
      <c r="N729" s="23" t="s">
        <v>106</v>
      </c>
      <c r="O729" s="30" t="s">
        <v>1471</v>
      </c>
      <c r="P729" s="30" t="s">
        <v>1769</v>
      </c>
      <c r="Q729" s="84" t="s">
        <v>2463</v>
      </c>
      <c r="S729" t="b">
        <v>0</v>
      </c>
    </row>
    <row r="730" spans="14:19" x14ac:dyDescent="0.25">
      <c r="N730" s="23" t="s">
        <v>106</v>
      </c>
      <c r="O730" s="30" t="s">
        <v>1471</v>
      </c>
      <c r="P730" s="30" t="s">
        <v>1770</v>
      </c>
      <c r="Q730" s="84" t="s">
        <v>2463</v>
      </c>
      <c r="S730" t="b">
        <v>0</v>
      </c>
    </row>
    <row r="731" spans="14:19" x14ac:dyDescent="0.25">
      <c r="N731" s="23" t="s">
        <v>106</v>
      </c>
      <c r="O731" s="30" t="s">
        <v>1471</v>
      </c>
      <c r="P731" s="30" t="s">
        <v>1771</v>
      </c>
      <c r="Q731" s="84" t="s">
        <v>2463</v>
      </c>
      <c r="S731" t="b">
        <v>0</v>
      </c>
    </row>
    <row r="732" spans="14:19" x14ac:dyDescent="0.25">
      <c r="N732" s="23" t="s">
        <v>106</v>
      </c>
      <c r="O732" s="30" t="s">
        <v>1471</v>
      </c>
      <c r="P732" s="30" t="s">
        <v>1772</v>
      </c>
      <c r="Q732" s="84" t="s">
        <v>2463</v>
      </c>
      <c r="S732" t="b">
        <v>0</v>
      </c>
    </row>
    <row r="733" spans="14:19" x14ac:dyDescent="0.25">
      <c r="N733" s="23" t="s">
        <v>106</v>
      </c>
      <c r="O733" s="30" t="s">
        <v>1471</v>
      </c>
      <c r="P733" s="30" t="s">
        <v>1773</v>
      </c>
      <c r="Q733" s="84" t="s">
        <v>2463</v>
      </c>
      <c r="S733" t="b">
        <v>0</v>
      </c>
    </row>
    <row r="734" spans="14:19" x14ac:dyDescent="0.25">
      <c r="N734" s="23" t="s">
        <v>106</v>
      </c>
      <c r="O734" s="30" t="s">
        <v>1471</v>
      </c>
      <c r="P734" s="30" t="s">
        <v>1774</v>
      </c>
      <c r="Q734" s="84" t="s">
        <v>2463</v>
      </c>
      <c r="S734" t="b">
        <v>0</v>
      </c>
    </row>
    <row r="735" spans="14:19" x14ac:dyDescent="0.25">
      <c r="N735" s="23" t="s">
        <v>106</v>
      </c>
      <c r="O735" s="30" t="s">
        <v>1471</v>
      </c>
      <c r="P735" s="30" t="s">
        <v>1775</v>
      </c>
      <c r="Q735" s="84" t="s">
        <v>2463</v>
      </c>
      <c r="S735" t="b">
        <v>0</v>
      </c>
    </row>
    <row r="736" spans="14:19" x14ac:dyDescent="0.25">
      <c r="N736" s="23" t="s">
        <v>106</v>
      </c>
      <c r="O736" s="30" t="s">
        <v>1471</v>
      </c>
      <c r="P736" s="30" t="s">
        <v>1776</v>
      </c>
      <c r="Q736" s="84" t="s">
        <v>2463</v>
      </c>
      <c r="S736" t="b">
        <v>0</v>
      </c>
    </row>
    <row r="737" spans="14:19" x14ac:dyDescent="0.25">
      <c r="N737" s="23" t="s">
        <v>106</v>
      </c>
      <c r="O737" s="30" t="s">
        <v>1471</v>
      </c>
      <c r="P737" s="30" t="s">
        <v>1777</v>
      </c>
      <c r="Q737" s="84" t="s">
        <v>2463</v>
      </c>
      <c r="S737" t="b">
        <v>0</v>
      </c>
    </row>
    <row r="738" spans="14:19" x14ac:dyDescent="0.25">
      <c r="N738" s="23" t="s">
        <v>106</v>
      </c>
      <c r="O738" s="30" t="s">
        <v>1471</v>
      </c>
      <c r="P738" s="30" t="s">
        <v>1778</v>
      </c>
      <c r="Q738" s="84" t="s">
        <v>2463</v>
      </c>
      <c r="S738" t="b">
        <v>0</v>
      </c>
    </row>
    <row r="739" spans="14:19" x14ac:dyDescent="0.25">
      <c r="N739" s="23" t="s">
        <v>106</v>
      </c>
      <c r="O739" s="30" t="s">
        <v>1471</v>
      </c>
      <c r="P739" s="30" t="s">
        <v>1779</v>
      </c>
      <c r="Q739" s="84" t="s">
        <v>2463</v>
      </c>
      <c r="S739" t="b">
        <v>0</v>
      </c>
    </row>
    <row r="740" spans="14:19" x14ac:dyDescent="0.25">
      <c r="N740" s="23" t="s">
        <v>106</v>
      </c>
      <c r="O740" s="30" t="s">
        <v>1471</v>
      </c>
      <c r="P740" s="30" t="s">
        <v>1780</v>
      </c>
      <c r="Q740" s="84" t="s">
        <v>2463</v>
      </c>
      <c r="S740" t="b">
        <v>0</v>
      </c>
    </row>
    <row r="741" spans="14:19" x14ac:dyDescent="0.25">
      <c r="N741" s="23" t="s">
        <v>106</v>
      </c>
      <c r="O741" s="30" t="s">
        <v>1471</v>
      </c>
      <c r="P741" s="30" t="s">
        <v>1781</v>
      </c>
      <c r="Q741" s="84" t="s">
        <v>2463</v>
      </c>
      <c r="S741" t="b">
        <v>0</v>
      </c>
    </row>
    <row r="742" spans="14:19" x14ac:dyDescent="0.25">
      <c r="N742" s="23" t="s">
        <v>106</v>
      </c>
      <c r="O742" s="30" t="s">
        <v>1471</v>
      </c>
      <c r="P742" s="30" t="s">
        <v>1782</v>
      </c>
      <c r="Q742" s="84" t="s">
        <v>2463</v>
      </c>
      <c r="S742" t="b">
        <v>0</v>
      </c>
    </row>
    <row r="743" spans="14:19" x14ac:dyDescent="0.25">
      <c r="N743" s="23" t="s">
        <v>106</v>
      </c>
      <c r="O743" s="30" t="s">
        <v>1471</v>
      </c>
      <c r="P743" s="30" t="s">
        <v>1783</v>
      </c>
      <c r="Q743" s="84" t="s">
        <v>2463</v>
      </c>
      <c r="S743" t="b">
        <v>0</v>
      </c>
    </row>
    <row r="744" spans="14:19" x14ac:dyDescent="0.25">
      <c r="N744" s="23" t="s">
        <v>106</v>
      </c>
      <c r="O744" s="30" t="s">
        <v>1471</v>
      </c>
      <c r="P744" s="30" t="s">
        <v>1784</v>
      </c>
      <c r="Q744" s="84" t="s">
        <v>2462</v>
      </c>
      <c r="S744" t="b">
        <v>0</v>
      </c>
    </row>
    <row r="745" spans="14:19" x14ac:dyDescent="0.25">
      <c r="N745" s="23" t="s">
        <v>106</v>
      </c>
      <c r="O745" s="30" t="s">
        <v>1471</v>
      </c>
      <c r="P745" s="30" t="s">
        <v>1785</v>
      </c>
      <c r="Q745" s="84" t="s">
        <v>2462</v>
      </c>
      <c r="S745" t="b">
        <v>0</v>
      </c>
    </row>
    <row r="746" spans="14:19" x14ac:dyDescent="0.25">
      <c r="N746" s="23" t="s">
        <v>106</v>
      </c>
      <c r="O746" s="30" t="s">
        <v>1471</v>
      </c>
      <c r="P746" s="30" t="s">
        <v>1786</v>
      </c>
      <c r="Q746" s="84" t="s">
        <v>2462</v>
      </c>
      <c r="S746" t="b">
        <v>0</v>
      </c>
    </row>
    <row r="747" spans="14:19" x14ac:dyDescent="0.25">
      <c r="N747" s="23" t="s">
        <v>106</v>
      </c>
      <c r="O747" s="30" t="s">
        <v>1471</v>
      </c>
      <c r="P747" s="30" t="s">
        <v>1787</v>
      </c>
      <c r="Q747" s="84" t="s">
        <v>2462</v>
      </c>
      <c r="S747" t="b">
        <v>0</v>
      </c>
    </row>
    <row r="748" spans="14:19" x14ac:dyDescent="0.25">
      <c r="N748" s="23" t="s">
        <v>106</v>
      </c>
      <c r="O748" s="30" t="s">
        <v>1471</v>
      </c>
      <c r="P748" s="30" t="s">
        <v>1788</v>
      </c>
      <c r="Q748" s="84" t="s">
        <v>2462</v>
      </c>
      <c r="S748" t="b">
        <v>0</v>
      </c>
    </row>
    <row r="749" spans="14:19" x14ac:dyDescent="0.25">
      <c r="N749" s="23" t="s">
        <v>106</v>
      </c>
      <c r="O749" s="30" t="s">
        <v>1471</v>
      </c>
      <c r="P749" s="30" t="s">
        <v>1789</v>
      </c>
      <c r="Q749" s="84" t="s">
        <v>2462</v>
      </c>
      <c r="S749" t="b">
        <v>0</v>
      </c>
    </row>
    <row r="750" spans="14:19" x14ac:dyDescent="0.25">
      <c r="N750" s="23" t="s">
        <v>106</v>
      </c>
      <c r="O750" s="30" t="s">
        <v>1471</v>
      </c>
      <c r="P750" s="30" t="s">
        <v>1790</v>
      </c>
      <c r="Q750" s="84" t="s">
        <v>2462</v>
      </c>
      <c r="S750" t="b">
        <v>0</v>
      </c>
    </row>
    <row r="751" spans="14:19" x14ac:dyDescent="0.25">
      <c r="N751" s="23" t="s">
        <v>106</v>
      </c>
      <c r="O751" s="30" t="s">
        <v>1471</v>
      </c>
      <c r="P751" s="30" t="s">
        <v>1791</v>
      </c>
      <c r="Q751" s="84" t="s">
        <v>2462</v>
      </c>
      <c r="S751" t="b">
        <v>0</v>
      </c>
    </row>
    <row r="752" spans="14:19" x14ac:dyDescent="0.25">
      <c r="N752" s="23" t="s">
        <v>106</v>
      </c>
      <c r="O752" s="30" t="s">
        <v>1471</v>
      </c>
      <c r="P752" s="30" t="s">
        <v>1792</v>
      </c>
      <c r="Q752" s="84" t="s">
        <v>2462</v>
      </c>
      <c r="S752" t="b">
        <v>0</v>
      </c>
    </row>
    <row r="753" spans="14:19" x14ac:dyDescent="0.25">
      <c r="N753" s="23" t="s">
        <v>106</v>
      </c>
      <c r="O753" s="30" t="s">
        <v>1471</v>
      </c>
      <c r="P753" s="30" t="s">
        <v>1793</v>
      </c>
      <c r="Q753" s="84" t="s">
        <v>2462</v>
      </c>
      <c r="S753" t="b">
        <v>0</v>
      </c>
    </row>
    <row r="754" spans="14:19" x14ac:dyDescent="0.25">
      <c r="N754" s="23" t="s">
        <v>106</v>
      </c>
      <c r="O754" s="30" t="s">
        <v>1471</v>
      </c>
      <c r="P754" s="30" t="s">
        <v>1794</v>
      </c>
      <c r="Q754" s="84" t="s">
        <v>2462</v>
      </c>
      <c r="S754" t="b">
        <v>0</v>
      </c>
    </row>
    <row r="755" spans="14:19" x14ac:dyDescent="0.25">
      <c r="N755" s="23" t="s">
        <v>106</v>
      </c>
      <c r="O755" s="30" t="s">
        <v>1471</v>
      </c>
      <c r="P755" s="30" t="s">
        <v>1795</v>
      </c>
      <c r="Q755" s="84" t="s">
        <v>2462</v>
      </c>
      <c r="S755" t="b">
        <v>0</v>
      </c>
    </row>
    <row r="756" spans="14:19" x14ac:dyDescent="0.25">
      <c r="N756" s="23" t="s">
        <v>106</v>
      </c>
      <c r="O756" s="30" t="s">
        <v>1471</v>
      </c>
      <c r="P756" s="30" t="s">
        <v>1796</v>
      </c>
      <c r="Q756" s="84" t="s">
        <v>2462</v>
      </c>
      <c r="S756" t="b">
        <v>0</v>
      </c>
    </row>
    <row r="757" spans="14:19" x14ac:dyDescent="0.25">
      <c r="N757" s="23" t="s">
        <v>106</v>
      </c>
      <c r="O757" s="30" t="s">
        <v>1471</v>
      </c>
      <c r="P757" s="30" t="s">
        <v>1797</v>
      </c>
      <c r="Q757" s="84" t="s">
        <v>2462</v>
      </c>
      <c r="S757" t="b">
        <v>0</v>
      </c>
    </row>
    <row r="758" spans="14:19" x14ac:dyDescent="0.25">
      <c r="N758" s="23" t="s">
        <v>106</v>
      </c>
      <c r="O758" s="30" t="s">
        <v>1471</v>
      </c>
      <c r="P758" s="30" t="s">
        <v>1798</v>
      </c>
      <c r="Q758" s="84" t="s">
        <v>2462</v>
      </c>
      <c r="S758" t="b">
        <v>0</v>
      </c>
    </row>
    <row r="759" spans="14:19" x14ac:dyDescent="0.25">
      <c r="N759" s="23" t="s">
        <v>106</v>
      </c>
      <c r="O759" s="30" t="s">
        <v>1471</v>
      </c>
      <c r="P759" s="30" t="s">
        <v>1799</v>
      </c>
      <c r="Q759" s="84" t="s">
        <v>2462</v>
      </c>
      <c r="S759" t="b">
        <v>0</v>
      </c>
    </row>
    <row r="760" spans="14:19" x14ac:dyDescent="0.25">
      <c r="N760" s="23" t="s">
        <v>106</v>
      </c>
      <c r="O760" s="30" t="s">
        <v>1471</v>
      </c>
      <c r="P760" s="30" t="s">
        <v>1800</v>
      </c>
      <c r="Q760" s="84" t="s">
        <v>2462</v>
      </c>
      <c r="S760" t="b">
        <v>0</v>
      </c>
    </row>
    <row r="761" spans="14:19" x14ac:dyDescent="0.25">
      <c r="N761" s="23" t="s">
        <v>106</v>
      </c>
      <c r="O761" s="30" t="s">
        <v>1471</v>
      </c>
      <c r="P761" s="30" t="s">
        <v>1801</v>
      </c>
      <c r="Q761" s="84" t="s">
        <v>2462</v>
      </c>
      <c r="S761" t="b">
        <v>0</v>
      </c>
    </row>
    <row r="762" spans="14:19" x14ac:dyDescent="0.25">
      <c r="N762" s="23" t="s">
        <v>106</v>
      </c>
      <c r="O762" s="30" t="s">
        <v>1471</v>
      </c>
      <c r="P762" s="30" t="s">
        <v>1802</v>
      </c>
      <c r="Q762" s="84" t="s">
        <v>2462</v>
      </c>
      <c r="S762" t="b">
        <v>0</v>
      </c>
    </row>
    <row r="763" spans="14:19" x14ac:dyDescent="0.25">
      <c r="N763" s="23" t="s">
        <v>106</v>
      </c>
      <c r="O763" s="30" t="s">
        <v>1471</v>
      </c>
      <c r="P763" s="30" t="s">
        <v>1803</v>
      </c>
      <c r="Q763" s="84" t="s">
        <v>2462</v>
      </c>
      <c r="S763" t="b">
        <v>0</v>
      </c>
    </row>
    <row r="764" spans="14:19" x14ac:dyDescent="0.25">
      <c r="N764" s="23" t="s">
        <v>106</v>
      </c>
      <c r="O764" s="30" t="s">
        <v>1471</v>
      </c>
      <c r="P764" s="30" t="s">
        <v>1804</v>
      </c>
      <c r="Q764" s="84" t="s">
        <v>2462</v>
      </c>
      <c r="S764" t="b">
        <v>0</v>
      </c>
    </row>
    <row r="765" spans="14:19" x14ac:dyDescent="0.25">
      <c r="N765" s="23" t="s">
        <v>106</v>
      </c>
      <c r="O765" s="30" t="s">
        <v>1471</v>
      </c>
      <c r="P765" s="30" t="s">
        <v>1805</v>
      </c>
      <c r="Q765" s="84" t="s">
        <v>2462</v>
      </c>
      <c r="S765" t="b">
        <v>0</v>
      </c>
    </row>
    <row r="766" spans="14:19" x14ac:dyDescent="0.25">
      <c r="N766" s="23" t="s">
        <v>106</v>
      </c>
      <c r="O766" s="30" t="s">
        <v>1471</v>
      </c>
      <c r="P766" s="30" t="s">
        <v>1806</v>
      </c>
      <c r="Q766" s="84" t="s">
        <v>2462</v>
      </c>
      <c r="S766" t="b">
        <v>0</v>
      </c>
    </row>
    <row r="767" spans="14:19" x14ac:dyDescent="0.25">
      <c r="N767" s="23" t="s">
        <v>106</v>
      </c>
      <c r="O767" s="30" t="s">
        <v>1471</v>
      </c>
      <c r="P767" s="30" t="s">
        <v>1807</v>
      </c>
      <c r="Q767" s="84" t="s">
        <v>2462</v>
      </c>
      <c r="S767" t="b">
        <v>0</v>
      </c>
    </row>
    <row r="768" spans="14:19" x14ac:dyDescent="0.25">
      <c r="N768" s="23" t="s">
        <v>106</v>
      </c>
      <c r="O768" s="30" t="s">
        <v>1471</v>
      </c>
      <c r="P768" s="30" t="s">
        <v>1808</v>
      </c>
      <c r="Q768" s="84" t="s">
        <v>2462</v>
      </c>
      <c r="S768" t="b">
        <v>0</v>
      </c>
    </row>
    <row r="769" spans="14:19" x14ac:dyDescent="0.25">
      <c r="N769" s="23" t="s">
        <v>106</v>
      </c>
      <c r="O769" s="30" t="s">
        <v>1471</v>
      </c>
      <c r="P769" s="30" t="s">
        <v>1809</v>
      </c>
      <c r="Q769" s="84" t="s">
        <v>2462</v>
      </c>
      <c r="S769" t="b">
        <v>0</v>
      </c>
    </row>
    <row r="770" spans="14:19" x14ac:dyDescent="0.25">
      <c r="N770" s="23" t="s">
        <v>106</v>
      </c>
      <c r="O770" s="30" t="s">
        <v>1471</v>
      </c>
      <c r="P770" s="30" t="s">
        <v>1810</v>
      </c>
      <c r="Q770" s="84" t="s">
        <v>2462</v>
      </c>
      <c r="S770" t="b">
        <v>0</v>
      </c>
    </row>
    <row r="771" spans="14:19" x14ac:dyDescent="0.25">
      <c r="N771" s="23" t="s">
        <v>106</v>
      </c>
      <c r="O771" s="30" t="s">
        <v>1471</v>
      </c>
      <c r="P771" s="30" t="s">
        <v>1811</v>
      </c>
      <c r="Q771" s="84" t="s">
        <v>2462</v>
      </c>
      <c r="S771" t="b">
        <v>0</v>
      </c>
    </row>
    <row r="772" spans="14:19" x14ac:dyDescent="0.25">
      <c r="N772" s="23" t="s">
        <v>106</v>
      </c>
      <c r="O772" s="30" t="s">
        <v>1471</v>
      </c>
      <c r="P772" s="30" t="s">
        <v>1812</v>
      </c>
      <c r="Q772" s="84" t="s">
        <v>2462</v>
      </c>
      <c r="S772" t="b">
        <v>0</v>
      </c>
    </row>
    <row r="773" spans="14:19" x14ac:dyDescent="0.25">
      <c r="N773" s="23" t="s">
        <v>106</v>
      </c>
      <c r="O773" s="30" t="s">
        <v>1471</v>
      </c>
      <c r="P773" s="30" t="s">
        <v>1813</v>
      </c>
      <c r="Q773" s="84" t="s">
        <v>2462</v>
      </c>
      <c r="S773" t="b">
        <v>0</v>
      </c>
    </row>
    <row r="774" spans="14:19" x14ac:dyDescent="0.25">
      <c r="N774" s="23" t="s">
        <v>106</v>
      </c>
      <c r="O774" s="30" t="s">
        <v>1471</v>
      </c>
      <c r="P774" s="30" t="s">
        <v>1814</v>
      </c>
      <c r="Q774" s="84" t="s">
        <v>2462</v>
      </c>
      <c r="S774" t="b">
        <v>0</v>
      </c>
    </row>
    <row r="775" spans="14:19" x14ac:dyDescent="0.25">
      <c r="N775" s="23" t="s">
        <v>106</v>
      </c>
      <c r="O775" s="30" t="s">
        <v>1471</v>
      </c>
      <c r="P775" s="30" t="s">
        <v>1815</v>
      </c>
      <c r="Q775" s="84" t="s">
        <v>2462</v>
      </c>
      <c r="S775" t="b">
        <v>0</v>
      </c>
    </row>
    <row r="776" spans="14:19" x14ac:dyDescent="0.25">
      <c r="N776" s="23" t="s">
        <v>106</v>
      </c>
      <c r="O776" s="30" t="s">
        <v>1471</v>
      </c>
      <c r="P776" s="30" t="s">
        <v>1816</v>
      </c>
      <c r="Q776" s="84" t="s">
        <v>2462</v>
      </c>
      <c r="S776" t="b">
        <v>0</v>
      </c>
    </row>
    <row r="777" spans="14:19" x14ac:dyDescent="0.25">
      <c r="N777" s="23" t="s">
        <v>106</v>
      </c>
      <c r="O777" s="30" t="s">
        <v>1471</v>
      </c>
      <c r="P777" s="30" t="s">
        <v>1817</v>
      </c>
      <c r="Q777" s="84" t="s">
        <v>2462</v>
      </c>
      <c r="S777" t="b">
        <v>0</v>
      </c>
    </row>
    <row r="778" spans="14:19" x14ac:dyDescent="0.25">
      <c r="N778" s="23" t="s">
        <v>106</v>
      </c>
      <c r="O778" s="30" t="s">
        <v>1471</v>
      </c>
      <c r="P778" s="30" t="s">
        <v>1818</v>
      </c>
      <c r="Q778" s="84" t="s">
        <v>2462</v>
      </c>
      <c r="S778" t="b">
        <v>0</v>
      </c>
    </row>
    <row r="779" spans="14:19" x14ac:dyDescent="0.25">
      <c r="N779" s="23" t="s">
        <v>106</v>
      </c>
      <c r="O779" s="30" t="s">
        <v>1471</v>
      </c>
      <c r="P779" s="30" t="s">
        <v>1819</v>
      </c>
      <c r="Q779" s="84" t="s">
        <v>2462</v>
      </c>
      <c r="S779" t="b">
        <v>0</v>
      </c>
    </row>
    <row r="780" spans="14:19" x14ac:dyDescent="0.25">
      <c r="N780" s="23" t="s">
        <v>106</v>
      </c>
      <c r="O780" s="30" t="s">
        <v>1471</v>
      </c>
      <c r="P780" s="30" t="s">
        <v>1820</v>
      </c>
      <c r="Q780" s="84" t="s">
        <v>2462</v>
      </c>
      <c r="S780" t="b">
        <v>0</v>
      </c>
    </row>
    <row r="781" spans="14:19" x14ac:dyDescent="0.25">
      <c r="N781" s="23" t="s">
        <v>106</v>
      </c>
      <c r="O781" s="30" t="s">
        <v>1471</v>
      </c>
      <c r="P781" s="30" t="s">
        <v>1821</v>
      </c>
      <c r="Q781" s="84" t="s">
        <v>2462</v>
      </c>
      <c r="S781" t="b">
        <v>0</v>
      </c>
    </row>
    <row r="782" spans="14:19" x14ac:dyDescent="0.25">
      <c r="N782" s="23" t="s">
        <v>102</v>
      </c>
      <c r="O782" s="30" t="s">
        <v>483</v>
      </c>
      <c r="P782" s="30" t="s">
        <v>484</v>
      </c>
      <c r="Q782" s="84" t="s">
        <v>2463</v>
      </c>
      <c r="S782" t="b">
        <v>0</v>
      </c>
    </row>
    <row r="783" spans="14:19" x14ac:dyDescent="0.25">
      <c r="N783" s="23" t="s">
        <v>102</v>
      </c>
      <c r="O783" s="30" t="s">
        <v>483</v>
      </c>
      <c r="P783" s="30" t="s">
        <v>485</v>
      </c>
      <c r="Q783" s="84" t="s">
        <v>2463</v>
      </c>
      <c r="S783" t="b">
        <v>0</v>
      </c>
    </row>
    <row r="784" spans="14:19" x14ac:dyDescent="0.25">
      <c r="N784" s="23" t="s">
        <v>102</v>
      </c>
      <c r="O784" s="30" t="s">
        <v>483</v>
      </c>
      <c r="P784" s="30" t="s">
        <v>486</v>
      </c>
      <c r="Q784" s="84" t="s">
        <v>2463</v>
      </c>
      <c r="S784" t="b">
        <v>0</v>
      </c>
    </row>
    <row r="785" spans="14:19" x14ac:dyDescent="0.25">
      <c r="N785" s="23" t="s">
        <v>102</v>
      </c>
      <c r="O785" s="30" t="s">
        <v>483</v>
      </c>
      <c r="P785" s="30" t="s">
        <v>487</v>
      </c>
      <c r="Q785" s="84" t="s">
        <v>2463</v>
      </c>
      <c r="S785" t="b">
        <v>0</v>
      </c>
    </row>
    <row r="786" spans="14:19" x14ac:dyDescent="0.25">
      <c r="N786" s="23" t="s">
        <v>102</v>
      </c>
      <c r="O786" s="30" t="s">
        <v>483</v>
      </c>
      <c r="P786" s="30" t="s">
        <v>488</v>
      </c>
      <c r="Q786" s="84" t="s">
        <v>2463</v>
      </c>
      <c r="S786" t="b">
        <v>0</v>
      </c>
    </row>
    <row r="787" spans="14:19" x14ac:dyDescent="0.25">
      <c r="N787" s="23" t="s">
        <v>102</v>
      </c>
      <c r="O787" s="30" t="s">
        <v>483</v>
      </c>
      <c r="P787" s="30" t="s">
        <v>489</v>
      </c>
      <c r="Q787" s="84" t="s">
        <v>2462</v>
      </c>
      <c r="S787" t="b">
        <v>0</v>
      </c>
    </row>
    <row r="788" spans="14:19" x14ac:dyDescent="0.25">
      <c r="N788" s="23" t="s">
        <v>102</v>
      </c>
      <c r="O788" s="30" t="s">
        <v>483</v>
      </c>
      <c r="P788" s="30" t="s">
        <v>490</v>
      </c>
      <c r="Q788" s="84" t="s">
        <v>2462</v>
      </c>
      <c r="S788" t="b">
        <v>0</v>
      </c>
    </row>
    <row r="789" spans="14:19" x14ac:dyDescent="0.25">
      <c r="N789" s="23" t="s">
        <v>102</v>
      </c>
      <c r="O789" s="30" t="s">
        <v>483</v>
      </c>
      <c r="P789" s="30" t="s">
        <v>491</v>
      </c>
      <c r="Q789" s="84" t="s">
        <v>2462</v>
      </c>
      <c r="S789" t="b">
        <v>0</v>
      </c>
    </row>
    <row r="790" spans="14:19" x14ac:dyDescent="0.25">
      <c r="N790" s="23" t="s">
        <v>102</v>
      </c>
      <c r="O790" s="30" t="s">
        <v>483</v>
      </c>
      <c r="P790" s="30" t="s">
        <v>492</v>
      </c>
      <c r="Q790" s="84" t="s">
        <v>2462</v>
      </c>
      <c r="S790" t="b">
        <v>0</v>
      </c>
    </row>
    <row r="791" spans="14:19" x14ac:dyDescent="0.25">
      <c r="N791" s="23" t="s">
        <v>102</v>
      </c>
      <c r="O791" s="30" t="s">
        <v>493</v>
      </c>
      <c r="P791" s="30" t="s">
        <v>494</v>
      </c>
      <c r="Q791" s="84" t="s">
        <v>2463</v>
      </c>
      <c r="S791" t="b">
        <v>0</v>
      </c>
    </row>
    <row r="792" spans="14:19" x14ac:dyDescent="0.25">
      <c r="N792" s="23" t="s">
        <v>102</v>
      </c>
      <c r="O792" s="30" t="s">
        <v>493</v>
      </c>
      <c r="P792" s="30" t="s">
        <v>495</v>
      </c>
      <c r="Q792" s="84" t="s">
        <v>2463</v>
      </c>
      <c r="S792" t="b">
        <v>0</v>
      </c>
    </row>
    <row r="793" spans="14:19" x14ac:dyDescent="0.25">
      <c r="N793" s="23" t="s">
        <v>102</v>
      </c>
      <c r="O793" s="30" t="s">
        <v>493</v>
      </c>
      <c r="P793" s="30" t="s">
        <v>496</v>
      </c>
      <c r="Q793" s="84" t="s">
        <v>2463</v>
      </c>
      <c r="S793" t="b">
        <v>0</v>
      </c>
    </row>
    <row r="794" spans="14:19" x14ac:dyDescent="0.25">
      <c r="N794" s="23" t="s">
        <v>102</v>
      </c>
      <c r="O794" s="30" t="s">
        <v>493</v>
      </c>
      <c r="P794" s="30" t="s">
        <v>497</v>
      </c>
      <c r="Q794" s="84" t="s">
        <v>2463</v>
      </c>
      <c r="S794" t="b">
        <v>0</v>
      </c>
    </row>
    <row r="795" spans="14:19" x14ac:dyDescent="0.25">
      <c r="N795" s="23" t="s">
        <v>102</v>
      </c>
      <c r="O795" s="30" t="s">
        <v>493</v>
      </c>
      <c r="P795" s="30" t="s">
        <v>498</v>
      </c>
      <c r="Q795" s="84" t="s">
        <v>2463</v>
      </c>
      <c r="S795" t="b">
        <v>0</v>
      </c>
    </row>
    <row r="796" spans="14:19" x14ac:dyDescent="0.25">
      <c r="N796" s="23" t="s">
        <v>102</v>
      </c>
      <c r="O796" s="30" t="s">
        <v>493</v>
      </c>
      <c r="P796" s="30" t="s">
        <v>499</v>
      </c>
      <c r="Q796" s="84" t="s">
        <v>2463</v>
      </c>
      <c r="S796" t="b">
        <v>0</v>
      </c>
    </row>
    <row r="797" spans="14:19" x14ac:dyDescent="0.25">
      <c r="N797" s="23" t="s">
        <v>102</v>
      </c>
      <c r="O797" s="30" t="s">
        <v>493</v>
      </c>
      <c r="P797" s="30" t="s">
        <v>500</v>
      </c>
      <c r="Q797" s="84" t="s">
        <v>2463</v>
      </c>
      <c r="S797" t="b">
        <v>0</v>
      </c>
    </row>
    <row r="798" spans="14:19" x14ac:dyDescent="0.25">
      <c r="N798" s="23" t="s">
        <v>102</v>
      </c>
      <c r="O798" s="30" t="s">
        <v>493</v>
      </c>
      <c r="P798" s="30" t="s">
        <v>501</v>
      </c>
      <c r="Q798" s="84" t="s">
        <v>2463</v>
      </c>
      <c r="S798" t="b">
        <v>0</v>
      </c>
    </row>
    <row r="799" spans="14:19" x14ac:dyDescent="0.25">
      <c r="N799" s="23" t="s">
        <v>102</v>
      </c>
      <c r="O799" s="30" t="s">
        <v>493</v>
      </c>
      <c r="P799" s="30" t="s">
        <v>502</v>
      </c>
      <c r="Q799" s="84" t="s">
        <v>2463</v>
      </c>
      <c r="S799" t="b">
        <v>0</v>
      </c>
    </row>
    <row r="800" spans="14:19" x14ac:dyDescent="0.25">
      <c r="N800" s="23" t="s">
        <v>102</v>
      </c>
      <c r="O800" s="30" t="s">
        <v>493</v>
      </c>
      <c r="P800" s="30" t="s">
        <v>503</v>
      </c>
      <c r="Q800" s="84" t="s">
        <v>2463</v>
      </c>
      <c r="S800" t="b">
        <v>0</v>
      </c>
    </row>
    <row r="801" spans="14:19" x14ac:dyDescent="0.25">
      <c r="N801" s="23" t="s">
        <v>102</v>
      </c>
      <c r="O801" s="30" t="s">
        <v>493</v>
      </c>
      <c r="P801" s="30" t="s">
        <v>504</v>
      </c>
      <c r="Q801" s="84" t="s">
        <v>2463</v>
      </c>
      <c r="S801" t="b">
        <v>0</v>
      </c>
    </row>
    <row r="802" spans="14:19" x14ac:dyDescent="0.25">
      <c r="N802" s="23" t="s">
        <v>102</v>
      </c>
      <c r="O802" s="30" t="s">
        <v>493</v>
      </c>
      <c r="P802" s="30" t="s">
        <v>505</v>
      </c>
      <c r="Q802" s="84" t="s">
        <v>2463</v>
      </c>
      <c r="S802" t="b">
        <v>0</v>
      </c>
    </row>
    <row r="803" spans="14:19" x14ac:dyDescent="0.25">
      <c r="N803" s="23" t="s">
        <v>102</v>
      </c>
      <c r="O803" s="30" t="s">
        <v>493</v>
      </c>
      <c r="P803" s="30" t="s">
        <v>506</v>
      </c>
      <c r="Q803" s="84" t="s">
        <v>2463</v>
      </c>
      <c r="S803" t="b">
        <v>0</v>
      </c>
    </row>
    <row r="804" spans="14:19" x14ac:dyDescent="0.25">
      <c r="N804" s="23" t="s">
        <v>102</v>
      </c>
      <c r="O804" s="30" t="s">
        <v>493</v>
      </c>
      <c r="P804" s="30" t="s">
        <v>507</v>
      </c>
      <c r="Q804" s="84" t="s">
        <v>2463</v>
      </c>
      <c r="S804" t="b">
        <v>0</v>
      </c>
    </row>
    <row r="805" spans="14:19" x14ac:dyDescent="0.25">
      <c r="N805" s="23" t="s">
        <v>102</v>
      </c>
      <c r="O805" s="30" t="s">
        <v>493</v>
      </c>
      <c r="P805" s="30" t="s">
        <v>508</v>
      </c>
      <c r="Q805" s="84" t="s">
        <v>2463</v>
      </c>
      <c r="S805" t="b">
        <v>0</v>
      </c>
    </row>
    <row r="806" spans="14:19" x14ac:dyDescent="0.25">
      <c r="N806" s="23" t="s">
        <v>102</v>
      </c>
      <c r="O806" s="30" t="s">
        <v>493</v>
      </c>
      <c r="P806" s="30" t="s">
        <v>509</v>
      </c>
      <c r="Q806" s="84" t="s">
        <v>2463</v>
      </c>
      <c r="S806" t="b">
        <v>0</v>
      </c>
    </row>
    <row r="807" spans="14:19" x14ac:dyDescent="0.25">
      <c r="N807" s="23" t="s">
        <v>102</v>
      </c>
      <c r="O807" s="30" t="s">
        <v>493</v>
      </c>
      <c r="P807" s="30" t="s">
        <v>510</v>
      </c>
      <c r="Q807" s="84" t="s">
        <v>2462</v>
      </c>
      <c r="S807" t="b">
        <v>0</v>
      </c>
    </row>
    <row r="808" spans="14:19" x14ac:dyDescent="0.25">
      <c r="N808" s="23" t="s">
        <v>102</v>
      </c>
      <c r="O808" s="30" t="s">
        <v>493</v>
      </c>
      <c r="P808" s="30" t="s">
        <v>511</v>
      </c>
      <c r="Q808" s="84" t="s">
        <v>2462</v>
      </c>
      <c r="S808" t="b">
        <v>0</v>
      </c>
    </row>
    <row r="809" spans="14:19" x14ac:dyDescent="0.25">
      <c r="N809" s="23" t="s">
        <v>102</v>
      </c>
      <c r="O809" s="30" t="s">
        <v>493</v>
      </c>
      <c r="P809" s="30" t="s">
        <v>512</v>
      </c>
      <c r="Q809" s="84" t="s">
        <v>2462</v>
      </c>
      <c r="S809" t="b">
        <v>0</v>
      </c>
    </row>
    <row r="810" spans="14:19" x14ac:dyDescent="0.25">
      <c r="N810" s="23" t="s">
        <v>102</v>
      </c>
      <c r="O810" s="30" t="s">
        <v>493</v>
      </c>
      <c r="P810" s="30" t="s">
        <v>513</v>
      </c>
      <c r="Q810" s="84" t="s">
        <v>2462</v>
      </c>
      <c r="S810" t="b">
        <v>0</v>
      </c>
    </row>
    <row r="811" spans="14:19" x14ac:dyDescent="0.25">
      <c r="N811" s="23" t="s">
        <v>102</v>
      </c>
      <c r="O811" s="30" t="s">
        <v>493</v>
      </c>
      <c r="P811" s="30" t="s">
        <v>514</v>
      </c>
      <c r="Q811" s="84" t="s">
        <v>2462</v>
      </c>
      <c r="S811" t="b">
        <v>0</v>
      </c>
    </row>
    <row r="812" spans="14:19" x14ac:dyDescent="0.25">
      <c r="N812" s="23" t="s">
        <v>102</v>
      </c>
      <c r="O812" s="30" t="s">
        <v>493</v>
      </c>
      <c r="P812" s="30" t="s">
        <v>515</v>
      </c>
      <c r="Q812" s="84" t="s">
        <v>2462</v>
      </c>
      <c r="S812" t="b">
        <v>0</v>
      </c>
    </row>
    <row r="813" spans="14:19" x14ac:dyDescent="0.25">
      <c r="N813" s="23" t="s">
        <v>102</v>
      </c>
      <c r="O813" s="30" t="s">
        <v>493</v>
      </c>
      <c r="P813" s="30" t="s">
        <v>516</v>
      </c>
      <c r="Q813" s="84" t="s">
        <v>2462</v>
      </c>
      <c r="S813" t="b">
        <v>0</v>
      </c>
    </row>
    <row r="814" spans="14:19" x14ac:dyDescent="0.25">
      <c r="N814" s="23" t="s">
        <v>102</v>
      </c>
      <c r="O814" s="30" t="s">
        <v>517</v>
      </c>
      <c r="P814" s="30" t="s">
        <v>518</v>
      </c>
      <c r="Q814" s="84" t="s">
        <v>2463</v>
      </c>
      <c r="S814" t="b">
        <v>0</v>
      </c>
    </row>
    <row r="815" spans="14:19" x14ac:dyDescent="0.25">
      <c r="N815" s="23" t="s">
        <v>102</v>
      </c>
      <c r="O815" s="30" t="s">
        <v>517</v>
      </c>
      <c r="P815" s="30" t="s">
        <v>519</v>
      </c>
      <c r="Q815" s="84" t="s">
        <v>2463</v>
      </c>
      <c r="S815" t="b">
        <v>0</v>
      </c>
    </row>
    <row r="816" spans="14:19" x14ac:dyDescent="0.25">
      <c r="N816" s="23" t="s">
        <v>102</v>
      </c>
      <c r="O816" s="30" t="s">
        <v>517</v>
      </c>
      <c r="P816" s="30" t="s">
        <v>520</v>
      </c>
      <c r="Q816" s="84" t="s">
        <v>2463</v>
      </c>
      <c r="S816" t="b">
        <v>0</v>
      </c>
    </row>
    <row r="817" spans="14:19" x14ac:dyDescent="0.25">
      <c r="N817" s="23" t="s">
        <v>102</v>
      </c>
      <c r="O817" s="30" t="s">
        <v>517</v>
      </c>
      <c r="P817" s="30" t="s">
        <v>521</v>
      </c>
      <c r="Q817" s="84" t="s">
        <v>2463</v>
      </c>
      <c r="S817" t="b">
        <v>0</v>
      </c>
    </row>
    <row r="818" spans="14:19" x14ac:dyDescent="0.25">
      <c r="N818" s="23" t="s">
        <v>102</v>
      </c>
      <c r="O818" s="30" t="s">
        <v>517</v>
      </c>
      <c r="P818" s="30" t="s">
        <v>522</v>
      </c>
      <c r="Q818" s="84" t="s">
        <v>2463</v>
      </c>
      <c r="S818" t="b">
        <v>0</v>
      </c>
    </row>
    <row r="819" spans="14:19" x14ac:dyDescent="0.25">
      <c r="N819" s="23" t="s">
        <v>102</v>
      </c>
      <c r="O819" s="30" t="s">
        <v>517</v>
      </c>
      <c r="P819" s="30" t="s">
        <v>523</v>
      </c>
      <c r="Q819" s="84" t="s">
        <v>2463</v>
      </c>
      <c r="S819" t="b">
        <v>0</v>
      </c>
    </row>
    <row r="820" spans="14:19" x14ac:dyDescent="0.25">
      <c r="N820" s="23" t="s">
        <v>102</v>
      </c>
      <c r="O820" s="30" t="s">
        <v>517</v>
      </c>
      <c r="P820" s="30" t="s">
        <v>524</v>
      </c>
      <c r="Q820" s="84" t="s">
        <v>2463</v>
      </c>
      <c r="S820" t="b">
        <v>0</v>
      </c>
    </row>
    <row r="821" spans="14:19" x14ac:dyDescent="0.25">
      <c r="N821" s="23" t="s">
        <v>102</v>
      </c>
      <c r="O821" s="30" t="s">
        <v>517</v>
      </c>
      <c r="P821" s="30" t="s">
        <v>525</v>
      </c>
      <c r="Q821" s="84" t="s">
        <v>2463</v>
      </c>
      <c r="S821" t="b">
        <v>0</v>
      </c>
    </row>
    <row r="822" spans="14:19" x14ac:dyDescent="0.25">
      <c r="N822" s="23" t="s">
        <v>102</v>
      </c>
      <c r="O822" s="30" t="s">
        <v>517</v>
      </c>
      <c r="P822" s="30" t="s">
        <v>526</v>
      </c>
      <c r="Q822" s="84" t="s">
        <v>2463</v>
      </c>
      <c r="S822" t="b">
        <v>0</v>
      </c>
    </row>
    <row r="823" spans="14:19" x14ac:dyDescent="0.25">
      <c r="N823" s="23" t="s">
        <v>102</v>
      </c>
      <c r="O823" s="30" t="s">
        <v>517</v>
      </c>
      <c r="P823" s="30" t="s">
        <v>527</v>
      </c>
      <c r="Q823" s="84" t="s">
        <v>2463</v>
      </c>
      <c r="S823" t="b">
        <v>0</v>
      </c>
    </row>
    <row r="824" spans="14:19" x14ac:dyDescent="0.25">
      <c r="N824" s="23" t="s">
        <v>102</v>
      </c>
      <c r="O824" s="30" t="s">
        <v>517</v>
      </c>
      <c r="P824" s="30" t="s">
        <v>528</v>
      </c>
      <c r="Q824" s="84" t="s">
        <v>2463</v>
      </c>
      <c r="S824" t="b">
        <v>0</v>
      </c>
    </row>
    <row r="825" spans="14:19" x14ac:dyDescent="0.25">
      <c r="N825" s="23" t="s">
        <v>102</v>
      </c>
      <c r="O825" s="30" t="s">
        <v>517</v>
      </c>
      <c r="P825" s="30" t="s">
        <v>529</v>
      </c>
      <c r="Q825" s="84" t="s">
        <v>2463</v>
      </c>
      <c r="S825" t="b">
        <v>0</v>
      </c>
    </row>
    <row r="826" spans="14:19" x14ac:dyDescent="0.25">
      <c r="N826" s="23" t="s">
        <v>102</v>
      </c>
      <c r="O826" s="30" t="s">
        <v>517</v>
      </c>
      <c r="P826" s="30" t="s">
        <v>530</v>
      </c>
      <c r="Q826" s="84" t="s">
        <v>2463</v>
      </c>
      <c r="S826" t="b">
        <v>0</v>
      </c>
    </row>
    <row r="827" spans="14:19" x14ac:dyDescent="0.25">
      <c r="N827" s="23" t="s">
        <v>102</v>
      </c>
      <c r="O827" s="30" t="s">
        <v>517</v>
      </c>
      <c r="P827" s="30" t="s">
        <v>531</v>
      </c>
      <c r="Q827" s="84" t="s">
        <v>2463</v>
      </c>
      <c r="S827" t="b">
        <v>0</v>
      </c>
    </row>
    <row r="828" spans="14:19" x14ac:dyDescent="0.25">
      <c r="N828" s="23" t="s">
        <v>102</v>
      </c>
      <c r="O828" s="30" t="s">
        <v>517</v>
      </c>
      <c r="P828" s="30" t="s">
        <v>532</v>
      </c>
      <c r="Q828" s="84" t="s">
        <v>2463</v>
      </c>
      <c r="S828" t="b">
        <v>0</v>
      </c>
    </row>
    <row r="829" spans="14:19" x14ac:dyDescent="0.25">
      <c r="N829" s="23" t="s">
        <v>102</v>
      </c>
      <c r="O829" s="30" t="s">
        <v>517</v>
      </c>
      <c r="P829" s="30" t="s">
        <v>533</v>
      </c>
      <c r="Q829" s="84" t="s">
        <v>2463</v>
      </c>
      <c r="S829" t="b">
        <v>0</v>
      </c>
    </row>
    <row r="830" spans="14:19" x14ac:dyDescent="0.25">
      <c r="N830" s="23" t="s">
        <v>102</v>
      </c>
      <c r="O830" s="30" t="s">
        <v>517</v>
      </c>
      <c r="P830" s="30" t="s">
        <v>534</v>
      </c>
      <c r="Q830" s="84" t="s">
        <v>2463</v>
      </c>
      <c r="S830" t="b">
        <v>0</v>
      </c>
    </row>
    <row r="831" spans="14:19" x14ac:dyDescent="0.25">
      <c r="N831" s="23" t="s">
        <v>102</v>
      </c>
      <c r="O831" s="30" t="s">
        <v>517</v>
      </c>
      <c r="P831" s="30" t="s">
        <v>535</v>
      </c>
      <c r="Q831" s="84" t="s">
        <v>2463</v>
      </c>
      <c r="S831" t="b">
        <v>0</v>
      </c>
    </row>
    <row r="832" spans="14:19" x14ac:dyDescent="0.25">
      <c r="N832" s="23" t="s">
        <v>102</v>
      </c>
      <c r="O832" s="30" t="s">
        <v>517</v>
      </c>
      <c r="P832" s="30" t="s">
        <v>536</v>
      </c>
      <c r="Q832" s="84" t="s">
        <v>2463</v>
      </c>
      <c r="S832" t="b">
        <v>0</v>
      </c>
    </row>
    <row r="833" spans="14:19" x14ac:dyDescent="0.25">
      <c r="N833" s="23" t="s">
        <v>102</v>
      </c>
      <c r="O833" s="30" t="s">
        <v>517</v>
      </c>
      <c r="P833" s="30" t="s">
        <v>537</v>
      </c>
      <c r="Q833" s="84" t="s">
        <v>2463</v>
      </c>
      <c r="S833" t="b">
        <v>0</v>
      </c>
    </row>
    <row r="834" spans="14:19" x14ac:dyDescent="0.25">
      <c r="N834" s="23" t="s">
        <v>102</v>
      </c>
      <c r="O834" s="30" t="s">
        <v>517</v>
      </c>
      <c r="P834" s="30" t="s">
        <v>538</v>
      </c>
      <c r="Q834" s="84" t="s">
        <v>2463</v>
      </c>
      <c r="S834" t="b">
        <v>0</v>
      </c>
    </row>
    <row r="835" spans="14:19" x14ac:dyDescent="0.25">
      <c r="N835" s="23" t="s">
        <v>102</v>
      </c>
      <c r="O835" s="30" t="s">
        <v>517</v>
      </c>
      <c r="P835" s="30" t="s">
        <v>539</v>
      </c>
      <c r="Q835" s="84" t="s">
        <v>2463</v>
      </c>
      <c r="S835" t="b">
        <v>0</v>
      </c>
    </row>
    <row r="836" spans="14:19" x14ac:dyDescent="0.25">
      <c r="N836" s="23" t="s">
        <v>102</v>
      </c>
      <c r="O836" s="30" t="s">
        <v>517</v>
      </c>
      <c r="P836" s="30" t="s">
        <v>540</v>
      </c>
      <c r="Q836" s="84" t="s">
        <v>2463</v>
      </c>
      <c r="S836" t="b">
        <v>0</v>
      </c>
    </row>
    <row r="837" spans="14:19" x14ac:dyDescent="0.25">
      <c r="N837" s="23" t="s">
        <v>102</v>
      </c>
      <c r="O837" s="30" t="s">
        <v>517</v>
      </c>
      <c r="P837" s="30" t="s">
        <v>541</v>
      </c>
      <c r="Q837" s="84" t="s">
        <v>2462</v>
      </c>
      <c r="S837" t="b">
        <v>0</v>
      </c>
    </row>
    <row r="838" spans="14:19" x14ac:dyDescent="0.25">
      <c r="N838" s="23" t="s">
        <v>102</v>
      </c>
      <c r="O838" s="30" t="s">
        <v>517</v>
      </c>
      <c r="P838" s="30" t="s">
        <v>542</v>
      </c>
      <c r="Q838" s="84" t="s">
        <v>2462</v>
      </c>
      <c r="S838" t="b">
        <v>0</v>
      </c>
    </row>
    <row r="839" spans="14:19" x14ac:dyDescent="0.25">
      <c r="N839" s="23" t="s">
        <v>102</v>
      </c>
      <c r="O839" s="30" t="s">
        <v>517</v>
      </c>
      <c r="P839" s="30" t="s">
        <v>543</v>
      </c>
      <c r="Q839" s="84" t="s">
        <v>2462</v>
      </c>
      <c r="S839" t="b">
        <v>0</v>
      </c>
    </row>
    <row r="840" spans="14:19" x14ac:dyDescent="0.25">
      <c r="N840" s="23" t="s">
        <v>102</v>
      </c>
      <c r="O840" s="30" t="s">
        <v>517</v>
      </c>
      <c r="P840" s="30" t="s">
        <v>544</v>
      </c>
      <c r="Q840" s="84" t="s">
        <v>2462</v>
      </c>
      <c r="S840" t="b">
        <v>0</v>
      </c>
    </row>
    <row r="841" spans="14:19" x14ac:dyDescent="0.25">
      <c r="N841" s="23" t="s">
        <v>102</v>
      </c>
      <c r="O841" s="30" t="s">
        <v>545</v>
      </c>
      <c r="P841" s="30" t="s">
        <v>546</v>
      </c>
      <c r="Q841" s="84" t="s">
        <v>2463</v>
      </c>
      <c r="S841" t="b">
        <v>0</v>
      </c>
    </row>
    <row r="842" spans="14:19" x14ac:dyDescent="0.25">
      <c r="N842" s="23" t="s">
        <v>102</v>
      </c>
      <c r="O842" s="30" t="s">
        <v>547</v>
      </c>
      <c r="P842" s="30" t="s">
        <v>548</v>
      </c>
      <c r="Q842" s="84" t="s">
        <v>2463</v>
      </c>
      <c r="S842" t="b">
        <v>0</v>
      </c>
    </row>
    <row r="843" spans="14:19" x14ac:dyDescent="0.25">
      <c r="N843" s="23" t="s">
        <v>102</v>
      </c>
      <c r="O843" s="30" t="s">
        <v>547</v>
      </c>
      <c r="P843" s="30" t="s">
        <v>549</v>
      </c>
      <c r="Q843" s="84" t="s">
        <v>2463</v>
      </c>
      <c r="S843" t="b">
        <v>0</v>
      </c>
    </row>
    <row r="844" spans="14:19" x14ac:dyDescent="0.25">
      <c r="N844" s="23" t="s">
        <v>102</v>
      </c>
      <c r="O844" s="30" t="s">
        <v>547</v>
      </c>
      <c r="P844" s="30" t="s">
        <v>550</v>
      </c>
      <c r="Q844" s="84" t="s">
        <v>2462</v>
      </c>
      <c r="S844" t="b">
        <v>0</v>
      </c>
    </row>
    <row r="845" spans="14:19" x14ac:dyDescent="0.25">
      <c r="N845" s="23" t="s">
        <v>102</v>
      </c>
      <c r="O845" s="30" t="s">
        <v>547</v>
      </c>
      <c r="P845" s="30" t="s">
        <v>551</v>
      </c>
      <c r="Q845" s="84" t="s">
        <v>2462</v>
      </c>
      <c r="S845" t="b">
        <v>0</v>
      </c>
    </row>
    <row r="846" spans="14:19" x14ac:dyDescent="0.25">
      <c r="N846" s="23" t="s">
        <v>102</v>
      </c>
      <c r="O846" s="30" t="s">
        <v>547</v>
      </c>
      <c r="P846" s="30" t="s">
        <v>552</v>
      </c>
      <c r="Q846" s="84" t="s">
        <v>2462</v>
      </c>
      <c r="S846" t="b">
        <v>0</v>
      </c>
    </row>
    <row r="847" spans="14:19" x14ac:dyDescent="0.25">
      <c r="N847" s="23" t="s">
        <v>102</v>
      </c>
      <c r="O847" s="30" t="s">
        <v>553</v>
      </c>
      <c r="P847" s="30" t="s">
        <v>554</v>
      </c>
      <c r="Q847" s="84" t="s">
        <v>2463</v>
      </c>
      <c r="S847" t="b">
        <v>0</v>
      </c>
    </row>
    <row r="848" spans="14:19" x14ac:dyDescent="0.25">
      <c r="N848" s="23" t="s">
        <v>102</v>
      </c>
      <c r="O848" s="30" t="s">
        <v>553</v>
      </c>
      <c r="P848" s="30" t="s">
        <v>555</v>
      </c>
      <c r="Q848" s="84" t="s">
        <v>2463</v>
      </c>
      <c r="S848" t="b">
        <v>0</v>
      </c>
    </row>
    <row r="849" spans="14:19" x14ac:dyDescent="0.25">
      <c r="N849" s="23" t="s">
        <v>102</v>
      </c>
      <c r="O849" s="30" t="s">
        <v>553</v>
      </c>
      <c r="P849" s="30" t="s">
        <v>556</v>
      </c>
      <c r="Q849" s="84" t="s">
        <v>2463</v>
      </c>
      <c r="S849" t="b">
        <v>0</v>
      </c>
    </row>
    <row r="850" spans="14:19" x14ac:dyDescent="0.25">
      <c r="N850" s="23" t="s">
        <v>102</v>
      </c>
      <c r="O850" s="30" t="s">
        <v>553</v>
      </c>
      <c r="P850" s="30" t="s">
        <v>557</v>
      </c>
      <c r="Q850" s="84" t="s">
        <v>2463</v>
      </c>
      <c r="S850" t="b">
        <v>0</v>
      </c>
    </row>
    <row r="851" spans="14:19" x14ac:dyDescent="0.25">
      <c r="N851" s="23" t="s">
        <v>102</v>
      </c>
      <c r="O851" s="30" t="s">
        <v>553</v>
      </c>
      <c r="P851" s="30" t="s">
        <v>558</v>
      </c>
      <c r="Q851" s="84" t="s">
        <v>2463</v>
      </c>
      <c r="S851" t="b">
        <v>0</v>
      </c>
    </row>
    <row r="852" spans="14:19" x14ac:dyDescent="0.25">
      <c r="N852" s="23" t="s">
        <v>102</v>
      </c>
      <c r="O852" s="30" t="s">
        <v>553</v>
      </c>
      <c r="P852" s="30" t="s">
        <v>559</v>
      </c>
      <c r="Q852" s="84" t="s">
        <v>2463</v>
      </c>
      <c r="S852" t="b">
        <v>0</v>
      </c>
    </row>
    <row r="853" spans="14:19" x14ac:dyDescent="0.25">
      <c r="N853" s="23" t="s">
        <v>102</v>
      </c>
      <c r="O853" s="30" t="s">
        <v>553</v>
      </c>
      <c r="P853" s="30" t="s">
        <v>560</v>
      </c>
      <c r="Q853" s="84" t="s">
        <v>2463</v>
      </c>
      <c r="S853" t="b">
        <v>0</v>
      </c>
    </row>
    <row r="854" spans="14:19" x14ac:dyDescent="0.25">
      <c r="N854" s="23" t="s">
        <v>102</v>
      </c>
      <c r="O854" s="30" t="s">
        <v>561</v>
      </c>
      <c r="P854" s="30" t="s">
        <v>562</v>
      </c>
      <c r="Q854" s="84" t="s">
        <v>2463</v>
      </c>
      <c r="S854" t="b">
        <v>0</v>
      </c>
    </row>
    <row r="855" spans="14:19" x14ac:dyDescent="0.25">
      <c r="N855" s="23" t="s">
        <v>102</v>
      </c>
      <c r="O855" s="30" t="s">
        <v>561</v>
      </c>
      <c r="P855" s="30" t="s">
        <v>563</v>
      </c>
      <c r="Q855" s="84" t="s">
        <v>2463</v>
      </c>
      <c r="S855" t="b">
        <v>0</v>
      </c>
    </row>
    <row r="856" spans="14:19" x14ac:dyDescent="0.25">
      <c r="N856" s="23" t="s">
        <v>106</v>
      </c>
      <c r="O856" s="30" t="s">
        <v>1822</v>
      </c>
      <c r="P856" s="30" t="s">
        <v>1823</v>
      </c>
      <c r="Q856" s="84" t="s">
        <v>2463</v>
      </c>
      <c r="S856" t="b">
        <v>0</v>
      </c>
    </row>
    <row r="857" spans="14:19" x14ac:dyDescent="0.25">
      <c r="N857" s="23" t="s">
        <v>106</v>
      </c>
      <c r="O857" s="30" t="s">
        <v>1822</v>
      </c>
      <c r="P857" s="30" t="s">
        <v>1824</v>
      </c>
      <c r="Q857" s="84" t="s">
        <v>2463</v>
      </c>
      <c r="S857" t="b">
        <v>0</v>
      </c>
    </row>
    <row r="858" spans="14:19" x14ac:dyDescent="0.25">
      <c r="N858" s="23" t="s">
        <v>106</v>
      </c>
      <c r="O858" s="30" t="s">
        <v>1822</v>
      </c>
      <c r="P858" s="30" t="s">
        <v>1825</v>
      </c>
      <c r="Q858" s="84" t="s">
        <v>2463</v>
      </c>
      <c r="S858" t="b">
        <v>0</v>
      </c>
    </row>
    <row r="859" spans="14:19" x14ac:dyDescent="0.25">
      <c r="N859" s="23" t="s">
        <v>106</v>
      </c>
      <c r="O859" s="30" t="s">
        <v>1822</v>
      </c>
      <c r="P859" s="30" t="s">
        <v>1826</v>
      </c>
      <c r="Q859" s="84" t="s">
        <v>2463</v>
      </c>
      <c r="S859" t="b">
        <v>0</v>
      </c>
    </row>
    <row r="860" spans="14:19" x14ac:dyDescent="0.25">
      <c r="N860" s="23" t="s">
        <v>106</v>
      </c>
      <c r="O860" s="30" t="s">
        <v>1822</v>
      </c>
      <c r="P860" s="30" t="s">
        <v>1827</v>
      </c>
      <c r="Q860" s="84" t="s">
        <v>2463</v>
      </c>
      <c r="S860" t="b">
        <v>0</v>
      </c>
    </row>
    <row r="861" spans="14:19" x14ac:dyDescent="0.25">
      <c r="N861" s="23" t="s">
        <v>106</v>
      </c>
      <c r="O861" s="30" t="s">
        <v>1822</v>
      </c>
      <c r="P861" s="30" t="s">
        <v>1828</v>
      </c>
      <c r="Q861" s="84" t="s">
        <v>2462</v>
      </c>
      <c r="S861" t="b">
        <v>0</v>
      </c>
    </row>
    <row r="862" spans="14:19" x14ac:dyDescent="0.25">
      <c r="N862" s="23" t="s">
        <v>106</v>
      </c>
      <c r="O862" s="30" t="s">
        <v>1822</v>
      </c>
      <c r="P862" s="30" t="s">
        <v>1829</v>
      </c>
      <c r="Q862" s="84" t="s">
        <v>2462</v>
      </c>
      <c r="S862" t="b">
        <v>0</v>
      </c>
    </row>
    <row r="863" spans="14:19" x14ac:dyDescent="0.25">
      <c r="N863" s="23" t="s">
        <v>102</v>
      </c>
      <c r="O863" s="30" t="s">
        <v>564</v>
      </c>
      <c r="P863" s="30" t="s">
        <v>565</v>
      </c>
      <c r="Q863" s="84" t="s">
        <v>2463</v>
      </c>
      <c r="S863" t="b">
        <v>0</v>
      </c>
    </row>
    <row r="864" spans="14:19" x14ac:dyDescent="0.25">
      <c r="N864" s="23" t="s">
        <v>102</v>
      </c>
      <c r="O864" s="30" t="s">
        <v>564</v>
      </c>
      <c r="P864" s="30" t="s">
        <v>566</v>
      </c>
      <c r="Q864" s="84" t="s">
        <v>2463</v>
      </c>
      <c r="S864" t="b">
        <v>0</v>
      </c>
    </row>
    <row r="865" spans="14:19" x14ac:dyDescent="0.25">
      <c r="N865" s="23" t="s">
        <v>102</v>
      </c>
      <c r="O865" s="30" t="s">
        <v>564</v>
      </c>
      <c r="P865" s="30" t="s">
        <v>567</v>
      </c>
      <c r="Q865" s="84" t="s">
        <v>2463</v>
      </c>
      <c r="S865" t="b">
        <v>0</v>
      </c>
    </row>
    <row r="866" spans="14:19" x14ac:dyDescent="0.25">
      <c r="N866" s="23" t="s">
        <v>102</v>
      </c>
      <c r="O866" s="30" t="s">
        <v>564</v>
      </c>
      <c r="P866" s="30" t="s">
        <v>568</v>
      </c>
      <c r="Q866" s="84" t="s">
        <v>2463</v>
      </c>
      <c r="S866" t="b">
        <v>0</v>
      </c>
    </row>
    <row r="867" spans="14:19" x14ac:dyDescent="0.25">
      <c r="N867" s="23" t="s">
        <v>102</v>
      </c>
      <c r="O867" s="30" t="s">
        <v>564</v>
      </c>
      <c r="P867" s="30" t="s">
        <v>569</v>
      </c>
      <c r="Q867" s="84" t="s">
        <v>2463</v>
      </c>
      <c r="S867" t="b">
        <v>0</v>
      </c>
    </row>
    <row r="868" spans="14:19" x14ac:dyDescent="0.25">
      <c r="N868" s="23" t="s">
        <v>102</v>
      </c>
      <c r="O868" s="30" t="s">
        <v>564</v>
      </c>
      <c r="P868" s="30" t="s">
        <v>570</v>
      </c>
      <c r="Q868" s="84" t="s">
        <v>2463</v>
      </c>
      <c r="S868" t="b">
        <v>0</v>
      </c>
    </row>
    <row r="869" spans="14:19" x14ac:dyDescent="0.25">
      <c r="N869" s="23" t="s">
        <v>102</v>
      </c>
      <c r="O869" s="30" t="s">
        <v>564</v>
      </c>
      <c r="P869" s="30" t="s">
        <v>571</v>
      </c>
      <c r="Q869" s="84" t="s">
        <v>2463</v>
      </c>
      <c r="S869" t="b">
        <v>0</v>
      </c>
    </row>
    <row r="870" spans="14:19" x14ac:dyDescent="0.25">
      <c r="N870" s="23" t="s">
        <v>102</v>
      </c>
      <c r="O870" s="30" t="s">
        <v>564</v>
      </c>
      <c r="P870" s="30" t="s">
        <v>572</v>
      </c>
      <c r="Q870" s="84" t="s">
        <v>2463</v>
      </c>
      <c r="S870" t="b">
        <v>0</v>
      </c>
    </row>
    <row r="871" spans="14:19" x14ac:dyDescent="0.25">
      <c r="N871" s="23" t="s">
        <v>102</v>
      </c>
      <c r="O871" s="30" t="s">
        <v>564</v>
      </c>
      <c r="P871" s="30" t="s">
        <v>573</v>
      </c>
      <c r="Q871" s="84" t="s">
        <v>2463</v>
      </c>
      <c r="S871" t="b">
        <v>0</v>
      </c>
    </row>
    <row r="872" spans="14:19" x14ac:dyDescent="0.25">
      <c r="N872" s="23" t="s">
        <v>102</v>
      </c>
      <c r="O872" s="30" t="s">
        <v>564</v>
      </c>
      <c r="P872" s="30" t="s">
        <v>574</v>
      </c>
      <c r="Q872" s="84" t="s">
        <v>2463</v>
      </c>
      <c r="S872" t="b">
        <v>0</v>
      </c>
    </row>
    <row r="873" spans="14:19" x14ac:dyDescent="0.25">
      <c r="N873" s="23" t="s">
        <v>102</v>
      </c>
      <c r="O873" s="30" t="s">
        <v>564</v>
      </c>
      <c r="P873" s="30" t="s">
        <v>575</v>
      </c>
      <c r="Q873" s="84" t="s">
        <v>2462</v>
      </c>
      <c r="S873" t="b">
        <v>0</v>
      </c>
    </row>
    <row r="874" spans="14:19" x14ac:dyDescent="0.25">
      <c r="N874" s="23" t="s">
        <v>102</v>
      </c>
      <c r="O874" s="30" t="s">
        <v>564</v>
      </c>
      <c r="P874" s="30" t="s">
        <v>576</v>
      </c>
      <c r="Q874" s="84" t="s">
        <v>2462</v>
      </c>
      <c r="S874" t="b">
        <v>0</v>
      </c>
    </row>
    <row r="875" spans="14:19" x14ac:dyDescent="0.25">
      <c r="N875" s="23" t="s">
        <v>102</v>
      </c>
      <c r="O875" s="30" t="s">
        <v>564</v>
      </c>
      <c r="P875" s="30" t="s">
        <v>577</v>
      </c>
      <c r="Q875" s="84" t="s">
        <v>2462</v>
      </c>
      <c r="S875" t="b">
        <v>0</v>
      </c>
    </row>
    <row r="876" spans="14:19" x14ac:dyDescent="0.25">
      <c r="N876" s="23" t="s">
        <v>102</v>
      </c>
      <c r="O876" s="30" t="s">
        <v>564</v>
      </c>
      <c r="P876" s="30" t="s">
        <v>578</v>
      </c>
      <c r="Q876" s="84" t="s">
        <v>2462</v>
      </c>
      <c r="S876" t="b">
        <v>0</v>
      </c>
    </row>
    <row r="877" spans="14:19" x14ac:dyDescent="0.25">
      <c r="N877" s="23" t="s">
        <v>102</v>
      </c>
      <c r="O877" s="30" t="s">
        <v>564</v>
      </c>
      <c r="P877" s="30" t="s">
        <v>579</v>
      </c>
      <c r="Q877" s="84" t="s">
        <v>2462</v>
      </c>
      <c r="S877" t="b">
        <v>0</v>
      </c>
    </row>
    <row r="878" spans="14:19" x14ac:dyDescent="0.25">
      <c r="N878" s="23" t="s">
        <v>102</v>
      </c>
      <c r="O878" s="30" t="s">
        <v>564</v>
      </c>
      <c r="P878" s="30" t="s">
        <v>580</v>
      </c>
      <c r="Q878" s="84" t="s">
        <v>2462</v>
      </c>
      <c r="S878" t="b">
        <v>0</v>
      </c>
    </row>
    <row r="879" spans="14:19" x14ac:dyDescent="0.25">
      <c r="N879" s="23" t="s">
        <v>102</v>
      </c>
      <c r="O879" s="30" t="s">
        <v>564</v>
      </c>
      <c r="P879" s="30" t="s">
        <v>581</v>
      </c>
      <c r="Q879" s="84" t="s">
        <v>2462</v>
      </c>
      <c r="S879" t="b">
        <v>0</v>
      </c>
    </row>
    <row r="880" spans="14:19" x14ac:dyDescent="0.25">
      <c r="N880" s="23" t="s">
        <v>106</v>
      </c>
      <c r="O880" s="30" t="s">
        <v>1830</v>
      </c>
      <c r="P880" s="30" t="s">
        <v>1831</v>
      </c>
      <c r="Q880" s="84" t="s">
        <v>2463</v>
      </c>
      <c r="S880" t="b">
        <v>0</v>
      </c>
    </row>
    <row r="881" spans="14:19" x14ac:dyDescent="0.25">
      <c r="N881" s="23" t="s">
        <v>106</v>
      </c>
      <c r="O881" s="30" t="s">
        <v>1830</v>
      </c>
      <c r="P881" s="30" t="s">
        <v>1832</v>
      </c>
      <c r="Q881" s="84" t="s">
        <v>2463</v>
      </c>
      <c r="S881" t="b">
        <v>0</v>
      </c>
    </row>
    <row r="882" spans="14:19" x14ac:dyDescent="0.25">
      <c r="N882" s="23" t="s">
        <v>106</v>
      </c>
      <c r="O882" s="30" t="s">
        <v>1830</v>
      </c>
      <c r="P882" s="30" t="s">
        <v>1833</v>
      </c>
      <c r="Q882" s="84" t="s">
        <v>2463</v>
      </c>
      <c r="S882" t="b">
        <v>0</v>
      </c>
    </row>
    <row r="883" spans="14:19" x14ac:dyDescent="0.25">
      <c r="N883" s="23" t="s">
        <v>106</v>
      </c>
      <c r="O883" s="30" t="s">
        <v>1830</v>
      </c>
      <c r="P883" s="30" t="s">
        <v>1834</v>
      </c>
      <c r="Q883" s="84" t="s">
        <v>2463</v>
      </c>
      <c r="S883" t="b">
        <v>0</v>
      </c>
    </row>
    <row r="884" spans="14:19" x14ac:dyDescent="0.25">
      <c r="N884" s="23" t="s">
        <v>106</v>
      </c>
      <c r="O884" s="30" t="s">
        <v>1830</v>
      </c>
      <c r="P884" s="30" t="s">
        <v>1835</v>
      </c>
      <c r="Q884" s="84" t="s">
        <v>2463</v>
      </c>
      <c r="S884" t="b">
        <v>0</v>
      </c>
    </row>
    <row r="885" spans="14:19" x14ac:dyDescent="0.25">
      <c r="N885" s="23" t="s">
        <v>106</v>
      </c>
      <c r="O885" s="30" t="s">
        <v>1830</v>
      </c>
      <c r="P885" s="30" t="s">
        <v>1836</v>
      </c>
      <c r="Q885" s="84" t="s">
        <v>2463</v>
      </c>
      <c r="S885" t="b">
        <v>0</v>
      </c>
    </row>
    <row r="886" spans="14:19" x14ac:dyDescent="0.25">
      <c r="N886" s="23" t="s">
        <v>106</v>
      </c>
      <c r="O886" s="30" t="s">
        <v>1830</v>
      </c>
      <c r="P886" s="30" t="s">
        <v>1837</v>
      </c>
      <c r="Q886" s="84" t="s">
        <v>2463</v>
      </c>
      <c r="S886" t="b">
        <v>0</v>
      </c>
    </row>
    <row r="887" spans="14:19" x14ac:dyDescent="0.25">
      <c r="N887" s="23" t="s">
        <v>106</v>
      </c>
      <c r="O887" s="30" t="s">
        <v>1830</v>
      </c>
      <c r="P887" s="30" t="s">
        <v>1838</v>
      </c>
      <c r="Q887" s="84" t="s">
        <v>2463</v>
      </c>
      <c r="S887" t="b">
        <v>0</v>
      </c>
    </row>
    <row r="888" spans="14:19" x14ac:dyDescent="0.25">
      <c r="N888" s="23" t="s">
        <v>106</v>
      </c>
      <c r="O888" s="30" t="s">
        <v>1830</v>
      </c>
      <c r="P888" s="30" t="s">
        <v>1839</v>
      </c>
      <c r="Q888" s="84" t="s">
        <v>2463</v>
      </c>
      <c r="S888" t="b">
        <v>0</v>
      </c>
    </row>
    <row r="889" spans="14:19" x14ac:dyDescent="0.25">
      <c r="N889" s="23" t="s">
        <v>106</v>
      </c>
      <c r="O889" s="30" t="s">
        <v>1830</v>
      </c>
      <c r="P889" s="30" t="s">
        <v>1840</v>
      </c>
      <c r="Q889" s="84" t="s">
        <v>2463</v>
      </c>
      <c r="S889" t="b">
        <v>0</v>
      </c>
    </row>
    <row r="890" spans="14:19" x14ac:dyDescent="0.25">
      <c r="N890" s="23" t="s">
        <v>106</v>
      </c>
      <c r="O890" s="30" t="s">
        <v>1830</v>
      </c>
      <c r="P890" s="30" t="s">
        <v>1841</v>
      </c>
      <c r="Q890" s="84" t="s">
        <v>2463</v>
      </c>
      <c r="S890" t="b">
        <v>0</v>
      </c>
    </row>
    <row r="891" spans="14:19" x14ac:dyDescent="0.25">
      <c r="N891" s="23" t="s">
        <v>106</v>
      </c>
      <c r="O891" s="30" t="s">
        <v>1830</v>
      </c>
      <c r="P891" s="30" t="s">
        <v>1842</v>
      </c>
      <c r="Q891" s="84" t="s">
        <v>2463</v>
      </c>
      <c r="S891" t="b">
        <v>0</v>
      </c>
    </row>
    <row r="892" spans="14:19" x14ac:dyDescent="0.25">
      <c r="N892" s="23" t="s">
        <v>106</v>
      </c>
      <c r="O892" s="30" t="s">
        <v>1830</v>
      </c>
      <c r="P892" s="30" t="s">
        <v>1843</v>
      </c>
      <c r="Q892" s="84" t="s">
        <v>2463</v>
      </c>
      <c r="S892" t="b">
        <v>0</v>
      </c>
    </row>
    <row r="893" spans="14:19" x14ac:dyDescent="0.25">
      <c r="N893" s="23" t="s">
        <v>106</v>
      </c>
      <c r="O893" s="30" t="s">
        <v>1830</v>
      </c>
      <c r="P893" s="30" t="s">
        <v>1844</v>
      </c>
      <c r="Q893" s="84" t="s">
        <v>2463</v>
      </c>
      <c r="S893" t="b">
        <v>0</v>
      </c>
    </row>
    <row r="894" spans="14:19" x14ac:dyDescent="0.25">
      <c r="N894" s="23" t="s">
        <v>106</v>
      </c>
      <c r="O894" s="30" t="s">
        <v>1830</v>
      </c>
      <c r="P894" s="30" t="s">
        <v>1845</v>
      </c>
      <c r="Q894" s="84" t="s">
        <v>2463</v>
      </c>
      <c r="S894" t="b">
        <v>0</v>
      </c>
    </row>
    <row r="895" spans="14:19" x14ac:dyDescent="0.25">
      <c r="N895" s="23" t="s">
        <v>106</v>
      </c>
      <c r="O895" s="30" t="s">
        <v>1830</v>
      </c>
      <c r="P895" s="30" t="s">
        <v>1846</v>
      </c>
      <c r="Q895" s="84" t="s">
        <v>2463</v>
      </c>
      <c r="S895" t="b">
        <v>0</v>
      </c>
    </row>
    <row r="896" spans="14:19" x14ac:dyDescent="0.25">
      <c r="N896" s="23" t="s">
        <v>106</v>
      </c>
      <c r="O896" s="30" t="s">
        <v>1830</v>
      </c>
      <c r="P896" s="30" t="s">
        <v>1847</v>
      </c>
      <c r="Q896" s="84" t="s">
        <v>2463</v>
      </c>
      <c r="S896" t="b">
        <v>0</v>
      </c>
    </row>
    <row r="897" spans="14:19" x14ac:dyDescent="0.25">
      <c r="N897" s="23" t="s">
        <v>106</v>
      </c>
      <c r="O897" s="30" t="s">
        <v>1830</v>
      </c>
      <c r="P897" s="30" t="s">
        <v>1848</v>
      </c>
      <c r="Q897" s="84" t="s">
        <v>2463</v>
      </c>
      <c r="S897" t="b">
        <v>0</v>
      </c>
    </row>
    <row r="898" spans="14:19" x14ac:dyDescent="0.25">
      <c r="N898" s="23" t="s">
        <v>106</v>
      </c>
      <c r="O898" s="30" t="s">
        <v>1830</v>
      </c>
      <c r="P898" s="30" t="s">
        <v>1849</v>
      </c>
      <c r="Q898" s="84" t="s">
        <v>2463</v>
      </c>
      <c r="S898" t="b">
        <v>0</v>
      </c>
    </row>
    <row r="899" spans="14:19" x14ac:dyDescent="0.25">
      <c r="N899" s="23" t="s">
        <v>106</v>
      </c>
      <c r="O899" s="30" t="s">
        <v>1830</v>
      </c>
      <c r="P899" s="30" t="s">
        <v>1850</v>
      </c>
      <c r="Q899" s="84" t="s">
        <v>2463</v>
      </c>
      <c r="S899" t="b">
        <v>0</v>
      </c>
    </row>
    <row r="900" spans="14:19" x14ac:dyDescent="0.25">
      <c r="N900" s="23" t="s">
        <v>106</v>
      </c>
      <c r="O900" s="30" t="s">
        <v>1830</v>
      </c>
      <c r="P900" s="30" t="s">
        <v>1851</v>
      </c>
      <c r="Q900" s="84" t="s">
        <v>2463</v>
      </c>
      <c r="S900" t="b">
        <v>0</v>
      </c>
    </row>
    <row r="901" spans="14:19" x14ac:dyDescent="0.25">
      <c r="N901" s="23" t="s">
        <v>106</v>
      </c>
      <c r="O901" s="30" t="s">
        <v>1830</v>
      </c>
      <c r="P901" s="30" t="s">
        <v>1852</v>
      </c>
      <c r="Q901" s="84" t="s">
        <v>2463</v>
      </c>
      <c r="S901" t="b">
        <v>0</v>
      </c>
    </row>
    <row r="902" spans="14:19" x14ac:dyDescent="0.25">
      <c r="N902" s="23" t="s">
        <v>106</v>
      </c>
      <c r="O902" s="30" t="s">
        <v>1830</v>
      </c>
      <c r="P902" s="30" t="s">
        <v>1853</v>
      </c>
      <c r="Q902" s="84" t="s">
        <v>2463</v>
      </c>
      <c r="S902" t="b">
        <v>0</v>
      </c>
    </row>
    <row r="903" spans="14:19" x14ac:dyDescent="0.25">
      <c r="N903" s="23" t="s">
        <v>106</v>
      </c>
      <c r="O903" s="30" t="s">
        <v>1830</v>
      </c>
      <c r="P903" s="30" t="s">
        <v>1854</v>
      </c>
      <c r="Q903" s="84" t="s">
        <v>2463</v>
      </c>
      <c r="S903" t="b">
        <v>0</v>
      </c>
    </row>
    <row r="904" spans="14:19" x14ac:dyDescent="0.25">
      <c r="N904" s="23" t="s">
        <v>106</v>
      </c>
      <c r="O904" s="30" t="s">
        <v>1830</v>
      </c>
      <c r="P904" s="30" t="s">
        <v>1855</v>
      </c>
      <c r="Q904" s="84" t="s">
        <v>2463</v>
      </c>
      <c r="S904" t="b">
        <v>0</v>
      </c>
    </row>
    <row r="905" spans="14:19" x14ac:dyDescent="0.25">
      <c r="N905" s="23" t="s">
        <v>106</v>
      </c>
      <c r="O905" s="30" t="s">
        <v>1830</v>
      </c>
      <c r="P905" s="30" t="s">
        <v>1856</v>
      </c>
      <c r="Q905" s="84" t="s">
        <v>2463</v>
      </c>
      <c r="S905" t="b">
        <v>0</v>
      </c>
    </row>
    <row r="906" spans="14:19" x14ac:dyDescent="0.25">
      <c r="N906" s="23" t="s">
        <v>106</v>
      </c>
      <c r="O906" s="30" t="s">
        <v>1830</v>
      </c>
      <c r="P906" s="30" t="s">
        <v>1857</v>
      </c>
      <c r="Q906" s="84" t="s">
        <v>2463</v>
      </c>
      <c r="S906" t="b">
        <v>0</v>
      </c>
    </row>
    <row r="907" spans="14:19" x14ac:dyDescent="0.25">
      <c r="N907" s="23" t="s">
        <v>106</v>
      </c>
      <c r="O907" s="30" t="s">
        <v>1830</v>
      </c>
      <c r="P907" s="30" t="s">
        <v>1858</v>
      </c>
      <c r="Q907" s="84" t="s">
        <v>2463</v>
      </c>
      <c r="S907" t="b">
        <v>0</v>
      </c>
    </row>
    <row r="908" spans="14:19" x14ac:dyDescent="0.25">
      <c r="N908" s="23" t="s">
        <v>106</v>
      </c>
      <c r="O908" s="30" t="s">
        <v>1830</v>
      </c>
      <c r="P908" s="30" t="s">
        <v>1859</v>
      </c>
      <c r="Q908" s="84" t="s">
        <v>2463</v>
      </c>
      <c r="S908" t="b">
        <v>0</v>
      </c>
    </row>
    <row r="909" spans="14:19" x14ac:dyDescent="0.25">
      <c r="N909" s="23" t="s">
        <v>106</v>
      </c>
      <c r="O909" s="30" t="s">
        <v>1830</v>
      </c>
      <c r="P909" s="30" t="s">
        <v>1860</v>
      </c>
      <c r="Q909" s="84" t="s">
        <v>2463</v>
      </c>
      <c r="S909" t="b">
        <v>0</v>
      </c>
    </row>
    <row r="910" spans="14:19" x14ac:dyDescent="0.25">
      <c r="N910" s="23" t="s">
        <v>106</v>
      </c>
      <c r="O910" s="30" t="s">
        <v>1830</v>
      </c>
      <c r="P910" s="30" t="s">
        <v>1861</v>
      </c>
      <c r="Q910" s="84" t="s">
        <v>2463</v>
      </c>
      <c r="S910" t="b">
        <v>0</v>
      </c>
    </row>
    <row r="911" spans="14:19" x14ac:dyDescent="0.25">
      <c r="N911" s="23" t="s">
        <v>106</v>
      </c>
      <c r="O911" s="30" t="s">
        <v>1830</v>
      </c>
      <c r="P911" s="30" t="s">
        <v>1862</v>
      </c>
      <c r="Q911" s="84" t="s">
        <v>2463</v>
      </c>
      <c r="S911" t="b">
        <v>0</v>
      </c>
    </row>
    <row r="912" spans="14:19" x14ac:dyDescent="0.25">
      <c r="N912" s="23" t="s">
        <v>106</v>
      </c>
      <c r="O912" s="30" t="s">
        <v>1830</v>
      </c>
      <c r="P912" s="30" t="s">
        <v>1863</v>
      </c>
      <c r="Q912" s="84" t="s">
        <v>2463</v>
      </c>
      <c r="S912" t="b">
        <v>0</v>
      </c>
    </row>
    <row r="913" spans="14:19" x14ac:dyDescent="0.25">
      <c r="N913" s="23" t="s">
        <v>106</v>
      </c>
      <c r="O913" s="30" t="s">
        <v>1830</v>
      </c>
      <c r="P913" s="30" t="s">
        <v>1864</v>
      </c>
      <c r="Q913" s="84" t="s">
        <v>2463</v>
      </c>
      <c r="S913" t="b">
        <v>0</v>
      </c>
    </row>
    <row r="914" spans="14:19" x14ac:dyDescent="0.25">
      <c r="N914" s="23" t="s">
        <v>106</v>
      </c>
      <c r="O914" s="30" t="s">
        <v>1830</v>
      </c>
      <c r="P914" s="30" t="s">
        <v>1865</v>
      </c>
      <c r="Q914" s="84" t="s">
        <v>2463</v>
      </c>
      <c r="S914" t="b">
        <v>0</v>
      </c>
    </row>
    <row r="915" spans="14:19" x14ac:dyDescent="0.25">
      <c r="N915" s="23" t="s">
        <v>106</v>
      </c>
      <c r="O915" s="30" t="s">
        <v>1830</v>
      </c>
      <c r="P915" s="30" t="s">
        <v>1866</v>
      </c>
      <c r="Q915" s="84" t="s">
        <v>2463</v>
      </c>
      <c r="S915" t="b">
        <v>0</v>
      </c>
    </row>
    <row r="916" spans="14:19" x14ac:dyDescent="0.25">
      <c r="N916" s="23" t="s">
        <v>106</v>
      </c>
      <c r="O916" s="30" t="s">
        <v>1830</v>
      </c>
      <c r="P916" s="30" t="s">
        <v>1867</v>
      </c>
      <c r="Q916" s="84" t="s">
        <v>2463</v>
      </c>
      <c r="S916" t="b">
        <v>0</v>
      </c>
    </row>
    <row r="917" spans="14:19" x14ac:dyDescent="0.25">
      <c r="N917" s="23" t="s">
        <v>106</v>
      </c>
      <c r="O917" s="30" t="s">
        <v>1830</v>
      </c>
      <c r="P917" s="30" t="s">
        <v>1868</v>
      </c>
      <c r="Q917" s="84" t="s">
        <v>2463</v>
      </c>
      <c r="S917" t="b">
        <v>0</v>
      </c>
    </row>
    <row r="918" spans="14:19" x14ac:dyDescent="0.25">
      <c r="N918" s="23" t="s">
        <v>106</v>
      </c>
      <c r="O918" s="30" t="s">
        <v>1830</v>
      </c>
      <c r="P918" s="30" t="s">
        <v>1869</v>
      </c>
      <c r="Q918" s="84" t="s">
        <v>2463</v>
      </c>
      <c r="S918" t="b">
        <v>0</v>
      </c>
    </row>
    <row r="919" spans="14:19" x14ac:dyDescent="0.25">
      <c r="N919" s="23" t="s">
        <v>106</v>
      </c>
      <c r="O919" s="30" t="s">
        <v>1830</v>
      </c>
      <c r="P919" s="30" t="s">
        <v>1870</v>
      </c>
      <c r="Q919" s="84" t="s">
        <v>2463</v>
      </c>
      <c r="S919" t="b">
        <v>0</v>
      </c>
    </row>
    <row r="920" spans="14:19" x14ac:dyDescent="0.25">
      <c r="N920" s="23" t="s">
        <v>106</v>
      </c>
      <c r="O920" s="30" t="s">
        <v>1830</v>
      </c>
      <c r="P920" s="30" t="s">
        <v>1871</v>
      </c>
      <c r="Q920" s="84" t="s">
        <v>2463</v>
      </c>
      <c r="S920" t="b">
        <v>0</v>
      </c>
    </row>
    <row r="921" spans="14:19" x14ac:dyDescent="0.25">
      <c r="N921" s="23" t="s">
        <v>106</v>
      </c>
      <c r="O921" s="30" t="s">
        <v>1830</v>
      </c>
      <c r="P921" s="30" t="s">
        <v>1872</v>
      </c>
      <c r="Q921" s="84" t="s">
        <v>2463</v>
      </c>
      <c r="S921" t="b">
        <v>0</v>
      </c>
    </row>
    <row r="922" spans="14:19" x14ac:dyDescent="0.25">
      <c r="N922" s="23" t="s">
        <v>106</v>
      </c>
      <c r="O922" s="30" t="s">
        <v>1830</v>
      </c>
      <c r="P922" s="30" t="s">
        <v>1873</v>
      </c>
      <c r="Q922" s="84" t="s">
        <v>2463</v>
      </c>
      <c r="S922" t="b">
        <v>0</v>
      </c>
    </row>
    <row r="923" spans="14:19" x14ac:dyDescent="0.25">
      <c r="N923" s="23" t="s">
        <v>106</v>
      </c>
      <c r="O923" s="30" t="s">
        <v>1830</v>
      </c>
      <c r="P923" s="30" t="s">
        <v>1874</v>
      </c>
      <c r="Q923" s="84" t="s">
        <v>2463</v>
      </c>
      <c r="S923" t="b">
        <v>0</v>
      </c>
    </row>
    <row r="924" spans="14:19" x14ac:dyDescent="0.25">
      <c r="N924" s="23" t="s">
        <v>106</v>
      </c>
      <c r="O924" s="30" t="s">
        <v>1830</v>
      </c>
      <c r="P924" s="30" t="s">
        <v>1875</v>
      </c>
      <c r="Q924" s="84" t="s">
        <v>2463</v>
      </c>
      <c r="S924" t="b">
        <v>0</v>
      </c>
    </row>
    <row r="925" spans="14:19" x14ac:dyDescent="0.25">
      <c r="N925" s="23" t="s">
        <v>106</v>
      </c>
      <c r="O925" s="30" t="s">
        <v>1830</v>
      </c>
      <c r="P925" s="30" t="s">
        <v>1876</v>
      </c>
      <c r="Q925" s="84" t="s">
        <v>2463</v>
      </c>
      <c r="S925" t="b">
        <v>0</v>
      </c>
    </row>
    <row r="926" spans="14:19" x14ac:dyDescent="0.25">
      <c r="N926" s="23" t="s">
        <v>106</v>
      </c>
      <c r="O926" s="30" t="s">
        <v>1830</v>
      </c>
      <c r="P926" s="30" t="s">
        <v>1877</v>
      </c>
      <c r="Q926" s="84" t="s">
        <v>2463</v>
      </c>
      <c r="S926" t="b">
        <v>0</v>
      </c>
    </row>
    <row r="927" spans="14:19" x14ac:dyDescent="0.25">
      <c r="N927" s="23" t="s">
        <v>106</v>
      </c>
      <c r="O927" s="30" t="s">
        <v>1830</v>
      </c>
      <c r="P927" s="30" t="s">
        <v>1878</v>
      </c>
      <c r="Q927" s="84" t="s">
        <v>2463</v>
      </c>
      <c r="S927" t="b">
        <v>0</v>
      </c>
    </row>
    <row r="928" spans="14:19" x14ac:dyDescent="0.25">
      <c r="N928" s="23" t="s">
        <v>106</v>
      </c>
      <c r="O928" s="30" t="s">
        <v>1830</v>
      </c>
      <c r="P928" s="30" t="s">
        <v>1879</v>
      </c>
      <c r="Q928" s="84" t="s">
        <v>2463</v>
      </c>
      <c r="S928" t="b">
        <v>0</v>
      </c>
    </row>
    <row r="929" spans="14:19" x14ac:dyDescent="0.25">
      <c r="N929" s="23" t="s">
        <v>106</v>
      </c>
      <c r="O929" s="30" t="s">
        <v>1830</v>
      </c>
      <c r="P929" s="30" t="s">
        <v>1880</v>
      </c>
      <c r="Q929" s="84" t="s">
        <v>2463</v>
      </c>
      <c r="S929" t="b">
        <v>0</v>
      </c>
    </row>
    <row r="930" spans="14:19" x14ac:dyDescent="0.25">
      <c r="N930" s="23" t="s">
        <v>106</v>
      </c>
      <c r="O930" s="30" t="s">
        <v>1830</v>
      </c>
      <c r="P930" s="30" t="s">
        <v>1881</v>
      </c>
      <c r="Q930" s="84" t="s">
        <v>2463</v>
      </c>
      <c r="S930" t="b">
        <v>0</v>
      </c>
    </row>
    <row r="931" spans="14:19" x14ac:dyDescent="0.25">
      <c r="N931" s="23" t="s">
        <v>106</v>
      </c>
      <c r="O931" s="30" t="s">
        <v>1830</v>
      </c>
      <c r="P931" s="30" t="s">
        <v>1882</v>
      </c>
      <c r="Q931" s="84" t="s">
        <v>2463</v>
      </c>
      <c r="S931" t="b">
        <v>0</v>
      </c>
    </row>
    <row r="932" spans="14:19" x14ac:dyDescent="0.25">
      <c r="N932" s="23" t="s">
        <v>106</v>
      </c>
      <c r="O932" s="30" t="s">
        <v>1830</v>
      </c>
      <c r="P932" s="30" t="s">
        <v>1883</v>
      </c>
      <c r="Q932" s="84" t="s">
        <v>2463</v>
      </c>
      <c r="S932" t="b">
        <v>0</v>
      </c>
    </row>
    <row r="933" spans="14:19" x14ac:dyDescent="0.25">
      <c r="N933" s="23" t="s">
        <v>106</v>
      </c>
      <c r="O933" s="30" t="s">
        <v>1830</v>
      </c>
      <c r="P933" s="30" t="s">
        <v>1884</v>
      </c>
      <c r="Q933" s="84" t="s">
        <v>2463</v>
      </c>
      <c r="S933" t="b">
        <v>0</v>
      </c>
    </row>
    <row r="934" spans="14:19" x14ac:dyDescent="0.25">
      <c r="N934" s="23" t="s">
        <v>106</v>
      </c>
      <c r="O934" s="30" t="s">
        <v>1830</v>
      </c>
      <c r="P934" s="30" t="s">
        <v>1885</v>
      </c>
      <c r="Q934" s="84" t="s">
        <v>2463</v>
      </c>
      <c r="S934" t="b">
        <v>0</v>
      </c>
    </row>
    <row r="935" spans="14:19" x14ac:dyDescent="0.25">
      <c r="N935" s="23" t="s">
        <v>106</v>
      </c>
      <c r="O935" s="30" t="s">
        <v>1830</v>
      </c>
      <c r="P935" s="30" t="s">
        <v>1886</v>
      </c>
      <c r="Q935" s="84" t="s">
        <v>2463</v>
      </c>
      <c r="S935" t="b">
        <v>0</v>
      </c>
    </row>
    <row r="936" spans="14:19" x14ac:dyDescent="0.25">
      <c r="N936" s="23" t="s">
        <v>106</v>
      </c>
      <c r="O936" s="30" t="s">
        <v>1830</v>
      </c>
      <c r="P936" s="30" t="s">
        <v>1887</v>
      </c>
      <c r="Q936" s="84" t="s">
        <v>2463</v>
      </c>
      <c r="S936" t="b">
        <v>0</v>
      </c>
    </row>
    <row r="937" spans="14:19" x14ac:dyDescent="0.25">
      <c r="N937" s="23" t="s">
        <v>106</v>
      </c>
      <c r="O937" s="30" t="s">
        <v>1830</v>
      </c>
      <c r="P937" s="30" t="s">
        <v>1888</v>
      </c>
      <c r="Q937" s="84" t="s">
        <v>2463</v>
      </c>
      <c r="S937" t="b">
        <v>0</v>
      </c>
    </row>
    <row r="938" spans="14:19" x14ac:dyDescent="0.25">
      <c r="N938" s="23" t="s">
        <v>106</v>
      </c>
      <c r="O938" s="30" t="s">
        <v>1830</v>
      </c>
      <c r="P938" s="30" t="s">
        <v>1889</v>
      </c>
      <c r="Q938" s="84" t="s">
        <v>2463</v>
      </c>
      <c r="S938" t="b">
        <v>0</v>
      </c>
    </row>
    <row r="939" spans="14:19" x14ac:dyDescent="0.25">
      <c r="N939" s="23" t="s">
        <v>106</v>
      </c>
      <c r="O939" s="30" t="s">
        <v>1830</v>
      </c>
      <c r="P939" s="30" t="s">
        <v>1890</v>
      </c>
      <c r="Q939" s="84" t="s">
        <v>2463</v>
      </c>
      <c r="S939" t="b">
        <v>0</v>
      </c>
    </row>
    <row r="940" spans="14:19" x14ac:dyDescent="0.25">
      <c r="N940" s="23" t="s">
        <v>106</v>
      </c>
      <c r="O940" s="30" t="s">
        <v>1830</v>
      </c>
      <c r="P940" s="30" t="s">
        <v>1891</v>
      </c>
      <c r="Q940" s="84" t="s">
        <v>2463</v>
      </c>
      <c r="S940" t="b">
        <v>0</v>
      </c>
    </row>
    <row r="941" spans="14:19" x14ac:dyDescent="0.25">
      <c r="N941" s="23" t="s">
        <v>106</v>
      </c>
      <c r="O941" s="30" t="s">
        <v>1830</v>
      </c>
      <c r="P941" s="30" t="s">
        <v>1892</v>
      </c>
      <c r="Q941" s="84" t="s">
        <v>2463</v>
      </c>
      <c r="S941" t="b">
        <v>0</v>
      </c>
    </row>
    <row r="942" spans="14:19" x14ac:dyDescent="0.25">
      <c r="N942" s="23" t="s">
        <v>106</v>
      </c>
      <c r="O942" s="30" t="s">
        <v>1830</v>
      </c>
      <c r="P942" s="30" t="s">
        <v>1893</v>
      </c>
      <c r="Q942" s="84" t="s">
        <v>2463</v>
      </c>
      <c r="S942" t="b">
        <v>0</v>
      </c>
    </row>
    <row r="943" spans="14:19" x14ac:dyDescent="0.25">
      <c r="N943" s="23" t="s">
        <v>106</v>
      </c>
      <c r="O943" s="30" t="s">
        <v>1830</v>
      </c>
      <c r="P943" s="30" t="s">
        <v>1894</v>
      </c>
      <c r="Q943" s="84" t="s">
        <v>2463</v>
      </c>
      <c r="S943" t="b">
        <v>0</v>
      </c>
    </row>
    <row r="944" spans="14:19" x14ac:dyDescent="0.25">
      <c r="N944" s="23" t="s">
        <v>106</v>
      </c>
      <c r="O944" s="30" t="s">
        <v>1830</v>
      </c>
      <c r="P944" s="30" t="s">
        <v>1895</v>
      </c>
      <c r="Q944" s="84" t="s">
        <v>2463</v>
      </c>
      <c r="S944" t="b">
        <v>0</v>
      </c>
    </row>
    <row r="945" spans="14:19" x14ac:dyDescent="0.25">
      <c r="N945" s="23" t="s">
        <v>106</v>
      </c>
      <c r="O945" s="30" t="s">
        <v>1830</v>
      </c>
      <c r="P945" s="30" t="s">
        <v>1896</v>
      </c>
      <c r="Q945" s="84" t="s">
        <v>2463</v>
      </c>
      <c r="S945" t="b">
        <v>0</v>
      </c>
    </row>
    <row r="946" spans="14:19" x14ac:dyDescent="0.25">
      <c r="N946" s="23" t="s">
        <v>106</v>
      </c>
      <c r="O946" s="30" t="s">
        <v>1830</v>
      </c>
      <c r="P946" s="30" t="s">
        <v>1897</v>
      </c>
      <c r="Q946" s="84" t="s">
        <v>2463</v>
      </c>
      <c r="S946" t="b">
        <v>0</v>
      </c>
    </row>
    <row r="947" spans="14:19" x14ac:dyDescent="0.25">
      <c r="N947" s="23" t="s">
        <v>106</v>
      </c>
      <c r="O947" s="30" t="s">
        <v>1830</v>
      </c>
      <c r="P947" s="30" t="s">
        <v>1898</v>
      </c>
      <c r="Q947" s="84" t="s">
        <v>2463</v>
      </c>
      <c r="S947" t="b">
        <v>0</v>
      </c>
    </row>
    <row r="948" spans="14:19" x14ac:dyDescent="0.25">
      <c r="N948" s="23" t="s">
        <v>106</v>
      </c>
      <c r="O948" s="30" t="s">
        <v>1830</v>
      </c>
      <c r="P948" s="30" t="s">
        <v>1899</v>
      </c>
      <c r="Q948" s="84" t="s">
        <v>2463</v>
      </c>
      <c r="S948" t="b">
        <v>0</v>
      </c>
    </row>
    <row r="949" spans="14:19" x14ac:dyDescent="0.25">
      <c r="N949" s="23" t="s">
        <v>106</v>
      </c>
      <c r="O949" s="30" t="s">
        <v>1830</v>
      </c>
      <c r="P949" s="30" t="s">
        <v>1900</v>
      </c>
      <c r="Q949" s="84" t="s">
        <v>2463</v>
      </c>
      <c r="S949" t="b">
        <v>0</v>
      </c>
    </row>
    <row r="950" spans="14:19" x14ac:dyDescent="0.25">
      <c r="N950" s="23" t="s">
        <v>106</v>
      </c>
      <c r="O950" s="30" t="s">
        <v>1830</v>
      </c>
      <c r="P950" s="30" t="s">
        <v>1901</v>
      </c>
      <c r="Q950" s="84" t="s">
        <v>2463</v>
      </c>
      <c r="S950" t="b">
        <v>0</v>
      </c>
    </row>
    <row r="951" spans="14:19" x14ac:dyDescent="0.25">
      <c r="N951" s="23" t="s">
        <v>106</v>
      </c>
      <c r="O951" s="30" t="s">
        <v>1830</v>
      </c>
      <c r="P951" s="30" t="s">
        <v>1902</v>
      </c>
      <c r="Q951" s="84" t="s">
        <v>2463</v>
      </c>
      <c r="S951" t="b">
        <v>0</v>
      </c>
    </row>
    <row r="952" spans="14:19" x14ac:dyDescent="0.25">
      <c r="N952" s="23" t="s">
        <v>106</v>
      </c>
      <c r="O952" s="30" t="s">
        <v>1830</v>
      </c>
      <c r="P952" s="30" t="s">
        <v>1903</v>
      </c>
      <c r="Q952" s="84" t="s">
        <v>2463</v>
      </c>
      <c r="S952" t="b">
        <v>0</v>
      </c>
    </row>
    <row r="953" spans="14:19" x14ac:dyDescent="0.25">
      <c r="N953" s="23" t="s">
        <v>106</v>
      </c>
      <c r="O953" s="30" t="s">
        <v>1830</v>
      </c>
      <c r="P953" s="30" t="s">
        <v>1904</v>
      </c>
      <c r="Q953" s="84" t="s">
        <v>2463</v>
      </c>
      <c r="S953" t="b">
        <v>0</v>
      </c>
    </row>
    <row r="954" spans="14:19" x14ac:dyDescent="0.25">
      <c r="N954" s="23" t="s">
        <v>106</v>
      </c>
      <c r="O954" s="30" t="s">
        <v>1830</v>
      </c>
      <c r="P954" s="30" t="s">
        <v>1905</v>
      </c>
      <c r="Q954" s="84" t="s">
        <v>2463</v>
      </c>
      <c r="S954" t="b">
        <v>0</v>
      </c>
    </row>
    <row r="955" spans="14:19" x14ac:dyDescent="0.25">
      <c r="N955" s="23" t="s">
        <v>106</v>
      </c>
      <c r="O955" s="30" t="s">
        <v>1830</v>
      </c>
      <c r="P955" s="30" t="s">
        <v>1906</v>
      </c>
      <c r="Q955" s="84" t="s">
        <v>2463</v>
      </c>
      <c r="S955" t="b">
        <v>0</v>
      </c>
    </row>
    <row r="956" spans="14:19" x14ac:dyDescent="0.25">
      <c r="N956" s="23" t="s">
        <v>106</v>
      </c>
      <c r="O956" s="30" t="s">
        <v>1830</v>
      </c>
      <c r="P956" s="30" t="s">
        <v>1907</v>
      </c>
      <c r="Q956" s="84" t="s">
        <v>2463</v>
      </c>
      <c r="S956" t="b">
        <v>0</v>
      </c>
    </row>
    <row r="957" spans="14:19" x14ac:dyDescent="0.25">
      <c r="N957" s="23" t="s">
        <v>106</v>
      </c>
      <c r="O957" s="30" t="s">
        <v>1830</v>
      </c>
      <c r="P957" s="30" t="s">
        <v>1908</v>
      </c>
      <c r="Q957" s="84" t="s">
        <v>2463</v>
      </c>
      <c r="S957" t="b">
        <v>0</v>
      </c>
    </row>
    <row r="958" spans="14:19" x14ac:dyDescent="0.25">
      <c r="N958" s="23" t="s">
        <v>106</v>
      </c>
      <c r="O958" s="30" t="s">
        <v>1830</v>
      </c>
      <c r="P958" s="30" t="s">
        <v>1909</v>
      </c>
      <c r="Q958" s="84" t="s">
        <v>2463</v>
      </c>
      <c r="S958" t="b">
        <v>0</v>
      </c>
    </row>
    <row r="959" spans="14:19" x14ac:dyDescent="0.25">
      <c r="N959" s="23" t="s">
        <v>106</v>
      </c>
      <c r="O959" s="30" t="s">
        <v>1830</v>
      </c>
      <c r="P959" s="30" t="s">
        <v>1910</v>
      </c>
      <c r="Q959" s="84" t="s">
        <v>2463</v>
      </c>
      <c r="S959" t="b">
        <v>0</v>
      </c>
    </row>
    <row r="960" spans="14:19" x14ac:dyDescent="0.25">
      <c r="N960" s="23" t="s">
        <v>106</v>
      </c>
      <c r="O960" s="30" t="s">
        <v>1830</v>
      </c>
      <c r="P960" s="30" t="s">
        <v>1911</v>
      </c>
      <c r="Q960" s="84" t="s">
        <v>2463</v>
      </c>
      <c r="S960" t="b">
        <v>0</v>
      </c>
    </row>
    <row r="961" spans="14:19" x14ac:dyDescent="0.25">
      <c r="N961" s="23" t="s">
        <v>106</v>
      </c>
      <c r="O961" s="30" t="s">
        <v>1830</v>
      </c>
      <c r="P961" s="30" t="s">
        <v>1912</v>
      </c>
      <c r="Q961" s="84" t="s">
        <v>2463</v>
      </c>
      <c r="S961" t="b">
        <v>0</v>
      </c>
    </row>
    <row r="962" spans="14:19" x14ac:dyDescent="0.25">
      <c r="N962" s="23" t="s">
        <v>106</v>
      </c>
      <c r="O962" s="30" t="s">
        <v>1830</v>
      </c>
      <c r="P962" s="30" t="s">
        <v>1913</v>
      </c>
      <c r="Q962" s="84" t="s">
        <v>2463</v>
      </c>
      <c r="S962" t="b">
        <v>0</v>
      </c>
    </row>
    <row r="963" spans="14:19" x14ac:dyDescent="0.25">
      <c r="N963" s="23" t="s">
        <v>106</v>
      </c>
      <c r="O963" s="30" t="s">
        <v>1830</v>
      </c>
      <c r="P963" s="30" t="s">
        <v>1914</v>
      </c>
      <c r="Q963" s="84" t="s">
        <v>2463</v>
      </c>
      <c r="S963" t="b">
        <v>0</v>
      </c>
    </row>
    <row r="964" spans="14:19" x14ac:dyDescent="0.25">
      <c r="N964" s="23" t="s">
        <v>106</v>
      </c>
      <c r="O964" s="30" t="s">
        <v>1830</v>
      </c>
      <c r="P964" s="30" t="s">
        <v>1915</v>
      </c>
      <c r="Q964" s="84" t="s">
        <v>2463</v>
      </c>
      <c r="S964" t="b">
        <v>0</v>
      </c>
    </row>
    <row r="965" spans="14:19" x14ac:dyDescent="0.25">
      <c r="N965" s="23" t="s">
        <v>106</v>
      </c>
      <c r="O965" s="30" t="s">
        <v>1830</v>
      </c>
      <c r="P965" s="30" t="s">
        <v>1916</v>
      </c>
      <c r="Q965" s="84" t="s">
        <v>2463</v>
      </c>
      <c r="S965" t="b">
        <v>0</v>
      </c>
    </row>
    <row r="966" spans="14:19" x14ac:dyDescent="0.25">
      <c r="N966" s="23" t="s">
        <v>106</v>
      </c>
      <c r="O966" s="30" t="s">
        <v>1830</v>
      </c>
      <c r="P966" s="30" t="s">
        <v>1917</v>
      </c>
      <c r="Q966" s="84" t="s">
        <v>2462</v>
      </c>
      <c r="S966" t="b">
        <v>0</v>
      </c>
    </row>
    <row r="967" spans="14:19" x14ac:dyDescent="0.25">
      <c r="N967" s="23" t="s">
        <v>106</v>
      </c>
      <c r="O967" s="30" t="s">
        <v>1830</v>
      </c>
      <c r="P967" s="30" t="s">
        <v>1918</v>
      </c>
      <c r="Q967" s="84" t="s">
        <v>2462</v>
      </c>
      <c r="S967" t="b">
        <v>0</v>
      </c>
    </row>
    <row r="968" spans="14:19" x14ac:dyDescent="0.25">
      <c r="N968" s="23" t="s">
        <v>106</v>
      </c>
      <c r="O968" s="30" t="s">
        <v>1919</v>
      </c>
      <c r="P968" s="30" t="s">
        <v>1920</v>
      </c>
      <c r="Q968" s="84" t="s">
        <v>2463</v>
      </c>
      <c r="S968" t="b">
        <v>0</v>
      </c>
    </row>
    <row r="969" spans="14:19" x14ac:dyDescent="0.25">
      <c r="N969" s="23" t="s">
        <v>106</v>
      </c>
      <c r="O969" s="30" t="s">
        <v>1919</v>
      </c>
      <c r="P969" s="30" t="s">
        <v>1921</v>
      </c>
      <c r="Q969" s="84" t="s">
        <v>2463</v>
      </c>
      <c r="S969" t="b">
        <v>0</v>
      </c>
    </row>
    <row r="970" spans="14:19" x14ac:dyDescent="0.25">
      <c r="N970" s="23" t="s">
        <v>106</v>
      </c>
      <c r="O970" s="30" t="s">
        <v>1919</v>
      </c>
      <c r="P970" s="30" t="s">
        <v>1922</v>
      </c>
      <c r="Q970" s="84" t="s">
        <v>2463</v>
      </c>
      <c r="S970" t="b">
        <v>0</v>
      </c>
    </row>
    <row r="971" spans="14:19" x14ac:dyDescent="0.25">
      <c r="N971" s="23" t="s">
        <v>106</v>
      </c>
      <c r="O971" s="30" t="s">
        <v>1919</v>
      </c>
      <c r="P971" s="30" t="s">
        <v>1923</v>
      </c>
      <c r="Q971" s="84" t="s">
        <v>2463</v>
      </c>
      <c r="S971" t="b">
        <v>0</v>
      </c>
    </row>
    <row r="972" spans="14:19" x14ac:dyDescent="0.25">
      <c r="N972" s="23" t="s">
        <v>106</v>
      </c>
      <c r="O972" s="30" t="s">
        <v>1919</v>
      </c>
      <c r="P972" s="30" t="s">
        <v>1924</v>
      </c>
      <c r="Q972" s="84" t="s">
        <v>2463</v>
      </c>
      <c r="S972" t="b">
        <v>0</v>
      </c>
    </row>
    <row r="973" spans="14:19" x14ac:dyDescent="0.25">
      <c r="N973" s="23" t="s">
        <v>106</v>
      </c>
      <c r="O973" s="30" t="s">
        <v>1919</v>
      </c>
      <c r="P973" s="30" t="s">
        <v>1925</v>
      </c>
      <c r="Q973" s="84" t="s">
        <v>2463</v>
      </c>
      <c r="S973" t="b">
        <v>0</v>
      </c>
    </row>
    <row r="974" spans="14:19" x14ac:dyDescent="0.25">
      <c r="N974" s="23" t="s">
        <v>106</v>
      </c>
      <c r="O974" s="30" t="s">
        <v>1919</v>
      </c>
      <c r="P974" s="30" t="s">
        <v>1926</v>
      </c>
      <c r="Q974" s="84" t="s">
        <v>2463</v>
      </c>
      <c r="S974" t="b">
        <v>0</v>
      </c>
    </row>
    <row r="975" spans="14:19" x14ac:dyDescent="0.25">
      <c r="N975" s="23" t="s">
        <v>106</v>
      </c>
      <c r="O975" s="30" t="s">
        <v>1919</v>
      </c>
      <c r="P975" s="30" t="s">
        <v>1927</v>
      </c>
      <c r="Q975" s="84" t="s">
        <v>2463</v>
      </c>
      <c r="S975" t="b">
        <v>0</v>
      </c>
    </row>
    <row r="976" spans="14:19" x14ac:dyDescent="0.25">
      <c r="N976" s="23" t="s">
        <v>106</v>
      </c>
      <c r="O976" s="30" t="s">
        <v>1919</v>
      </c>
      <c r="P976" s="30" t="s">
        <v>1928</v>
      </c>
      <c r="Q976" s="84" t="s">
        <v>2463</v>
      </c>
      <c r="S976" t="b">
        <v>0</v>
      </c>
    </row>
    <row r="977" spans="14:19" x14ac:dyDescent="0.25">
      <c r="N977" s="23" t="s">
        <v>106</v>
      </c>
      <c r="O977" s="30" t="s">
        <v>1919</v>
      </c>
      <c r="P977" s="30" t="s">
        <v>1929</v>
      </c>
      <c r="Q977" s="84" t="s">
        <v>2463</v>
      </c>
      <c r="S977" t="b">
        <v>0</v>
      </c>
    </row>
    <row r="978" spans="14:19" x14ac:dyDescent="0.25">
      <c r="N978" s="23" t="s">
        <v>106</v>
      </c>
      <c r="O978" s="30" t="s">
        <v>1919</v>
      </c>
      <c r="P978" s="30" t="s">
        <v>1930</v>
      </c>
      <c r="Q978" s="84" t="s">
        <v>2463</v>
      </c>
      <c r="S978" t="b">
        <v>0</v>
      </c>
    </row>
    <row r="979" spans="14:19" x14ac:dyDescent="0.25">
      <c r="N979" s="23" t="s">
        <v>106</v>
      </c>
      <c r="O979" s="30" t="s">
        <v>1919</v>
      </c>
      <c r="P979" s="30" t="s">
        <v>1931</v>
      </c>
      <c r="Q979" s="84" t="s">
        <v>2463</v>
      </c>
      <c r="S979" t="b">
        <v>0</v>
      </c>
    </row>
    <row r="980" spans="14:19" x14ac:dyDescent="0.25">
      <c r="N980" s="23" t="s">
        <v>106</v>
      </c>
      <c r="O980" s="30" t="s">
        <v>1919</v>
      </c>
      <c r="P980" s="30" t="s">
        <v>1932</v>
      </c>
      <c r="Q980" s="84" t="s">
        <v>2463</v>
      </c>
      <c r="S980" t="b">
        <v>0</v>
      </c>
    </row>
    <row r="981" spans="14:19" x14ac:dyDescent="0.25">
      <c r="N981" s="23" t="s">
        <v>106</v>
      </c>
      <c r="O981" s="30" t="s">
        <v>1919</v>
      </c>
      <c r="P981" s="30" t="s">
        <v>1933</v>
      </c>
      <c r="Q981" s="84" t="s">
        <v>2463</v>
      </c>
      <c r="S981" t="b">
        <v>0</v>
      </c>
    </row>
    <row r="982" spans="14:19" x14ac:dyDescent="0.25">
      <c r="N982" s="23" t="s">
        <v>106</v>
      </c>
      <c r="O982" s="30" t="s">
        <v>1919</v>
      </c>
      <c r="P982" s="30" t="s">
        <v>1934</v>
      </c>
      <c r="Q982" s="84" t="s">
        <v>2463</v>
      </c>
      <c r="S982" t="b">
        <v>0</v>
      </c>
    </row>
    <row r="983" spans="14:19" x14ac:dyDescent="0.25">
      <c r="N983" s="23" t="s">
        <v>106</v>
      </c>
      <c r="O983" s="30" t="s">
        <v>1919</v>
      </c>
      <c r="P983" s="30" t="s">
        <v>1935</v>
      </c>
      <c r="Q983" s="84" t="s">
        <v>2463</v>
      </c>
      <c r="S983" t="b">
        <v>0</v>
      </c>
    </row>
    <row r="984" spans="14:19" x14ac:dyDescent="0.25">
      <c r="N984" s="23" t="s">
        <v>106</v>
      </c>
      <c r="O984" s="30" t="s">
        <v>1919</v>
      </c>
      <c r="P984" s="30" t="s">
        <v>1936</v>
      </c>
      <c r="Q984" s="84" t="s">
        <v>2463</v>
      </c>
      <c r="S984" t="b">
        <v>0</v>
      </c>
    </row>
    <row r="985" spans="14:19" x14ac:dyDescent="0.25">
      <c r="N985" s="23" t="s">
        <v>106</v>
      </c>
      <c r="O985" s="30" t="s">
        <v>1919</v>
      </c>
      <c r="P985" s="30" t="s">
        <v>1937</v>
      </c>
      <c r="Q985" s="84" t="s">
        <v>2463</v>
      </c>
      <c r="S985" t="b">
        <v>0</v>
      </c>
    </row>
    <row r="986" spans="14:19" x14ac:dyDescent="0.25">
      <c r="N986" s="23" t="s">
        <v>106</v>
      </c>
      <c r="O986" s="30" t="s">
        <v>1919</v>
      </c>
      <c r="P986" s="30" t="s">
        <v>1938</v>
      </c>
      <c r="Q986" s="84" t="s">
        <v>2463</v>
      </c>
      <c r="S986" t="b">
        <v>0</v>
      </c>
    </row>
    <row r="987" spans="14:19" x14ac:dyDescent="0.25">
      <c r="N987" s="23" t="s">
        <v>106</v>
      </c>
      <c r="O987" s="30" t="s">
        <v>1919</v>
      </c>
      <c r="P987" s="30" t="s">
        <v>1939</v>
      </c>
      <c r="Q987" s="84" t="s">
        <v>2463</v>
      </c>
      <c r="S987" t="b">
        <v>0</v>
      </c>
    </row>
    <row r="988" spans="14:19" x14ac:dyDescent="0.25">
      <c r="N988" s="23" t="s">
        <v>106</v>
      </c>
      <c r="O988" s="30" t="s">
        <v>1919</v>
      </c>
      <c r="P988" s="30" t="s">
        <v>1940</v>
      </c>
      <c r="Q988" s="84" t="s">
        <v>2463</v>
      </c>
      <c r="S988" t="b">
        <v>0</v>
      </c>
    </row>
    <row r="989" spans="14:19" x14ac:dyDescent="0.25">
      <c r="N989" s="23" t="s">
        <v>106</v>
      </c>
      <c r="O989" s="30" t="s">
        <v>1919</v>
      </c>
      <c r="P989" s="30" t="s">
        <v>1941</v>
      </c>
      <c r="Q989" s="84" t="s">
        <v>2463</v>
      </c>
      <c r="S989" t="b">
        <v>0</v>
      </c>
    </row>
    <row r="990" spans="14:19" x14ac:dyDescent="0.25">
      <c r="N990" s="23" t="s">
        <v>106</v>
      </c>
      <c r="O990" s="30" t="s">
        <v>1919</v>
      </c>
      <c r="P990" s="30" t="s">
        <v>1942</v>
      </c>
      <c r="Q990" s="84" t="s">
        <v>2463</v>
      </c>
      <c r="S990" t="b">
        <v>0</v>
      </c>
    </row>
    <row r="991" spans="14:19" x14ac:dyDescent="0.25">
      <c r="N991" s="23" t="s">
        <v>106</v>
      </c>
      <c r="O991" s="30" t="s">
        <v>1919</v>
      </c>
      <c r="P991" s="30" t="s">
        <v>1943</v>
      </c>
      <c r="Q991" s="84" t="s">
        <v>2463</v>
      </c>
      <c r="S991" t="b">
        <v>0</v>
      </c>
    </row>
    <row r="992" spans="14:19" x14ac:dyDescent="0.25">
      <c r="N992" s="23" t="s">
        <v>106</v>
      </c>
      <c r="O992" s="30" t="s">
        <v>1919</v>
      </c>
      <c r="P992" s="30" t="s">
        <v>1944</v>
      </c>
      <c r="Q992" s="84" t="s">
        <v>2463</v>
      </c>
      <c r="S992" t="b">
        <v>0</v>
      </c>
    </row>
    <row r="993" spans="14:19" x14ac:dyDescent="0.25">
      <c r="N993" s="23" t="s">
        <v>106</v>
      </c>
      <c r="O993" s="30" t="s">
        <v>1919</v>
      </c>
      <c r="P993" s="30" t="s">
        <v>1945</v>
      </c>
      <c r="Q993" s="84" t="s">
        <v>2463</v>
      </c>
      <c r="S993" t="b">
        <v>0</v>
      </c>
    </row>
    <row r="994" spans="14:19" x14ac:dyDescent="0.25">
      <c r="N994" s="23" t="s">
        <v>106</v>
      </c>
      <c r="O994" s="30" t="s">
        <v>1919</v>
      </c>
      <c r="P994" s="30" t="s">
        <v>1946</v>
      </c>
      <c r="Q994" s="84" t="s">
        <v>2463</v>
      </c>
      <c r="S994" t="b">
        <v>0</v>
      </c>
    </row>
    <row r="995" spans="14:19" x14ac:dyDescent="0.25">
      <c r="N995" s="23" t="s">
        <v>106</v>
      </c>
      <c r="O995" s="30" t="s">
        <v>1919</v>
      </c>
      <c r="P995" s="30" t="s">
        <v>1947</v>
      </c>
      <c r="Q995" s="84" t="s">
        <v>2463</v>
      </c>
      <c r="S995" t="b">
        <v>0</v>
      </c>
    </row>
    <row r="996" spans="14:19" x14ac:dyDescent="0.25">
      <c r="N996" s="23" t="s">
        <v>106</v>
      </c>
      <c r="O996" s="30" t="s">
        <v>1919</v>
      </c>
      <c r="P996" s="30" t="s">
        <v>1948</v>
      </c>
      <c r="Q996" s="84" t="s">
        <v>2463</v>
      </c>
      <c r="S996" t="b">
        <v>0</v>
      </c>
    </row>
    <row r="997" spans="14:19" x14ac:dyDescent="0.25">
      <c r="N997" s="23" t="s">
        <v>106</v>
      </c>
      <c r="O997" s="30" t="s">
        <v>1919</v>
      </c>
      <c r="P997" s="30" t="s">
        <v>1949</v>
      </c>
      <c r="Q997" s="84" t="s">
        <v>2463</v>
      </c>
      <c r="S997" t="b">
        <v>0</v>
      </c>
    </row>
    <row r="998" spans="14:19" x14ac:dyDescent="0.25">
      <c r="N998" s="23" t="s">
        <v>106</v>
      </c>
      <c r="O998" s="30" t="s">
        <v>1919</v>
      </c>
      <c r="P998" s="30" t="s">
        <v>1950</v>
      </c>
      <c r="Q998" s="84" t="s">
        <v>2463</v>
      </c>
      <c r="S998" t="b">
        <v>0</v>
      </c>
    </row>
    <row r="999" spans="14:19" x14ac:dyDescent="0.25">
      <c r="N999" s="23" t="s">
        <v>106</v>
      </c>
      <c r="O999" s="30" t="s">
        <v>1919</v>
      </c>
      <c r="P999" s="30" t="s">
        <v>1951</v>
      </c>
      <c r="Q999" s="84" t="s">
        <v>2463</v>
      </c>
      <c r="S999" t="b">
        <v>0</v>
      </c>
    </row>
    <row r="1000" spans="14:19" x14ac:dyDescent="0.25">
      <c r="N1000" s="23" t="s">
        <v>106</v>
      </c>
      <c r="O1000" s="30" t="s">
        <v>1919</v>
      </c>
      <c r="P1000" s="30" t="s">
        <v>1952</v>
      </c>
      <c r="Q1000" s="84" t="s">
        <v>2463</v>
      </c>
      <c r="S1000" t="b">
        <v>0</v>
      </c>
    </row>
    <row r="1001" spans="14:19" x14ac:dyDescent="0.25">
      <c r="N1001" s="23" t="s">
        <v>106</v>
      </c>
      <c r="O1001" s="30" t="s">
        <v>1919</v>
      </c>
      <c r="P1001" s="30" t="s">
        <v>1953</v>
      </c>
      <c r="Q1001" s="84" t="s">
        <v>2463</v>
      </c>
      <c r="S1001" t="b">
        <v>0</v>
      </c>
    </row>
    <row r="1002" spans="14:19" x14ac:dyDescent="0.25">
      <c r="N1002" s="23" t="s">
        <v>106</v>
      </c>
      <c r="O1002" s="30" t="s">
        <v>1919</v>
      </c>
      <c r="P1002" s="30" t="s">
        <v>1954</v>
      </c>
      <c r="Q1002" s="84" t="s">
        <v>2463</v>
      </c>
      <c r="S1002" t="b">
        <v>0</v>
      </c>
    </row>
    <row r="1003" spans="14:19" x14ac:dyDescent="0.25">
      <c r="N1003" s="23" t="s">
        <v>106</v>
      </c>
      <c r="O1003" s="30" t="s">
        <v>1919</v>
      </c>
      <c r="P1003" s="30" t="s">
        <v>1955</v>
      </c>
      <c r="Q1003" s="84" t="s">
        <v>2463</v>
      </c>
      <c r="S1003" t="b">
        <v>0</v>
      </c>
    </row>
    <row r="1004" spans="14:19" x14ac:dyDescent="0.25">
      <c r="N1004" s="23" t="s">
        <v>106</v>
      </c>
      <c r="O1004" s="30" t="s">
        <v>1919</v>
      </c>
      <c r="P1004" s="30" t="s">
        <v>1956</v>
      </c>
      <c r="Q1004" s="84" t="s">
        <v>2463</v>
      </c>
      <c r="S1004" t="b">
        <v>0</v>
      </c>
    </row>
    <row r="1005" spans="14:19" x14ac:dyDescent="0.25">
      <c r="N1005" s="23" t="s">
        <v>106</v>
      </c>
      <c r="O1005" s="30" t="s">
        <v>1919</v>
      </c>
      <c r="P1005" s="30" t="s">
        <v>1957</v>
      </c>
      <c r="Q1005" s="84" t="s">
        <v>2463</v>
      </c>
      <c r="S1005" t="b">
        <v>0</v>
      </c>
    </row>
    <row r="1006" spans="14:19" x14ac:dyDescent="0.25">
      <c r="N1006" s="23" t="s">
        <v>106</v>
      </c>
      <c r="O1006" s="30" t="s">
        <v>1919</v>
      </c>
      <c r="P1006" s="30" t="s">
        <v>1958</v>
      </c>
      <c r="Q1006" s="84" t="s">
        <v>2463</v>
      </c>
      <c r="S1006" t="b">
        <v>0</v>
      </c>
    </row>
    <row r="1007" spans="14:19" x14ac:dyDescent="0.25">
      <c r="N1007" s="23" t="s">
        <v>106</v>
      </c>
      <c r="O1007" s="30" t="s">
        <v>1919</v>
      </c>
      <c r="P1007" s="30" t="s">
        <v>1959</v>
      </c>
      <c r="Q1007" s="84" t="s">
        <v>2463</v>
      </c>
      <c r="S1007" t="b">
        <v>0</v>
      </c>
    </row>
    <row r="1008" spans="14:19" x14ac:dyDescent="0.25">
      <c r="N1008" s="23" t="s">
        <v>106</v>
      </c>
      <c r="O1008" s="30" t="s">
        <v>1919</v>
      </c>
      <c r="P1008" s="30" t="s">
        <v>1960</v>
      </c>
      <c r="Q1008" s="84" t="s">
        <v>2463</v>
      </c>
      <c r="S1008" t="b">
        <v>0</v>
      </c>
    </row>
    <row r="1009" spans="14:19" x14ac:dyDescent="0.25">
      <c r="N1009" s="23" t="s">
        <v>106</v>
      </c>
      <c r="O1009" s="30" t="s">
        <v>1919</v>
      </c>
      <c r="P1009" s="30" t="s">
        <v>1961</v>
      </c>
      <c r="Q1009" s="84" t="s">
        <v>2463</v>
      </c>
      <c r="S1009" t="b">
        <v>0</v>
      </c>
    </row>
    <row r="1010" spans="14:19" x14ac:dyDescent="0.25">
      <c r="N1010" s="23" t="s">
        <v>106</v>
      </c>
      <c r="O1010" s="30" t="s">
        <v>1919</v>
      </c>
      <c r="P1010" s="30" t="s">
        <v>1962</v>
      </c>
      <c r="Q1010" s="84" t="s">
        <v>2463</v>
      </c>
      <c r="S1010" t="b">
        <v>0</v>
      </c>
    </row>
    <row r="1011" spans="14:19" x14ac:dyDescent="0.25">
      <c r="N1011" s="23" t="s">
        <v>106</v>
      </c>
      <c r="O1011" s="30" t="s">
        <v>1919</v>
      </c>
      <c r="P1011" s="30" t="s">
        <v>1963</v>
      </c>
      <c r="Q1011" s="84" t="s">
        <v>2463</v>
      </c>
      <c r="S1011" t="b">
        <v>0</v>
      </c>
    </row>
    <row r="1012" spans="14:19" x14ac:dyDescent="0.25">
      <c r="N1012" s="23" t="s">
        <v>106</v>
      </c>
      <c r="O1012" s="30" t="s">
        <v>1919</v>
      </c>
      <c r="P1012" s="30" t="s">
        <v>1964</v>
      </c>
      <c r="Q1012" s="84" t="s">
        <v>2463</v>
      </c>
      <c r="S1012" t="b">
        <v>0</v>
      </c>
    </row>
    <row r="1013" spans="14:19" x14ac:dyDescent="0.25">
      <c r="N1013" s="23" t="s">
        <v>106</v>
      </c>
      <c r="O1013" s="30" t="s">
        <v>1919</v>
      </c>
      <c r="P1013" s="30" t="s">
        <v>1965</v>
      </c>
      <c r="Q1013" s="84" t="s">
        <v>2463</v>
      </c>
      <c r="S1013" t="b">
        <v>0</v>
      </c>
    </row>
    <row r="1014" spans="14:19" x14ac:dyDescent="0.25">
      <c r="N1014" s="23" t="s">
        <v>106</v>
      </c>
      <c r="O1014" s="30" t="s">
        <v>1919</v>
      </c>
      <c r="P1014" s="30" t="s">
        <v>1966</v>
      </c>
      <c r="Q1014" s="84" t="s">
        <v>2463</v>
      </c>
      <c r="S1014" t="b">
        <v>0</v>
      </c>
    </row>
    <row r="1015" spans="14:19" x14ac:dyDescent="0.25">
      <c r="N1015" s="23" t="s">
        <v>106</v>
      </c>
      <c r="O1015" s="30" t="s">
        <v>1919</v>
      </c>
      <c r="P1015" s="30" t="s">
        <v>1967</v>
      </c>
      <c r="Q1015" s="84" t="s">
        <v>2463</v>
      </c>
      <c r="S1015" t="b">
        <v>0</v>
      </c>
    </row>
    <row r="1016" spans="14:19" x14ac:dyDescent="0.25">
      <c r="N1016" s="23" t="s">
        <v>106</v>
      </c>
      <c r="O1016" s="30" t="s">
        <v>1919</v>
      </c>
      <c r="P1016" s="30" t="s">
        <v>1968</v>
      </c>
      <c r="Q1016" s="84" t="s">
        <v>2463</v>
      </c>
      <c r="S1016" t="b">
        <v>0</v>
      </c>
    </row>
    <row r="1017" spans="14:19" x14ac:dyDescent="0.25">
      <c r="N1017" s="23" t="s">
        <v>106</v>
      </c>
      <c r="O1017" s="30" t="s">
        <v>1919</v>
      </c>
      <c r="P1017" s="30" t="s">
        <v>1969</v>
      </c>
      <c r="Q1017" s="84" t="s">
        <v>2463</v>
      </c>
      <c r="S1017" t="b">
        <v>0</v>
      </c>
    </row>
    <row r="1018" spans="14:19" x14ac:dyDescent="0.25">
      <c r="N1018" s="23" t="s">
        <v>106</v>
      </c>
      <c r="O1018" s="30" t="s">
        <v>1919</v>
      </c>
      <c r="P1018" s="30" t="s">
        <v>1970</v>
      </c>
      <c r="Q1018" s="84" t="s">
        <v>2463</v>
      </c>
      <c r="S1018" t="b">
        <v>0</v>
      </c>
    </row>
    <row r="1019" spans="14:19" x14ac:dyDescent="0.25">
      <c r="N1019" s="23" t="s">
        <v>106</v>
      </c>
      <c r="O1019" s="30" t="s">
        <v>1919</v>
      </c>
      <c r="P1019" s="30" t="s">
        <v>1971</v>
      </c>
      <c r="Q1019" s="84" t="s">
        <v>2463</v>
      </c>
      <c r="S1019" t="b">
        <v>0</v>
      </c>
    </row>
    <row r="1020" spans="14:19" x14ac:dyDescent="0.25">
      <c r="N1020" s="23" t="s">
        <v>106</v>
      </c>
      <c r="O1020" s="30" t="s">
        <v>1919</v>
      </c>
      <c r="P1020" s="30" t="s">
        <v>1972</v>
      </c>
      <c r="Q1020" s="84" t="s">
        <v>2463</v>
      </c>
      <c r="S1020" t="b">
        <v>0</v>
      </c>
    </row>
    <row r="1021" spans="14:19" x14ac:dyDescent="0.25">
      <c r="N1021" s="23" t="s">
        <v>106</v>
      </c>
      <c r="O1021" s="30" t="s">
        <v>1919</v>
      </c>
      <c r="P1021" s="30" t="s">
        <v>1973</v>
      </c>
      <c r="Q1021" s="84" t="s">
        <v>2463</v>
      </c>
      <c r="S1021" t="b">
        <v>0</v>
      </c>
    </row>
    <row r="1022" spans="14:19" x14ac:dyDescent="0.25">
      <c r="N1022" s="23" t="s">
        <v>106</v>
      </c>
      <c r="O1022" s="30" t="s">
        <v>1919</v>
      </c>
      <c r="P1022" s="30" t="s">
        <v>1974</v>
      </c>
      <c r="Q1022" s="84" t="s">
        <v>2463</v>
      </c>
      <c r="S1022" t="b">
        <v>0</v>
      </c>
    </row>
    <row r="1023" spans="14:19" x14ac:dyDescent="0.25">
      <c r="N1023" s="23" t="s">
        <v>106</v>
      </c>
      <c r="O1023" s="30" t="s">
        <v>1919</v>
      </c>
      <c r="P1023" s="30" t="s">
        <v>1975</v>
      </c>
      <c r="Q1023" s="84" t="s">
        <v>2463</v>
      </c>
      <c r="S1023" t="b">
        <v>0</v>
      </c>
    </row>
    <row r="1024" spans="14:19" x14ac:dyDescent="0.25">
      <c r="N1024" s="23" t="s">
        <v>106</v>
      </c>
      <c r="O1024" s="30" t="s">
        <v>1919</v>
      </c>
      <c r="P1024" s="30" t="s">
        <v>1976</v>
      </c>
      <c r="Q1024" s="84" t="s">
        <v>2463</v>
      </c>
      <c r="S1024" t="b">
        <v>0</v>
      </c>
    </row>
    <row r="1025" spans="14:19" x14ac:dyDescent="0.25">
      <c r="N1025" s="23" t="s">
        <v>106</v>
      </c>
      <c r="O1025" s="30" t="s">
        <v>1919</v>
      </c>
      <c r="P1025" s="30" t="s">
        <v>1977</v>
      </c>
      <c r="Q1025" s="84" t="s">
        <v>2463</v>
      </c>
      <c r="S1025" t="b">
        <v>0</v>
      </c>
    </row>
    <row r="1026" spans="14:19" x14ac:dyDescent="0.25">
      <c r="N1026" s="23" t="s">
        <v>106</v>
      </c>
      <c r="O1026" s="30" t="s">
        <v>1919</v>
      </c>
      <c r="P1026" s="30" t="s">
        <v>1978</v>
      </c>
      <c r="Q1026" s="84" t="s">
        <v>2463</v>
      </c>
      <c r="S1026" t="b">
        <v>0</v>
      </c>
    </row>
    <row r="1027" spans="14:19" x14ac:dyDescent="0.25">
      <c r="N1027" s="23" t="s">
        <v>106</v>
      </c>
      <c r="O1027" s="30" t="s">
        <v>1919</v>
      </c>
      <c r="P1027" s="30" t="s">
        <v>1979</v>
      </c>
      <c r="Q1027" s="84" t="s">
        <v>2463</v>
      </c>
      <c r="S1027" t="b">
        <v>0</v>
      </c>
    </row>
    <row r="1028" spans="14:19" x14ac:dyDescent="0.25">
      <c r="N1028" s="23" t="s">
        <v>106</v>
      </c>
      <c r="O1028" s="30" t="s">
        <v>1919</v>
      </c>
      <c r="P1028" s="30" t="s">
        <v>1980</v>
      </c>
      <c r="Q1028" s="84" t="s">
        <v>2463</v>
      </c>
      <c r="S1028" t="b">
        <v>0</v>
      </c>
    </row>
    <row r="1029" spans="14:19" x14ac:dyDescent="0.25">
      <c r="N1029" s="23" t="s">
        <v>106</v>
      </c>
      <c r="O1029" s="30" t="s">
        <v>1919</v>
      </c>
      <c r="P1029" s="30" t="s">
        <v>1981</v>
      </c>
      <c r="Q1029" s="84" t="s">
        <v>2463</v>
      </c>
      <c r="S1029" t="b">
        <v>0</v>
      </c>
    </row>
    <row r="1030" spans="14:19" x14ac:dyDescent="0.25">
      <c r="N1030" s="23" t="s">
        <v>106</v>
      </c>
      <c r="O1030" s="30" t="s">
        <v>1919</v>
      </c>
      <c r="P1030" s="30" t="s">
        <v>1982</v>
      </c>
      <c r="Q1030" s="84" t="s">
        <v>2463</v>
      </c>
      <c r="S1030" t="b">
        <v>0</v>
      </c>
    </row>
    <row r="1031" spans="14:19" x14ac:dyDescent="0.25">
      <c r="N1031" s="23" t="s">
        <v>106</v>
      </c>
      <c r="O1031" s="30" t="s">
        <v>1919</v>
      </c>
      <c r="P1031" s="30" t="s">
        <v>1983</v>
      </c>
      <c r="Q1031" s="84" t="s">
        <v>2463</v>
      </c>
      <c r="S1031" t="b">
        <v>0</v>
      </c>
    </row>
    <row r="1032" spans="14:19" x14ac:dyDescent="0.25">
      <c r="N1032" s="23" t="s">
        <v>106</v>
      </c>
      <c r="O1032" s="30" t="s">
        <v>1919</v>
      </c>
      <c r="P1032" s="30" t="s">
        <v>1984</v>
      </c>
      <c r="Q1032" s="84" t="s">
        <v>2463</v>
      </c>
      <c r="S1032" t="b">
        <v>0</v>
      </c>
    </row>
    <row r="1033" spans="14:19" x14ac:dyDescent="0.25">
      <c r="N1033" s="23" t="s">
        <v>106</v>
      </c>
      <c r="O1033" s="30" t="s">
        <v>1919</v>
      </c>
      <c r="P1033" s="30" t="s">
        <v>1985</v>
      </c>
      <c r="Q1033" s="84" t="s">
        <v>2463</v>
      </c>
      <c r="S1033" t="b">
        <v>0</v>
      </c>
    </row>
    <row r="1034" spans="14:19" x14ac:dyDescent="0.25">
      <c r="N1034" s="23" t="s">
        <v>106</v>
      </c>
      <c r="O1034" s="30" t="s">
        <v>1919</v>
      </c>
      <c r="P1034" s="30" t="s">
        <v>1986</v>
      </c>
      <c r="Q1034" s="84" t="s">
        <v>2463</v>
      </c>
      <c r="S1034" t="b">
        <v>0</v>
      </c>
    </row>
    <row r="1035" spans="14:19" x14ac:dyDescent="0.25">
      <c r="N1035" s="23" t="s">
        <v>106</v>
      </c>
      <c r="O1035" s="30" t="s">
        <v>1919</v>
      </c>
      <c r="P1035" s="30" t="s">
        <v>1987</v>
      </c>
      <c r="Q1035" s="84" t="s">
        <v>2463</v>
      </c>
      <c r="S1035" t="b">
        <v>0</v>
      </c>
    </row>
    <row r="1036" spans="14:19" x14ac:dyDescent="0.25">
      <c r="N1036" s="23" t="s">
        <v>106</v>
      </c>
      <c r="O1036" s="30" t="s">
        <v>1919</v>
      </c>
      <c r="P1036" s="30" t="s">
        <v>1988</v>
      </c>
      <c r="Q1036" s="84" t="s">
        <v>2463</v>
      </c>
      <c r="S1036" t="b">
        <v>0</v>
      </c>
    </row>
    <row r="1037" spans="14:19" x14ac:dyDescent="0.25">
      <c r="N1037" s="23" t="s">
        <v>106</v>
      </c>
      <c r="O1037" s="30" t="s">
        <v>1919</v>
      </c>
      <c r="P1037" s="30" t="s">
        <v>1989</v>
      </c>
      <c r="Q1037" s="84" t="s">
        <v>2463</v>
      </c>
      <c r="S1037" t="b">
        <v>0</v>
      </c>
    </row>
    <row r="1038" spans="14:19" x14ac:dyDescent="0.25">
      <c r="N1038" s="23" t="s">
        <v>106</v>
      </c>
      <c r="O1038" s="30" t="s">
        <v>1919</v>
      </c>
      <c r="P1038" s="30" t="s">
        <v>1990</v>
      </c>
      <c r="Q1038" s="84" t="s">
        <v>2463</v>
      </c>
      <c r="S1038" t="b">
        <v>0</v>
      </c>
    </row>
    <row r="1039" spans="14:19" x14ac:dyDescent="0.25">
      <c r="N1039" s="23" t="s">
        <v>106</v>
      </c>
      <c r="O1039" s="30" t="s">
        <v>1919</v>
      </c>
      <c r="P1039" s="30" t="s">
        <v>1991</v>
      </c>
      <c r="Q1039" s="84" t="s">
        <v>2463</v>
      </c>
      <c r="S1039" t="b">
        <v>0</v>
      </c>
    </row>
    <row r="1040" spans="14:19" x14ac:dyDescent="0.25">
      <c r="N1040" s="23" t="s">
        <v>106</v>
      </c>
      <c r="O1040" s="30" t="s">
        <v>1919</v>
      </c>
      <c r="P1040" s="30" t="s">
        <v>1992</v>
      </c>
      <c r="Q1040" s="84" t="s">
        <v>2463</v>
      </c>
      <c r="S1040" t="b">
        <v>0</v>
      </c>
    </row>
    <row r="1041" spans="14:19" x14ac:dyDescent="0.25">
      <c r="N1041" s="23" t="s">
        <v>106</v>
      </c>
      <c r="O1041" s="30" t="s">
        <v>1919</v>
      </c>
      <c r="P1041" s="30" t="s">
        <v>1993</v>
      </c>
      <c r="Q1041" s="84" t="s">
        <v>2463</v>
      </c>
      <c r="S1041" t="b">
        <v>0</v>
      </c>
    </row>
    <row r="1042" spans="14:19" x14ac:dyDescent="0.25">
      <c r="N1042" s="23" t="s">
        <v>106</v>
      </c>
      <c r="O1042" s="30" t="s">
        <v>1919</v>
      </c>
      <c r="P1042" s="30" t="s">
        <v>1994</v>
      </c>
      <c r="Q1042" s="84" t="s">
        <v>2463</v>
      </c>
      <c r="S1042" t="b">
        <v>0</v>
      </c>
    </row>
    <row r="1043" spans="14:19" x14ac:dyDescent="0.25">
      <c r="N1043" s="23" t="s">
        <v>106</v>
      </c>
      <c r="O1043" s="30" t="s">
        <v>1919</v>
      </c>
      <c r="P1043" s="30" t="s">
        <v>1995</v>
      </c>
      <c r="Q1043" s="84" t="s">
        <v>2463</v>
      </c>
      <c r="S1043" t="b">
        <v>0</v>
      </c>
    </row>
    <row r="1044" spans="14:19" x14ac:dyDescent="0.25">
      <c r="N1044" s="23" t="s">
        <v>106</v>
      </c>
      <c r="O1044" s="30" t="s">
        <v>1919</v>
      </c>
      <c r="P1044" s="30" t="s">
        <v>1996</v>
      </c>
      <c r="Q1044" s="84" t="s">
        <v>2463</v>
      </c>
      <c r="S1044" t="b">
        <v>0</v>
      </c>
    </row>
    <row r="1045" spans="14:19" x14ac:dyDescent="0.25">
      <c r="N1045" s="23" t="s">
        <v>106</v>
      </c>
      <c r="O1045" s="30" t="s">
        <v>1919</v>
      </c>
      <c r="P1045" s="30" t="s">
        <v>1997</v>
      </c>
      <c r="Q1045" s="84" t="s">
        <v>2463</v>
      </c>
      <c r="S1045" t="b">
        <v>0</v>
      </c>
    </row>
    <row r="1046" spans="14:19" x14ac:dyDescent="0.25">
      <c r="N1046" s="23" t="s">
        <v>106</v>
      </c>
      <c r="O1046" s="30" t="s">
        <v>1919</v>
      </c>
      <c r="P1046" s="30" t="s">
        <v>1998</v>
      </c>
      <c r="Q1046" s="84" t="s">
        <v>2463</v>
      </c>
      <c r="S1046" t="b">
        <v>0</v>
      </c>
    </row>
    <row r="1047" spans="14:19" x14ac:dyDescent="0.25">
      <c r="N1047" s="23" t="s">
        <v>106</v>
      </c>
      <c r="O1047" s="30" t="s">
        <v>1919</v>
      </c>
      <c r="P1047" s="30" t="s">
        <v>1999</v>
      </c>
      <c r="Q1047" s="84" t="s">
        <v>2463</v>
      </c>
      <c r="S1047" t="b">
        <v>0</v>
      </c>
    </row>
    <row r="1048" spans="14:19" x14ac:dyDescent="0.25">
      <c r="N1048" s="23" t="s">
        <v>106</v>
      </c>
      <c r="O1048" s="30" t="s">
        <v>1919</v>
      </c>
      <c r="P1048" s="30" t="s">
        <v>2000</v>
      </c>
      <c r="Q1048" s="84" t="s">
        <v>2463</v>
      </c>
      <c r="S1048" t="b">
        <v>0</v>
      </c>
    </row>
    <row r="1049" spans="14:19" x14ac:dyDescent="0.25">
      <c r="N1049" s="23" t="s">
        <v>106</v>
      </c>
      <c r="O1049" s="30" t="s">
        <v>1919</v>
      </c>
      <c r="P1049" s="30" t="s">
        <v>2001</v>
      </c>
      <c r="Q1049" s="84" t="s">
        <v>2463</v>
      </c>
      <c r="S1049" t="b">
        <v>0</v>
      </c>
    </row>
    <row r="1050" spans="14:19" x14ac:dyDescent="0.25">
      <c r="N1050" s="23" t="s">
        <v>106</v>
      </c>
      <c r="O1050" s="30" t="s">
        <v>1919</v>
      </c>
      <c r="P1050" s="30" t="s">
        <v>2002</v>
      </c>
      <c r="Q1050" s="84" t="s">
        <v>2463</v>
      </c>
      <c r="S1050" t="b">
        <v>0</v>
      </c>
    </row>
    <row r="1051" spans="14:19" x14ac:dyDescent="0.25">
      <c r="N1051" s="23" t="s">
        <v>106</v>
      </c>
      <c r="O1051" s="30" t="s">
        <v>1919</v>
      </c>
      <c r="P1051" s="30" t="s">
        <v>2003</v>
      </c>
      <c r="Q1051" s="84" t="s">
        <v>2463</v>
      </c>
      <c r="S1051" t="b">
        <v>0</v>
      </c>
    </row>
    <row r="1052" spans="14:19" x14ac:dyDescent="0.25">
      <c r="N1052" s="23" t="s">
        <v>106</v>
      </c>
      <c r="O1052" s="30" t="s">
        <v>1919</v>
      </c>
      <c r="P1052" s="30" t="s">
        <v>2004</v>
      </c>
      <c r="Q1052" s="84" t="s">
        <v>2463</v>
      </c>
      <c r="S1052" t="b">
        <v>0</v>
      </c>
    </row>
    <row r="1053" spans="14:19" x14ac:dyDescent="0.25">
      <c r="N1053" s="23" t="s">
        <v>106</v>
      </c>
      <c r="O1053" s="30" t="s">
        <v>1919</v>
      </c>
      <c r="P1053" s="30" t="s">
        <v>2005</v>
      </c>
      <c r="Q1053" s="84" t="s">
        <v>2463</v>
      </c>
      <c r="S1053" t="b">
        <v>0</v>
      </c>
    </row>
    <row r="1054" spans="14:19" x14ac:dyDescent="0.25">
      <c r="N1054" s="23" t="s">
        <v>106</v>
      </c>
      <c r="O1054" s="30" t="s">
        <v>1919</v>
      </c>
      <c r="P1054" s="30" t="s">
        <v>2006</v>
      </c>
      <c r="Q1054" s="84" t="s">
        <v>2463</v>
      </c>
      <c r="S1054" t="b">
        <v>0</v>
      </c>
    </row>
    <row r="1055" spans="14:19" x14ac:dyDescent="0.25">
      <c r="N1055" s="23" t="s">
        <v>106</v>
      </c>
      <c r="O1055" s="30" t="s">
        <v>1919</v>
      </c>
      <c r="P1055" s="30" t="s">
        <v>2007</v>
      </c>
      <c r="Q1055" s="84" t="s">
        <v>2463</v>
      </c>
      <c r="S1055" t="b">
        <v>0</v>
      </c>
    </row>
    <row r="1056" spans="14:19" x14ac:dyDescent="0.25">
      <c r="N1056" s="23" t="s">
        <v>106</v>
      </c>
      <c r="O1056" s="30" t="s">
        <v>1919</v>
      </c>
      <c r="P1056" s="30" t="s">
        <v>2008</v>
      </c>
      <c r="Q1056" s="84" t="s">
        <v>2463</v>
      </c>
      <c r="S1056" t="b">
        <v>0</v>
      </c>
    </row>
    <row r="1057" spans="14:19" x14ac:dyDescent="0.25">
      <c r="N1057" s="23" t="s">
        <v>106</v>
      </c>
      <c r="O1057" s="30" t="s">
        <v>1919</v>
      </c>
      <c r="P1057" s="30" t="s">
        <v>2009</v>
      </c>
      <c r="Q1057" s="84" t="s">
        <v>2463</v>
      </c>
      <c r="S1057" t="b">
        <v>0</v>
      </c>
    </row>
    <row r="1058" spans="14:19" x14ac:dyDescent="0.25">
      <c r="N1058" s="23" t="s">
        <v>106</v>
      </c>
      <c r="O1058" s="30" t="s">
        <v>1919</v>
      </c>
      <c r="P1058" s="30" t="s">
        <v>2010</v>
      </c>
      <c r="Q1058" s="84" t="s">
        <v>2463</v>
      </c>
      <c r="S1058" t="b">
        <v>0</v>
      </c>
    </row>
    <row r="1059" spans="14:19" x14ac:dyDescent="0.25">
      <c r="N1059" s="23" t="s">
        <v>106</v>
      </c>
      <c r="O1059" s="30" t="s">
        <v>1919</v>
      </c>
      <c r="P1059" s="30" t="s">
        <v>2011</v>
      </c>
      <c r="Q1059" s="84" t="s">
        <v>2463</v>
      </c>
      <c r="S1059" t="b">
        <v>0</v>
      </c>
    </row>
    <row r="1060" spans="14:19" x14ac:dyDescent="0.25">
      <c r="N1060" s="23" t="s">
        <v>106</v>
      </c>
      <c r="O1060" s="30" t="s">
        <v>1919</v>
      </c>
      <c r="P1060" s="30" t="s">
        <v>2012</v>
      </c>
      <c r="Q1060" s="84" t="s">
        <v>2463</v>
      </c>
      <c r="S1060" t="b">
        <v>0</v>
      </c>
    </row>
    <row r="1061" spans="14:19" x14ac:dyDescent="0.25">
      <c r="N1061" s="23" t="s">
        <v>106</v>
      </c>
      <c r="O1061" s="30" t="s">
        <v>1919</v>
      </c>
      <c r="P1061" s="30" t="s">
        <v>2013</v>
      </c>
      <c r="Q1061" s="84" t="s">
        <v>2463</v>
      </c>
      <c r="S1061" t="b">
        <v>0</v>
      </c>
    </row>
    <row r="1062" spans="14:19" x14ac:dyDescent="0.25">
      <c r="N1062" s="23" t="s">
        <v>106</v>
      </c>
      <c r="O1062" s="30" t="s">
        <v>1919</v>
      </c>
      <c r="P1062" s="30" t="s">
        <v>2014</v>
      </c>
      <c r="Q1062" s="84" t="s">
        <v>2463</v>
      </c>
      <c r="S1062" t="b">
        <v>0</v>
      </c>
    </row>
    <row r="1063" spans="14:19" x14ac:dyDescent="0.25">
      <c r="N1063" s="23" t="s">
        <v>106</v>
      </c>
      <c r="O1063" s="30" t="s">
        <v>1919</v>
      </c>
      <c r="P1063" s="30" t="s">
        <v>2015</v>
      </c>
      <c r="Q1063" s="84" t="s">
        <v>2463</v>
      </c>
      <c r="S1063" t="b">
        <v>0</v>
      </c>
    </row>
    <row r="1064" spans="14:19" x14ac:dyDescent="0.25">
      <c r="N1064" s="23" t="s">
        <v>106</v>
      </c>
      <c r="O1064" s="30" t="s">
        <v>1919</v>
      </c>
      <c r="P1064" s="30" t="s">
        <v>2016</v>
      </c>
      <c r="Q1064" s="84" t="s">
        <v>2463</v>
      </c>
      <c r="S1064" t="b">
        <v>0</v>
      </c>
    </row>
    <row r="1065" spans="14:19" x14ac:dyDescent="0.25">
      <c r="N1065" s="23" t="s">
        <v>106</v>
      </c>
      <c r="O1065" s="30" t="s">
        <v>1919</v>
      </c>
      <c r="P1065" s="30" t="s">
        <v>2017</v>
      </c>
      <c r="Q1065" s="84" t="s">
        <v>2463</v>
      </c>
      <c r="S1065" t="b">
        <v>0</v>
      </c>
    </row>
    <row r="1066" spans="14:19" x14ac:dyDescent="0.25">
      <c r="N1066" s="23" t="s">
        <v>106</v>
      </c>
      <c r="O1066" s="30" t="s">
        <v>1919</v>
      </c>
      <c r="P1066" s="30" t="s">
        <v>2018</v>
      </c>
      <c r="Q1066" s="84" t="s">
        <v>2463</v>
      </c>
      <c r="S1066" t="b">
        <v>0</v>
      </c>
    </row>
    <row r="1067" spans="14:19" x14ac:dyDescent="0.25">
      <c r="N1067" s="23" t="s">
        <v>106</v>
      </c>
      <c r="O1067" s="30" t="s">
        <v>1919</v>
      </c>
      <c r="P1067" s="30" t="s">
        <v>2019</v>
      </c>
      <c r="Q1067" s="84" t="s">
        <v>2463</v>
      </c>
      <c r="S1067" t="b">
        <v>0</v>
      </c>
    </row>
    <row r="1068" spans="14:19" x14ac:dyDescent="0.25">
      <c r="N1068" s="23" t="s">
        <v>106</v>
      </c>
      <c r="O1068" s="30" t="s">
        <v>1919</v>
      </c>
      <c r="P1068" s="30" t="s">
        <v>2020</v>
      </c>
      <c r="Q1068" s="84" t="s">
        <v>2463</v>
      </c>
      <c r="S1068" t="b">
        <v>0</v>
      </c>
    </row>
    <row r="1069" spans="14:19" x14ac:dyDescent="0.25">
      <c r="N1069" s="23" t="s">
        <v>106</v>
      </c>
      <c r="O1069" s="30" t="s">
        <v>1919</v>
      </c>
      <c r="P1069" s="30" t="s">
        <v>2021</v>
      </c>
      <c r="Q1069" s="84" t="s">
        <v>2463</v>
      </c>
      <c r="S1069" t="b">
        <v>0</v>
      </c>
    </row>
    <row r="1070" spans="14:19" x14ac:dyDescent="0.25">
      <c r="N1070" s="23" t="s">
        <v>106</v>
      </c>
      <c r="O1070" s="30" t="s">
        <v>1919</v>
      </c>
      <c r="P1070" s="30" t="s">
        <v>2022</v>
      </c>
      <c r="Q1070" s="84" t="s">
        <v>2463</v>
      </c>
      <c r="S1070" t="b">
        <v>0</v>
      </c>
    </row>
    <row r="1071" spans="14:19" x14ac:dyDescent="0.25">
      <c r="N1071" s="23" t="s">
        <v>106</v>
      </c>
      <c r="O1071" s="30" t="s">
        <v>1919</v>
      </c>
      <c r="P1071" s="30" t="s">
        <v>2023</v>
      </c>
      <c r="Q1071" s="84" t="s">
        <v>2463</v>
      </c>
      <c r="S1071" t="b">
        <v>0</v>
      </c>
    </row>
    <row r="1072" spans="14:19" x14ac:dyDescent="0.25">
      <c r="N1072" s="23" t="s">
        <v>106</v>
      </c>
      <c r="O1072" s="30" t="s">
        <v>1919</v>
      </c>
      <c r="P1072" s="30" t="s">
        <v>2024</v>
      </c>
      <c r="Q1072" s="84" t="s">
        <v>2463</v>
      </c>
      <c r="S1072" t="b">
        <v>0</v>
      </c>
    </row>
    <row r="1073" spans="14:19" x14ac:dyDescent="0.25">
      <c r="N1073" s="23" t="s">
        <v>106</v>
      </c>
      <c r="O1073" s="30" t="s">
        <v>1919</v>
      </c>
      <c r="P1073" s="30" t="s">
        <v>2025</v>
      </c>
      <c r="Q1073" s="84" t="s">
        <v>2463</v>
      </c>
      <c r="S1073" t="b">
        <v>0</v>
      </c>
    </row>
    <row r="1074" spans="14:19" x14ac:dyDescent="0.25">
      <c r="N1074" s="23" t="s">
        <v>106</v>
      </c>
      <c r="O1074" s="30" t="s">
        <v>1919</v>
      </c>
      <c r="P1074" s="30" t="s">
        <v>2026</v>
      </c>
      <c r="Q1074" s="84" t="s">
        <v>2463</v>
      </c>
      <c r="S1074" t="b">
        <v>0</v>
      </c>
    </row>
    <row r="1075" spans="14:19" x14ac:dyDescent="0.25">
      <c r="N1075" s="23" t="s">
        <v>106</v>
      </c>
      <c r="O1075" s="30" t="s">
        <v>1919</v>
      </c>
      <c r="P1075" s="30" t="s">
        <v>2027</v>
      </c>
      <c r="Q1075" s="84" t="s">
        <v>2463</v>
      </c>
      <c r="S1075" t="b">
        <v>0</v>
      </c>
    </row>
    <row r="1076" spans="14:19" x14ac:dyDescent="0.25">
      <c r="N1076" s="23" t="s">
        <v>106</v>
      </c>
      <c r="O1076" s="30" t="s">
        <v>1919</v>
      </c>
      <c r="P1076" s="30" t="s">
        <v>2028</v>
      </c>
      <c r="Q1076" s="84" t="s">
        <v>2463</v>
      </c>
      <c r="S1076" t="b">
        <v>0</v>
      </c>
    </row>
    <row r="1077" spans="14:19" x14ac:dyDescent="0.25">
      <c r="N1077" s="23" t="s">
        <v>106</v>
      </c>
      <c r="O1077" s="30" t="s">
        <v>1919</v>
      </c>
      <c r="P1077" s="30" t="s">
        <v>2029</v>
      </c>
      <c r="Q1077" s="84" t="s">
        <v>2463</v>
      </c>
      <c r="S1077" t="b">
        <v>0</v>
      </c>
    </row>
    <row r="1078" spans="14:19" x14ac:dyDescent="0.25">
      <c r="N1078" s="23" t="s">
        <v>106</v>
      </c>
      <c r="O1078" s="30" t="s">
        <v>1919</v>
      </c>
      <c r="P1078" s="30" t="s">
        <v>2030</v>
      </c>
      <c r="Q1078" s="84" t="s">
        <v>2463</v>
      </c>
      <c r="S1078" t="b">
        <v>0</v>
      </c>
    </row>
    <row r="1079" spans="14:19" x14ac:dyDescent="0.25">
      <c r="N1079" s="23" t="s">
        <v>106</v>
      </c>
      <c r="O1079" s="30" t="s">
        <v>1919</v>
      </c>
      <c r="P1079" s="30" t="s">
        <v>2031</v>
      </c>
      <c r="Q1079" s="84" t="s">
        <v>2463</v>
      </c>
      <c r="S1079" t="b">
        <v>0</v>
      </c>
    </row>
    <row r="1080" spans="14:19" x14ac:dyDescent="0.25">
      <c r="N1080" s="23" t="s">
        <v>106</v>
      </c>
      <c r="O1080" s="30" t="s">
        <v>1919</v>
      </c>
      <c r="P1080" s="30" t="s">
        <v>2032</v>
      </c>
      <c r="Q1080" s="84" t="s">
        <v>2463</v>
      </c>
      <c r="S1080" t="b">
        <v>0</v>
      </c>
    </row>
    <row r="1081" spans="14:19" x14ac:dyDescent="0.25">
      <c r="N1081" s="23" t="s">
        <v>106</v>
      </c>
      <c r="O1081" s="30" t="s">
        <v>1919</v>
      </c>
      <c r="P1081" s="30" t="s">
        <v>2033</v>
      </c>
      <c r="Q1081" s="84" t="s">
        <v>2463</v>
      </c>
      <c r="S1081" t="b">
        <v>0</v>
      </c>
    </row>
    <row r="1082" spans="14:19" x14ac:dyDescent="0.25">
      <c r="N1082" s="23" t="s">
        <v>106</v>
      </c>
      <c r="O1082" s="30" t="s">
        <v>1919</v>
      </c>
      <c r="P1082" s="30" t="s">
        <v>2034</v>
      </c>
      <c r="Q1082" s="84" t="s">
        <v>2463</v>
      </c>
      <c r="S1082" t="b">
        <v>0</v>
      </c>
    </row>
    <row r="1083" spans="14:19" x14ac:dyDescent="0.25">
      <c r="N1083" s="23" t="s">
        <v>106</v>
      </c>
      <c r="O1083" s="30" t="s">
        <v>1919</v>
      </c>
      <c r="P1083" s="30" t="s">
        <v>2035</v>
      </c>
      <c r="Q1083" s="84" t="s">
        <v>2463</v>
      </c>
      <c r="S1083" t="b">
        <v>0</v>
      </c>
    </row>
    <row r="1084" spans="14:19" x14ac:dyDescent="0.25">
      <c r="N1084" s="23" t="s">
        <v>106</v>
      </c>
      <c r="O1084" s="30" t="s">
        <v>1919</v>
      </c>
      <c r="P1084" s="30" t="s">
        <v>2036</v>
      </c>
      <c r="Q1084" s="84" t="s">
        <v>2463</v>
      </c>
      <c r="S1084" t="b">
        <v>0</v>
      </c>
    </row>
    <row r="1085" spans="14:19" x14ac:dyDescent="0.25">
      <c r="N1085" s="23" t="s">
        <v>106</v>
      </c>
      <c r="O1085" s="30" t="s">
        <v>1919</v>
      </c>
      <c r="P1085" s="30" t="s">
        <v>2037</v>
      </c>
      <c r="Q1085" s="84" t="s">
        <v>2463</v>
      </c>
      <c r="S1085" t="b">
        <v>0</v>
      </c>
    </row>
    <row r="1086" spans="14:19" x14ac:dyDescent="0.25">
      <c r="N1086" s="23" t="s">
        <v>106</v>
      </c>
      <c r="O1086" s="30" t="s">
        <v>1919</v>
      </c>
      <c r="P1086" s="30" t="s">
        <v>2038</v>
      </c>
      <c r="Q1086" s="84" t="s">
        <v>2463</v>
      </c>
      <c r="S1086" t="b">
        <v>0</v>
      </c>
    </row>
    <row r="1087" spans="14:19" x14ac:dyDescent="0.25">
      <c r="N1087" s="23" t="s">
        <v>106</v>
      </c>
      <c r="O1087" s="30" t="s">
        <v>1919</v>
      </c>
      <c r="P1087" s="30" t="s">
        <v>2039</v>
      </c>
      <c r="Q1087" s="84" t="s">
        <v>2463</v>
      </c>
      <c r="S1087" t="b">
        <v>0</v>
      </c>
    </row>
    <row r="1088" spans="14:19" x14ac:dyDescent="0.25">
      <c r="N1088" s="23" t="s">
        <v>106</v>
      </c>
      <c r="O1088" s="30" t="s">
        <v>1919</v>
      </c>
      <c r="P1088" s="30" t="s">
        <v>2040</v>
      </c>
      <c r="Q1088" s="84" t="s">
        <v>2463</v>
      </c>
      <c r="S1088" t="b">
        <v>0</v>
      </c>
    </row>
    <row r="1089" spans="14:19" x14ac:dyDescent="0.25">
      <c r="N1089" s="23" t="s">
        <v>106</v>
      </c>
      <c r="O1089" s="30" t="s">
        <v>1919</v>
      </c>
      <c r="P1089" s="30" t="s">
        <v>2041</v>
      </c>
      <c r="Q1089" s="84" t="s">
        <v>2463</v>
      </c>
      <c r="S1089" t="b">
        <v>0</v>
      </c>
    </row>
    <row r="1090" spans="14:19" x14ac:dyDescent="0.25">
      <c r="N1090" s="23" t="s">
        <v>106</v>
      </c>
      <c r="O1090" s="30" t="s">
        <v>1919</v>
      </c>
      <c r="P1090" s="30" t="s">
        <v>2042</v>
      </c>
      <c r="Q1090" s="84" t="s">
        <v>2463</v>
      </c>
      <c r="S1090" t="b">
        <v>0</v>
      </c>
    </row>
    <row r="1091" spans="14:19" x14ac:dyDescent="0.25">
      <c r="N1091" s="23" t="s">
        <v>106</v>
      </c>
      <c r="O1091" s="30" t="s">
        <v>1919</v>
      </c>
      <c r="P1091" s="30" t="s">
        <v>2043</v>
      </c>
      <c r="Q1091" s="84" t="s">
        <v>2463</v>
      </c>
      <c r="S1091" t="b">
        <v>0</v>
      </c>
    </row>
    <row r="1092" spans="14:19" x14ac:dyDescent="0.25">
      <c r="N1092" s="23" t="s">
        <v>106</v>
      </c>
      <c r="O1092" s="30" t="s">
        <v>1919</v>
      </c>
      <c r="P1092" s="30" t="s">
        <v>2044</v>
      </c>
      <c r="Q1092" s="84" t="s">
        <v>2463</v>
      </c>
      <c r="S1092" t="b">
        <v>0</v>
      </c>
    </row>
    <row r="1093" spans="14:19" x14ac:dyDescent="0.25">
      <c r="N1093" s="23" t="s">
        <v>106</v>
      </c>
      <c r="O1093" s="30" t="s">
        <v>1919</v>
      </c>
      <c r="P1093" s="30" t="s">
        <v>2045</v>
      </c>
      <c r="Q1093" s="84" t="s">
        <v>2463</v>
      </c>
      <c r="S1093" t="b">
        <v>0</v>
      </c>
    </row>
    <row r="1094" spans="14:19" x14ac:dyDescent="0.25">
      <c r="N1094" s="23" t="s">
        <v>106</v>
      </c>
      <c r="O1094" s="30" t="s">
        <v>1919</v>
      </c>
      <c r="P1094" s="30" t="s">
        <v>2046</v>
      </c>
      <c r="Q1094" s="84" t="s">
        <v>2463</v>
      </c>
      <c r="S1094" t="b">
        <v>0</v>
      </c>
    </row>
    <row r="1095" spans="14:19" x14ac:dyDescent="0.25">
      <c r="N1095" s="23" t="s">
        <v>106</v>
      </c>
      <c r="O1095" s="30" t="s">
        <v>1919</v>
      </c>
      <c r="P1095" s="30" t="s">
        <v>2047</v>
      </c>
      <c r="Q1095" s="84" t="s">
        <v>2463</v>
      </c>
      <c r="S1095" t="b">
        <v>0</v>
      </c>
    </row>
    <row r="1096" spans="14:19" x14ac:dyDescent="0.25">
      <c r="N1096" s="23" t="s">
        <v>106</v>
      </c>
      <c r="O1096" s="30" t="s">
        <v>1919</v>
      </c>
      <c r="P1096" s="30" t="s">
        <v>2048</v>
      </c>
      <c r="Q1096" s="84" t="s">
        <v>2463</v>
      </c>
      <c r="S1096" t="b">
        <v>0</v>
      </c>
    </row>
    <row r="1097" spans="14:19" x14ac:dyDescent="0.25">
      <c r="N1097" s="23" t="s">
        <v>106</v>
      </c>
      <c r="O1097" s="30" t="s">
        <v>1919</v>
      </c>
      <c r="P1097" s="30" t="s">
        <v>2049</v>
      </c>
      <c r="Q1097" s="84" t="s">
        <v>2463</v>
      </c>
      <c r="S1097" t="b">
        <v>0</v>
      </c>
    </row>
    <row r="1098" spans="14:19" x14ac:dyDescent="0.25">
      <c r="N1098" s="23" t="s">
        <v>106</v>
      </c>
      <c r="O1098" s="30" t="s">
        <v>1919</v>
      </c>
      <c r="P1098" s="30" t="s">
        <v>2050</v>
      </c>
      <c r="Q1098" s="84" t="s">
        <v>2463</v>
      </c>
      <c r="S1098" t="b">
        <v>0</v>
      </c>
    </row>
    <row r="1099" spans="14:19" x14ac:dyDescent="0.25">
      <c r="N1099" s="23" t="s">
        <v>106</v>
      </c>
      <c r="O1099" s="30" t="s">
        <v>1919</v>
      </c>
      <c r="P1099" s="30" t="s">
        <v>2051</v>
      </c>
      <c r="Q1099" s="84" t="s">
        <v>2463</v>
      </c>
      <c r="S1099" t="b">
        <v>0</v>
      </c>
    </row>
    <row r="1100" spans="14:19" x14ac:dyDescent="0.25">
      <c r="N1100" s="23" t="s">
        <v>106</v>
      </c>
      <c r="O1100" s="30" t="s">
        <v>1919</v>
      </c>
      <c r="P1100" s="30" t="s">
        <v>2052</v>
      </c>
      <c r="Q1100" s="84" t="s">
        <v>2463</v>
      </c>
      <c r="S1100" t="b">
        <v>0</v>
      </c>
    </row>
    <row r="1101" spans="14:19" x14ac:dyDescent="0.25">
      <c r="N1101" s="23" t="s">
        <v>106</v>
      </c>
      <c r="O1101" s="30" t="s">
        <v>1919</v>
      </c>
      <c r="P1101" s="30" t="s">
        <v>2053</v>
      </c>
      <c r="Q1101" s="84" t="s">
        <v>2463</v>
      </c>
      <c r="S1101" t="b">
        <v>0</v>
      </c>
    </row>
    <row r="1102" spans="14:19" x14ac:dyDescent="0.25">
      <c r="N1102" s="23" t="s">
        <v>106</v>
      </c>
      <c r="O1102" s="30" t="s">
        <v>1919</v>
      </c>
      <c r="P1102" s="30" t="s">
        <v>2054</v>
      </c>
      <c r="Q1102" s="84" t="s">
        <v>2463</v>
      </c>
      <c r="S1102" t="b">
        <v>0</v>
      </c>
    </row>
    <row r="1103" spans="14:19" x14ac:dyDescent="0.25">
      <c r="N1103" s="23" t="s">
        <v>106</v>
      </c>
      <c r="O1103" s="30" t="s">
        <v>1919</v>
      </c>
      <c r="P1103" s="30" t="s">
        <v>2055</v>
      </c>
      <c r="Q1103" s="84" t="s">
        <v>2463</v>
      </c>
      <c r="S1103" t="b">
        <v>0</v>
      </c>
    </row>
    <row r="1104" spans="14:19" x14ac:dyDescent="0.25">
      <c r="N1104" s="23" t="s">
        <v>106</v>
      </c>
      <c r="O1104" s="30" t="s">
        <v>1919</v>
      </c>
      <c r="P1104" s="30" t="s">
        <v>2056</v>
      </c>
      <c r="Q1104" s="84" t="s">
        <v>2463</v>
      </c>
      <c r="S1104" t="b">
        <v>0</v>
      </c>
    </row>
    <row r="1105" spans="14:19" x14ac:dyDescent="0.25">
      <c r="N1105" s="23" t="s">
        <v>106</v>
      </c>
      <c r="O1105" s="30" t="s">
        <v>1919</v>
      </c>
      <c r="P1105" s="30" t="s">
        <v>2057</v>
      </c>
      <c r="Q1105" s="84" t="s">
        <v>2463</v>
      </c>
      <c r="S1105" t="b">
        <v>0</v>
      </c>
    </row>
    <row r="1106" spans="14:19" x14ac:dyDescent="0.25">
      <c r="N1106" s="23" t="s">
        <v>106</v>
      </c>
      <c r="O1106" s="30" t="s">
        <v>1919</v>
      </c>
      <c r="P1106" s="30" t="s">
        <v>2058</v>
      </c>
      <c r="Q1106" s="84" t="s">
        <v>2463</v>
      </c>
      <c r="S1106" t="b">
        <v>0</v>
      </c>
    </row>
    <row r="1107" spans="14:19" x14ac:dyDescent="0.25">
      <c r="N1107" s="23" t="s">
        <v>106</v>
      </c>
      <c r="O1107" s="30" t="s">
        <v>1919</v>
      </c>
      <c r="P1107" s="30" t="s">
        <v>2059</v>
      </c>
      <c r="Q1107" s="84" t="s">
        <v>2463</v>
      </c>
      <c r="S1107" t="b">
        <v>0</v>
      </c>
    </row>
    <row r="1108" spans="14:19" x14ac:dyDescent="0.25">
      <c r="N1108" s="23" t="s">
        <v>106</v>
      </c>
      <c r="O1108" s="30" t="s">
        <v>1919</v>
      </c>
      <c r="P1108" s="30" t="s">
        <v>2060</v>
      </c>
      <c r="Q1108" s="84" t="s">
        <v>2463</v>
      </c>
      <c r="S1108" t="b">
        <v>0</v>
      </c>
    </row>
    <row r="1109" spans="14:19" x14ac:dyDescent="0.25">
      <c r="N1109" s="23" t="s">
        <v>106</v>
      </c>
      <c r="O1109" s="30" t="s">
        <v>1919</v>
      </c>
      <c r="P1109" s="30" t="s">
        <v>2061</v>
      </c>
      <c r="Q1109" s="84" t="s">
        <v>2463</v>
      </c>
      <c r="S1109" t="b">
        <v>0</v>
      </c>
    </row>
    <row r="1110" spans="14:19" x14ac:dyDescent="0.25">
      <c r="N1110" s="23" t="s">
        <v>106</v>
      </c>
      <c r="O1110" s="30" t="s">
        <v>1919</v>
      </c>
      <c r="P1110" s="30" t="s">
        <v>2062</v>
      </c>
      <c r="Q1110" s="84" t="s">
        <v>2463</v>
      </c>
      <c r="S1110" t="b">
        <v>0</v>
      </c>
    </row>
    <row r="1111" spans="14:19" x14ac:dyDescent="0.25">
      <c r="N1111" s="23" t="s">
        <v>106</v>
      </c>
      <c r="O1111" s="30" t="s">
        <v>1919</v>
      </c>
      <c r="P1111" s="30" t="s">
        <v>2063</v>
      </c>
      <c r="Q1111" s="84" t="s">
        <v>2463</v>
      </c>
      <c r="S1111" t="b">
        <v>0</v>
      </c>
    </row>
    <row r="1112" spans="14:19" x14ac:dyDescent="0.25">
      <c r="N1112" s="23" t="s">
        <v>106</v>
      </c>
      <c r="O1112" s="30" t="s">
        <v>1919</v>
      </c>
      <c r="P1112" s="30" t="s">
        <v>2064</v>
      </c>
      <c r="Q1112" s="84" t="s">
        <v>2463</v>
      </c>
      <c r="S1112" t="b">
        <v>0</v>
      </c>
    </row>
    <row r="1113" spans="14:19" x14ac:dyDescent="0.25">
      <c r="N1113" s="23" t="s">
        <v>106</v>
      </c>
      <c r="O1113" s="30" t="s">
        <v>1919</v>
      </c>
      <c r="P1113" s="30" t="s">
        <v>2065</v>
      </c>
      <c r="Q1113" s="84" t="s">
        <v>2463</v>
      </c>
      <c r="S1113" t="b">
        <v>0</v>
      </c>
    </row>
    <row r="1114" spans="14:19" x14ac:dyDescent="0.25">
      <c r="N1114" s="23" t="s">
        <v>106</v>
      </c>
      <c r="O1114" s="30" t="s">
        <v>1919</v>
      </c>
      <c r="P1114" s="30" t="s">
        <v>2066</v>
      </c>
      <c r="Q1114" s="84" t="s">
        <v>2463</v>
      </c>
      <c r="S1114" t="b">
        <v>0</v>
      </c>
    </row>
    <row r="1115" spans="14:19" x14ac:dyDescent="0.25">
      <c r="N1115" s="23" t="s">
        <v>106</v>
      </c>
      <c r="O1115" s="30" t="s">
        <v>1919</v>
      </c>
      <c r="P1115" s="30" t="s">
        <v>2067</v>
      </c>
      <c r="Q1115" s="84" t="s">
        <v>2463</v>
      </c>
      <c r="S1115" t="b">
        <v>0</v>
      </c>
    </row>
    <row r="1116" spans="14:19" x14ac:dyDescent="0.25">
      <c r="N1116" s="23" t="s">
        <v>106</v>
      </c>
      <c r="O1116" s="30" t="s">
        <v>1919</v>
      </c>
      <c r="P1116" s="30" t="s">
        <v>2068</v>
      </c>
      <c r="Q1116" s="84" t="s">
        <v>2463</v>
      </c>
      <c r="S1116" t="b">
        <v>0</v>
      </c>
    </row>
    <row r="1117" spans="14:19" x14ac:dyDescent="0.25">
      <c r="N1117" s="23" t="s">
        <v>106</v>
      </c>
      <c r="O1117" s="30" t="s">
        <v>1919</v>
      </c>
      <c r="P1117" s="30" t="s">
        <v>2069</v>
      </c>
      <c r="Q1117" s="84" t="s">
        <v>2463</v>
      </c>
      <c r="S1117" t="b">
        <v>0</v>
      </c>
    </row>
    <row r="1118" spans="14:19" x14ac:dyDescent="0.25">
      <c r="N1118" s="23" t="s">
        <v>106</v>
      </c>
      <c r="O1118" s="30" t="s">
        <v>1919</v>
      </c>
      <c r="P1118" s="30" t="s">
        <v>2070</v>
      </c>
      <c r="Q1118" s="84" t="s">
        <v>2463</v>
      </c>
      <c r="S1118" t="b">
        <v>0</v>
      </c>
    </row>
    <row r="1119" spans="14:19" x14ac:dyDescent="0.25">
      <c r="N1119" s="23" t="s">
        <v>106</v>
      </c>
      <c r="O1119" s="30" t="s">
        <v>1919</v>
      </c>
      <c r="P1119" s="30" t="s">
        <v>2071</v>
      </c>
      <c r="Q1119" s="84" t="s">
        <v>2463</v>
      </c>
      <c r="S1119" t="b">
        <v>0</v>
      </c>
    </row>
    <row r="1120" spans="14:19" x14ac:dyDescent="0.25">
      <c r="N1120" s="23" t="s">
        <v>106</v>
      </c>
      <c r="O1120" s="30" t="s">
        <v>1919</v>
      </c>
      <c r="P1120" s="30" t="s">
        <v>2072</v>
      </c>
      <c r="Q1120" s="84" t="s">
        <v>2463</v>
      </c>
      <c r="S1120" t="b">
        <v>0</v>
      </c>
    </row>
    <row r="1121" spans="14:19" x14ac:dyDescent="0.25">
      <c r="N1121" s="23" t="s">
        <v>106</v>
      </c>
      <c r="O1121" s="30" t="s">
        <v>1919</v>
      </c>
      <c r="P1121" s="30" t="s">
        <v>2073</v>
      </c>
      <c r="Q1121" s="84" t="s">
        <v>2463</v>
      </c>
      <c r="S1121" t="b">
        <v>0</v>
      </c>
    </row>
    <row r="1122" spans="14:19" x14ac:dyDescent="0.25">
      <c r="N1122" s="23" t="s">
        <v>106</v>
      </c>
      <c r="O1122" s="30" t="s">
        <v>1919</v>
      </c>
      <c r="P1122" s="30" t="s">
        <v>2074</v>
      </c>
      <c r="Q1122" s="84" t="s">
        <v>2463</v>
      </c>
      <c r="S1122" t="b">
        <v>0</v>
      </c>
    </row>
    <row r="1123" spans="14:19" x14ac:dyDescent="0.25">
      <c r="N1123" s="23" t="s">
        <v>106</v>
      </c>
      <c r="O1123" s="30" t="s">
        <v>1919</v>
      </c>
      <c r="P1123" s="30" t="s">
        <v>2075</v>
      </c>
      <c r="Q1123" s="84" t="s">
        <v>2463</v>
      </c>
      <c r="S1123" t="b">
        <v>0</v>
      </c>
    </row>
    <row r="1124" spans="14:19" x14ac:dyDescent="0.25">
      <c r="N1124" s="23" t="s">
        <v>106</v>
      </c>
      <c r="O1124" s="30" t="s">
        <v>1919</v>
      </c>
      <c r="P1124" s="30" t="s">
        <v>2076</v>
      </c>
      <c r="Q1124" s="84" t="s">
        <v>2463</v>
      </c>
      <c r="S1124" t="b">
        <v>0</v>
      </c>
    </row>
    <row r="1125" spans="14:19" x14ac:dyDescent="0.25">
      <c r="N1125" s="23" t="s">
        <v>106</v>
      </c>
      <c r="O1125" s="30" t="s">
        <v>1919</v>
      </c>
      <c r="P1125" s="30" t="s">
        <v>2077</v>
      </c>
      <c r="Q1125" s="84" t="s">
        <v>2463</v>
      </c>
      <c r="S1125" t="b">
        <v>0</v>
      </c>
    </row>
    <row r="1126" spans="14:19" x14ac:dyDescent="0.25">
      <c r="N1126" s="23" t="s">
        <v>106</v>
      </c>
      <c r="O1126" s="30" t="s">
        <v>1919</v>
      </c>
      <c r="P1126" s="30" t="s">
        <v>2078</v>
      </c>
      <c r="Q1126" s="84" t="s">
        <v>2463</v>
      </c>
      <c r="S1126" t="b">
        <v>0</v>
      </c>
    </row>
    <row r="1127" spans="14:19" x14ac:dyDescent="0.25">
      <c r="N1127" s="23" t="s">
        <v>106</v>
      </c>
      <c r="O1127" s="30" t="s">
        <v>1919</v>
      </c>
      <c r="P1127" s="30" t="s">
        <v>2079</v>
      </c>
      <c r="Q1127" s="84" t="s">
        <v>2463</v>
      </c>
      <c r="S1127" t="b">
        <v>0</v>
      </c>
    </row>
    <row r="1128" spans="14:19" x14ac:dyDescent="0.25">
      <c r="N1128" s="23" t="s">
        <v>106</v>
      </c>
      <c r="O1128" s="30" t="s">
        <v>1919</v>
      </c>
      <c r="P1128" s="30" t="s">
        <v>2080</v>
      </c>
      <c r="Q1128" s="84" t="s">
        <v>2463</v>
      </c>
      <c r="S1128" t="b">
        <v>0</v>
      </c>
    </row>
    <row r="1129" spans="14:19" x14ac:dyDescent="0.25">
      <c r="N1129" s="23" t="s">
        <v>106</v>
      </c>
      <c r="O1129" s="30" t="s">
        <v>1919</v>
      </c>
      <c r="P1129" s="30" t="s">
        <v>2081</v>
      </c>
      <c r="Q1129" s="84" t="s">
        <v>2463</v>
      </c>
      <c r="S1129" t="b">
        <v>0</v>
      </c>
    </row>
    <row r="1130" spans="14:19" x14ac:dyDescent="0.25">
      <c r="N1130" s="23" t="s">
        <v>106</v>
      </c>
      <c r="O1130" s="30" t="s">
        <v>1919</v>
      </c>
      <c r="P1130" s="30" t="s">
        <v>2082</v>
      </c>
      <c r="Q1130" s="84" t="s">
        <v>2463</v>
      </c>
      <c r="S1130" t="b">
        <v>0</v>
      </c>
    </row>
    <row r="1131" spans="14:19" x14ac:dyDescent="0.25">
      <c r="N1131" s="23" t="s">
        <v>106</v>
      </c>
      <c r="O1131" s="30" t="s">
        <v>1919</v>
      </c>
      <c r="P1131" s="30" t="s">
        <v>2083</v>
      </c>
      <c r="Q1131" s="84" t="s">
        <v>2463</v>
      </c>
      <c r="S1131" t="b">
        <v>0</v>
      </c>
    </row>
    <row r="1132" spans="14:19" x14ac:dyDescent="0.25">
      <c r="N1132" s="23" t="s">
        <v>106</v>
      </c>
      <c r="O1132" s="30" t="s">
        <v>1919</v>
      </c>
      <c r="P1132" s="30" t="s">
        <v>2084</v>
      </c>
      <c r="Q1132" s="84" t="s">
        <v>2463</v>
      </c>
      <c r="S1132" t="b">
        <v>0</v>
      </c>
    </row>
    <row r="1133" spans="14:19" x14ac:dyDescent="0.25">
      <c r="N1133" s="23" t="s">
        <v>106</v>
      </c>
      <c r="O1133" s="30" t="s">
        <v>1919</v>
      </c>
      <c r="P1133" s="30" t="s">
        <v>2085</v>
      </c>
      <c r="Q1133" s="84" t="s">
        <v>2463</v>
      </c>
      <c r="S1133" t="b">
        <v>0</v>
      </c>
    </row>
    <row r="1134" spans="14:19" x14ac:dyDescent="0.25">
      <c r="N1134" s="23" t="s">
        <v>106</v>
      </c>
      <c r="O1134" s="30" t="s">
        <v>1919</v>
      </c>
      <c r="P1134" s="30" t="s">
        <v>2086</v>
      </c>
      <c r="Q1134" s="84" t="s">
        <v>2463</v>
      </c>
      <c r="S1134" t="b">
        <v>0</v>
      </c>
    </row>
    <row r="1135" spans="14:19" x14ac:dyDescent="0.25">
      <c r="N1135" s="23" t="s">
        <v>106</v>
      </c>
      <c r="O1135" s="30" t="s">
        <v>1919</v>
      </c>
      <c r="P1135" s="30" t="s">
        <v>2087</v>
      </c>
      <c r="Q1135" s="84" t="s">
        <v>2463</v>
      </c>
      <c r="S1135" t="b">
        <v>0</v>
      </c>
    </row>
    <row r="1136" spans="14:19" x14ac:dyDescent="0.25">
      <c r="N1136" s="23" t="s">
        <v>106</v>
      </c>
      <c r="O1136" s="30" t="s">
        <v>1919</v>
      </c>
      <c r="P1136" s="30" t="s">
        <v>2088</v>
      </c>
      <c r="Q1136" s="84" t="s">
        <v>2463</v>
      </c>
      <c r="S1136" t="b">
        <v>0</v>
      </c>
    </row>
    <row r="1137" spans="14:19" x14ac:dyDescent="0.25">
      <c r="N1137" s="23" t="s">
        <v>106</v>
      </c>
      <c r="O1137" s="30" t="s">
        <v>1919</v>
      </c>
      <c r="P1137" s="30" t="s">
        <v>2089</v>
      </c>
      <c r="Q1137" s="84" t="s">
        <v>2463</v>
      </c>
      <c r="S1137" t="b">
        <v>0</v>
      </c>
    </row>
    <row r="1138" spans="14:19" x14ac:dyDescent="0.25">
      <c r="N1138" s="23" t="s">
        <v>106</v>
      </c>
      <c r="O1138" s="30" t="s">
        <v>1919</v>
      </c>
      <c r="P1138" s="30" t="s">
        <v>2090</v>
      </c>
      <c r="Q1138" s="84" t="s">
        <v>2463</v>
      </c>
      <c r="S1138" t="b">
        <v>0</v>
      </c>
    </row>
    <row r="1139" spans="14:19" x14ac:dyDescent="0.25">
      <c r="N1139" s="23" t="s">
        <v>106</v>
      </c>
      <c r="O1139" s="30" t="s">
        <v>1919</v>
      </c>
      <c r="P1139" s="30" t="s">
        <v>2091</v>
      </c>
      <c r="Q1139" s="84" t="s">
        <v>2463</v>
      </c>
      <c r="S1139" t="b">
        <v>0</v>
      </c>
    </row>
    <row r="1140" spans="14:19" x14ac:dyDescent="0.25">
      <c r="N1140" s="23" t="s">
        <v>106</v>
      </c>
      <c r="O1140" s="30" t="s">
        <v>1919</v>
      </c>
      <c r="P1140" s="30" t="s">
        <v>2092</v>
      </c>
      <c r="Q1140" s="84" t="s">
        <v>2463</v>
      </c>
      <c r="S1140" t="b">
        <v>0</v>
      </c>
    </row>
    <row r="1141" spans="14:19" x14ac:dyDescent="0.25">
      <c r="N1141" s="23" t="s">
        <v>106</v>
      </c>
      <c r="O1141" s="30" t="s">
        <v>1919</v>
      </c>
      <c r="P1141" s="30" t="s">
        <v>2093</v>
      </c>
      <c r="Q1141" s="84" t="s">
        <v>2463</v>
      </c>
      <c r="S1141" t="b">
        <v>0</v>
      </c>
    </row>
    <row r="1142" spans="14:19" x14ac:dyDescent="0.25">
      <c r="N1142" s="23" t="s">
        <v>106</v>
      </c>
      <c r="O1142" s="30" t="s">
        <v>1919</v>
      </c>
      <c r="P1142" s="30" t="s">
        <v>2094</v>
      </c>
      <c r="Q1142" s="84" t="s">
        <v>2463</v>
      </c>
      <c r="S1142" t="b">
        <v>0</v>
      </c>
    </row>
    <row r="1143" spans="14:19" x14ac:dyDescent="0.25">
      <c r="N1143" s="23" t="s">
        <v>106</v>
      </c>
      <c r="O1143" s="30" t="s">
        <v>1919</v>
      </c>
      <c r="P1143" s="30" t="s">
        <v>2095</v>
      </c>
      <c r="Q1143" s="84" t="s">
        <v>2463</v>
      </c>
      <c r="S1143" t="b">
        <v>0</v>
      </c>
    </row>
    <row r="1144" spans="14:19" x14ac:dyDescent="0.25">
      <c r="N1144" s="23" t="s">
        <v>106</v>
      </c>
      <c r="O1144" s="30" t="s">
        <v>1919</v>
      </c>
      <c r="P1144" s="30" t="s">
        <v>2096</v>
      </c>
      <c r="Q1144" s="84" t="s">
        <v>2463</v>
      </c>
      <c r="S1144" t="b">
        <v>0</v>
      </c>
    </row>
    <row r="1145" spans="14:19" x14ac:dyDescent="0.25">
      <c r="N1145" s="23" t="s">
        <v>106</v>
      </c>
      <c r="O1145" s="30" t="s">
        <v>1919</v>
      </c>
      <c r="P1145" s="30" t="s">
        <v>2097</v>
      </c>
      <c r="Q1145" s="84" t="s">
        <v>2463</v>
      </c>
      <c r="S1145" t="b">
        <v>0</v>
      </c>
    </row>
    <row r="1146" spans="14:19" x14ac:dyDescent="0.25">
      <c r="N1146" s="23" t="s">
        <v>106</v>
      </c>
      <c r="O1146" s="30" t="s">
        <v>1919</v>
      </c>
      <c r="P1146" s="30" t="s">
        <v>2098</v>
      </c>
      <c r="Q1146" s="84" t="s">
        <v>2463</v>
      </c>
      <c r="S1146" t="b">
        <v>0</v>
      </c>
    </row>
    <row r="1147" spans="14:19" x14ac:dyDescent="0.25">
      <c r="N1147" s="23" t="s">
        <v>106</v>
      </c>
      <c r="O1147" s="30" t="s">
        <v>1919</v>
      </c>
      <c r="P1147" s="30" t="s">
        <v>2099</v>
      </c>
      <c r="Q1147" s="84" t="s">
        <v>2463</v>
      </c>
      <c r="S1147" t="b">
        <v>0</v>
      </c>
    </row>
    <row r="1148" spans="14:19" x14ac:dyDescent="0.25">
      <c r="N1148" s="23" t="s">
        <v>106</v>
      </c>
      <c r="O1148" s="30" t="s">
        <v>1919</v>
      </c>
      <c r="P1148" s="30" t="s">
        <v>2100</v>
      </c>
      <c r="Q1148" s="84" t="s">
        <v>2463</v>
      </c>
      <c r="S1148" t="b">
        <v>0</v>
      </c>
    </row>
    <row r="1149" spans="14:19" x14ac:dyDescent="0.25">
      <c r="N1149" s="23" t="s">
        <v>106</v>
      </c>
      <c r="O1149" s="30" t="s">
        <v>1919</v>
      </c>
      <c r="P1149" s="30" t="s">
        <v>2101</v>
      </c>
      <c r="Q1149" s="84" t="s">
        <v>2463</v>
      </c>
      <c r="S1149" t="b">
        <v>0</v>
      </c>
    </row>
    <row r="1150" spans="14:19" x14ac:dyDescent="0.25">
      <c r="N1150" s="23" t="s">
        <v>106</v>
      </c>
      <c r="O1150" s="30" t="s">
        <v>1919</v>
      </c>
      <c r="P1150" s="30" t="s">
        <v>2102</v>
      </c>
      <c r="Q1150" s="84" t="s">
        <v>2463</v>
      </c>
      <c r="S1150" t="b">
        <v>0</v>
      </c>
    </row>
    <row r="1151" spans="14:19" x14ac:dyDescent="0.25">
      <c r="N1151" s="23" t="s">
        <v>106</v>
      </c>
      <c r="O1151" s="30" t="s">
        <v>1919</v>
      </c>
      <c r="P1151" s="30" t="s">
        <v>2103</v>
      </c>
      <c r="Q1151" s="84" t="s">
        <v>2463</v>
      </c>
      <c r="S1151" t="b">
        <v>0</v>
      </c>
    </row>
    <row r="1152" spans="14:19" x14ac:dyDescent="0.25">
      <c r="N1152" s="23" t="s">
        <v>106</v>
      </c>
      <c r="O1152" s="30" t="s">
        <v>1919</v>
      </c>
      <c r="P1152" s="30" t="s">
        <v>2104</v>
      </c>
      <c r="Q1152" s="84" t="s">
        <v>2463</v>
      </c>
      <c r="S1152" t="b">
        <v>0</v>
      </c>
    </row>
    <row r="1153" spans="14:19" x14ac:dyDescent="0.25">
      <c r="N1153" s="23" t="s">
        <v>106</v>
      </c>
      <c r="O1153" s="30" t="s">
        <v>1919</v>
      </c>
      <c r="P1153" s="30" t="s">
        <v>2105</v>
      </c>
      <c r="Q1153" s="84" t="s">
        <v>2463</v>
      </c>
      <c r="S1153" t="b">
        <v>0</v>
      </c>
    </row>
    <row r="1154" spans="14:19" x14ac:dyDescent="0.25">
      <c r="N1154" s="23" t="s">
        <v>106</v>
      </c>
      <c r="O1154" s="30" t="s">
        <v>1919</v>
      </c>
      <c r="P1154" s="30" t="s">
        <v>2106</v>
      </c>
      <c r="Q1154" s="84" t="s">
        <v>2463</v>
      </c>
      <c r="S1154" t="b">
        <v>0</v>
      </c>
    </row>
    <row r="1155" spans="14:19" x14ac:dyDescent="0.25">
      <c r="N1155" s="23" t="s">
        <v>106</v>
      </c>
      <c r="O1155" s="30" t="s">
        <v>1919</v>
      </c>
      <c r="P1155" s="30" t="s">
        <v>2107</v>
      </c>
      <c r="Q1155" s="84" t="s">
        <v>2463</v>
      </c>
      <c r="S1155" t="b">
        <v>0</v>
      </c>
    </row>
    <row r="1156" spans="14:19" x14ac:dyDescent="0.25">
      <c r="N1156" s="23" t="s">
        <v>106</v>
      </c>
      <c r="O1156" s="30" t="s">
        <v>1919</v>
      </c>
      <c r="P1156" s="30" t="s">
        <v>2108</v>
      </c>
      <c r="Q1156" s="84" t="s">
        <v>2463</v>
      </c>
      <c r="S1156" t="b">
        <v>0</v>
      </c>
    </row>
    <row r="1157" spans="14:19" x14ac:dyDescent="0.25">
      <c r="N1157" s="23" t="s">
        <v>106</v>
      </c>
      <c r="O1157" s="30" t="s">
        <v>1919</v>
      </c>
      <c r="P1157" s="30" t="s">
        <v>2109</v>
      </c>
      <c r="Q1157" s="84" t="s">
        <v>2463</v>
      </c>
      <c r="S1157" t="b">
        <v>0</v>
      </c>
    </row>
    <row r="1158" spans="14:19" x14ac:dyDescent="0.25">
      <c r="N1158" s="23" t="s">
        <v>106</v>
      </c>
      <c r="O1158" s="30" t="s">
        <v>1919</v>
      </c>
      <c r="P1158" s="30" t="s">
        <v>2110</v>
      </c>
      <c r="Q1158" s="84" t="s">
        <v>2463</v>
      </c>
      <c r="S1158" t="b">
        <v>0</v>
      </c>
    </row>
    <row r="1159" spans="14:19" x14ac:dyDescent="0.25">
      <c r="N1159" s="23" t="s">
        <v>106</v>
      </c>
      <c r="O1159" s="30" t="s">
        <v>1919</v>
      </c>
      <c r="P1159" s="30" t="s">
        <v>2111</v>
      </c>
      <c r="Q1159" s="84" t="s">
        <v>2463</v>
      </c>
      <c r="S1159" t="b">
        <v>0</v>
      </c>
    </row>
    <row r="1160" spans="14:19" x14ac:dyDescent="0.25">
      <c r="N1160" s="23" t="s">
        <v>106</v>
      </c>
      <c r="O1160" s="30" t="s">
        <v>1919</v>
      </c>
      <c r="P1160" s="30" t="s">
        <v>2112</v>
      </c>
      <c r="Q1160" s="84" t="s">
        <v>2463</v>
      </c>
      <c r="S1160" t="b">
        <v>0</v>
      </c>
    </row>
    <row r="1161" spans="14:19" x14ac:dyDescent="0.25">
      <c r="N1161" s="23" t="s">
        <v>106</v>
      </c>
      <c r="O1161" s="30" t="s">
        <v>1919</v>
      </c>
      <c r="P1161" s="30" t="s">
        <v>2113</v>
      </c>
      <c r="Q1161" s="84" t="s">
        <v>2463</v>
      </c>
      <c r="S1161" t="b">
        <v>0</v>
      </c>
    </row>
    <row r="1162" spans="14:19" x14ac:dyDescent="0.25">
      <c r="N1162" s="23" t="s">
        <v>106</v>
      </c>
      <c r="O1162" s="30" t="s">
        <v>1919</v>
      </c>
      <c r="P1162" s="30" t="s">
        <v>2114</v>
      </c>
      <c r="Q1162" s="84" t="s">
        <v>2463</v>
      </c>
      <c r="S1162" t="b">
        <v>0</v>
      </c>
    </row>
    <row r="1163" spans="14:19" x14ac:dyDescent="0.25">
      <c r="N1163" s="23" t="s">
        <v>106</v>
      </c>
      <c r="O1163" s="30" t="s">
        <v>1919</v>
      </c>
      <c r="P1163" s="30" t="s">
        <v>2115</v>
      </c>
      <c r="Q1163" s="84" t="s">
        <v>2463</v>
      </c>
      <c r="S1163" t="b">
        <v>0</v>
      </c>
    </row>
    <row r="1164" spans="14:19" x14ac:dyDescent="0.25">
      <c r="N1164" s="23" t="s">
        <v>106</v>
      </c>
      <c r="O1164" s="30" t="s">
        <v>1919</v>
      </c>
      <c r="P1164" s="30" t="s">
        <v>2116</v>
      </c>
      <c r="Q1164" s="84" t="s">
        <v>2462</v>
      </c>
      <c r="S1164" t="b">
        <v>0</v>
      </c>
    </row>
    <row r="1165" spans="14:19" x14ac:dyDescent="0.25">
      <c r="N1165" s="23" t="s">
        <v>106</v>
      </c>
      <c r="O1165" s="30" t="s">
        <v>1919</v>
      </c>
      <c r="P1165" s="30" t="s">
        <v>2117</v>
      </c>
      <c r="Q1165" s="84" t="s">
        <v>2462</v>
      </c>
      <c r="S1165" t="b">
        <v>0</v>
      </c>
    </row>
    <row r="1166" spans="14:19" x14ac:dyDescent="0.25">
      <c r="N1166" s="23" t="s">
        <v>106</v>
      </c>
      <c r="O1166" s="30" t="s">
        <v>1919</v>
      </c>
      <c r="P1166" s="30" t="s">
        <v>2118</v>
      </c>
      <c r="Q1166" s="84" t="s">
        <v>2462</v>
      </c>
      <c r="S1166" t="b">
        <v>0</v>
      </c>
    </row>
    <row r="1167" spans="14:19" x14ac:dyDescent="0.25">
      <c r="N1167" s="23" t="s">
        <v>106</v>
      </c>
      <c r="O1167" s="30" t="s">
        <v>1919</v>
      </c>
      <c r="P1167" s="30" t="s">
        <v>2119</v>
      </c>
      <c r="Q1167" s="84" t="s">
        <v>2462</v>
      </c>
      <c r="S1167" t="b">
        <v>0</v>
      </c>
    </row>
    <row r="1168" spans="14:19" x14ac:dyDescent="0.25">
      <c r="N1168" s="23" t="s">
        <v>106</v>
      </c>
      <c r="O1168" s="30" t="s">
        <v>1919</v>
      </c>
      <c r="P1168" s="30" t="s">
        <v>2120</v>
      </c>
      <c r="Q1168" s="84" t="s">
        <v>2462</v>
      </c>
      <c r="S1168" t="b">
        <v>0</v>
      </c>
    </row>
    <row r="1169" spans="14:19" x14ac:dyDescent="0.25">
      <c r="N1169" s="23" t="s">
        <v>106</v>
      </c>
      <c r="O1169" s="30" t="s">
        <v>1919</v>
      </c>
      <c r="P1169" s="30" t="s">
        <v>2121</v>
      </c>
      <c r="Q1169" s="84" t="s">
        <v>2462</v>
      </c>
      <c r="S1169" t="b">
        <v>0</v>
      </c>
    </row>
    <row r="1170" spans="14:19" x14ac:dyDescent="0.25">
      <c r="N1170" s="23" t="s">
        <v>106</v>
      </c>
      <c r="O1170" s="30" t="s">
        <v>1919</v>
      </c>
      <c r="P1170" s="30" t="s">
        <v>2122</v>
      </c>
      <c r="Q1170" s="84" t="s">
        <v>2462</v>
      </c>
      <c r="S1170" t="b">
        <v>0</v>
      </c>
    </row>
    <row r="1171" spans="14:19" x14ac:dyDescent="0.25">
      <c r="N1171" s="23" t="s">
        <v>106</v>
      </c>
      <c r="O1171" s="30" t="s">
        <v>1919</v>
      </c>
      <c r="P1171" s="30" t="s">
        <v>2123</v>
      </c>
      <c r="Q1171" s="84" t="s">
        <v>2462</v>
      </c>
      <c r="S1171" t="b">
        <v>0</v>
      </c>
    </row>
    <row r="1172" spans="14:19" x14ac:dyDescent="0.25">
      <c r="N1172" s="23" t="s">
        <v>106</v>
      </c>
      <c r="O1172" s="30" t="s">
        <v>1919</v>
      </c>
      <c r="P1172" s="30" t="s">
        <v>2124</v>
      </c>
      <c r="Q1172" s="84" t="s">
        <v>2462</v>
      </c>
      <c r="S1172" t="b">
        <v>0</v>
      </c>
    </row>
    <row r="1173" spans="14:19" x14ac:dyDescent="0.25">
      <c r="N1173" s="23" t="s">
        <v>106</v>
      </c>
      <c r="O1173" s="30" t="s">
        <v>1919</v>
      </c>
      <c r="P1173" s="30" t="s">
        <v>2125</v>
      </c>
      <c r="Q1173" s="84" t="s">
        <v>2462</v>
      </c>
      <c r="S1173" t="b">
        <v>0</v>
      </c>
    </row>
    <row r="1174" spans="14:19" x14ac:dyDescent="0.25">
      <c r="N1174" s="23" t="s">
        <v>106</v>
      </c>
      <c r="O1174" s="30" t="s">
        <v>1919</v>
      </c>
      <c r="P1174" s="30" t="s">
        <v>2126</v>
      </c>
      <c r="Q1174" s="84" t="s">
        <v>2462</v>
      </c>
      <c r="S1174" t="b">
        <v>0</v>
      </c>
    </row>
    <row r="1175" spans="14:19" x14ac:dyDescent="0.25">
      <c r="N1175" s="23" t="s">
        <v>106</v>
      </c>
      <c r="O1175" s="30" t="s">
        <v>1919</v>
      </c>
      <c r="P1175" s="30" t="s">
        <v>2127</v>
      </c>
      <c r="Q1175" s="84" t="s">
        <v>2462</v>
      </c>
      <c r="S1175" t="b">
        <v>0</v>
      </c>
    </row>
    <row r="1176" spans="14:19" x14ac:dyDescent="0.25">
      <c r="N1176" s="23" t="s">
        <v>106</v>
      </c>
      <c r="O1176" s="30" t="s">
        <v>1919</v>
      </c>
      <c r="P1176" s="30" t="s">
        <v>2128</v>
      </c>
      <c r="Q1176" s="84" t="s">
        <v>2462</v>
      </c>
      <c r="S1176" t="b">
        <v>0</v>
      </c>
    </row>
    <row r="1177" spans="14:19" x14ac:dyDescent="0.25">
      <c r="N1177" s="23" t="s">
        <v>106</v>
      </c>
      <c r="O1177" s="30" t="s">
        <v>1919</v>
      </c>
      <c r="P1177" s="30" t="s">
        <v>2129</v>
      </c>
      <c r="Q1177" s="84" t="s">
        <v>2462</v>
      </c>
      <c r="S1177" t="b">
        <v>0</v>
      </c>
    </row>
    <row r="1178" spans="14:19" x14ac:dyDescent="0.25">
      <c r="N1178" s="23" t="s">
        <v>106</v>
      </c>
      <c r="O1178" s="30" t="s">
        <v>1919</v>
      </c>
      <c r="P1178" s="30" t="s">
        <v>2130</v>
      </c>
      <c r="Q1178" s="84" t="s">
        <v>2462</v>
      </c>
      <c r="S1178" t="b">
        <v>0</v>
      </c>
    </row>
    <row r="1179" spans="14:19" x14ac:dyDescent="0.25">
      <c r="N1179" s="23" t="s">
        <v>106</v>
      </c>
      <c r="O1179" s="30" t="s">
        <v>1919</v>
      </c>
      <c r="P1179" s="30" t="s">
        <v>2131</v>
      </c>
      <c r="Q1179" s="84" t="s">
        <v>2462</v>
      </c>
      <c r="S1179" t="b">
        <v>0</v>
      </c>
    </row>
    <row r="1180" spans="14:19" x14ac:dyDescent="0.25">
      <c r="N1180" s="23" t="s">
        <v>106</v>
      </c>
      <c r="O1180" s="30" t="s">
        <v>1919</v>
      </c>
      <c r="P1180" s="30" t="s">
        <v>2132</v>
      </c>
      <c r="Q1180" s="84" t="s">
        <v>2462</v>
      </c>
      <c r="S1180" t="b">
        <v>0</v>
      </c>
    </row>
    <row r="1181" spans="14:19" x14ac:dyDescent="0.25">
      <c r="N1181" s="23" t="s">
        <v>106</v>
      </c>
      <c r="O1181" s="30" t="s">
        <v>1919</v>
      </c>
      <c r="P1181" s="30" t="s">
        <v>2133</v>
      </c>
      <c r="Q1181" s="84" t="s">
        <v>2462</v>
      </c>
      <c r="S1181" t="b">
        <v>0</v>
      </c>
    </row>
    <row r="1182" spans="14:19" x14ac:dyDescent="0.25">
      <c r="N1182" s="23" t="s">
        <v>106</v>
      </c>
      <c r="O1182" s="30" t="s">
        <v>1919</v>
      </c>
      <c r="P1182" s="30" t="s">
        <v>2134</v>
      </c>
      <c r="Q1182" s="84" t="s">
        <v>2462</v>
      </c>
      <c r="S1182" t="b">
        <v>0</v>
      </c>
    </row>
    <row r="1183" spans="14:19" x14ac:dyDescent="0.25">
      <c r="N1183" s="23" t="s">
        <v>106</v>
      </c>
      <c r="O1183" s="30" t="s">
        <v>1919</v>
      </c>
      <c r="P1183" s="30" t="s">
        <v>2135</v>
      </c>
      <c r="Q1183" s="84" t="s">
        <v>2462</v>
      </c>
      <c r="S1183" t="b">
        <v>0</v>
      </c>
    </row>
    <row r="1184" spans="14:19" x14ac:dyDescent="0.25">
      <c r="N1184" s="23" t="s">
        <v>106</v>
      </c>
      <c r="O1184" s="30" t="s">
        <v>1919</v>
      </c>
      <c r="P1184" s="30" t="s">
        <v>2136</v>
      </c>
      <c r="Q1184" s="84" t="s">
        <v>2462</v>
      </c>
      <c r="S1184" t="b">
        <v>0</v>
      </c>
    </row>
    <row r="1185" spans="14:19" x14ac:dyDescent="0.25">
      <c r="N1185" s="23" t="s">
        <v>106</v>
      </c>
      <c r="O1185" s="30" t="s">
        <v>1919</v>
      </c>
      <c r="P1185" s="30" t="s">
        <v>2137</v>
      </c>
      <c r="Q1185" s="84" t="s">
        <v>2462</v>
      </c>
      <c r="S1185" t="b">
        <v>0</v>
      </c>
    </row>
    <row r="1186" spans="14:19" x14ac:dyDescent="0.25">
      <c r="N1186" s="23" t="s">
        <v>106</v>
      </c>
      <c r="O1186" s="30" t="s">
        <v>1919</v>
      </c>
      <c r="P1186" s="30" t="s">
        <v>2138</v>
      </c>
      <c r="Q1186" s="84" t="s">
        <v>2462</v>
      </c>
      <c r="S1186" t="b">
        <v>0</v>
      </c>
    </row>
    <row r="1187" spans="14:19" x14ac:dyDescent="0.25">
      <c r="N1187" s="23" t="s">
        <v>106</v>
      </c>
      <c r="O1187" s="30" t="s">
        <v>1919</v>
      </c>
      <c r="P1187" s="30" t="s">
        <v>2139</v>
      </c>
      <c r="Q1187" s="84" t="s">
        <v>2462</v>
      </c>
      <c r="S1187" t="b">
        <v>0</v>
      </c>
    </row>
    <row r="1188" spans="14:19" x14ac:dyDescent="0.25">
      <c r="N1188" s="23" t="s">
        <v>106</v>
      </c>
      <c r="O1188" s="30" t="s">
        <v>1919</v>
      </c>
      <c r="P1188" s="30" t="s">
        <v>2140</v>
      </c>
      <c r="Q1188" s="84" t="s">
        <v>2462</v>
      </c>
      <c r="S1188" t="b">
        <v>0</v>
      </c>
    </row>
    <row r="1189" spans="14:19" x14ac:dyDescent="0.25">
      <c r="N1189" s="23" t="s">
        <v>106</v>
      </c>
      <c r="O1189" s="30" t="s">
        <v>1919</v>
      </c>
      <c r="P1189" s="30" t="s">
        <v>2141</v>
      </c>
      <c r="Q1189" s="84" t="s">
        <v>2462</v>
      </c>
      <c r="S1189" t="b">
        <v>0</v>
      </c>
    </row>
    <row r="1190" spans="14:19" x14ac:dyDescent="0.25">
      <c r="N1190" s="23" t="s">
        <v>106</v>
      </c>
      <c r="O1190" s="30" t="s">
        <v>1919</v>
      </c>
      <c r="P1190" s="30" t="s">
        <v>2142</v>
      </c>
      <c r="Q1190" s="84" t="s">
        <v>2462</v>
      </c>
      <c r="S1190" t="b">
        <v>0</v>
      </c>
    </row>
    <row r="1191" spans="14:19" x14ac:dyDescent="0.25">
      <c r="N1191" s="23" t="s">
        <v>106</v>
      </c>
      <c r="O1191" s="30" t="s">
        <v>1919</v>
      </c>
      <c r="P1191" s="30" t="s">
        <v>2143</v>
      </c>
      <c r="Q1191" s="84" t="s">
        <v>2462</v>
      </c>
      <c r="S1191" t="b">
        <v>0</v>
      </c>
    </row>
    <row r="1192" spans="14:19" x14ac:dyDescent="0.25">
      <c r="N1192" s="23" t="s">
        <v>106</v>
      </c>
      <c r="O1192" s="30" t="s">
        <v>1919</v>
      </c>
      <c r="P1192" s="30" t="s">
        <v>2144</v>
      </c>
      <c r="Q1192" s="84" t="s">
        <v>2462</v>
      </c>
      <c r="S1192" t="b">
        <v>0</v>
      </c>
    </row>
    <row r="1193" spans="14:19" x14ac:dyDescent="0.25">
      <c r="N1193" s="23" t="s">
        <v>106</v>
      </c>
      <c r="O1193" s="30" t="s">
        <v>1919</v>
      </c>
      <c r="P1193" s="30" t="s">
        <v>2145</v>
      </c>
      <c r="Q1193" s="84" t="s">
        <v>2462</v>
      </c>
      <c r="S1193" t="b">
        <v>0</v>
      </c>
    </row>
    <row r="1194" spans="14:19" x14ac:dyDescent="0.25">
      <c r="N1194" s="23" t="s">
        <v>106</v>
      </c>
      <c r="O1194" s="30" t="s">
        <v>1919</v>
      </c>
      <c r="P1194" s="30" t="s">
        <v>2146</v>
      </c>
      <c r="Q1194" s="84" t="s">
        <v>2462</v>
      </c>
      <c r="S1194" t="b">
        <v>0</v>
      </c>
    </row>
    <row r="1195" spans="14:19" x14ac:dyDescent="0.25">
      <c r="N1195" s="23" t="s">
        <v>106</v>
      </c>
      <c r="O1195" s="30" t="s">
        <v>1919</v>
      </c>
      <c r="P1195" s="30" t="s">
        <v>2147</v>
      </c>
      <c r="Q1195" s="84" t="s">
        <v>2462</v>
      </c>
      <c r="S1195" t="b">
        <v>0</v>
      </c>
    </row>
    <row r="1196" spans="14:19" x14ac:dyDescent="0.25">
      <c r="N1196" s="23" t="s">
        <v>106</v>
      </c>
      <c r="O1196" s="30" t="s">
        <v>1919</v>
      </c>
      <c r="P1196" s="30" t="s">
        <v>2148</v>
      </c>
      <c r="Q1196" s="84" t="s">
        <v>2462</v>
      </c>
      <c r="S1196" t="b">
        <v>0</v>
      </c>
    </row>
    <row r="1197" spans="14:19" x14ac:dyDescent="0.25">
      <c r="N1197" s="23" t="s">
        <v>106</v>
      </c>
      <c r="O1197" s="30" t="s">
        <v>1919</v>
      </c>
      <c r="P1197" s="30" t="s">
        <v>2149</v>
      </c>
      <c r="Q1197" s="84" t="s">
        <v>2462</v>
      </c>
      <c r="S1197" t="b">
        <v>0</v>
      </c>
    </row>
    <row r="1198" spans="14:19" x14ac:dyDescent="0.25">
      <c r="N1198" s="23" t="s">
        <v>106</v>
      </c>
      <c r="O1198" s="30" t="s">
        <v>1919</v>
      </c>
      <c r="P1198" s="30" t="s">
        <v>2150</v>
      </c>
      <c r="Q1198" s="84" t="s">
        <v>2462</v>
      </c>
      <c r="S1198" t="b">
        <v>0</v>
      </c>
    </row>
    <row r="1199" spans="14:19" x14ac:dyDescent="0.25">
      <c r="N1199" s="23" t="s">
        <v>106</v>
      </c>
      <c r="O1199" s="30" t="s">
        <v>1919</v>
      </c>
      <c r="P1199" s="30" t="s">
        <v>2151</v>
      </c>
      <c r="Q1199" s="84" t="s">
        <v>2462</v>
      </c>
      <c r="S1199" t="b">
        <v>0</v>
      </c>
    </row>
    <row r="1200" spans="14:19" x14ac:dyDescent="0.25">
      <c r="N1200" s="23" t="s">
        <v>106</v>
      </c>
      <c r="O1200" s="30" t="s">
        <v>1919</v>
      </c>
      <c r="P1200" s="30" t="s">
        <v>2152</v>
      </c>
      <c r="Q1200" s="84" t="s">
        <v>2462</v>
      </c>
      <c r="S1200" t="b">
        <v>0</v>
      </c>
    </row>
    <row r="1201" spans="14:19" x14ac:dyDescent="0.25">
      <c r="N1201" s="23" t="s">
        <v>106</v>
      </c>
      <c r="O1201" s="30" t="s">
        <v>1919</v>
      </c>
      <c r="P1201" s="30" t="s">
        <v>2153</v>
      </c>
      <c r="Q1201" s="84" t="s">
        <v>2462</v>
      </c>
      <c r="S1201" t="b">
        <v>0</v>
      </c>
    </row>
    <row r="1202" spans="14:19" x14ac:dyDescent="0.25">
      <c r="N1202" s="23" t="s">
        <v>106</v>
      </c>
      <c r="O1202" s="30" t="s">
        <v>1919</v>
      </c>
      <c r="P1202" s="30" t="s">
        <v>2154</v>
      </c>
      <c r="Q1202" s="84" t="s">
        <v>2462</v>
      </c>
      <c r="S1202" t="b">
        <v>0</v>
      </c>
    </row>
    <row r="1203" spans="14:19" x14ac:dyDescent="0.25">
      <c r="N1203" s="23" t="s">
        <v>106</v>
      </c>
      <c r="O1203" s="30" t="s">
        <v>1919</v>
      </c>
      <c r="P1203" s="30" t="s">
        <v>2155</v>
      </c>
      <c r="Q1203" s="84" t="s">
        <v>2462</v>
      </c>
      <c r="S1203" t="b">
        <v>0</v>
      </c>
    </row>
    <row r="1204" spans="14:19" x14ac:dyDescent="0.25">
      <c r="N1204" s="23" t="s">
        <v>106</v>
      </c>
      <c r="O1204" s="30" t="s">
        <v>1919</v>
      </c>
      <c r="P1204" s="30" t="s">
        <v>2156</v>
      </c>
      <c r="Q1204" s="84" t="s">
        <v>2462</v>
      </c>
      <c r="S1204" t="b">
        <v>0</v>
      </c>
    </row>
    <row r="1205" spans="14:19" x14ac:dyDescent="0.25">
      <c r="N1205" s="23" t="s">
        <v>106</v>
      </c>
      <c r="O1205" s="30" t="s">
        <v>1919</v>
      </c>
      <c r="P1205" s="30" t="s">
        <v>2157</v>
      </c>
      <c r="Q1205" s="84" t="s">
        <v>2462</v>
      </c>
      <c r="S1205" t="b">
        <v>0</v>
      </c>
    </row>
    <row r="1206" spans="14:19" x14ac:dyDescent="0.25">
      <c r="N1206" s="23" t="s">
        <v>106</v>
      </c>
      <c r="O1206" s="30" t="s">
        <v>1919</v>
      </c>
      <c r="P1206" s="30" t="s">
        <v>2158</v>
      </c>
      <c r="Q1206" s="84" t="s">
        <v>2462</v>
      </c>
      <c r="S1206" t="b">
        <v>0</v>
      </c>
    </row>
    <row r="1207" spans="14:19" x14ac:dyDescent="0.25">
      <c r="N1207" s="23" t="s">
        <v>106</v>
      </c>
      <c r="O1207" s="30" t="s">
        <v>1919</v>
      </c>
      <c r="P1207" s="30" t="s">
        <v>2159</v>
      </c>
      <c r="Q1207" s="84" t="s">
        <v>2462</v>
      </c>
      <c r="S1207" t="b">
        <v>0</v>
      </c>
    </row>
    <row r="1208" spans="14:19" x14ac:dyDescent="0.25">
      <c r="N1208" s="23" t="s">
        <v>106</v>
      </c>
      <c r="O1208" s="30" t="s">
        <v>1919</v>
      </c>
      <c r="P1208" s="30" t="s">
        <v>2160</v>
      </c>
      <c r="Q1208" s="84" t="s">
        <v>2462</v>
      </c>
      <c r="S1208" t="b">
        <v>0</v>
      </c>
    </row>
    <row r="1209" spans="14:19" x14ac:dyDescent="0.25">
      <c r="N1209" s="23" t="s">
        <v>106</v>
      </c>
      <c r="O1209" s="30" t="s">
        <v>1919</v>
      </c>
      <c r="P1209" s="30" t="s">
        <v>2161</v>
      </c>
      <c r="Q1209" s="84" t="s">
        <v>2462</v>
      </c>
      <c r="S1209" t="b">
        <v>0</v>
      </c>
    </row>
    <row r="1210" spans="14:19" x14ac:dyDescent="0.25">
      <c r="N1210" s="23" t="s">
        <v>106</v>
      </c>
      <c r="O1210" s="30" t="s">
        <v>1919</v>
      </c>
      <c r="P1210" s="30" t="s">
        <v>2162</v>
      </c>
      <c r="Q1210" s="84" t="s">
        <v>2462</v>
      </c>
      <c r="S1210" t="b">
        <v>0</v>
      </c>
    </row>
    <row r="1211" spans="14:19" x14ac:dyDescent="0.25">
      <c r="N1211" s="23" t="s">
        <v>106</v>
      </c>
      <c r="O1211" s="30" t="s">
        <v>1919</v>
      </c>
      <c r="P1211" s="30" t="s">
        <v>2163</v>
      </c>
      <c r="Q1211" s="84" t="s">
        <v>2462</v>
      </c>
      <c r="S1211" t="b">
        <v>0</v>
      </c>
    </row>
    <row r="1212" spans="14:19" x14ac:dyDescent="0.25">
      <c r="N1212" s="23" t="s">
        <v>106</v>
      </c>
      <c r="O1212" s="30" t="s">
        <v>1919</v>
      </c>
      <c r="P1212" s="30" t="s">
        <v>2164</v>
      </c>
      <c r="Q1212" s="84" t="s">
        <v>2462</v>
      </c>
      <c r="S1212" t="b">
        <v>0</v>
      </c>
    </row>
    <row r="1213" spans="14:19" x14ac:dyDescent="0.25">
      <c r="N1213" s="23" t="s">
        <v>106</v>
      </c>
      <c r="O1213" s="30" t="s">
        <v>1919</v>
      </c>
      <c r="P1213" s="30" t="s">
        <v>2165</v>
      </c>
      <c r="Q1213" s="84" t="s">
        <v>2462</v>
      </c>
      <c r="S1213" t="b">
        <v>0</v>
      </c>
    </row>
    <row r="1214" spans="14:19" x14ac:dyDescent="0.25">
      <c r="N1214" s="23" t="s">
        <v>106</v>
      </c>
      <c r="O1214" s="30" t="s">
        <v>1919</v>
      </c>
      <c r="P1214" s="30" t="s">
        <v>2166</v>
      </c>
      <c r="Q1214" s="84" t="s">
        <v>2462</v>
      </c>
      <c r="S1214" t="b">
        <v>0</v>
      </c>
    </row>
    <row r="1215" spans="14:19" x14ac:dyDescent="0.25">
      <c r="N1215" s="23" t="s">
        <v>106</v>
      </c>
      <c r="O1215" s="30" t="s">
        <v>1919</v>
      </c>
      <c r="P1215" s="30" t="s">
        <v>2167</v>
      </c>
      <c r="Q1215" s="84" t="s">
        <v>2462</v>
      </c>
      <c r="S1215" t="b">
        <v>0</v>
      </c>
    </row>
    <row r="1216" spans="14:19" x14ac:dyDescent="0.25">
      <c r="N1216" s="23" t="s">
        <v>106</v>
      </c>
      <c r="O1216" s="30" t="s">
        <v>1919</v>
      </c>
      <c r="P1216" s="30" t="s">
        <v>2168</v>
      </c>
      <c r="Q1216" s="84" t="s">
        <v>2462</v>
      </c>
      <c r="S1216" t="b">
        <v>0</v>
      </c>
    </row>
    <row r="1217" spans="14:19" x14ac:dyDescent="0.25">
      <c r="N1217" s="23" t="s">
        <v>106</v>
      </c>
      <c r="O1217" s="30" t="s">
        <v>1919</v>
      </c>
      <c r="P1217" s="30" t="s">
        <v>2169</v>
      </c>
      <c r="Q1217" s="84" t="s">
        <v>2462</v>
      </c>
      <c r="S1217" t="b">
        <v>0</v>
      </c>
    </row>
    <row r="1218" spans="14:19" x14ac:dyDescent="0.25">
      <c r="N1218" s="23" t="s">
        <v>106</v>
      </c>
      <c r="O1218" s="30" t="s">
        <v>1919</v>
      </c>
      <c r="P1218" s="30" t="s">
        <v>2170</v>
      </c>
      <c r="Q1218" s="84" t="s">
        <v>2462</v>
      </c>
      <c r="S1218" t="b">
        <v>0</v>
      </c>
    </row>
    <row r="1219" spans="14:19" x14ac:dyDescent="0.25">
      <c r="N1219" s="23" t="s">
        <v>106</v>
      </c>
      <c r="O1219" s="30" t="s">
        <v>1919</v>
      </c>
      <c r="P1219" s="30" t="s">
        <v>2171</v>
      </c>
      <c r="Q1219" s="84" t="s">
        <v>2462</v>
      </c>
      <c r="S1219" t="b">
        <v>0</v>
      </c>
    </row>
    <row r="1220" spans="14:19" x14ac:dyDescent="0.25">
      <c r="N1220" s="23" t="s">
        <v>106</v>
      </c>
      <c r="O1220" s="30" t="s">
        <v>1919</v>
      </c>
      <c r="P1220" s="30" t="s">
        <v>2172</v>
      </c>
      <c r="Q1220" s="84" t="s">
        <v>2462</v>
      </c>
      <c r="S1220" t="b">
        <v>0</v>
      </c>
    </row>
    <row r="1221" spans="14:19" x14ac:dyDescent="0.25">
      <c r="N1221" s="23" t="s">
        <v>106</v>
      </c>
      <c r="O1221" s="30" t="s">
        <v>1919</v>
      </c>
      <c r="P1221" s="30" t="s">
        <v>2173</v>
      </c>
      <c r="Q1221" s="84" t="s">
        <v>2462</v>
      </c>
      <c r="S1221" t="b">
        <v>0</v>
      </c>
    </row>
    <row r="1222" spans="14:19" x14ac:dyDescent="0.25">
      <c r="N1222" s="23" t="s">
        <v>102</v>
      </c>
      <c r="O1222" s="30" t="s">
        <v>582</v>
      </c>
      <c r="P1222" s="30" t="s">
        <v>583</v>
      </c>
      <c r="Q1222" s="84" t="s">
        <v>2463</v>
      </c>
      <c r="S1222" t="b">
        <v>0</v>
      </c>
    </row>
    <row r="1223" spans="14:19" x14ac:dyDescent="0.25">
      <c r="N1223" s="23" t="s">
        <v>106</v>
      </c>
      <c r="O1223" s="30" t="s">
        <v>2174</v>
      </c>
      <c r="P1223" s="30" t="s">
        <v>2175</v>
      </c>
      <c r="Q1223" s="84" t="s">
        <v>2463</v>
      </c>
      <c r="S1223" t="b">
        <v>0</v>
      </c>
    </row>
    <row r="1224" spans="14:19" x14ac:dyDescent="0.25">
      <c r="N1224" s="23" t="s">
        <v>106</v>
      </c>
      <c r="O1224" s="30" t="s">
        <v>2174</v>
      </c>
      <c r="P1224" s="30" t="s">
        <v>2176</v>
      </c>
      <c r="Q1224" s="84" t="s">
        <v>2463</v>
      </c>
      <c r="S1224" t="b">
        <v>0</v>
      </c>
    </row>
    <row r="1225" spans="14:19" x14ac:dyDescent="0.25">
      <c r="N1225" s="23" t="s">
        <v>106</v>
      </c>
      <c r="O1225" s="30" t="s">
        <v>2174</v>
      </c>
      <c r="P1225" s="30" t="s">
        <v>2177</v>
      </c>
      <c r="Q1225" s="84" t="s">
        <v>2463</v>
      </c>
      <c r="S1225" t="b">
        <v>0</v>
      </c>
    </row>
    <row r="1226" spans="14:19" x14ac:dyDescent="0.25">
      <c r="N1226" s="23" t="s">
        <v>106</v>
      </c>
      <c r="O1226" s="30" t="s">
        <v>2174</v>
      </c>
      <c r="P1226" s="30" t="s">
        <v>2178</v>
      </c>
      <c r="Q1226" s="84" t="s">
        <v>2463</v>
      </c>
      <c r="S1226" t="b">
        <v>0</v>
      </c>
    </row>
    <row r="1227" spans="14:19" x14ac:dyDescent="0.25">
      <c r="N1227" s="23" t="s">
        <v>106</v>
      </c>
      <c r="O1227" s="30" t="s">
        <v>2174</v>
      </c>
      <c r="P1227" s="30" t="s">
        <v>2179</v>
      </c>
      <c r="Q1227" s="84" t="s">
        <v>2463</v>
      </c>
      <c r="S1227" t="b">
        <v>0</v>
      </c>
    </row>
    <row r="1228" spans="14:19" x14ac:dyDescent="0.25">
      <c r="N1228" s="23" t="s">
        <v>106</v>
      </c>
      <c r="O1228" s="30" t="s">
        <v>2174</v>
      </c>
      <c r="P1228" s="30" t="s">
        <v>2180</v>
      </c>
      <c r="Q1228" s="84" t="s">
        <v>2463</v>
      </c>
      <c r="S1228" t="b">
        <v>0</v>
      </c>
    </row>
    <row r="1229" spans="14:19" x14ac:dyDescent="0.25">
      <c r="N1229" s="23" t="s">
        <v>106</v>
      </c>
      <c r="O1229" s="30" t="s">
        <v>2174</v>
      </c>
      <c r="P1229" s="30" t="s">
        <v>2181</v>
      </c>
      <c r="Q1229" s="84" t="s">
        <v>2463</v>
      </c>
      <c r="S1229" t="b">
        <v>0</v>
      </c>
    </row>
    <row r="1230" spans="14:19" x14ac:dyDescent="0.25">
      <c r="N1230" s="23" t="s">
        <v>106</v>
      </c>
      <c r="O1230" s="30" t="s">
        <v>2174</v>
      </c>
      <c r="P1230" s="30" t="s">
        <v>2182</v>
      </c>
      <c r="Q1230" s="84" t="s">
        <v>2463</v>
      </c>
      <c r="S1230" t="b">
        <v>0</v>
      </c>
    </row>
    <row r="1231" spans="14:19" x14ac:dyDescent="0.25">
      <c r="N1231" s="23" t="s">
        <v>106</v>
      </c>
      <c r="O1231" s="30" t="s">
        <v>2174</v>
      </c>
      <c r="P1231" s="30" t="s">
        <v>2183</v>
      </c>
      <c r="Q1231" s="84" t="s">
        <v>2462</v>
      </c>
      <c r="S1231" t="b">
        <v>0</v>
      </c>
    </row>
    <row r="1232" spans="14:19" x14ac:dyDescent="0.25">
      <c r="N1232" s="23" t="s">
        <v>106</v>
      </c>
      <c r="O1232" s="30" t="s">
        <v>2174</v>
      </c>
      <c r="P1232" s="30" t="s">
        <v>2184</v>
      </c>
      <c r="Q1232" s="84" t="s">
        <v>2462</v>
      </c>
      <c r="S1232" t="b">
        <v>0</v>
      </c>
    </row>
    <row r="1233" spans="14:19" x14ac:dyDescent="0.25">
      <c r="N1233" s="23" t="s">
        <v>106</v>
      </c>
      <c r="O1233" s="30" t="s">
        <v>2174</v>
      </c>
      <c r="P1233" s="30" t="s">
        <v>2185</v>
      </c>
      <c r="Q1233" s="84" t="s">
        <v>2462</v>
      </c>
      <c r="S1233" t="b">
        <v>0</v>
      </c>
    </row>
    <row r="1234" spans="14:19" x14ac:dyDescent="0.25">
      <c r="N1234" s="23" t="s">
        <v>106</v>
      </c>
      <c r="O1234" s="30" t="s">
        <v>2174</v>
      </c>
      <c r="P1234" s="30" t="s">
        <v>2186</v>
      </c>
      <c r="Q1234" s="84" t="s">
        <v>2462</v>
      </c>
      <c r="S1234" t="b">
        <v>0</v>
      </c>
    </row>
    <row r="1235" spans="14:19" x14ac:dyDescent="0.25">
      <c r="N1235" s="23" t="s">
        <v>106</v>
      </c>
      <c r="O1235" s="30" t="s">
        <v>2174</v>
      </c>
      <c r="P1235" s="30" t="s">
        <v>2187</v>
      </c>
      <c r="Q1235" s="84" t="s">
        <v>2462</v>
      </c>
      <c r="S1235" t="b">
        <v>0</v>
      </c>
    </row>
    <row r="1236" spans="14:19" x14ac:dyDescent="0.25">
      <c r="N1236" s="23" t="s">
        <v>106</v>
      </c>
      <c r="O1236" s="30" t="s">
        <v>2174</v>
      </c>
      <c r="P1236" s="30" t="s">
        <v>2188</v>
      </c>
      <c r="Q1236" s="84" t="s">
        <v>2462</v>
      </c>
      <c r="S1236" t="b">
        <v>0</v>
      </c>
    </row>
    <row r="1237" spans="14:19" x14ac:dyDescent="0.25">
      <c r="N1237" s="23" t="s">
        <v>106</v>
      </c>
      <c r="O1237" s="30" t="s">
        <v>2174</v>
      </c>
      <c r="P1237" s="30" t="s">
        <v>2189</v>
      </c>
      <c r="Q1237" s="84" t="s">
        <v>2462</v>
      </c>
      <c r="S1237" t="b">
        <v>0</v>
      </c>
    </row>
    <row r="1238" spans="14:19" x14ac:dyDescent="0.25">
      <c r="N1238" s="23" t="s">
        <v>106</v>
      </c>
      <c r="O1238" s="30" t="s">
        <v>2174</v>
      </c>
      <c r="P1238" s="30" t="s">
        <v>2190</v>
      </c>
      <c r="Q1238" s="84" t="s">
        <v>2462</v>
      </c>
      <c r="S1238" t="b">
        <v>0</v>
      </c>
    </row>
    <row r="1239" spans="14:19" x14ac:dyDescent="0.25">
      <c r="N1239" s="23" t="s">
        <v>106</v>
      </c>
      <c r="O1239" s="30" t="s">
        <v>2174</v>
      </c>
      <c r="P1239" s="30" t="s">
        <v>2191</v>
      </c>
      <c r="Q1239" s="84" t="s">
        <v>2462</v>
      </c>
      <c r="S1239" t="b">
        <v>0</v>
      </c>
    </row>
    <row r="1240" spans="14:19" x14ac:dyDescent="0.25">
      <c r="N1240" s="23" t="s">
        <v>106</v>
      </c>
      <c r="O1240" s="30" t="s">
        <v>2174</v>
      </c>
      <c r="P1240" s="30" t="s">
        <v>2192</v>
      </c>
      <c r="Q1240" s="84" t="s">
        <v>2462</v>
      </c>
      <c r="S1240" t="b">
        <v>0</v>
      </c>
    </row>
    <row r="1241" spans="14:19" x14ac:dyDescent="0.25">
      <c r="N1241" s="23" t="s">
        <v>106</v>
      </c>
      <c r="O1241" s="30" t="s">
        <v>2193</v>
      </c>
      <c r="P1241" s="30" t="s">
        <v>2194</v>
      </c>
      <c r="Q1241" s="84" t="s">
        <v>2463</v>
      </c>
      <c r="S1241" t="b">
        <v>0</v>
      </c>
    </row>
    <row r="1242" spans="14:19" x14ac:dyDescent="0.25">
      <c r="N1242" s="23" t="s">
        <v>106</v>
      </c>
      <c r="O1242" s="30" t="s">
        <v>2193</v>
      </c>
      <c r="P1242" s="30" t="s">
        <v>2195</v>
      </c>
      <c r="Q1242" s="84" t="s">
        <v>2463</v>
      </c>
      <c r="S1242" t="b">
        <v>0</v>
      </c>
    </row>
    <row r="1243" spans="14:19" x14ac:dyDescent="0.25">
      <c r="N1243" s="23" t="s">
        <v>106</v>
      </c>
      <c r="O1243" s="30" t="s">
        <v>2193</v>
      </c>
      <c r="P1243" s="30" t="s">
        <v>2196</v>
      </c>
      <c r="Q1243" s="84" t="s">
        <v>2463</v>
      </c>
      <c r="S1243" t="b">
        <v>0</v>
      </c>
    </row>
    <row r="1244" spans="14:19" x14ac:dyDescent="0.25">
      <c r="N1244" s="23" t="s">
        <v>106</v>
      </c>
      <c r="O1244" s="30" t="s">
        <v>2193</v>
      </c>
      <c r="P1244" s="30" t="s">
        <v>2197</v>
      </c>
      <c r="Q1244" s="84" t="s">
        <v>2463</v>
      </c>
      <c r="S1244" t="b">
        <v>0</v>
      </c>
    </row>
    <row r="1245" spans="14:19" x14ac:dyDescent="0.25">
      <c r="N1245" s="23" t="s">
        <v>106</v>
      </c>
      <c r="O1245" s="30" t="s">
        <v>2193</v>
      </c>
      <c r="P1245" s="30" t="s">
        <v>2198</v>
      </c>
      <c r="Q1245" s="84" t="s">
        <v>2463</v>
      </c>
      <c r="S1245" t="b">
        <v>0</v>
      </c>
    </row>
    <row r="1246" spans="14:19" x14ac:dyDescent="0.25">
      <c r="N1246" s="23" t="s">
        <v>106</v>
      </c>
      <c r="O1246" s="30" t="s">
        <v>2193</v>
      </c>
      <c r="P1246" s="30" t="s">
        <v>2199</v>
      </c>
      <c r="Q1246" s="84" t="s">
        <v>2463</v>
      </c>
      <c r="S1246" t="b">
        <v>0</v>
      </c>
    </row>
    <row r="1247" spans="14:19" x14ac:dyDescent="0.25">
      <c r="N1247" s="23" t="s">
        <v>106</v>
      </c>
      <c r="O1247" s="30" t="s">
        <v>2193</v>
      </c>
      <c r="P1247" s="30" t="s">
        <v>2200</v>
      </c>
      <c r="Q1247" s="84" t="s">
        <v>2463</v>
      </c>
      <c r="S1247" t="b">
        <v>0</v>
      </c>
    </row>
    <row r="1248" spans="14:19" x14ac:dyDescent="0.25">
      <c r="N1248" s="23" t="s">
        <v>106</v>
      </c>
      <c r="O1248" s="30" t="s">
        <v>2193</v>
      </c>
      <c r="P1248" s="30" t="s">
        <v>2201</v>
      </c>
      <c r="Q1248" s="84" t="s">
        <v>2463</v>
      </c>
      <c r="S1248" t="b">
        <v>0</v>
      </c>
    </row>
    <row r="1249" spans="14:19" x14ac:dyDescent="0.25">
      <c r="N1249" s="23" t="s">
        <v>106</v>
      </c>
      <c r="O1249" s="30" t="s">
        <v>2193</v>
      </c>
      <c r="P1249" s="30" t="s">
        <v>2202</v>
      </c>
      <c r="Q1249" s="84" t="s">
        <v>2463</v>
      </c>
      <c r="S1249" t="b">
        <v>0</v>
      </c>
    </row>
    <row r="1250" spans="14:19" x14ac:dyDescent="0.25">
      <c r="N1250" s="23" t="s">
        <v>106</v>
      </c>
      <c r="O1250" s="30" t="s">
        <v>2193</v>
      </c>
      <c r="P1250" s="30" t="s">
        <v>2203</v>
      </c>
      <c r="Q1250" s="84" t="s">
        <v>2463</v>
      </c>
      <c r="S1250" t="b">
        <v>0</v>
      </c>
    </row>
    <row r="1251" spans="14:19" x14ac:dyDescent="0.25">
      <c r="N1251" s="23" t="s">
        <v>106</v>
      </c>
      <c r="O1251" s="30" t="s">
        <v>2193</v>
      </c>
      <c r="P1251" s="30" t="s">
        <v>2204</v>
      </c>
      <c r="Q1251" s="84" t="s">
        <v>2463</v>
      </c>
      <c r="S1251" t="b">
        <v>0</v>
      </c>
    </row>
    <row r="1252" spans="14:19" x14ac:dyDescent="0.25">
      <c r="N1252" s="23" t="s">
        <v>106</v>
      </c>
      <c r="O1252" s="30" t="s">
        <v>2193</v>
      </c>
      <c r="P1252" s="30" t="s">
        <v>2205</v>
      </c>
      <c r="Q1252" s="84" t="s">
        <v>2463</v>
      </c>
      <c r="S1252" t="b">
        <v>0</v>
      </c>
    </row>
    <row r="1253" spans="14:19" x14ac:dyDescent="0.25">
      <c r="N1253" s="23" t="s">
        <v>106</v>
      </c>
      <c r="O1253" s="30" t="s">
        <v>2193</v>
      </c>
      <c r="P1253" s="30" t="s">
        <v>2206</v>
      </c>
      <c r="Q1253" s="84" t="s">
        <v>2463</v>
      </c>
      <c r="S1253" t="b">
        <v>0</v>
      </c>
    </row>
    <row r="1254" spans="14:19" x14ac:dyDescent="0.25">
      <c r="N1254" s="23" t="s">
        <v>106</v>
      </c>
      <c r="O1254" s="30" t="s">
        <v>2193</v>
      </c>
      <c r="P1254" s="30" t="s">
        <v>2207</v>
      </c>
      <c r="Q1254" s="84" t="s">
        <v>2463</v>
      </c>
      <c r="S1254" t="b">
        <v>0</v>
      </c>
    </row>
    <row r="1255" spans="14:19" x14ac:dyDescent="0.25">
      <c r="N1255" s="23" t="s">
        <v>106</v>
      </c>
      <c r="O1255" s="30" t="s">
        <v>2193</v>
      </c>
      <c r="P1255" s="30" t="s">
        <v>2208</v>
      </c>
      <c r="Q1255" s="84" t="s">
        <v>2463</v>
      </c>
      <c r="S1255" t="b">
        <v>0</v>
      </c>
    </row>
    <row r="1256" spans="14:19" x14ac:dyDescent="0.25">
      <c r="N1256" s="23" t="s">
        <v>106</v>
      </c>
      <c r="O1256" s="30" t="s">
        <v>2193</v>
      </c>
      <c r="P1256" s="30" t="s">
        <v>2209</v>
      </c>
      <c r="Q1256" s="84" t="s">
        <v>2463</v>
      </c>
      <c r="S1256" t="b">
        <v>0</v>
      </c>
    </row>
    <row r="1257" spans="14:19" x14ac:dyDescent="0.25">
      <c r="N1257" s="23" t="s">
        <v>106</v>
      </c>
      <c r="O1257" s="30" t="s">
        <v>2193</v>
      </c>
      <c r="P1257" s="30" t="s">
        <v>2210</v>
      </c>
      <c r="Q1257" s="84" t="s">
        <v>2463</v>
      </c>
      <c r="S1257" t="b">
        <v>0</v>
      </c>
    </row>
    <row r="1258" spans="14:19" x14ac:dyDescent="0.25">
      <c r="N1258" s="23" t="s">
        <v>106</v>
      </c>
      <c r="O1258" s="30" t="s">
        <v>2193</v>
      </c>
      <c r="P1258" s="30" t="s">
        <v>2211</v>
      </c>
      <c r="Q1258" s="84" t="s">
        <v>2463</v>
      </c>
      <c r="S1258" t="b">
        <v>0</v>
      </c>
    </row>
    <row r="1259" spans="14:19" x14ac:dyDescent="0.25">
      <c r="N1259" s="23" t="s">
        <v>106</v>
      </c>
      <c r="O1259" s="30" t="s">
        <v>2193</v>
      </c>
      <c r="P1259" s="30" t="s">
        <v>2212</v>
      </c>
      <c r="Q1259" s="84" t="s">
        <v>2463</v>
      </c>
      <c r="S1259" t="b">
        <v>0</v>
      </c>
    </row>
    <row r="1260" spans="14:19" x14ac:dyDescent="0.25">
      <c r="N1260" s="23" t="s">
        <v>106</v>
      </c>
      <c r="O1260" s="30" t="s">
        <v>2193</v>
      </c>
      <c r="P1260" s="30" t="s">
        <v>2213</v>
      </c>
      <c r="Q1260" s="84" t="s">
        <v>2463</v>
      </c>
      <c r="S1260" t="b">
        <v>0</v>
      </c>
    </row>
    <row r="1261" spans="14:19" x14ac:dyDescent="0.25">
      <c r="N1261" s="23" t="s">
        <v>106</v>
      </c>
      <c r="O1261" s="30" t="s">
        <v>2193</v>
      </c>
      <c r="P1261" s="30" t="s">
        <v>2214</v>
      </c>
      <c r="Q1261" s="84" t="s">
        <v>2463</v>
      </c>
      <c r="S1261" t="b">
        <v>0</v>
      </c>
    </row>
    <row r="1262" spans="14:19" x14ac:dyDescent="0.25">
      <c r="N1262" s="23" t="s">
        <v>106</v>
      </c>
      <c r="O1262" s="30" t="s">
        <v>2193</v>
      </c>
      <c r="P1262" s="30" t="s">
        <v>2215</v>
      </c>
      <c r="Q1262" s="84" t="s">
        <v>2463</v>
      </c>
      <c r="S1262" t="b">
        <v>0</v>
      </c>
    </row>
    <row r="1263" spans="14:19" x14ac:dyDescent="0.25">
      <c r="N1263" s="23" t="s">
        <v>106</v>
      </c>
      <c r="O1263" s="30" t="s">
        <v>2193</v>
      </c>
      <c r="P1263" s="30" t="s">
        <v>2216</v>
      </c>
      <c r="Q1263" s="84" t="s">
        <v>2462</v>
      </c>
      <c r="S1263" t="b">
        <v>0</v>
      </c>
    </row>
    <row r="1264" spans="14:19" x14ac:dyDescent="0.25">
      <c r="N1264" s="23" t="s">
        <v>106</v>
      </c>
      <c r="O1264" s="30" t="s">
        <v>2193</v>
      </c>
      <c r="P1264" s="30" t="s">
        <v>2217</v>
      </c>
      <c r="Q1264" s="84" t="s">
        <v>2462</v>
      </c>
      <c r="S1264" t="b">
        <v>0</v>
      </c>
    </row>
    <row r="1265" spans="14:19" x14ac:dyDescent="0.25">
      <c r="N1265" s="23" t="s">
        <v>106</v>
      </c>
      <c r="O1265" s="30" t="s">
        <v>2193</v>
      </c>
      <c r="P1265" s="30" t="s">
        <v>2218</v>
      </c>
      <c r="Q1265" s="84" t="s">
        <v>2462</v>
      </c>
      <c r="S1265" t="b">
        <v>0</v>
      </c>
    </row>
    <row r="1266" spans="14:19" x14ac:dyDescent="0.25">
      <c r="N1266" s="23" t="s">
        <v>106</v>
      </c>
      <c r="O1266" s="30" t="s">
        <v>2193</v>
      </c>
      <c r="P1266" s="30" t="s">
        <v>2219</v>
      </c>
      <c r="Q1266" s="84" t="s">
        <v>2462</v>
      </c>
      <c r="S1266" t="b">
        <v>0</v>
      </c>
    </row>
    <row r="1267" spans="14:19" x14ac:dyDescent="0.25">
      <c r="N1267" s="23" t="s">
        <v>106</v>
      </c>
      <c r="O1267" s="30" t="s">
        <v>2193</v>
      </c>
      <c r="P1267" s="30" t="s">
        <v>2220</v>
      </c>
      <c r="Q1267" s="84" t="s">
        <v>2462</v>
      </c>
      <c r="S1267" t="b">
        <v>0</v>
      </c>
    </row>
    <row r="1268" spans="14:19" x14ac:dyDescent="0.25">
      <c r="N1268" s="23" t="s">
        <v>106</v>
      </c>
      <c r="O1268" s="30" t="s">
        <v>2193</v>
      </c>
      <c r="P1268" s="30" t="s">
        <v>2221</v>
      </c>
      <c r="Q1268" s="84" t="s">
        <v>2462</v>
      </c>
      <c r="S1268" t="b">
        <v>0</v>
      </c>
    </row>
    <row r="1269" spans="14:19" x14ac:dyDescent="0.25">
      <c r="N1269" s="23" t="s">
        <v>106</v>
      </c>
      <c r="O1269" s="30" t="s">
        <v>2193</v>
      </c>
      <c r="P1269" s="30" t="s">
        <v>2222</v>
      </c>
      <c r="Q1269" s="84" t="s">
        <v>2462</v>
      </c>
      <c r="S1269" t="b">
        <v>0</v>
      </c>
    </row>
    <row r="1270" spans="14:19" x14ac:dyDescent="0.25">
      <c r="N1270" s="23" t="s">
        <v>106</v>
      </c>
      <c r="O1270" s="30" t="s">
        <v>2193</v>
      </c>
      <c r="P1270" s="30" t="s">
        <v>2223</v>
      </c>
      <c r="Q1270" s="84" t="s">
        <v>2462</v>
      </c>
      <c r="S1270" t="b">
        <v>0</v>
      </c>
    </row>
    <row r="1271" spans="14:19" x14ac:dyDescent="0.25">
      <c r="N1271" s="23" t="s">
        <v>106</v>
      </c>
      <c r="O1271" s="30" t="s">
        <v>2193</v>
      </c>
      <c r="P1271" s="30" t="s">
        <v>2224</v>
      </c>
      <c r="Q1271" s="84" t="s">
        <v>2462</v>
      </c>
      <c r="S1271" t="b">
        <v>0</v>
      </c>
    </row>
    <row r="1272" spans="14:19" x14ac:dyDescent="0.25">
      <c r="N1272" s="23" t="s">
        <v>106</v>
      </c>
      <c r="O1272" s="30" t="s">
        <v>2193</v>
      </c>
      <c r="P1272" s="30" t="s">
        <v>2225</v>
      </c>
      <c r="Q1272" s="84" t="s">
        <v>2462</v>
      </c>
      <c r="S1272" t="b">
        <v>0</v>
      </c>
    </row>
    <row r="1273" spans="14:19" x14ac:dyDescent="0.25">
      <c r="N1273" s="23" t="s">
        <v>106</v>
      </c>
      <c r="O1273" s="30" t="s">
        <v>2193</v>
      </c>
      <c r="P1273" s="30" t="s">
        <v>2226</v>
      </c>
      <c r="Q1273" s="84" t="s">
        <v>2462</v>
      </c>
      <c r="S1273" t="b">
        <v>0</v>
      </c>
    </row>
    <row r="1274" spans="14:19" x14ac:dyDescent="0.25">
      <c r="N1274" s="23" t="s">
        <v>106</v>
      </c>
      <c r="O1274" s="30" t="s">
        <v>2193</v>
      </c>
      <c r="P1274" s="30" t="s">
        <v>2227</v>
      </c>
      <c r="Q1274" s="84" t="s">
        <v>2462</v>
      </c>
      <c r="S1274" t="b">
        <v>0</v>
      </c>
    </row>
    <row r="1275" spans="14:19" x14ac:dyDescent="0.25">
      <c r="N1275" s="23" t="s">
        <v>106</v>
      </c>
      <c r="O1275" s="30" t="s">
        <v>2193</v>
      </c>
      <c r="P1275" s="30" t="s">
        <v>2228</v>
      </c>
      <c r="Q1275" s="84" t="s">
        <v>2462</v>
      </c>
      <c r="S1275" t="b">
        <v>0</v>
      </c>
    </row>
    <row r="1276" spans="14:19" x14ac:dyDescent="0.25">
      <c r="N1276" s="23" t="s">
        <v>106</v>
      </c>
      <c r="O1276" s="30" t="s">
        <v>2193</v>
      </c>
      <c r="P1276" s="30" t="s">
        <v>2229</v>
      </c>
      <c r="Q1276" s="84" t="s">
        <v>2462</v>
      </c>
      <c r="S1276" t="b">
        <v>0</v>
      </c>
    </row>
    <row r="1277" spans="14:19" x14ac:dyDescent="0.25">
      <c r="N1277" s="23" t="s">
        <v>106</v>
      </c>
      <c r="O1277" s="30" t="s">
        <v>2193</v>
      </c>
      <c r="P1277" s="30" t="s">
        <v>2230</v>
      </c>
      <c r="Q1277" s="84" t="s">
        <v>2462</v>
      </c>
      <c r="S1277" t="b">
        <v>0</v>
      </c>
    </row>
    <row r="1278" spans="14:19" x14ac:dyDescent="0.25">
      <c r="N1278" s="23" t="s">
        <v>106</v>
      </c>
      <c r="O1278" s="30" t="s">
        <v>2193</v>
      </c>
      <c r="P1278" s="30" t="s">
        <v>2231</v>
      </c>
      <c r="Q1278" s="84" t="s">
        <v>2462</v>
      </c>
      <c r="S1278" t="b">
        <v>0</v>
      </c>
    </row>
    <row r="1279" spans="14:19" x14ac:dyDescent="0.25">
      <c r="N1279" s="23" t="s">
        <v>106</v>
      </c>
      <c r="O1279" s="30" t="s">
        <v>2193</v>
      </c>
      <c r="P1279" s="30" t="s">
        <v>2232</v>
      </c>
      <c r="Q1279" s="84" t="s">
        <v>2462</v>
      </c>
      <c r="S1279" t="b">
        <v>0</v>
      </c>
    </row>
    <row r="1280" spans="14:19" x14ac:dyDescent="0.25">
      <c r="N1280" s="23" t="s">
        <v>107</v>
      </c>
      <c r="O1280" s="30" t="s">
        <v>1255</v>
      </c>
      <c r="P1280" s="30" t="s">
        <v>1256</v>
      </c>
      <c r="Q1280" s="84" t="s">
        <v>2463</v>
      </c>
      <c r="S1280" t="b">
        <v>0</v>
      </c>
    </row>
    <row r="1281" spans="14:19" x14ac:dyDescent="0.25">
      <c r="N1281" s="23" t="s">
        <v>107</v>
      </c>
      <c r="O1281" s="30" t="s">
        <v>1255</v>
      </c>
      <c r="P1281" s="30" t="s">
        <v>1257</v>
      </c>
      <c r="Q1281" s="84" t="s">
        <v>2463</v>
      </c>
      <c r="S1281" t="b">
        <v>0</v>
      </c>
    </row>
    <row r="1282" spans="14:19" x14ac:dyDescent="0.25">
      <c r="N1282" s="23" t="s">
        <v>107</v>
      </c>
      <c r="O1282" s="30" t="s">
        <v>1255</v>
      </c>
      <c r="P1282" s="30" t="s">
        <v>1258</v>
      </c>
      <c r="Q1282" s="84" t="s">
        <v>2463</v>
      </c>
      <c r="S1282" t="b">
        <v>0</v>
      </c>
    </row>
    <row r="1283" spans="14:19" x14ac:dyDescent="0.25">
      <c r="N1283" s="23" t="s">
        <v>107</v>
      </c>
      <c r="O1283" s="30" t="s">
        <v>1255</v>
      </c>
      <c r="P1283" s="30" t="s">
        <v>1259</v>
      </c>
      <c r="Q1283" s="84" t="s">
        <v>2463</v>
      </c>
      <c r="S1283" t="b">
        <v>0</v>
      </c>
    </row>
    <row r="1284" spans="14:19" x14ac:dyDescent="0.25">
      <c r="N1284" s="23" t="s">
        <v>107</v>
      </c>
      <c r="O1284" s="30" t="s">
        <v>1255</v>
      </c>
      <c r="P1284" s="30" t="s">
        <v>1260</v>
      </c>
      <c r="Q1284" s="84" t="s">
        <v>2463</v>
      </c>
      <c r="S1284" t="b">
        <v>0</v>
      </c>
    </row>
    <row r="1285" spans="14:19" x14ac:dyDescent="0.25">
      <c r="N1285" s="23" t="s">
        <v>107</v>
      </c>
      <c r="O1285" s="30" t="s">
        <v>1261</v>
      </c>
      <c r="P1285" s="30" t="s">
        <v>1262</v>
      </c>
      <c r="Q1285" s="84" t="s">
        <v>2463</v>
      </c>
      <c r="S1285" t="b">
        <v>0</v>
      </c>
    </row>
    <row r="1286" spans="14:19" x14ac:dyDescent="0.25">
      <c r="N1286" s="23" t="s">
        <v>107</v>
      </c>
      <c r="O1286" s="30" t="s">
        <v>1261</v>
      </c>
      <c r="P1286" s="30" t="s">
        <v>1263</v>
      </c>
      <c r="Q1286" s="84" t="s">
        <v>2463</v>
      </c>
      <c r="S1286" t="b">
        <v>0</v>
      </c>
    </row>
    <row r="1287" spans="14:19" x14ac:dyDescent="0.25">
      <c r="N1287" s="23" t="s">
        <v>107</v>
      </c>
      <c r="O1287" s="30" t="s">
        <v>1261</v>
      </c>
      <c r="P1287" s="30" t="s">
        <v>1264</v>
      </c>
      <c r="Q1287" s="84" t="s">
        <v>2463</v>
      </c>
      <c r="S1287" t="b">
        <v>0</v>
      </c>
    </row>
    <row r="1288" spans="14:19" x14ac:dyDescent="0.25">
      <c r="N1288" s="23" t="s">
        <v>107</v>
      </c>
      <c r="O1288" s="30" t="s">
        <v>1265</v>
      </c>
      <c r="P1288" s="30" t="s">
        <v>1266</v>
      </c>
      <c r="Q1288" s="84" t="s">
        <v>2463</v>
      </c>
      <c r="S1288" t="b">
        <v>0</v>
      </c>
    </row>
    <row r="1289" spans="14:19" x14ac:dyDescent="0.25">
      <c r="N1289" s="23" t="s">
        <v>107</v>
      </c>
      <c r="O1289" s="30" t="s">
        <v>1265</v>
      </c>
      <c r="P1289" s="30" t="s">
        <v>1267</v>
      </c>
      <c r="Q1289" s="84" t="s">
        <v>2463</v>
      </c>
      <c r="S1289" t="b">
        <v>0</v>
      </c>
    </row>
    <row r="1290" spans="14:19" x14ac:dyDescent="0.25">
      <c r="N1290" s="23" t="s">
        <v>107</v>
      </c>
      <c r="O1290" s="30" t="s">
        <v>1265</v>
      </c>
      <c r="P1290" s="30" t="s">
        <v>1268</v>
      </c>
      <c r="Q1290" s="84" t="s">
        <v>2463</v>
      </c>
      <c r="S1290" t="b">
        <v>0</v>
      </c>
    </row>
    <row r="1291" spans="14:19" x14ac:dyDescent="0.25">
      <c r="N1291" s="23" t="s">
        <v>107</v>
      </c>
      <c r="O1291" s="30" t="s">
        <v>1265</v>
      </c>
      <c r="P1291" s="30" t="s">
        <v>1269</v>
      </c>
      <c r="Q1291" s="84" t="s">
        <v>2463</v>
      </c>
      <c r="S1291" t="b">
        <v>0</v>
      </c>
    </row>
    <row r="1292" spans="14:19" x14ac:dyDescent="0.25">
      <c r="N1292" s="23" t="s">
        <v>107</v>
      </c>
      <c r="O1292" s="30" t="s">
        <v>1265</v>
      </c>
      <c r="P1292" s="30" t="s">
        <v>1270</v>
      </c>
      <c r="Q1292" s="84" t="s">
        <v>2463</v>
      </c>
      <c r="S1292" t="b">
        <v>0</v>
      </c>
    </row>
    <row r="1293" spans="14:19" x14ac:dyDescent="0.25">
      <c r="N1293" s="23" t="s">
        <v>107</v>
      </c>
      <c r="O1293" s="30" t="s">
        <v>1265</v>
      </c>
      <c r="P1293" s="30" t="s">
        <v>1271</v>
      </c>
      <c r="Q1293" s="84" t="s">
        <v>2463</v>
      </c>
      <c r="S1293" t="b">
        <v>0</v>
      </c>
    </row>
    <row r="1294" spans="14:19" x14ac:dyDescent="0.25">
      <c r="N1294" s="23" t="s">
        <v>107</v>
      </c>
      <c r="O1294" s="30" t="s">
        <v>1265</v>
      </c>
      <c r="P1294" s="30" t="s">
        <v>1272</v>
      </c>
      <c r="Q1294" s="84" t="s">
        <v>2463</v>
      </c>
      <c r="S1294" t="b">
        <v>0</v>
      </c>
    </row>
    <row r="1295" spans="14:19" x14ac:dyDescent="0.25">
      <c r="N1295" s="23" t="s">
        <v>107</v>
      </c>
      <c r="O1295" s="30" t="s">
        <v>1265</v>
      </c>
      <c r="P1295" s="30" t="s">
        <v>1273</v>
      </c>
      <c r="Q1295" s="84" t="s">
        <v>2463</v>
      </c>
      <c r="S1295" t="b">
        <v>0</v>
      </c>
    </row>
    <row r="1296" spans="14:19" x14ac:dyDescent="0.25">
      <c r="N1296" s="23" t="s">
        <v>107</v>
      </c>
      <c r="O1296" s="30" t="s">
        <v>1265</v>
      </c>
      <c r="P1296" s="30" t="s">
        <v>1274</v>
      </c>
      <c r="Q1296" s="84" t="s">
        <v>2463</v>
      </c>
      <c r="S1296" t="b">
        <v>0</v>
      </c>
    </row>
    <row r="1297" spans="14:19" x14ac:dyDescent="0.25">
      <c r="N1297" s="23" t="s">
        <v>107</v>
      </c>
      <c r="O1297" s="30" t="s">
        <v>1265</v>
      </c>
      <c r="P1297" s="30" t="s">
        <v>1275</v>
      </c>
      <c r="Q1297" s="84" t="s">
        <v>2463</v>
      </c>
      <c r="S1297" t="b">
        <v>0</v>
      </c>
    </row>
    <row r="1298" spans="14:19" x14ac:dyDescent="0.25">
      <c r="N1298" s="23" t="s">
        <v>107</v>
      </c>
      <c r="O1298" s="30" t="s">
        <v>1265</v>
      </c>
      <c r="P1298" s="30" t="s">
        <v>1276</v>
      </c>
      <c r="Q1298" s="84" t="s">
        <v>2463</v>
      </c>
      <c r="S1298" t="b">
        <v>0</v>
      </c>
    </row>
    <row r="1299" spans="14:19" x14ac:dyDescent="0.25">
      <c r="N1299" s="23" t="s">
        <v>107</v>
      </c>
      <c r="O1299" s="30" t="s">
        <v>1265</v>
      </c>
      <c r="P1299" s="30" t="s">
        <v>1277</v>
      </c>
      <c r="Q1299" s="84" t="s">
        <v>2463</v>
      </c>
      <c r="S1299" t="b">
        <v>0</v>
      </c>
    </row>
    <row r="1300" spans="14:19" x14ac:dyDescent="0.25">
      <c r="N1300" s="23" t="s">
        <v>107</v>
      </c>
      <c r="O1300" s="30" t="s">
        <v>1265</v>
      </c>
      <c r="P1300" s="30" t="s">
        <v>1278</v>
      </c>
      <c r="Q1300" s="84" t="s">
        <v>2462</v>
      </c>
      <c r="S1300" t="b">
        <v>0</v>
      </c>
    </row>
    <row r="1301" spans="14:19" x14ac:dyDescent="0.25">
      <c r="N1301" s="23" t="s">
        <v>107</v>
      </c>
      <c r="O1301" s="30" t="s">
        <v>1265</v>
      </c>
      <c r="P1301" s="30" t="s">
        <v>1279</v>
      </c>
      <c r="Q1301" s="84" t="s">
        <v>2462</v>
      </c>
      <c r="S1301" t="b">
        <v>0</v>
      </c>
    </row>
    <row r="1302" spans="14:19" x14ac:dyDescent="0.25">
      <c r="N1302" s="23" t="s">
        <v>107</v>
      </c>
      <c r="O1302" s="30" t="s">
        <v>1265</v>
      </c>
      <c r="P1302" s="30" t="s">
        <v>1280</v>
      </c>
      <c r="Q1302" s="84" t="s">
        <v>2462</v>
      </c>
      <c r="S1302" t="b">
        <v>0</v>
      </c>
    </row>
    <row r="1303" spans="14:19" x14ac:dyDescent="0.25">
      <c r="N1303" s="23" t="s">
        <v>107</v>
      </c>
      <c r="O1303" s="30" t="s">
        <v>1265</v>
      </c>
      <c r="P1303" s="30" t="s">
        <v>1281</v>
      </c>
      <c r="Q1303" s="84" t="s">
        <v>2462</v>
      </c>
      <c r="S1303" t="b">
        <v>0</v>
      </c>
    </row>
    <row r="1304" spans="14:19" x14ac:dyDescent="0.25">
      <c r="N1304" s="23" t="s">
        <v>107</v>
      </c>
      <c r="O1304" s="30" t="s">
        <v>1265</v>
      </c>
      <c r="P1304" s="30" t="s">
        <v>1282</v>
      </c>
      <c r="Q1304" s="84" t="s">
        <v>2462</v>
      </c>
      <c r="S1304" t="b">
        <v>0</v>
      </c>
    </row>
    <row r="1305" spans="14:19" x14ac:dyDescent="0.25">
      <c r="N1305" s="23" t="s">
        <v>107</v>
      </c>
      <c r="O1305" s="30" t="s">
        <v>1283</v>
      </c>
      <c r="P1305" s="30" t="s">
        <v>1284</v>
      </c>
      <c r="Q1305" s="84" t="s">
        <v>2462</v>
      </c>
      <c r="S1305" t="b">
        <v>0</v>
      </c>
    </row>
    <row r="1306" spans="14:19" x14ac:dyDescent="0.25">
      <c r="N1306" s="23" t="s">
        <v>107</v>
      </c>
      <c r="O1306" s="30" t="s">
        <v>1283</v>
      </c>
      <c r="P1306" s="30" t="s">
        <v>1285</v>
      </c>
      <c r="Q1306" s="84" t="s">
        <v>2462</v>
      </c>
      <c r="S1306" t="b">
        <v>0</v>
      </c>
    </row>
    <row r="1307" spans="14:19" x14ac:dyDescent="0.25">
      <c r="N1307" s="23" t="s">
        <v>107</v>
      </c>
      <c r="O1307" s="30" t="s">
        <v>1283</v>
      </c>
      <c r="P1307" s="30" t="s">
        <v>1286</v>
      </c>
      <c r="Q1307" s="84" t="s">
        <v>2462</v>
      </c>
      <c r="S1307" t="b">
        <v>0</v>
      </c>
    </row>
    <row r="1308" spans="14:19" x14ac:dyDescent="0.25">
      <c r="N1308" s="23" t="s">
        <v>107</v>
      </c>
      <c r="O1308" s="30" t="s">
        <v>1283</v>
      </c>
      <c r="P1308" s="30" t="s">
        <v>1287</v>
      </c>
      <c r="Q1308" s="84" t="s">
        <v>2462</v>
      </c>
      <c r="S1308" t="b">
        <v>0</v>
      </c>
    </row>
    <row r="1309" spans="14:19" x14ac:dyDescent="0.25">
      <c r="N1309" s="23" t="s">
        <v>107</v>
      </c>
      <c r="O1309" s="30" t="s">
        <v>1283</v>
      </c>
      <c r="P1309" s="30" t="s">
        <v>1288</v>
      </c>
      <c r="Q1309" s="84" t="s">
        <v>2462</v>
      </c>
      <c r="S1309" t="b">
        <v>0</v>
      </c>
    </row>
    <row r="1310" spans="14:19" x14ac:dyDescent="0.25">
      <c r="N1310" s="23" t="s">
        <v>107</v>
      </c>
      <c r="O1310" s="30" t="s">
        <v>1283</v>
      </c>
      <c r="P1310" s="30" t="s">
        <v>1289</v>
      </c>
      <c r="Q1310" s="84" t="s">
        <v>2462</v>
      </c>
      <c r="S1310" t="b">
        <v>0</v>
      </c>
    </row>
    <row r="1311" spans="14:19" x14ac:dyDescent="0.25">
      <c r="N1311" s="23" t="s">
        <v>107</v>
      </c>
      <c r="O1311" s="30" t="s">
        <v>1283</v>
      </c>
      <c r="P1311" s="30" t="s">
        <v>1290</v>
      </c>
      <c r="Q1311" s="84" t="s">
        <v>2462</v>
      </c>
      <c r="S1311" t="b">
        <v>0</v>
      </c>
    </row>
    <row r="1312" spans="14:19" x14ac:dyDescent="0.25">
      <c r="N1312" s="23" t="s">
        <v>107</v>
      </c>
      <c r="O1312" s="30" t="s">
        <v>1283</v>
      </c>
      <c r="P1312" s="30" t="s">
        <v>1291</v>
      </c>
      <c r="Q1312" s="84" t="s">
        <v>2462</v>
      </c>
      <c r="S1312" t="b">
        <v>0</v>
      </c>
    </row>
    <row r="1313" spans="14:19" x14ac:dyDescent="0.25">
      <c r="N1313" s="23" t="s">
        <v>107</v>
      </c>
      <c r="O1313" s="30" t="s">
        <v>1283</v>
      </c>
      <c r="P1313" s="30" t="s">
        <v>1292</v>
      </c>
      <c r="Q1313" s="84" t="s">
        <v>2462</v>
      </c>
      <c r="S1313" t="b">
        <v>0</v>
      </c>
    </row>
    <row r="1314" spans="14:19" x14ac:dyDescent="0.25">
      <c r="N1314" s="23" t="s">
        <v>107</v>
      </c>
      <c r="O1314" s="30" t="s">
        <v>1283</v>
      </c>
      <c r="P1314" s="30" t="s">
        <v>1293</v>
      </c>
      <c r="Q1314" s="84" t="s">
        <v>2462</v>
      </c>
      <c r="S1314" t="b">
        <v>0</v>
      </c>
    </row>
    <row r="1315" spans="14:19" x14ac:dyDescent="0.25">
      <c r="N1315" s="23" t="s">
        <v>107</v>
      </c>
      <c r="O1315" s="30" t="s">
        <v>1283</v>
      </c>
      <c r="P1315" s="30" t="s">
        <v>1294</v>
      </c>
      <c r="Q1315" s="84" t="s">
        <v>2462</v>
      </c>
      <c r="S1315" t="b">
        <v>0</v>
      </c>
    </row>
    <row r="1316" spans="14:19" x14ac:dyDescent="0.25">
      <c r="N1316" s="23" t="s">
        <v>107</v>
      </c>
      <c r="O1316" s="30" t="s">
        <v>1283</v>
      </c>
      <c r="P1316" s="30" t="s">
        <v>1295</v>
      </c>
      <c r="Q1316" s="84" t="s">
        <v>2462</v>
      </c>
      <c r="S1316" t="b">
        <v>0</v>
      </c>
    </row>
    <row r="1317" spans="14:19" x14ac:dyDescent="0.25">
      <c r="N1317" s="23" t="s">
        <v>107</v>
      </c>
      <c r="O1317" s="30" t="s">
        <v>1283</v>
      </c>
      <c r="P1317" s="30" t="s">
        <v>1296</v>
      </c>
      <c r="Q1317" s="84" t="s">
        <v>2462</v>
      </c>
      <c r="S1317" t="b">
        <v>0</v>
      </c>
    </row>
    <row r="1318" spans="14:19" x14ac:dyDescent="0.25">
      <c r="N1318" s="23" t="s">
        <v>107</v>
      </c>
      <c r="O1318" s="30" t="s">
        <v>1283</v>
      </c>
      <c r="P1318" s="30" t="s">
        <v>1297</v>
      </c>
      <c r="Q1318" s="84" t="s">
        <v>2462</v>
      </c>
      <c r="S1318" t="b">
        <v>0</v>
      </c>
    </row>
    <row r="1319" spans="14:19" x14ac:dyDescent="0.25">
      <c r="N1319" s="23" t="s">
        <v>107</v>
      </c>
      <c r="O1319" s="30" t="s">
        <v>1283</v>
      </c>
      <c r="P1319" s="30" t="s">
        <v>1298</v>
      </c>
      <c r="Q1319" s="84" t="s">
        <v>2462</v>
      </c>
      <c r="S1319" t="b">
        <v>0</v>
      </c>
    </row>
    <row r="1320" spans="14:19" x14ac:dyDescent="0.25">
      <c r="N1320" s="23" t="s">
        <v>107</v>
      </c>
      <c r="O1320" s="30" t="s">
        <v>1283</v>
      </c>
      <c r="P1320" s="30" t="s">
        <v>1299</v>
      </c>
      <c r="Q1320" s="84" t="s">
        <v>2462</v>
      </c>
      <c r="S1320" t="b">
        <v>0</v>
      </c>
    </row>
    <row r="1321" spans="14:19" x14ac:dyDescent="0.25">
      <c r="N1321" s="23" t="s">
        <v>107</v>
      </c>
      <c r="O1321" s="30" t="s">
        <v>1283</v>
      </c>
      <c r="P1321" s="30" t="s">
        <v>1300</v>
      </c>
      <c r="Q1321" s="84" t="s">
        <v>2462</v>
      </c>
      <c r="S1321" t="b">
        <v>0</v>
      </c>
    </row>
    <row r="1322" spans="14:19" x14ac:dyDescent="0.25">
      <c r="N1322" s="23" t="s">
        <v>107</v>
      </c>
      <c r="O1322" s="30" t="s">
        <v>1283</v>
      </c>
      <c r="P1322" s="30" t="s">
        <v>1301</v>
      </c>
      <c r="Q1322" s="84" t="s">
        <v>2462</v>
      </c>
      <c r="S1322" t="b">
        <v>0</v>
      </c>
    </row>
    <row r="1323" spans="14:19" x14ac:dyDescent="0.25">
      <c r="N1323" s="23" t="s">
        <v>107</v>
      </c>
      <c r="O1323" s="30" t="s">
        <v>1283</v>
      </c>
      <c r="P1323" s="30" t="s">
        <v>1302</v>
      </c>
      <c r="Q1323" s="84" t="s">
        <v>2462</v>
      </c>
      <c r="S1323" t="b">
        <v>0</v>
      </c>
    </row>
    <row r="1324" spans="14:19" x14ac:dyDescent="0.25">
      <c r="N1324" s="23" t="s">
        <v>107</v>
      </c>
      <c r="O1324" s="30" t="s">
        <v>1283</v>
      </c>
      <c r="P1324" s="30" t="s">
        <v>1303</v>
      </c>
      <c r="Q1324" s="84" t="s">
        <v>2462</v>
      </c>
      <c r="S1324" t="b">
        <v>0</v>
      </c>
    </row>
    <row r="1325" spans="14:19" x14ac:dyDescent="0.25">
      <c r="N1325" s="23" t="s">
        <v>107</v>
      </c>
      <c r="O1325" s="30" t="s">
        <v>1283</v>
      </c>
      <c r="P1325" s="30" t="s">
        <v>1304</v>
      </c>
      <c r="Q1325" s="84" t="s">
        <v>2462</v>
      </c>
      <c r="S1325" t="b">
        <v>0</v>
      </c>
    </row>
    <row r="1326" spans="14:19" x14ac:dyDescent="0.25">
      <c r="N1326" s="23" t="s">
        <v>107</v>
      </c>
      <c r="O1326" s="30" t="s">
        <v>1283</v>
      </c>
      <c r="P1326" s="30" t="s">
        <v>1305</v>
      </c>
      <c r="Q1326" s="84" t="s">
        <v>2462</v>
      </c>
      <c r="S1326" t="b">
        <v>0</v>
      </c>
    </row>
    <row r="1327" spans="14:19" x14ac:dyDescent="0.25">
      <c r="N1327" s="23" t="s">
        <v>107</v>
      </c>
      <c r="O1327" s="30" t="s">
        <v>1283</v>
      </c>
      <c r="P1327" s="30" t="s">
        <v>1306</v>
      </c>
      <c r="Q1327" s="84" t="s">
        <v>2462</v>
      </c>
      <c r="S1327" t="b">
        <v>0</v>
      </c>
    </row>
    <row r="1328" spans="14:19" x14ac:dyDescent="0.25">
      <c r="N1328" s="23" t="s">
        <v>107</v>
      </c>
      <c r="O1328" s="30" t="s">
        <v>1283</v>
      </c>
      <c r="P1328" s="30" t="s">
        <v>1307</v>
      </c>
      <c r="Q1328" s="84" t="s">
        <v>2462</v>
      </c>
      <c r="S1328" t="b">
        <v>0</v>
      </c>
    </row>
    <row r="1329" spans="14:19" x14ac:dyDescent="0.25">
      <c r="N1329" s="23" t="s">
        <v>107</v>
      </c>
      <c r="O1329" s="30" t="s">
        <v>1283</v>
      </c>
      <c r="P1329" s="30" t="s">
        <v>1308</v>
      </c>
      <c r="Q1329" s="84" t="s">
        <v>2462</v>
      </c>
      <c r="S1329" t="b">
        <v>0</v>
      </c>
    </row>
    <row r="1330" spans="14:19" x14ac:dyDescent="0.25">
      <c r="N1330" s="23" t="s">
        <v>107</v>
      </c>
      <c r="O1330" s="30" t="s">
        <v>1283</v>
      </c>
      <c r="P1330" s="30" t="s">
        <v>1309</v>
      </c>
      <c r="Q1330" s="84" t="s">
        <v>2462</v>
      </c>
      <c r="S1330" t="b">
        <v>0</v>
      </c>
    </row>
    <row r="1331" spans="14:19" x14ac:dyDescent="0.25">
      <c r="N1331" s="23" t="s">
        <v>107</v>
      </c>
      <c r="O1331" s="30" t="s">
        <v>1283</v>
      </c>
      <c r="P1331" s="30" t="s">
        <v>1310</v>
      </c>
      <c r="Q1331" s="84" t="s">
        <v>2462</v>
      </c>
      <c r="S1331" t="b">
        <v>0</v>
      </c>
    </row>
    <row r="1332" spans="14:19" x14ac:dyDescent="0.25">
      <c r="N1332" s="23" t="s">
        <v>107</v>
      </c>
      <c r="O1332" s="30" t="s">
        <v>1283</v>
      </c>
      <c r="P1332" s="30" t="s">
        <v>1311</v>
      </c>
      <c r="Q1332" s="84" t="s">
        <v>2462</v>
      </c>
      <c r="S1332" t="b">
        <v>0</v>
      </c>
    </row>
    <row r="1333" spans="14:19" x14ac:dyDescent="0.25">
      <c r="N1333" s="23" t="s">
        <v>107</v>
      </c>
      <c r="O1333" s="30" t="s">
        <v>1283</v>
      </c>
      <c r="P1333" s="30" t="s">
        <v>1312</v>
      </c>
      <c r="Q1333" s="84" t="s">
        <v>2462</v>
      </c>
      <c r="S1333" t="b">
        <v>0</v>
      </c>
    </row>
    <row r="1334" spans="14:19" x14ac:dyDescent="0.25">
      <c r="N1334" s="23" t="s">
        <v>107</v>
      </c>
      <c r="O1334" s="30" t="s">
        <v>1283</v>
      </c>
      <c r="P1334" s="30" t="s">
        <v>1313</v>
      </c>
      <c r="Q1334" s="84" t="s">
        <v>2462</v>
      </c>
      <c r="S1334" t="b">
        <v>0</v>
      </c>
    </row>
    <row r="1335" spans="14:19" x14ac:dyDescent="0.25">
      <c r="N1335" s="23" t="s">
        <v>107</v>
      </c>
      <c r="O1335" s="30" t="s">
        <v>1283</v>
      </c>
      <c r="P1335" s="30" t="s">
        <v>1314</v>
      </c>
      <c r="Q1335" s="84" t="s">
        <v>2462</v>
      </c>
      <c r="S1335" t="b">
        <v>0</v>
      </c>
    </row>
    <row r="1336" spans="14:19" x14ac:dyDescent="0.25">
      <c r="N1336" s="23" t="s">
        <v>107</v>
      </c>
      <c r="O1336" s="30" t="s">
        <v>1283</v>
      </c>
      <c r="P1336" s="30" t="s">
        <v>1315</v>
      </c>
      <c r="Q1336" s="84" t="s">
        <v>2462</v>
      </c>
      <c r="S1336" t="b">
        <v>0</v>
      </c>
    </row>
    <row r="1337" spans="14:19" x14ac:dyDescent="0.25">
      <c r="N1337" s="23" t="s">
        <v>107</v>
      </c>
      <c r="O1337" s="30" t="s">
        <v>1316</v>
      </c>
      <c r="P1337" s="30" t="s">
        <v>1317</v>
      </c>
      <c r="Q1337" s="84" t="s">
        <v>2463</v>
      </c>
      <c r="S1337" t="b">
        <v>0</v>
      </c>
    </row>
    <row r="1338" spans="14:19" x14ac:dyDescent="0.25">
      <c r="N1338" s="23" t="s">
        <v>107</v>
      </c>
      <c r="O1338" s="30" t="s">
        <v>1316</v>
      </c>
      <c r="P1338" s="30" t="s">
        <v>1318</v>
      </c>
      <c r="Q1338" s="84" t="s">
        <v>2463</v>
      </c>
      <c r="S1338" t="b">
        <v>0</v>
      </c>
    </row>
    <row r="1339" spans="14:19" x14ac:dyDescent="0.25">
      <c r="N1339" s="23" t="s">
        <v>107</v>
      </c>
      <c r="O1339" s="30" t="s">
        <v>1316</v>
      </c>
      <c r="P1339" s="30" t="s">
        <v>1319</v>
      </c>
      <c r="Q1339" s="84" t="s">
        <v>2463</v>
      </c>
      <c r="S1339" t="b">
        <v>0</v>
      </c>
    </row>
    <row r="1340" spans="14:19" x14ac:dyDescent="0.25">
      <c r="N1340" s="23" t="s">
        <v>107</v>
      </c>
      <c r="O1340" s="30" t="s">
        <v>1316</v>
      </c>
      <c r="P1340" s="30" t="s">
        <v>1320</v>
      </c>
      <c r="Q1340" s="84" t="s">
        <v>2463</v>
      </c>
      <c r="S1340" t="b">
        <v>0</v>
      </c>
    </row>
    <row r="1341" spans="14:19" x14ac:dyDescent="0.25">
      <c r="N1341" s="23" t="s">
        <v>107</v>
      </c>
      <c r="O1341" s="30" t="s">
        <v>1316</v>
      </c>
      <c r="P1341" s="30" t="s">
        <v>1321</v>
      </c>
      <c r="Q1341" s="84" t="s">
        <v>2463</v>
      </c>
      <c r="S1341" t="b">
        <v>0</v>
      </c>
    </row>
    <row r="1342" spans="14:19" x14ac:dyDescent="0.25">
      <c r="N1342" s="23" t="s">
        <v>107</v>
      </c>
      <c r="O1342" s="30" t="s">
        <v>1316</v>
      </c>
      <c r="P1342" s="30" t="s">
        <v>1322</v>
      </c>
      <c r="Q1342" s="84" t="s">
        <v>2463</v>
      </c>
      <c r="S1342" t="b">
        <v>0</v>
      </c>
    </row>
    <row r="1343" spans="14:19" x14ac:dyDescent="0.25">
      <c r="N1343" s="23" t="s">
        <v>107</v>
      </c>
      <c r="O1343" s="30" t="s">
        <v>1316</v>
      </c>
      <c r="P1343" s="30" t="s">
        <v>1323</v>
      </c>
      <c r="Q1343" s="84" t="s">
        <v>2463</v>
      </c>
      <c r="S1343" t="b">
        <v>0</v>
      </c>
    </row>
    <row r="1344" spans="14:19" x14ac:dyDescent="0.25">
      <c r="N1344" s="23" t="s">
        <v>107</v>
      </c>
      <c r="O1344" s="30" t="s">
        <v>1316</v>
      </c>
      <c r="P1344" s="30" t="s">
        <v>1324</v>
      </c>
      <c r="Q1344" s="84" t="s">
        <v>2463</v>
      </c>
      <c r="S1344" t="b">
        <v>0</v>
      </c>
    </row>
    <row r="1345" spans="14:19" x14ac:dyDescent="0.25">
      <c r="N1345" s="23" t="s">
        <v>107</v>
      </c>
      <c r="O1345" s="30" t="s">
        <v>1316</v>
      </c>
      <c r="P1345" s="30" t="s">
        <v>1325</v>
      </c>
      <c r="Q1345" s="84" t="s">
        <v>2463</v>
      </c>
      <c r="S1345" t="b">
        <v>0</v>
      </c>
    </row>
    <row r="1346" spans="14:19" x14ac:dyDescent="0.25">
      <c r="N1346" s="23" t="s">
        <v>107</v>
      </c>
      <c r="O1346" s="30" t="s">
        <v>1316</v>
      </c>
      <c r="P1346" s="30" t="s">
        <v>1326</v>
      </c>
      <c r="Q1346" s="84" t="s">
        <v>2462</v>
      </c>
      <c r="S1346" t="b">
        <v>0</v>
      </c>
    </row>
    <row r="1347" spans="14:19" x14ac:dyDescent="0.25">
      <c r="N1347" s="23" t="s">
        <v>107</v>
      </c>
      <c r="O1347" s="30" t="s">
        <v>1316</v>
      </c>
      <c r="P1347" s="30" t="s">
        <v>1327</v>
      </c>
      <c r="Q1347" s="84" t="s">
        <v>2462</v>
      </c>
      <c r="S1347" t="b">
        <v>0</v>
      </c>
    </row>
    <row r="1348" spans="14:19" x14ac:dyDescent="0.25">
      <c r="N1348" s="23" t="s">
        <v>107</v>
      </c>
      <c r="O1348" s="30" t="s">
        <v>1316</v>
      </c>
      <c r="P1348" s="30" t="s">
        <v>1328</v>
      </c>
      <c r="Q1348" s="84" t="s">
        <v>2462</v>
      </c>
      <c r="S1348" t="b">
        <v>0</v>
      </c>
    </row>
    <row r="1349" spans="14:19" x14ac:dyDescent="0.25">
      <c r="N1349" s="23" t="s">
        <v>107</v>
      </c>
      <c r="O1349" s="30" t="s">
        <v>1316</v>
      </c>
      <c r="P1349" s="30" t="s">
        <v>1329</v>
      </c>
      <c r="Q1349" s="84" t="s">
        <v>2462</v>
      </c>
      <c r="S1349" t="b">
        <v>0</v>
      </c>
    </row>
    <row r="1350" spans="14:19" x14ac:dyDescent="0.25">
      <c r="N1350" s="23" t="s">
        <v>107</v>
      </c>
      <c r="O1350" s="30" t="s">
        <v>1330</v>
      </c>
      <c r="P1350" s="30" t="s">
        <v>1331</v>
      </c>
      <c r="Q1350" s="84" t="s">
        <v>2463</v>
      </c>
      <c r="S1350" t="b">
        <v>0</v>
      </c>
    </row>
    <row r="1351" spans="14:19" x14ac:dyDescent="0.25">
      <c r="N1351" s="23" t="s">
        <v>107</v>
      </c>
      <c r="O1351" s="30" t="s">
        <v>1330</v>
      </c>
      <c r="P1351" s="30" t="s">
        <v>1332</v>
      </c>
      <c r="Q1351" s="84" t="s">
        <v>2462</v>
      </c>
      <c r="S1351" t="b">
        <v>0</v>
      </c>
    </row>
    <row r="1352" spans="14:19" x14ac:dyDescent="0.25">
      <c r="N1352" s="23" t="s">
        <v>107</v>
      </c>
      <c r="O1352" s="30" t="s">
        <v>1333</v>
      </c>
      <c r="P1352" s="30" t="s">
        <v>1334</v>
      </c>
      <c r="Q1352" s="84" t="s">
        <v>2463</v>
      </c>
      <c r="S1352" t="b">
        <v>0</v>
      </c>
    </row>
    <row r="1353" spans="14:19" x14ac:dyDescent="0.25">
      <c r="N1353" s="23" t="s">
        <v>107</v>
      </c>
      <c r="O1353" s="30" t="s">
        <v>1333</v>
      </c>
      <c r="P1353" s="30" t="s">
        <v>1335</v>
      </c>
      <c r="Q1353" s="84" t="s">
        <v>2463</v>
      </c>
      <c r="S1353" t="b">
        <v>0</v>
      </c>
    </row>
    <row r="1354" spans="14:19" x14ac:dyDescent="0.25">
      <c r="N1354" s="23" t="s">
        <v>107</v>
      </c>
      <c r="O1354" s="30" t="s">
        <v>1333</v>
      </c>
      <c r="P1354" s="30" t="s">
        <v>1336</v>
      </c>
      <c r="Q1354" s="84" t="s">
        <v>2463</v>
      </c>
      <c r="S1354" t="b">
        <v>0</v>
      </c>
    </row>
    <row r="1355" spans="14:19" x14ac:dyDescent="0.25">
      <c r="N1355" s="23" t="s">
        <v>107</v>
      </c>
      <c r="O1355" s="30" t="s">
        <v>1333</v>
      </c>
      <c r="P1355" s="30" t="s">
        <v>1337</v>
      </c>
      <c r="Q1355" s="84" t="s">
        <v>2463</v>
      </c>
      <c r="S1355" t="b">
        <v>0</v>
      </c>
    </row>
    <row r="1356" spans="14:19" x14ac:dyDescent="0.25">
      <c r="N1356" s="23" t="s">
        <v>107</v>
      </c>
      <c r="O1356" s="30" t="s">
        <v>1333</v>
      </c>
      <c r="P1356" s="30" t="s">
        <v>1338</v>
      </c>
      <c r="Q1356" s="84" t="s">
        <v>2463</v>
      </c>
      <c r="S1356" t="b">
        <v>0</v>
      </c>
    </row>
    <row r="1357" spans="14:19" x14ac:dyDescent="0.25">
      <c r="N1357" s="23" t="s">
        <v>107</v>
      </c>
      <c r="O1357" s="30" t="s">
        <v>1333</v>
      </c>
      <c r="P1357" s="30" t="s">
        <v>1339</v>
      </c>
      <c r="Q1357" s="84" t="s">
        <v>2463</v>
      </c>
      <c r="S1357" t="b">
        <v>0</v>
      </c>
    </row>
    <row r="1358" spans="14:19" x14ac:dyDescent="0.25">
      <c r="N1358" s="23" t="s">
        <v>107</v>
      </c>
      <c r="O1358" s="30" t="s">
        <v>1333</v>
      </c>
      <c r="P1358" s="30" t="s">
        <v>1340</v>
      </c>
      <c r="Q1358" s="84" t="s">
        <v>2463</v>
      </c>
      <c r="S1358" t="b">
        <v>0</v>
      </c>
    </row>
    <row r="1359" spans="14:19" x14ac:dyDescent="0.25">
      <c r="N1359" s="23" t="s">
        <v>107</v>
      </c>
      <c r="O1359" s="30" t="s">
        <v>1333</v>
      </c>
      <c r="P1359" s="30" t="s">
        <v>1341</v>
      </c>
      <c r="Q1359" s="84" t="s">
        <v>2462</v>
      </c>
      <c r="S1359" t="b">
        <v>0</v>
      </c>
    </row>
    <row r="1360" spans="14:19" x14ac:dyDescent="0.25">
      <c r="N1360" s="23" t="s">
        <v>107</v>
      </c>
      <c r="O1360" s="30" t="s">
        <v>1333</v>
      </c>
      <c r="P1360" s="30" t="s">
        <v>1342</v>
      </c>
      <c r="Q1360" s="84" t="s">
        <v>2462</v>
      </c>
      <c r="S1360" t="b">
        <v>0</v>
      </c>
    </row>
    <row r="1361" spans="14:19" x14ac:dyDescent="0.25">
      <c r="N1361" s="23" t="s">
        <v>107</v>
      </c>
      <c r="O1361" s="30" t="s">
        <v>1333</v>
      </c>
      <c r="P1361" s="30" t="s">
        <v>1343</v>
      </c>
      <c r="Q1361" s="84" t="s">
        <v>2462</v>
      </c>
      <c r="S1361" t="b">
        <v>0</v>
      </c>
    </row>
    <row r="1362" spans="14:19" x14ac:dyDescent="0.25">
      <c r="N1362" s="23" t="s">
        <v>107</v>
      </c>
      <c r="O1362" s="30" t="s">
        <v>1333</v>
      </c>
      <c r="P1362" s="30" t="s">
        <v>1344</v>
      </c>
      <c r="Q1362" s="84" t="s">
        <v>2462</v>
      </c>
      <c r="S1362" t="b">
        <v>0</v>
      </c>
    </row>
    <row r="1363" spans="14:19" x14ac:dyDescent="0.25">
      <c r="N1363" s="23" t="s">
        <v>107</v>
      </c>
      <c r="O1363" s="30" t="s">
        <v>1333</v>
      </c>
      <c r="P1363" s="30" t="s">
        <v>1345</v>
      </c>
      <c r="Q1363" s="84" t="s">
        <v>2462</v>
      </c>
      <c r="S1363" t="b">
        <v>0</v>
      </c>
    </row>
    <row r="1364" spans="14:19" x14ac:dyDescent="0.25">
      <c r="N1364" s="23" t="s">
        <v>107</v>
      </c>
      <c r="O1364" s="30" t="s">
        <v>1333</v>
      </c>
      <c r="P1364" s="30" t="s">
        <v>1346</v>
      </c>
      <c r="Q1364" s="84" t="s">
        <v>2462</v>
      </c>
      <c r="S1364" t="b">
        <v>0</v>
      </c>
    </row>
    <row r="1365" spans="14:19" x14ac:dyDescent="0.25">
      <c r="N1365" s="23" t="s">
        <v>2440</v>
      </c>
      <c r="O1365" s="30" t="s">
        <v>2441</v>
      </c>
      <c r="P1365" s="30" t="s">
        <v>2442</v>
      </c>
      <c r="Q1365" s="84" t="s">
        <v>2462</v>
      </c>
      <c r="S1365" t="b">
        <v>1</v>
      </c>
    </row>
    <row r="1366" spans="14:19" x14ac:dyDescent="0.25">
      <c r="N1366" s="23" t="s">
        <v>2440</v>
      </c>
      <c r="O1366" s="30" t="s">
        <v>2441</v>
      </c>
      <c r="P1366" s="30" t="s">
        <v>2443</v>
      </c>
      <c r="Q1366" s="84" t="s">
        <v>2462</v>
      </c>
      <c r="S1366" t="b">
        <v>1</v>
      </c>
    </row>
    <row r="1367" spans="14:19" x14ac:dyDescent="0.25">
      <c r="N1367" s="23" t="s">
        <v>2440</v>
      </c>
      <c r="O1367" s="30" t="s">
        <v>2441</v>
      </c>
      <c r="P1367" s="30" t="s">
        <v>2444</v>
      </c>
      <c r="Q1367" s="84" t="s">
        <v>2462</v>
      </c>
      <c r="S1367" t="b">
        <v>1</v>
      </c>
    </row>
    <row r="1368" spans="14:19" x14ac:dyDescent="0.25">
      <c r="N1368" s="23" t="s">
        <v>102</v>
      </c>
      <c r="O1368" s="30" t="s">
        <v>103</v>
      </c>
      <c r="P1368" s="30" t="s">
        <v>104</v>
      </c>
      <c r="Q1368" s="84" t="s">
        <v>2462</v>
      </c>
      <c r="S1368" t="b">
        <v>1</v>
      </c>
    </row>
    <row r="1369" spans="14:19" x14ac:dyDescent="0.25">
      <c r="N1369" s="23" t="s">
        <v>102</v>
      </c>
      <c r="O1369" s="30" t="s">
        <v>103</v>
      </c>
      <c r="P1369" s="30" t="s">
        <v>584</v>
      </c>
      <c r="Q1369" s="84" t="s">
        <v>2462</v>
      </c>
      <c r="S1369" t="b">
        <v>1</v>
      </c>
    </row>
    <row r="1370" spans="14:19" x14ac:dyDescent="0.25">
      <c r="N1370" s="23" t="s">
        <v>102</v>
      </c>
      <c r="O1370" s="30" t="s">
        <v>103</v>
      </c>
      <c r="P1370" s="30" t="s">
        <v>585</v>
      </c>
      <c r="Q1370" s="84" t="s">
        <v>2462</v>
      </c>
      <c r="S1370" t="b">
        <v>1</v>
      </c>
    </row>
    <row r="1371" spans="14:19" x14ac:dyDescent="0.25">
      <c r="N1371" s="23" t="s">
        <v>102</v>
      </c>
      <c r="O1371" s="30" t="s">
        <v>103</v>
      </c>
      <c r="P1371" s="30" t="s">
        <v>586</v>
      </c>
      <c r="Q1371" s="84" t="s">
        <v>2462</v>
      </c>
      <c r="S1371" t="b">
        <v>1</v>
      </c>
    </row>
    <row r="1372" spans="14:19" x14ac:dyDescent="0.25">
      <c r="N1372" s="23" t="s">
        <v>102</v>
      </c>
      <c r="O1372" s="30" t="s">
        <v>103</v>
      </c>
      <c r="P1372" s="30" t="s">
        <v>587</v>
      </c>
      <c r="Q1372" s="84" t="s">
        <v>2462</v>
      </c>
      <c r="S1372" t="b">
        <v>1</v>
      </c>
    </row>
    <row r="1373" spans="14:19" x14ac:dyDescent="0.25">
      <c r="N1373" s="23" t="s">
        <v>102</v>
      </c>
      <c r="O1373" s="30" t="s">
        <v>103</v>
      </c>
      <c r="P1373" s="30" t="s">
        <v>588</v>
      </c>
      <c r="Q1373" s="84" t="s">
        <v>2462</v>
      </c>
      <c r="S1373" t="b">
        <v>1</v>
      </c>
    </row>
    <row r="1374" spans="14:19" x14ac:dyDescent="0.25">
      <c r="N1374" s="23" t="s">
        <v>102</v>
      </c>
      <c r="O1374" s="30" t="s">
        <v>103</v>
      </c>
      <c r="P1374" s="30" t="s">
        <v>589</v>
      </c>
      <c r="Q1374" s="84" t="s">
        <v>2462</v>
      </c>
      <c r="S1374" t="b">
        <v>1</v>
      </c>
    </row>
    <row r="1375" spans="14:19" x14ac:dyDescent="0.25">
      <c r="N1375" s="23" t="s">
        <v>102</v>
      </c>
      <c r="O1375" s="30" t="s">
        <v>103</v>
      </c>
      <c r="P1375" s="30" t="s">
        <v>590</v>
      </c>
      <c r="Q1375" s="84" t="s">
        <v>2462</v>
      </c>
      <c r="S1375" t="b">
        <v>1</v>
      </c>
    </row>
    <row r="1376" spans="14:19" x14ac:dyDescent="0.25">
      <c r="N1376" s="23" t="s">
        <v>102</v>
      </c>
      <c r="O1376" s="30" t="s">
        <v>103</v>
      </c>
      <c r="P1376" s="30" t="s">
        <v>591</v>
      </c>
      <c r="Q1376" s="84" t="s">
        <v>2462</v>
      </c>
      <c r="S1376" t="b">
        <v>1</v>
      </c>
    </row>
    <row r="1377" spans="14:19" x14ac:dyDescent="0.25">
      <c r="N1377" s="23" t="s">
        <v>102</v>
      </c>
      <c r="O1377" s="30" t="s">
        <v>103</v>
      </c>
      <c r="P1377" s="30" t="s">
        <v>592</v>
      </c>
      <c r="Q1377" s="84" t="s">
        <v>2462</v>
      </c>
      <c r="S1377" t="b">
        <v>1</v>
      </c>
    </row>
    <row r="1378" spans="14:19" x14ac:dyDescent="0.25">
      <c r="N1378" s="23" t="s">
        <v>102</v>
      </c>
      <c r="O1378" s="30" t="s">
        <v>103</v>
      </c>
      <c r="P1378" s="30" t="s">
        <v>593</v>
      </c>
      <c r="Q1378" s="84" t="s">
        <v>2462</v>
      </c>
      <c r="S1378" t="b">
        <v>1</v>
      </c>
    </row>
    <row r="1379" spans="14:19" x14ac:dyDescent="0.25">
      <c r="N1379" s="23" t="s">
        <v>102</v>
      </c>
      <c r="O1379" s="30" t="s">
        <v>103</v>
      </c>
      <c r="P1379" s="30" t="s">
        <v>594</v>
      </c>
      <c r="Q1379" s="84" t="s">
        <v>2462</v>
      </c>
      <c r="S1379" t="b">
        <v>1</v>
      </c>
    </row>
    <row r="1380" spans="14:19" x14ac:dyDescent="0.25">
      <c r="N1380" s="23" t="s">
        <v>102</v>
      </c>
      <c r="O1380" s="30" t="s">
        <v>103</v>
      </c>
      <c r="P1380" s="30" t="s">
        <v>595</v>
      </c>
      <c r="Q1380" s="84" t="s">
        <v>2462</v>
      </c>
      <c r="S1380" t="b">
        <v>1</v>
      </c>
    </row>
    <row r="1381" spans="14:19" x14ac:dyDescent="0.25">
      <c r="N1381" s="23" t="s">
        <v>102</v>
      </c>
      <c r="O1381" s="30" t="s">
        <v>103</v>
      </c>
      <c r="P1381" s="30" t="s">
        <v>596</v>
      </c>
      <c r="Q1381" s="84" t="s">
        <v>2462</v>
      </c>
      <c r="S1381" t="b">
        <v>1</v>
      </c>
    </row>
    <row r="1382" spans="14:19" x14ac:dyDescent="0.25">
      <c r="N1382" s="23" t="s">
        <v>102</v>
      </c>
      <c r="O1382" s="30" t="s">
        <v>103</v>
      </c>
      <c r="P1382" s="30" t="s">
        <v>597</v>
      </c>
      <c r="Q1382" s="84" t="s">
        <v>2462</v>
      </c>
      <c r="S1382" t="b">
        <v>1</v>
      </c>
    </row>
    <row r="1383" spans="14:19" x14ac:dyDescent="0.25">
      <c r="N1383" s="23" t="s">
        <v>102</v>
      </c>
      <c r="O1383" s="30" t="s">
        <v>103</v>
      </c>
      <c r="P1383" s="30" t="s">
        <v>598</v>
      </c>
      <c r="Q1383" s="84" t="s">
        <v>2462</v>
      </c>
      <c r="S1383" t="b">
        <v>1</v>
      </c>
    </row>
    <row r="1384" spans="14:19" x14ac:dyDescent="0.25">
      <c r="N1384" s="23" t="s">
        <v>102</v>
      </c>
      <c r="O1384" s="30" t="s">
        <v>103</v>
      </c>
      <c r="P1384" s="30" t="s">
        <v>599</v>
      </c>
      <c r="Q1384" s="84" t="s">
        <v>2462</v>
      </c>
      <c r="S1384" t="b">
        <v>1</v>
      </c>
    </row>
    <row r="1385" spans="14:19" x14ac:dyDescent="0.25">
      <c r="N1385" s="23" t="s">
        <v>102</v>
      </c>
      <c r="O1385" s="30" t="s">
        <v>103</v>
      </c>
      <c r="P1385" s="30" t="s">
        <v>600</v>
      </c>
      <c r="Q1385" s="84" t="s">
        <v>2462</v>
      </c>
      <c r="S1385" t="b">
        <v>1</v>
      </c>
    </row>
    <row r="1386" spans="14:19" x14ac:dyDescent="0.25">
      <c r="N1386" s="23" t="s">
        <v>102</v>
      </c>
      <c r="O1386" s="30" t="s">
        <v>103</v>
      </c>
      <c r="P1386" s="30" t="s">
        <v>601</v>
      </c>
      <c r="Q1386" s="84" t="s">
        <v>2462</v>
      </c>
      <c r="S1386" t="b">
        <v>1</v>
      </c>
    </row>
    <row r="1387" spans="14:19" x14ac:dyDescent="0.25">
      <c r="N1387" s="23" t="s">
        <v>102</v>
      </c>
      <c r="O1387" s="30" t="s">
        <v>103</v>
      </c>
      <c r="P1387" s="30" t="s">
        <v>602</v>
      </c>
      <c r="Q1387" s="84" t="s">
        <v>2462</v>
      </c>
      <c r="S1387" t="b">
        <v>1</v>
      </c>
    </row>
    <row r="1388" spans="14:19" x14ac:dyDescent="0.25">
      <c r="N1388" s="23" t="s">
        <v>102</v>
      </c>
      <c r="O1388" s="30" t="s">
        <v>103</v>
      </c>
      <c r="P1388" s="30" t="s">
        <v>603</v>
      </c>
      <c r="Q1388" s="84" t="s">
        <v>2462</v>
      </c>
      <c r="S1388" t="b">
        <v>1</v>
      </c>
    </row>
    <row r="1389" spans="14:19" x14ac:dyDescent="0.25">
      <c r="N1389" s="23" t="s">
        <v>102</v>
      </c>
      <c r="O1389" s="30" t="s">
        <v>103</v>
      </c>
      <c r="P1389" s="30" t="s">
        <v>604</v>
      </c>
      <c r="Q1389" s="84" t="s">
        <v>2462</v>
      </c>
      <c r="S1389" t="b">
        <v>1</v>
      </c>
    </row>
    <row r="1390" spans="14:19" x14ac:dyDescent="0.25">
      <c r="N1390" s="23" t="s">
        <v>102</v>
      </c>
      <c r="O1390" s="30" t="s">
        <v>103</v>
      </c>
      <c r="P1390" s="30" t="s">
        <v>605</v>
      </c>
      <c r="Q1390" s="84" t="s">
        <v>2463</v>
      </c>
      <c r="S1390" t="b">
        <v>0</v>
      </c>
    </row>
    <row r="1391" spans="14:19" x14ac:dyDescent="0.25">
      <c r="N1391" s="23" t="s">
        <v>102</v>
      </c>
      <c r="O1391" s="30" t="s">
        <v>103</v>
      </c>
      <c r="P1391" s="30" t="s">
        <v>606</v>
      </c>
      <c r="Q1391" s="84" t="s">
        <v>2462</v>
      </c>
      <c r="S1391" t="b">
        <v>1</v>
      </c>
    </row>
    <row r="1392" spans="14:19" x14ac:dyDescent="0.25">
      <c r="N1392" s="23" t="s">
        <v>102</v>
      </c>
      <c r="O1392" s="30" t="s">
        <v>103</v>
      </c>
      <c r="P1392" s="30" t="s">
        <v>607</v>
      </c>
      <c r="Q1392" s="84" t="s">
        <v>2462</v>
      </c>
      <c r="S1392" t="b">
        <v>1</v>
      </c>
    </row>
    <row r="1393" spans="14:19" x14ac:dyDescent="0.25">
      <c r="N1393" s="23" t="s">
        <v>102</v>
      </c>
      <c r="O1393" s="30" t="s">
        <v>103</v>
      </c>
      <c r="P1393" s="30" t="s">
        <v>608</v>
      </c>
      <c r="Q1393" s="84" t="s">
        <v>2462</v>
      </c>
      <c r="S1393" t="b">
        <v>1</v>
      </c>
    </row>
    <row r="1394" spans="14:19" x14ac:dyDescent="0.25">
      <c r="N1394" s="23" t="s">
        <v>102</v>
      </c>
      <c r="O1394" s="30" t="s">
        <v>103</v>
      </c>
      <c r="P1394" s="30" t="s">
        <v>609</v>
      </c>
      <c r="Q1394" s="84" t="s">
        <v>2462</v>
      </c>
      <c r="S1394" t="b">
        <v>1</v>
      </c>
    </row>
    <row r="1395" spans="14:19" x14ac:dyDescent="0.25">
      <c r="N1395" s="23" t="s">
        <v>102</v>
      </c>
      <c r="O1395" s="30" t="s">
        <v>103</v>
      </c>
      <c r="P1395" s="30" t="s">
        <v>610</v>
      </c>
      <c r="Q1395" s="84" t="s">
        <v>2462</v>
      </c>
      <c r="S1395" t="b">
        <v>1</v>
      </c>
    </row>
    <row r="1396" spans="14:19" x14ac:dyDescent="0.25">
      <c r="N1396" s="23" t="s">
        <v>102</v>
      </c>
      <c r="O1396" s="30" t="s">
        <v>103</v>
      </c>
      <c r="P1396" s="30" t="s">
        <v>611</v>
      </c>
      <c r="Q1396" s="84" t="s">
        <v>2462</v>
      </c>
      <c r="S1396" t="b">
        <v>1</v>
      </c>
    </row>
    <row r="1397" spans="14:19" x14ac:dyDescent="0.25">
      <c r="N1397" s="23" t="s">
        <v>102</v>
      </c>
      <c r="O1397" s="30" t="s">
        <v>103</v>
      </c>
      <c r="P1397" s="30" t="s">
        <v>612</v>
      </c>
      <c r="Q1397" s="84" t="s">
        <v>2462</v>
      </c>
      <c r="S1397" t="b">
        <v>1</v>
      </c>
    </row>
    <row r="1398" spans="14:19" x14ac:dyDescent="0.25">
      <c r="N1398" s="23" t="s">
        <v>102</v>
      </c>
      <c r="O1398" s="30" t="s">
        <v>103</v>
      </c>
      <c r="P1398" s="30" t="s">
        <v>613</v>
      </c>
      <c r="Q1398" s="84" t="s">
        <v>2462</v>
      </c>
      <c r="S1398" t="b">
        <v>1</v>
      </c>
    </row>
    <row r="1399" spans="14:19" x14ac:dyDescent="0.25">
      <c r="N1399" s="23" t="s">
        <v>102</v>
      </c>
      <c r="O1399" s="30" t="s">
        <v>103</v>
      </c>
      <c r="P1399" s="30" t="s">
        <v>614</v>
      </c>
      <c r="Q1399" s="84" t="s">
        <v>2462</v>
      </c>
      <c r="S1399" t="b">
        <v>1</v>
      </c>
    </row>
    <row r="1400" spans="14:19" x14ac:dyDescent="0.25">
      <c r="N1400" s="23" t="s">
        <v>102</v>
      </c>
      <c r="O1400" s="30" t="s">
        <v>103</v>
      </c>
      <c r="P1400" s="30" t="s">
        <v>615</v>
      </c>
      <c r="Q1400" s="84" t="s">
        <v>2462</v>
      </c>
      <c r="S1400" t="b">
        <v>1</v>
      </c>
    </row>
    <row r="1401" spans="14:19" x14ac:dyDescent="0.25">
      <c r="N1401" s="23" t="s">
        <v>102</v>
      </c>
      <c r="O1401" s="30" t="s">
        <v>103</v>
      </c>
      <c r="P1401" s="30" t="s">
        <v>616</v>
      </c>
      <c r="Q1401" s="84" t="s">
        <v>2462</v>
      </c>
      <c r="S1401" t="b">
        <v>1</v>
      </c>
    </row>
    <row r="1402" spans="14:19" x14ac:dyDescent="0.25">
      <c r="N1402" s="23" t="s">
        <v>102</v>
      </c>
      <c r="O1402" s="30" t="s">
        <v>103</v>
      </c>
      <c r="P1402" s="30" t="s">
        <v>617</v>
      </c>
      <c r="Q1402" s="84" t="s">
        <v>2462</v>
      </c>
      <c r="S1402" t="b">
        <v>1</v>
      </c>
    </row>
    <row r="1403" spans="14:19" x14ac:dyDescent="0.25">
      <c r="N1403" s="23" t="s">
        <v>102</v>
      </c>
      <c r="O1403" s="30" t="s">
        <v>103</v>
      </c>
      <c r="P1403" s="30" t="s">
        <v>618</v>
      </c>
      <c r="Q1403" s="84" t="s">
        <v>2463</v>
      </c>
      <c r="S1403" t="b">
        <v>0</v>
      </c>
    </row>
    <row r="1404" spans="14:19" x14ac:dyDescent="0.25">
      <c r="N1404" s="23" t="s">
        <v>102</v>
      </c>
      <c r="O1404" s="30" t="s">
        <v>103</v>
      </c>
      <c r="P1404" s="30" t="s">
        <v>619</v>
      </c>
      <c r="Q1404" s="84" t="s">
        <v>2463</v>
      </c>
      <c r="S1404" t="b">
        <v>0</v>
      </c>
    </row>
    <row r="1405" spans="14:19" x14ac:dyDescent="0.25">
      <c r="N1405" s="23" t="s">
        <v>102</v>
      </c>
      <c r="O1405" s="30" t="s">
        <v>103</v>
      </c>
      <c r="P1405" s="30" t="s">
        <v>620</v>
      </c>
      <c r="Q1405" s="84" t="s">
        <v>2462</v>
      </c>
      <c r="S1405" t="b">
        <v>1</v>
      </c>
    </row>
    <row r="1406" spans="14:19" x14ac:dyDescent="0.25">
      <c r="N1406" s="23" t="s">
        <v>102</v>
      </c>
      <c r="O1406" s="30" t="s">
        <v>103</v>
      </c>
      <c r="P1406" s="30" t="s">
        <v>621</v>
      </c>
      <c r="Q1406" s="84" t="s">
        <v>2462</v>
      </c>
      <c r="S1406" t="b">
        <v>1</v>
      </c>
    </row>
    <row r="1407" spans="14:19" x14ac:dyDescent="0.25">
      <c r="N1407" s="23" t="s">
        <v>102</v>
      </c>
      <c r="O1407" s="30" t="s">
        <v>103</v>
      </c>
      <c r="P1407" s="30" t="s">
        <v>622</v>
      </c>
      <c r="Q1407" s="84" t="s">
        <v>2462</v>
      </c>
      <c r="S1407" t="b">
        <v>1</v>
      </c>
    </row>
    <row r="1408" spans="14:19" x14ac:dyDescent="0.25">
      <c r="N1408" s="23" t="s">
        <v>102</v>
      </c>
      <c r="O1408" s="30" t="s">
        <v>103</v>
      </c>
      <c r="P1408" s="30" t="s">
        <v>623</v>
      </c>
      <c r="Q1408" s="84" t="s">
        <v>2463</v>
      </c>
      <c r="S1408" t="b">
        <v>0</v>
      </c>
    </row>
    <row r="1409" spans="14:19" x14ac:dyDescent="0.25">
      <c r="N1409" s="23" t="s">
        <v>102</v>
      </c>
      <c r="O1409" s="30" t="s">
        <v>103</v>
      </c>
      <c r="P1409" s="30" t="s">
        <v>624</v>
      </c>
      <c r="Q1409" s="84" t="s">
        <v>2463</v>
      </c>
      <c r="S1409" t="b">
        <v>0</v>
      </c>
    </row>
    <row r="1410" spans="14:19" x14ac:dyDescent="0.25">
      <c r="N1410" s="23" t="s">
        <v>102</v>
      </c>
      <c r="O1410" s="30" t="s">
        <v>103</v>
      </c>
      <c r="P1410" s="30" t="s">
        <v>625</v>
      </c>
      <c r="Q1410" s="84" t="s">
        <v>2462</v>
      </c>
      <c r="S1410" t="b">
        <v>1</v>
      </c>
    </row>
    <row r="1411" spans="14:19" x14ac:dyDescent="0.25">
      <c r="N1411" s="23" t="s">
        <v>102</v>
      </c>
      <c r="O1411" s="30" t="s">
        <v>103</v>
      </c>
      <c r="P1411" s="30" t="s">
        <v>626</v>
      </c>
      <c r="Q1411" s="84" t="s">
        <v>2462</v>
      </c>
      <c r="S1411" t="b">
        <v>1</v>
      </c>
    </row>
    <row r="1412" spans="14:19" x14ac:dyDescent="0.25">
      <c r="N1412" s="23" t="s">
        <v>102</v>
      </c>
      <c r="O1412" s="30" t="s">
        <v>103</v>
      </c>
      <c r="P1412" s="30" t="s">
        <v>627</v>
      </c>
      <c r="Q1412" s="84" t="s">
        <v>2462</v>
      </c>
      <c r="S1412" t="b">
        <v>1</v>
      </c>
    </row>
    <row r="1413" spans="14:19" x14ac:dyDescent="0.25">
      <c r="N1413" s="23" t="s">
        <v>102</v>
      </c>
      <c r="O1413" s="30" t="s">
        <v>103</v>
      </c>
      <c r="P1413" s="30" t="s">
        <v>628</v>
      </c>
      <c r="Q1413" s="84" t="s">
        <v>2462</v>
      </c>
      <c r="S1413" t="b">
        <v>1</v>
      </c>
    </row>
    <row r="1414" spans="14:19" x14ac:dyDescent="0.25">
      <c r="N1414" s="23" t="s">
        <v>102</v>
      </c>
      <c r="O1414" s="30" t="s">
        <v>103</v>
      </c>
      <c r="P1414" s="30" t="s">
        <v>629</v>
      </c>
      <c r="Q1414" s="84" t="s">
        <v>2462</v>
      </c>
      <c r="S1414" t="b">
        <v>1</v>
      </c>
    </row>
    <row r="1415" spans="14:19" x14ac:dyDescent="0.25">
      <c r="N1415" s="23" t="s">
        <v>102</v>
      </c>
      <c r="O1415" s="30" t="s">
        <v>103</v>
      </c>
      <c r="P1415" s="30" t="s">
        <v>630</v>
      </c>
      <c r="Q1415" s="84" t="s">
        <v>2462</v>
      </c>
      <c r="S1415" t="b">
        <v>1</v>
      </c>
    </row>
    <row r="1416" spans="14:19" x14ac:dyDescent="0.25">
      <c r="N1416" s="23" t="s">
        <v>102</v>
      </c>
      <c r="O1416" s="30" t="s">
        <v>103</v>
      </c>
      <c r="P1416" s="30" t="s">
        <v>631</v>
      </c>
      <c r="Q1416" s="84" t="s">
        <v>2462</v>
      </c>
      <c r="S1416" t="b">
        <v>1</v>
      </c>
    </row>
    <row r="1417" spans="14:19" x14ac:dyDescent="0.25">
      <c r="N1417" s="23" t="s">
        <v>102</v>
      </c>
      <c r="O1417" s="30" t="s">
        <v>103</v>
      </c>
      <c r="P1417" s="30" t="s">
        <v>632</v>
      </c>
      <c r="Q1417" s="84" t="s">
        <v>2462</v>
      </c>
      <c r="S1417" t="b">
        <v>1</v>
      </c>
    </row>
    <row r="1418" spans="14:19" x14ac:dyDescent="0.25">
      <c r="N1418" s="23" t="s">
        <v>102</v>
      </c>
      <c r="O1418" s="30" t="s">
        <v>103</v>
      </c>
      <c r="P1418" s="30" t="s">
        <v>633</v>
      </c>
      <c r="Q1418" s="84" t="s">
        <v>2462</v>
      </c>
      <c r="S1418" t="b">
        <v>1</v>
      </c>
    </row>
    <row r="1419" spans="14:19" x14ac:dyDescent="0.25">
      <c r="N1419" s="23" t="s">
        <v>102</v>
      </c>
      <c r="O1419" s="30" t="s">
        <v>103</v>
      </c>
      <c r="P1419" s="30" t="s">
        <v>634</v>
      </c>
      <c r="Q1419" s="84" t="s">
        <v>2463</v>
      </c>
      <c r="S1419" t="b">
        <v>0</v>
      </c>
    </row>
    <row r="1420" spans="14:19" x14ac:dyDescent="0.25">
      <c r="N1420" s="23" t="s">
        <v>102</v>
      </c>
      <c r="O1420" s="30" t="s">
        <v>103</v>
      </c>
      <c r="P1420" s="30" t="s">
        <v>635</v>
      </c>
      <c r="Q1420" s="84" t="s">
        <v>2463</v>
      </c>
      <c r="S1420" t="b">
        <v>0</v>
      </c>
    </row>
    <row r="1421" spans="14:19" x14ac:dyDescent="0.25">
      <c r="N1421" s="23" t="s">
        <v>102</v>
      </c>
      <c r="O1421" s="30" t="s">
        <v>103</v>
      </c>
      <c r="P1421" s="30" t="s">
        <v>636</v>
      </c>
      <c r="Q1421" s="84" t="s">
        <v>2462</v>
      </c>
      <c r="S1421" t="b">
        <v>1</v>
      </c>
    </row>
    <row r="1422" spans="14:19" x14ac:dyDescent="0.25">
      <c r="N1422" s="23" t="s">
        <v>102</v>
      </c>
      <c r="O1422" s="30" t="s">
        <v>637</v>
      </c>
      <c r="P1422" s="30" t="s">
        <v>638</v>
      </c>
      <c r="Q1422" s="84" t="s">
        <v>2462</v>
      </c>
      <c r="S1422" t="b">
        <v>1</v>
      </c>
    </row>
    <row r="1423" spans="14:19" x14ac:dyDescent="0.25">
      <c r="N1423" s="23" t="s">
        <v>102</v>
      </c>
      <c r="O1423" s="30" t="s">
        <v>637</v>
      </c>
      <c r="P1423" s="30" t="s">
        <v>639</v>
      </c>
      <c r="Q1423" s="84" t="s">
        <v>2462</v>
      </c>
      <c r="S1423" t="b">
        <v>1</v>
      </c>
    </row>
    <row r="1424" spans="14:19" x14ac:dyDescent="0.25">
      <c r="N1424" s="23" t="s">
        <v>102</v>
      </c>
      <c r="O1424" s="30" t="s">
        <v>637</v>
      </c>
      <c r="P1424" s="30" t="s">
        <v>640</v>
      </c>
      <c r="Q1424" s="84" t="s">
        <v>2462</v>
      </c>
      <c r="S1424" t="b">
        <v>1</v>
      </c>
    </row>
    <row r="1425" spans="14:19" x14ac:dyDescent="0.25">
      <c r="N1425" s="23" t="s">
        <v>102</v>
      </c>
      <c r="O1425" s="30" t="s">
        <v>637</v>
      </c>
      <c r="P1425" s="30" t="s">
        <v>641</v>
      </c>
      <c r="Q1425" s="84" t="s">
        <v>2462</v>
      </c>
      <c r="S1425" t="b">
        <v>1</v>
      </c>
    </row>
    <row r="1426" spans="14:19" x14ac:dyDescent="0.25">
      <c r="N1426" s="23" t="s">
        <v>102</v>
      </c>
      <c r="O1426" s="30" t="s">
        <v>637</v>
      </c>
      <c r="P1426" s="30" t="s">
        <v>642</v>
      </c>
      <c r="Q1426" s="84" t="s">
        <v>2462</v>
      </c>
      <c r="S1426" t="b">
        <v>1</v>
      </c>
    </row>
    <row r="1427" spans="14:19" x14ac:dyDescent="0.25">
      <c r="N1427" s="23" t="s">
        <v>102</v>
      </c>
      <c r="O1427" s="30" t="s">
        <v>637</v>
      </c>
      <c r="P1427" s="30" t="s">
        <v>643</v>
      </c>
      <c r="Q1427" s="84" t="s">
        <v>2462</v>
      </c>
      <c r="S1427" t="b">
        <v>1</v>
      </c>
    </row>
    <row r="1428" spans="14:19" x14ac:dyDescent="0.25">
      <c r="N1428" s="23" t="s">
        <v>102</v>
      </c>
      <c r="O1428" s="30" t="s">
        <v>637</v>
      </c>
      <c r="P1428" s="30" t="s">
        <v>644</v>
      </c>
      <c r="Q1428" s="84" t="s">
        <v>2462</v>
      </c>
      <c r="S1428" t="b">
        <v>1</v>
      </c>
    </row>
    <row r="1429" spans="14:19" x14ac:dyDescent="0.25">
      <c r="N1429" s="23" t="s">
        <v>102</v>
      </c>
      <c r="O1429" s="30" t="s">
        <v>637</v>
      </c>
      <c r="P1429" s="30" t="s">
        <v>645</v>
      </c>
      <c r="Q1429" s="84" t="s">
        <v>2462</v>
      </c>
      <c r="S1429" t="b">
        <v>1</v>
      </c>
    </row>
    <row r="1430" spans="14:19" x14ac:dyDescent="0.25">
      <c r="N1430" s="23" t="s">
        <v>102</v>
      </c>
      <c r="O1430" s="30" t="s">
        <v>637</v>
      </c>
      <c r="P1430" s="30" t="s">
        <v>646</v>
      </c>
      <c r="Q1430" s="84" t="s">
        <v>2462</v>
      </c>
      <c r="S1430" t="b">
        <v>1</v>
      </c>
    </row>
    <row r="1431" spans="14:19" x14ac:dyDescent="0.25">
      <c r="N1431" s="23" t="s">
        <v>102</v>
      </c>
      <c r="O1431" s="30" t="s">
        <v>637</v>
      </c>
      <c r="P1431" s="30" t="s">
        <v>647</v>
      </c>
      <c r="Q1431" s="84" t="s">
        <v>2462</v>
      </c>
      <c r="S1431" t="b">
        <v>1</v>
      </c>
    </row>
    <row r="1432" spans="14:19" x14ac:dyDescent="0.25">
      <c r="N1432" s="23" t="s">
        <v>102</v>
      </c>
      <c r="O1432" s="30" t="s">
        <v>637</v>
      </c>
      <c r="P1432" s="30" t="s">
        <v>648</v>
      </c>
      <c r="Q1432" s="84" t="s">
        <v>2462</v>
      </c>
      <c r="S1432" t="b">
        <v>1</v>
      </c>
    </row>
    <row r="1433" spans="14:19" x14ac:dyDescent="0.25">
      <c r="N1433" s="23" t="s">
        <v>102</v>
      </c>
      <c r="O1433" s="30" t="s">
        <v>649</v>
      </c>
      <c r="P1433" s="30" t="s">
        <v>650</v>
      </c>
      <c r="Q1433" s="84" t="s">
        <v>2462</v>
      </c>
      <c r="S1433" t="b">
        <v>1</v>
      </c>
    </row>
    <row r="1434" spans="14:19" x14ac:dyDescent="0.25">
      <c r="N1434" s="23" t="s">
        <v>102</v>
      </c>
      <c r="O1434" s="30" t="s">
        <v>649</v>
      </c>
      <c r="P1434" s="30" t="s">
        <v>651</v>
      </c>
      <c r="Q1434" s="84" t="s">
        <v>2462</v>
      </c>
      <c r="S1434" t="b">
        <v>1</v>
      </c>
    </row>
    <row r="1435" spans="14:19" x14ac:dyDescent="0.25">
      <c r="N1435" s="23" t="s">
        <v>102</v>
      </c>
      <c r="O1435" s="30" t="s">
        <v>649</v>
      </c>
      <c r="P1435" s="30" t="s">
        <v>652</v>
      </c>
      <c r="Q1435" s="84" t="s">
        <v>2462</v>
      </c>
      <c r="S1435" t="b">
        <v>1</v>
      </c>
    </row>
    <row r="1436" spans="14:19" x14ac:dyDescent="0.25">
      <c r="N1436" s="23" t="s">
        <v>102</v>
      </c>
      <c r="O1436" s="30" t="s">
        <v>649</v>
      </c>
      <c r="P1436" s="30" t="s">
        <v>653</v>
      </c>
      <c r="Q1436" s="84" t="s">
        <v>2462</v>
      </c>
      <c r="S1436" t="b">
        <v>1</v>
      </c>
    </row>
    <row r="1437" spans="14:19" x14ac:dyDescent="0.25">
      <c r="N1437" s="23" t="s">
        <v>102</v>
      </c>
      <c r="O1437" s="30" t="s">
        <v>649</v>
      </c>
      <c r="P1437" s="30" t="s">
        <v>654</v>
      </c>
      <c r="Q1437" s="84" t="s">
        <v>2462</v>
      </c>
      <c r="S1437" t="b">
        <v>1</v>
      </c>
    </row>
    <row r="1438" spans="14:19" x14ac:dyDescent="0.25">
      <c r="N1438" s="23" t="s">
        <v>102</v>
      </c>
      <c r="O1438" s="30" t="s">
        <v>649</v>
      </c>
      <c r="P1438" s="30" t="s">
        <v>655</v>
      </c>
      <c r="Q1438" s="84" t="s">
        <v>2462</v>
      </c>
      <c r="S1438" t="b">
        <v>1</v>
      </c>
    </row>
    <row r="1439" spans="14:19" x14ac:dyDescent="0.25">
      <c r="N1439" s="23" t="s">
        <v>102</v>
      </c>
      <c r="O1439" s="30" t="s">
        <v>649</v>
      </c>
      <c r="P1439" s="30" t="s">
        <v>656</v>
      </c>
      <c r="Q1439" s="84" t="s">
        <v>2462</v>
      </c>
      <c r="S1439" t="b">
        <v>1</v>
      </c>
    </row>
    <row r="1440" spans="14:19" x14ac:dyDescent="0.25">
      <c r="N1440" s="23" t="s">
        <v>102</v>
      </c>
      <c r="O1440" s="30" t="s">
        <v>649</v>
      </c>
      <c r="P1440" s="30" t="s">
        <v>657</v>
      </c>
      <c r="Q1440" s="84" t="s">
        <v>2462</v>
      </c>
      <c r="S1440" t="b">
        <v>1</v>
      </c>
    </row>
    <row r="1441" spans="14:19" x14ac:dyDescent="0.25">
      <c r="N1441" s="23" t="s">
        <v>102</v>
      </c>
      <c r="O1441" s="30" t="s">
        <v>649</v>
      </c>
      <c r="P1441" s="30" t="s">
        <v>658</v>
      </c>
      <c r="Q1441" s="84" t="s">
        <v>2462</v>
      </c>
      <c r="S1441" t="b">
        <v>1</v>
      </c>
    </row>
    <row r="1442" spans="14:19" x14ac:dyDescent="0.25">
      <c r="N1442" s="23" t="s">
        <v>102</v>
      </c>
      <c r="O1442" s="30" t="s">
        <v>649</v>
      </c>
      <c r="P1442" s="30" t="s">
        <v>659</v>
      </c>
      <c r="Q1442" s="84" t="s">
        <v>2462</v>
      </c>
      <c r="S1442" t="b">
        <v>1</v>
      </c>
    </row>
    <row r="1443" spans="14:19" x14ac:dyDescent="0.25">
      <c r="N1443" s="23" t="s">
        <v>102</v>
      </c>
      <c r="O1443" s="30" t="s">
        <v>649</v>
      </c>
      <c r="P1443" s="30" t="s">
        <v>660</v>
      </c>
      <c r="Q1443" s="84" t="s">
        <v>2462</v>
      </c>
      <c r="S1443" t="b">
        <v>1</v>
      </c>
    </row>
    <row r="1444" spans="14:19" x14ac:dyDescent="0.25">
      <c r="N1444" s="23" t="s">
        <v>102</v>
      </c>
      <c r="O1444" s="30" t="s">
        <v>649</v>
      </c>
      <c r="P1444" s="30" t="s">
        <v>661</v>
      </c>
      <c r="Q1444" s="84" t="s">
        <v>2462</v>
      </c>
      <c r="S1444" t="b">
        <v>1</v>
      </c>
    </row>
    <row r="1445" spans="14:19" x14ac:dyDescent="0.25">
      <c r="N1445" s="23" t="s">
        <v>102</v>
      </c>
      <c r="O1445" s="30" t="s">
        <v>649</v>
      </c>
      <c r="P1445" s="30" t="s">
        <v>662</v>
      </c>
      <c r="Q1445" s="84" t="s">
        <v>2462</v>
      </c>
      <c r="S1445" t="b">
        <v>1</v>
      </c>
    </row>
    <row r="1446" spans="14:19" x14ac:dyDescent="0.25">
      <c r="N1446" s="23" t="s">
        <v>102</v>
      </c>
      <c r="O1446" s="30" t="s">
        <v>649</v>
      </c>
      <c r="P1446" s="30" t="s">
        <v>663</v>
      </c>
      <c r="Q1446" s="84" t="s">
        <v>2462</v>
      </c>
      <c r="S1446" t="b">
        <v>1</v>
      </c>
    </row>
    <row r="1447" spans="14:19" x14ac:dyDescent="0.25">
      <c r="N1447" s="23" t="s">
        <v>102</v>
      </c>
      <c r="O1447" s="30" t="s">
        <v>649</v>
      </c>
      <c r="P1447" s="30" t="s">
        <v>664</v>
      </c>
      <c r="Q1447" s="84" t="s">
        <v>2462</v>
      </c>
      <c r="S1447" t="b">
        <v>1</v>
      </c>
    </row>
    <row r="1448" spans="14:19" x14ac:dyDescent="0.25">
      <c r="N1448" s="23" t="s">
        <v>102</v>
      </c>
      <c r="O1448" s="30" t="s">
        <v>649</v>
      </c>
      <c r="P1448" s="30" t="s">
        <v>665</v>
      </c>
      <c r="Q1448" s="84" t="s">
        <v>2462</v>
      </c>
      <c r="S1448" t="b">
        <v>1</v>
      </c>
    </row>
    <row r="1449" spans="14:19" x14ac:dyDescent="0.25">
      <c r="N1449" s="23" t="s">
        <v>102</v>
      </c>
      <c r="O1449" s="30" t="s">
        <v>649</v>
      </c>
      <c r="P1449" s="30" t="s">
        <v>666</v>
      </c>
      <c r="Q1449" s="84" t="s">
        <v>2462</v>
      </c>
      <c r="S1449" t="b">
        <v>1</v>
      </c>
    </row>
    <row r="1450" spans="14:19" x14ac:dyDescent="0.25">
      <c r="N1450" s="23" t="s">
        <v>102</v>
      </c>
      <c r="O1450" s="30" t="s">
        <v>649</v>
      </c>
      <c r="P1450" s="30" t="s">
        <v>667</v>
      </c>
      <c r="Q1450" s="84" t="s">
        <v>2462</v>
      </c>
      <c r="S1450" t="b">
        <v>1</v>
      </c>
    </row>
    <row r="1451" spans="14:19" x14ac:dyDescent="0.25">
      <c r="N1451" s="23" t="s">
        <v>102</v>
      </c>
      <c r="O1451" s="30" t="s">
        <v>649</v>
      </c>
      <c r="P1451" s="30" t="s">
        <v>668</v>
      </c>
      <c r="Q1451" s="84" t="s">
        <v>2462</v>
      </c>
      <c r="S1451" t="b">
        <v>1</v>
      </c>
    </row>
    <row r="1452" spans="14:19" x14ac:dyDescent="0.25">
      <c r="N1452" s="23" t="s">
        <v>102</v>
      </c>
      <c r="O1452" s="30" t="s">
        <v>649</v>
      </c>
      <c r="P1452" s="30" t="s">
        <v>669</v>
      </c>
      <c r="Q1452" s="84" t="s">
        <v>2462</v>
      </c>
      <c r="S1452" t="b">
        <v>1</v>
      </c>
    </row>
    <row r="1453" spans="14:19" x14ac:dyDescent="0.25">
      <c r="N1453" s="23" t="s">
        <v>102</v>
      </c>
      <c r="O1453" s="30" t="s">
        <v>649</v>
      </c>
      <c r="P1453" s="30" t="s">
        <v>670</v>
      </c>
      <c r="Q1453" s="84" t="s">
        <v>2462</v>
      </c>
      <c r="S1453" t="b">
        <v>1</v>
      </c>
    </row>
    <row r="1454" spans="14:19" x14ac:dyDescent="0.25">
      <c r="N1454" s="23" t="s">
        <v>102</v>
      </c>
      <c r="O1454" s="30" t="s">
        <v>649</v>
      </c>
      <c r="P1454" s="30" t="s">
        <v>671</v>
      </c>
      <c r="Q1454" s="84" t="s">
        <v>2462</v>
      </c>
      <c r="S1454" t="b">
        <v>1</v>
      </c>
    </row>
    <row r="1455" spans="14:19" x14ac:dyDescent="0.25">
      <c r="N1455" s="23" t="s">
        <v>102</v>
      </c>
      <c r="O1455" s="30" t="s">
        <v>649</v>
      </c>
      <c r="P1455" s="30" t="s">
        <v>672</v>
      </c>
      <c r="Q1455" s="84" t="s">
        <v>2462</v>
      </c>
      <c r="S1455" t="b">
        <v>1</v>
      </c>
    </row>
    <row r="1456" spans="14:19" x14ac:dyDescent="0.25">
      <c r="N1456" s="23" t="s">
        <v>102</v>
      </c>
      <c r="O1456" s="30" t="s">
        <v>649</v>
      </c>
      <c r="P1456" s="30" t="s">
        <v>673</v>
      </c>
      <c r="Q1456" s="84" t="s">
        <v>2462</v>
      </c>
      <c r="S1456" t="b">
        <v>1</v>
      </c>
    </row>
    <row r="1457" spans="14:19" x14ac:dyDescent="0.25">
      <c r="N1457" s="23" t="s">
        <v>102</v>
      </c>
      <c r="O1457" s="30" t="s">
        <v>649</v>
      </c>
      <c r="P1457" s="30" t="s">
        <v>674</v>
      </c>
      <c r="Q1457" s="84" t="s">
        <v>2462</v>
      </c>
      <c r="S1457" t="b">
        <v>1</v>
      </c>
    </row>
    <row r="1458" spans="14:19" x14ac:dyDescent="0.25">
      <c r="N1458" s="23" t="s">
        <v>102</v>
      </c>
      <c r="O1458" s="30" t="s">
        <v>649</v>
      </c>
      <c r="P1458" s="30" t="s">
        <v>675</v>
      </c>
      <c r="Q1458" s="84" t="s">
        <v>2462</v>
      </c>
      <c r="S1458" t="b">
        <v>1</v>
      </c>
    </row>
    <row r="1459" spans="14:19" x14ac:dyDescent="0.25">
      <c r="N1459" s="23" t="s">
        <v>102</v>
      </c>
      <c r="O1459" s="30" t="s">
        <v>649</v>
      </c>
      <c r="P1459" s="30" t="s">
        <v>676</v>
      </c>
      <c r="Q1459" s="84" t="s">
        <v>2462</v>
      </c>
      <c r="S1459" t="b">
        <v>1</v>
      </c>
    </row>
    <row r="1460" spans="14:19" x14ac:dyDescent="0.25">
      <c r="N1460" s="23" t="s">
        <v>102</v>
      </c>
      <c r="O1460" s="30" t="s">
        <v>649</v>
      </c>
      <c r="P1460" s="30" t="s">
        <v>677</v>
      </c>
      <c r="Q1460" s="84" t="s">
        <v>2462</v>
      </c>
      <c r="S1460" t="b">
        <v>1</v>
      </c>
    </row>
    <row r="1461" spans="14:19" x14ac:dyDescent="0.25">
      <c r="N1461" s="23" t="s">
        <v>102</v>
      </c>
      <c r="O1461" s="30" t="s">
        <v>649</v>
      </c>
      <c r="P1461" s="30" t="s">
        <v>678</v>
      </c>
      <c r="Q1461" s="84" t="s">
        <v>2462</v>
      </c>
      <c r="S1461" t="b">
        <v>1</v>
      </c>
    </row>
    <row r="1462" spans="14:19" x14ac:dyDescent="0.25">
      <c r="N1462" s="23" t="s">
        <v>102</v>
      </c>
      <c r="O1462" s="30" t="s">
        <v>649</v>
      </c>
      <c r="P1462" s="30" t="s">
        <v>679</v>
      </c>
      <c r="Q1462" s="84" t="s">
        <v>2462</v>
      </c>
      <c r="S1462" t="b">
        <v>1</v>
      </c>
    </row>
    <row r="1463" spans="14:19" x14ac:dyDescent="0.25">
      <c r="N1463" s="23" t="s">
        <v>102</v>
      </c>
      <c r="O1463" s="30" t="s">
        <v>649</v>
      </c>
      <c r="P1463" s="30" t="s">
        <v>680</v>
      </c>
      <c r="Q1463" s="84" t="s">
        <v>2462</v>
      </c>
      <c r="S1463" t="b">
        <v>1</v>
      </c>
    </row>
    <row r="1464" spans="14:19" x14ac:dyDescent="0.25">
      <c r="N1464" s="23" t="s">
        <v>102</v>
      </c>
      <c r="O1464" s="30" t="s">
        <v>649</v>
      </c>
      <c r="P1464" s="30" t="s">
        <v>681</v>
      </c>
      <c r="Q1464" s="84" t="s">
        <v>2462</v>
      </c>
      <c r="S1464" t="b">
        <v>1</v>
      </c>
    </row>
    <row r="1465" spans="14:19" x14ac:dyDescent="0.25">
      <c r="N1465" s="23" t="s">
        <v>102</v>
      </c>
      <c r="O1465" s="30" t="s">
        <v>649</v>
      </c>
      <c r="P1465" s="30" t="s">
        <v>682</v>
      </c>
      <c r="Q1465" s="84" t="s">
        <v>2462</v>
      </c>
      <c r="S1465" t="b">
        <v>1</v>
      </c>
    </row>
    <row r="1466" spans="14:19" x14ac:dyDescent="0.25">
      <c r="N1466" s="23" t="s">
        <v>102</v>
      </c>
      <c r="O1466" s="30" t="s">
        <v>649</v>
      </c>
      <c r="P1466" s="30" t="s">
        <v>683</v>
      </c>
      <c r="Q1466" s="84" t="s">
        <v>2462</v>
      </c>
      <c r="S1466" t="b">
        <v>1</v>
      </c>
    </row>
    <row r="1467" spans="14:19" x14ac:dyDescent="0.25">
      <c r="N1467" s="23" t="s">
        <v>102</v>
      </c>
      <c r="O1467" s="30" t="s">
        <v>649</v>
      </c>
      <c r="P1467" s="30" t="s">
        <v>684</v>
      </c>
      <c r="Q1467" s="84" t="s">
        <v>2462</v>
      </c>
      <c r="S1467" t="b">
        <v>1</v>
      </c>
    </row>
    <row r="1468" spans="14:19" x14ac:dyDescent="0.25">
      <c r="N1468" s="23" t="s">
        <v>102</v>
      </c>
      <c r="O1468" s="30" t="s">
        <v>649</v>
      </c>
      <c r="P1468" s="30" t="s">
        <v>685</v>
      </c>
      <c r="Q1468" s="84" t="s">
        <v>2462</v>
      </c>
      <c r="S1468" t="b">
        <v>1</v>
      </c>
    </row>
    <row r="1469" spans="14:19" x14ac:dyDescent="0.25">
      <c r="N1469" s="23" t="s">
        <v>102</v>
      </c>
      <c r="O1469" s="30" t="s">
        <v>649</v>
      </c>
      <c r="P1469" s="30" t="s">
        <v>686</v>
      </c>
      <c r="Q1469" s="84" t="s">
        <v>2462</v>
      </c>
      <c r="S1469" t="b">
        <v>1</v>
      </c>
    </row>
    <row r="1470" spans="14:19" x14ac:dyDescent="0.25">
      <c r="N1470" s="23" t="s">
        <v>102</v>
      </c>
      <c r="O1470" s="30" t="s">
        <v>649</v>
      </c>
      <c r="P1470" s="30" t="s">
        <v>687</v>
      </c>
      <c r="Q1470" s="84" t="s">
        <v>2462</v>
      </c>
      <c r="S1470" t="b">
        <v>1</v>
      </c>
    </row>
    <row r="1471" spans="14:19" x14ac:dyDescent="0.25">
      <c r="N1471" s="23" t="s">
        <v>102</v>
      </c>
      <c r="O1471" s="30" t="s">
        <v>649</v>
      </c>
      <c r="P1471" s="30" t="s">
        <v>688</v>
      </c>
      <c r="Q1471" s="84" t="s">
        <v>2462</v>
      </c>
      <c r="S1471" t="b">
        <v>1</v>
      </c>
    </row>
    <row r="1472" spans="14:19" x14ac:dyDescent="0.25">
      <c r="N1472" s="23" t="s">
        <v>102</v>
      </c>
      <c r="O1472" s="30" t="s">
        <v>649</v>
      </c>
      <c r="P1472" s="30" t="s">
        <v>689</v>
      </c>
      <c r="Q1472" s="84" t="s">
        <v>2462</v>
      </c>
      <c r="S1472" t="b">
        <v>1</v>
      </c>
    </row>
    <row r="1473" spans="14:19" x14ac:dyDescent="0.25">
      <c r="N1473" s="23" t="s">
        <v>102</v>
      </c>
      <c r="O1473" s="30" t="s">
        <v>649</v>
      </c>
      <c r="P1473" s="30" t="s">
        <v>690</v>
      </c>
      <c r="Q1473" s="84" t="s">
        <v>2462</v>
      </c>
      <c r="S1473" t="b">
        <v>1</v>
      </c>
    </row>
    <row r="1474" spans="14:19" x14ac:dyDescent="0.25">
      <c r="N1474" s="23" t="s">
        <v>102</v>
      </c>
      <c r="O1474" s="30" t="s">
        <v>649</v>
      </c>
      <c r="P1474" s="30" t="s">
        <v>691</v>
      </c>
      <c r="Q1474" s="84" t="s">
        <v>2462</v>
      </c>
      <c r="S1474" t="b">
        <v>1</v>
      </c>
    </row>
    <row r="1475" spans="14:19" x14ac:dyDescent="0.25">
      <c r="N1475" s="23" t="s">
        <v>102</v>
      </c>
      <c r="O1475" s="30" t="s">
        <v>649</v>
      </c>
      <c r="P1475" s="30" t="s">
        <v>692</v>
      </c>
      <c r="Q1475" s="84" t="s">
        <v>2462</v>
      </c>
      <c r="S1475" t="b">
        <v>1</v>
      </c>
    </row>
    <row r="1476" spans="14:19" x14ac:dyDescent="0.25">
      <c r="N1476" s="23" t="s">
        <v>102</v>
      </c>
      <c r="O1476" s="30" t="s">
        <v>649</v>
      </c>
      <c r="P1476" s="30" t="s">
        <v>693</v>
      </c>
      <c r="Q1476" s="84" t="s">
        <v>2462</v>
      </c>
      <c r="S1476" t="b">
        <v>1</v>
      </c>
    </row>
    <row r="1477" spans="14:19" x14ac:dyDescent="0.25">
      <c r="N1477" s="23" t="s">
        <v>102</v>
      </c>
      <c r="O1477" s="30" t="s">
        <v>649</v>
      </c>
      <c r="P1477" s="30" t="s">
        <v>694</v>
      </c>
      <c r="Q1477" s="84" t="s">
        <v>2462</v>
      </c>
      <c r="S1477" t="b">
        <v>1</v>
      </c>
    </row>
    <row r="1478" spans="14:19" x14ac:dyDescent="0.25">
      <c r="N1478" s="23" t="s">
        <v>102</v>
      </c>
      <c r="O1478" s="30" t="s">
        <v>649</v>
      </c>
      <c r="P1478" s="30" t="s">
        <v>695</v>
      </c>
      <c r="Q1478" s="84" t="s">
        <v>2462</v>
      </c>
      <c r="S1478" t="b">
        <v>1</v>
      </c>
    </row>
    <row r="1479" spans="14:19" x14ac:dyDescent="0.25">
      <c r="N1479" s="23" t="s">
        <v>102</v>
      </c>
      <c r="O1479" s="30" t="s">
        <v>649</v>
      </c>
      <c r="P1479" s="30" t="s">
        <v>696</v>
      </c>
      <c r="Q1479" s="84" t="s">
        <v>2462</v>
      </c>
      <c r="S1479" t="b">
        <v>1</v>
      </c>
    </row>
    <row r="1480" spans="14:19" x14ac:dyDescent="0.25">
      <c r="N1480" s="23" t="s">
        <v>102</v>
      </c>
      <c r="O1480" s="30" t="s">
        <v>649</v>
      </c>
      <c r="P1480" s="30" t="s">
        <v>697</v>
      </c>
      <c r="Q1480" s="84" t="s">
        <v>2462</v>
      </c>
      <c r="S1480" t="b">
        <v>1</v>
      </c>
    </row>
    <row r="1481" spans="14:19" x14ac:dyDescent="0.25">
      <c r="N1481" s="23" t="s">
        <v>102</v>
      </c>
      <c r="O1481" s="30" t="s">
        <v>649</v>
      </c>
      <c r="P1481" s="30" t="s">
        <v>698</v>
      </c>
      <c r="Q1481" s="84" t="s">
        <v>2462</v>
      </c>
      <c r="S1481" t="b">
        <v>1</v>
      </c>
    </row>
    <row r="1482" spans="14:19" x14ac:dyDescent="0.25">
      <c r="N1482" s="23" t="s">
        <v>102</v>
      </c>
      <c r="O1482" s="30" t="s">
        <v>649</v>
      </c>
      <c r="P1482" s="30" t="s">
        <v>699</v>
      </c>
      <c r="Q1482" s="84" t="s">
        <v>2462</v>
      </c>
      <c r="S1482" t="b">
        <v>1</v>
      </c>
    </row>
    <row r="1483" spans="14:19" x14ac:dyDescent="0.25">
      <c r="N1483" s="23" t="s">
        <v>102</v>
      </c>
      <c r="O1483" s="30" t="s">
        <v>649</v>
      </c>
      <c r="P1483" s="30" t="s">
        <v>700</v>
      </c>
      <c r="Q1483" s="84" t="s">
        <v>2462</v>
      </c>
      <c r="S1483" t="b">
        <v>1</v>
      </c>
    </row>
    <row r="1484" spans="14:19" x14ac:dyDescent="0.25">
      <c r="N1484" s="23" t="s">
        <v>102</v>
      </c>
      <c r="O1484" s="30" t="s">
        <v>649</v>
      </c>
      <c r="P1484" s="30" t="s">
        <v>701</v>
      </c>
      <c r="Q1484" s="84" t="s">
        <v>2462</v>
      </c>
      <c r="S1484" t="b">
        <v>1</v>
      </c>
    </row>
    <row r="1485" spans="14:19" x14ac:dyDescent="0.25">
      <c r="N1485" s="23" t="s">
        <v>102</v>
      </c>
      <c r="O1485" s="30" t="s">
        <v>649</v>
      </c>
      <c r="P1485" s="30" t="s">
        <v>702</v>
      </c>
      <c r="Q1485" s="84" t="s">
        <v>2462</v>
      </c>
      <c r="S1485" t="b">
        <v>1</v>
      </c>
    </row>
    <row r="1486" spans="14:19" x14ac:dyDescent="0.25">
      <c r="N1486" s="23" t="s">
        <v>102</v>
      </c>
      <c r="O1486" s="30" t="s">
        <v>649</v>
      </c>
      <c r="P1486" s="30" t="s">
        <v>703</v>
      </c>
      <c r="Q1486" s="84" t="s">
        <v>2462</v>
      </c>
      <c r="S1486" t="b">
        <v>1</v>
      </c>
    </row>
    <row r="1487" spans="14:19" x14ac:dyDescent="0.25">
      <c r="N1487" s="23" t="s">
        <v>102</v>
      </c>
      <c r="O1487" s="30" t="s">
        <v>649</v>
      </c>
      <c r="P1487" s="30" t="s">
        <v>704</v>
      </c>
      <c r="Q1487" s="84" t="s">
        <v>2462</v>
      </c>
      <c r="S1487" t="b">
        <v>1</v>
      </c>
    </row>
    <row r="1488" spans="14:19" x14ac:dyDescent="0.25">
      <c r="N1488" s="23" t="s">
        <v>102</v>
      </c>
      <c r="O1488" s="30" t="s">
        <v>649</v>
      </c>
      <c r="P1488" s="30" t="s">
        <v>705</v>
      </c>
      <c r="Q1488" s="84" t="s">
        <v>2462</v>
      </c>
      <c r="S1488" t="b">
        <v>1</v>
      </c>
    </row>
    <row r="1489" spans="14:19" x14ac:dyDescent="0.25">
      <c r="N1489" s="23" t="s">
        <v>102</v>
      </c>
      <c r="O1489" s="30" t="s">
        <v>649</v>
      </c>
      <c r="P1489" s="30" t="s">
        <v>706</v>
      </c>
      <c r="Q1489" s="84" t="s">
        <v>2462</v>
      </c>
      <c r="S1489" t="b">
        <v>1</v>
      </c>
    </row>
    <row r="1490" spans="14:19" x14ac:dyDescent="0.25">
      <c r="N1490" s="23" t="s">
        <v>102</v>
      </c>
      <c r="O1490" s="30" t="s">
        <v>649</v>
      </c>
      <c r="P1490" s="30" t="s">
        <v>707</v>
      </c>
      <c r="Q1490" s="84" t="s">
        <v>2462</v>
      </c>
      <c r="S1490" t="b">
        <v>1</v>
      </c>
    </row>
    <row r="1491" spans="14:19" x14ac:dyDescent="0.25">
      <c r="N1491" s="23" t="s">
        <v>102</v>
      </c>
      <c r="O1491" s="30" t="s">
        <v>649</v>
      </c>
      <c r="P1491" s="30" t="s">
        <v>708</v>
      </c>
      <c r="Q1491" s="84" t="s">
        <v>2462</v>
      </c>
      <c r="S1491" t="b">
        <v>1</v>
      </c>
    </row>
    <row r="1492" spans="14:19" x14ac:dyDescent="0.25">
      <c r="N1492" s="23" t="s">
        <v>102</v>
      </c>
      <c r="O1492" s="30" t="s">
        <v>649</v>
      </c>
      <c r="P1492" s="30" t="s">
        <v>709</v>
      </c>
      <c r="Q1492" s="84" t="s">
        <v>2462</v>
      </c>
      <c r="S1492" t="b">
        <v>1</v>
      </c>
    </row>
    <row r="1493" spans="14:19" x14ac:dyDescent="0.25">
      <c r="N1493" s="23" t="s">
        <v>102</v>
      </c>
      <c r="O1493" s="30" t="s">
        <v>649</v>
      </c>
      <c r="P1493" s="30" t="s">
        <v>710</v>
      </c>
      <c r="Q1493" s="84" t="s">
        <v>2462</v>
      </c>
      <c r="S1493" t="b">
        <v>1</v>
      </c>
    </row>
    <row r="1494" spans="14:19" x14ac:dyDescent="0.25">
      <c r="N1494" s="23" t="s">
        <v>102</v>
      </c>
      <c r="O1494" s="30" t="s">
        <v>649</v>
      </c>
      <c r="P1494" s="30" t="s">
        <v>711</v>
      </c>
      <c r="Q1494" s="84" t="s">
        <v>2462</v>
      </c>
      <c r="S1494" t="b">
        <v>1</v>
      </c>
    </row>
    <row r="1495" spans="14:19" x14ac:dyDescent="0.25">
      <c r="N1495" s="23" t="s">
        <v>102</v>
      </c>
      <c r="O1495" s="30" t="s">
        <v>649</v>
      </c>
      <c r="P1495" s="30" t="s">
        <v>712</v>
      </c>
      <c r="Q1495" s="84" t="s">
        <v>2462</v>
      </c>
      <c r="S1495" t="b">
        <v>1</v>
      </c>
    </row>
    <row r="1496" spans="14:19" x14ac:dyDescent="0.25">
      <c r="N1496" s="23" t="s">
        <v>102</v>
      </c>
      <c r="O1496" s="30" t="s">
        <v>649</v>
      </c>
      <c r="P1496" s="30" t="s">
        <v>713</v>
      </c>
      <c r="Q1496" s="84" t="s">
        <v>2462</v>
      </c>
      <c r="S1496" t="b">
        <v>1</v>
      </c>
    </row>
    <row r="1497" spans="14:19" x14ac:dyDescent="0.25">
      <c r="N1497" s="23" t="s">
        <v>102</v>
      </c>
      <c r="O1497" s="30" t="s">
        <v>649</v>
      </c>
      <c r="P1497" s="30" t="s">
        <v>714</v>
      </c>
      <c r="Q1497" s="84" t="s">
        <v>2462</v>
      </c>
      <c r="S1497" t="b">
        <v>1</v>
      </c>
    </row>
    <row r="1498" spans="14:19" x14ac:dyDescent="0.25">
      <c r="N1498" s="23" t="s">
        <v>102</v>
      </c>
      <c r="O1498" s="30" t="s">
        <v>649</v>
      </c>
      <c r="P1498" s="30" t="s">
        <v>715</v>
      </c>
      <c r="Q1498" s="84" t="s">
        <v>2462</v>
      </c>
      <c r="S1498" t="b">
        <v>1</v>
      </c>
    </row>
    <row r="1499" spans="14:19" x14ac:dyDescent="0.25">
      <c r="N1499" s="23" t="s">
        <v>102</v>
      </c>
      <c r="O1499" s="30" t="s">
        <v>649</v>
      </c>
      <c r="P1499" s="30" t="s">
        <v>716</v>
      </c>
      <c r="Q1499" s="84" t="s">
        <v>2462</v>
      </c>
      <c r="S1499" t="b">
        <v>1</v>
      </c>
    </row>
    <row r="1500" spans="14:19" x14ac:dyDescent="0.25">
      <c r="N1500" s="23" t="s">
        <v>102</v>
      </c>
      <c r="O1500" s="30" t="s">
        <v>649</v>
      </c>
      <c r="P1500" s="30" t="s">
        <v>717</v>
      </c>
      <c r="Q1500" s="84" t="s">
        <v>2462</v>
      </c>
      <c r="S1500" t="b">
        <v>1</v>
      </c>
    </row>
    <row r="1501" spans="14:19" x14ac:dyDescent="0.25">
      <c r="N1501" s="23" t="s">
        <v>102</v>
      </c>
      <c r="O1501" s="30" t="s">
        <v>649</v>
      </c>
      <c r="P1501" s="30" t="s">
        <v>718</v>
      </c>
      <c r="Q1501" s="84" t="s">
        <v>2462</v>
      </c>
      <c r="S1501" t="b">
        <v>1</v>
      </c>
    </row>
    <row r="1502" spans="14:19" x14ac:dyDescent="0.25">
      <c r="N1502" s="23" t="s">
        <v>102</v>
      </c>
      <c r="O1502" s="30" t="s">
        <v>649</v>
      </c>
      <c r="P1502" s="30" t="s">
        <v>719</v>
      </c>
      <c r="Q1502" s="84" t="s">
        <v>2462</v>
      </c>
      <c r="S1502" t="b">
        <v>1</v>
      </c>
    </row>
    <row r="1503" spans="14:19" x14ac:dyDescent="0.25">
      <c r="N1503" s="23" t="s">
        <v>102</v>
      </c>
      <c r="O1503" s="30" t="s">
        <v>649</v>
      </c>
      <c r="P1503" s="30" t="s">
        <v>720</v>
      </c>
      <c r="Q1503" s="84" t="s">
        <v>2462</v>
      </c>
      <c r="S1503" t="b">
        <v>1</v>
      </c>
    </row>
    <row r="1504" spans="14:19" x14ac:dyDescent="0.25">
      <c r="N1504" s="23" t="s">
        <v>102</v>
      </c>
      <c r="O1504" s="30" t="s">
        <v>649</v>
      </c>
      <c r="P1504" s="30" t="s">
        <v>721</v>
      </c>
      <c r="Q1504" s="84" t="s">
        <v>2462</v>
      </c>
      <c r="S1504" t="b">
        <v>1</v>
      </c>
    </row>
    <row r="1505" spans="14:19" x14ac:dyDescent="0.25">
      <c r="N1505" s="23" t="s">
        <v>102</v>
      </c>
      <c r="O1505" s="30" t="s">
        <v>649</v>
      </c>
      <c r="P1505" s="30" t="s">
        <v>722</v>
      </c>
      <c r="Q1505" s="84" t="s">
        <v>2462</v>
      </c>
      <c r="S1505" t="b">
        <v>1</v>
      </c>
    </row>
    <row r="1506" spans="14:19" x14ac:dyDescent="0.25">
      <c r="N1506" s="23" t="s">
        <v>102</v>
      </c>
      <c r="O1506" s="30" t="s">
        <v>649</v>
      </c>
      <c r="P1506" s="30" t="s">
        <v>723</v>
      </c>
      <c r="Q1506" s="84" t="s">
        <v>2462</v>
      </c>
      <c r="S1506" t="b">
        <v>1</v>
      </c>
    </row>
    <row r="1507" spans="14:19" x14ac:dyDescent="0.25">
      <c r="N1507" s="23" t="s">
        <v>102</v>
      </c>
      <c r="O1507" s="30" t="s">
        <v>649</v>
      </c>
      <c r="P1507" s="30" t="s">
        <v>724</v>
      </c>
      <c r="Q1507" s="84" t="s">
        <v>2462</v>
      </c>
      <c r="S1507" t="b">
        <v>1</v>
      </c>
    </row>
    <row r="1508" spans="14:19" x14ac:dyDescent="0.25">
      <c r="N1508" s="23" t="s">
        <v>102</v>
      </c>
      <c r="O1508" s="30" t="s">
        <v>649</v>
      </c>
      <c r="P1508" s="30" t="s">
        <v>725</v>
      </c>
      <c r="Q1508" s="84" t="s">
        <v>2462</v>
      </c>
      <c r="S1508" t="b">
        <v>1</v>
      </c>
    </row>
    <row r="1509" spans="14:19" x14ac:dyDescent="0.25">
      <c r="N1509" s="23" t="s">
        <v>102</v>
      </c>
      <c r="O1509" s="30" t="s">
        <v>649</v>
      </c>
      <c r="P1509" s="30" t="s">
        <v>726</v>
      </c>
      <c r="Q1509" s="84" t="s">
        <v>2462</v>
      </c>
      <c r="S1509" t="b">
        <v>1</v>
      </c>
    </row>
    <row r="1510" spans="14:19" x14ac:dyDescent="0.25">
      <c r="N1510" s="23" t="s">
        <v>102</v>
      </c>
      <c r="O1510" s="30" t="s">
        <v>649</v>
      </c>
      <c r="P1510" s="30" t="s">
        <v>727</v>
      </c>
      <c r="Q1510" s="84" t="s">
        <v>2462</v>
      </c>
      <c r="S1510" t="b">
        <v>1</v>
      </c>
    </row>
    <row r="1511" spans="14:19" x14ac:dyDescent="0.25">
      <c r="N1511" s="23" t="s">
        <v>102</v>
      </c>
      <c r="O1511" s="30" t="s">
        <v>649</v>
      </c>
      <c r="P1511" s="30" t="s">
        <v>728</v>
      </c>
      <c r="Q1511" s="84" t="s">
        <v>2462</v>
      </c>
      <c r="S1511" t="b">
        <v>1</v>
      </c>
    </row>
    <row r="1512" spans="14:19" x14ac:dyDescent="0.25">
      <c r="N1512" s="23" t="s">
        <v>102</v>
      </c>
      <c r="O1512" s="30" t="s">
        <v>649</v>
      </c>
      <c r="P1512" s="30" t="s">
        <v>729</v>
      </c>
      <c r="Q1512" s="84" t="s">
        <v>2462</v>
      </c>
      <c r="S1512" t="b">
        <v>1</v>
      </c>
    </row>
    <row r="1513" spans="14:19" x14ac:dyDescent="0.25">
      <c r="N1513" s="23" t="s">
        <v>102</v>
      </c>
      <c r="O1513" s="30" t="s">
        <v>649</v>
      </c>
      <c r="P1513" s="30" t="s">
        <v>730</v>
      </c>
      <c r="Q1513" s="84" t="s">
        <v>2462</v>
      </c>
      <c r="S1513" t="b">
        <v>1</v>
      </c>
    </row>
    <row r="1514" spans="14:19" x14ac:dyDescent="0.25">
      <c r="N1514" s="23" t="s">
        <v>102</v>
      </c>
      <c r="O1514" s="30" t="s">
        <v>649</v>
      </c>
      <c r="P1514" s="30" t="s">
        <v>731</v>
      </c>
      <c r="Q1514" s="84" t="s">
        <v>2462</v>
      </c>
      <c r="S1514" t="b">
        <v>1</v>
      </c>
    </row>
    <row r="1515" spans="14:19" x14ac:dyDescent="0.25">
      <c r="N1515" s="23" t="s">
        <v>102</v>
      </c>
      <c r="O1515" s="30" t="s">
        <v>649</v>
      </c>
      <c r="P1515" s="30" t="s">
        <v>732</v>
      </c>
      <c r="Q1515" s="84" t="s">
        <v>2462</v>
      </c>
      <c r="S1515" t="b">
        <v>1</v>
      </c>
    </row>
    <row r="1516" spans="14:19" x14ac:dyDescent="0.25">
      <c r="N1516" s="23" t="s">
        <v>102</v>
      </c>
      <c r="O1516" s="30" t="s">
        <v>649</v>
      </c>
      <c r="P1516" s="30" t="s">
        <v>733</v>
      </c>
      <c r="Q1516" s="84" t="s">
        <v>2462</v>
      </c>
      <c r="S1516" t="b">
        <v>1</v>
      </c>
    </row>
    <row r="1517" spans="14:19" x14ac:dyDescent="0.25">
      <c r="N1517" s="23" t="s">
        <v>102</v>
      </c>
      <c r="O1517" s="30" t="s">
        <v>649</v>
      </c>
      <c r="P1517" s="30" t="s">
        <v>734</v>
      </c>
      <c r="Q1517" s="84" t="s">
        <v>2462</v>
      </c>
      <c r="S1517" t="b">
        <v>1</v>
      </c>
    </row>
    <row r="1518" spans="14:19" x14ac:dyDescent="0.25">
      <c r="N1518" s="23" t="s">
        <v>102</v>
      </c>
      <c r="O1518" s="30" t="s">
        <v>649</v>
      </c>
      <c r="P1518" s="30" t="s">
        <v>735</v>
      </c>
      <c r="Q1518" s="84" t="s">
        <v>2462</v>
      </c>
      <c r="S1518" t="b">
        <v>1</v>
      </c>
    </row>
    <row r="1519" spans="14:19" x14ac:dyDescent="0.25">
      <c r="N1519" s="23" t="s">
        <v>102</v>
      </c>
      <c r="O1519" s="30" t="s">
        <v>649</v>
      </c>
      <c r="P1519" s="30" t="s">
        <v>736</v>
      </c>
      <c r="Q1519" s="84" t="s">
        <v>2462</v>
      </c>
      <c r="S1519" t="b">
        <v>1</v>
      </c>
    </row>
    <row r="1520" spans="14:19" x14ac:dyDescent="0.25">
      <c r="N1520" s="23" t="s">
        <v>102</v>
      </c>
      <c r="O1520" s="30" t="s">
        <v>649</v>
      </c>
      <c r="P1520" s="30" t="s">
        <v>737</v>
      </c>
      <c r="Q1520" s="84" t="s">
        <v>2462</v>
      </c>
      <c r="S1520" t="b">
        <v>1</v>
      </c>
    </row>
    <row r="1521" spans="14:19" x14ac:dyDescent="0.25">
      <c r="N1521" s="23" t="s">
        <v>102</v>
      </c>
      <c r="O1521" s="30" t="s">
        <v>649</v>
      </c>
      <c r="P1521" s="30" t="s">
        <v>738</v>
      </c>
      <c r="Q1521" s="84" t="s">
        <v>2462</v>
      </c>
      <c r="S1521" t="b">
        <v>1</v>
      </c>
    </row>
    <row r="1522" spans="14:19" x14ac:dyDescent="0.25">
      <c r="N1522" s="23" t="s">
        <v>102</v>
      </c>
      <c r="O1522" s="30" t="s">
        <v>649</v>
      </c>
      <c r="P1522" s="30" t="s">
        <v>739</v>
      </c>
      <c r="Q1522" s="84" t="s">
        <v>2462</v>
      </c>
      <c r="S1522" t="b">
        <v>1</v>
      </c>
    </row>
    <row r="1523" spans="14:19" x14ac:dyDescent="0.25">
      <c r="N1523" s="23" t="s">
        <v>102</v>
      </c>
      <c r="O1523" s="30" t="s">
        <v>649</v>
      </c>
      <c r="P1523" s="30" t="s">
        <v>740</v>
      </c>
      <c r="Q1523" s="84" t="s">
        <v>2462</v>
      </c>
      <c r="S1523" t="b">
        <v>1</v>
      </c>
    </row>
    <row r="1524" spans="14:19" x14ac:dyDescent="0.25">
      <c r="N1524" s="23" t="s">
        <v>102</v>
      </c>
      <c r="O1524" s="30" t="s">
        <v>649</v>
      </c>
      <c r="P1524" s="30" t="s">
        <v>741</v>
      </c>
      <c r="Q1524" s="84" t="s">
        <v>2462</v>
      </c>
      <c r="S1524" t="b">
        <v>1</v>
      </c>
    </row>
    <row r="1525" spans="14:19" x14ac:dyDescent="0.25">
      <c r="N1525" s="23" t="s">
        <v>102</v>
      </c>
      <c r="O1525" s="30" t="s">
        <v>649</v>
      </c>
      <c r="P1525" s="30" t="s">
        <v>742</v>
      </c>
      <c r="Q1525" s="84" t="s">
        <v>2462</v>
      </c>
      <c r="S1525" t="b">
        <v>1</v>
      </c>
    </row>
    <row r="1526" spans="14:19" x14ac:dyDescent="0.25">
      <c r="N1526" s="23" t="s">
        <v>102</v>
      </c>
      <c r="O1526" s="30" t="s">
        <v>649</v>
      </c>
      <c r="P1526" s="30" t="s">
        <v>743</v>
      </c>
      <c r="Q1526" s="84" t="s">
        <v>2462</v>
      </c>
      <c r="S1526" t="b">
        <v>1</v>
      </c>
    </row>
    <row r="1527" spans="14:19" x14ac:dyDescent="0.25">
      <c r="N1527" s="23" t="s">
        <v>102</v>
      </c>
      <c r="O1527" s="30" t="s">
        <v>649</v>
      </c>
      <c r="P1527" s="30" t="s">
        <v>744</v>
      </c>
      <c r="Q1527" s="84" t="s">
        <v>2462</v>
      </c>
      <c r="S1527" t="b">
        <v>1</v>
      </c>
    </row>
    <row r="1528" spans="14:19" x14ac:dyDescent="0.25">
      <c r="N1528" s="23" t="s">
        <v>102</v>
      </c>
      <c r="O1528" s="30" t="s">
        <v>649</v>
      </c>
      <c r="P1528" s="30" t="s">
        <v>745</v>
      </c>
      <c r="Q1528" s="84" t="s">
        <v>2462</v>
      </c>
      <c r="S1528" t="b">
        <v>1</v>
      </c>
    </row>
    <row r="1529" spans="14:19" x14ac:dyDescent="0.25">
      <c r="N1529" s="23" t="s">
        <v>102</v>
      </c>
      <c r="O1529" s="30" t="s">
        <v>649</v>
      </c>
      <c r="P1529" s="30" t="s">
        <v>746</v>
      </c>
      <c r="Q1529" s="84" t="s">
        <v>2462</v>
      </c>
      <c r="S1529" t="b">
        <v>1</v>
      </c>
    </row>
    <row r="1530" spans="14:19" x14ac:dyDescent="0.25">
      <c r="N1530" s="23" t="s">
        <v>102</v>
      </c>
      <c r="O1530" s="30" t="s">
        <v>649</v>
      </c>
      <c r="P1530" s="30" t="s">
        <v>747</v>
      </c>
      <c r="Q1530" s="84" t="s">
        <v>2462</v>
      </c>
      <c r="S1530" t="b">
        <v>1</v>
      </c>
    </row>
    <row r="1531" spans="14:19" x14ac:dyDescent="0.25">
      <c r="N1531" s="23" t="s">
        <v>102</v>
      </c>
      <c r="O1531" s="30" t="s">
        <v>649</v>
      </c>
      <c r="P1531" s="30" t="s">
        <v>748</v>
      </c>
      <c r="Q1531" s="84" t="s">
        <v>2462</v>
      </c>
      <c r="S1531" t="b">
        <v>1</v>
      </c>
    </row>
    <row r="1532" spans="14:19" x14ac:dyDescent="0.25">
      <c r="N1532" s="23" t="s">
        <v>102</v>
      </c>
      <c r="O1532" s="30" t="s">
        <v>649</v>
      </c>
      <c r="P1532" s="30" t="s">
        <v>749</v>
      </c>
      <c r="Q1532" s="84" t="s">
        <v>2462</v>
      </c>
      <c r="S1532" t="b">
        <v>1</v>
      </c>
    </row>
    <row r="1533" spans="14:19" x14ac:dyDescent="0.25">
      <c r="N1533" s="23" t="s">
        <v>102</v>
      </c>
      <c r="O1533" s="30" t="s">
        <v>649</v>
      </c>
      <c r="P1533" s="30" t="s">
        <v>750</v>
      </c>
      <c r="Q1533" s="84" t="s">
        <v>2462</v>
      </c>
      <c r="S1533" t="b">
        <v>1</v>
      </c>
    </row>
    <row r="1534" spans="14:19" x14ac:dyDescent="0.25">
      <c r="N1534" s="23" t="s">
        <v>102</v>
      </c>
      <c r="O1534" s="30" t="s">
        <v>649</v>
      </c>
      <c r="P1534" s="30" t="s">
        <v>751</v>
      </c>
      <c r="Q1534" s="84" t="s">
        <v>2462</v>
      </c>
      <c r="S1534" t="b">
        <v>1</v>
      </c>
    </row>
    <row r="1535" spans="14:19" x14ac:dyDescent="0.25">
      <c r="N1535" s="23" t="s">
        <v>102</v>
      </c>
      <c r="O1535" s="30" t="s">
        <v>649</v>
      </c>
      <c r="P1535" s="30" t="s">
        <v>752</v>
      </c>
      <c r="Q1535" s="84" t="s">
        <v>2462</v>
      </c>
      <c r="S1535" t="b">
        <v>1</v>
      </c>
    </row>
    <row r="1536" spans="14:19" x14ac:dyDescent="0.25">
      <c r="N1536" s="23" t="s">
        <v>102</v>
      </c>
      <c r="O1536" s="30" t="s">
        <v>649</v>
      </c>
      <c r="P1536" s="30" t="s">
        <v>753</v>
      </c>
      <c r="Q1536" s="84" t="s">
        <v>2462</v>
      </c>
      <c r="S1536" t="b">
        <v>1</v>
      </c>
    </row>
    <row r="1537" spans="14:19" x14ac:dyDescent="0.25">
      <c r="N1537" s="23" t="s">
        <v>102</v>
      </c>
      <c r="O1537" s="30" t="s">
        <v>649</v>
      </c>
      <c r="P1537" s="30" t="s">
        <v>754</v>
      </c>
      <c r="Q1537" s="84" t="s">
        <v>2462</v>
      </c>
      <c r="S1537" t="b">
        <v>1</v>
      </c>
    </row>
    <row r="1538" spans="14:19" x14ac:dyDescent="0.25">
      <c r="N1538" s="23" t="s">
        <v>102</v>
      </c>
      <c r="O1538" s="30" t="s">
        <v>649</v>
      </c>
      <c r="P1538" s="30" t="s">
        <v>755</v>
      </c>
      <c r="Q1538" s="84" t="s">
        <v>2462</v>
      </c>
      <c r="S1538" t="b">
        <v>1</v>
      </c>
    </row>
    <row r="1539" spans="14:19" x14ac:dyDescent="0.25">
      <c r="N1539" s="23" t="s">
        <v>102</v>
      </c>
      <c r="O1539" s="30" t="s">
        <v>649</v>
      </c>
      <c r="P1539" s="30" t="s">
        <v>756</v>
      </c>
      <c r="Q1539" s="84" t="s">
        <v>2462</v>
      </c>
      <c r="S1539" t="b">
        <v>1</v>
      </c>
    </row>
    <row r="1540" spans="14:19" x14ac:dyDescent="0.25">
      <c r="N1540" s="23" t="s">
        <v>102</v>
      </c>
      <c r="O1540" s="30" t="s">
        <v>649</v>
      </c>
      <c r="P1540" s="30" t="s">
        <v>757</v>
      </c>
      <c r="Q1540" s="84" t="s">
        <v>2462</v>
      </c>
      <c r="S1540" t="b">
        <v>1</v>
      </c>
    </row>
    <row r="1541" spans="14:19" x14ac:dyDescent="0.25">
      <c r="N1541" s="23" t="s">
        <v>102</v>
      </c>
      <c r="O1541" s="30" t="s">
        <v>649</v>
      </c>
      <c r="P1541" s="30" t="s">
        <v>758</v>
      </c>
      <c r="Q1541" s="84" t="s">
        <v>2462</v>
      </c>
      <c r="S1541" t="b">
        <v>1</v>
      </c>
    </row>
    <row r="1542" spans="14:19" x14ac:dyDescent="0.25">
      <c r="N1542" s="23" t="s">
        <v>102</v>
      </c>
      <c r="O1542" s="30" t="s">
        <v>649</v>
      </c>
      <c r="P1542" s="30" t="s">
        <v>759</v>
      </c>
      <c r="Q1542" s="84" t="s">
        <v>2462</v>
      </c>
      <c r="S1542" t="b">
        <v>1</v>
      </c>
    </row>
    <row r="1543" spans="14:19" x14ac:dyDescent="0.25">
      <c r="N1543" s="23" t="s">
        <v>102</v>
      </c>
      <c r="O1543" s="30" t="s">
        <v>649</v>
      </c>
      <c r="P1543" s="30" t="s">
        <v>760</v>
      </c>
      <c r="Q1543" s="84" t="s">
        <v>2462</v>
      </c>
      <c r="S1543" t="b">
        <v>1</v>
      </c>
    </row>
    <row r="1544" spans="14:19" x14ac:dyDescent="0.25">
      <c r="N1544" s="23" t="s">
        <v>102</v>
      </c>
      <c r="O1544" s="30" t="s">
        <v>649</v>
      </c>
      <c r="P1544" s="30" t="s">
        <v>761</v>
      </c>
      <c r="Q1544" s="84" t="s">
        <v>2462</v>
      </c>
      <c r="S1544" t="b">
        <v>1</v>
      </c>
    </row>
    <row r="1545" spans="14:19" x14ac:dyDescent="0.25">
      <c r="N1545" s="23" t="s">
        <v>102</v>
      </c>
      <c r="O1545" s="30" t="s">
        <v>649</v>
      </c>
      <c r="P1545" s="30" t="s">
        <v>762</v>
      </c>
      <c r="Q1545" s="84" t="s">
        <v>2462</v>
      </c>
      <c r="S1545" t="b">
        <v>1</v>
      </c>
    </row>
    <row r="1546" spans="14:19" x14ac:dyDescent="0.25">
      <c r="N1546" s="23" t="s">
        <v>102</v>
      </c>
      <c r="O1546" s="30" t="s">
        <v>649</v>
      </c>
      <c r="P1546" s="30" t="s">
        <v>763</v>
      </c>
      <c r="Q1546" s="84" t="s">
        <v>2462</v>
      </c>
      <c r="S1546" t="b">
        <v>1</v>
      </c>
    </row>
    <row r="1547" spans="14:19" x14ac:dyDescent="0.25">
      <c r="N1547" s="23" t="s">
        <v>102</v>
      </c>
      <c r="O1547" s="30" t="s">
        <v>649</v>
      </c>
      <c r="P1547" s="30" t="s">
        <v>764</v>
      </c>
      <c r="Q1547" s="84" t="s">
        <v>2462</v>
      </c>
      <c r="S1547" t="b">
        <v>1</v>
      </c>
    </row>
    <row r="1548" spans="14:19" x14ac:dyDescent="0.25">
      <c r="N1548" s="23" t="s">
        <v>102</v>
      </c>
      <c r="O1548" s="30" t="s">
        <v>649</v>
      </c>
      <c r="P1548" s="30" t="s">
        <v>765</v>
      </c>
      <c r="Q1548" s="84" t="s">
        <v>2462</v>
      </c>
      <c r="S1548" t="b">
        <v>1</v>
      </c>
    </row>
    <row r="1549" spans="14:19" x14ac:dyDescent="0.25">
      <c r="N1549" s="23" t="s">
        <v>102</v>
      </c>
      <c r="O1549" s="30" t="s">
        <v>649</v>
      </c>
      <c r="P1549" s="30" t="s">
        <v>766</v>
      </c>
      <c r="Q1549" s="84" t="s">
        <v>2462</v>
      </c>
      <c r="S1549" t="b">
        <v>1</v>
      </c>
    </row>
    <row r="1550" spans="14:19" x14ac:dyDescent="0.25">
      <c r="N1550" s="23" t="s">
        <v>102</v>
      </c>
      <c r="O1550" s="30" t="s">
        <v>649</v>
      </c>
      <c r="P1550" s="30" t="s">
        <v>767</v>
      </c>
      <c r="Q1550" s="84" t="s">
        <v>2462</v>
      </c>
      <c r="S1550" t="b">
        <v>1</v>
      </c>
    </row>
    <row r="1551" spans="14:19" x14ac:dyDescent="0.25">
      <c r="N1551" s="23" t="s">
        <v>102</v>
      </c>
      <c r="O1551" s="30" t="s">
        <v>649</v>
      </c>
      <c r="P1551" s="30" t="s">
        <v>768</v>
      </c>
      <c r="Q1551" s="84" t="s">
        <v>2463</v>
      </c>
      <c r="S1551" t="b">
        <v>0</v>
      </c>
    </row>
    <row r="1552" spans="14:19" x14ac:dyDescent="0.25">
      <c r="N1552" s="23" t="s">
        <v>102</v>
      </c>
      <c r="O1552" s="30" t="s">
        <v>649</v>
      </c>
      <c r="P1552" s="30" t="s">
        <v>769</v>
      </c>
      <c r="Q1552" s="84" t="s">
        <v>2463</v>
      </c>
      <c r="S1552" t="b">
        <v>0</v>
      </c>
    </row>
    <row r="1553" spans="14:19" x14ac:dyDescent="0.25">
      <c r="N1553" s="23" t="s">
        <v>102</v>
      </c>
      <c r="O1553" s="30" t="s">
        <v>649</v>
      </c>
      <c r="P1553" s="30" t="s">
        <v>770</v>
      </c>
      <c r="Q1553" s="84" t="s">
        <v>2463</v>
      </c>
      <c r="S1553" t="b">
        <v>0</v>
      </c>
    </row>
    <row r="1554" spans="14:19" x14ac:dyDescent="0.25">
      <c r="N1554" s="23" t="s">
        <v>102</v>
      </c>
      <c r="O1554" s="30" t="s">
        <v>649</v>
      </c>
      <c r="P1554" s="30" t="s">
        <v>771</v>
      </c>
      <c r="Q1554" s="84" t="s">
        <v>2463</v>
      </c>
      <c r="S1554" t="b">
        <v>0</v>
      </c>
    </row>
    <row r="1555" spans="14:19" x14ac:dyDescent="0.25">
      <c r="N1555" s="23" t="s">
        <v>102</v>
      </c>
      <c r="O1555" s="30" t="s">
        <v>649</v>
      </c>
      <c r="P1555" s="30" t="s">
        <v>772</v>
      </c>
      <c r="Q1555" s="84" t="s">
        <v>2463</v>
      </c>
      <c r="S1555" t="b">
        <v>0</v>
      </c>
    </row>
    <row r="1556" spans="14:19" x14ac:dyDescent="0.25">
      <c r="N1556" s="23" t="s">
        <v>102</v>
      </c>
      <c r="O1556" s="30" t="s">
        <v>649</v>
      </c>
      <c r="P1556" s="30" t="s">
        <v>773</v>
      </c>
      <c r="Q1556" s="84" t="s">
        <v>2463</v>
      </c>
      <c r="S1556" t="b">
        <v>0</v>
      </c>
    </row>
    <row r="1557" spans="14:19" x14ac:dyDescent="0.25">
      <c r="N1557" s="23" t="s">
        <v>102</v>
      </c>
      <c r="O1557" s="30" t="s">
        <v>649</v>
      </c>
      <c r="P1557" s="30" t="s">
        <v>774</v>
      </c>
      <c r="Q1557" s="84" t="s">
        <v>2463</v>
      </c>
      <c r="S1557" t="b">
        <v>0</v>
      </c>
    </row>
    <row r="1558" spans="14:19" x14ac:dyDescent="0.25">
      <c r="N1558" s="23" t="s">
        <v>102</v>
      </c>
      <c r="O1558" s="30" t="s">
        <v>649</v>
      </c>
      <c r="P1558" s="30" t="s">
        <v>775</v>
      </c>
      <c r="Q1558" s="84" t="s">
        <v>2463</v>
      </c>
      <c r="S1558" t="b">
        <v>0</v>
      </c>
    </row>
    <row r="1559" spans="14:19" x14ac:dyDescent="0.25">
      <c r="N1559" s="23" t="s">
        <v>102</v>
      </c>
      <c r="O1559" s="30" t="s">
        <v>649</v>
      </c>
      <c r="P1559" s="30" t="s">
        <v>776</v>
      </c>
      <c r="Q1559" s="84" t="s">
        <v>2463</v>
      </c>
      <c r="S1559" t="b">
        <v>0</v>
      </c>
    </row>
    <row r="1560" spans="14:19" x14ac:dyDescent="0.25">
      <c r="N1560" s="23" t="s">
        <v>102</v>
      </c>
      <c r="O1560" s="30" t="s">
        <v>649</v>
      </c>
      <c r="P1560" s="30" t="s">
        <v>777</v>
      </c>
      <c r="Q1560" s="84" t="s">
        <v>2463</v>
      </c>
      <c r="S1560" t="b">
        <v>0</v>
      </c>
    </row>
    <row r="1561" spans="14:19" x14ac:dyDescent="0.25">
      <c r="N1561" s="23" t="s">
        <v>102</v>
      </c>
      <c r="O1561" s="30" t="s">
        <v>649</v>
      </c>
      <c r="P1561" s="30" t="s">
        <v>778</v>
      </c>
      <c r="Q1561" s="84" t="s">
        <v>2463</v>
      </c>
      <c r="S1561" t="b">
        <v>0</v>
      </c>
    </row>
    <row r="1562" spans="14:19" x14ac:dyDescent="0.25">
      <c r="N1562" s="23" t="s">
        <v>102</v>
      </c>
      <c r="O1562" s="30" t="s">
        <v>779</v>
      </c>
      <c r="P1562" s="30" t="s">
        <v>780</v>
      </c>
      <c r="Q1562" s="84" t="s">
        <v>2462</v>
      </c>
      <c r="S1562" t="b">
        <v>1</v>
      </c>
    </row>
    <row r="1563" spans="14:19" x14ac:dyDescent="0.25">
      <c r="N1563" s="23" t="s">
        <v>102</v>
      </c>
      <c r="O1563" s="30" t="s">
        <v>779</v>
      </c>
      <c r="P1563" s="30" t="s">
        <v>781</v>
      </c>
      <c r="Q1563" s="84" t="s">
        <v>2462</v>
      </c>
      <c r="S1563" t="b">
        <v>1</v>
      </c>
    </row>
    <row r="1564" spans="14:19" x14ac:dyDescent="0.25">
      <c r="N1564" s="23" t="s">
        <v>102</v>
      </c>
      <c r="O1564" s="30" t="s">
        <v>779</v>
      </c>
      <c r="P1564" s="30" t="s">
        <v>782</v>
      </c>
      <c r="Q1564" s="84" t="s">
        <v>2462</v>
      </c>
      <c r="S1564" t="b">
        <v>1</v>
      </c>
    </row>
    <row r="1565" spans="14:19" x14ac:dyDescent="0.25">
      <c r="N1565" s="23" t="s">
        <v>102</v>
      </c>
      <c r="O1565" s="30" t="s">
        <v>779</v>
      </c>
      <c r="P1565" s="30" t="s">
        <v>783</v>
      </c>
      <c r="Q1565" s="84" t="s">
        <v>2462</v>
      </c>
      <c r="S1565" t="b">
        <v>1</v>
      </c>
    </row>
    <row r="1566" spans="14:19" x14ac:dyDescent="0.25">
      <c r="N1566" s="23" t="s">
        <v>102</v>
      </c>
      <c r="O1566" s="30" t="s">
        <v>779</v>
      </c>
      <c r="P1566" s="30" t="s">
        <v>784</v>
      </c>
      <c r="Q1566" s="84" t="s">
        <v>2462</v>
      </c>
      <c r="S1566" t="b">
        <v>1</v>
      </c>
    </row>
    <row r="1567" spans="14:19" x14ac:dyDescent="0.25">
      <c r="N1567" s="23" t="s">
        <v>102</v>
      </c>
      <c r="O1567" s="30" t="s">
        <v>779</v>
      </c>
      <c r="P1567" s="30" t="s">
        <v>785</v>
      </c>
      <c r="Q1567" s="84" t="s">
        <v>2462</v>
      </c>
      <c r="S1567" t="b">
        <v>1</v>
      </c>
    </row>
    <row r="1568" spans="14:19" x14ac:dyDescent="0.25">
      <c r="N1568" s="23" t="s">
        <v>102</v>
      </c>
      <c r="O1568" s="30" t="s">
        <v>779</v>
      </c>
      <c r="P1568" s="30" t="s">
        <v>786</v>
      </c>
      <c r="Q1568" s="84" t="s">
        <v>2462</v>
      </c>
      <c r="S1568" t="b">
        <v>1</v>
      </c>
    </row>
    <row r="1569" spans="14:19" x14ac:dyDescent="0.25">
      <c r="N1569" s="23" t="s">
        <v>102</v>
      </c>
      <c r="O1569" s="30" t="s">
        <v>779</v>
      </c>
      <c r="P1569" s="30" t="s">
        <v>787</v>
      </c>
      <c r="Q1569" s="84" t="s">
        <v>2462</v>
      </c>
      <c r="S1569" t="b">
        <v>1</v>
      </c>
    </row>
    <row r="1570" spans="14:19" x14ac:dyDescent="0.25">
      <c r="N1570" s="23" t="s">
        <v>102</v>
      </c>
      <c r="O1570" s="30" t="s">
        <v>779</v>
      </c>
      <c r="P1570" s="30" t="s">
        <v>788</v>
      </c>
      <c r="Q1570" s="84" t="s">
        <v>2462</v>
      </c>
      <c r="S1570" t="b">
        <v>1</v>
      </c>
    </row>
    <row r="1571" spans="14:19" x14ac:dyDescent="0.25">
      <c r="N1571" s="23" t="s">
        <v>102</v>
      </c>
      <c r="O1571" s="30" t="s">
        <v>779</v>
      </c>
      <c r="P1571" s="30" t="s">
        <v>789</v>
      </c>
      <c r="Q1571" s="84" t="s">
        <v>2462</v>
      </c>
      <c r="S1571" t="b">
        <v>1</v>
      </c>
    </row>
    <row r="1572" spans="14:19" x14ac:dyDescent="0.25">
      <c r="N1572" s="23" t="s">
        <v>102</v>
      </c>
      <c r="O1572" s="30" t="s">
        <v>779</v>
      </c>
      <c r="P1572" s="30" t="s">
        <v>790</v>
      </c>
      <c r="Q1572" s="84" t="s">
        <v>2462</v>
      </c>
      <c r="S1572" t="b">
        <v>1</v>
      </c>
    </row>
    <row r="1573" spans="14:19" x14ac:dyDescent="0.25">
      <c r="N1573" s="23" t="s">
        <v>102</v>
      </c>
      <c r="O1573" s="30" t="s">
        <v>779</v>
      </c>
      <c r="P1573" s="30" t="s">
        <v>791</v>
      </c>
      <c r="Q1573" s="84" t="s">
        <v>2462</v>
      </c>
      <c r="S1573" t="b">
        <v>1</v>
      </c>
    </row>
    <row r="1574" spans="14:19" x14ac:dyDescent="0.25">
      <c r="N1574" s="23" t="s">
        <v>102</v>
      </c>
      <c r="O1574" s="30" t="s">
        <v>779</v>
      </c>
      <c r="P1574" s="30" t="s">
        <v>792</v>
      </c>
      <c r="Q1574" s="84" t="s">
        <v>2462</v>
      </c>
      <c r="S1574" t="b">
        <v>1</v>
      </c>
    </row>
    <row r="1575" spans="14:19" x14ac:dyDescent="0.25">
      <c r="N1575" s="23" t="s">
        <v>102</v>
      </c>
      <c r="O1575" s="30" t="s">
        <v>779</v>
      </c>
      <c r="P1575" s="30" t="s">
        <v>793</v>
      </c>
      <c r="Q1575" s="84" t="s">
        <v>2462</v>
      </c>
      <c r="S1575" t="b">
        <v>1</v>
      </c>
    </row>
    <row r="1576" spans="14:19" x14ac:dyDescent="0.25">
      <c r="N1576" s="23" t="s">
        <v>102</v>
      </c>
      <c r="O1576" s="30" t="s">
        <v>779</v>
      </c>
      <c r="P1576" s="30" t="s">
        <v>794</v>
      </c>
      <c r="Q1576" s="84" t="s">
        <v>2462</v>
      </c>
      <c r="S1576" t="b">
        <v>1</v>
      </c>
    </row>
    <row r="1577" spans="14:19" x14ac:dyDescent="0.25">
      <c r="N1577" s="23" t="s">
        <v>102</v>
      </c>
      <c r="O1577" s="30" t="s">
        <v>779</v>
      </c>
      <c r="P1577" s="30" t="s">
        <v>795</v>
      </c>
      <c r="Q1577" s="84" t="s">
        <v>2462</v>
      </c>
      <c r="S1577" t="b">
        <v>1</v>
      </c>
    </row>
    <row r="1578" spans="14:19" x14ac:dyDescent="0.25">
      <c r="N1578" s="23" t="s">
        <v>102</v>
      </c>
      <c r="O1578" s="30" t="s">
        <v>779</v>
      </c>
      <c r="P1578" s="30" t="s">
        <v>796</v>
      </c>
      <c r="Q1578" s="84" t="s">
        <v>2462</v>
      </c>
      <c r="S1578" t="b">
        <v>1</v>
      </c>
    </row>
    <row r="1579" spans="14:19" x14ac:dyDescent="0.25">
      <c r="N1579" s="23" t="s">
        <v>102</v>
      </c>
      <c r="O1579" s="30" t="s">
        <v>779</v>
      </c>
      <c r="P1579" s="30" t="s">
        <v>797</v>
      </c>
      <c r="Q1579" s="84" t="s">
        <v>2462</v>
      </c>
      <c r="S1579" t="b">
        <v>1</v>
      </c>
    </row>
    <row r="1580" spans="14:19" x14ac:dyDescent="0.25">
      <c r="N1580" s="23" t="s">
        <v>102</v>
      </c>
      <c r="O1580" s="30" t="s">
        <v>779</v>
      </c>
      <c r="P1580" s="30" t="s">
        <v>798</v>
      </c>
      <c r="Q1580" s="84" t="s">
        <v>2462</v>
      </c>
      <c r="S1580" t="b">
        <v>1</v>
      </c>
    </row>
    <row r="1581" spans="14:19" x14ac:dyDescent="0.25">
      <c r="N1581" s="23" t="s">
        <v>102</v>
      </c>
      <c r="O1581" s="30" t="s">
        <v>779</v>
      </c>
      <c r="P1581" s="30" t="s">
        <v>799</v>
      </c>
      <c r="Q1581" s="84" t="s">
        <v>2462</v>
      </c>
      <c r="S1581" t="b">
        <v>1</v>
      </c>
    </row>
    <row r="1582" spans="14:19" x14ac:dyDescent="0.25">
      <c r="N1582" s="23" t="s">
        <v>102</v>
      </c>
      <c r="O1582" s="30" t="s">
        <v>779</v>
      </c>
      <c r="P1582" s="30" t="s">
        <v>800</v>
      </c>
      <c r="Q1582" s="84" t="s">
        <v>2462</v>
      </c>
      <c r="S1582" t="b">
        <v>1</v>
      </c>
    </row>
    <row r="1583" spans="14:19" x14ac:dyDescent="0.25">
      <c r="N1583" s="23" t="s">
        <v>102</v>
      </c>
      <c r="O1583" s="30" t="s">
        <v>779</v>
      </c>
      <c r="P1583" s="30" t="s">
        <v>801</v>
      </c>
      <c r="Q1583" s="84" t="s">
        <v>2462</v>
      </c>
      <c r="S1583" t="b">
        <v>1</v>
      </c>
    </row>
    <row r="1584" spans="14:19" x14ac:dyDescent="0.25">
      <c r="N1584" s="23" t="s">
        <v>102</v>
      </c>
      <c r="O1584" s="30" t="s">
        <v>779</v>
      </c>
      <c r="P1584" s="30" t="s">
        <v>802</v>
      </c>
      <c r="Q1584" s="84" t="s">
        <v>2462</v>
      </c>
      <c r="S1584" t="b">
        <v>1</v>
      </c>
    </row>
    <row r="1585" spans="14:19" x14ac:dyDescent="0.25">
      <c r="N1585" s="23" t="s">
        <v>102</v>
      </c>
      <c r="O1585" s="30" t="s">
        <v>779</v>
      </c>
      <c r="P1585" s="30" t="s">
        <v>803</v>
      </c>
      <c r="Q1585" s="84" t="s">
        <v>2462</v>
      </c>
      <c r="S1585" t="b">
        <v>1</v>
      </c>
    </row>
    <row r="1586" spans="14:19" x14ac:dyDescent="0.25">
      <c r="N1586" s="23" t="s">
        <v>102</v>
      </c>
      <c r="O1586" s="30" t="s">
        <v>779</v>
      </c>
      <c r="P1586" s="30" t="s">
        <v>804</v>
      </c>
      <c r="Q1586" s="84" t="s">
        <v>2462</v>
      </c>
      <c r="S1586" t="b">
        <v>1</v>
      </c>
    </row>
    <row r="1587" spans="14:19" x14ac:dyDescent="0.25">
      <c r="N1587" s="23" t="s">
        <v>102</v>
      </c>
      <c r="O1587" s="30" t="s">
        <v>779</v>
      </c>
      <c r="P1587" s="30" t="s">
        <v>805</v>
      </c>
      <c r="Q1587" s="84" t="s">
        <v>2462</v>
      </c>
      <c r="S1587" t="b">
        <v>1</v>
      </c>
    </row>
    <row r="1588" spans="14:19" x14ac:dyDescent="0.25">
      <c r="N1588" s="23" t="s">
        <v>102</v>
      </c>
      <c r="O1588" s="30" t="s">
        <v>779</v>
      </c>
      <c r="P1588" s="30" t="s">
        <v>806</v>
      </c>
      <c r="Q1588" s="84" t="s">
        <v>2462</v>
      </c>
      <c r="S1588" t="b">
        <v>1</v>
      </c>
    </row>
    <row r="1589" spans="14:19" x14ac:dyDescent="0.25">
      <c r="N1589" s="23" t="s">
        <v>102</v>
      </c>
      <c r="O1589" s="30" t="s">
        <v>779</v>
      </c>
      <c r="P1589" s="30" t="s">
        <v>807</v>
      </c>
      <c r="Q1589" s="84" t="s">
        <v>2462</v>
      </c>
      <c r="S1589" t="b">
        <v>1</v>
      </c>
    </row>
    <row r="1590" spans="14:19" x14ac:dyDescent="0.25">
      <c r="N1590" s="23" t="s">
        <v>102</v>
      </c>
      <c r="O1590" s="30" t="s">
        <v>779</v>
      </c>
      <c r="P1590" s="30" t="s">
        <v>808</v>
      </c>
      <c r="Q1590" s="84" t="s">
        <v>2462</v>
      </c>
      <c r="S1590" t="b">
        <v>1</v>
      </c>
    </row>
    <row r="1591" spans="14:19" x14ac:dyDescent="0.25">
      <c r="N1591" s="23" t="s">
        <v>102</v>
      </c>
      <c r="O1591" s="30" t="s">
        <v>779</v>
      </c>
      <c r="P1591" s="30" t="s">
        <v>809</v>
      </c>
      <c r="Q1591" s="84" t="s">
        <v>2462</v>
      </c>
      <c r="S1591" t="b">
        <v>1</v>
      </c>
    </row>
    <row r="1592" spans="14:19" x14ac:dyDescent="0.25">
      <c r="N1592" s="23" t="s">
        <v>102</v>
      </c>
      <c r="O1592" s="30" t="s">
        <v>779</v>
      </c>
      <c r="P1592" s="30" t="s">
        <v>810</v>
      </c>
      <c r="Q1592" s="84" t="s">
        <v>2462</v>
      </c>
      <c r="S1592" t="b">
        <v>1</v>
      </c>
    </row>
    <row r="1593" spans="14:19" x14ac:dyDescent="0.25">
      <c r="N1593" s="23" t="s">
        <v>102</v>
      </c>
      <c r="O1593" s="30" t="s">
        <v>779</v>
      </c>
      <c r="P1593" s="30" t="s">
        <v>811</v>
      </c>
      <c r="Q1593" s="84" t="s">
        <v>2462</v>
      </c>
      <c r="S1593" t="b">
        <v>1</v>
      </c>
    </row>
    <row r="1594" spans="14:19" x14ac:dyDescent="0.25">
      <c r="N1594" s="23" t="s">
        <v>102</v>
      </c>
      <c r="O1594" s="30" t="s">
        <v>779</v>
      </c>
      <c r="P1594" s="30" t="s">
        <v>812</v>
      </c>
      <c r="Q1594" s="84" t="s">
        <v>2462</v>
      </c>
      <c r="S1594" t="b">
        <v>1</v>
      </c>
    </row>
    <row r="1595" spans="14:19" x14ac:dyDescent="0.25">
      <c r="N1595" s="23" t="s">
        <v>102</v>
      </c>
      <c r="O1595" s="30" t="s">
        <v>779</v>
      </c>
      <c r="P1595" s="30" t="s">
        <v>813</v>
      </c>
      <c r="Q1595" s="84" t="s">
        <v>2462</v>
      </c>
      <c r="S1595" t="b">
        <v>1</v>
      </c>
    </row>
    <row r="1596" spans="14:19" x14ac:dyDescent="0.25">
      <c r="N1596" s="23" t="s">
        <v>102</v>
      </c>
      <c r="O1596" s="30" t="s">
        <v>779</v>
      </c>
      <c r="P1596" s="30" t="s">
        <v>814</v>
      </c>
      <c r="Q1596" s="84" t="s">
        <v>2462</v>
      </c>
      <c r="S1596" t="b">
        <v>1</v>
      </c>
    </row>
    <row r="1597" spans="14:19" x14ac:dyDescent="0.25">
      <c r="N1597" s="23" t="s">
        <v>102</v>
      </c>
      <c r="O1597" s="30" t="s">
        <v>779</v>
      </c>
      <c r="P1597" s="30" t="s">
        <v>815</v>
      </c>
      <c r="Q1597" s="84" t="s">
        <v>2462</v>
      </c>
      <c r="S1597" t="b">
        <v>1</v>
      </c>
    </row>
    <row r="1598" spans="14:19" x14ac:dyDescent="0.25">
      <c r="N1598" s="23" t="s">
        <v>102</v>
      </c>
      <c r="O1598" s="30" t="s">
        <v>779</v>
      </c>
      <c r="P1598" s="30" t="s">
        <v>816</v>
      </c>
      <c r="Q1598" s="84" t="s">
        <v>2462</v>
      </c>
      <c r="S1598" t="b">
        <v>1</v>
      </c>
    </row>
    <row r="1599" spans="14:19" x14ac:dyDescent="0.25">
      <c r="N1599" s="23" t="s">
        <v>102</v>
      </c>
      <c r="O1599" s="30" t="s">
        <v>779</v>
      </c>
      <c r="P1599" s="30" t="s">
        <v>817</v>
      </c>
      <c r="Q1599" s="84" t="s">
        <v>2462</v>
      </c>
      <c r="S1599" t="b">
        <v>1</v>
      </c>
    </row>
    <row r="1600" spans="14:19" x14ac:dyDescent="0.25">
      <c r="N1600" s="23" t="s">
        <v>102</v>
      </c>
      <c r="O1600" s="30" t="s">
        <v>779</v>
      </c>
      <c r="P1600" s="30" t="s">
        <v>818</v>
      </c>
      <c r="Q1600" s="84" t="s">
        <v>2462</v>
      </c>
      <c r="S1600" t="b">
        <v>1</v>
      </c>
    </row>
    <row r="1601" spans="14:19" x14ac:dyDescent="0.25">
      <c r="N1601" s="23" t="s">
        <v>102</v>
      </c>
      <c r="O1601" s="30" t="s">
        <v>779</v>
      </c>
      <c r="P1601" s="30" t="s">
        <v>819</v>
      </c>
      <c r="Q1601" s="84" t="s">
        <v>2462</v>
      </c>
      <c r="S1601" t="b">
        <v>1</v>
      </c>
    </row>
    <row r="1602" spans="14:19" x14ac:dyDescent="0.25">
      <c r="N1602" s="23" t="s">
        <v>102</v>
      </c>
      <c r="O1602" s="30" t="s">
        <v>779</v>
      </c>
      <c r="P1602" s="30" t="s">
        <v>820</v>
      </c>
      <c r="Q1602" s="84" t="s">
        <v>2462</v>
      </c>
      <c r="S1602" t="b">
        <v>1</v>
      </c>
    </row>
    <row r="1603" spans="14:19" x14ac:dyDescent="0.25">
      <c r="N1603" s="23" t="s">
        <v>102</v>
      </c>
      <c r="O1603" s="30" t="s">
        <v>779</v>
      </c>
      <c r="P1603" s="30" t="s">
        <v>821</v>
      </c>
      <c r="Q1603" s="84" t="s">
        <v>2462</v>
      </c>
      <c r="S1603" t="b">
        <v>1</v>
      </c>
    </row>
    <row r="1604" spans="14:19" x14ac:dyDescent="0.25">
      <c r="N1604" s="23" t="s">
        <v>102</v>
      </c>
      <c r="O1604" s="30" t="s">
        <v>779</v>
      </c>
      <c r="P1604" s="30" t="s">
        <v>822</v>
      </c>
      <c r="Q1604" s="84" t="s">
        <v>2462</v>
      </c>
      <c r="S1604" t="b">
        <v>1</v>
      </c>
    </row>
    <row r="1605" spans="14:19" x14ac:dyDescent="0.25">
      <c r="N1605" s="23" t="s">
        <v>102</v>
      </c>
      <c r="O1605" s="30" t="s">
        <v>779</v>
      </c>
      <c r="P1605" s="30" t="s">
        <v>823</v>
      </c>
      <c r="Q1605" s="84" t="s">
        <v>2462</v>
      </c>
      <c r="S1605" t="b">
        <v>1</v>
      </c>
    </row>
    <row r="1606" spans="14:19" x14ac:dyDescent="0.25">
      <c r="N1606" s="23" t="s">
        <v>102</v>
      </c>
      <c r="O1606" s="30" t="s">
        <v>779</v>
      </c>
      <c r="P1606" s="30" t="s">
        <v>824</v>
      </c>
      <c r="Q1606" s="84" t="s">
        <v>2462</v>
      </c>
      <c r="S1606" t="b">
        <v>1</v>
      </c>
    </row>
    <row r="1607" spans="14:19" x14ac:dyDescent="0.25">
      <c r="N1607" s="23" t="s">
        <v>102</v>
      </c>
      <c r="O1607" s="30" t="s">
        <v>779</v>
      </c>
      <c r="P1607" s="30" t="s">
        <v>825</v>
      </c>
      <c r="Q1607" s="84" t="s">
        <v>2462</v>
      </c>
      <c r="S1607" t="b">
        <v>1</v>
      </c>
    </row>
    <row r="1608" spans="14:19" x14ac:dyDescent="0.25">
      <c r="N1608" s="23" t="s">
        <v>102</v>
      </c>
      <c r="O1608" s="30" t="s">
        <v>779</v>
      </c>
      <c r="P1608" s="30" t="s">
        <v>826</v>
      </c>
      <c r="Q1608" s="84" t="s">
        <v>2462</v>
      </c>
      <c r="S1608" t="b">
        <v>1</v>
      </c>
    </row>
    <row r="1609" spans="14:19" x14ac:dyDescent="0.25">
      <c r="N1609" s="23" t="s">
        <v>102</v>
      </c>
      <c r="O1609" s="30" t="s">
        <v>779</v>
      </c>
      <c r="P1609" s="30" t="s">
        <v>827</v>
      </c>
      <c r="Q1609" s="84" t="s">
        <v>2462</v>
      </c>
      <c r="S1609" t="b">
        <v>1</v>
      </c>
    </row>
    <row r="1610" spans="14:19" x14ac:dyDescent="0.25">
      <c r="N1610" s="23" t="s">
        <v>102</v>
      </c>
      <c r="O1610" s="30" t="s">
        <v>779</v>
      </c>
      <c r="P1610" s="30" t="s">
        <v>828</v>
      </c>
      <c r="Q1610" s="84" t="s">
        <v>2462</v>
      </c>
      <c r="S1610" t="b">
        <v>1</v>
      </c>
    </row>
    <row r="1611" spans="14:19" x14ac:dyDescent="0.25">
      <c r="N1611" s="23" t="s">
        <v>102</v>
      </c>
      <c r="O1611" s="30" t="s">
        <v>779</v>
      </c>
      <c r="P1611" s="30" t="s">
        <v>829</v>
      </c>
      <c r="Q1611" s="84" t="s">
        <v>2462</v>
      </c>
      <c r="S1611" t="b">
        <v>1</v>
      </c>
    </row>
    <row r="1612" spans="14:19" x14ac:dyDescent="0.25">
      <c r="N1612" s="23" t="s">
        <v>102</v>
      </c>
      <c r="O1612" s="30" t="s">
        <v>779</v>
      </c>
      <c r="P1612" s="30" t="s">
        <v>830</v>
      </c>
      <c r="Q1612" s="84" t="s">
        <v>2462</v>
      </c>
      <c r="S1612" t="b">
        <v>1</v>
      </c>
    </row>
    <row r="1613" spans="14:19" x14ac:dyDescent="0.25">
      <c r="N1613" s="23" t="s">
        <v>102</v>
      </c>
      <c r="O1613" s="30" t="s">
        <v>779</v>
      </c>
      <c r="P1613" s="30" t="s">
        <v>831</v>
      </c>
      <c r="Q1613" s="84" t="s">
        <v>2462</v>
      </c>
      <c r="S1613" t="b">
        <v>1</v>
      </c>
    </row>
    <row r="1614" spans="14:19" x14ac:dyDescent="0.25">
      <c r="N1614" s="23" t="s">
        <v>102</v>
      </c>
      <c r="O1614" s="30" t="s">
        <v>779</v>
      </c>
      <c r="P1614" s="30" t="s">
        <v>832</v>
      </c>
      <c r="Q1614" s="84" t="s">
        <v>2462</v>
      </c>
      <c r="S1614" t="b">
        <v>1</v>
      </c>
    </row>
    <row r="1615" spans="14:19" x14ac:dyDescent="0.25">
      <c r="N1615" s="23" t="s">
        <v>102</v>
      </c>
      <c r="O1615" s="30" t="s">
        <v>779</v>
      </c>
      <c r="P1615" s="30" t="s">
        <v>833</v>
      </c>
      <c r="Q1615" s="84" t="s">
        <v>2462</v>
      </c>
      <c r="S1615" t="b">
        <v>1</v>
      </c>
    </row>
    <row r="1616" spans="14:19" x14ac:dyDescent="0.25">
      <c r="N1616" s="23" t="s">
        <v>102</v>
      </c>
      <c r="O1616" s="30" t="s">
        <v>779</v>
      </c>
      <c r="P1616" s="30" t="s">
        <v>834</v>
      </c>
      <c r="Q1616" s="84" t="s">
        <v>2462</v>
      </c>
      <c r="S1616" t="b">
        <v>1</v>
      </c>
    </row>
    <row r="1617" spans="14:19" x14ac:dyDescent="0.25">
      <c r="N1617" s="23" t="s">
        <v>102</v>
      </c>
      <c r="O1617" s="30" t="s">
        <v>779</v>
      </c>
      <c r="P1617" s="30" t="s">
        <v>835</v>
      </c>
      <c r="Q1617" s="84" t="s">
        <v>2462</v>
      </c>
      <c r="S1617" t="b">
        <v>1</v>
      </c>
    </row>
    <row r="1618" spans="14:19" x14ac:dyDescent="0.25">
      <c r="N1618" s="23" t="s">
        <v>102</v>
      </c>
      <c r="O1618" s="30" t="s">
        <v>779</v>
      </c>
      <c r="P1618" s="30" t="s">
        <v>836</v>
      </c>
      <c r="Q1618" s="84" t="s">
        <v>2462</v>
      </c>
      <c r="S1618" t="b">
        <v>1</v>
      </c>
    </row>
    <row r="1619" spans="14:19" x14ac:dyDescent="0.25">
      <c r="N1619" s="23" t="s">
        <v>102</v>
      </c>
      <c r="O1619" s="30" t="s">
        <v>779</v>
      </c>
      <c r="P1619" s="30" t="s">
        <v>837</v>
      </c>
      <c r="Q1619" s="84" t="s">
        <v>2462</v>
      </c>
      <c r="S1619" t="b">
        <v>1</v>
      </c>
    </row>
    <row r="1620" spans="14:19" x14ac:dyDescent="0.25">
      <c r="N1620" s="23" t="s">
        <v>102</v>
      </c>
      <c r="O1620" s="30" t="s">
        <v>779</v>
      </c>
      <c r="P1620" s="30" t="s">
        <v>838</v>
      </c>
      <c r="Q1620" s="84" t="s">
        <v>2462</v>
      </c>
      <c r="S1620" t="b">
        <v>1</v>
      </c>
    </row>
    <row r="1621" spans="14:19" x14ac:dyDescent="0.25">
      <c r="N1621" s="23" t="s">
        <v>102</v>
      </c>
      <c r="O1621" s="30" t="s">
        <v>779</v>
      </c>
      <c r="P1621" s="30" t="s">
        <v>839</v>
      </c>
      <c r="Q1621" s="84" t="s">
        <v>2462</v>
      </c>
      <c r="S1621" t="b">
        <v>1</v>
      </c>
    </row>
    <row r="1622" spans="14:19" x14ac:dyDescent="0.25">
      <c r="N1622" s="23" t="s">
        <v>102</v>
      </c>
      <c r="O1622" s="30" t="s">
        <v>779</v>
      </c>
      <c r="P1622" s="30" t="s">
        <v>840</v>
      </c>
      <c r="Q1622" s="84" t="s">
        <v>2462</v>
      </c>
      <c r="S1622" t="b">
        <v>1</v>
      </c>
    </row>
    <row r="1623" spans="14:19" x14ac:dyDescent="0.25">
      <c r="N1623" s="23" t="s">
        <v>102</v>
      </c>
      <c r="O1623" s="30" t="s">
        <v>779</v>
      </c>
      <c r="P1623" s="30" t="s">
        <v>841</v>
      </c>
      <c r="Q1623" s="84" t="s">
        <v>2462</v>
      </c>
      <c r="S1623" t="b">
        <v>1</v>
      </c>
    </row>
    <row r="1624" spans="14:19" x14ac:dyDescent="0.25">
      <c r="N1624" s="23" t="s">
        <v>102</v>
      </c>
      <c r="O1624" s="30" t="s">
        <v>779</v>
      </c>
      <c r="P1624" s="30" t="s">
        <v>842</v>
      </c>
      <c r="Q1624" s="84" t="s">
        <v>2462</v>
      </c>
      <c r="S1624" t="b">
        <v>1</v>
      </c>
    </row>
    <row r="1625" spans="14:19" x14ac:dyDescent="0.25">
      <c r="N1625" s="23" t="s">
        <v>102</v>
      </c>
      <c r="O1625" s="30" t="s">
        <v>779</v>
      </c>
      <c r="P1625" s="30" t="s">
        <v>843</v>
      </c>
      <c r="Q1625" s="84" t="s">
        <v>2462</v>
      </c>
      <c r="S1625" t="b">
        <v>1</v>
      </c>
    </row>
    <row r="1626" spans="14:19" x14ac:dyDescent="0.25">
      <c r="N1626" s="23" t="s">
        <v>102</v>
      </c>
      <c r="O1626" s="30" t="s">
        <v>779</v>
      </c>
      <c r="P1626" s="30" t="s">
        <v>844</v>
      </c>
      <c r="Q1626" s="84" t="s">
        <v>2462</v>
      </c>
      <c r="S1626" t="b">
        <v>1</v>
      </c>
    </row>
    <row r="1627" spans="14:19" x14ac:dyDescent="0.25">
      <c r="N1627" s="23" t="s">
        <v>102</v>
      </c>
      <c r="O1627" s="30" t="s">
        <v>779</v>
      </c>
      <c r="P1627" s="30" t="s">
        <v>845</v>
      </c>
      <c r="Q1627" s="84" t="s">
        <v>2463</v>
      </c>
      <c r="S1627" t="b">
        <v>0</v>
      </c>
    </row>
    <row r="1628" spans="14:19" x14ac:dyDescent="0.25">
      <c r="N1628" s="23" t="s">
        <v>102</v>
      </c>
      <c r="O1628" s="30" t="s">
        <v>779</v>
      </c>
      <c r="P1628" s="30" t="s">
        <v>846</v>
      </c>
      <c r="Q1628" s="84" t="s">
        <v>2463</v>
      </c>
      <c r="S1628" t="b">
        <v>0</v>
      </c>
    </row>
    <row r="1629" spans="14:19" x14ac:dyDescent="0.25">
      <c r="N1629" s="23" t="s">
        <v>102</v>
      </c>
      <c r="O1629" s="30" t="s">
        <v>779</v>
      </c>
      <c r="P1629" s="30" t="s">
        <v>847</v>
      </c>
      <c r="Q1629" s="84" t="s">
        <v>2463</v>
      </c>
      <c r="S1629" t="b">
        <v>0</v>
      </c>
    </row>
    <row r="1630" spans="14:19" x14ac:dyDescent="0.25">
      <c r="N1630" s="23" t="s">
        <v>102</v>
      </c>
      <c r="O1630" s="30" t="s">
        <v>779</v>
      </c>
      <c r="P1630" s="30" t="s">
        <v>848</v>
      </c>
      <c r="Q1630" s="84" t="s">
        <v>2463</v>
      </c>
      <c r="S1630" t="b">
        <v>0</v>
      </c>
    </row>
    <row r="1631" spans="14:19" x14ac:dyDescent="0.25">
      <c r="N1631" s="23" t="s">
        <v>102</v>
      </c>
      <c r="O1631" s="30" t="s">
        <v>779</v>
      </c>
      <c r="P1631" s="30" t="s">
        <v>849</v>
      </c>
      <c r="Q1631" s="84" t="s">
        <v>2463</v>
      </c>
      <c r="S1631" t="b">
        <v>0</v>
      </c>
    </row>
    <row r="1632" spans="14:19" x14ac:dyDescent="0.25">
      <c r="N1632" s="23" t="s">
        <v>102</v>
      </c>
      <c r="O1632" s="30" t="s">
        <v>779</v>
      </c>
      <c r="P1632" s="30" t="s">
        <v>850</v>
      </c>
      <c r="Q1632" s="84" t="s">
        <v>2463</v>
      </c>
      <c r="S1632" t="b">
        <v>0</v>
      </c>
    </row>
    <row r="1633" spans="14:19" x14ac:dyDescent="0.25">
      <c r="N1633" s="23" t="s">
        <v>102</v>
      </c>
      <c r="O1633" s="30" t="s">
        <v>779</v>
      </c>
      <c r="P1633" s="30" t="s">
        <v>851</v>
      </c>
      <c r="Q1633" s="84" t="s">
        <v>2463</v>
      </c>
      <c r="S1633" t="b">
        <v>0</v>
      </c>
    </row>
    <row r="1634" spans="14:19" x14ac:dyDescent="0.25">
      <c r="N1634" s="23" t="s">
        <v>102</v>
      </c>
      <c r="O1634" s="30" t="s">
        <v>779</v>
      </c>
      <c r="P1634" s="30" t="s">
        <v>852</v>
      </c>
      <c r="Q1634" s="84" t="s">
        <v>2463</v>
      </c>
      <c r="S1634" t="b">
        <v>0</v>
      </c>
    </row>
    <row r="1635" spans="14:19" x14ac:dyDescent="0.25">
      <c r="N1635" s="23" t="s">
        <v>102</v>
      </c>
      <c r="O1635" s="30" t="s">
        <v>779</v>
      </c>
      <c r="P1635" s="30" t="s">
        <v>853</v>
      </c>
      <c r="Q1635" s="84" t="s">
        <v>2463</v>
      </c>
      <c r="S1635" t="b">
        <v>0</v>
      </c>
    </row>
    <row r="1636" spans="14:19" x14ac:dyDescent="0.25">
      <c r="N1636" s="23" t="s">
        <v>102</v>
      </c>
      <c r="O1636" s="30" t="s">
        <v>779</v>
      </c>
      <c r="P1636" s="30" t="s">
        <v>854</v>
      </c>
      <c r="Q1636" s="84" t="s">
        <v>2463</v>
      </c>
      <c r="S1636" t="b">
        <v>0</v>
      </c>
    </row>
    <row r="1637" spans="14:19" x14ac:dyDescent="0.25">
      <c r="N1637" s="23" t="s">
        <v>102</v>
      </c>
      <c r="O1637" s="30" t="s">
        <v>779</v>
      </c>
      <c r="P1637" s="30" t="s">
        <v>855</v>
      </c>
      <c r="Q1637" s="84" t="s">
        <v>2463</v>
      </c>
      <c r="S1637" t="b">
        <v>0</v>
      </c>
    </row>
    <row r="1638" spans="14:19" x14ac:dyDescent="0.25">
      <c r="N1638" s="23" t="s">
        <v>102</v>
      </c>
      <c r="O1638" s="30" t="s">
        <v>779</v>
      </c>
      <c r="P1638" s="30" t="s">
        <v>856</v>
      </c>
      <c r="Q1638" s="84" t="s">
        <v>2463</v>
      </c>
      <c r="S1638" t="b">
        <v>0</v>
      </c>
    </row>
    <row r="1639" spans="14:19" x14ac:dyDescent="0.25">
      <c r="N1639" s="23" t="s">
        <v>102</v>
      </c>
      <c r="O1639" s="30" t="s">
        <v>779</v>
      </c>
      <c r="P1639" s="30" t="s">
        <v>857</v>
      </c>
      <c r="Q1639" s="84" t="s">
        <v>2463</v>
      </c>
      <c r="S1639" t="b">
        <v>0</v>
      </c>
    </row>
    <row r="1640" spans="14:19" x14ac:dyDescent="0.25">
      <c r="N1640" s="23" t="s">
        <v>102</v>
      </c>
      <c r="O1640" s="30" t="s">
        <v>779</v>
      </c>
      <c r="P1640" s="30" t="s">
        <v>858</v>
      </c>
      <c r="Q1640" s="84" t="s">
        <v>2463</v>
      </c>
      <c r="S1640" t="b">
        <v>0</v>
      </c>
    </row>
    <row r="1641" spans="14:19" x14ac:dyDescent="0.25">
      <c r="N1641" s="23" t="s">
        <v>102</v>
      </c>
      <c r="O1641" s="30" t="s">
        <v>779</v>
      </c>
      <c r="P1641" s="30" t="s">
        <v>859</v>
      </c>
      <c r="Q1641" s="84" t="s">
        <v>2463</v>
      </c>
      <c r="S1641" t="b">
        <v>0</v>
      </c>
    </row>
    <row r="1642" spans="14:19" x14ac:dyDescent="0.25">
      <c r="N1642" s="23" t="s">
        <v>102</v>
      </c>
      <c r="O1642" s="30" t="s">
        <v>779</v>
      </c>
      <c r="P1642" s="30" t="s">
        <v>860</v>
      </c>
      <c r="Q1642" s="84" t="s">
        <v>2463</v>
      </c>
      <c r="S1642" t="b">
        <v>0</v>
      </c>
    </row>
    <row r="1643" spans="14:19" x14ac:dyDescent="0.25">
      <c r="N1643" s="23" t="s">
        <v>102</v>
      </c>
      <c r="O1643" s="30" t="s">
        <v>779</v>
      </c>
      <c r="P1643" s="30" t="s">
        <v>861</v>
      </c>
      <c r="Q1643" s="84" t="s">
        <v>2463</v>
      </c>
      <c r="S1643" t="b">
        <v>0</v>
      </c>
    </row>
    <row r="1644" spans="14:19" x14ac:dyDescent="0.25">
      <c r="N1644" s="23" t="s">
        <v>102</v>
      </c>
      <c r="O1644" s="30" t="s">
        <v>779</v>
      </c>
      <c r="P1644" s="30" t="s">
        <v>862</v>
      </c>
      <c r="Q1644" s="84" t="s">
        <v>2463</v>
      </c>
      <c r="S1644" t="b">
        <v>0</v>
      </c>
    </row>
    <row r="1645" spans="14:19" x14ac:dyDescent="0.25">
      <c r="N1645" s="23" t="s">
        <v>102</v>
      </c>
      <c r="O1645" s="30" t="s">
        <v>779</v>
      </c>
      <c r="P1645" s="30" t="s">
        <v>863</v>
      </c>
      <c r="Q1645" s="84" t="s">
        <v>2463</v>
      </c>
      <c r="S1645" t="b">
        <v>0</v>
      </c>
    </row>
    <row r="1646" spans="14:19" x14ac:dyDescent="0.25">
      <c r="N1646" s="23" t="s">
        <v>102</v>
      </c>
      <c r="O1646" s="30" t="s">
        <v>779</v>
      </c>
      <c r="P1646" s="30" t="s">
        <v>864</v>
      </c>
      <c r="Q1646" s="84" t="s">
        <v>2463</v>
      </c>
      <c r="S1646" t="b">
        <v>0</v>
      </c>
    </row>
    <row r="1647" spans="14:19" x14ac:dyDescent="0.25">
      <c r="N1647" s="23" t="s">
        <v>102</v>
      </c>
      <c r="O1647" s="30" t="s">
        <v>779</v>
      </c>
      <c r="P1647" s="30" t="s">
        <v>865</v>
      </c>
      <c r="Q1647" s="84" t="s">
        <v>2463</v>
      </c>
      <c r="S1647" t="b">
        <v>0</v>
      </c>
    </row>
    <row r="1648" spans="14:19" x14ac:dyDescent="0.25">
      <c r="N1648" s="23" t="s">
        <v>102</v>
      </c>
      <c r="O1648" s="30" t="s">
        <v>779</v>
      </c>
      <c r="P1648" s="30" t="s">
        <v>866</v>
      </c>
      <c r="Q1648" s="84" t="s">
        <v>2463</v>
      </c>
      <c r="S1648" t="b">
        <v>0</v>
      </c>
    </row>
    <row r="1649" spans="14:19" x14ac:dyDescent="0.25">
      <c r="N1649" s="23" t="s">
        <v>102</v>
      </c>
      <c r="O1649" s="30" t="s">
        <v>867</v>
      </c>
      <c r="P1649" s="30" t="s">
        <v>868</v>
      </c>
      <c r="Q1649" s="84" t="s">
        <v>2462</v>
      </c>
      <c r="S1649" t="b">
        <v>1</v>
      </c>
    </row>
    <row r="1650" spans="14:19" x14ac:dyDescent="0.25">
      <c r="N1650" s="23" t="s">
        <v>102</v>
      </c>
      <c r="O1650" s="30" t="s">
        <v>867</v>
      </c>
      <c r="P1650" s="30" t="s">
        <v>869</v>
      </c>
      <c r="Q1650" s="84" t="s">
        <v>2462</v>
      </c>
      <c r="S1650" t="b">
        <v>1</v>
      </c>
    </row>
    <row r="1651" spans="14:19" x14ac:dyDescent="0.25">
      <c r="N1651" s="23" t="s">
        <v>102</v>
      </c>
      <c r="O1651" s="30" t="s">
        <v>867</v>
      </c>
      <c r="P1651" s="30" t="s">
        <v>870</v>
      </c>
      <c r="Q1651" s="84" t="s">
        <v>2462</v>
      </c>
      <c r="S1651" t="b">
        <v>1</v>
      </c>
    </row>
    <row r="1652" spans="14:19" x14ac:dyDescent="0.25">
      <c r="N1652" s="23" t="s">
        <v>102</v>
      </c>
      <c r="O1652" s="30" t="s">
        <v>867</v>
      </c>
      <c r="P1652" s="30" t="s">
        <v>871</v>
      </c>
      <c r="Q1652" s="84" t="s">
        <v>2462</v>
      </c>
      <c r="S1652" t="b">
        <v>1</v>
      </c>
    </row>
    <row r="1653" spans="14:19" x14ac:dyDescent="0.25">
      <c r="N1653" s="23" t="s">
        <v>102</v>
      </c>
      <c r="O1653" s="30" t="s">
        <v>867</v>
      </c>
      <c r="P1653" s="30" t="s">
        <v>872</v>
      </c>
      <c r="Q1653" s="84" t="s">
        <v>2462</v>
      </c>
      <c r="S1653" t="b">
        <v>1</v>
      </c>
    </row>
    <row r="1654" spans="14:19" x14ac:dyDescent="0.25">
      <c r="N1654" s="23" t="s">
        <v>102</v>
      </c>
      <c r="O1654" s="30" t="s">
        <v>867</v>
      </c>
      <c r="P1654" s="30" t="s">
        <v>873</v>
      </c>
      <c r="Q1654" s="84" t="s">
        <v>2462</v>
      </c>
      <c r="S1654" t="b">
        <v>1</v>
      </c>
    </row>
    <row r="1655" spans="14:19" x14ac:dyDescent="0.25">
      <c r="N1655" s="23" t="s">
        <v>102</v>
      </c>
      <c r="O1655" s="30" t="s">
        <v>867</v>
      </c>
      <c r="P1655" s="30" t="s">
        <v>874</v>
      </c>
      <c r="Q1655" s="84" t="s">
        <v>2462</v>
      </c>
      <c r="S1655" t="b">
        <v>1</v>
      </c>
    </row>
    <row r="1656" spans="14:19" x14ac:dyDescent="0.25">
      <c r="N1656" s="23" t="s">
        <v>102</v>
      </c>
      <c r="O1656" s="30" t="s">
        <v>867</v>
      </c>
      <c r="P1656" s="30" t="s">
        <v>875</v>
      </c>
      <c r="Q1656" s="84" t="s">
        <v>2462</v>
      </c>
      <c r="S1656" t="b">
        <v>1</v>
      </c>
    </row>
    <row r="1657" spans="14:19" x14ac:dyDescent="0.25">
      <c r="N1657" s="23" t="s">
        <v>102</v>
      </c>
      <c r="O1657" s="30" t="s">
        <v>867</v>
      </c>
      <c r="P1657" s="30" t="s">
        <v>876</v>
      </c>
      <c r="Q1657" s="84" t="s">
        <v>2462</v>
      </c>
      <c r="S1657" t="b">
        <v>1</v>
      </c>
    </row>
    <row r="1658" spans="14:19" x14ac:dyDescent="0.25">
      <c r="N1658" s="23" t="s">
        <v>102</v>
      </c>
      <c r="O1658" s="30" t="s">
        <v>867</v>
      </c>
      <c r="P1658" s="30" t="s">
        <v>877</v>
      </c>
      <c r="Q1658" s="84" t="s">
        <v>2462</v>
      </c>
      <c r="S1658" t="b">
        <v>1</v>
      </c>
    </row>
    <row r="1659" spans="14:19" x14ac:dyDescent="0.25">
      <c r="N1659" s="23" t="s">
        <v>102</v>
      </c>
      <c r="O1659" s="30" t="s">
        <v>867</v>
      </c>
      <c r="P1659" s="30" t="s">
        <v>878</v>
      </c>
      <c r="Q1659" s="84" t="s">
        <v>2462</v>
      </c>
      <c r="S1659" t="b">
        <v>1</v>
      </c>
    </row>
    <row r="1660" spans="14:19" x14ac:dyDescent="0.25">
      <c r="N1660" s="23" t="s">
        <v>102</v>
      </c>
      <c r="O1660" s="30" t="s">
        <v>867</v>
      </c>
      <c r="P1660" s="30" t="s">
        <v>879</v>
      </c>
      <c r="Q1660" s="84" t="s">
        <v>2462</v>
      </c>
      <c r="S1660" t="b">
        <v>1</v>
      </c>
    </row>
    <row r="1661" spans="14:19" x14ac:dyDescent="0.25">
      <c r="N1661" s="23" t="s">
        <v>102</v>
      </c>
      <c r="O1661" s="30" t="s">
        <v>867</v>
      </c>
      <c r="P1661" s="30" t="s">
        <v>880</v>
      </c>
      <c r="Q1661" s="84" t="s">
        <v>2462</v>
      </c>
      <c r="S1661" t="b">
        <v>1</v>
      </c>
    </row>
    <row r="1662" spans="14:19" x14ac:dyDescent="0.25">
      <c r="N1662" s="23" t="s">
        <v>102</v>
      </c>
      <c r="O1662" s="30" t="s">
        <v>867</v>
      </c>
      <c r="P1662" s="30" t="s">
        <v>881</v>
      </c>
      <c r="Q1662" s="84" t="s">
        <v>2462</v>
      </c>
      <c r="S1662" t="b">
        <v>1</v>
      </c>
    </row>
    <row r="1663" spans="14:19" x14ac:dyDescent="0.25">
      <c r="N1663" s="23" t="s">
        <v>102</v>
      </c>
      <c r="O1663" s="30" t="s">
        <v>867</v>
      </c>
      <c r="P1663" s="30" t="s">
        <v>882</v>
      </c>
      <c r="Q1663" s="84" t="s">
        <v>2462</v>
      </c>
      <c r="S1663" t="b">
        <v>1</v>
      </c>
    </row>
    <row r="1664" spans="14:19" x14ac:dyDescent="0.25">
      <c r="N1664" s="23" t="s">
        <v>102</v>
      </c>
      <c r="O1664" s="30" t="s">
        <v>867</v>
      </c>
      <c r="P1664" s="30" t="s">
        <v>883</v>
      </c>
      <c r="Q1664" s="84" t="s">
        <v>2462</v>
      </c>
      <c r="S1664" t="b">
        <v>1</v>
      </c>
    </row>
    <row r="1665" spans="14:19" x14ac:dyDescent="0.25">
      <c r="N1665" s="23" t="s">
        <v>102</v>
      </c>
      <c r="O1665" s="30" t="s">
        <v>867</v>
      </c>
      <c r="P1665" s="30" t="s">
        <v>884</v>
      </c>
      <c r="Q1665" s="84" t="s">
        <v>2462</v>
      </c>
      <c r="S1665" t="b">
        <v>1</v>
      </c>
    </row>
    <row r="1666" spans="14:19" x14ac:dyDescent="0.25">
      <c r="N1666" s="23" t="s">
        <v>102</v>
      </c>
      <c r="O1666" s="30" t="s">
        <v>867</v>
      </c>
      <c r="P1666" s="30" t="s">
        <v>885</v>
      </c>
      <c r="Q1666" s="84" t="s">
        <v>2462</v>
      </c>
      <c r="S1666" t="b">
        <v>1</v>
      </c>
    </row>
    <row r="1667" spans="14:19" x14ac:dyDescent="0.25">
      <c r="N1667" s="23" t="s">
        <v>102</v>
      </c>
      <c r="O1667" s="30" t="s">
        <v>867</v>
      </c>
      <c r="P1667" s="30" t="s">
        <v>886</v>
      </c>
      <c r="Q1667" s="84" t="s">
        <v>2462</v>
      </c>
      <c r="S1667" t="b">
        <v>1</v>
      </c>
    </row>
    <row r="1668" spans="14:19" x14ac:dyDescent="0.25">
      <c r="N1668" s="23" t="s">
        <v>102</v>
      </c>
      <c r="O1668" s="30" t="s">
        <v>867</v>
      </c>
      <c r="P1668" s="30" t="s">
        <v>887</v>
      </c>
      <c r="Q1668" s="84" t="s">
        <v>2462</v>
      </c>
      <c r="S1668" t="b">
        <v>1</v>
      </c>
    </row>
    <row r="1669" spans="14:19" x14ac:dyDescent="0.25">
      <c r="N1669" s="23" t="s">
        <v>102</v>
      </c>
      <c r="O1669" s="30" t="s">
        <v>867</v>
      </c>
      <c r="P1669" s="30" t="s">
        <v>888</v>
      </c>
      <c r="Q1669" s="84" t="s">
        <v>2462</v>
      </c>
      <c r="S1669" t="b">
        <v>1</v>
      </c>
    </row>
    <row r="1670" spans="14:19" x14ac:dyDescent="0.25">
      <c r="N1670" s="23" t="s">
        <v>102</v>
      </c>
      <c r="O1670" s="30" t="s">
        <v>867</v>
      </c>
      <c r="P1670" s="30" t="s">
        <v>889</v>
      </c>
      <c r="Q1670" s="84" t="s">
        <v>2462</v>
      </c>
      <c r="S1670" t="b">
        <v>1</v>
      </c>
    </row>
    <row r="1671" spans="14:19" x14ac:dyDescent="0.25">
      <c r="N1671" s="23" t="s">
        <v>102</v>
      </c>
      <c r="O1671" s="30" t="s">
        <v>867</v>
      </c>
      <c r="P1671" s="30" t="s">
        <v>890</v>
      </c>
      <c r="Q1671" s="84" t="s">
        <v>2462</v>
      </c>
      <c r="S1671" t="b">
        <v>1</v>
      </c>
    </row>
    <row r="1672" spans="14:19" x14ac:dyDescent="0.25">
      <c r="N1672" s="23" t="s">
        <v>102</v>
      </c>
      <c r="O1672" s="30" t="s">
        <v>867</v>
      </c>
      <c r="P1672" s="30" t="s">
        <v>891</v>
      </c>
      <c r="Q1672" s="84" t="s">
        <v>2462</v>
      </c>
      <c r="S1672" t="b">
        <v>1</v>
      </c>
    </row>
    <row r="1673" spans="14:19" x14ac:dyDescent="0.25">
      <c r="N1673" s="23" t="s">
        <v>102</v>
      </c>
      <c r="O1673" s="30" t="s">
        <v>867</v>
      </c>
      <c r="P1673" s="30" t="s">
        <v>892</v>
      </c>
      <c r="Q1673" s="84" t="s">
        <v>2462</v>
      </c>
      <c r="S1673" t="b">
        <v>1</v>
      </c>
    </row>
    <row r="1674" spans="14:19" x14ac:dyDescent="0.25">
      <c r="N1674" s="23" t="s">
        <v>102</v>
      </c>
      <c r="O1674" s="30" t="s">
        <v>867</v>
      </c>
      <c r="P1674" s="30" t="s">
        <v>893</v>
      </c>
      <c r="Q1674" s="84" t="s">
        <v>2462</v>
      </c>
      <c r="S1674" t="b">
        <v>1</v>
      </c>
    </row>
    <row r="1675" spans="14:19" x14ac:dyDescent="0.25">
      <c r="N1675" s="23" t="s">
        <v>102</v>
      </c>
      <c r="O1675" s="30" t="s">
        <v>867</v>
      </c>
      <c r="P1675" s="30" t="s">
        <v>894</v>
      </c>
      <c r="Q1675" s="84" t="s">
        <v>2462</v>
      </c>
      <c r="S1675" t="b">
        <v>1</v>
      </c>
    </row>
    <row r="1676" spans="14:19" x14ac:dyDescent="0.25">
      <c r="N1676" s="23" t="s">
        <v>102</v>
      </c>
      <c r="O1676" s="30" t="s">
        <v>867</v>
      </c>
      <c r="P1676" s="30" t="s">
        <v>895</v>
      </c>
      <c r="Q1676" s="84" t="s">
        <v>2462</v>
      </c>
      <c r="S1676" t="b">
        <v>1</v>
      </c>
    </row>
    <row r="1677" spans="14:19" x14ac:dyDescent="0.25">
      <c r="N1677" s="23" t="s">
        <v>102</v>
      </c>
      <c r="O1677" s="30" t="s">
        <v>867</v>
      </c>
      <c r="P1677" s="30" t="s">
        <v>896</v>
      </c>
      <c r="Q1677" s="84" t="s">
        <v>2462</v>
      </c>
      <c r="S1677" t="b">
        <v>1</v>
      </c>
    </row>
    <row r="1678" spans="14:19" x14ac:dyDescent="0.25">
      <c r="N1678" s="23" t="s">
        <v>102</v>
      </c>
      <c r="O1678" s="30" t="s">
        <v>867</v>
      </c>
      <c r="P1678" s="30" t="s">
        <v>897</v>
      </c>
      <c r="Q1678" s="84" t="s">
        <v>2462</v>
      </c>
      <c r="S1678" t="b">
        <v>1</v>
      </c>
    </row>
    <row r="1679" spans="14:19" x14ac:dyDescent="0.25">
      <c r="N1679" s="23" t="s">
        <v>102</v>
      </c>
      <c r="O1679" s="30" t="s">
        <v>867</v>
      </c>
      <c r="P1679" s="30" t="s">
        <v>898</v>
      </c>
      <c r="Q1679" s="84" t="s">
        <v>2462</v>
      </c>
      <c r="S1679" t="b">
        <v>1</v>
      </c>
    </row>
    <row r="1680" spans="14:19" x14ac:dyDescent="0.25">
      <c r="N1680" s="23" t="s">
        <v>102</v>
      </c>
      <c r="O1680" s="30" t="s">
        <v>867</v>
      </c>
      <c r="P1680" s="30" t="s">
        <v>899</v>
      </c>
      <c r="Q1680" s="84" t="s">
        <v>2462</v>
      </c>
      <c r="S1680" t="b">
        <v>1</v>
      </c>
    </row>
    <row r="1681" spans="14:19" x14ac:dyDescent="0.25">
      <c r="N1681" s="23" t="s">
        <v>102</v>
      </c>
      <c r="O1681" s="30" t="s">
        <v>867</v>
      </c>
      <c r="P1681" s="30" t="s">
        <v>900</v>
      </c>
      <c r="Q1681" s="84" t="s">
        <v>2462</v>
      </c>
      <c r="S1681" t="b">
        <v>1</v>
      </c>
    </row>
    <row r="1682" spans="14:19" x14ac:dyDescent="0.25">
      <c r="N1682" s="23" t="s">
        <v>102</v>
      </c>
      <c r="O1682" s="30" t="s">
        <v>867</v>
      </c>
      <c r="P1682" s="30" t="s">
        <v>901</v>
      </c>
      <c r="Q1682" s="84" t="s">
        <v>2462</v>
      </c>
      <c r="S1682" t="b">
        <v>1</v>
      </c>
    </row>
    <row r="1683" spans="14:19" x14ac:dyDescent="0.25">
      <c r="N1683" s="23" t="s">
        <v>102</v>
      </c>
      <c r="O1683" s="30" t="s">
        <v>867</v>
      </c>
      <c r="P1683" s="30" t="s">
        <v>902</v>
      </c>
      <c r="Q1683" s="84" t="s">
        <v>2462</v>
      </c>
      <c r="S1683" t="b">
        <v>1</v>
      </c>
    </row>
    <row r="1684" spans="14:19" x14ac:dyDescent="0.25">
      <c r="N1684" s="23" t="s">
        <v>102</v>
      </c>
      <c r="O1684" s="30" t="s">
        <v>867</v>
      </c>
      <c r="P1684" s="30" t="s">
        <v>903</v>
      </c>
      <c r="Q1684" s="84" t="s">
        <v>2462</v>
      </c>
      <c r="S1684" t="b">
        <v>1</v>
      </c>
    </row>
    <row r="1685" spans="14:19" x14ac:dyDescent="0.25">
      <c r="N1685" s="23" t="s">
        <v>102</v>
      </c>
      <c r="O1685" s="30" t="s">
        <v>867</v>
      </c>
      <c r="P1685" s="30" t="s">
        <v>904</v>
      </c>
      <c r="Q1685" s="84" t="s">
        <v>2462</v>
      </c>
      <c r="S1685" t="b">
        <v>1</v>
      </c>
    </row>
    <row r="1686" spans="14:19" x14ac:dyDescent="0.25">
      <c r="N1686" s="23" t="s">
        <v>102</v>
      </c>
      <c r="O1686" s="30" t="s">
        <v>867</v>
      </c>
      <c r="P1686" s="30" t="s">
        <v>905</v>
      </c>
      <c r="Q1686" s="84" t="s">
        <v>2462</v>
      </c>
      <c r="S1686" t="b">
        <v>1</v>
      </c>
    </row>
    <row r="1687" spans="14:19" x14ac:dyDescent="0.25">
      <c r="N1687" s="23" t="s">
        <v>102</v>
      </c>
      <c r="O1687" s="30" t="s">
        <v>867</v>
      </c>
      <c r="P1687" s="30" t="s">
        <v>906</v>
      </c>
      <c r="Q1687" s="84" t="s">
        <v>2462</v>
      </c>
      <c r="S1687" t="b">
        <v>1</v>
      </c>
    </row>
    <row r="1688" spans="14:19" x14ac:dyDescent="0.25">
      <c r="N1688" s="23" t="s">
        <v>102</v>
      </c>
      <c r="O1688" s="30" t="s">
        <v>867</v>
      </c>
      <c r="P1688" s="30" t="s">
        <v>907</v>
      </c>
      <c r="Q1688" s="84" t="s">
        <v>2462</v>
      </c>
      <c r="S1688" t="b">
        <v>1</v>
      </c>
    </row>
    <row r="1689" spans="14:19" x14ac:dyDescent="0.25">
      <c r="N1689" s="23" t="s">
        <v>102</v>
      </c>
      <c r="O1689" s="30" t="s">
        <v>867</v>
      </c>
      <c r="P1689" s="30" t="s">
        <v>908</v>
      </c>
      <c r="Q1689" s="84" t="s">
        <v>2462</v>
      </c>
      <c r="S1689" t="b">
        <v>1</v>
      </c>
    </row>
    <row r="1690" spans="14:19" x14ac:dyDescent="0.25">
      <c r="N1690" s="23" t="s">
        <v>102</v>
      </c>
      <c r="O1690" s="30" t="s">
        <v>867</v>
      </c>
      <c r="P1690" s="30" t="s">
        <v>909</v>
      </c>
      <c r="Q1690" s="84" t="s">
        <v>2462</v>
      </c>
      <c r="S1690" t="b">
        <v>1</v>
      </c>
    </row>
    <row r="1691" spans="14:19" x14ac:dyDescent="0.25">
      <c r="N1691" s="23" t="s">
        <v>102</v>
      </c>
      <c r="O1691" s="30" t="s">
        <v>867</v>
      </c>
      <c r="P1691" s="30" t="s">
        <v>910</v>
      </c>
      <c r="Q1691" s="84" t="s">
        <v>2462</v>
      </c>
      <c r="S1691" t="b">
        <v>1</v>
      </c>
    </row>
    <row r="1692" spans="14:19" x14ac:dyDescent="0.25">
      <c r="N1692" s="23" t="s">
        <v>102</v>
      </c>
      <c r="O1692" s="30" t="s">
        <v>867</v>
      </c>
      <c r="P1692" s="30" t="s">
        <v>911</v>
      </c>
      <c r="Q1692" s="84" t="s">
        <v>2462</v>
      </c>
      <c r="S1692" t="b">
        <v>1</v>
      </c>
    </row>
    <row r="1693" spans="14:19" x14ac:dyDescent="0.25">
      <c r="N1693" s="23" t="s">
        <v>102</v>
      </c>
      <c r="O1693" s="30" t="s">
        <v>867</v>
      </c>
      <c r="P1693" s="30" t="s">
        <v>912</v>
      </c>
      <c r="Q1693" s="84" t="s">
        <v>2462</v>
      </c>
      <c r="S1693" t="b">
        <v>1</v>
      </c>
    </row>
    <row r="1694" spans="14:19" x14ac:dyDescent="0.25">
      <c r="N1694" s="23" t="s">
        <v>102</v>
      </c>
      <c r="O1694" s="30" t="s">
        <v>867</v>
      </c>
      <c r="P1694" s="30" t="s">
        <v>913</v>
      </c>
      <c r="Q1694" s="84" t="s">
        <v>2462</v>
      </c>
      <c r="S1694" t="b">
        <v>1</v>
      </c>
    </row>
    <row r="1695" spans="14:19" x14ac:dyDescent="0.25">
      <c r="N1695" s="23" t="s">
        <v>102</v>
      </c>
      <c r="O1695" s="30" t="s">
        <v>867</v>
      </c>
      <c r="P1695" s="30" t="s">
        <v>914</v>
      </c>
      <c r="Q1695" s="84" t="s">
        <v>2462</v>
      </c>
      <c r="S1695" t="b">
        <v>1</v>
      </c>
    </row>
    <row r="1696" spans="14:19" x14ac:dyDescent="0.25">
      <c r="N1696" s="23" t="s">
        <v>102</v>
      </c>
      <c r="O1696" s="30" t="s">
        <v>867</v>
      </c>
      <c r="P1696" s="30" t="s">
        <v>915</v>
      </c>
      <c r="Q1696" s="84" t="s">
        <v>2462</v>
      </c>
      <c r="S1696" t="b">
        <v>1</v>
      </c>
    </row>
    <row r="1697" spans="14:19" x14ac:dyDescent="0.25">
      <c r="N1697" s="23" t="s">
        <v>102</v>
      </c>
      <c r="O1697" s="30" t="s">
        <v>867</v>
      </c>
      <c r="P1697" s="30" t="s">
        <v>916</v>
      </c>
      <c r="Q1697" s="84" t="s">
        <v>2462</v>
      </c>
      <c r="S1697" t="b">
        <v>1</v>
      </c>
    </row>
    <row r="1698" spans="14:19" x14ac:dyDescent="0.25">
      <c r="N1698" s="23" t="s">
        <v>102</v>
      </c>
      <c r="O1698" s="30" t="s">
        <v>867</v>
      </c>
      <c r="P1698" s="30" t="s">
        <v>917</v>
      </c>
      <c r="Q1698" s="84" t="s">
        <v>2462</v>
      </c>
      <c r="S1698" t="b">
        <v>1</v>
      </c>
    </row>
    <row r="1699" spans="14:19" x14ac:dyDescent="0.25">
      <c r="N1699" s="23" t="s">
        <v>102</v>
      </c>
      <c r="O1699" s="30" t="s">
        <v>867</v>
      </c>
      <c r="P1699" s="30" t="s">
        <v>918</v>
      </c>
      <c r="Q1699" s="84" t="s">
        <v>2462</v>
      </c>
      <c r="S1699" t="b">
        <v>1</v>
      </c>
    </row>
    <row r="1700" spans="14:19" x14ac:dyDescent="0.25">
      <c r="N1700" s="23" t="s">
        <v>102</v>
      </c>
      <c r="O1700" s="30" t="s">
        <v>867</v>
      </c>
      <c r="P1700" s="30" t="s">
        <v>919</v>
      </c>
      <c r="Q1700" s="84" t="s">
        <v>2462</v>
      </c>
      <c r="S1700" t="b">
        <v>1</v>
      </c>
    </row>
    <row r="1701" spans="14:19" x14ac:dyDescent="0.25">
      <c r="N1701" s="23" t="s">
        <v>102</v>
      </c>
      <c r="O1701" s="30" t="s">
        <v>867</v>
      </c>
      <c r="P1701" s="30" t="s">
        <v>920</v>
      </c>
      <c r="Q1701" s="84" t="s">
        <v>2462</v>
      </c>
      <c r="S1701" t="b">
        <v>1</v>
      </c>
    </row>
    <row r="1702" spans="14:19" x14ac:dyDescent="0.25">
      <c r="N1702" s="23" t="s">
        <v>102</v>
      </c>
      <c r="O1702" s="30" t="s">
        <v>867</v>
      </c>
      <c r="P1702" s="30" t="s">
        <v>921</v>
      </c>
      <c r="Q1702" s="84" t="s">
        <v>2462</v>
      </c>
      <c r="S1702" t="b">
        <v>1</v>
      </c>
    </row>
    <row r="1703" spans="14:19" x14ac:dyDescent="0.25">
      <c r="N1703" s="23" t="s">
        <v>102</v>
      </c>
      <c r="O1703" s="30" t="s">
        <v>867</v>
      </c>
      <c r="P1703" s="30" t="s">
        <v>922</v>
      </c>
      <c r="Q1703" s="84" t="s">
        <v>2462</v>
      </c>
      <c r="S1703" t="b">
        <v>1</v>
      </c>
    </row>
    <row r="1704" spans="14:19" x14ac:dyDescent="0.25">
      <c r="N1704" s="23" t="s">
        <v>102</v>
      </c>
      <c r="O1704" s="30" t="s">
        <v>867</v>
      </c>
      <c r="P1704" s="30" t="s">
        <v>923</v>
      </c>
      <c r="Q1704" s="84" t="s">
        <v>2462</v>
      </c>
      <c r="S1704" t="b">
        <v>1</v>
      </c>
    </row>
    <row r="1705" spans="14:19" x14ac:dyDescent="0.25">
      <c r="N1705" s="23" t="s">
        <v>102</v>
      </c>
      <c r="O1705" s="30" t="s">
        <v>867</v>
      </c>
      <c r="P1705" s="30" t="s">
        <v>924</v>
      </c>
      <c r="Q1705" s="84" t="s">
        <v>2462</v>
      </c>
      <c r="S1705" t="b">
        <v>1</v>
      </c>
    </row>
    <row r="1706" spans="14:19" x14ac:dyDescent="0.25">
      <c r="N1706" s="23" t="s">
        <v>102</v>
      </c>
      <c r="O1706" s="30" t="s">
        <v>867</v>
      </c>
      <c r="P1706" s="30" t="s">
        <v>925</v>
      </c>
      <c r="Q1706" s="84" t="s">
        <v>2462</v>
      </c>
      <c r="S1706" t="b">
        <v>1</v>
      </c>
    </row>
    <row r="1707" spans="14:19" x14ac:dyDescent="0.25">
      <c r="N1707" s="23" t="s">
        <v>102</v>
      </c>
      <c r="O1707" s="30" t="s">
        <v>867</v>
      </c>
      <c r="P1707" s="30" t="s">
        <v>926</v>
      </c>
      <c r="Q1707" s="84" t="s">
        <v>2462</v>
      </c>
      <c r="S1707" t="b">
        <v>1</v>
      </c>
    </row>
    <row r="1708" spans="14:19" x14ac:dyDescent="0.25">
      <c r="N1708" s="23" t="s">
        <v>102</v>
      </c>
      <c r="O1708" s="30" t="s">
        <v>867</v>
      </c>
      <c r="P1708" s="30" t="s">
        <v>927</v>
      </c>
      <c r="Q1708" s="84" t="s">
        <v>2462</v>
      </c>
      <c r="S1708" t="b">
        <v>1</v>
      </c>
    </row>
    <row r="1709" spans="14:19" x14ac:dyDescent="0.25">
      <c r="N1709" s="23" t="s">
        <v>102</v>
      </c>
      <c r="O1709" s="30" t="s">
        <v>867</v>
      </c>
      <c r="P1709" s="30" t="s">
        <v>928</v>
      </c>
      <c r="Q1709" s="84" t="s">
        <v>2462</v>
      </c>
      <c r="S1709" t="b">
        <v>1</v>
      </c>
    </row>
    <row r="1710" spans="14:19" x14ac:dyDescent="0.25">
      <c r="N1710" s="23" t="s">
        <v>102</v>
      </c>
      <c r="O1710" s="30" t="s">
        <v>867</v>
      </c>
      <c r="P1710" s="30" t="s">
        <v>929</v>
      </c>
      <c r="Q1710" s="84" t="s">
        <v>2462</v>
      </c>
      <c r="S1710" t="b">
        <v>1</v>
      </c>
    </row>
    <row r="1711" spans="14:19" x14ac:dyDescent="0.25">
      <c r="N1711" s="23" t="s">
        <v>102</v>
      </c>
      <c r="O1711" s="30" t="s">
        <v>867</v>
      </c>
      <c r="P1711" s="30" t="s">
        <v>930</v>
      </c>
      <c r="Q1711" s="84" t="s">
        <v>2462</v>
      </c>
      <c r="S1711" t="b">
        <v>1</v>
      </c>
    </row>
    <row r="1712" spans="14:19" x14ac:dyDescent="0.25">
      <c r="N1712" s="23" t="s">
        <v>102</v>
      </c>
      <c r="O1712" s="30" t="s">
        <v>867</v>
      </c>
      <c r="P1712" s="30" t="s">
        <v>931</v>
      </c>
      <c r="Q1712" s="84" t="s">
        <v>2462</v>
      </c>
      <c r="S1712" t="b">
        <v>1</v>
      </c>
    </row>
    <row r="1713" spans="14:19" x14ac:dyDescent="0.25">
      <c r="N1713" s="23" t="s">
        <v>102</v>
      </c>
      <c r="O1713" s="30" t="s">
        <v>867</v>
      </c>
      <c r="P1713" s="30" t="s">
        <v>932</v>
      </c>
      <c r="Q1713" s="84" t="s">
        <v>2462</v>
      </c>
      <c r="S1713" t="b">
        <v>1</v>
      </c>
    </row>
    <row r="1714" spans="14:19" x14ac:dyDescent="0.25">
      <c r="N1714" s="23" t="s">
        <v>102</v>
      </c>
      <c r="O1714" s="30" t="s">
        <v>867</v>
      </c>
      <c r="P1714" s="30" t="s">
        <v>933</v>
      </c>
      <c r="Q1714" s="84" t="s">
        <v>2462</v>
      </c>
      <c r="S1714" t="b">
        <v>1</v>
      </c>
    </row>
    <row r="1715" spans="14:19" x14ac:dyDescent="0.25">
      <c r="N1715" s="23" t="s">
        <v>102</v>
      </c>
      <c r="O1715" s="30" t="s">
        <v>867</v>
      </c>
      <c r="P1715" s="30" t="s">
        <v>934</v>
      </c>
      <c r="Q1715" s="84" t="s">
        <v>2462</v>
      </c>
      <c r="S1715" t="b">
        <v>1</v>
      </c>
    </row>
    <row r="1716" spans="14:19" x14ac:dyDescent="0.25">
      <c r="N1716" s="23" t="s">
        <v>102</v>
      </c>
      <c r="O1716" s="30" t="s">
        <v>867</v>
      </c>
      <c r="P1716" s="30" t="s">
        <v>935</v>
      </c>
      <c r="Q1716" s="84" t="s">
        <v>2462</v>
      </c>
      <c r="S1716" t="b">
        <v>1</v>
      </c>
    </row>
    <row r="1717" spans="14:19" x14ac:dyDescent="0.25">
      <c r="N1717" s="23" t="s">
        <v>102</v>
      </c>
      <c r="O1717" s="30" t="s">
        <v>867</v>
      </c>
      <c r="P1717" s="30" t="s">
        <v>936</v>
      </c>
      <c r="Q1717" s="84" t="s">
        <v>2462</v>
      </c>
      <c r="S1717" t="b">
        <v>1</v>
      </c>
    </row>
    <row r="1718" spans="14:19" x14ac:dyDescent="0.25">
      <c r="N1718" s="23" t="s">
        <v>102</v>
      </c>
      <c r="O1718" s="30" t="s">
        <v>867</v>
      </c>
      <c r="P1718" s="30" t="s">
        <v>937</v>
      </c>
      <c r="Q1718" s="84" t="s">
        <v>2462</v>
      </c>
      <c r="S1718" t="b">
        <v>1</v>
      </c>
    </row>
    <row r="1719" spans="14:19" x14ac:dyDescent="0.25">
      <c r="N1719" s="23" t="s">
        <v>102</v>
      </c>
      <c r="O1719" s="30" t="s">
        <v>867</v>
      </c>
      <c r="P1719" s="30" t="s">
        <v>938</v>
      </c>
      <c r="Q1719" s="84" t="s">
        <v>2462</v>
      </c>
      <c r="S1719" t="b">
        <v>1</v>
      </c>
    </row>
    <row r="1720" spans="14:19" x14ac:dyDescent="0.25">
      <c r="N1720" s="23" t="s">
        <v>102</v>
      </c>
      <c r="O1720" s="30" t="s">
        <v>867</v>
      </c>
      <c r="P1720" s="30" t="s">
        <v>939</v>
      </c>
      <c r="Q1720" s="84" t="s">
        <v>2462</v>
      </c>
      <c r="S1720" t="b">
        <v>1</v>
      </c>
    </row>
    <row r="1721" spans="14:19" x14ac:dyDescent="0.25">
      <c r="N1721" s="23" t="s">
        <v>102</v>
      </c>
      <c r="O1721" s="30" t="s">
        <v>867</v>
      </c>
      <c r="P1721" s="30" t="s">
        <v>940</v>
      </c>
      <c r="Q1721" s="84" t="s">
        <v>2462</v>
      </c>
      <c r="S1721" t="b">
        <v>1</v>
      </c>
    </row>
    <row r="1722" spans="14:19" x14ac:dyDescent="0.25">
      <c r="N1722" s="23" t="s">
        <v>102</v>
      </c>
      <c r="O1722" s="30" t="s">
        <v>867</v>
      </c>
      <c r="P1722" s="30" t="s">
        <v>941</v>
      </c>
      <c r="Q1722" s="84" t="s">
        <v>2462</v>
      </c>
      <c r="S1722" t="b">
        <v>1</v>
      </c>
    </row>
    <row r="1723" spans="14:19" x14ac:dyDescent="0.25">
      <c r="N1723" s="23" t="s">
        <v>102</v>
      </c>
      <c r="O1723" s="30" t="s">
        <v>867</v>
      </c>
      <c r="P1723" s="30" t="s">
        <v>942</v>
      </c>
      <c r="Q1723" s="84" t="s">
        <v>2462</v>
      </c>
      <c r="S1723" t="b">
        <v>1</v>
      </c>
    </row>
    <row r="1724" spans="14:19" x14ac:dyDescent="0.25">
      <c r="N1724" s="23" t="s">
        <v>102</v>
      </c>
      <c r="O1724" s="30" t="s">
        <v>867</v>
      </c>
      <c r="P1724" s="30" t="s">
        <v>943</v>
      </c>
      <c r="Q1724" s="84" t="s">
        <v>2462</v>
      </c>
      <c r="S1724" t="b">
        <v>1</v>
      </c>
    </row>
    <row r="1725" spans="14:19" x14ac:dyDescent="0.25">
      <c r="N1725" s="23" t="s">
        <v>102</v>
      </c>
      <c r="O1725" s="30" t="s">
        <v>867</v>
      </c>
      <c r="P1725" s="30" t="s">
        <v>944</v>
      </c>
      <c r="Q1725" s="84" t="s">
        <v>2462</v>
      </c>
      <c r="S1725" t="b">
        <v>1</v>
      </c>
    </row>
    <row r="1726" spans="14:19" x14ac:dyDescent="0.25">
      <c r="N1726" s="23" t="s">
        <v>102</v>
      </c>
      <c r="O1726" s="30" t="s">
        <v>867</v>
      </c>
      <c r="P1726" s="30" t="s">
        <v>945</v>
      </c>
      <c r="Q1726" s="84" t="s">
        <v>2462</v>
      </c>
      <c r="S1726" t="b">
        <v>1</v>
      </c>
    </row>
    <row r="1727" spans="14:19" x14ac:dyDescent="0.25">
      <c r="N1727" s="23" t="s">
        <v>102</v>
      </c>
      <c r="O1727" s="30" t="s">
        <v>867</v>
      </c>
      <c r="P1727" s="30" t="s">
        <v>946</v>
      </c>
      <c r="Q1727" s="84" t="s">
        <v>2462</v>
      </c>
      <c r="S1727" t="b">
        <v>1</v>
      </c>
    </row>
    <row r="1728" spans="14:19" x14ac:dyDescent="0.25">
      <c r="N1728" s="23" t="s">
        <v>102</v>
      </c>
      <c r="O1728" s="30" t="s">
        <v>867</v>
      </c>
      <c r="P1728" s="30" t="s">
        <v>947</v>
      </c>
      <c r="Q1728" s="84" t="s">
        <v>2462</v>
      </c>
      <c r="S1728" t="b">
        <v>1</v>
      </c>
    </row>
    <row r="1729" spans="14:19" x14ac:dyDescent="0.25">
      <c r="N1729" s="23" t="s">
        <v>102</v>
      </c>
      <c r="O1729" s="30" t="s">
        <v>867</v>
      </c>
      <c r="P1729" s="30" t="s">
        <v>948</v>
      </c>
      <c r="Q1729" s="84" t="s">
        <v>2462</v>
      </c>
      <c r="S1729" t="b">
        <v>1</v>
      </c>
    </row>
    <row r="1730" spans="14:19" x14ac:dyDescent="0.25">
      <c r="N1730" s="23" t="s">
        <v>102</v>
      </c>
      <c r="O1730" s="30" t="s">
        <v>867</v>
      </c>
      <c r="P1730" s="30" t="s">
        <v>949</v>
      </c>
      <c r="Q1730" s="84" t="s">
        <v>2462</v>
      </c>
      <c r="S1730" t="b">
        <v>1</v>
      </c>
    </row>
    <row r="1731" spans="14:19" x14ac:dyDescent="0.25">
      <c r="N1731" s="23" t="s">
        <v>102</v>
      </c>
      <c r="O1731" s="30" t="s">
        <v>867</v>
      </c>
      <c r="P1731" s="30" t="s">
        <v>950</v>
      </c>
      <c r="Q1731" s="84" t="s">
        <v>2462</v>
      </c>
      <c r="S1731" t="b">
        <v>1</v>
      </c>
    </row>
    <row r="1732" spans="14:19" x14ac:dyDescent="0.25">
      <c r="N1732" s="23" t="s">
        <v>102</v>
      </c>
      <c r="O1732" s="30" t="s">
        <v>867</v>
      </c>
      <c r="P1732" s="30" t="s">
        <v>951</v>
      </c>
      <c r="Q1732" s="84" t="s">
        <v>2462</v>
      </c>
      <c r="S1732" t="b">
        <v>1</v>
      </c>
    </row>
    <row r="1733" spans="14:19" x14ac:dyDescent="0.25">
      <c r="N1733" s="23" t="s">
        <v>102</v>
      </c>
      <c r="O1733" s="30" t="s">
        <v>867</v>
      </c>
      <c r="P1733" s="30" t="s">
        <v>952</v>
      </c>
      <c r="Q1733" s="84" t="s">
        <v>2463</v>
      </c>
      <c r="S1733" t="b">
        <v>0</v>
      </c>
    </row>
    <row r="1734" spans="14:19" x14ac:dyDescent="0.25">
      <c r="N1734" s="23" t="s">
        <v>102</v>
      </c>
      <c r="O1734" s="30" t="s">
        <v>867</v>
      </c>
      <c r="P1734" s="30" t="s">
        <v>953</v>
      </c>
      <c r="Q1734" s="84" t="s">
        <v>2463</v>
      </c>
      <c r="S1734" t="b">
        <v>0</v>
      </c>
    </row>
    <row r="1735" spans="14:19" x14ac:dyDescent="0.25">
      <c r="N1735" s="23" t="s">
        <v>102</v>
      </c>
      <c r="O1735" s="30" t="s">
        <v>867</v>
      </c>
      <c r="P1735" s="30" t="s">
        <v>954</v>
      </c>
      <c r="Q1735" s="84" t="s">
        <v>2463</v>
      </c>
      <c r="S1735" t="b">
        <v>0</v>
      </c>
    </row>
    <row r="1736" spans="14:19" x14ac:dyDescent="0.25">
      <c r="N1736" s="23" t="s">
        <v>102</v>
      </c>
      <c r="O1736" s="30" t="s">
        <v>867</v>
      </c>
      <c r="P1736" s="30" t="s">
        <v>955</v>
      </c>
      <c r="Q1736" s="84" t="s">
        <v>2463</v>
      </c>
      <c r="S1736" t="b">
        <v>0</v>
      </c>
    </row>
    <row r="1737" spans="14:19" x14ac:dyDescent="0.25">
      <c r="N1737" s="23" t="s">
        <v>102</v>
      </c>
      <c r="O1737" s="30" t="s">
        <v>867</v>
      </c>
      <c r="P1737" s="30" t="s">
        <v>956</v>
      </c>
      <c r="Q1737" s="84" t="s">
        <v>2463</v>
      </c>
      <c r="S1737" t="b">
        <v>0</v>
      </c>
    </row>
    <row r="1738" spans="14:19" x14ac:dyDescent="0.25">
      <c r="N1738" s="23" t="s">
        <v>102</v>
      </c>
      <c r="O1738" s="30" t="s">
        <v>867</v>
      </c>
      <c r="P1738" s="30" t="s">
        <v>957</v>
      </c>
      <c r="Q1738" s="84" t="s">
        <v>2463</v>
      </c>
      <c r="S1738" t="b">
        <v>0</v>
      </c>
    </row>
    <row r="1739" spans="14:19" x14ac:dyDescent="0.25">
      <c r="N1739" s="23" t="s">
        <v>102</v>
      </c>
      <c r="O1739" s="30" t="s">
        <v>867</v>
      </c>
      <c r="P1739" s="30" t="s">
        <v>958</v>
      </c>
      <c r="Q1739" s="84" t="s">
        <v>2463</v>
      </c>
      <c r="S1739" t="b">
        <v>0</v>
      </c>
    </row>
    <row r="1740" spans="14:19" x14ac:dyDescent="0.25">
      <c r="N1740" s="23" t="s">
        <v>102</v>
      </c>
      <c r="O1740" s="30" t="s">
        <v>867</v>
      </c>
      <c r="P1740" s="30" t="s">
        <v>959</v>
      </c>
      <c r="Q1740" s="84" t="s">
        <v>2463</v>
      </c>
      <c r="S1740" t="b">
        <v>0</v>
      </c>
    </row>
    <row r="1741" spans="14:19" x14ac:dyDescent="0.25">
      <c r="N1741" s="23" t="s">
        <v>106</v>
      </c>
      <c r="O1741" s="30" t="s">
        <v>2233</v>
      </c>
      <c r="P1741" s="30" t="s">
        <v>2234</v>
      </c>
      <c r="Q1741" s="84" t="s">
        <v>2462</v>
      </c>
      <c r="S1741" t="b">
        <v>1</v>
      </c>
    </row>
    <row r="1742" spans="14:19" x14ac:dyDescent="0.25">
      <c r="N1742" s="23" t="s">
        <v>106</v>
      </c>
      <c r="O1742" s="30" t="s">
        <v>2233</v>
      </c>
      <c r="P1742" s="30" t="s">
        <v>2235</v>
      </c>
      <c r="Q1742" s="84" t="s">
        <v>2462</v>
      </c>
      <c r="S1742" t="b">
        <v>1</v>
      </c>
    </row>
    <row r="1743" spans="14:19" x14ac:dyDescent="0.25">
      <c r="N1743" s="23" t="s">
        <v>106</v>
      </c>
      <c r="O1743" s="30" t="s">
        <v>2233</v>
      </c>
      <c r="P1743" s="30" t="s">
        <v>2236</v>
      </c>
      <c r="Q1743" s="84" t="s">
        <v>2462</v>
      </c>
      <c r="S1743" t="b">
        <v>1</v>
      </c>
    </row>
    <row r="1744" spans="14:19" x14ac:dyDescent="0.25">
      <c r="N1744" s="23" t="s">
        <v>106</v>
      </c>
      <c r="O1744" s="30" t="s">
        <v>2233</v>
      </c>
      <c r="P1744" s="30" t="s">
        <v>2237</v>
      </c>
      <c r="Q1744" s="84" t="s">
        <v>2462</v>
      </c>
      <c r="S1744" t="b">
        <v>1</v>
      </c>
    </row>
    <row r="1745" spans="14:19" x14ac:dyDescent="0.25">
      <c r="N1745" s="23" t="s">
        <v>106</v>
      </c>
      <c r="O1745" s="30" t="s">
        <v>2233</v>
      </c>
      <c r="P1745" s="30" t="s">
        <v>2238</v>
      </c>
      <c r="Q1745" s="84" t="s">
        <v>2462</v>
      </c>
      <c r="S1745" t="b">
        <v>1</v>
      </c>
    </row>
    <row r="1746" spans="14:19" x14ac:dyDescent="0.25">
      <c r="N1746" s="23" t="s">
        <v>106</v>
      </c>
      <c r="O1746" s="30" t="s">
        <v>2233</v>
      </c>
      <c r="P1746" s="30" t="s">
        <v>2239</v>
      </c>
      <c r="Q1746" s="84" t="s">
        <v>2462</v>
      </c>
      <c r="S1746" t="b">
        <v>1</v>
      </c>
    </row>
    <row r="1747" spans="14:19" x14ac:dyDescent="0.25">
      <c r="N1747" s="23" t="s">
        <v>106</v>
      </c>
      <c r="O1747" s="30" t="s">
        <v>2233</v>
      </c>
      <c r="P1747" s="30" t="s">
        <v>2240</v>
      </c>
      <c r="Q1747" s="84" t="s">
        <v>2462</v>
      </c>
      <c r="S1747" t="b">
        <v>1</v>
      </c>
    </row>
    <row r="1748" spans="14:19" x14ac:dyDescent="0.25">
      <c r="N1748" s="23" t="s">
        <v>106</v>
      </c>
      <c r="O1748" s="30" t="s">
        <v>2233</v>
      </c>
      <c r="P1748" s="30" t="s">
        <v>2241</v>
      </c>
      <c r="Q1748" s="84" t="s">
        <v>2462</v>
      </c>
      <c r="S1748" t="b">
        <v>1</v>
      </c>
    </row>
    <row r="1749" spans="14:19" x14ac:dyDescent="0.25">
      <c r="N1749" s="23" t="s">
        <v>106</v>
      </c>
      <c r="O1749" s="30" t="s">
        <v>2233</v>
      </c>
      <c r="P1749" s="30" t="s">
        <v>2242</v>
      </c>
      <c r="Q1749" s="84" t="s">
        <v>2462</v>
      </c>
      <c r="S1749" t="b">
        <v>1</v>
      </c>
    </row>
    <row r="1750" spans="14:19" x14ac:dyDescent="0.25">
      <c r="N1750" s="23" t="s">
        <v>106</v>
      </c>
      <c r="O1750" s="30" t="s">
        <v>2233</v>
      </c>
      <c r="P1750" s="30" t="s">
        <v>2243</v>
      </c>
      <c r="Q1750" s="84" t="s">
        <v>2462</v>
      </c>
      <c r="S1750" t="b">
        <v>1</v>
      </c>
    </row>
    <row r="1751" spans="14:19" x14ac:dyDescent="0.25">
      <c r="N1751" s="23" t="s">
        <v>106</v>
      </c>
      <c r="O1751" s="30" t="s">
        <v>2233</v>
      </c>
      <c r="P1751" s="30" t="s">
        <v>2244</v>
      </c>
      <c r="Q1751" s="84" t="s">
        <v>2462</v>
      </c>
      <c r="S1751" t="b">
        <v>1</v>
      </c>
    </row>
    <row r="1752" spans="14:19" x14ac:dyDescent="0.25">
      <c r="N1752" s="23" t="s">
        <v>106</v>
      </c>
      <c r="O1752" s="30" t="s">
        <v>2233</v>
      </c>
      <c r="P1752" s="30" t="s">
        <v>2245</v>
      </c>
      <c r="Q1752" s="84" t="s">
        <v>2462</v>
      </c>
      <c r="S1752" t="b">
        <v>1</v>
      </c>
    </row>
    <row r="1753" spans="14:19" x14ac:dyDescent="0.25">
      <c r="N1753" s="23" t="s">
        <v>106</v>
      </c>
      <c r="O1753" s="30" t="s">
        <v>2233</v>
      </c>
      <c r="P1753" s="30" t="s">
        <v>2246</v>
      </c>
      <c r="Q1753" s="84" t="s">
        <v>2462</v>
      </c>
      <c r="S1753" t="b">
        <v>1</v>
      </c>
    </row>
    <row r="1754" spans="14:19" x14ac:dyDescent="0.25">
      <c r="N1754" s="23" t="s">
        <v>106</v>
      </c>
      <c r="O1754" s="30" t="s">
        <v>2233</v>
      </c>
      <c r="P1754" s="30" t="s">
        <v>2247</v>
      </c>
      <c r="Q1754" s="84" t="s">
        <v>2462</v>
      </c>
      <c r="S1754" t="b">
        <v>1</v>
      </c>
    </row>
    <row r="1755" spans="14:19" x14ac:dyDescent="0.25">
      <c r="N1755" s="23" t="s">
        <v>106</v>
      </c>
      <c r="O1755" s="30" t="s">
        <v>2233</v>
      </c>
      <c r="P1755" s="30" t="s">
        <v>2248</v>
      </c>
      <c r="Q1755" s="84" t="s">
        <v>2462</v>
      </c>
      <c r="S1755" t="b">
        <v>1</v>
      </c>
    </row>
    <row r="1756" spans="14:19" x14ac:dyDescent="0.25">
      <c r="N1756" s="23" t="s">
        <v>106</v>
      </c>
      <c r="O1756" s="30" t="s">
        <v>2233</v>
      </c>
      <c r="P1756" s="30" t="s">
        <v>2249</v>
      </c>
      <c r="Q1756" s="84" t="s">
        <v>2462</v>
      </c>
      <c r="S1756" t="b">
        <v>1</v>
      </c>
    </row>
    <row r="1757" spans="14:19" x14ac:dyDescent="0.25">
      <c r="N1757" s="23" t="s">
        <v>106</v>
      </c>
      <c r="O1757" s="30" t="s">
        <v>2233</v>
      </c>
      <c r="P1757" s="30" t="s">
        <v>2250</v>
      </c>
      <c r="Q1757" s="84" t="s">
        <v>2462</v>
      </c>
      <c r="S1757" t="b">
        <v>1</v>
      </c>
    </row>
    <row r="1758" spans="14:19" x14ac:dyDescent="0.25">
      <c r="N1758" s="23" t="s">
        <v>106</v>
      </c>
      <c r="O1758" s="30" t="s">
        <v>2233</v>
      </c>
      <c r="P1758" s="30" t="s">
        <v>2251</v>
      </c>
      <c r="Q1758" s="84" t="s">
        <v>2462</v>
      </c>
      <c r="S1758" t="b">
        <v>1</v>
      </c>
    </row>
    <row r="1759" spans="14:19" x14ac:dyDescent="0.25">
      <c r="N1759" s="23" t="s">
        <v>106</v>
      </c>
      <c r="O1759" s="30" t="s">
        <v>2233</v>
      </c>
      <c r="P1759" s="30" t="s">
        <v>2252</v>
      </c>
      <c r="Q1759" s="84" t="s">
        <v>2462</v>
      </c>
      <c r="S1759" t="b">
        <v>1</v>
      </c>
    </row>
    <row r="1760" spans="14:19" x14ac:dyDescent="0.25">
      <c r="N1760" s="23" t="s">
        <v>106</v>
      </c>
      <c r="O1760" s="30" t="s">
        <v>2233</v>
      </c>
      <c r="P1760" s="30" t="s">
        <v>2253</v>
      </c>
      <c r="Q1760" s="84" t="s">
        <v>2462</v>
      </c>
      <c r="S1760" t="b">
        <v>1</v>
      </c>
    </row>
    <row r="1761" spans="14:19" x14ac:dyDescent="0.25">
      <c r="N1761" s="23" t="s">
        <v>106</v>
      </c>
      <c r="O1761" s="30" t="s">
        <v>2233</v>
      </c>
      <c r="P1761" s="30" t="s">
        <v>2254</v>
      </c>
      <c r="Q1761" s="84" t="s">
        <v>2462</v>
      </c>
      <c r="S1761" t="b">
        <v>1</v>
      </c>
    </row>
    <row r="1762" spans="14:19" x14ac:dyDescent="0.25">
      <c r="N1762" s="23" t="s">
        <v>106</v>
      </c>
      <c r="O1762" s="30" t="s">
        <v>2233</v>
      </c>
      <c r="P1762" s="30" t="s">
        <v>2255</v>
      </c>
      <c r="Q1762" s="84" t="s">
        <v>2462</v>
      </c>
      <c r="S1762" t="b">
        <v>1</v>
      </c>
    </row>
    <row r="1763" spans="14:19" x14ac:dyDescent="0.25">
      <c r="N1763" s="23" t="s">
        <v>106</v>
      </c>
      <c r="O1763" s="30" t="s">
        <v>2233</v>
      </c>
      <c r="P1763" s="30" t="s">
        <v>2256</v>
      </c>
      <c r="Q1763" s="84" t="s">
        <v>2462</v>
      </c>
      <c r="S1763" t="b">
        <v>1</v>
      </c>
    </row>
    <row r="1764" spans="14:19" x14ac:dyDescent="0.25">
      <c r="N1764" s="23" t="s">
        <v>106</v>
      </c>
      <c r="O1764" s="30" t="s">
        <v>2233</v>
      </c>
      <c r="P1764" s="30" t="s">
        <v>2257</v>
      </c>
      <c r="Q1764" s="84" t="s">
        <v>2462</v>
      </c>
      <c r="S1764" t="b">
        <v>1</v>
      </c>
    </row>
    <row r="1765" spans="14:19" x14ac:dyDescent="0.25">
      <c r="N1765" s="23" t="s">
        <v>106</v>
      </c>
      <c r="O1765" s="30" t="s">
        <v>2233</v>
      </c>
      <c r="P1765" s="30" t="s">
        <v>2258</v>
      </c>
      <c r="Q1765" s="84" t="s">
        <v>2462</v>
      </c>
      <c r="S1765" t="b">
        <v>1</v>
      </c>
    </row>
    <row r="1766" spans="14:19" x14ac:dyDescent="0.25">
      <c r="N1766" s="23" t="s">
        <v>106</v>
      </c>
      <c r="O1766" s="30" t="s">
        <v>2233</v>
      </c>
      <c r="P1766" s="30" t="s">
        <v>2259</v>
      </c>
      <c r="Q1766" s="84" t="s">
        <v>2462</v>
      </c>
      <c r="S1766" t="b">
        <v>1</v>
      </c>
    </row>
    <row r="1767" spans="14:19" x14ac:dyDescent="0.25">
      <c r="N1767" s="23" t="s">
        <v>106</v>
      </c>
      <c r="O1767" s="30" t="s">
        <v>2233</v>
      </c>
      <c r="P1767" s="30" t="s">
        <v>2260</v>
      </c>
      <c r="Q1767" s="84" t="s">
        <v>2462</v>
      </c>
      <c r="S1767" t="b">
        <v>1</v>
      </c>
    </row>
    <row r="1768" spans="14:19" x14ac:dyDescent="0.25">
      <c r="N1768" s="23" t="s">
        <v>106</v>
      </c>
      <c r="O1768" s="30" t="s">
        <v>2233</v>
      </c>
      <c r="P1768" s="30" t="s">
        <v>2261</v>
      </c>
      <c r="Q1768" s="84" t="s">
        <v>2462</v>
      </c>
      <c r="S1768" t="b">
        <v>1</v>
      </c>
    </row>
    <row r="1769" spans="14:19" x14ac:dyDescent="0.25">
      <c r="N1769" s="23" t="s">
        <v>106</v>
      </c>
      <c r="O1769" s="30" t="s">
        <v>2233</v>
      </c>
      <c r="P1769" s="30" t="s">
        <v>2262</v>
      </c>
      <c r="Q1769" s="84" t="s">
        <v>2463</v>
      </c>
      <c r="S1769" t="b">
        <v>0</v>
      </c>
    </row>
    <row r="1770" spans="14:19" x14ac:dyDescent="0.25">
      <c r="N1770" s="23" t="s">
        <v>106</v>
      </c>
      <c r="O1770" s="30" t="s">
        <v>2233</v>
      </c>
      <c r="P1770" s="30" t="s">
        <v>2263</v>
      </c>
      <c r="Q1770" s="84" t="s">
        <v>2463</v>
      </c>
      <c r="S1770" t="b">
        <v>0</v>
      </c>
    </row>
    <row r="1771" spans="14:19" x14ac:dyDescent="0.25">
      <c r="N1771" s="23" t="s">
        <v>106</v>
      </c>
      <c r="O1771" s="30" t="s">
        <v>2233</v>
      </c>
      <c r="P1771" s="30" t="s">
        <v>2264</v>
      </c>
      <c r="Q1771" s="84" t="s">
        <v>2463</v>
      </c>
      <c r="S1771" t="b">
        <v>0</v>
      </c>
    </row>
    <row r="1772" spans="14:19" x14ac:dyDescent="0.25">
      <c r="N1772" s="23" t="s">
        <v>106</v>
      </c>
      <c r="O1772" s="30" t="s">
        <v>2233</v>
      </c>
      <c r="P1772" s="30" t="s">
        <v>2265</v>
      </c>
      <c r="Q1772" s="84" t="s">
        <v>2463</v>
      </c>
      <c r="S1772" t="b">
        <v>0</v>
      </c>
    </row>
    <row r="1773" spans="14:19" x14ac:dyDescent="0.25">
      <c r="N1773" s="23" t="s">
        <v>106</v>
      </c>
      <c r="O1773" s="30" t="s">
        <v>2233</v>
      </c>
      <c r="P1773" s="30" t="s">
        <v>2266</v>
      </c>
      <c r="Q1773" s="84" t="s">
        <v>2463</v>
      </c>
      <c r="S1773" t="b">
        <v>0</v>
      </c>
    </row>
    <row r="1774" spans="14:19" x14ac:dyDescent="0.25">
      <c r="N1774" s="23" t="s">
        <v>106</v>
      </c>
      <c r="O1774" s="30" t="s">
        <v>2233</v>
      </c>
      <c r="P1774" s="30" t="s">
        <v>2267</v>
      </c>
      <c r="Q1774" s="84" t="s">
        <v>2463</v>
      </c>
      <c r="S1774" t="b">
        <v>0</v>
      </c>
    </row>
    <row r="1775" spans="14:19" x14ac:dyDescent="0.25">
      <c r="N1775" s="23" t="s">
        <v>106</v>
      </c>
      <c r="O1775" s="30" t="s">
        <v>2233</v>
      </c>
      <c r="P1775" s="30" t="s">
        <v>2268</v>
      </c>
      <c r="Q1775" s="84" t="s">
        <v>2463</v>
      </c>
      <c r="S1775" t="b">
        <v>0</v>
      </c>
    </row>
    <row r="1776" spans="14:19" x14ac:dyDescent="0.25">
      <c r="N1776" s="23" t="s">
        <v>106</v>
      </c>
      <c r="O1776" s="30" t="s">
        <v>2233</v>
      </c>
      <c r="P1776" s="30" t="s">
        <v>2269</v>
      </c>
      <c r="Q1776" s="84" t="s">
        <v>2463</v>
      </c>
      <c r="S1776" t="b">
        <v>0</v>
      </c>
    </row>
    <row r="1777" spans="14:19" x14ac:dyDescent="0.25">
      <c r="N1777" s="23" t="s">
        <v>106</v>
      </c>
      <c r="O1777" s="30" t="s">
        <v>2233</v>
      </c>
      <c r="P1777" s="30" t="s">
        <v>2270</v>
      </c>
      <c r="Q1777" s="84" t="s">
        <v>2463</v>
      </c>
      <c r="S1777" t="b">
        <v>0</v>
      </c>
    </row>
    <row r="1778" spans="14:19" x14ac:dyDescent="0.25">
      <c r="N1778" s="23" t="s">
        <v>106</v>
      </c>
      <c r="O1778" s="30" t="s">
        <v>2233</v>
      </c>
      <c r="P1778" s="30" t="s">
        <v>2271</v>
      </c>
      <c r="Q1778" s="84" t="s">
        <v>2463</v>
      </c>
      <c r="S1778" t="b">
        <v>0</v>
      </c>
    </row>
    <row r="1779" spans="14:19" x14ac:dyDescent="0.25">
      <c r="N1779" s="23" t="s">
        <v>106</v>
      </c>
      <c r="O1779" s="30" t="s">
        <v>2233</v>
      </c>
      <c r="P1779" s="30" t="s">
        <v>2272</v>
      </c>
      <c r="Q1779" s="84" t="s">
        <v>2463</v>
      </c>
      <c r="S1779" t="b">
        <v>0</v>
      </c>
    </row>
    <row r="1780" spans="14:19" x14ac:dyDescent="0.25">
      <c r="N1780" s="23" t="s">
        <v>106</v>
      </c>
      <c r="O1780" s="30" t="s">
        <v>2233</v>
      </c>
      <c r="P1780" s="30" t="s">
        <v>2273</v>
      </c>
      <c r="Q1780" s="84" t="s">
        <v>2463</v>
      </c>
      <c r="S1780" t="b">
        <v>0</v>
      </c>
    </row>
    <row r="1781" spans="14:19" x14ac:dyDescent="0.25">
      <c r="N1781" s="23" t="s">
        <v>106</v>
      </c>
      <c r="O1781" s="30" t="s">
        <v>2233</v>
      </c>
      <c r="P1781" s="30" t="s">
        <v>2274</v>
      </c>
      <c r="Q1781" s="84" t="s">
        <v>2463</v>
      </c>
      <c r="S1781" t="b">
        <v>0</v>
      </c>
    </row>
    <row r="1782" spans="14:19" x14ac:dyDescent="0.25">
      <c r="N1782" s="23" t="s">
        <v>106</v>
      </c>
      <c r="O1782" s="30" t="s">
        <v>2233</v>
      </c>
      <c r="P1782" s="30" t="s">
        <v>2275</v>
      </c>
      <c r="Q1782" s="84" t="s">
        <v>2463</v>
      </c>
      <c r="S1782" t="b">
        <v>0</v>
      </c>
    </row>
    <row r="1783" spans="14:19" x14ac:dyDescent="0.25">
      <c r="N1783" s="23" t="s">
        <v>106</v>
      </c>
      <c r="O1783" s="30" t="s">
        <v>2233</v>
      </c>
      <c r="P1783" s="30" t="s">
        <v>2276</v>
      </c>
      <c r="Q1783" s="84" t="s">
        <v>2463</v>
      </c>
      <c r="S1783" t="b">
        <v>0</v>
      </c>
    </row>
    <row r="1784" spans="14:19" x14ac:dyDescent="0.25">
      <c r="N1784" s="23" t="s">
        <v>106</v>
      </c>
      <c r="O1784" s="30" t="s">
        <v>2233</v>
      </c>
      <c r="P1784" s="30" t="s">
        <v>2277</v>
      </c>
      <c r="Q1784" s="84" t="s">
        <v>2463</v>
      </c>
      <c r="S1784" t="b">
        <v>0</v>
      </c>
    </row>
    <row r="1785" spans="14:19" x14ac:dyDescent="0.25">
      <c r="N1785" s="23" t="s">
        <v>106</v>
      </c>
      <c r="O1785" s="30" t="s">
        <v>2233</v>
      </c>
      <c r="P1785" s="30" t="s">
        <v>2278</v>
      </c>
      <c r="Q1785" s="84" t="s">
        <v>2463</v>
      </c>
      <c r="S1785" t="b">
        <v>0</v>
      </c>
    </row>
    <row r="1786" spans="14:19" x14ac:dyDescent="0.25">
      <c r="N1786" s="23" t="s">
        <v>106</v>
      </c>
      <c r="O1786" s="30" t="s">
        <v>2233</v>
      </c>
      <c r="P1786" s="30" t="s">
        <v>2279</v>
      </c>
      <c r="Q1786" s="84" t="s">
        <v>2463</v>
      </c>
      <c r="S1786" t="b">
        <v>0</v>
      </c>
    </row>
    <row r="1787" spans="14:19" x14ac:dyDescent="0.25">
      <c r="N1787" s="23" t="s">
        <v>106</v>
      </c>
      <c r="O1787" s="30" t="s">
        <v>2233</v>
      </c>
      <c r="P1787" s="30" t="s">
        <v>2280</v>
      </c>
      <c r="Q1787" s="84" t="s">
        <v>2463</v>
      </c>
      <c r="S1787" t="b">
        <v>0</v>
      </c>
    </row>
    <row r="1788" spans="14:19" x14ac:dyDescent="0.25">
      <c r="N1788" s="23" t="s">
        <v>106</v>
      </c>
      <c r="O1788" s="30" t="s">
        <v>2233</v>
      </c>
      <c r="P1788" s="30" t="s">
        <v>2281</v>
      </c>
      <c r="Q1788" s="84" t="s">
        <v>2463</v>
      </c>
      <c r="S1788" t="b">
        <v>0</v>
      </c>
    </row>
    <row r="1789" spans="14:19" x14ac:dyDescent="0.25">
      <c r="N1789" s="23" t="s">
        <v>106</v>
      </c>
      <c r="O1789" s="30" t="s">
        <v>2233</v>
      </c>
      <c r="P1789" s="30" t="s">
        <v>2282</v>
      </c>
      <c r="Q1789" s="84" t="s">
        <v>2463</v>
      </c>
      <c r="S1789" t="b">
        <v>0</v>
      </c>
    </row>
    <row r="1790" spans="14:19" x14ac:dyDescent="0.25">
      <c r="N1790" s="23" t="s">
        <v>106</v>
      </c>
      <c r="O1790" s="30" t="s">
        <v>2233</v>
      </c>
      <c r="P1790" s="30" t="s">
        <v>2283</v>
      </c>
      <c r="Q1790" s="84" t="s">
        <v>2463</v>
      </c>
      <c r="S1790" t="b">
        <v>0</v>
      </c>
    </row>
    <row r="1791" spans="14:19" x14ac:dyDescent="0.25">
      <c r="N1791" s="23" t="s">
        <v>106</v>
      </c>
      <c r="O1791" s="30" t="s">
        <v>2233</v>
      </c>
      <c r="P1791" s="30" t="s">
        <v>2284</v>
      </c>
      <c r="Q1791" s="84" t="s">
        <v>2463</v>
      </c>
      <c r="S1791" t="b">
        <v>0</v>
      </c>
    </row>
    <row r="1792" spans="14:19" x14ac:dyDescent="0.25">
      <c r="N1792" s="23" t="s">
        <v>106</v>
      </c>
      <c r="O1792" s="30" t="s">
        <v>2233</v>
      </c>
      <c r="P1792" s="30" t="s">
        <v>2285</v>
      </c>
      <c r="Q1792" s="84" t="s">
        <v>2463</v>
      </c>
      <c r="S1792" t="b">
        <v>0</v>
      </c>
    </row>
    <row r="1793" spans="14:19" x14ac:dyDescent="0.25">
      <c r="N1793" s="23" t="s">
        <v>106</v>
      </c>
      <c r="O1793" s="30" t="s">
        <v>2233</v>
      </c>
      <c r="P1793" s="30" t="s">
        <v>2286</v>
      </c>
      <c r="Q1793" s="84" t="s">
        <v>2463</v>
      </c>
      <c r="S1793" t="b">
        <v>0</v>
      </c>
    </row>
    <row r="1794" spans="14:19" x14ac:dyDescent="0.25">
      <c r="N1794" s="23" t="s">
        <v>106</v>
      </c>
      <c r="O1794" s="30" t="s">
        <v>2233</v>
      </c>
      <c r="P1794" s="30" t="s">
        <v>2287</v>
      </c>
      <c r="Q1794" s="84" t="s">
        <v>2463</v>
      </c>
      <c r="S1794" t="b">
        <v>0</v>
      </c>
    </row>
    <row r="1795" spans="14:19" x14ac:dyDescent="0.25">
      <c r="N1795" s="23" t="s">
        <v>106</v>
      </c>
      <c r="O1795" s="30" t="s">
        <v>2233</v>
      </c>
      <c r="P1795" s="30" t="s">
        <v>2288</v>
      </c>
      <c r="Q1795" s="84" t="s">
        <v>2463</v>
      </c>
      <c r="S1795" t="b">
        <v>0</v>
      </c>
    </row>
    <row r="1796" spans="14:19" x14ac:dyDescent="0.25">
      <c r="N1796" s="23" t="s">
        <v>106</v>
      </c>
      <c r="O1796" s="30" t="s">
        <v>2233</v>
      </c>
      <c r="P1796" s="30" t="s">
        <v>2289</v>
      </c>
      <c r="Q1796" s="84" t="s">
        <v>2463</v>
      </c>
      <c r="S1796" t="b">
        <v>0</v>
      </c>
    </row>
    <row r="1797" spans="14:19" x14ac:dyDescent="0.25">
      <c r="N1797" s="23" t="s">
        <v>106</v>
      </c>
      <c r="O1797" s="30" t="s">
        <v>2233</v>
      </c>
      <c r="P1797" s="30" t="s">
        <v>2290</v>
      </c>
      <c r="Q1797" s="84" t="s">
        <v>2463</v>
      </c>
      <c r="S1797" t="b">
        <v>0</v>
      </c>
    </row>
    <row r="1798" spans="14:19" x14ac:dyDescent="0.25">
      <c r="N1798" s="23" t="s">
        <v>106</v>
      </c>
      <c r="O1798" s="30" t="s">
        <v>2233</v>
      </c>
      <c r="P1798" s="30" t="s">
        <v>2291</v>
      </c>
      <c r="Q1798" s="84" t="s">
        <v>2463</v>
      </c>
      <c r="S1798" t="b">
        <v>0</v>
      </c>
    </row>
    <row r="1799" spans="14:19" x14ac:dyDescent="0.25">
      <c r="N1799" s="23" t="s">
        <v>106</v>
      </c>
      <c r="O1799" s="30" t="s">
        <v>2233</v>
      </c>
      <c r="P1799" s="30" t="s">
        <v>2292</v>
      </c>
      <c r="Q1799" s="84" t="s">
        <v>2463</v>
      </c>
      <c r="S1799" t="b">
        <v>0</v>
      </c>
    </row>
    <row r="1800" spans="14:19" x14ac:dyDescent="0.25">
      <c r="N1800" s="23" t="s">
        <v>106</v>
      </c>
      <c r="O1800" s="30" t="s">
        <v>2233</v>
      </c>
      <c r="P1800" s="30" t="s">
        <v>2293</v>
      </c>
      <c r="Q1800" s="84" t="s">
        <v>2463</v>
      </c>
      <c r="S1800" t="b">
        <v>0</v>
      </c>
    </row>
    <row r="1801" spans="14:19" x14ac:dyDescent="0.25">
      <c r="N1801" s="23" t="s">
        <v>106</v>
      </c>
      <c r="O1801" s="30" t="s">
        <v>2233</v>
      </c>
      <c r="P1801" s="30" t="s">
        <v>2294</v>
      </c>
      <c r="Q1801" s="84" t="s">
        <v>2463</v>
      </c>
      <c r="S1801" t="b">
        <v>0</v>
      </c>
    </row>
    <row r="1802" spans="14:19" x14ac:dyDescent="0.25">
      <c r="N1802" s="23" t="s">
        <v>106</v>
      </c>
      <c r="O1802" s="30" t="s">
        <v>2233</v>
      </c>
      <c r="P1802" s="30" t="s">
        <v>2295</v>
      </c>
      <c r="Q1802" s="84" t="s">
        <v>2463</v>
      </c>
      <c r="S1802" t="b">
        <v>0</v>
      </c>
    </row>
    <row r="1803" spans="14:19" x14ac:dyDescent="0.25">
      <c r="N1803" s="23" t="s">
        <v>106</v>
      </c>
      <c r="O1803" s="30" t="s">
        <v>2233</v>
      </c>
      <c r="P1803" s="30" t="s">
        <v>2296</v>
      </c>
      <c r="Q1803" s="84" t="s">
        <v>2463</v>
      </c>
      <c r="S1803" t="b">
        <v>0</v>
      </c>
    </row>
    <row r="1804" spans="14:19" x14ac:dyDescent="0.25">
      <c r="N1804" s="23" t="s">
        <v>106</v>
      </c>
      <c r="O1804" s="30" t="s">
        <v>2233</v>
      </c>
      <c r="P1804" s="30" t="s">
        <v>2297</v>
      </c>
      <c r="Q1804" s="84" t="s">
        <v>2463</v>
      </c>
      <c r="S1804" t="b">
        <v>0</v>
      </c>
    </row>
    <row r="1805" spans="14:19" x14ac:dyDescent="0.25">
      <c r="N1805" s="23" t="s">
        <v>106</v>
      </c>
      <c r="O1805" s="30" t="s">
        <v>2233</v>
      </c>
      <c r="P1805" s="30" t="s">
        <v>2298</v>
      </c>
      <c r="Q1805" s="84" t="s">
        <v>2463</v>
      </c>
      <c r="S1805" t="b">
        <v>0</v>
      </c>
    </row>
    <row r="1806" spans="14:19" x14ac:dyDescent="0.25">
      <c r="N1806" s="23" t="s">
        <v>106</v>
      </c>
      <c r="O1806" s="30" t="s">
        <v>2233</v>
      </c>
      <c r="P1806" s="30" t="s">
        <v>2299</v>
      </c>
      <c r="Q1806" s="84" t="s">
        <v>2463</v>
      </c>
      <c r="S1806" t="b">
        <v>0</v>
      </c>
    </row>
    <row r="1807" spans="14:19" x14ac:dyDescent="0.25">
      <c r="N1807" s="23" t="s">
        <v>106</v>
      </c>
      <c r="O1807" s="30" t="s">
        <v>2233</v>
      </c>
      <c r="P1807" s="30" t="s">
        <v>2300</v>
      </c>
      <c r="Q1807" s="84" t="s">
        <v>2463</v>
      </c>
      <c r="S1807" t="b">
        <v>0</v>
      </c>
    </row>
    <row r="1808" spans="14:19" x14ac:dyDescent="0.25">
      <c r="N1808" s="23" t="s">
        <v>106</v>
      </c>
      <c r="O1808" s="30" t="s">
        <v>2233</v>
      </c>
      <c r="P1808" s="30" t="s">
        <v>2301</v>
      </c>
      <c r="Q1808" s="84" t="s">
        <v>2463</v>
      </c>
      <c r="S1808" t="b">
        <v>0</v>
      </c>
    </row>
    <row r="1809" spans="14:19" x14ac:dyDescent="0.25">
      <c r="N1809" s="23" t="s">
        <v>106</v>
      </c>
      <c r="O1809" s="30" t="s">
        <v>2233</v>
      </c>
      <c r="P1809" s="30" t="s">
        <v>2302</v>
      </c>
      <c r="Q1809" s="84" t="s">
        <v>2463</v>
      </c>
      <c r="S1809" t="b">
        <v>0</v>
      </c>
    </row>
    <row r="1810" spans="14:19" x14ac:dyDescent="0.25">
      <c r="N1810" s="23" t="s">
        <v>106</v>
      </c>
      <c r="O1810" s="30" t="s">
        <v>2233</v>
      </c>
      <c r="P1810" s="30" t="s">
        <v>2303</v>
      </c>
      <c r="Q1810" s="84" t="s">
        <v>2463</v>
      </c>
      <c r="S1810" t="b">
        <v>0</v>
      </c>
    </row>
    <row r="1811" spans="14:19" x14ac:dyDescent="0.25">
      <c r="N1811" s="23" t="s">
        <v>106</v>
      </c>
      <c r="O1811" s="30" t="s">
        <v>2233</v>
      </c>
      <c r="P1811" s="30" t="s">
        <v>2304</v>
      </c>
      <c r="Q1811" s="84" t="s">
        <v>2463</v>
      </c>
      <c r="S1811" t="b">
        <v>0</v>
      </c>
    </row>
    <row r="1812" spans="14:19" x14ac:dyDescent="0.25">
      <c r="N1812" s="23" t="s">
        <v>106</v>
      </c>
      <c r="O1812" s="30" t="s">
        <v>2233</v>
      </c>
      <c r="P1812" s="30" t="s">
        <v>2305</v>
      </c>
      <c r="Q1812" s="84" t="s">
        <v>2463</v>
      </c>
      <c r="S1812" t="b">
        <v>0</v>
      </c>
    </row>
    <row r="1813" spans="14:19" x14ac:dyDescent="0.25">
      <c r="N1813" s="23" t="s">
        <v>106</v>
      </c>
      <c r="O1813" s="30" t="s">
        <v>2233</v>
      </c>
      <c r="P1813" s="30" t="s">
        <v>2306</v>
      </c>
      <c r="Q1813" s="84" t="s">
        <v>2463</v>
      </c>
      <c r="S1813" t="b">
        <v>0</v>
      </c>
    </row>
    <row r="1814" spans="14:19" x14ac:dyDescent="0.25">
      <c r="N1814" s="23" t="s">
        <v>106</v>
      </c>
      <c r="O1814" s="30" t="s">
        <v>2233</v>
      </c>
      <c r="P1814" s="30" t="s">
        <v>2307</v>
      </c>
      <c r="Q1814" s="84" t="s">
        <v>2463</v>
      </c>
      <c r="S1814" t="b">
        <v>0</v>
      </c>
    </row>
    <row r="1815" spans="14:19" x14ac:dyDescent="0.25">
      <c r="N1815" s="23" t="s">
        <v>106</v>
      </c>
      <c r="O1815" s="30" t="s">
        <v>2233</v>
      </c>
      <c r="P1815" s="30" t="s">
        <v>2308</v>
      </c>
      <c r="Q1815" s="84" t="s">
        <v>2463</v>
      </c>
      <c r="S1815" t="b">
        <v>0</v>
      </c>
    </row>
    <row r="1816" spans="14:19" x14ac:dyDescent="0.25">
      <c r="N1816" s="23" t="s">
        <v>106</v>
      </c>
      <c r="O1816" s="30" t="s">
        <v>2233</v>
      </c>
      <c r="P1816" s="30" t="s">
        <v>2309</v>
      </c>
      <c r="Q1816" s="84" t="s">
        <v>2463</v>
      </c>
      <c r="S1816" t="b">
        <v>0</v>
      </c>
    </row>
    <row r="1817" spans="14:19" x14ac:dyDescent="0.25">
      <c r="N1817" s="23" t="s">
        <v>106</v>
      </c>
      <c r="O1817" s="30" t="s">
        <v>2233</v>
      </c>
      <c r="P1817" s="30" t="s">
        <v>2310</v>
      </c>
      <c r="Q1817" s="84" t="s">
        <v>2463</v>
      </c>
      <c r="S1817" t="b">
        <v>0</v>
      </c>
    </row>
    <row r="1818" spans="14:19" x14ac:dyDescent="0.25">
      <c r="N1818" s="23" t="s">
        <v>106</v>
      </c>
      <c r="O1818" s="30" t="s">
        <v>2233</v>
      </c>
      <c r="P1818" s="30" t="s">
        <v>2311</v>
      </c>
      <c r="Q1818" s="84" t="s">
        <v>2463</v>
      </c>
      <c r="S1818" t="b">
        <v>0</v>
      </c>
    </row>
    <row r="1819" spans="14:19" x14ac:dyDescent="0.25">
      <c r="N1819" s="23" t="s">
        <v>106</v>
      </c>
      <c r="O1819" s="30" t="s">
        <v>2233</v>
      </c>
      <c r="P1819" s="30" t="s">
        <v>2312</v>
      </c>
      <c r="Q1819" s="84" t="s">
        <v>2463</v>
      </c>
      <c r="S1819" t="b">
        <v>0</v>
      </c>
    </row>
    <row r="1820" spans="14:19" x14ac:dyDescent="0.25">
      <c r="N1820" s="23" t="s">
        <v>106</v>
      </c>
      <c r="O1820" s="30" t="s">
        <v>2233</v>
      </c>
      <c r="P1820" s="30" t="s">
        <v>2313</v>
      </c>
      <c r="Q1820" s="84" t="s">
        <v>2463</v>
      </c>
      <c r="S1820" t="b">
        <v>0</v>
      </c>
    </row>
    <row r="1821" spans="14:19" x14ac:dyDescent="0.25">
      <c r="N1821" s="23" t="s">
        <v>106</v>
      </c>
      <c r="O1821" s="30" t="s">
        <v>2233</v>
      </c>
      <c r="P1821" s="30" t="s">
        <v>2314</v>
      </c>
      <c r="Q1821" s="84" t="s">
        <v>2463</v>
      </c>
      <c r="S1821" t="b">
        <v>0</v>
      </c>
    </row>
    <row r="1822" spans="14:19" x14ac:dyDescent="0.25">
      <c r="N1822" s="23" t="s">
        <v>106</v>
      </c>
      <c r="O1822" s="30" t="s">
        <v>2233</v>
      </c>
      <c r="P1822" s="30" t="s">
        <v>2315</v>
      </c>
      <c r="Q1822" s="84" t="s">
        <v>2463</v>
      </c>
      <c r="S1822" t="b">
        <v>0</v>
      </c>
    </row>
    <row r="1823" spans="14:19" x14ac:dyDescent="0.25">
      <c r="N1823" s="23" t="s">
        <v>106</v>
      </c>
      <c r="O1823" s="30" t="s">
        <v>2233</v>
      </c>
      <c r="P1823" s="30" t="s">
        <v>2316</v>
      </c>
      <c r="Q1823" s="84" t="s">
        <v>2463</v>
      </c>
      <c r="S1823" t="b">
        <v>0</v>
      </c>
    </row>
    <row r="1824" spans="14:19" x14ac:dyDescent="0.25">
      <c r="N1824" s="23" t="s">
        <v>106</v>
      </c>
      <c r="O1824" s="30" t="s">
        <v>2233</v>
      </c>
      <c r="P1824" s="30" t="s">
        <v>2317</v>
      </c>
      <c r="Q1824" s="84" t="s">
        <v>2463</v>
      </c>
      <c r="S1824" t="b">
        <v>0</v>
      </c>
    </row>
    <row r="1825" spans="14:19" x14ac:dyDescent="0.25">
      <c r="N1825" s="23" t="s">
        <v>106</v>
      </c>
      <c r="O1825" s="30" t="s">
        <v>2233</v>
      </c>
      <c r="P1825" s="30" t="s">
        <v>2318</v>
      </c>
      <c r="Q1825" s="84" t="s">
        <v>2463</v>
      </c>
      <c r="S1825" t="b">
        <v>0</v>
      </c>
    </row>
    <row r="1826" spans="14:19" x14ac:dyDescent="0.25">
      <c r="N1826" s="23" t="s">
        <v>106</v>
      </c>
      <c r="O1826" s="30" t="s">
        <v>2233</v>
      </c>
      <c r="P1826" s="30" t="s">
        <v>2319</v>
      </c>
      <c r="Q1826" s="84" t="s">
        <v>2463</v>
      </c>
      <c r="S1826" t="b">
        <v>0</v>
      </c>
    </row>
    <row r="1827" spans="14:19" x14ac:dyDescent="0.25">
      <c r="N1827" s="23" t="s">
        <v>106</v>
      </c>
      <c r="O1827" s="30" t="s">
        <v>2233</v>
      </c>
      <c r="P1827" s="30" t="s">
        <v>2320</v>
      </c>
      <c r="Q1827" s="84" t="s">
        <v>2463</v>
      </c>
      <c r="S1827" t="b">
        <v>0</v>
      </c>
    </row>
    <row r="1828" spans="14:19" x14ac:dyDescent="0.25">
      <c r="N1828" s="23" t="s">
        <v>106</v>
      </c>
      <c r="O1828" s="30" t="s">
        <v>2233</v>
      </c>
      <c r="P1828" s="30" t="s">
        <v>2321</v>
      </c>
      <c r="Q1828" s="84" t="s">
        <v>2463</v>
      </c>
      <c r="S1828" t="b">
        <v>0</v>
      </c>
    </row>
    <row r="1829" spans="14:19" x14ac:dyDescent="0.25">
      <c r="N1829" s="23" t="s">
        <v>106</v>
      </c>
      <c r="O1829" s="30" t="s">
        <v>2233</v>
      </c>
      <c r="P1829" s="30" t="s">
        <v>2322</v>
      </c>
      <c r="Q1829" s="84" t="s">
        <v>2463</v>
      </c>
      <c r="S1829" t="b">
        <v>0</v>
      </c>
    </row>
    <row r="1830" spans="14:19" x14ac:dyDescent="0.25">
      <c r="N1830" s="23" t="s">
        <v>106</v>
      </c>
      <c r="O1830" s="30" t="s">
        <v>2233</v>
      </c>
      <c r="P1830" s="30" t="s">
        <v>2323</v>
      </c>
      <c r="Q1830" s="84" t="s">
        <v>2463</v>
      </c>
      <c r="S1830" t="b">
        <v>0</v>
      </c>
    </row>
    <row r="1831" spans="14:19" x14ac:dyDescent="0.25">
      <c r="N1831" s="23" t="s">
        <v>106</v>
      </c>
      <c r="O1831" s="30" t="s">
        <v>2233</v>
      </c>
      <c r="P1831" s="30" t="s">
        <v>2324</v>
      </c>
      <c r="Q1831" s="84" t="s">
        <v>2463</v>
      </c>
      <c r="S1831" t="b">
        <v>0</v>
      </c>
    </row>
    <row r="1832" spans="14:19" x14ac:dyDescent="0.25">
      <c r="N1832" s="23" t="s">
        <v>106</v>
      </c>
      <c r="O1832" s="30" t="s">
        <v>2233</v>
      </c>
      <c r="P1832" s="30" t="s">
        <v>2325</v>
      </c>
      <c r="Q1832" s="84" t="s">
        <v>2463</v>
      </c>
      <c r="S1832" t="b">
        <v>0</v>
      </c>
    </row>
    <row r="1833" spans="14:19" x14ac:dyDescent="0.25">
      <c r="N1833" s="23" t="s">
        <v>106</v>
      </c>
      <c r="O1833" s="30" t="s">
        <v>2233</v>
      </c>
      <c r="P1833" s="30" t="s">
        <v>2326</v>
      </c>
      <c r="Q1833" s="84" t="s">
        <v>2462</v>
      </c>
      <c r="S1833" t="b">
        <v>1</v>
      </c>
    </row>
    <row r="1834" spans="14:19" x14ac:dyDescent="0.25">
      <c r="N1834" s="23" t="s">
        <v>106</v>
      </c>
      <c r="O1834" s="30" t="s">
        <v>2233</v>
      </c>
      <c r="P1834" s="30" t="s">
        <v>2327</v>
      </c>
      <c r="Q1834" s="84" t="s">
        <v>2462</v>
      </c>
      <c r="S1834" t="b">
        <v>1</v>
      </c>
    </row>
    <row r="1835" spans="14:19" x14ac:dyDescent="0.25">
      <c r="N1835" s="23" t="s">
        <v>106</v>
      </c>
      <c r="O1835" s="30" t="s">
        <v>2233</v>
      </c>
      <c r="P1835" s="30" t="s">
        <v>2328</v>
      </c>
      <c r="Q1835" s="84" t="s">
        <v>2462</v>
      </c>
      <c r="S1835" t="b">
        <v>1</v>
      </c>
    </row>
    <row r="1836" spans="14:19" x14ac:dyDescent="0.25">
      <c r="N1836" s="23" t="s">
        <v>106</v>
      </c>
      <c r="O1836" s="30" t="s">
        <v>2233</v>
      </c>
      <c r="P1836" s="30" t="s">
        <v>2329</v>
      </c>
      <c r="Q1836" s="84" t="s">
        <v>2462</v>
      </c>
      <c r="S1836" t="b">
        <v>1</v>
      </c>
    </row>
    <row r="1837" spans="14:19" x14ac:dyDescent="0.25">
      <c r="N1837" s="23" t="s">
        <v>106</v>
      </c>
      <c r="O1837" s="30" t="s">
        <v>2233</v>
      </c>
      <c r="P1837" s="30" t="s">
        <v>2330</v>
      </c>
      <c r="Q1837" s="84" t="s">
        <v>2462</v>
      </c>
      <c r="S1837" t="b">
        <v>1</v>
      </c>
    </row>
    <row r="1838" spans="14:19" x14ac:dyDescent="0.25">
      <c r="N1838" s="23" t="s">
        <v>106</v>
      </c>
      <c r="O1838" s="30" t="s">
        <v>2233</v>
      </c>
      <c r="P1838" s="30" t="s">
        <v>2331</v>
      </c>
      <c r="Q1838" s="84" t="s">
        <v>2462</v>
      </c>
      <c r="S1838" t="b">
        <v>1</v>
      </c>
    </row>
    <row r="1839" spans="14:19" x14ac:dyDescent="0.25">
      <c r="N1839" s="23" t="s">
        <v>106</v>
      </c>
      <c r="O1839" s="30" t="s">
        <v>2233</v>
      </c>
      <c r="P1839" s="30" t="s">
        <v>2332</v>
      </c>
      <c r="Q1839" s="84" t="s">
        <v>2462</v>
      </c>
      <c r="S1839" t="b">
        <v>1</v>
      </c>
    </row>
    <row r="1840" spans="14:19" x14ac:dyDescent="0.25">
      <c r="N1840" s="23" t="s">
        <v>106</v>
      </c>
      <c r="O1840" s="30" t="s">
        <v>2233</v>
      </c>
      <c r="P1840" s="30" t="s">
        <v>2333</v>
      </c>
      <c r="Q1840" s="84" t="s">
        <v>2462</v>
      </c>
      <c r="S1840" t="b">
        <v>1</v>
      </c>
    </row>
    <row r="1841" spans="14:19" x14ac:dyDescent="0.25">
      <c r="N1841" s="23" t="s">
        <v>106</v>
      </c>
      <c r="O1841" s="30" t="s">
        <v>2233</v>
      </c>
      <c r="P1841" s="30" t="s">
        <v>2334</v>
      </c>
      <c r="Q1841" s="84" t="s">
        <v>2462</v>
      </c>
      <c r="S1841" t="b">
        <v>1</v>
      </c>
    </row>
    <row r="1842" spans="14:19" x14ac:dyDescent="0.25">
      <c r="N1842" s="23" t="s">
        <v>106</v>
      </c>
      <c r="O1842" s="30" t="s">
        <v>2233</v>
      </c>
      <c r="P1842" s="30" t="s">
        <v>2335</v>
      </c>
      <c r="Q1842" s="84" t="s">
        <v>2462</v>
      </c>
      <c r="S1842" t="b">
        <v>1</v>
      </c>
    </row>
    <row r="1843" spans="14:19" x14ac:dyDescent="0.25">
      <c r="N1843" s="23" t="s">
        <v>106</v>
      </c>
      <c r="O1843" s="30" t="s">
        <v>2233</v>
      </c>
      <c r="P1843" s="30" t="s">
        <v>2336</v>
      </c>
      <c r="Q1843" s="84" t="s">
        <v>2462</v>
      </c>
      <c r="S1843" t="b">
        <v>1</v>
      </c>
    </row>
    <row r="1844" spans="14:19" x14ac:dyDescent="0.25">
      <c r="N1844" s="23" t="s">
        <v>106</v>
      </c>
      <c r="O1844" s="30" t="s">
        <v>2233</v>
      </c>
      <c r="P1844" s="30" t="s">
        <v>2337</v>
      </c>
      <c r="Q1844" s="84" t="s">
        <v>2462</v>
      </c>
      <c r="S1844" t="b">
        <v>1</v>
      </c>
    </row>
    <row r="1845" spans="14:19" x14ac:dyDescent="0.25">
      <c r="N1845" s="23" t="s">
        <v>106</v>
      </c>
      <c r="O1845" s="30" t="s">
        <v>2233</v>
      </c>
      <c r="P1845" s="30" t="s">
        <v>2338</v>
      </c>
      <c r="Q1845" s="84" t="s">
        <v>2462</v>
      </c>
      <c r="S1845" t="b">
        <v>1</v>
      </c>
    </row>
    <row r="1846" spans="14:19" x14ac:dyDescent="0.25">
      <c r="N1846" s="23" t="s">
        <v>106</v>
      </c>
      <c r="O1846" s="30" t="s">
        <v>2233</v>
      </c>
      <c r="P1846" s="30" t="s">
        <v>2339</v>
      </c>
      <c r="Q1846" s="84" t="s">
        <v>2462</v>
      </c>
      <c r="S1846" t="b">
        <v>1</v>
      </c>
    </row>
    <row r="1847" spans="14:19" x14ac:dyDescent="0.25">
      <c r="N1847" s="23" t="s">
        <v>106</v>
      </c>
      <c r="O1847" s="30" t="s">
        <v>2233</v>
      </c>
      <c r="P1847" s="30" t="s">
        <v>2340</v>
      </c>
      <c r="Q1847" s="84" t="s">
        <v>2462</v>
      </c>
      <c r="S1847" t="b">
        <v>1</v>
      </c>
    </row>
    <row r="1848" spans="14:19" x14ac:dyDescent="0.25">
      <c r="N1848" s="23" t="s">
        <v>106</v>
      </c>
      <c r="O1848" s="30" t="s">
        <v>2233</v>
      </c>
      <c r="P1848" s="30" t="s">
        <v>2341</v>
      </c>
      <c r="Q1848" s="84" t="s">
        <v>2462</v>
      </c>
      <c r="S1848" t="b">
        <v>1</v>
      </c>
    </row>
    <row r="1849" spans="14:19" x14ac:dyDescent="0.25">
      <c r="N1849" s="23" t="s">
        <v>106</v>
      </c>
      <c r="O1849" s="30" t="s">
        <v>2233</v>
      </c>
      <c r="P1849" s="30" t="s">
        <v>2342</v>
      </c>
      <c r="Q1849" s="84" t="s">
        <v>2462</v>
      </c>
      <c r="S1849" t="b">
        <v>1</v>
      </c>
    </row>
    <row r="1850" spans="14:19" x14ac:dyDescent="0.25">
      <c r="N1850" s="23" t="s">
        <v>106</v>
      </c>
      <c r="O1850" s="30" t="s">
        <v>2233</v>
      </c>
      <c r="P1850" s="30" t="s">
        <v>2343</v>
      </c>
      <c r="Q1850" s="84" t="s">
        <v>2462</v>
      </c>
      <c r="S1850" t="b">
        <v>1</v>
      </c>
    </row>
    <row r="1851" spans="14:19" x14ac:dyDescent="0.25">
      <c r="N1851" s="23" t="s">
        <v>106</v>
      </c>
      <c r="O1851" s="30" t="s">
        <v>2233</v>
      </c>
      <c r="P1851" s="30" t="s">
        <v>2344</v>
      </c>
      <c r="Q1851" s="84" t="s">
        <v>2462</v>
      </c>
      <c r="S1851" t="b">
        <v>1</v>
      </c>
    </row>
    <row r="1852" spans="14:19" x14ac:dyDescent="0.25">
      <c r="N1852" s="23" t="s">
        <v>106</v>
      </c>
      <c r="O1852" s="30" t="s">
        <v>2233</v>
      </c>
      <c r="P1852" s="30" t="s">
        <v>2345</v>
      </c>
      <c r="Q1852" s="84" t="s">
        <v>2462</v>
      </c>
      <c r="S1852" t="b">
        <v>1</v>
      </c>
    </row>
    <row r="1853" spans="14:19" x14ac:dyDescent="0.25">
      <c r="N1853" s="23" t="s">
        <v>106</v>
      </c>
      <c r="O1853" s="30" t="s">
        <v>2233</v>
      </c>
      <c r="P1853" s="30" t="s">
        <v>2346</v>
      </c>
      <c r="Q1853" s="84" t="s">
        <v>2462</v>
      </c>
      <c r="S1853" t="b">
        <v>1</v>
      </c>
    </row>
    <row r="1854" spans="14:19" x14ac:dyDescent="0.25">
      <c r="N1854" s="23" t="s">
        <v>106</v>
      </c>
      <c r="O1854" s="30" t="s">
        <v>2233</v>
      </c>
      <c r="P1854" s="30" t="s">
        <v>2347</v>
      </c>
      <c r="Q1854" s="84" t="s">
        <v>2462</v>
      </c>
      <c r="S1854" t="b">
        <v>1</v>
      </c>
    </row>
    <row r="1855" spans="14:19" x14ac:dyDescent="0.25">
      <c r="N1855" s="23" t="s">
        <v>106</v>
      </c>
      <c r="O1855" s="30" t="s">
        <v>2233</v>
      </c>
      <c r="P1855" s="30" t="s">
        <v>2348</v>
      </c>
      <c r="Q1855" s="84" t="s">
        <v>2462</v>
      </c>
      <c r="S1855" t="b">
        <v>1</v>
      </c>
    </row>
    <row r="1856" spans="14:19" x14ac:dyDescent="0.25">
      <c r="N1856" s="23" t="s">
        <v>106</v>
      </c>
      <c r="O1856" s="30" t="s">
        <v>2233</v>
      </c>
      <c r="P1856" s="30" t="s">
        <v>2349</v>
      </c>
      <c r="Q1856" s="84" t="s">
        <v>2462</v>
      </c>
      <c r="S1856" t="b">
        <v>1</v>
      </c>
    </row>
    <row r="1857" spans="14:19" x14ac:dyDescent="0.25">
      <c r="N1857" s="23" t="s">
        <v>106</v>
      </c>
      <c r="O1857" s="30" t="s">
        <v>2233</v>
      </c>
      <c r="P1857" s="30" t="s">
        <v>2350</v>
      </c>
      <c r="Q1857" s="84" t="s">
        <v>2462</v>
      </c>
      <c r="S1857" t="b">
        <v>1</v>
      </c>
    </row>
    <row r="1858" spans="14:19" x14ac:dyDescent="0.25">
      <c r="N1858" s="23" t="s">
        <v>106</v>
      </c>
      <c r="O1858" s="30" t="s">
        <v>2233</v>
      </c>
      <c r="P1858" s="30" t="s">
        <v>2351</v>
      </c>
      <c r="Q1858" s="84" t="s">
        <v>2462</v>
      </c>
      <c r="S1858" t="b">
        <v>1</v>
      </c>
    </row>
    <row r="1859" spans="14:19" x14ac:dyDescent="0.25">
      <c r="N1859" s="23" t="s">
        <v>106</v>
      </c>
      <c r="O1859" s="30" t="s">
        <v>2233</v>
      </c>
      <c r="P1859" s="30" t="s">
        <v>2352</v>
      </c>
      <c r="Q1859" s="84" t="s">
        <v>2462</v>
      </c>
      <c r="S1859" t="b">
        <v>1</v>
      </c>
    </row>
    <row r="1860" spans="14:19" x14ac:dyDescent="0.25">
      <c r="N1860" s="23" t="s">
        <v>106</v>
      </c>
      <c r="O1860" s="30" t="s">
        <v>2233</v>
      </c>
      <c r="P1860" s="30" t="s">
        <v>2353</v>
      </c>
      <c r="Q1860" s="84" t="s">
        <v>2462</v>
      </c>
      <c r="S1860" t="b">
        <v>1</v>
      </c>
    </row>
    <row r="1861" spans="14:19" x14ac:dyDescent="0.25">
      <c r="N1861" s="23" t="s">
        <v>106</v>
      </c>
      <c r="O1861" s="30" t="s">
        <v>2233</v>
      </c>
      <c r="P1861" s="30" t="s">
        <v>2354</v>
      </c>
      <c r="Q1861" s="84" t="s">
        <v>2462</v>
      </c>
      <c r="S1861" t="b">
        <v>1</v>
      </c>
    </row>
    <row r="1862" spans="14:19" x14ac:dyDescent="0.25">
      <c r="N1862" s="23" t="s">
        <v>106</v>
      </c>
      <c r="O1862" s="30" t="s">
        <v>2233</v>
      </c>
      <c r="P1862" s="30" t="s">
        <v>2355</v>
      </c>
      <c r="Q1862" s="84" t="s">
        <v>2462</v>
      </c>
      <c r="S1862" t="b">
        <v>1</v>
      </c>
    </row>
    <row r="1863" spans="14:19" x14ac:dyDescent="0.25">
      <c r="N1863" s="23" t="s">
        <v>106</v>
      </c>
      <c r="O1863" s="30" t="s">
        <v>2233</v>
      </c>
      <c r="P1863" s="30" t="s">
        <v>2356</v>
      </c>
      <c r="Q1863" s="84" t="s">
        <v>2462</v>
      </c>
      <c r="S1863" t="b">
        <v>1</v>
      </c>
    </row>
    <row r="1864" spans="14:19" x14ac:dyDescent="0.25">
      <c r="N1864" s="23" t="s">
        <v>106</v>
      </c>
      <c r="O1864" s="30" t="s">
        <v>2233</v>
      </c>
      <c r="P1864" s="30" t="s">
        <v>2357</v>
      </c>
      <c r="Q1864" s="84" t="s">
        <v>2462</v>
      </c>
      <c r="S1864" t="b">
        <v>1</v>
      </c>
    </row>
    <row r="1865" spans="14:19" x14ac:dyDescent="0.25">
      <c r="N1865" s="23" t="s">
        <v>106</v>
      </c>
      <c r="O1865" s="30" t="s">
        <v>2233</v>
      </c>
      <c r="P1865" s="30" t="s">
        <v>2358</v>
      </c>
      <c r="Q1865" s="84" t="s">
        <v>2462</v>
      </c>
      <c r="S1865" t="b">
        <v>1</v>
      </c>
    </row>
    <row r="1866" spans="14:19" x14ac:dyDescent="0.25">
      <c r="N1866" s="23" t="s">
        <v>106</v>
      </c>
      <c r="O1866" s="30" t="s">
        <v>2233</v>
      </c>
      <c r="P1866" s="30" t="s">
        <v>2359</v>
      </c>
      <c r="Q1866" s="84" t="s">
        <v>2462</v>
      </c>
      <c r="S1866" t="b">
        <v>1</v>
      </c>
    </row>
    <row r="1867" spans="14:19" x14ac:dyDescent="0.25">
      <c r="N1867" s="23" t="s">
        <v>106</v>
      </c>
      <c r="O1867" s="30" t="s">
        <v>2233</v>
      </c>
      <c r="P1867" s="30" t="s">
        <v>2360</v>
      </c>
      <c r="Q1867" s="84" t="s">
        <v>2462</v>
      </c>
      <c r="S1867" t="b">
        <v>1</v>
      </c>
    </row>
    <row r="1868" spans="14:19" x14ac:dyDescent="0.25">
      <c r="N1868" s="23" t="s">
        <v>106</v>
      </c>
      <c r="O1868" s="30" t="s">
        <v>2233</v>
      </c>
      <c r="P1868" s="30" t="s">
        <v>2361</v>
      </c>
      <c r="Q1868" s="84" t="s">
        <v>2463</v>
      </c>
      <c r="S1868" t="b">
        <v>0</v>
      </c>
    </row>
    <row r="1869" spans="14:19" x14ac:dyDescent="0.25">
      <c r="N1869" s="23" t="s">
        <v>106</v>
      </c>
      <c r="O1869" s="30" t="s">
        <v>2233</v>
      </c>
      <c r="P1869" s="30" t="s">
        <v>2362</v>
      </c>
      <c r="Q1869" s="84" t="s">
        <v>2463</v>
      </c>
      <c r="S1869" t="b">
        <v>0</v>
      </c>
    </row>
    <row r="1870" spans="14:19" x14ac:dyDescent="0.25">
      <c r="N1870" s="23" t="s">
        <v>106</v>
      </c>
      <c r="O1870" s="30" t="s">
        <v>2233</v>
      </c>
      <c r="P1870" s="30" t="s">
        <v>2363</v>
      </c>
      <c r="Q1870" s="84" t="s">
        <v>2463</v>
      </c>
      <c r="S1870" t="b">
        <v>0</v>
      </c>
    </row>
    <row r="1871" spans="14:19" x14ac:dyDescent="0.25">
      <c r="N1871" s="23" t="s">
        <v>106</v>
      </c>
      <c r="O1871" s="30" t="s">
        <v>2233</v>
      </c>
      <c r="P1871" s="30" t="s">
        <v>2364</v>
      </c>
      <c r="Q1871" s="84" t="s">
        <v>2463</v>
      </c>
      <c r="S1871" t="b">
        <v>0</v>
      </c>
    </row>
    <row r="1872" spans="14:19" x14ac:dyDescent="0.25">
      <c r="N1872" s="23" t="s">
        <v>106</v>
      </c>
      <c r="O1872" s="30" t="s">
        <v>2233</v>
      </c>
      <c r="P1872" s="30" t="s">
        <v>2365</v>
      </c>
      <c r="Q1872" s="84" t="s">
        <v>2463</v>
      </c>
      <c r="S1872" t="b">
        <v>0</v>
      </c>
    </row>
    <row r="1873" spans="14:19" x14ac:dyDescent="0.25">
      <c r="N1873" s="23" t="s">
        <v>106</v>
      </c>
      <c r="O1873" s="30" t="s">
        <v>2233</v>
      </c>
      <c r="P1873" s="30" t="s">
        <v>2366</v>
      </c>
      <c r="Q1873" s="84" t="s">
        <v>2463</v>
      </c>
      <c r="S1873" t="b">
        <v>0</v>
      </c>
    </row>
    <row r="1874" spans="14:19" x14ac:dyDescent="0.25">
      <c r="N1874" s="23" t="s">
        <v>106</v>
      </c>
      <c r="O1874" s="30" t="s">
        <v>2233</v>
      </c>
      <c r="P1874" s="30" t="s">
        <v>2367</v>
      </c>
      <c r="Q1874" s="84" t="s">
        <v>2463</v>
      </c>
      <c r="S1874" t="b">
        <v>0</v>
      </c>
    </row>
    <row r="1875" spans="14:19" x14ac:dyDescent="0.25">
      <c r="N1875" s="23" t="s">
        <v>106</v>
      </c>
      <c r="O1875" s="30" t="s">
        <v>2233</v>
      </c>
      <c r="P1875" s="30" t="s">
        <v>2368</v>
      </c>
      <c r="Q1875" s="84" t="s">
        <v>2463</v>
      </c>
      <c r="S1875" t="b">
        <v>0</v>
      </c>
    </row>
    <row r="1876" spans="14:19" x14ac:dyDescent="0.25">
      <c r="N1876" s="23" t="s">
        <v>106</v>
      </c>
      <c r="O1876" s="30" t="s">
        <v>2233</v>
      </c>
      <c r="P1876" s="30" t="s">
        <v>2369</v>
      </c>
      <c r="Q1876" s="84" t="s">
        <v>2463</v>
      </c>
      <c r="S1876" t="b">
        <v>0</v>
      </c>
    </row>
    <row r="1877" spans="14:19" x14ac:dyDescent="0.25">
      <c r="N1877" s="23" t="s">
        <v>106</v>
      </c>
      <c r="O1877" s="30" t="s">
        <v>2233</v>
      </c>
      <c r="P1877" s="30" t="s">
        <v>2370</v>
      </c>
      <c r="Q1877" s="84" t="s">
        <v>2463</v>
      </c>
      <c r="S1877" t="b">
        <v>0</v>
      </c>
    </row>
    <row r="1878" spans="14:19" x14ac:dyDescent="0.25">
      <c r="N1878" s="23" t="s">
        <v>106</v>
      </c>
      <c r="O1878" s="30" t="s">
        <v>2233</v>
      </c>
      <c r="P1878" s="30" t="s">
        <v>2371</v>
      </c>
      <c r="Q1878" s="84" t="s">
        <v>2463</v>
      </c>
      <c r="S1878" t="b">
        <v>0</v>
      </c>
    </row>
    <row r="1879" spans="14:19" x14ac:dyDescent="0.25">
      <c r="N1879" s="23" t="s">
        <v>106</v>
      </c>
      <c r="O1879" s="30" t="s">
        <v>2233</v>
      </c>
      <c r="P1879" s="30" t="s">
        <v>2372</v>
      </c>
      <c r="Q1879" s="84" t="s">
        <v>2463</v>
      </c>
      <c r="S1879" t="b">
        <v>0</v>
      </c>
    </row>
    <row r="1880" spans="14:19" x14ac:dyDescent="0.25">
      <c r="N1880" s="23" t="s">
        <v>106</v>
      </c>
      <c r="O1880" s="30" t="s">
        <v>2233</v>
      </c>
      <c r="P1880" s="30" t="s">
        <v>2373</v>
      </c>
      <c r="Q1880" s="84" t="s">
        <v>2463</v>
      </c>
      <c r="S1880" t="b">
        <v>0</v>
      </c>
    </row>
    <row r="1881" spans="14:19" x14ac:dyDescent="0.25">
      <c r="N1881" s="23" t="s">
        <v>106</v>
      </c>
      <c r="O1881" s="30" t="s">
        <v>2233</v>
      </c>
      <c r="P1881" s="30" t="s">
        <v>2374</v>
      </c>
      <c r="Q1881" s="84" t="s">
        <v>2463</v>
      </c>
      <c r="S1881" t="b">
        <v>0</v>
      </c>
    </row>
    <row r="1882" spans="14:19" x14ac:dyDescent="0.25">
      <c r="N1882" s="23" t="s">
        <v>106</v>
      </c>
      <c r="O1882" s="30" t="s">
        <v>2233</v>
      </c>
      <c r="P1882" s="30" t="s">
        <v>2375</v>
      </c>
      <c r="Q1882" s="84" t="s">
        <v>2463</v>
      </c>
      <c r="S1882" t="b">
        <v>0</v>
      </c>
    </row>
    <row r="1883" spans="14:19" x14ac:dyDescent="0.25">
      <c r="N1883" s="23" t="s">
        <v>106</v>
      </c>
      <c r="O1883" s="30" t="s">
        <v>2233</v>
      </c>
      <c r="P1883" s="30" t="s">
        <v>2376</v>
      </c>
      <c r="Q1883" s="84" t="s">
        <v>2463</v>
      </c>
      <c r="S1883" t="b">
        <v>0</v>
      </c>
    </row>
    <row r="1884" spans="14:19" x14ac:dyDescent="0.25">
      <c r="N1884" s="23" t="s">
        <v>106</v>
      </c>
      <c r="O1884" s="30" t="s">
        <v>2233</v>
      </c>
      <c r="P1884" s="30" t="s">
        <v>2377</v>
      </c>
      <c r="Q1884" s="84" t="s">
        <v>2463</v>
      </c>
      <c r="S1884" t="b">
        <v>0</v>
      </c>
    </row>
    <row r="1885" spans="14:19" x14ac:dyDescent="0.25">
      <c r="N1885" s="23" t="s">
        <v>106</v>
      </c>
      <c r="O1885" s="30" t="s">
        <v>2233</v>
      </c>
      <c r="P1885" s="30" t="s">
        <v>2378</v>
      </c>
      <c r="Q1885" s="84" t="s">
        <v>2463</v>
      </c>
      <c r="S1885" t="b">
        <v>0</v>
      </c>
    </row>
    <row r="1886" spans="14:19" x14ac:dyDescent="0.25">
      <c r="N1886" s="23" t="s">
        <v>106</v>
      </c>
      <c r="O1886" s="30" t="s">
        <v>2233</v>
      </c>
      <c r="P1886" s="30" t="s">
        <v>2379</v>
      </c>
      <c r="Q1886" s="84" t="s">
        <v>2463</v>
      </c>
      <c r="S1886" t="b">
        <v>0</v>
      </c>
    </row>
    <row r="1887" spans="14:19" x14ac:dyDescent="0.25">
      <c r="N1887" s="23" t="s">
        <v>106</v>
      </c>
      <c r="O1887" s="30" t="s">
        <v>2233</v>
      </c>
      <c r="P1887" s="30" t="s">
        <v>2380</v>
      </c>
      <c r="Q1887" s="84" t="s">
        <v>2462</v>
      </c>
      <c r="S1887" t="b">
        <v>1</v>
      </c>
    </row>
    <row r="1888" spans="14:19" x14ac:dyDescent="0.25">
      <c r="N1888" s="23" t="s">
        <v>106</v>
      </c>
      <c r="O1888" s="30" t="s">
        <v>2233</v>
      </c>
      <c r="P1888" s="30" t="s">
        <v>2381</v>
      </c>
      <c r="Q1888" s="84" t="s">
        <v>2462</v>
      </c>
      <c r="S1888" t="b">
        <v>1</v>
      </c>
    </row>
    <row r="1889" spans="14:19" x14ac:dyDescent="0.25">
      <c r="N1889" s="23" t="s">
        <v>106</v>
      </c>
      <c r="O1889" s="30" t="s">
        <v>2233</v>
      </c>
      <c r="P1889" s="30" t="s">
        <v>2382</v>
      </c>
      <c r="Q1889" s="84" t="s">
        <v>2462</v>
      </c>
      <c r="S1889" t="b">
        <v>1</v>
      </c>
    </row>
    <row r="1890" spans="14:19" x14ac:dyDescent="0.25">
      <c r="N1890" s="23" t="s">
        <v>106</v>
      </c>
      <c r="O1890" s="30" t="s">
        <v>2233</v>
      </c>
      <c r="P1890" s="30" t="s">
        <v>2383</v>
      </c>
      <c r="Q1890" s="84" t="s">
        <v>2462</v>
      </c>
      <c r="S1890" t="b">
        <v>1</v>
      </c>
    </row>
    <row r="1891" spans="14:19" x14ac:dyDescent="0.25">
      <c r="N1891" s="23" t="s">
        <v>106</v>
      </c>
      <c r="O1891" s="30" t="s">
        <v>2233</v>
      </c>
      <c r="P1891" s="30" t="s">
        <v>2384</v>
      </c>
      <c r="Q1891" s="84" t="s">
        <v>2462</v>
      </c>
      <c r="S1891" t="b">
        <v>1</v>
      </c>
    </row>
    <row r="1892" spans="14:19" x14ac:dyDescent="0.25">
      <c r="N1892" s="23" t="s">
        <v>106</v>
      </c>
      <c r="O1892" s="30" t="s">
        <v>2233</v>
      </c>
      <c r="P1892" s="30" t="s">
        <v>2385</v>
      </c>
      <c r="Q1892" s="84" t="s">
        <v>2462</v>
      </c>
      <c r="S1892" t="b">
        <v>1</v>
      </c>
    </row>
    <row r="1893" spans="14:19" x14ac:dyDescent="0.25">
      <c r="N1893" s="23" t="s">
        <v>106</v>
      </c>
      <c r="O1893" s="30" t="s">
        <v>2233</v>
      </c>
      <c r="P1893" s="30" t="s">
        <v>2386</v>
      </c>
      <c r="Q1893" s="84" t="s">
        <v>2462</v>
      </c>
      <c r="S1893" t="b">
        <v>1</v>
      </c>
    </row>
    <row r="1894" spans="14:19" x14ac:dyDescent="0.25">
      <c r="N1894" s="23" t="s">
        <v>106</v>
      </c>
      <c r="O1894" s="30" t="s">
        <v>2233</v>
      </c>
      <c r="P1894" s="30" t="s">
        <v>2387</v>
      </c>
      <c r="Q1894" s="84" t="s">
        <v>2462</v>
      </c>
      <c r="S1894" t="b">
        <v>1</v>
      </c>
    </row>
    <row r="1895" spans="14:19" x14ac:dyDescent="0.25">
      <c r="N1895" s="23" t="s">
        <v>106</v>
      </c>
      <c r="O1895" s="30" t="s">
        <v>2233</v>
      </c>
      <c r="P1895" s="30" t="s">
        <v>2388</v>
      </c>
      <c r="Q1895" s="84" t="s">
        <v>2462</v>
      </c>
      <c r="S1895" t="b">
        <v>1</v>
      </c>
    </row>
    <row r="1896" spans="14:19" x14ac:dyDescent="0.25">
      <c r="N1896" s="23" t="s">
        <v>106</v>
      </c>
      <c r="O1896" s="30" t="s">
        <v>2233</v>
      </c>
      <c r="P1896" s="30" t="s">
        <v>2389</v>
      </c>
      <c r="Q1896" s="84" t="s">
        <v>2462</v>
      </c>
      <c r="S1896" t="b">
        <v>1</v>
      </c>
    </row>
    <row r="1897" spans="14:19" x14ac:dyDescent="0.25">
      <c r="N1897" s="23" t="s">
        <v>106</v>
      </c>
      <c r="O1897" s="30" t="s">
        <v>2233</v>
      </c>
      <c r="P1897" s="30" t="s">
        <v>2390</v>
      </c>
      <c r="Q1897" s="84" t="s">
        <v>2462</v>
      </c>
      <c r="S1897" t="b">
        <v>1</v>
      </c>
    </row>
    <row r="1898" spans="14:19" x14ac:dyDescent="0.25">
      <c r="N1898" s="23" t="s">
        <v>106</v>
      </c>
      <c r="O1898" s="30" t="s">
        <v>2233</v>
      </c>
      <c r="P1898" s="30" t="s">
        <v>2391</v>
      </c>
      <c r="Q1898" s="84" t="s">
        <v>2462</v>
      </c>
      <c r="S1898" t="b">
        <v>1</v>
      </c>
    </row>
    <row r="1899" spans="14:19" x14ac:dyDescent="0.25">
      <c r="N1899" s="23" t="s">
        <v>106</v>
      </c>
      <c r="O1899" s="30" t="s">
        <v>2233</v>
      </c>
      <c r="P1899" s="30" t="s">
        <v>2392</v>
      </c>
      <c r="Q1899" s="84" t="s">
        <v>2462</v>
      </c>
      <c r="S1899" t="b">
        <v>1</v>
      </c>
    </row>
    <row r="1900" spans="14:19" x14ac:dyDescent="0.25">
      <c r="N1900" s="23" t="s">
        <v>106</v>
      </c>
      <c r="O1900" s="30" t="s">
        <v>2233</v>
      </c>
      <c r="P1900" s="30" t="s">
        <v>2393</v>
      </c>
      <c r="Q1900" s="84" t="s">
        <v>2462</v>
      </c>
      <c r="S1900" t="b">
        <v>1</v>
      </c>
    </row>
    <row r="1901" spans="14:19" x14ac:dyDescent="0.25">
      <c r="N1901" s="23" t="s">
        <v>106</v>
      </c>
      <c r="O1901" s="30" t="s">
        <v>2233</v>
      </c>
      <c r="P1901" s="30" t="s">
        <v>2394</v>
      </c>
      <c r="Q1901" s="84" t="s">
        <v>2463</v>
      </c>
      <c r="S1901" t="b">
        <v>0</v>
      </c>
    </row>
    <row r="1902" spans="14:19" x14ac:dyDescent="0.25">
      <c r="N1902" s="23" t="s">
        <v>106</v>
      </c>
      <c r="O1902" s="30" t="s">
        <v>2233</v>
      </c>
      <c r="P1902" s="30" t="s">
        <v>2395</v>
      </c>
      <c r="Q1902" s="84" t="s">
        <v>2463</v>
      </c>
      <c r="S1902" t="b">
        <v>0</v>
      </c>
    </row>
    <row r="1903" spans="14:19" x14ac:dyDescent="0.25">
      <c r="N1903" s="23" t="s">
        <v>106</v>
      </c>
      <c r="O1903" s="30" t="s">
        <v>2233</v>
      </c>
      <c r="P1903" s="30" t="s">
        <v>2396</v>
      </c>
      <c r="Q1903" s="84" t="s">
        <v>2463</v>
      </c>
      <c r="S1903" t="b">
        <v>0</v>
      </c>
    </row>
    <row r="1904" spans="14:19" x14ac:dyDescent="0.25">
      <c r="N1904" s="23" t="s">
        <v>106</v>
      </c>
      <c r="O1904" s="30" t="s">
        <v>2233</v>
      </c>
      <c r="P1904" s="30" t="s">
        <v>2397</v>
      </c>
      <c r="Q1904" s="84" t="s">
        <v>2463</v>
      </c>
      <c r="S1904" t="b">
        <v>0</v>
      </c>
    </row>
    <row r="1905" spans="14:19" x14ac:dyDescent="0.25">
      <c r="N1905" s="23" t="s">
        <v>106</v>
      </c>
      <c r="O1905" s="30" t="s">
        <v>2233</v>
      </c>
      <c r="P1905" s="30" t="s">
        <v>2398</v>
      </c>
      <c r="Q1905" s="84" t="s">
        <v>2463</v>
      </c>
      <c r="S1905" t="b">
        <v>0</v>
      </c>
    </row>
    <row r="1906" spans="14:19" x14ac:dyDescent="0.25">
      <c r="N1906" s="23" t="s">
        <v>106</v>
      </c>
      <c r="O1906" s="30" t="s">
        <v>2233</v>
      </c>
      <c r="P1906" s="30" t="s">
        <v>2399</v>
      </c>
      <c r="Q1906" s="84" t="s">
        <v>2463</v>
      </c>
      <c r="S1906" t="b">
        <v>0</v>
      </c>
    </row>
    <row r="1907" spans="14:19" x14ac:dyDescent="0.25">
      <c r="N1907" s="23" t="s">
        <v>106</v>
      </c>
      <c r="O1907" s="30" t="s">
        <v>2233</v>
      </c>
      <c r="P1907" s="30" t="s">
        <v>2400</v>
      </c>
      <c r="Q1907" s="84" t="s">
        <v>2463</v>
      </c>
      <c r="S1907" t="b">
        <v>0</v>
      </c>
    </row>
    <row r="1908" spans="14:19" x14ac:dyDescent="0.25">
      <c r="N1908" s="23" t="s">
        <v>106</v>
      </c>
      <c r="O1908" s="30" t="s">
        <v>2233</v>
      </c>
      <c r="P1908" s="30" t="s">
        <v>2401</v>
      </c>
      <c r="Q1908" s="84" t="s">
        <v>2463</v>
      </c>
      <c r="S1908" t="b">
        <v>0</v>
      </c>
    </row>
    <row r="1909" spans="14:19" x14ac:dyDescent="0.25">
      <c r="N1909" s="23" t="s">
        <v>106</v>
      </c>
      <c r="O1909" s="30" t="s">
        <v>2233</v>
      </c>
      <c r="P1909" s="30" t="s">
        <v>2402</v>
      </c>
      <c r="Q1909" s="84" t="s">
        <v>2463</v>
      </c>
      <c r="S1909" t="b">
        <v>0</v>
      </c>
    </row>
    <row r="1910" spans="14:19" x14ac:dyDescent="0.25">
      <c r="N1910" s="23" t="s">
        <v>106</v>
      </c>
      <c r="O1910" s="30" t="s">
        <v>2233</v>
      </c>
      <c r="P1910" s="30" t="s">
        <v>2403</v>
      </c>
      <c r="Q1910" s="84" t="s">
        <v>2463</v>
      </c>
      <c r="S1910" t="b">
        <v>0</v>
      </c>
    </row>
    <row r="1911" spans="14:19" x14ac:dyDescent="0.25">
      <c r="N1911" s="23" t="s">
        <v>106</v>
      </c>
      <c r="O1911" s="30" t="s">
        <v>2233</v>
      </c>
      <c r="P1911" s="30" t="s">
        <v>2404</v>
      </c>
      <c r="Q1911" s="84" t="s">
        <v>2463</v>
      </c>
      <c r="S1911" t="b">
        <v>0</v>
      </c>
    </row>
    <row r="1912" spans="14:19" x14ac:dyDescent="0.25">
      <c r="N1912" s="23" t="s">
        <v>106</v>
      </c>
      <c r="O1912" s="30" t="s">
        <v>2233</v>
      </c>
      <c r="P1912" s="30" t="s">
        <v>2405</v>
      </c>
      <c r="Q1912" s="84" t="s">
        <v>2463</v>
      </c>
      <c r="S1912" t="b">
        <v>0</v>
      </c>
    </row>
    <row r="1913" spans="14:19" x14ac:dyDescent="0.25">
      <c r="N1913" s="23" t="s">
        <v>106</v>
      </c>
      <c r="O1913" s="30" t="s">
        <v>2233</v>
      </c>
      <c r="P1913" s="30" t="s">
        <v>2406</v>
      </c>
      <c r="Q1913" s="84" t="s">
        <v>2462</v>
      </c>
      <c r="S1913" t="b">
        <v>1</v>
      </c>
    </row>
    <row r="1914" spans="14:19" x14ac:dyDescent="0.25">
      <c r="N1914" s="23" t="s">
        <v>106</v>
      </c>
      <c r="O1914" s="30" t="s">
        <v>2233</v>
      </c>
      <c r="P1914" s="30" t="s">
        <v>2407</v>
      </c>
      <c r="Q1914" s="84" t="s">
        <v>2462</v>
      </c>
      <c r="S1914" t="b">
        <v>1</v>
      </c>
    </row>
    <row r="1915" spans="14:19" x14ac:dyDescent="0.25">
      <c r="N1915" s="23" t="s">
        <v>106</v>
      </c>
      <c r="O1915" s="30" t="s">
        <v>2233</v>
      </c>
      <c r="P1915" s="30" t="s">
        <v>2408</v>
      </c>
      <c r="Q1915" s="84" t="s">
        <v>2462</v>
      </c>
      <c r="S1915" t="b">
        <v>1</v>
      </c>
    </row>
    <row r="1916" spans="14:19" x14ac:dyDescent="0.25">
      <c r="N1916" s="23" t="s">
        <v>106</v>
      </c>
      <c r="O1916" s="30" t="s">
        <v>2233</v>
      </c>
      <c r="P1916" s="30" t="s">
        <v>2409</v>
      </c>
      <c r="Q1916" s="84" t="s">
        <v>2462</v>
      </c>
      <c r="S1916" t="b">
        <v>1</v>
      </c>
    </row>
    <row r="1917" spans="14:19" x14ac:dyDescent="0.25">
      <c r="N1917" s="23" t="s">
        <v>106</v>
      </c>
      <c r="O1917" s="30" t="s">
        <v>2233</v>
      </c>
      <c r="P1917" s="30" t="s">
        <v>2410</v>
      </c>
      <c r="Q1917" s="84" t="s">
        <v>2462</v>
      </c>
      <c r="S1917" t="b">
        <v>1</v>
      </c>
    </row>
    <row r="1918" spans="14:19" x14ac:dyDescent="0.25">
      <c r="N1918" s="23" t="s">
        <v>106</v>
      </c>
      <c r="O1918" s="30" t="s">
        <v>2233</v>
      </c>
      <c r="P1918" s="30" t="s">
        <v>2411</v>
      </c>
      <c r="Q1918" s="84" t="s">
        <v>2462</v>
      </c>
      <c r="S1918" t="b">
        <v>1</v>
      </c>
    </row>
    <row r="1919" spans="14:19" x14ac:dyDescent="0.25">
      <c r="N1919" s="23" t="s">
        <v>106</v>
      </c>
      <c r="O1919" s="30" t="s">
        <v>2233</v>
      </c>
      <c r="P1919" s="30" t="s">
        <v>2412</v>
      </c>
      <c r="Q1919" s="84" t="s">
        <v>2462</v>
      </c>
      <c r="S1919" t="b">
        <v>1</v>
      </c>
    </row>
    <row r="1920" spans="14:19" x14ac:dyDescent="0.25">
      <c r="N1920" s="23" t="s">
        <v>106</v>
      </c>
      <c r="O1920" s="30" t="s">
        <v>2233</v>
      </c>
      <c r="P1920" s="30" t="s">
        <v>2413</v>
      </c>
      <c r="Q1920" s="84" t="s">
        <v>2462</v>
      </c>
      <c r="S1920" t="b">
        <v>1</v>
      </c>
    </row>
    <row r="1921" spans="14:19" x14ac:dyDescent="0.25">
      <c r="N1921" s="23" t="s">
        <v>106</v>
      </c>
      <c r="O1921" s="30" t="s">
        <v>2233</v>
      </c>
      <c r="P1921" s="30" t="s">
        <v>2414</v>
      </c>
      <c r="Q1921" s="84" t="s">
        <v>2463</v>
      </c>
      <c r="S1921" t="b">
        <v>0</v>
      </c>
    </row>
    <row r="1922" spans="14:19" x14ac:dyDescent="0.25">
      <c r="N1922" s="23" t="s">
        <v>106</v>
      </c>
      <c r="O1922" s="30" t="s">
        <v>2233</v>
      </c>
      <c r="P1922" s="30" t="s">
        <v>2415</v>
      </c>
      <c r="Q1922" s="84" t="s">
        <v>2463</v>
      </c>
      <c r="S1922" t="b">
        <v>0</v>
      </c>
    </row>
    <row r="1923" spans="14:19" x14ac:dyDescent="0.25">
      <c r="N1923" s="23" t="s">
        <v>102</v>
      </c>
      <c r="O1923" s="30" t="s">
        <v>960</v>
      </c>
      <c r="P1923" s="30" t="s">
        <v>961</v>
      </c>
      <c r="Q1923" s="84" t="s">
        <v>2462</v>
      </c>
      <c r="S1923" t="b">
        <v>1</v>
      </c>
    </row>
    <row r="1924" spans="14:19" x14ac:dyDescent="0.25">
      <c r="N1924" s="23" t="s">
        <v>102</v>
      </c>
      <c r="O1924" s="30" t="s">
        <v>960</v>
      </c>
      <c r="P1924" s="30" t="s">
        <v>962</v>
      </c>
      <c r="Q1924" s="84" t="s">
        <v>2462</v>
      </c>
      <c r="S1924" t="b">
        <v>1</v>
      </c>
    </row>
    <row r="1925" spans="14:19" x14ac:dyDescent="0.25">
      <c r="N1925" s="23" t="s">
        <v>102</v>
      </c>
      <c r="O1925" s="30" t="s">
        <v>960</v>
      </c>
      <c r="P1925" s="30" t="s">
        <v>963</v>
      </c>
      <c r="Q1925" s="84" t="s">
        <v>2462</v>
      </c>
      <c r="S1925" t="b">
        <v>1</v>
      </c>
    </row>
    <row r="1926" spans="14:19" x14ac:dyDescent="0.25">
      <c r="N1926" s="23" t="s">
        <v>102</v>
      </c>
      <c r="O1926" s="30" t="s">
        <v>960</v>
      </c>
      <c r="P1926" s="30" t="s">
        <v>964</v>
      </c>
      <c r="Q1926" s="84" t="s">
        <v>2462</v>
      </c>
      <c r="S1926" t="b">
        <v>1</v>
      </c>
    </row>
    <row r="1927" spans="14:19" x14ac:dyDescent="0.25">
      <c r="N1927" s="23" t="s">
        <v>102</v>
      </c>
      <c r="O1927" s="30" t="s">
        <v>960</v>
      </c>
      <c r="P1927" s="30" t="s">
        <v>965</v>
      </c>
      <c r="Q1927" s="84" t="s">
        <v>2462</v>
      </c>
      <c r="S1927" t="b">
        <v>1</v>
      </c>
    </row>
    <row r="1928" spans="14:19" x14ac:dyDescent="0.25">
      <c r="N1928" s="23" t="s">
        <v>102</v>
      </c>
      <c r="O1928" s="30" t="s">
        <v>960</v>
      </c>
      <c r="P1928" s="30" t="s">
        <v>966</v>
      </c>
      <c r="Q1928" s="84" t="s">
        <v>2462</v>
      </c>
      <c r="S1928" t="b">
        <v>1</v>
      </c>
    </row>
    <row r="1929" spans="14:19" x14ac:dyDescent="0.25">
      <c r="N1929" s="23" t="s">
        <v>102</v>
      </c>
      <c r="O1929" s="30" t="s">
        <v>960</v>
      </c>
      <c r="P1929" s="30" t="s">
        <v>967</v>
      </c>
      <c r="Q1929" s="84" t="s">
        <v>2462</v>
      </c>
      <c r="S1929" t="b">
        <v>1</v>
      </c>
    </row>
    <row r="1930" spans="14:19" x14ac:dyDescent="0.25">
      <c r="N1930" s="23" t="s">
        <v>102</v>
      </c>
      <c r="O1930" s="30" t="s">
        <v>960</v>
      </c>
      <c r="P1930" s="30" t="s">
        <v>968</v>
      </c>
      <c r="Q1930" s="84" t="s">
        <v>2462</v>
      </c>
      <c r="S1930" t="b">
        <v>1</v>
      </c>
    </row>
    <row r="1931" spans="14:19" x14ac:dyDescent="0.25">
      <c r="N1931" s="23" t="s">
        <v>102</v>
      </c>
      <c r="O1931" s="30" t="s">
        <v>960</v>
      </c>
      <c r="P1931" s="30" t="s">
        <v>969</v>
      </c>
      <c r="Q1931" s="84" t="s">
        <v>2462</v>
      </c>
      <c r="S1931" t="b">
        <v>1</v>
      </c>
    </row>
    <row r="1932" spans="14:19" x14ac:dyDescent="0.25">
      <c r="N1932" s="23" t="s">
        <v>102</v>
      </c>
      <c r="O1932" s="30" t="s">
        <v>960</v>
      </c>
      <c r="P1932" s="30" t="s">
        <v>970</v>
      </c>
      <c r="Q1932" s="84" t="s">
        <v>2462</v>
      </c>
      <c r="S1932" t="b">
        <v>1</v>
      </c>
    </row>
    <row r="1933" spans="14:19" x14ac:dyDescent="0.25">
      <c r="N1933" s="23" t="s">
        <v>102</v>
      </c>
      <c r="O1933" s="30" t="s">
        <v>960</v>
      </c>
      <c r="P1933" s="30" t="s">
        <v>971</v>
      </c>
      <c r="Q1933" s="84" t="s">
        <v>2462</v>
      </c>
      <c r="S1933" t="b">
        <v>1</v>
      </c>
    </row>
    <row r="1934" spans="14:19" x14ac:dyDescent="0.25">
      <c r="N1934" s="23" t="s">
        <v>102</v>
      </c>
      <c r="O1934" s="30" t="s">
        <v>960</v>
      </c>
      <c r="P1934" s="30" t="s">
        <v>972</v>
      </c>
      <c r="Q1934" s="84" t="s">
        <v>2462</v>
      </c>
      <c r="S1934" t="b">
        <v>1</v>
      </c>
    </row>
    <row r="1935" spans="14:19" x14ac:dyDescent="0.25">
      <c r="N1935" s="23" t="s">
        <v>102</v>
      </c>
      <c r="O1935" s="30" t="s">
        <v>960</v>
      </c>
      <c r="P1935" s="30" t="s">
        <v>973</v>
      </c>
      <c r="Q1935" s="84" t="s">
        <v>2462</v>
      </c>
      <c r="S1935" t="b">
        <v>1</v>
      </c>
    </row>
    <row r="1936" spans="14:19" x14ac:dyDescent="0.25">
      <c r="N1936" s="23" t="s">
        <v>102</v>
      </c>
      <c r="O1936" s="30" t="s">
        <v>960</v>
      </c>
      <c r="P1936" s="30" t="s">
        <v>974</v>
      </c>
      <c r="Q1936" s="84" t="s">
        <v>2462</v>
      </c>
      <c r="S1936" t="b">
        <v>1</v>
      </c>
    </row>
    <row r="1937" spans="14:19" x14ac:dyDescent="0.25">
      <c r="N1937" s="23" t="s">
        <v>102</v>
      </c>
      <c r="O1937" s="30" t="s">
        <v>960</v>
      </c>
      <c r="P1937" s="30" t="s">
        <v>975</v>
      </c>
      <c r="Q1937" s="84" t="s">
        <v>2462</v>
      </c>
      <c r="S1937" t="b">
        <v>1</v>
      </c>
    </row>
    <row r="1938" spans="14:19" x14ac:dyDescent="0.25">
      <c r="N1938" s="23" t="s">
        <v>102</v>
      </c>
      <c r="O1938" s="30" t="s">
        <v>960</v>
      </c>
      <c r="P1938" s="30" t="s">
        <v>976</v>
      </c>
      <c r="Q1938" s="84" t="s">
        <v>2462</v>
      </c>
      <c r="S1938" t="b">
        <v>1</v>
      </c>
    </row>
    <row r="1939" spans="14:19" x14ac:dyDescent="0.25">
      <c r="N1939" s="23" t="s">
        <v>102</v>
      </c>
      <c r="O1939" s="30" t="s">
        <v>960</v>
      </c>
      <c r="P1939" s="30" t="s">
        <v>977</v>
      </c>
      <c r="Q1939" s="84" t="s">
        <v>2462</v>
      </c>
      <c r="S1939" t="b">
        <v>1</v>
      </c>
    </row>
    <row r="1940" spans="14:19" x14ac:dyDescent="0.25">
      <c r="N1940" s="23" t="s">
        <v>102</v>
      </c>
      <c r="O1940" s="30" t="s">
        <v>960</v>
      </c>
      <c r="P1940" s="30" t="s">
        <v>978</v>
      </c>
      <c r="Q1940" s="84" t="s">
        <v>2462</v>
      </c>
      <c r="S1940" t="b">
        <v>1</v>
      </c>
    </row>
    <row r="1941" spans="14:19" x14ac:dyDescent="0.25">
      <c r="N1941" s="23" t="s">
        <v>102</v>
      </c>
      <c r="O1941" s="30" t="s">
        <v>960</v>
      </c>
      <c r="P1941" s="30" t="s">
        <v>979</v>
      </c>
      <c r="Q1941" s="84" t="s">
        <v>2462</v>
      </c>
      <c r="S1941" t="b">
        <v>1</v>
      </c>
    </row>
    <row r="1942" spans="14:19" x14ac:dyDescent="0.25">
      <c r="N1942" s="23" t="s">
        <v>102</v>
      </c>
      <c r="O1942" s="30" t="s">
        <v>960</v>
      </c>
      <c r="P1942" s="30" t="s">
        <v>980</v>
      </c>
      <c r="Q1942" s="84" t="s">
        <v>2462</v>
      </c>
      <c r="S1942" t="b">
        <v>1</v>
      </c>
    </row>
    <row r="1943" spans="14:19" x14ac:dyDescent="0.25">
      <c r="N1943" s="23" t="s">
        <v>102</v>
      </c>
      <c r="O1943" s="30" t="s">
        <v>960</v>
      </c>
      <c r="P1943" s="30" t="s">
        <v>981</v>
      </c>
      <c r="Q1943" s="84" t="s">
        <v>2462</v>
      </c>
      <c r="S1943" t="b">
        <v>1</v>
      </c>
    </row>
    <row r="1944" spans="14:19" x14ac:dyDescent="0.25">
      <c r="N1944" s="23" t="s">
        <v>102</v>
      </c>
      <c r="O1944" s="30" t="s">
        <v>960</v>
      </c>
      <c r="P1944" s="30" t="s">
        <v>982</v>
      </c>
      <c r="Q1944" s="84" t="s">
        <v>2462</v>
      </c>
      <c r="S1944" t="b">
        <v>1</v>
      </c>
    </row>
    <row r="1945" spans="14:19" x14ac:dyDescent="0.25">
      <c r="N1945" s="23" t="s">
        <v>102</v>
      </c>
      <c r="O1945" s="30" t="s">
        <v>960</v>
      </c>
      <c r="P1945" s="30" t="s">
        <v>983</v>
      </c>
      <c r="Q1945" s="84" t="s">
        <v>2462</v>
      </c>
      <c r="S1945" t="b">
        <v>1</v>
      </c>
    </row>
    <row r="1946" spans="14:19" x14ac:dyDescent="0.25">
      <c r="N1946" s="23" t="s">
        <v>102</v>
      </c>
      <c r="O1946" s="30" t="s">
        <v>960</v>
      </c>
      <c r="P1946" s="30" t="s">
        <v>984</v>
      </c>
      <c r="Q1946" s="84" t="s">
        <v>2462</v>
      </c>
      <c r="S1946" t="b">
        <v>1</v>
      </c>
    </row>
    <row r="1947" spans="14:19" x14ac:dyDescent="0.25">
      <c r="N1947" s="23" t="s">
        <v>102</v>
      </c>
      <c r="O1947" s="30" t="s">
        <v>960</v>
      </c>
      <c r="P1947" s="30" t="s">
        <v>985</v>
      </c>
      <c r="Q1947" s="84" t="s">
        <v>2462</v>
      </c>
      <c r="S1947" t="b">
        <v>1</v>
      </c>
    </row>
    <row r="1948" spans="14:19" x14ac:dyDescent="0.25">
      <c r="N1948" s="23" t="s">
        <v>102</v>
      </c>
      <c r="O1948" s="30" t="s">
        <v>960</v>
      </c>
      <c r="P1948" s="30" t="s">
        <v>986</v>
      </c>
      <c r="Q1948" s="84" t="s">
        <v>2462</v>
      </c>
      <c r="S1948" t="b">
        <v>1</v>
      </c>
    </row>
    <row r="1949" spans="14:19" x14ac:dyDescent="0.25">
      <c r="N1949" s="23" t="s">
        <v>102</v>
      </c>
      <c r="O1949" s="30" t="s">
        <v>960</v>
      </c>
      <c r="P1949" s="30" t="s">
        <v>987</v>
      </c>
      <c r="Q1949" s="84" t="s">
        <v>2462</v>
      </c>
      <c r="S1949" t="b">
        <v>1</v>
      </c>
    </row>
    <row r="1950" spans="14:19" x14ac:dyDescent="0.25">
      <c r="N1950" s="23" t="s">
        <v>102</v>
      </c>
      <c r="O1950" s="30" t="s">
        <v>960</v>
      </c>
      <c r="P1950" s="30" t="s">
        <v>988</v>
      </c>
      <c r="Q1950" s="84" t="s">
        <v>2462</v>
      </c>
      <c r="S1950" t="b">
        <v>1</v>
      </c>
    </row>
    <row r="1951" spans="14:19" x14ac:dyDescent="0.25">
      <c r="N1951" s="23" t="s">
        <v>102</v>
      </c>
      <c r="O1951" s="30" t="s">
        <v>960</v>
      </c>
      <c r="P1951" s="30" t="s">
        <v>989</v>
      </c>
      <c r="Q1951" s="84" t="s">
        <v>2462</v>
      </c>
      <c r="S1951" t="b">
        <v>1</v>
      </c>
    </row>
    <row r="1952" spans="14:19" x14ac:dyDescent="0.25">
      <c r="N1952" s="23" t="s">
        <v>102</v>
      </c>
      <c r="O1952" s="30" t="s">
        <v>960</v>
      </c>
      <c r="P1952" s="30" t="s">
        <v>990</v>
      </c>
      <c r="Q1952" s="84" t="s">
        <v>2462</v>
      </c>
      <c r="S1952" t="b">
        <v>1</v>
      </c>
    </row>
    <row r="1953" spans="14:19" x14ac:dyDescent="0.25">
      <c r="N1953" s="23" t="s">
        <v>102</v>
      </c>
      <c r="O1953" s="30" t="s">
        <v>960</v>
      </c>
      <c r="P1953" s="30" t="s">
        <v>991</v>
      </c>
      <c r="Q1953" s="84" t="s">
        <v>2462</v>
      </c>
      <c r="S1953" t="b">
        <v>1</v>
      </c>
    </row>
    <row r="1954" spans="14:19" x14ac:dyDescent="0.25">
      <c r="N1954" s="23" t="s">
        <v>102</v>
      </c>
      <c r="O1954" s="30" t="s">
        <v>960</v>
      </c>
      <c r="P1954" s="30" t="s">
        <v>992</v>
      </c>
      <c r="Q1954" s="84" t="s">
        <v>2462</v>
      </c>
      <c r="S1954" t="b">
        <v>1</v>
      </c>
    </row>
    <row r="1955" spans="14:19" x14ac:dyDescent="0.25">
      <c r="N1955" s="23" t="s">
        <v>102</v>
      </c>
      <c r="O1955" s="30" t="s">
        <v>960</v>
      </c>
      <c r="P1955" s="30" t="s">
        <v>993</v>
      </c>
      <c r="Q1955" s="84" t="s">
        <v>2462</v>
      </c>
      <c r="S1955" t="b">
        <v>1</v>
      </c>
    </row>
    <row r="1956" spans="14:19" x14ac:dyDescent="0.25">
      <c r="N1956" s="23" t="s">
        <v>102</v>
      </c>
      <c r="O1956" s="30" t="s">
        <v>960</v>
      </c>
      <c r="P1956" s="30" t="s">
        <v>994</v>
      </c>
      <c r="Q1956" s="84" t="s">
        <v>2462</v>
      </c>
      <c r="S1956" t="b">
        <v>1</v>
      </c>
    </row>
    <row r="1957" spans="14:19" x14ac:dyDescent="0.25">
      <c r="N1957" s="23" t="s">
        <v>102</v>
      </c>
      <c r="O1957" s="30" t="s">
        <v>960</v>
      </c>
      <c r="P1957" s="30" t="s">
        <v>995</v>
      </c>
      <c r="Q1957" s="84" t="s">
        <v>2462</v>
      </c>
      <c r="S1957" t="b">
        <v>1</v>
      </c>
    </row>
    <row r="1958" spans="14:19" x14ac:dyDescent="0.25">
      <c r="N1958" s="23" t="s">
        <v>102</v>
      </c>
      <c r="O1958" s="30" t="s">
        <v>960</v>
      </c>
      <c r="P1958" s="30" t="s">
        <v>996</v>
      </c>
      <c r="Q1958" s="84" t="s">
        <v>2462</v>
      </c>
      <c r="S1958" t="b">
        <v>1</v>
      </c>
    </row>
    <row r="1959" spans="14:19" x14ac:dyDescent="0.25">
      <c r="N1959" s="23" t="s">
        <v>102</v>
      </c>
      <c r="O1959" s="30" t="s">
        <v>960</v>
      </c>
      <c r="P1959" s="30" t="s">
        <v>997</v>
      </c>
      <c r="Q1959" s="84" t="s">
        <v>2462</v>
      </c>
      <c r="S1959" t="b">
        <v>1</v>
      </c>
    </row>
    <row r="1960" spans="14:19" x14ac:dyDescent="0.25">
      <c r="N1960" s="23" t="s">
        <v>102</v>
      </c>
      <c r="O1960" s="30" t="s">
        <v>960</v>
      </c>
      <c r="P1960" s="30" t="s">
        <v>998</v>
      </c>
      <c r="Q1960" s="84" t="s">
        <v>2462</v>
      </c>
      <c r="S1960" t="b">
        <v>1</v>
      </c>
    </row>
    <row r="1961" spans="14:19" x14ac:dyDescent="0.25">
      <c r="N1961" s="23" t="s">
        <v>102</v>
      </c>
      <c r="O1961" s="30" t="s">
        <v>999</v>
      </c>
      <c r="P1961" s="30" t="s">
        <v>1000</v>
      </c>
      <c r="Q1961" s="84" t="s">
        <v>2462</v>
      </c>
      <c r="S1961" t="b">
        <v>1</v>
      </c>
    </row>
    <row r="1962" spans="14:19" x14ac:dyDescent="0.25">
      <c r="N1962" s="23" t="s">
        <v>102</v>
      </c>
      <c r="O1962" s="30" t="s">
        <v>999</v>
      </c>
      <c r="P1962" s="30" t="s">
        <v>1001</v>
      </c>
      <c r="Q1962" s="84" t="s">
        <v>2462</v>
      </c>
      <c r="S1962" t="b">
        <v>1</v>
      </c>
    </row>
    <row r="1963" spans="14:19" x14ac:dyDescent="0.25">
      <c r="N1963" s="23" t="s">
        <v>102</v>
      </c>
      <c r="O1963" s="30" t="s">
        <v>999</v>
      </c>
      <c r="P1963" s="30" t="s">
        <v>1002</v>
      </c>
      <c r="Q1963" s="84" t="s">
        <v>2462</v>
      </c>
      <c r="S1963" t="b">
        <v>1</v>
      </c>
    </row>
    <row r="1964" spans="14:19" x14ac:dyDescent="0.25">
      <c r="N1964" s="23" t="s">
        <v>102</v>
      </c>
      <c r="O1964" s="30" t="s">
        <v>999</v>
      </c>
      <c r="P1964" s="30" t="s">
        <v>1003</v>
      </c>
      <c r="Q1964" s="84" t="s">
        <v>2462</v>
      </c>
      <c r="S1964" t="b">
        <v>1</v>
      </c>
    </row>
    <row r="1965" spans="14:19" x14ac:dyDescent="0.25">
      <c r="N1965" s="23" t="s">
        <v>102</v>
      </c>
      <c r="O1965" s="30" t="s">
        <v>999</v>
      </c>
      <c r="P1965" s="30" t="s">
        <v>1004</v>
      </c>
      <c r="Q1965" s="84" t="s">
        <v>2463</v>
      </c>
      <c r="S1965" t="b">
        <v>0</v>
      </c>
    </row>
    <row r="1966" spans="14:19" x14ac:dyDescent="0.25">
      <c r="N1966" s="23" t="s">
        <v>102</v>
      </c>
      <c r="O1966" s="30" t="s">
        <v>999</v>
      </c>
      <c r="P1966" s="30" t="s">
        <v>1005</v>
      </c>
      <c r="Q1966" s="84" t="s">
        <v>2463</v>
      </c>
      <c r="S1966" t="b">
        <v>0</v>
      </c>
    </row>
    <row r="1967" spans="14:19" x14ac:dyDescent="0.25">
      <c r="N1967" s="23" t="s">
        <v>102</v>
      </c>
      <c r="O1967" s="30" t="s">
        <v>999</v>
      </c>
      <c r="P1967" s="30" t="s">
        <v>1006</v>
      </c>
      <c r="Q1967" s="84" t="s">
        <v>2463</v>
      </c>
      <c r="S1967" t="b">
        <v>0</v>
      </c>
    </row>
    <row r="1968" spans="14:19" x14ac:dyDescent="0.25">
      <c r="N1968" s="23" t="s">
        <v>102</v>
      </c>
      <c r="O1968" s="30" t="s">
        <v>999</v>
      </c>
      <c r="P1968" s="30" t="s">
        <v>1007</v>
      </c>
      <c r="Q1968" s="84" t="s">
        <v>2463</v>
      </c>
      <c r="S1968" t="b">
        <v>0</v>
      </c>
    </row>
    <row r="1969" spans="14:19" x14ac:dyDescent="0.25">
      <c r="N1969" s="23" t="s">
        <v>102</v>
      </c>
      <c r="O1969" s="30" t="s">
        <v>999</v>
      </c>
      <c r="P1969" s="30" t="s">
        <v>1008</v>
      </c>
      <c r="Q1969" s="84" t="s">
        <v>2463</v>
      </c>
      <c r="S1969" t="b">
        <v>0</v>
      </c>
    </row>
    <row r="1970" spans="14:19" x14ac:dyDescent="0.25">
      <c r="N1970" s="23" t="s">
        <v>102</v>
      </c>
      <c r="O1970" s="30" t="s">
        <v>999</v>
      </c>
      <c r="P1970" s="30" t="s">
        <v>1009</v>
      </c>
      <c r="Q1970" s="84" t="s">
        <v>2463</v>
      </c>
      <c r="S1970" t="b">
        <v>0</v>
      </c>
    </row>
    <row r="1971" spans="14:19" x14ac:dyDescent="0.25">
      <c r="N1971" s="23" t="s">
        <v>102</v>
      </c>
      <c r="O1971" s="30" t="s">
        <v>999</v>
      </c>
      <c r="P1971" s="30" t="s">
        <v>1010</v>
      </c>
      <c r="Q1971" s="84" t="s">
        <v>2463</v>
      </c>
      <c r="S1971" t="b">
        <v>0</v>
      </c>
    </row>
    <row r="1972" spans="14:19" x14ac:dyDescent="0.25">
      <c r="N1972" s="23" t="s">
        <v>102</v>
      </c>
      <c r="O1972" s="30" t="s">
        <v>999</v>
      </c>
      <c r="P1972" s="30" t="s">
        <v>1011</v>
      </c>
      <c r="Q1972" s="84" t="s">
        <v>2463</v>
      </c>
      <c r="S1972" t="b">
        <v>0</v>
      </c>
    </row>
    <row r="1973" spans="14:19" x14ac:dyDescent="0.25">
      <c r="N1973" s="23" t="s">
        <v>102</v>
      </c>
      <c r="O1973" s="30" t="s">
        <v>999</v>
      </c>
      <c r="P1973" s="30" t="s">
        <v>1012</v>
      </c>
      <c r="Q1973" s="84" t="s">
        <v>2463</v>
      </c>
      <c r="S1973" t="b">
        <v>0</v>
      </c>
    </row>
    <row r="1974" spans="14:19" x14ac:dyDescent="0.25">
      <c r="N1974" s="23" t="s">
        <v>102</v>
      </c>
      <c r="O1974" s="30" t="s">
        <v>999</v>
      </c>
      <c r="P1974" s="30" t="s">
        <v>1013</v>
      </c>
      <c r="Q1974" s="84" t="s">
        <v>2463</v>
      </c>
      <c r="S1974" t="b">
        <v>0</v>
      </c>
    </row>
    <row r="1975" spans="14:19" x14ac:dyDescent="0.25">
      <c r="N1975" s="23" t="s">
        <v>102</v>
      </c>
      <c r="O1975" s="30" t="s">
        <v>999</v>
      </c>
      <c r="P1975" s="30" t="s">
        <v>1014</v>
      </c>
      <c r="Q1975" s="84" t="s">
        <v>2463</v>
      </c>
      <c r="S1975" t="b">
        <v>0</v>
      </c>
    </row>
    <row r="1976" spans="14:19" x14ac:dyDescent="0.25">
      <c r="N1976" s="23" t="s">
        <v>102</v>
      </c>
      <c r="O1976" s="30" t="s">
        <v>999</v>
      </c>
      <c r="P1976" s="30" t="s">
        <v>1015</v>
      </c>
      <c r="Q1976" s="84" t="s">
        <v>2463</v>
      </c>
      <c r="S1976" t="b">
        <v>0</v>
      </c>
    </row>
    <row r="1977" spans="14:19" x14ac:dyDescent="0.25">
      <c r="N1977" s="23" t="s">
        <v>102</v>
      </c>
      <c r="O1977" s="30" t="s">
        <v>999</v>
      </c>
      <c r="P1977" s="30" t="s">
        <v>1016</v>
      </c>
      <c r="Q1977" s="84" t="s">
        <v>2463</v>
      </c>
      <c r="S1977" t="b">
        <v>0</v>
      </c>
    </row>
    <row r="1978" spans="14:19" x14ac:dyDescent="0.25">
      <c r="N1978" s="23" t="s">
        <v>102</v>
      </c>
      <c r="O1978" s="30" t="s">
        <v>999</v>
      </c>
      <c r="P1978" s="30" t="s">
        <v>1017</v>
      </c>
      <c r="Q1978" s="84" t="s">
        <v>2463</v>
      </c>
      <c r="S1978" t="b">
        <v>0</v>
      </c>
    </row>
    <row r="1979" spans="14:19" x14ac:dyDescent="0.25">
      <c r="N1979" s="23" t="s">
        <v>102</v>
      </c>
      <c r="O1979" s="30" t="s">
        <v>999</v>
      </c>
      <c r="P1979" s="30" t="s">
        <v>1018</v>
      </c>
      <c r="Q1979" s="84" t="s">
        <v>2463</v>
      </c>
      <c r="S1979" t="b">
        <v>0</v>
      </c>
    </row>
    <row r="1980" spans="14:19" x14ac:dyDescent="0.25">
      <c r="N1980" s="23" t="s">
        <v>102</v>
      </c>
      <c r="O1980" s="30" t="s">
        <v>999</v>
      </c>
      <c r="P1980" s="30" t="s">
        <v>1019</v>
      </c>
      <c r="Q1980" s="84" t="s">
        <v>2463</v>
      </c>
      <c r="S1980" t="b">
        <v>0</v>
      </c>
    </row>
    <row r="1981" spans="14:19" x14ac:dyDescent="0.25">
      <c r="N1981" s="23" t="s">
        <v>102</v>
      </c>
      <c r="O1981" s="30" t="s">
        <v>999</v>
      </c>
      <c r="P1981" s="30" t="s">
        <v>1020</v>
      </c>
      <c r="Q1981" s="84" t="s">
        <v>2463</v>
      </c>
      <c r="S1981" t="b">
        <v>0</v>
      </c>
    </row>
    <row r="1982" spans="14:19" x14ac:dyDescent="0.25">
      <c r="N1982" s="23" t="s">
        <v>102</v>
      </c>
      <c r="O1982" s="30" t="s">
        <v>999</v>
      </c>
      <c r="P1982" s="30" t="s">
        <v>1021</v>
      </c>
      <c r="Q1982" s="84" t="s">
        <v>2463</v>
      </c>
      <c r="S1982" t="b">
        <v>0</v>
      </c>
    </row>
    <row r="1983" spans="14:19" x14ac:dyDescent="0.25">
      <c r="N1983" s="23" t="s">
        <v>102</v>
      </c>
      <c r="O1983" s="30" t="s">
        <v>999</v>
      </c>
      <c r="P1983" s="30" t="s">
        <v>1022</v>
      </c>
      <c r="Q1983" s="84" t="s">
        <v>2463</v>
      </c>
      <c r="S1983" t="b">
        <v>0</v>
      </c>
    </row>
    <row r="1984" spans="14:19" x14ac:dyDescent="0.25">
      <c r="N1984" s="23" t="s">
        <v>102</v>
      </c>
      <c r="O1984" s="30" t="s">
        <v>999</v>
      </c>
      <c r="P1984" s="30" t="s">
        <v>1023</v>
      </c>
      <c r="Q1984" s="84" t="s">
        <v>2463</v>
      </c>
      <c r="S1984" t="b">
        <v>0</v>
      </c>
    </row>
    <row r="1985" spans="14:19" x14ac:dyDescent="0.25">
      <c r="N1985" s="23" t="s">
        <v>102</v>
      </c>
      <c r="O1985" s="30" t="s">
        <v>999</v>
      </c>
      <c r="P1985" s="30" t="s">
        <v>1024</v>
      </c>
      <c r="Q1985" s="84" t="s">
        <v>2463</v>
      </c>
      <c r="S1985" t="b">
        <v>0</v>
      </c>
    </row>
    <row r="1986" spans="14:19" x14ac:dyDescent="0.25">
      <c r="N1986" s="23" t="s">
        <v>102</v>
      </c>
      <c r="O1986" s="30" t="s">
        <v>999</v>
      </c>
      <c r="P1986" s="30" t="s">
        <v>1025</v>
      </c>
      <c r="Q1986" s="84" t="s">
        <v>2463</v>
      </c>
      <c r="S1986" t="b">
        <v>0</v>
      </c>
    </row>
    <row r="1987" spans="14:19" x14ac:dyDescent="0.25">
      <c r="N1987" s="23" t="s">
        <v>102</v>
      </c>
      <c r="O1987" s="30" t="s">
        <v>999</v>
      </c>
      <c r="P1987" s="30" t="s">
        <v>1026</v>
      </c>
      <c r="Q1987" s="84" t="s">
        <v>2463</v>
      </c>
      <c r="S1987" t="b">
        <v>0</v>
      </c>
    </row>
    <row r="1988" spans="14:19" x14ac:dyDescent="0.25">
      <c r="N1988" s="23" t="s">
        <v>102</v>
      </c>
      <c r="O1988" s="30" t="s">
        <v>999</v>
      </c>
      <c r="P1988" s="30" t="s">
        <v>1027</v>
      </c>
      <c r="Q1988" s="84" t="s">
        <v>2463</v>
      </c>
      <c r="S1988" t="b">
        <v>0</v>
      </c>
    </row>
    <row r="1989" spans="14:19" x14ac:dyDescent="0.25">
      <c r="N1989" s="23" t="s">
        <v>102</v>
      </c>
      <c r="O1989" s="30" t="s">
        <v>999</v>
      </c>
      <c r="P1989" s="30" t="s">
        <v>1028</v>
      </c>
      <c r="Q1989" s="84" t="s">
        <v>2462</v>
      </c>
      <c r="S1989" t="b">
        <v>1</v>
      </c>
    </row>
    <row r="1990" spans="14:19" x14ac:dyDescent="0.25">
      <c r="N1990" s="23" t="s">
        <v>102</v>
      </c>
      <c r="O1990" s="30" t="s">
        <v>999</v>
      </c>
      <c r="P1990" s="30" t="s">
        <v>1029</v>
      </c>
      <c r="Q1990" s="84" t="s">
        <v>2462</v>
      </c>
      <c r="S1990" t="b">
        <v>1</v>
      </c>
    </row>
    <row r="1991" spans="14:19" x14ac:dyDescent="0.25">
      <c r="N1991" s="23" t="s">
        <v>102</v>
      </c>
      <c r="O1991" s="30" t="s">
        <v>999</v>
      </c>
      <c r="P1991" s="30" t="s">
        <v>1030</v>
      </c>
      <c r="Q1991" s="84" t="s">
        <v>2462</v>
      </c>
      <c r="S1991" t="b">
        <v>1</v>
      </c>
    </row>
    <row r="1992" spans="14:19" x14ac:dyDescent="0.25">
      <c r="N1992" s="23" t="s">
        <v>102</v>
      </c>
      <c r="O1992" s="30" t="s">
        <v>999</v>
      </c>
      <c r="P1992" s="30" t="s">
        <v>1031</v>
      </c>
      <c r="Q1992" s="84" t="s">
        <v>2462</v>
      </c>
      <c r="S1992" t="b">
        <v>1</v>
      </c>
    </row>
    <row r="1993" spans="14:19" x14ac:dyDescent="0.25">
      <c r="N1993" s="23" t="s">
        <v>102</v>
      </c>
      <c r="O1993" s="30" t="s">
        <v>999</v>
      </c>
      <c r="P1993" s="30" t="s">
        <v>1032</v>
      </c>
      <c r="Q1993" s="84" t="s">
        <v>2462</v>
      </c>
      <c r="S1993" t="b">
        <v>1</v>
      </c>
    </row>
    <row r="1994" spans="14:19" x14ac:dyDescent="0.25">
      <c r="N1994" s="23" t="s">
        <v>102</v>
      </c>
      <c r="O1994" s="30" t="s">
        <v>999</v>
      </c>
      <c r="P1994" s="30" t="s">
        <v>1033</v>
      </c>
      <c r="Q1994" s="84" t="s">
        <v>2462</v>
      </c>
      <c r="S1994" t="b">
        <v>1</v>
      </c>
    </row>
    <row r="1995" spans="14:19" x14ac:dyDescent="0.25">
      <c r="N1995" s="23" t="s">
        <v>102</v>
      </c>
      <c r="O1995" s="30" t="s">
        <v>999</v>
      </c>
      <c r="P1995" s="30" t="s">
        <v>1034</v>
      </c>
      <c r="Q1995" s="84" t="s">
        <v>2462</v>
      </c>
      <c r="S1995" t="b">
        <v>1</v>
      </c>
    </row>
    <row r="1996" spans="14:19" x14ac:dyDescent="0.25">
      <c r="N1996" s="23" t="s">
        <v>102</v>
      </c>
      <c r="O1996" s="30" t="s">
        <v>999</v>
      </c>
      <c r="P1996" s="30" t="s">
        <v>1035</v>
      </c>
      <c r="Q1996" s="84" t="s">
        <v>2462</v>
      </c>
      <c r="S1996" t="b">
        <v>1</v>
      </c>
    </row>
    <row r="1997" spans="14:19" x14ac:dyDescent="0.25">
      <c r="N1997" s="23" t="s">
        <v>102</v>
      </c>
      <c r="O1997" s="30" t="s">
        <v>999</v>
      </c>
      <c r="P1997" s="30" t="s">
        <v>1036</v>
      </c>
      <c r="Q1997" s="84" t="s">
        <v>2462</v>
      </c>
      <c r="S1997" t="b">
        <v>1</v>
      </c>
    </row>
    <row r="1998" spans="14:19" x14ac:dyDescent="0.25">
      <c r="N1998" s="23" t="s">
        <v>102</v>
      </c>
      <c r="O1998" s="30" t="s">
        <v>999</v>
      </c>
      <c r="P1998" s="30" t="s">
        <v>1037</v>
      </c>
      <c r="Q1998" s="84" t="s">
        <v>2462</v>
      </c>
      <c r="S1998" t="b">
        <v>1</v>
      </c>
    </row>
    <row r="1999" spans="14:19" x14ac:dyDescent="0.25">
      <c r="N1999" s="23" t="s">
        <v>102</v>
      </c>
      <c r="O1999" s="30" t="s">
        <v>999</v>
      </c>
      <c r="P1999" s="30" t="s">
        <v>1038</v>
      </c>
      <c r="Q1999" s="84" t="s">
        <v>2462</v>
      </c>
      <c r="S1999" t="b">
        <v>1</v>
      </c>
    </row>
    <row r="2000" spans="14:19" x14ac:dyDescent="0.25">
      <c r="N2000" s="23" t="s">
        <v>102</v>
      </c>
      <c r="O2000" s="30" t="s">
        <v>999</v>
      </c>
      <c r="P2000" s="30" t="s">
        <v>1039</v>
      </c>
      <c r="Q2000" s="84" t="s">
        <v>2462</v>
      </c>
      <c r="S2000" t="b">
        <v>1</v>
      </c>
    </row>
    <row r="2001" spans="14:19" x14ac:dyDescent="0.25">
      <c r="N2001" s="23" t="s">
        <v>102</v>
      </c>
      <c r="O2001" s="30" t="s">
        <v>999</v>
      </c>
      <c r="P2001" s="30" t="s">
        <v>1040</v>
      </c>
      <c r="Q2001" s="84" t="s">
        <v>2462</v>
      </c>
      <c r="S2001" t="b">
        <v>1</v>
      </c>
    </row>
    <row r="2002" spans="14:19" x14ac:dyDescent="0.25">
      <c r="N2002" s="23" t="s">
        <v>102</v>
      </c>
      <c r="O2002" s="30" t="s">
        <v>999</v>
      </c>
      <c r="P2002" s="30" t="s">
        <v>1041</v>
      </c>
      <c r="Q2002" s="84" t="s">
        <v>2462</v>
      </c>
      <c r="S2002" t="b">
        <v>1</v>
      </c>
    </row>
    <row r="2003" spans="14:19" x14ac:dyDescent="0.25">
      <c r="N2003" s="23" t="s">
        <v>102</v>
      </c>
      <c r="O2003" s="30" t="s">
        <v>999</v>
      </c>
      <c r="P2003" s="30" t="s">
        <v>1042</v>
      </c>
      <c r="Q2003" s="84" t="s">
        <v>2462</v>
      </c>
      <c r="S2003" t="b">
        <v>1</v>
      </c>
    </row>
    <row r="2004" spans="14:19" x14ac:dyDescent="0.25">
      <c r="N2004" s="23" t="s">
        <v>102</v>
      </c>
      <c r="O2004" s="30" t="s">
        <v>999</v>
      </c>
      <c r="P2004" s="30" t="s">
        <v>1043</v>
      </c>
      <c r="Q2004" s="84" t="s">
        <v>2462</v>
      </c>
      <c r="S2004" t="b">
        <v>1</v>
      </c>
    </row>
    <row r="2005" spans="14:19" x14ac:dyDescent="0.25">
      <c r="N2005" s="23" t="s">
        <v>102</v>
      </c>
      <c r="O2005" s="30" t="s">
        <v>999</v>
      </c>
      <c r="P2005" s="30" t="s">
        <v>1044</v>
      </c>
      <c r="Q2005" s="84" t="s">
        <v>2463</v>
      </c>
      <c r="S2005" t="b">
        <v>0</v>
      </c>
    </row>
    <row r="2006" spans="14:19" x14ac:dyDescent="0.25">
      <c r="N2006" s="23" t="s">
        <v>102</v>
      </c>
      <c r="O2006" s="30" t="s">
        <v>999</v>
      </c>
      <c r="P2006" s="30" t="s">
        <v>1045</v>
      </c>
      <c r="Q2006" s="84" t="s">
        <v>2463</v>
      </c>
      <c r="S2006" t="b">
        <v>0</v>
      </c>
    </row>
    <row r="2007" spans="14:19" x14ac:dyDescent="0.25">
      <c r="N2007" s="23" t="s">
        <v>102</v>
      </c>
      <c r="O2007" s="30" t="s">
        <v>999</v>
      </c>
      <c r="P2007" s="30" t="s">
        <v>1046</v>
      </c>
      <c r="Q2007" s="84" t="s">
        <v>2463</v>
      </c>
      <c r="S2007" t="b">
        <v>0</v>
      </c>
    </row>
    <row r="2008" spans="14:19" x14ac:dyDescent="0.25">
      <c r="N2008" s="23" t="s">
        <v>102</v>
      </c>
      <c r="O2008" s="30" t="s">
        <v>999</v>
      </c>
      <c r="P2008" s="30" t="s">
        <v>1047</v>
      </c>
      <c r="Q2008" s="84" t="s">
        <v>2463</v>
      </c>
      <c r="S2008" t="b">
        <v>0</v>
      </c>
    </row>
    <row r="2009" spans="14:19" x14ac:dyDescent="0.25">
      <c r="N2009" s="23" t="s">
        <v>102</v>
      </c>
      <c r="O2009" s="30" t="s">
        <v>999</v>
      </c>
      <c r="P2009" s="30" t="s">
        <v>1048</v>
      </c>
      <c r="Q2009" s="84" t="s">
        <v>2462</v>
      </c>
      <c r="S2009" t="b">
        <v>1</v>
      </c>
    </row>
    <row r="2010" spans="14:19" x14ac:dyDescent="0.25">
      <c r="N2010" s="23" t="s">
        <v>102</v>
      </c>
      <c r="O2010" s="30" t="s">
        <v>999</v>
      </c>
      <c r="P2010" s="30" t="s">
        <v>1049</v>
      </c>
      <c r="Q2010" s="84" t="s">
        <v>2462</v>
      </c>
      <c r="S2010" t="b">
        <v>1</v>
      </c>
    </row>
    <row r="2011" spans="14:19" x14ac:dyDescent="0.25">
      <c r="N2011" s="23" t="s">
        <v>102</v>
      </c>
      <c r="O2011" s="30" t="s">
        <v>999</v>
      </c>
      <c r="P2011" s="30" t="s">
        <v>1050</v>
      </c>
      <c r="Q2011" s="84" t="s">
        <v>2462</v>
      </c>
      <c r="S2011" t="b">
        <v>1</v>
      </c>
    </row>
    <row r="2012" spans="14:19" x14ac:dyDescent="0.25">
      <c r="N2012" s="23" t="s">
        <v>102</v>
      </c>
      <c r="O2012" s="30" t="s">
        <v>999</v>
      </c>
      <c r="P2012" s="30" t="s">
        <v>1051</v>
      </c>
      <c r="Q2012" s="84" t="s">
        <v>2462</v>
      </c>
      <c r="S2012" t="b">
        <v>1</v>
      </c>
    </row>
    <row r="2013" spans="14:19" x14ac:dyDescent="0.25">
      <c r="N2013" s="23" t="s">
        <v>102</v>
      </c>
      <c r="O2013" s="30" t="s">
        <v>999</v>
      </c>
      <c r="P2013" s="30" t="s">
        <v>1052</v>
      </c>
      <c r="Q2013" s="84" t="s">
        <v>2462</v>
      </c>
      <c r="S2013" t="b">
        <v>1</v>
      </c>
    </row>
    <row r="2014" spans="14:19" x14ac:dyDescent="0.25">
      <c r="N2014" s="23" t="s">
        <v>102</v>
      </c>
      <c r="O2014" s="30" t="s">
        <v>999</v>
      </c>
      <c r="P2014" s="30" t="s">
        <v>1053</v>
      </c>
      <c r="Q2014" s="84" t="s">
        <v>2462</v>
      </c>
      <c r="S2014" t="b">
        <v>1</v>
      </c>
    </row>
    <row r="2015" spans="14:19" x14ac:dyDescent="0.25">
      <c r="N2015" s="23" t="s">
        <v>102</v>
      </c>
      <c r="O2015" s="30" t="s">
        <v>999</v>
      </c>
      <c r="P2015" s="30" t="s">
        <v>1054</v>
      </c>
      <c r="Q2015" s="84" t="s">
        <v>2462</v>
      </c>
      <c r="S2015" t="b">
        <v>1</v>
      </c>
    </row>
    <row r="2016" spans="14:19" x14ac:dyDescent="0.25">
      <c r="N2016" s="23" t="s">
        <v>102</v>
      </c>
      <c r="O2016" s="30" t="s">
        <v>999</v>
      </c>
      <c r="P2016" s="30" t="s">
        <v>1055</v>
      </c>
      <c r="Q2016" s="84" t="s">
        <v>2462</v>
      </c>
      <c r="S2016" t="b">
        <v>1</v>
      </c>
    </row>
    <row r="2017" spans="14:19" x14ac:dyDescent="0.25">
      <c r="N2017" s="23" t="s">
        <v>102</v>
      </c>
      <c r="O2017" s="30" t="s">
        <v>999</v>
      </c>
      <c r="P2017" s="30" t="s">
        <v>1056</v>
      </c>
      <c r="Q2017" s="84" t="s">
        <v>2462</v>
      </c>
      <c r="S2017" t="b">
        <v>1</v>
      </c>
    </row>
    <row r="2018" spans="14:19" x14ac:dyDescent="0.25">
      <c r="N2018" s="23" t="s">
        <v>102</v>
      </c>
      <c r="O2018" s="30" t="s">
        <v>999</v>
      </c>
      <c r="P2018" s="30" t="s">
        <v>1057</v>
      </c>
      <c r="Q2018" s="84" t="s">
        <v>2462</v>
      </c>
      <c r="S2018" t="b">
        <v>1</v>
      </c>
    </row>
    <row r="2019" spans="14:19" x14ac:dyDescent="0.25">
      <c r="N2019" s="23" t="s">
        <v>102</v>
      </c>
      <c r="O2019" s="30" t="s">
        <v>999</v>
      </c>
      <c r="P2019" s="30" t="s">
        <v>1058</v>
      </c>
      <c r="Q2019" s="84" t="s">
        <v>2462</v>
      </c>
      <c r="S2019" t="b">
        <v>1</v>
      </c>
    </row>
    <row r="2020" spans="14:19" x14ac:dyDescent="0.25">
      <c r="N2020" s="23" t="s">
        <v>102</v>
      </c>
      <c r="O2020" s="30" t="s">
        <v>999</v>
      </c>
      <c r="P2020" s="30" t="s">
        <v>1059</v>
      </c>
      <c r="Q2020" s="84" t="s">
        <v>2462</v>
      </c>
      <c r="S2020" t="b">
        <v>1</v>
      </c>
    </row>
    <row r="2021" spans="14:19" x14ac:dyDescent="0.25">
      <c r="N2021" s="23" t="s">
        <v>102</v>
      </c>
      <c r="O2021" s="30" t="s">
        <v>999</v>
      </c>
      <c r="P2021" s="30" t="s">
        <v>1060</v>
      </c>
      <c r="Q2021" s="84" t="s">
        <v>2462</v>
      </c>
      <c r="S2021" t="b">
        <v>1</v>
      </c>
    </row>
    <row r="2022" spans="14:19" x14ac:dyDescent="0.25">
      <c r="N2022" s="23" t="s">
        <v>102</v>
      </c>
      <c r="O2022" s="30" t="s">
        <v>999</v>
      </c>
      <c r="P2022" s="30" t="s">
        <v>1061</v>
      </c>
      <c r="Q2022" s="84" t="s">
        <v>2462</v>
      </c>
      <c r="S2022" t="b">
        <v>1</v>
      </c>
    </row>
    <row r="2023" spans="14:19" x14ac:dyDescent="0.25">
      <c r="N2023" s="23" t="s">
        <v>102</v>
      </c>
      <c r="O2023" s="30" t="s">
        <v>999</v>
      </c>
      <c r="P2023" s="30" t="s">
        <v>1062</v>
      </c>
      <c r="Q2023" s="84" t="s">
        <v>2463</v>
      </c>
      <c r="S2023" t="b">
        <v>0</v>
      </c>
    </row>
    <row r="2024" spans="14:19" x14ac:dyDescent="0.25">
      <c r="N2024" s="23" t="s">
        <v>102</v>
      </c>
      <c r="O2024" s="30" t="s">
        <v>999</v>
      </c>
      <c r="P2024" s="30" t="s">
        <v>1063</v>
      </c>
      <c r="Q2024" s="84" t="s">
        <v>2463</v>
      </c>
      <c r="S2024" t="b">
        <v>0</v>
      </c>
    </row>
    <row r="2025" spans="14:19" x14ac:dyDescent="0.25">
      <c r="N2025" s="23" t="s">
        <v>102</v>
      </c>
      <c r="O2025" s="30" t="s">
        <v>999</v>
      </c>
      <c r="P2025" s="30" t="s">
        <v>1064</v>
      </c>
      <c r="Q2025" s="84" t="s">
        <v>2463</v>
      </c>
      <c r="S2025" t="b">
        <v>0</v>
      </c>
    </row>
    <row r="2026" spans="14:19" x14ac:dyDescent="0.25">
      <c r="N2026" s="23" t="s">
        <v>102</v>
      </c>
      <c r="O2026" s="30" t="s">
        <v>999</v>
      </c>
      <c r="P2026" s="30" t="s">
        <v>1065</v>
      </c>
      <c r="Q2026" s="84" t="s">
        <v>2463</v>
      </c>
      <c r="S2026" t="b">
        <v>0</v>
      </c>
    </row>
    <row r="2027" spans="14:19" x14ac:dyDescent="0.25">
      <c r="N2027" s="23" t="s">
        <v>102</v>
      </c>
      <c r="O2027" s="30" t="s">
        <v>999</v>
      </c>
      <c r="P2027" s="30" t="s">
        <v>1066</v>
      </c>
      <c r="Q2027" s="84" t="s">
        <v>2462</v>
      </c>
      <c r="S2027" t="b">
        <v>1</v>
      </c>
    </row>
    <row r="2028" spans="14:19" x14ac:dyDescent="0.25">
      <c r="N2028" s="23" t="s">
        <v>102</v>
      </c>
      <c r="O2028" s="30" t="s">
        <v>999</v>
      </c>
      <c r="P2028" s="30" t="s">
        <v>1067</v>
      </c>
      <c r="Q2028" s="84" t="s">
        <v>2462</v>
      </c>
      <c r="S2028" t="b">
        <v>1</v>
      </c>
    </row>
    <row r="2029" spans="14:19" x14ac:dyDescent="0.25">
      <c r="N2029" s="23" t="s">
        <v>102</v>
      </c>
      <c r="O2029" s="30" t="s">
        <v>999</v>
      </c>
      <c r="P2029" s="30" t="s">
        <v>1068</v>
      </c>
      <c r="Q2029" s="84" t="s">
        <v>2462</v>
      </c>
      <c r="S2029" t="b">
        <v>1</v>
      </c>
    </row>
    <row r="2030" spans="14:19" x14ac:dyDescent="0.25">
      <c r="N2030" s="23" t="s">
        <v>102</v>
      </c>
      <c r="O2030" s="30" t="s">
        <v>999</v>
      </c>
      <c r="P2030" s="30" t="s">
        <v>1069</v>
      </c>
      <c r="Q2030" s="84" t="s">
        <v>2462</v>
      </c>
      <c r="S2030" t="b">
        <v>1</v>
      </c>
    </row>
    <row r="2031" spans="14:19" x14ac:dyDescent="0.25">
      <c r="N2031" s="23" t="s">
        <v>102</v>
      </c>
      <c r="O2031" s="30" t="s">
        <v>999</v>
      </c>
      <c r="P2031" s="30" t="s">
        <v>1070</v>
      </c>
      <c r="Q2031" s="84" t="s">
        <v>2462</v>
      </c>
      <c r="S2031" t="b">
        <v>1</v>
      </c>
    </row>
    <row r="2032" spans="14:19" x14ac:dyDescent="0.25">
      <c r="N2032" s="23" t="s">
        <v>102</v>
      </c>
      <c r="O2032" s="30" t="s">
        <v>999</v>
      </c>
      <c r="P2032" s="30" t="s">
        <v>1071</v>
      </c>
      <c r="Q2032" s="84" t="s">
        <v>2462</v>
      </c>
      <c r="S2032" t="b">
        <v>1</v>
      </c>
    </row>
    <row r="2033" spans="14:19" x14ac:dyDescent="0.25">
      <c r="N2033" s="23" t="s">
        <v>102</v>
      </c>
      <c r="O2033" s="30" t="s">
        <v>999</v>
      </c>
      <c r="P2033" s="30" t="s">
        <v>1072</v>
      </c>
      <c r="Q2033" s="84" t="s">
        <v>2462</v>
      </c>
      <c r="S2033" t="b">
        <v>1</v>
      </c>
    </row>
    <row r="2034" spans="14:19" x14ac:dyDescent="0.25">
      <c r="N2034" s="23" t="s">
        <v>102</v>
      </c>
      <c r="O2034" s="30" t="s">
        <v>999</v>
      </c>
      <c r="P2034" s="30" t="s">
        <v>1073</v>
      </c>
      <c r="Q2034" s="84" t="s">
        <v>2462</v>
      </c>
      <c r="S2034" t="b">
        <v>1</v>
      </c>
    </row>
    <row r="2035" spans="14:19" x14ac:dyDescent="0.25">
      <c r="N2035" s="23" t="s">
        <v>102</v>
      </c>
      <c r="O2035" s="30" t="s">
        <v>999</v>
      </c>
      <c r="P2035" s="30" t="s">
        <v>1074</v>
      </c>
      <c r="Q2035" s="84" t="s">
        <v>2463</v>
      </c>
      <c r="S2035" t="b">
        <v>0</v>
      </c>
    </row>
    <row r="2036" spans="14:19" x14ac:dyDescent="0.25">
      <c r="N2036" s="23" t="s">
        <v>102</v>
      </c>
      <c r="O2036" s="30" t="s">
        <v>999</v>
      </c>
      <c r="P2036" s="30" t="s">
        <v>1075</v>
      </c>
      <c r="Q2036" s="84" t="s">
        <v>2463</v>
      </c>
      <c r="S2036" t="b">
        <v>0</v>
      </c>
    </row>
    <row r="2037" spans="14:19" x14ac:dyDescent="0.25">
      <c r="N2037" s="23" t="s">
        <v>102</v>
      </c>
      <c r="O2037" s="30" t="s">
        <v>999</v>
      </c>
      <c r="P2037" s="30" t="s">
        <v>1076</v>
      </c>
      <c r="Q2037" s="84" t="s">
        <v>2463</v>
      </c>
      <c r="S2037" t="b">
        <v>0</v>
      </c>
    </row>
    <row r="2038" spans="14:19" x14ac:dyDescent="0.25">
      <c r="N2038" s="23" t="s">
        <v>102</v>
      </c>
      <c r="O2038" s="30" t="s">
        <v>999</v>
      </c>
      <c r="P2038" s="30" t="s">
        <v>1077</v>
      </c>
      <c r="Q2038" s="84" t="s">
        <v>2463</v>
      </c>
      <c r="S2038" t="b">
        <v>0</v>
      </c>
    </row>
    <row r="2039" spans="14:19" x14ac:dyDescent="0.25">
      <c r="N2039" s="23" t="s">
        <v>102</v>
      </c>
      <c r="O2039" s="30" t="s">
        <v>999</v>
      </c>
      <c r="P2039" s="30" t="s">
        <v>1078</v>
      </c>
      <c r="Q2039" s="84" t="s">
        <v>2463</v>
      </c>
      <c r="S2039" t="b">
        <v>0</v>
      </c>
    </row>
    <row r="2040" spans="14:19" x14ac:dyDescent="0.25">
      <c r="N2040" s="23" t="s">
        <v>102</v>
      </c>
      <c r="O2040" s="30" t="s">
        <v>999</v>
      </c>
      <c r="P2040" s="30" t="s">
        <v>1079</v>
      </c>
      <c r="Q2040" s="84" t="s">
        <v>2463</v>
      </c>
      <c r="S2040" t="b">
        <v>0</v>
      </c>
    </row>
    <row r="2041" spans="14:19" x14ac:dyDescent="0.25">
      <c r="N2041" s="23" t="s">
        <v>102</v>
      </c>
      <c r="O2041" s="30" t="s">
        <v>999</v>
      </c>
      <c r="P2041" s="30" t="s">
        <v>1080</v>
      </c>
      <c r="Q2041" s="84" t="s">
        <v>2463</v>
      </c>
      <c r="S2041" t="b">
        <v>0</v>
      </c>
    </row>
    <row r="2042" spans="14:19" x14ac:dyDescent="0.25">
      <c r="N2042" s="23" t="s">
        <v>102</v>
      </c>
      <c r="O2042" s="30" t="s">
        <v>999</v>
      </c>
      <c r="P2042" s="30" t="s">
        <v>1081</v>
      </c>
      <c r="Q2042" s="84" t="s">
        <v>2463</v>
      </c>
      <c r="S2042" t="b">
        <v>0</v>
      </c>
    </row>
    <row r="2043" spans="14:19" x14ac:dyDescent="0.25">
      <c r="N2043" s="23" t="s">
        <v>102</v>
      </c>
      <c r="O2043" s="30" t="s">
        <v>999</v>
      </c>
      <c r="P2043" s="30" t="s">
        <v>1082</v>
      </c>
      <c r="Q2043" s="84" t="s">
        <v>2463</v>
      </c>
      <c r="S2043" t="b">
        <v>0</v>
      </c>
    </row>
    <row r="2044" spans="14:19" x14ac:dyDescent="0.25">
      <c r="N2044" s="23" t="s">
        <v>102</v>
      </c>
      <c r="O2044" s="30" t="s">
        <v>999</v>
      </c>
      <c r="P2044" s="30" t="s">
        <v>1083</v>
      </c>
      <c r="Q2044" s="84" t="s">
        <v>2462</v>
      </c>
      <c r="S2044" t="b">
        <v>1</v>
      </c>
    </row>
    <row r="2045" spans="14:19" x14ac:dyDescent="0.25">
      <c r="N2045" s="23" t="s">
        <v>102</v>
      </c>
      <c r="O2045" s="30" t="s">
        <v>999</v>
      </c>
      <c r="P2045" s="30" t="s">
        <v>1084</v>
      </c>
      <c r="Q2045" s="84" t="s">
        <v>2462</v>
      </c>
      <c r="S2045" t="b">
        <v>1</v>
      </c>
    </row>
    <row r="2046" spans="14:19" x14ac:dyDescent="0.25">
      <c r="N2046" s="23" t="s">
        <v>102</v>
      </c>
      <c r="O2046" s="30" t="s">
        <v>1085</v>
      </c>
      <c r="P2046" s="30" t="s">
        <v>1086</v>
      </c>
      <c r="Q2046" s="84" t="s">
        <v>2462</v>
      </c>
      <c r="S2046" t="b">
        <v>1</v>
      </c>
    </row>
    <row r="2047" spans="14:19" x14ac:dyDescent="0.25">
      <c r="N2047" s="23" t="s">
        <v>102</v>
      </c>
      <c r="O2047" s="30" t="s">
        <v>1085</v>
      </c>
      <c r="P2047" s="30" t="s">
        <v>1087</v>
      </c>
      <c r="Q2047" s="84" t="s">
        <v>2462</v>
      </c>
      <c r="S2047" t="b">
        <v>1</v>
      </c>
    </row>
    <row r="2048" spans="14:19" x14ac:dyDescent="0.25">
      <c r="N2048" s="23" t="s">
        <v>102</v>
      </c>
      <c r="O2048" s="30" t="s">
        <v>1085</v>
      </c>
      <c r="P2048" s="30" t="s">
        <v>1088</v>
      </c>
      <c r="Q2048" s="84" t="s">
        <v>2462</v>
      </c>
      <c r="S2048" t="b">
        <v>1</v>
      </c>
    </row>
    <row r="2049" spans="14:19" x14ac:dyDescent="0.25">
      <c r="N2049" s="23" t="s">
        <v>102</v>
      </c>
      <c r="O2049" s="30" t="s">
        <v>1085</v>
      </c>
      <c r="P2049" s="30" t="s">
        <v>1089</v>
      </c>
      <c r="Q2049" s="84" t="s">
        <v>2462</v>
      </c>
      <c r="S2049" t="b">
        <v>1</v>
      </c>
    </row>
    <row r="2050" spans="14:19" x14ac:dyDescent="0.25">
      <c r="N2050" s="23" t="s">
        <v>102</v>
      </c>
      <c r="O2050" s="30" t="s">
        <v>1085</v>
      </c>
      <c r="P2050" s="30" t="s">
        <v>1090</v>
      </c>
      <c r="Q2050" s="84" t="s">
        <v>2462</v>
      </c>
      <c r="S2050" t="b">
        <v>1</v>
      </c>
    </row>
    <row r="2051" spans="14:19" x14ac:dyDescent="0.25">
      <c r="N2051" s="23" t="s">
        <v>102</v>
      </c>
      <c r="O2051" s="30" t="s">
        <v>1085</v>
      </c>
      <c r="P2051" s="30" t="s">
        <v>1091</v>
      </c>
      <c r="Q2051" s="84" t="s">
        <v>2462</v>
      </c>
      <c r="S2051" t="b">
        <v>1</v>
      </c>
    </row>
    <row r="2052" spans="14:19" x14ac:dyDescent="0.25">
      <c r="N2052" s="23" t="s">
        <v>102</v>
      </c>
      <c r="O2052" s="30" t="s">
        <v>1085</v>
      </c>
      <c r="P2052" s="30" t="s">
        <v>1092</v>
      </c>
      <c r="Q2052" s="84" t="s">
        <v>2462</v>
      </c>
      <c r="S2052" t="b">
        <v>1</v>
      </c>
    </row>
    <row r="2053" spans="14:19" x14ac:dyDescent="0.25">
      <c r="N2053" s="23" t="s">
        <v>102</v>
      </c>
      <c r="O2053" s="30" t="s">
        <v>1085</v>
      </c>
      <c r="P2053" s="30" t="s">
        <v>1093</v>
      </c>
      <c r="Q2053" s="84" t="s">
        <v>2462</v>
      </c>
      <c r="S2053" t="b">
        <v>1</v>
      </c>
    </row>
    <row r="2054" spans="14:19" x14ac:dyDescent="0.25">
      <c r="N2054" s="23" t="s">
        <v>102</v>
      </c>
      <c r="O2054" s="30" t="s">
        <v>1085</v>
      </c>
      <c r="P2054" s="30" t="s">
        <v>1094</v>
      </c>
      <c r="Q2054" s="84" t="s">
        <v>2462</v>
      </c>
      <c r="S2054" t="b">
        <v>1</v>
      </c>
    </row>
    <row r="2055" spans="14:19" x14ac:dyDescent="0.25">
      <c r="N2055" s="23" t="s">
        <v>102</v>
      </c>
      <c r="O2055" s="30" t="s">
        <v>1085</v>
      </c>
      <c r="P2055" s="30" t="s">
        <v>1095</v>
      </c>
      <c r="Q2055" s="84" t="s">
        <v>2462</v>
      </c>
      <c r="S2055" t="b">
        <v>1</v>
      </c>
    </row>
    <row r="2056" spans="14:19" x14ac:dyDescent="0.25">
      <c r="N2056" s="23" t="s">
        <v>102</v>
      </c>
      <c r="O2056" s="30" t="s">
        <v>1085</v>
      </c>
      <c r="P2056" s="30" t="s">
        <v>1096</v>
      </c>
      <c r="Q2056" s="84" t="s">
        <v>2462</v>
      </c>
      <c r="S2056" t="b">
        <v>1</v>
      </c>
    </row>
    <row r="2057" spans="14:19" x14ac:dyDescent="0.25">
      <c r="N2057" s="23" t="s">
        <v>102</v>
      </c>
      <c r="O2057" s="30" t="s">
        <v>1085</v>
      </c>
      <c r="P2057" s="30" t="s">
        <v>1097</v>
      </c>
      <c r="Q2057" s="84" t="s">
        <v>2462</v>
      </c>
      <c r="S2057" t="b">
        <v>1</v>
      </c>
    </row>
    <row r="2058" spans="14:19" x14ac:dyDescent="0.25">
      <c r="N2058" s="23" t="s">
        <v>102</v>
      </c>
      <c r="O2058" s="30" t="s">
        <v>1085</v>
      </c>
      <c r="P2058" s="30" t="s">
        <v>1098</v>
      </c>
      <c r="Q2058" s="84" t="s">
        <v>2462</v>
      </c>
      <c r="S2058" t="b">
        <v>1</v>
      </c>
    </row>
    <row r="2059" spans="14:19" x14ac:dyDescent="0.25">
      <c r="N2059" s="23" t="s">
        <v>102</v>
      </c>
      <c r="O2059" s="30" t="s">
        <v>1085</v>
      </c>
      <c r="P2059" s="30" t="s">
        <v>1099</v>
      </c>
      <c r="Q2059" s="84" t="s">
        <v>2462</v>
      </c>
      <c r="S2059" t="b">
        <v>1</v>
      </c>
    </row>
    <row r="2060" spans="14:19" x14ac:dyDescent="0.25">
      <c r="N2060" s="23" t="s">
        <v>102</v>
      </c>
      <c r="O2060" s="30" t="s">
        <v>1085</v>
      </c>
      <c r="P2060" s="30" t="s">
        <v>1100</v>
      </c>
      <c r="Q2060" s="84" t="s">
        <v>2462</v>
      </c>
      <c r="S2060" t="b">
        <v>1</v>
      </c>
    </row>
    <row r="2061" spans="14:19" x14ac:dyDescent="0.25">
      <c r="N2061" s="23" t="s">
        <v>102</v>
      </c>
      <c r="O2061" s="30" t="s">
        <v>1085</v>
      </c>
      <c r="P2061" s="30" t="s">
        <v>1101</v>
      </c>
      <c r="Q2061" s="84" t="s">
        <v>2462</v>
      </c>
      <c r="S2061" t="b">
        <v>1</v>
      </c>
    </row>
    <row r="2062" spans="14:19" x14ac:dyDescent="0.25">
      <c r="N2062" s="23" t="s">
        <v>102</v>
      </c>
      <c r="O2062" s="30" t="s">
        <v>1085</v>
      </c>
      <c r="P2062" s="30" t="s">
        <v>1102</v>
      </c>
      <c r="Q2062" s="84" t="s">
        <v>2462</v>
      </c>
      <c r="S2062" t="b">
        <v>1</v>
      </c>
    </row>
    <row r="2063" spans="14:19" x14ac:dyDescent="0.25">
      <c r="N2063" s="23" t="s">
        <v>102</v>
      </c>
      <c r="O2063" s="30" t="s">
        <v>1085</v>
      </c>
      <c r="P2063" s="30" t="s">
        <v>1103</v>
      </c>
      <c r="Q2063" s="84" t="s">
        <v>2462</v>
      </c>
      <c r="S2063" t="b">
        <v>1</v>
      </c>
    </row>
    <row r="2064" spans="14:19" x14ac:dyDescent="0.25">
      <c r="N2064" s="23" t="s">
        <v>102</v>
      </c>
      <c r="O2064" s="30" t="s">
        <v>1085</v>
      </c>
      <c r="P2064" s="30" t="s">
        <v>1104</v>
      </c>
      <c r="Q2064" s="84" t="s">
        <v>2462</v>
      </c>
      <c r="S2064" t="b">
        <v>1</v>
      </c>
    </row>
    <row r="2065" spans="14:19" x14ac:dyDescent="0.25">
      <c r="N2065" s="23" t="s">
        <v>102</v>
      </c>
      <c r="O2065" s="30" t="s">
        <v>1085</v>
      </c>
      <c r="P2065" s="30" t="s">
        <v>1105</v>
      </c>
      <c r="Q2065" s="84" t="s">
        <v>2462</v>
      </c>
      <c r="S2065" t="b">
        <v>1</v>
      </c>
    </row>
    <row r="2066" spans="14:19" x14ac:dyDescent="0.25">
      <c r="N2066" s="23" t="s">
        <v>102</v>
      </c>
      <c r="O2066" s="30" t="s">
        <v>1085</v>
      </c>
      <c r="P2066" s="30" t="s">
        <v>1106</v>
      </c>
      <c r="Q2066" s="84" t="s">
        <v>2462</v>
      </c>
      <c r="S2066" t="b">
        <v>1</v>
      </c>
    </row>
    <row r="2067" spans="14:19" x14ac:dyDescent="0.25">
      <c r="N2067" s="23" t="s">
        <v>102</v>
      </c>
      <c r="O2067" s="30" t="s">
        <v>1085</v>
      </c>
      <c r="P2067" s="30" t="s">
        <v>1107</v>
      </c>
      <c r="Q2067" s="84" t="s">
        <v>2462</v>
      </c>
      <c r="S2067" t="b">
        <v>1</v>
      </c>
    </row>
    <row r="2068" spans="14:19" x14ac:dyDescent="0.25">
      <c r="N2068" s="23" t="s">
        <v>102</v>
      </c>
      <c r="O2068" s="30" t="s">
        <v>1085</v>
      </c>
      <c r="P2068" s="30" t="s">
        <v>1108</v>
      </c>
      <c r="Q2068" s="84" t="s">
        <v>2462</v>
      </c>
      <c r="S2068" t="b">
        <v>1</v>
      </c>
    </row>
    <row r="2069" spans="14:19" x14ac:dyDescent="0.25">
      <c r="N2069" s="23" t="s">
        <v>102</v>
      </c>
      <c r="O2069" s="30" t="s">
        <v>1085</v>
      </c>
      <c r="P2069" s="30" t="s">
        <v>1109</v>
      </c>
      <c r="Q2069" s="84" t="s">
        <v>2462</v>
      </c>
      <c r="S2069" t="b">
        <v>1</v>
      </c>
    </row>
    <row r="2070" spans="14:19" x14ac:dyDescent="0.25">
      <c r="N2070" s="23" t="s">
        <v>102</v>
      </c>
      <c r="O2070" s="30" t="s">
        <v>1085</v>
      </c>
      <c r="P2070" s="30" t="s">
        <v>1110</v>
      </c>
      <c r="Q2070" s="84" t="s">
        <v>2462</v>
      </c>
      <c r="S2070" t="b">
        <v>1</v>
      </c>
    </row>
    <row r="2071" spans="14:19" x14ac:dyDescent="0.25">
      <c r="N2071" s="23" t="s">
        <v>102</v>
      </c>
      <c r="O2071" s="30" t="s">
        <v>1085</v>
      </c>
      <c r="P2071" s="30" t="s">
        <v>1111</v>
      </c>
      <c r="Q2071" s="84" t="s">
        <v>2462</v>
      </c>
      <c r="S2071" t="b">
        <v>1</v>
      </c>
    </row>
    <row r="2072" spans="14:19" x14ac:dyDescent="0.25">
      <c r="N2072" s="23" t="s">
        <v>102</v>
      </c>
      <c r="O2072" s="30" t="s">
        <v>1085</v>
      </c>
      <c r="P2072" s="30" t="s">
        <v>1112</v>
      </c>
      <c r="Q2072" s="84" t="s">
        <v>2462</v>
      </c>
      <c r="S2072" t="b">
        <v>1</v>
      </c>
    </row>
    <row r="2073" spans="14:19" x14ac:dyDescent="0.25">
      <c r="N2073" s="23" t="s">
        <v>102</v>
      </c>
      <c r="O2073" s="30" t="s">
        <v>1085</v>
      </c>
      <c r="P2073" s="30" t="s">
        <v>1113</v>
      </c>
      <c r="Q2073" s="84" t="s">
        <v>2462</v>
      </c>
      <c r="S2073" t="b">
        <v>1</v>
      </c>
    </row>
    <row r="2074" spans="14:19" x14ac:dyDescent="0.25">
      <c r="N2074" s="23" t="s">
        <v>102</v>
      </c>
      <c r="O2074" s="30" t="s">
        <v>1085</v>
      </c>
      <c r="P2074" s="30" t="s">
        <v>1114</v>
      </c>
      <c r="Q2074" s="84" t="s">
        <v>2462</v>
      </c>
      <c r="S2074" t="b">
        <v>1</v>
      </c>
    </row>
    <row r="2075" spans="14:19" x14ac:dyDescent="0.25">
      <c r="N2075" s="23" t="s">
        <v>102</v>
      </c>
      <c r="O2075" s="30" t="s">
        <v>1085</v>
      </c>
      <c r="P2075" s="30" t="s">
        <v>1115</v>
      </c>
      <c r="Q2075" s="84" t="s">
        <v>2462</v>
      </c>
      <c r="S2075" t="b">
        <v>1</v>
      </c>
    </row>
    <row r="2076" spans="14:19" x14ac:dyDescent="0.25">
      <c r="N2076" s="23" t="s">
        <v>102</v>
      </c>
      <c r="O2076" s="30" t="s">
        <v>1085</v>
      </c>
      <c r="P2076" s="30" t="s">
        <v>1116</v>
      </c>
      <c r="Q2076" s="84" t="s">
        <v>2462</v>
      </c>
      <c r="S2076" t="b">
        <v>1</v>
      </c>
    </row>
    <row r="2077" spans="14:19" x14ac:dyDescent="0.25">
      <c r="N2077" s="23" t="s">
        <v>102</v>
      </c>
      <c r="O2077" s="30" t="s">
        <v>1085</v>
      </c>
      <c r="P2077" s="30" t="s">
        <v>1117</v>
      </c>
      <c r="Q2077" s="84" t="s">
        <v>2462</v>
      </c>
      <c r="S2077" t="b">
        <v>1</v>
      </c>
    </row>
    <row r="2078" spans="14:19" x14ac:dyDescent="0.25">
      <c r="N2078" s="23" t="s">
        <v>102</v>
      </c>
      <c r="O2078" s="30" t="s">
        <v>1085</v>
      </c>
      <c r="P2078" s="30" t="s">
        <v>1118</v>
      </c>
      <c r="Q2078" s="84" t="s">
        <v>2462</v>
      </c>
      <c r="S2078" t="b">
        <v>1</v>
      </c>
    </row>
    <row r="2079" spans="14:19" x14ac:dyDescent="0.25">
      <c r="N2079" s="23" t="s">
        <v>102</v>
      </c>
      <c r="O2079" s="30" t="s">
        <v>1085</v>
      </c>
      <c r="P2079" s="30" t="s">
        <v>1119</v>
      </c>
      <c r="Q2079" s="84" t="s">
        <v>2463</v>
      </c>
      <c r="S2079" t="b">
        <v>0</v>
      </c>
    </row>
    <row r="2080" spans="14:19" x14ac:dyDescent="0.25">
      <c r="N2080" s="23" t="s">
        <v>102</v>
      </c>
      <c r="O2080" s="30" t="s">
        <v>1085</v>
      </c>
      <c r="P2080" s="30" t="s">
        <v>1120</v>
      </c>
      <c r="Q2080" s="84" t="s">
        <v>2463</v>
      </c>
      <c r="S2080" t="b">
        <v>0</v>
      </c>
    </row>
    <row r="2081" spans="14:19" x14ac:dyDescent="0.25">
      <c r="N2081" s="23" t="s">
        <v>102</v>
      </c>
      <c r="O2081" s="30" t="s">
        <v>1085</v>
      </c>
      <c r="P2081" s="30" t="s">
        <v>1121</v>
      </c>
      <c r="Q2081" s="84" t="s">
        <v>2463</v>
      </c>
      <c r="S2081" t="b">
        <v>0</v>
      </c>
    </row>
    <row r="2082" spans="14:19" x14ac:dyDescent="0.25">
      <c r="N2082" s="23" t="s">
        <v>102</v>
      </c>
      <c r="O2082" s="30" t="s">
        <v>1085</v>
      </c>
      <c r="P2082" s="30" t="s">
        <v>1122</v>
      </c>
      <c r="Q2082" s="84" t="s">
        <v>2463</v>
      </c>
      <c r="S2082" t="b">
        <v>0</v>
      </c>
    </row>
    <row r="2083" spans="14:19" x14ac:dyDescent="0.25">
      <c r="N2083" s="23" t="s">
        <v>102</v>
      </c>
      <c r="O2083" s="30" t="s">
        <v>1085</v>
      </c>
      <c r="P2083" s="30" t="s">
        <v>1123</v>
      </c>
      <c r="Q2083" s="84" t="s">
        <v>2463</v>
      </c>
      <c r="S2083" t="b">
        <v>0</v>
      </c>
    </row>
    <row r="2084" spans="14:19" x14ac:dyDescent="0.25">
      <c r="N2084" s="23" t="s">
        <v>102</v>
      </c>
      <c r="O2084" s="30" t="s">
        <v>1085</v>
      </c>
      <c r="P2084" s="30" t="s">
        <v>1124</v>
      </c>
      <c r="Q2084" s="84" t="s">
        <v>2463</v>
      </c>
      <c r="S2084" t="b">
        <v>0</v>
      </c>
    </row>
    <row r="2085" spans="14:19" x14ac:dyDescent="0.25">
      <c r="N2085" s="23" t="s">
        <v>102</v>
      </c>
      <c r="O2085" s="30" t="s">
        <v>1085</v>
      </c>
      <c r="P2085" s="30" t="s">
        <v>1125</v>
      </c>
      <c r="Q2085" s="84" t="s">
        <v>2463</v>
      </c>
      <c r="S2085" t="b">
        <v>0</v>
      </c>
    </row>
    <row r="2086" spans="14:19" x14ac:dyDescent="0.25">
      <c r="N2086" s="23" t="s">
        <v>102</v>
      </c>
      <c r="O2086" s="30" t="s">
        <v>1085</v>
      </c>
      <c r="P2086" s="30" t="s">
        <v>1126</v>
      </c>
      <c r="Q2086" s="84" t="s">
        <v>2463</v>
      </c>
      <c r="S2086" t="b">
        <v>0</v>
      </c>
    </row>
    <row r="2087" spans="14:19" x14ac:dyDescent="0.25">
      <c r="N2087" s="23" t="s">
        <v>102</v>
      </c>
      <c r="O2087" s="30" t="s">
        <v>1085</v>
      </c>
      <c r="P2087" s="30" t="s">
        <v>1127</v>
      </c>
      <c r="Q2087" s="84" t="s">
        <v>2463</v>
      </c>
      <c r="S2087" t="b">
        <v>0</v>
      </c>
    </row>
    <row r="2088" spans="14:19" x14ac:dyDescent="0.25">
      <c r="N2088" s="23" t="s">
        <v>102</v>
      </c>
      <c r="O2088" s="30" t="s">
        <v>1085</v>
      </c>
      <c r="P2088" s="30" t="s">
        <v>1128</v>
      </c>
      <c r="Q2088" s="84" t="s">
        <v>2463</v>
      </c>
      <c r="S2088" t="b">
        <v>0</v>
      </c>
    </row>
    <row r="2089" spans="14:19" x14ac:dyDescent="0.25">
      <c r="N2089" s="23" t="s">
        <v>102</v>
      </c>
      <c r="O2089" s="30" t="s">
        <v>1085</v>
      </c>
      <c r="P2089" s="30" t="s">
        <v>1129</v>
      </c>
      <c r="Q2089" s="84" t="s">
        <v>2463</v>
      </c>
      <c r="S2089" t="b">
        <v>0</v>
      </c>
    </row>
    <row r="2090" spans="14:19" x14ac:dyDescent="0.25">
      <c r="N2090" s="23" t="s">
        <v>102</v>
      </c>
      <c r="O2090" s="30" t="s">
        <v>1085</v>
      </c>
      <c r="P2090" s="30" t="s">
        <v>1130</v>
      </c>
      <c r="Q2090" s="84" t="s">
        <v>2463</v>
      </c>
      <c r="S2090" t="b">
        <v>0</v>
      </c>
    </row>
    <row r="2091" spans="14:19" x14ac:dyDescent="0.25">
      <c r="N2091" s="23" t="s">
        <v>102</v>
      </c>
      <c r="O2091" s="30" t="s">
        <v>1085</v>
      </c>
      <c r="P2091" s="30" t="s">
        <v>1131</v>
      </c>
      <c r="Q2091" s="84" t="s">
        <v>2463</v>
      </c>
      <c r="S2091" t="b">
        <v>0</v>
      </c>
    </row>
    <row r="2092" spans="14:19" x14ac:dyDescent="0.25">
      <c r="N2092" s="23" t="s">
        <v>102</v>
      </c>
      <c r="O2092" s="30" t="s">
        <v>1085</v>
      </c>
      <c r="P2092" s="30" t="s">
        <v>1132</v>
      </c>
      <c r="Q2092" s="84" t="s">
        <v>2463</v>
      </c>
      <c r="S2092" t="b">
        <v>0</v>
      </c>
    </row>
    <row r="2093" spans="14:19" x14ac:dyDescent="0.25">
      <c r="N2093" s="23" t="s">
        <v>102</v>
      </c>
      <c r="O2093" s="30" t="s">
        <v>1085</v>
      </c>
      <c r="P2093" s="30" t="s">
        <v>1133</v>
      </c>
      <c r="Q2093" s="84" t="s">
        <v>2463</v>
      </c>
      <c r="S2093" t="b">
        <v>0</v>
      </c>
    </row>
    <row r="2094" spans="14:19" x14ac:dyDescent="0.25">
      <c r="N2094" s="23" t="s">
        <v>102</v>
      </c>
      <c r="O2094" s="30" t="s">
        <v>1085</v>
      </c>
      <c r="P2094" s="30" t="s">
        <v>1134</v>
      </c>
      <c r="Q2094" s="84" t="s">
        <v>2463</v>
      </c>
      <c r="S2094" t="b">
        <v>0</v>
      </c>
    </row>
    <row r="2095" spans="14:19" x14ac:dyDescent="0.25">
      <c r="N2095" s="23" t="s">
        <v>102</v>
      </c>
      <c r="O2095" s="30" t="s">
        <v>1085</v>
      </c>
      <c r="P2095" s="30" t="s">
        <v>1135</v>
      </c>
      <c r="Q2095" s="84" t="s">
        <v>2462</v>
      </c>
      <c r="S2095" t="b">
        <v>1</v>
      </c>
    </row>
    <row r="2096" spans="14:19" x14ac:dyDescent="0.25">
      <c r="N2096" s="23" t="s">
        <v>102</v>
      </c>
      <c r="O2096" s="30" t="s">
        <v>1085</v>
      </c>
      <c r="P2096" s="30" t="s">
        <v>1136</v>
      </c>
      <c r="Q2096" s="84" t="s">
        <v>2462</v>
      </c>
      <c r="S2096" t="b">
        <v>1</v>
      </c>
    </row>
    <row r="2097" spans="14:19" x14ac:dyDescent="0.25">
      <c r="N2097" s="23" t="s">
        <v>102</v>
      </c>
      <c r="O2097" s="30" t="s">
        <v>1137</v>
      </c>
      <c r="P2097" s="30" t="s">
        <v>1138</v>
      </c>
      <c r="Q2097" s="84" t="s">
        <v>2462</v>
      </c>
      <c r="S2097" t="b">
        <v>1</v>
      </c>
    </row>
    <row r="2098" spans="14:19" x14ac:dyDescent="0.25">
      <c r="N2098" s="23" t="s">
        <v>102</v>
      </c>
      <c r="O2098" s="30" t="s">
        <v>1137</v>
      </c>
      <c r="P2098" s="30" t="s">
        <v>1139</v>
      </c>
      <c r="Q2098" s="84" t="s">
        <v>2462</v>
      </c>
      <c r="S2098" t="b">
        <v>1</v>
      </c>
    </row>
    <row r="2099" spans="14:19" x14ac:dyDescent="0.25">
      <c r="N2099" s="23" t="s">
        <v>102</v>
      </c>
      <c r="O2099" s="30" t="s">
        <v>1137</v>
      </c>
      <c r="P2099" s="30" t="s">
        <v>1140</v>
      </c>
      <c r="Q2099" s="84" t="s">
        <v>2462</v>
      </c>
      <c r="S2099" t="b">
        <v>1</v>
      </c>
    </row>
    <row r="2100" spans="14:19" x14ac:dyDescent="0.25">
      <c r="N2100" s="23" t="s">
        <v>102</v>
      </c>
      <c r="O2100" s="30" t="s">
        <v>1137</v>
      </c>
      <c r="P2100" s="30" t="s">
        <v>1141</v>
      </c>
      <c r="Q2100" s="84" t="s">
        <v>2462</v>
      </c>
      <c r="S2100" t="b">
        <v>1</v>
      </c>
    </row>
    <row r="2101" spans="14:19" x14ac:dyDescent="0.25">
      <c r="N2101" s="23" t="s">
        <v>102</v>
      </c>
      <c r="O2101" s="30" t="s">
        <v>1137</v>
      </c>
      <c r="P2101" s="30" t="s">
        <v>1142</v>
      </c>
      <c r="Q2101" s="84" t="s">
        <v>2462</v>
      </c>
      <c r="S2101" t="b">
        <v>1</v>
      </c>
    </row>
    <row r="2102" spans="14:19" x14ac:dyDescent="0.25">
      <c r="N2102" s="23" t="s">
        <v>102</v>
      </c>
      <c r="O2102" s="30" t="s">
        <v>1137</v>
      </c>
      <c r="P2102" s="30" t="s">
        <v>1143</v>
      </c>
      <c r="Q2102" s="84" t="s">
        <v>2462</v>
      </c>
      <c r="S2102" t="b">
        <v>1</v>
      </c>
    </row>
    <row r="2103" spans="14:19" x14ac:dyDescent="0.25">
      <c r="N2103" s="23" t="s">
        <v>102</v>
      </c>
      <c r="O2103" s="30" t="s">
        <v>1137</v>
      </c>
      <c r="P2103" s="30" t="s">
        <v>1144</v>
      </c>
      <c r="Q2103" s="84" t="s">
        <v>2462</v>
      </c>
      <c r="S2103" t="b">
        <v>1</v>
      </c>
    </row>
    <row r="2104" spans="14:19" x14ac:dyDescent="0.25">
      <c r="N2104" s="23" t="s">
        <v>102</v>
      </c>
      <c r="O2104" s="30" t="s">
        <v>1137</v>
      </c>
      <c r="P2104" s="30" t="s">
        <v>1145</v>
      </c>
      <c r="Q2104" s="84" t="s">
        <v>2462</v>
      </c>
      <c r="S2104" t="b">
        <v>1</v>
      </c>
    </row>
    <row r="2105" spans="14:19" x14ac:dyDescent="0.25">
      <c r="N2105" s="23" t="s">
        <v>102</v>
      </c>
      <c r="O2105" s="30" t="s">
        <v>1137</v>
      </c>
      <c r="P2105" s="30" t="s">
        <v>1146</v>
      </c>
      <c r="Q2105" s="84" t="s">
        <v>2462</v>
      </c>
      <c r="S2105" t="b">
        <v>1</v>
      </c>
    </row>
    <row r="2106" spans="14:19" x14ac:dyDescent="0.25">
      <c r="N2106" s="23" t="s">
        <v>102</v>
      </c>
      <c r="O2106" s="30" t="s">
        <v>1137</v>
      </c>
      <c r="P2106" s="30" t="s">
        <v>1147</v>
      </c>
      <c r="Q2106" s="84" t="s">
        <v>2462</v>
      </c>
      <c r="S2106" t="b">
        <v>1</v>
      </c>
    </row>
    <row r="2107" spans="14:19" x14ac:dyDescent="0.25">
      <c r="N2107" s="23" t="s">
        <v>102</v>
      </c>
      <c r="O2107" s="30" t="s">
        <v>1137</v>
      </c>
      <c r="P2107" s="30" t="s">
        <v>1148</v>
      </c>
      <c r="Q2107" s="84" t="s">
        <v>2462</v>
      </c>
      <c r="S2107" t="b">
        <v>1</v>
      </c>
    </row>
    <row r="2108" spans="14:19" x14ac:dyDescent="0.25">
      <c r="N2108" s="23" t="s">
        <v>102</v>
      </c>
      <c r="O2108" s="30" t="s">
        <v>1137</v>
      </c>
      <c r="P2108" s="30" t="s">
        <v>1149</v>
      </c>
      <c r="Q2108" s="84" t="s">
        <v>2462</v>
      </c>
      <c r="S2108" t="b">
        <v>1</v>
      </c>
    </row>
    <row r="2109" spans="14:19" x14ac:dyDescent="0.25">
      <c r="N2109" s="23" t="s">
        <v>102</v>
      </c>
      <c r="O2109" s="30" t="s">
        <v>1137</v>
      </c>
      <c r="P2109" s="30" t="s">
        <v>1150</v>
      </c>
      <c r="Q2109" s="84" t="s">
        <v>2462</v>
      </c>
      <c r="S2109" t="b">
        <v>1</v>
      </c>
    </row>
    <row r="2110" spans="14:19" x14ac:dyDescent="0.25">
      <c r="N2110" s="23" t="s">
        <v>102</v>
      </c>
      <c r="O2110" s="30" t="s">
        <v>1137</v>
      </c>
      <c r="P2110" s="30" t="s">
        <v>1151</v>
      </c>
      <c r="Q2110" s="84" t="s">
        <v>2462</v>
      </c>
      <c r="S2110" t="b">
        <v>1</v>
      </c>
    </row>
    <row r="2111" spans="14:19" x14ac:dyDescent="0.25">
      <c r="N2111" s="23" t="s">
        <v>102</v>
      </c>
      <c r="O2111" s="30" t="s">
        <v>1137</v>
      </c>
      <c r="P2111" s="30" t="s">
        <v>1152</v>
      </c>
      <c r="Q2111" s="84" t="s">
        <v>2462</v>
      </c>
      <c r="S2111" t="b">
        <v>1</v>
      </c>
    </row>
    <row r="2112" spans="14:19" x14ac:dyDescent="0.25">
      <c r="N2112" s="23" t="s">
        <v>102</v>
      </c>
      <c r="O2112" s="30" t="s">
        <v>1137</v>
      </c>
      <c r="P2112" s="30" t="s">
        <v>1153</v>
      </c>
      <c r="Q2112" s="84" t="s">
        <v>2462</v>
      </c>
      <c r="S2112" t="b">
        <v>1</v>
      </c>
    </row>
    <row r="2113" spans="14:19" x14ac:dyDescent="0.25">
      <c r="N2113" s="23" t="s">
        <v>102</v>
      </c>
      <c r="O2113" s="30" t="s">
        <v>1137</v>
      </c>
      <c r="P2113" s="30" t="s">
        <v>1154</v>
      </c>
      <c r="Q2113" s="84" t="s">
        <v>2462</v>
      </c>
      <c r="S2113" t="b">
        <v>1</v>
      </c>
    </row>
    <row r="2114" spans="14:19" x14ac:dyDescent="0.25">
      <c r="N2114" s="23" t="s">
        <v>102</v>
      </c>
      <c r="O2114" s="30" t="s">
        <v>1137</v>
      </c>
      <c r="P2114" s="30" t="s">
        <v>1155</v>
      </c>
      <c r="Q2114" s="84" t="s">
        <v>2462</v>
      </c>
      <c r="S2114" t="b">
        <v>1</v>
      </c>
    </row>
    <row r="2115" spans="14:19" x14ac:dyDescent="0.25">
      <c r="N2115" s="23" t="s">
        <v>102</v>
      </c>
      <c r="O2115" s="30" t="s">
        <v>1137</v>
      </c>
      <c r="P2115" s="30" t="s">
        <v>1156</v>
      </c>
      <c r="Q2115" s="84" t="s">
        <v>2462</v>
      </c>
      <c r="S2115" t="b">
        <v>1</v>
      </c>
    </row>
    <row r="2116" spans="14:19" x14ac:dyDescent="0.25">
      <c r="N2116" s="23" t="s">
        <v>102</v>
      </c>
      <c r="O2116" s="30" t="s">
        <v>1137</v>
      </c>
      <c r="P2116" s="30" t="s">
        <v>1157</v>
      </c>
      <c r="Q2116" s="84" t="s">
        <v>2462</v>
      </c>
      <c r="S2116" t="b">
        <v>1</v>
      </c>
    </row>
    <row r="2117" spans="14:19" x14ac:dyDescent="0.25">
      <c r="N2117" s="23" t="s">
        <v>102</v>
      </c>
      <c r="O2117" s="30" t="s">
        <v>1137</v>
      </c>
      <c r="P2117" s="30" t="s">
        <v>1158</v>
      </c>
      <c r="Q2117" s="84" t="s">
        <v>2462</v>
      </c>
      <c r="S2117" t="b">
        <v>1</v>
      </c>
    </row>
    <row r="2118" spans="14:19" x14ac:dyDescent="0.25">
      <c r="N2118" s="23" t="s">
        <v>102</v>
      </c>
      <c r="O2118" s="30" t="s">
        <v>1137</v>
      </c>
      <c r="P2118" s="30" t="s">
        <v>1159</v>
      </c>
      <c r="Q2118" s="84" t="s">
        <v>2462</v>
      </c>
      <c r="S2118" t="b">
        <v>1</v>
      </c>
    </row>
    <row r="2119" spans="14:19" x14ac:dyDescent="0.25">
      <c r="N2119" s="23" t="s">
        <v>102</v>
      </c>
      <c r="O2119" s="30" t="s">
        <v>1137</v>
      </c>
      <c r="P2119" s="30" t="s">
        <v>1160</v>
      </c>
      <c r="Q2119" s="84" t="s">
        <v>2462</v>
      </c>
      <c r="S2119" t="b">
        <v>1</v>
      </c>
    </row>
    <row r="2120" spans="14:19" x14ac:dyDescent="0.25">
      <c r="N2120" s="23" t="s">
        <v>102</v>
      </c>
      <c r="O2120" s="30" t="s">
        <v>1137</v>
      </c>
      <c r="P2120" s="30" t="s">
        <v>1161</v>
      </c>
      <c r="Q2120" s="84" t="s">
        <v>2462</v>
      </c>
      <c r="S2120" t="b">
        <v>1</v>
      </c>
    </row>
    <row r="2121" spans="14:19" x14ac:dyDescent="0.25">
      <c r="N2121" s="23" t="s">
        <v>102</v>
      </c>
      <c r="O2121" s="30" t="s">
        <v>1137</v>
      </c>
      <c r="P2121" s="30" t="s">
        <v>1162</v>
      </c>
      <c r="Q2121" s="84" t="s">
        <v>2462</v>
      </c>
      <c r="S2121" t="b">
        <v>1</v>
      </c>
    </row>
    <row r="2122" spans="14:19" x14ac:dyDescent="0.25">
      <c r="N2122" s="23" t="s">
        <v>102</v>
      </c>
      <c r="O2122" s="30" t="s">
        <v>1137</v>
      </c>
      <c r="P2122" s="30" t="s">
        <v>1163</v>
      </c>
      <c r="Q2122" s="84" t="s">
        <v>2462</v>
      </c>
      <c r="S2122" t="b">
        <v>1</v>
      </c>
    </row>
    <row r="2123" spans="14:19" x14ac:dyDescent="0.25">
      <c r="N2123" s="23" t="s">
        <v>102</v>
      </c>
      <c r="O2123" s="30" t="s">
        <v>1137</v>
      </c>
      <c r="P2123" s="30" t="s">
        <v>1164</v>
      </c>
      <c r="Q2123" s="84" t="s">
        <v>2462</v>
      </c>
      <c r="S2123" t="b">
        <v>1</v>
      </c>
    </row>
    <row r="2124" spans="14:19" x14ac:dyDescent="0.25">
      <c r="N2124" s="23" t="s">
        <v>102</v>
      </c>
      <c r="O2124" s="30" t="s">
        <v>1137</v>
      </c>
      <c r="P2124" s="30" t="s">
        <v>1165</v>
      </c>
      <c r="Q2124" s="84" t="s">
        <v>2462</v>
      </c>
      <c r="S2124" t="b">
        <v>1</v>
      </c>
    </row>
    <row r="2125" spans="14:19" x14ac:dyDescent="0.25">
      <c r="N2125" s="23" t="s">
        <v>102</v>
      </c>
      <c r="O2125" s="30" t="s">
        <v>1137</v>
      </c>
      <c r="P2125" s="30" t="s">
        <v>1166</v>
      </c>
      <c r="Q2125" s="84" t="s">
        <v>2462</v>
      </c>
      <c r="S2125" t="b">
        <v>1</v>
      </c>
    </row>
    <row r="2126" spans="14:19" x14ac:dyDescent="0.25">
      <c r="N2126" s="23" t="s">
        <v>102</v>
      </c>
      <c r="O2126" s="30" t="s">
        <v>1137</v>
      </c>
      <c r="P2126" s="30" t="s">
        <v>1167</v>
      </c>
      <c r="Q2126" s="84" t="s">
        <v>2462</v>
      </c>
      <c r="S2126" t="b">
        <v>1</v>
      </c>
    </row>
    <row r="2127" spans="14:19" x14ac:dyDescent="0.25">
      <c r="N2127" s="23" t="s">
        <v>102</v>
      </c>
      <c r="O2127" s="30" t="s">
        <v>1137</v>
      </c>
      <c r="P2127" s="30" t="s">
        <v>1168</v>
      </c>
      <c r="Q2127" s="84" t="s">
        <v>2462</v>
      </c>
      <c r="S2127" t="b">
        <v>1</v>
      </c>
    </row>
    <row r="2128" spans="14:19" x14ac:dyDescent="0.25">
      <c r="N2128" s="23" t="s">
        <v>102</v>
      </c>
      <c r="O2128" s="30" t="s">
        <v>1137</v>
      </c>
      <c r="P2128" s="30" t="s">
        <v>1169</v>
      </c>
      <c r="Q2128" s="84" t="s">
        <v>2462</v>
      </c>
      <c r="S2128" t="b">
        <v>1</v>
      </c>
    </row>
    <row r="2129" spans="14:19" x14ac:dyDescent="0.25">
      <c r="N2129" s="23" t="s">
        <v>102</v>
      </c>
      <c r="O2129" s="30" t="s">
        <v>1137</v>
      </c>
      <c r="P2129" s="30" t="s">
        <v>1170</v>
      </c>
      <c r="Q2129" s="84" t="s">
        <v>2462</v>
      </c>
      <c r="S2129" t="b">
        <v>1</v>
      </c>
    </row>
    <row r="2130" spans="14:19" x14ac:dyDescent="0.25">
      <c r="N2130" s="23" t="s">
        <v>102</v>
      </c>
      <c r="O2130" s="30" t="s">
        <v>1137</v>
      </c>
      <c r="P2130" s="30" t="s">
        <v>1171</v>
      </c>
      <c r="Q2130" s="84" t="s">
        <v>2462</v>
      </c>
      <c r="S2130" t="b">
        <v>1</v>
      </c>
    </row>
    <row r="2131" spans="14:19" x14ac:dyDescent="0.25">
      <c r="N2131" s="23" t="s">
        <v>102</v>
      </c>
      <c r="O2131" s="30" t="s">
        <v>1137</v>
      </c>
      <c r="P2131" s="30" t="s">
        <v>1172</v>
      </c>
      <c r="Q2131" s="84" t="s">
        <v>2462</v>
      </c>
      <c r="S2131" t="b">
        <v>1</v>
      </c>
    </row>
    <row r="2132" spans="14:19" x14ac:dyDescent="0.25">
      <c r="N2132" s="23" t="s">
        <v>102</v>
      </c>
      <c r="O2132" s="30" t="s">
        <v>1137</v>
      </c>
      <c r="P2132" s="30" t="s">
        <v>1173</v>
      </c>
      <c r="Q2132" s="84" t="s">
        <v>2462</v>
      </c>
      <c r="S2132" t="b">
        <v>1</v>
      </c>
    </row>
    <row r="2133" spans="14:19" x14ac:dyDescent="0.25">
      <c r="N2133" s="23" t="s">
        <v>102</v>
      </c>
      <c r="O2133" s="30" t="s">
        <v>1137</v>
      </c>
      <c r="P2133" s="30" t="s">
        <v>1174</v>
      </c>
      <c r="Q2133" s="84" t="s">
        <v>2462</v>
      </c>
      <c r="S2133" t="b">
        <v>1</v>
      </c>
    </row>
    <row r="2134" spans="14:19" x14ac:dyDescent="0.25">
      <c r="N2134" s="23" t="s">
        <v>102</v>
      </c>
      <c r="O2134" s="30" t="s">
        <v>1137</v>
      </c>
      <c r="P2134" s="30" t="s">
        <v>1175</v>
      </c>
      <c r="Q2134" s="84" t="s">
        <v>2462</v>
      </c>
      <c r="S2134" t="b">
        <v>1</v>
      </c>
    </row>
    <row r="2135" spans="14:19" x14ac:dyDescent="0.25">
      <c r="N2135" s="23" t="s">
        <v>102</v>
      </c>
      <c r="O2135" s="30" t="s">
        <v>1137</v>
      </c>
      <c r="P2135" s="30" t="s">
        <v>1176</v>
      </c>
      <c r="Q2135" s="84" t="s">
        <v>2462</v>
      </c>
      <c r="S2135" t="b">
        <v>1</v>
      </c>
    </row>
    <row r="2136" spans="14:19" x14ac:dyDescent="0.25">
      <c r="N2136" s="23" t="s">
        <v>102</v>
      </c>
      <c r="O2136" s="30" t="s">
        <v>1137</v>
      </c>
      <c r="P2136" s="30" t="s">
        <v>1177</v>
      </c>
      <c r="Q2136" s="84" t="s">
        <v>2462</v>
      </c>
      <c r="S2136" t="b">
        <v>1</v>
      </c>
    </row>
    <row r="2137" spans="14:19" x14ac:dyDescent="0.25">
      <c r="N2137" s="23" t="s">
        <v>102</v>
      </c>
      <c r="O2137" s="30" t="s">
        <v>1137</v>
      </c>
      <c r="P2137" s="30" t="s">
        <v>1178</v>
      </c>
      <c r="Q2137" s="84" t="s">
        <v>2462</v>
      </c>
      <c r="S2137" t="b">
        <v>1</v>
      </c>
    </row>
    <row r="2138" spans="14:19" x14ac:dyDescent="0.25">
      <c r="N2138" s="23" t="s">
        <v>102</v>
      </c>
      <c r="O2138" s="30" t="s">
        <v>1137</v>
      </c>
      <c r="P2138" s="30" t="s">
        <v>1179</v>
      </c>
      <c r="Q2138" s="84" t="s">
        <v>2462</v>
      </c>
      <c r="S2138" t="b">
        <v>1</v>
      </c>
    </row>
    <row r="2139" spans="14:19" x14ac:dyDescent="0.25">
      <c r="N2139" s="23" t="s">
        <v>102</v>
      </c>
      <c r="O2139" s="30" t="s">
        <v>1137</v>
      </c>
      <c r="P2139" s="30" t="s">
        <v>1180</v>
      </c>
      <c r="Q2139" s="84" t="s">
        <v>2462</v>
      </c>
      <c r="S2139" t="b">
        <v>1</v>
      </c>
    </row>
    <row r="2140" spans="14:19" x14ac:dyDescent="0.25">
      <c r="N2140" s="23" t="s">
        <v>102</v>
      </c>
      <c r="O2140" s="30" t="s">
        <v>1137</v>
      </c>
      <c r="P2140" s="30" t="s">
        <v>1181</v>
      </c>
      <c r="Q2140" s="84" t="s">
        <v>2462</v>
      </c>
      <c r="S2140" t="b">
        <v>1</v>
      </c>
    </row>
    <row r="2141" spans="14:19" x14ac:dyDescent="0.25">
      <c r="N2141" s="23" t="s">
        <v>102</v>
      </c>
      <c r="O2141" s="30" t="s">
        <v>1137</v>
      </c>
      <c r="P2141" s="30" t="s">
        <v>1182</v>
      </c>
      <c r="Q2141" s="84" t="s">
        <v>2462</v>
      </c>
      <c r="S2141" t="b">
        <v>1</v>
      </c>
    </row>
    <row r="2142" spans="14:19" x14ac:dyDescent="0.25">
      <c r="N2142" s="23" t="s">
        <v>102</v>
      </c>
      <c r="O2142" s="30" t="s">
        <v>1137</v>
      </c>
      <c r="P2142" s="30" t="s">
        <v>1183</v>
      </c>
      <c r="Q2142" s="84" t="s">
        <v>2462</v>
      </c>
      <c r="S2142" t="b">
        <v>1</v>
      </c>
    </row>
    <row r="2143" spans="14:19" x14ac:dyDescent="0.25">
      <c r="N2143" s="23" t="s">
        <v>102</v>
      </c>
      <c r="O2143" s="30" t="s">
        <v>1137</v>
      </c>
      <c r="P2143" s="30" t="s">
        <v>1184</v>
      </c>
      <c r="Q2143" s="84" t="s">
        <v>2462</v>
      </c>
      <c r="S2143" t="b">
        <v>1</v>
      </c>
    </row>
    <row r="2144" spans="14:19" x14ac:dyDescent="0.25">
      <c r="N2144" s="23" t="s">
        <v>102</v>
      </c>
      <c r="O2144" s="30" t="s">
        <v>1137</v>
      </c>
      <c r="P2144" s="30" t="s">
        <v>1185</v>
      </c>
      <c r="Q2144" s="84" t="s">
        <v>2462</v>
      </c>
      <c r="S2144" t="b">
        <v>1</v>
      </c>
    </row>
    <row r="2145" spans="14:19" x14ac:dyDescent="0.25">
      <c r="N2145" s="23" t="s">
        <v>102</v>
      </c>
      <c r="O2145" s="30" t="s">
        <v>1137</v>
      </c>
      <c r="P2145" s="30" t="s">
        <v>1186</v>
      </c>
      <c r="Q2145" s="84" t="s">
        <v>2462</v>
      </c>
      <c r="S2145" t="b">
        <v>1</v>
      </c>
    </row>
    <row r="2146" spans="14:19" x14ac:dyDescent="0.25">
      <c r="N2146" s="23" t="s">
        <v>102</v>
      </c>
      <c r="O2146" s="30" t="s">
        <v>1137</v>
      </c>
      <c r="P2146" s="30" t="s">
        <v>1187</v>
      </c>
      <c r="Q2146" s="84" t="s">
        <v>2462</v>
      </c>
      <c r="S2146" t="b">
        <v>1</v>
      </c>
    </row>
    <row r="2147" spans="14:19" x14ac:dyDescent="0.25">
      <c r="N2147" s="23" t="s">
        <v>102</v>
      </c>
      <c r="O2147" s="30" t="s">
        <v>1137</v>
      </c>
      <c r="P2147" s="30" t="s">
        <v>1188</v>
      </c>
      <c r="Q2147" s="84" t="s">
        <v>2462</v>
      </c>
      <c r="S2147" t="b">
        <v>1</v>
      </c>
    </row>
    <row r="2148" spans="14:19" x14ac:dyDescent="0.25">
      <c r="N2148" s="23" t="s">
        <v>102</v>
      </c>
      <c r="O2148" s="30" t="s">
        <v>1137</v>
      </c>
      <c r="P2148" s="30" t="s">
        <v>1189</v>
      </c>
      <c r="Q2148" s="84" t="s">
        <v>2462</v>
      </c>
      <c r="S2148" t="b">
        <v>1</v>
      </c>
    </row>
    <row r="2149" spans="14:19" x14ac:dyDescent="0.25">
      <c r="N2149" s="23" t="s">
        <v>102</v>
      </c>
      <c r="O2149" s="30" t="s">
        <v>1137</v>
      </c>
      <c r="P2149" s="30" t="s">
        <v>1190</v>
      </c>
      <c r="Q2149" s="84" t="s">
        <v>2462</v>
      </c>
      <c r="S2149" t="b">
        <v>1</v>
      </c>
    </row>
    <row r="2150" spans="14:19" x14ac:dyDescent="0.25">
      <c r="N2150" s="23" t="s">
        <v>102</v>
      </c>
      <c r="O2150" s="30" t="s">
        <v>1137</v>
      </c>
      <c r="P2150" s="30" t="s">
        <v>1191</v>
      </c>
      <c r="Q2150" s="84" t="s">
        <v>2462</v>
      </c>
      <c r="S2150" t="b">
        <v>1</v>
      </c>
    </row>
    <row r="2151" spans="14:19" x14ac:dyDescent="0.25">
      <c r="N2151" s="23" t="s">
        <v>102</v>
      </c>
      <c r="O2151" s="30" t="s">
        <v>1137</v>
      </c>
      <c r="P2151" s="30" t="s">
        <v>1192</v>
      </c>
      <c r="Q2151" s="84" t="s">
        <v>2463</v>
      </c>
      <c r="S2151" t="b">
        <v>0</v>
      </c>
    </row>
    <row r="2152" spans="14:19" x14ac:dyDescent="0.25">
      <c r="N2152" s="23" t="s">
        <v>102</v>
      </c>
      <c r="O2152" s="30" t="s">
        <v>1137</v>
      </c>
      <c r="P2152" s="30" t="s">
        <v>1193</v>
      </c>
      <c r="Q2152" s="84" t="s">
        <v>2463</v>
      </c>
      <c r="S2152" t="b">
        <v>0</v>
      </c>
    </row>
    <row r="2153" spans="14:19" x14ac:dyDescent="0.25">
      <c r="N2153" s="23" t="s">
        <v>102</v>
      </c>
      <c r="O2153" s="30" t="s">
        <v>1137</v>
      </c>
      <c r="P2153" s="30" t="s">
        <v>1194</v>
      </c>
      <c r="Q2153" s="84" t="s">
        <v>2463</v>
      </c>
      <c r="S2153" t="b">
        <v>0</v>
      </c>
    </row>
    <row r="2154" spans="14:19" x14ac:dyDescent="0.25">
      <c r="N2154" s="23" t="s">
        <v>102</v>
      </c>
      <c r="O2154" s="30" t="s">
        <v>1137</v>
      </c>
      <c r="P2154" s="30" t="s">
        <v>1195</v>
      </c>
      <c r="Q2154" s="84" t="s">
        <v>2463</v>
      </c>
      <c r="S2154" t="b">
        <v>0</v>
      </c>
    </row>
    <row r="2155" spans="14:19" x14ac:dyDescent="0.25">
      <c r="N2155" s="23" t="s">
        <v>102</v>
      </c>
      <c r="O2155" s="30" t="s">
        <v>1137</v>
      </c>
      <c r="P2155" s="30" t="s">
        <v>1196</v>
      </c>
      <c r="Q2155" s="84" t="s">
        <v>2463</v>
      </c>
      <c r="S2155" t="b">
        <v>0</v>
      </c>
    </row>
    <row r="2156" spans="14:19" x14ac:dyDescent="0.25">
      <c r="N2156" s="23" t="s">
        <v>102</v>
      </c>
      <c r="O2156" s="30" t="s">
        <v>1137</v>
      </c>
      <c r="P2156" s="30" t="s">
        <v>1197</v>
      </c>
      <c r="Q2156" s="84" t="s">
        <v>2463</v>
      </c>
      <c r="S2156" t="b">
        <v>0</v>
      </c>
    </row>
    <row r="2157" spans="14:19" x14ac:dyDescent="0.25">
      <c r="N2157" s="23" t="s">
        <v>102</v>
      </c>
      <c r="O2157" s="30" t="s">
        <v>1137</v>
      </c>
      <c r="P2157" s="30" t="s">
        <v>1198</v>
      </c>
      <c r="Q2157" s="84" t="s">
        <v>2463</v>
      </c>
      <c r="S2157" t="b">
        <v>0</v>
      </c>
    </row>
    <row r="2158" spans="14:19" x14ac:dyDescent="0.25">
      <c r="N2158" s="23" t="s">
        <v>102</v>
      </c>
      <c r="O2158" s="30" t="s">
        <v>1137</v>
      </c>
      <c r="P2158" s="30" t="s">
        <v>1199</v>
      </c>
      <c r="Q2158" s="84" t="s">
        <v>2463</v>
      </c>
      <c r="S2158" t="b">
        <v>0</v>
      </c>
    </row>
    <row r="2159" spans="14:19" x14ac:dyDescent="0.25">
      <c r="N2159" s="23" t="s">
        <v>102</v>
      </c>
      <c r="O2159" s="30" t="s">
        <v>1137</v>
      </c>
      <c r="P2159" s="30" t="s">
        <v>1200</v>
      </c>
      <c r="Q2159" s="84" t="s">
        <v>2463</v>
      </c>
      <c r="S2159" t="b">
        <v>0</v>
      </c>
    </row>
    <row r="2160" spans="14:19" x14ac:dyDescent="0.25">
      <c r="N2160" s="23" t="s">
        <v>102</v>
      </c>
      <c r="O2160" s="30" t="s">
        <v>1137</v>
      </c>
      <c r="P2160" s="30" t="s">
        <v>1201</v>
      </c>
      <c r="Q2160" s="84" t="s">
        <v>2463</v>
      </c>
      <c r="S2160" t="b">
        <v>0</v>
      </c>
    </row>
    <row r="2161" spans="14:19" x14ac:dyDescent="0.25">
      <c r="N2161" s="23" t="s">
        <v>102</v>
      </c>
      <c r="O2161" s="30" t="s">
        <v>1137</v>
      </c>
      <c r="P2161" s="30" t="s">
        <v>1202</v>
      </c>
      <c r="Q2161" s="84" t="s">
        <v>2463</v>
      </c>
      <c r="S2161" t="b">
        <v>0</v>
      </c>
    </row>
    <row r="2162" spans="14:19" x14ac:dyDescent="0.25">
      <c r="N2162" s="23" t="s">
        <v>102</v>
      </c>
      <c r="O2162" s="30" t="s">
        <v>1137</v>
      </c>
      <c r="P2162" s="30" t="s">
        <v>1203</v>
      </c>
      <c r="Q2162" s="84" t="s">
        <v>2463</v>
      </c>
      <c r="S2162" t="b">
        <v>0</v>
      </c>
    </row>
    <row r="2163" spans="14:19" x14ac:dyDescent="0.25">
      <c r="N2163" s="23" t="s">
        <v>102</v>
      </c>
      <c r="O2163" s="30" t="s">
        <v>1137</v>
      </c>
      <c r="P2163" s="30" t="s">
        <v>1204</v>
      </c>
      <c r="Q2163" s="84" t="s">
        <v>2463</v>
      </c>
      <c r="S2163" t="b">
        <v>0</v>
      </c>
    </row>
    <row r="2164" spans="14:19" x14ac:dyDescent="0.25">
      <c r="N2164" s="23" t="s">
        <v>102</v>
      </c>
      <c r="O2164" s="30" t="s">
        <v>1137</v>
      </c>
      <c r="P2164" s="30" t="s">
        <v>1205</v>
      </c>
      <c r="Q2164" s="84" t="s">
        <v>2463</v>
      </c>
      <c r="S2164" t="b">
        <v>0</v>
      </c>
    </row>
    <row r="2165" spans="14:19" x14ac:dyDescent="0.25">
      <c r="N2165" s="23" t="s">
        <v>102</v>
      </c>
      <c r="O2165" s="30" t="s">
        <v>1137</v>
      </c>
      <c r="P2165" s="30" t="s">
        <v>1206</v>
      </c>
      <c r="Q2165" s="84" t="s">
        <v>2463</v>
      </c>
      <c r="S2165" t="b">
        <v>0</v>
      </c>
    </row>
    <row r="2166" spans="14:19" x14ac:dyDescent="0.25">
      <c r="N2166" s="23" t="s">
        <v>102</v>
      </c>
      <c r="O2166" s="30" t="s">
        <v>1137</v>
      </c>
      <c r="P2166" s="30" t="s">
        <v>1207</v>
      </c>
      <c r="Q2166" s="84" t="s">
        <v>2463</v>
      </c>
      <c r="S2166" t="b">
        <v>0</v>
      </c>
    </row>
    <row r="2167" spans="14:19" x14ac:dyDescent="0.25">
      <c r="N2167" s="23" t="s">
        <v>102</v>
      </c>
      <c r="O2167" s="30" t="s">
        <v>1137</v>
      </c>
      <c r="P2167" s="30" t="s">
        <v>1208</v>
      </c>
      <c r="Q2167" s="84" t="s">
        <v>2463</v>
      </c>
      <c r="S2167" t="b">
        <v>0</v>
      </c>
    </row>
    <row r="2168" spans="14:19" x14ac:dyDescent="0.25">
      <c r="N2168" s="23" t="s">
        <v>102</v>
      </c>
      <c r="O2168" s="30" t="s">
        <v>1137</v>
      </c>
      <c r="P2168" s="30" t="s">
        <v>1209</v>
      </c>
      <c r="Q2168" s="84" t="s">
        <v>2463</v>
      </c>
      <c r="S2168" t="b">
        <v>0</v>
      </c>
    </row>
    <row r="2169" spans="14:19" x14ac:dyDescent="0.25">
      <c r="N2169" s="23" t="s">
        <v>102</v>
      </c>
      <c r="O2169" s="30" t="s">
        <v>1137</v>
      </c>
      <c r="P2169" s="30" t="s">
        <v>1210</v>
      </c>
      <c r="Q2169" s="84" t="s">
        <v>2463</v>
      </c>
      <c r="S2169" t="b">
        <v>0</v>
      </c>
    </row>
    <row r="2170" spans="14:19" x14ac:dyDescent="0.25">
      <c r="N2170" s="23" t="s">
        <v>102</v>
      </c>
      <c r="O2170" s="30" t="s">
        <v>1137</v>
      </c>
      <c r="P2170" s="30" t="s">
        <v>1211</v>
      </c>
      <c r="Q2170" s="84" t="s">
        <v>2463</v>
      </c>
      <c r="S2170" t="b">
        <v>0</v>
      </c>
    </row>
    <row r="2171" spans="14:19" x14ac:dyDescent="0.25">
      <c r="N2171" s="23" t="s">
        <v>102</v>
      </c>
      <c r="O2171" s="30" t="s">
        <v>1137</v>
      </c>
      <c r="P2171" s="30" t="s">
        <v>1212</v>
      </c>
      <c r="Q2171" s="84" t="s">
        <v>2463</v>
      </c>
      <c r="S2171" t="b">
        <v>0</v>
      </c>
    </row>
    <row r="2172" spans="14:19" x14ac:dyDescent="0.25">
      <c r="N2172" s="23" t="s">
        <v>102</v>
      </c>
      <c r="O2172" s="30" t="s">
        <v>1137</v>
      </c>
      <c r="P2172" s="30" t="s">
        <v>1213</v>
      </c>
      <c r="Q2172" s="84" t="s">
        <v>2463</v>
      </c>
      <c r="S2172" t="b">
        <v>0</v>
      </c>
    </row>
    <row r="2173" spans="14:19" x14ac:dyDescent="0.25">
      <c r="N2173" s="23" t="s">
        <v>102</v>
      </c>
      <c r="O2173" s="30" t="s">
        <v>1214</v>
      </c>
      <c r="P2173" s="30" t="s">
        <v>1215</v>
      </c>
      <c r="Q2173" s="84" t="s">
        <v>2462</v>
      </c>
      <c r="S2173" t="b">
        <v>1</v>
      </c>
    </row>
    <row r="2174" spans="14:19" x14ac:dyDescent="0.25">
      <c r="N2174" s="23" t="s">
        <v>102</v>
      </c>
      <c r="O2174" s="30" t="s">
        <v>1214</v>
      </c>
      <c r="P2174" s="30" t="s">
        <v>1216</v>
      </c>
      <c r="Q2174" s="84" t="s">
        <v>2462</v>
      </c>
      <c r="S2174" t="b">
        <v>1</v>
      </c>
    </row>
    <row r="2175" spans="14:19" x14ac:dyDescent="0.25">
      <c r="N2175" s="23" t="s">
        <v>102</v>
      </c>
      <c r="O2175" s="30" t="s">
        <v>1214</v>
      </c>
      <c r="P2175" s="30" t="s">
        <v>1217</v>
      </c>
      <c r="Q2175" s="84" t="s">
        <v>2462</v>
      </c>
      <c r="S2175" t="b">
        <v>1</v>
      </c>
    </row>
    <row r="2176" spans="14:19" x14ac:dyDescent="0.25">
      <c r="N2176" s="23" t="s">
        <v>102</v>
      </c>
      <c r="O2176" s="30" t="s">
        <v>1214</v>
      </c>
      <c r="P2176" s="30" t="s">
        <v>1218</v>
      </c>
      <c r="Q2176" s="84" t="s">
        <v>2462</v>
      </c>
      <c r="S2176" t="b">
        <v>1</v>
      </c>
    </row>
    <row r="2177" spans="14:19" x14ac:dyDescent="0.25">
      <c r="N2177" s="23" t="s">
        <v>102</v>
      </c>
      <c r="O2177" s="30" t="s">
        <v>1214</v>
      </c>
      <c r="P2177" s="30" t="s">
        <v>1219</v>
      </c>
      <c r="Q2177" s="84" t="s">
        <v>2462</v>
      </c>
      <c r="S2177" t="b">
        <v>1</v>
      </c>
    </row>
    <row r="2178" spans="14:19" x14ac:dyDescent="0.25">
      <c r="N2178" s="23" t="s">
        <v>102</v>
      </c>
      <c r="O2178" s="30" t="s">
        <v>1214</v>
      </c>
      <c r="P2178" s="30" t="s">
        <v>1220</v>
      </c>
      <c r="Q2178" s="84" t="s">
        <v>2462</v>
      </c>
      <c r="S2178" t="b">
        <v>1</v>
      </c>
    </row>
    <row r="2179" spans="14:19" x14ac:dyDescent="0.25">
      <c r="N2179" s="23" t="s">
        <v>102</v>
      </c>
      <c r="O2179" s="30" t="s">
        <v>1214</v>
      </c>
      <c r="P2179" s="30" t="s">
        <v>1221</v>
      </c>
      <c r="Q2179" s="84" t="s">
        <v>2462</v>
      </c>
      <c r="S2179" t="b">
        <v>1</v>
      </c>
    </row>
    <row r="2180" spans="14:19" x14ac:dyDescent="0.25">
      <c r="N2180" s="23" t="s">
        <v>102</v>
      </c>
      <c r="O2180" s="30" t="s">
        <v>1214</v>
      </c>
      <c r="P2180" s="30" t="s">
        <v>1222</v>
      </c>
      <c r="Q2180" s="84" t="s">
        <v>2462</v>
      </c>
      <c r="S2180" t="b">
        <v>1</v>
      </c>
    </row>
    <row r="2181" spans="14:19" x14ac:dyDescent="0.25">
      <c r="N2181" s="23" t="s">
        <v>102</v>
      </c>
      <c r="O2181" s="30" t="s">
        <v>1214</v>
      </c>
      <c r="P2181" s="30" t="s">
        <v>1223</v>
      </c>
      <c r="Q2181" s="84" t="s">
        <v>2462</v>
      </c>
      <c r="S2181" t="b">
        <v>1</v>
      </c>
    </row>
    <row r="2182" spans="14:19" x14ac:dyDescent="0.25">
      <c r="N2182" s="23" t="s">
        <v>102</v>
      </c>
      <c r="O2182" s="30" t="s">
        <v>1214</v>
      </c>
      <c r="P2182" s="30" t="s">
        <v>1224</v>
      </c>
      <c r="Q2182" s="84" t="s">
        <v>2462</v>
      </c>
      <c r="S2182" t="b">
        <v>1</v>
      </c>
    </row>
    <row r="2183" spans="14:19" x14ac:dyDescent="0.25">
      <c r="N2183" s="23" t="s">
        <v>102</v>
      </c>
      <c r="O2183" s="30" t="s">
        <v>1214</v>
      </c>
      <c r="P2183" s="30" t="s">
        <v>1225</v>
      </c>
      <c r="Q2183" s="84" t="s">
        <v>2462</v>
      </c>
      <c r="S2183" t="b">
        <v>1</v>
      </c>
    </row>
    <row r="2184" spans="14:19" x14ac:dyDescent="0.25">
      <c r="N2184" s="23" t="s">
        <v>102</v>
      </c>
      <c r="O2184" s="30" t="s">
        <v>1214</v>
      </c>
      <c r="P2184" s="30" t="s">
        <v>1226</v>
      </c>
      <c r="Q2184" s="84" t="s">
        <v>2462</v>
      </c>
      <c r="S2184" t="b">
        <v>1</v>
      </c>
    </row>
    <row r="2185" spans="14:19" x14ac:dyDescent="0.25">
      <c r="N2185" s="23" t="s">
        <v>102</v>
      </c>
      <c r="O2185" s="30" t="s">
        <v>1214</v>
      </c>
      <c r="P2185" s="30" t="s">
        <v>1227</v>
      </c>
      <c r="Q2185" s="84" t="s">
        <v>2462</v>
      </c>
      <c r="S2185" t="b">
        <v>1</v>
      </c>
    </row>
    <row r="2186" spans="14:19" x14ac:dyDescent="0.25">
      <c r="N2186" s="23" t="s">
        <v>102</v>
      </c>
      <c r="O2186" s="30" t="s">
        <v>1214</v>
      </c>
      <c r="P2186" s="30" t="s">
        <v>1228</v>
      </c>
      <c r="Q2186" s="84" t="s">
        <v>2462</v>
      </c>
      <c r="S2186" t="b">
        <v>1</v>
      </c>
    </row>
    <row r="2187" spans="14:19" x14ac:dyDescent="0.25">
      <c r="N2187" s="23" t="s">
        <v>102</v>
      </c>
      <c r="O2187" s="30" t="s">
        <v>1214</v>
      </c>
      <c r="P2187" s="30" t="s">
        <v>1229</v>
      </c>
      <c r="Q2187" s="84" t="s">
        <v>2462</v>
      </c>
      <c r="S2187" t="b">
        <v>1</v>
      </c>
    </row>
    <row r="2188" spans="14:19" x14ac:dyDescent="0.25">
      <c r="N2188" s="23" t="s">
        <v>102</v>
      </c>
      <c r="O2188" s="30" t="s">
        <v>1214</v>
      </c>
      <c r="P2188" s="30" t="s">
        <v>1230</v>
      </c>
      <c r="Q2188" s="84" t="s">
        <v>2462</v>
      </c>
      <c r="S2188" t="b">
        <v>1</v>
      </c>
    </row>
    <row r="2189" spans="14:19" x14ac:dyDescent="0.25">
      <c r="N2189" s="23" t="s">
        <v>102</v>
      </c>
      <c r="O2189" s="30" t="s">
        <v>1214</v>
      </c>
      <c r="P2189" s="30" t="s">
        <v>1231</v>
      </c>
      <c r="Q2189" s="84" t="s">
        <v>2462</v>
      </c>
      <c r="S2189" t="b">
        <v>1</v>
      </c>
    </row>
    <row r="2190" spans="14:19" x14ac:dyDescent="0.25">
      <c r="N2190" s="23" t="s">
        <v>102</v>
      </c>
      <c r="O2190" s="30" t="s">
        <v>1214</v>
      </c>
      <c r="P2190" s="30" t="s">
        <v>1232</v>
      </c>
      <c r="Q2190" s="84" t="s">
        <v>2462</v>
      </c>
      <c r="S2190" t="b">
        <v>1</v>
      </c>
    </row>
    <row r="2191" spans="14:19" x14ac:dyDescent="0.25">
      <c r="N2191" s="23" t="s">
        <v>102</v>
      </c>
      <c r="O2191" s="30" t="s">
        <v>1214</v>
      </c>
      <c r="P2191" s="30" t="s">
        <v>1233</v>
      </c>
      <c r="Q2191" s="84" t="s">
        <v>2462</v>
      </c>
      <c r="S2191" t="b">
        <v>1</v>
      </c>
    </row>
    <row r="2192" spans="14:19" x14ac:dyDescent="0.25">
      <c r="N2192" s="23" t="s">
        <v>102</v>
      </c>
      <c r="O2192" s="30" t="s">
        <v>1214</v>
      </c>
      <c r="P2192" s="30" t="s">
        <v>1234</v>
      </c>
      <c r="Q2192" s="84" t="s">
        <v>2462</v>
      </c>
      <c r="S2192" t="b">
        <v>1</v>
      </c>
    </row>
    <row r="2193" spans="14:19" x14ac:dyDescent="0.25">
      <c r="N2193" s="23" t="s">
        <v>102</v>
      </c>
      <c r="O2193" s="30" t="s">
        <v>1214</v>
      </c>
      <c r="P2193" s="30" t="s">
        <v>1235</v>
      </c>
      <c r="Q2193" s="84" t="s">
        <v>2462</v>
      </c>
      <c r="S2193" t="b">
        <v>1</v>
      </c>
    </row>
    <row r="2194" spans="14:19" x14ac:dyDescent="0.25">
      <c r="N2194" s="23" t="s">
        <v>102</v>
      </c>
      <c r="O2194" s="30" t="s">
        <v>1214</v>
      </c>
      <c r="P2194" s="30" t="s">
        <v>1236</v>
      </c>
      <c r="Q2194" s="84" t="s">
        <v>2462</v>
      </c>
      <c r="S2194" t="b">
        <v>1</v>
      </c>
    </row>
    <row r="2195" spans="14:19" x14ac:dyDescent="0.25">
      <c r="N2195" s="23" t="s">
        <v>102</v>
      </c>
      <c r="O2195" s="30" t="s">
        <v>1214</v>
      </c>
      <c r="P2195" s="30" t="s">
        <v>1237</v>
      </c>
      <c r="Q2195" s="84" t="s">
        <v>2462</v>
      </c>
      <c r="S2195" t="b">
        <v>1</v>
      </c>
    </row>
    <row r="2196" spans="14:19" x14ac:dyDescent="0.25">
      <c r="N2196" s="23" t="s">
        <v>102</v>
      </c>
      <c r="O2196" s="30" t="s">
        <v>1214</v>
      </c>
      <c r="P2196" s="30" t="s">
        <v>1238</v>
      </c>
      <c r="Q2196" s="84" t="s">
        <v>2462</v>
      </c>
      <c r="S2196" t="b">
        <v>1</v>
      </c>
    </row>
    <row r="2197" spans="14:19" x14ac:dyDescent="0.25">
      <c r="N2197" s="23" t="s">
        <v>102</v>
      </c>
      <c r="O2197" s="30" t="s">
        <v>1214</v>
      </c>
      <c r="P2197" s="30" t="s">
        <v>1239</v>
      </c>
      <c r="Q2197" s="84" t="s">
        <v>2462</v>
      </c>
      <c r="S2197" t="b">
        <v>1</v>
      </c>
    </row>
    <row r="2198" spans="14:19" x14ac:dyDescent="0.25">
      <c r="N2198" s="23" t="s">
        <v>102</v>
      </c>
      <c r="O2198" s="30" t="s">
        <v>1214</v>
      </c>
      <c r="P2198" s="30" t="s">
        <v>1240</v>
      </c>
      <c r="Q2198" s="84" t="s">
        <v>2462</v>
      </c>
      <c r="S2198" t="b">
        <v>1</v>
      </c>
    </row>
    <row r="2199" spans="14:19" x14ac:dyDescent="0.25">
      <c r="N2199" s="23" t="s">
        <v>102</v>
      </c>
      <c r="O2199" s="30" t="s">
        <v>1214</v>
      </c>
      <c r="P2199" s="30" t="s">
        <v>1241</v>
      </c>
      <c r="Q2199" s="84" t="s">
        <v>2462</v>
      </c>
      <c r="S2199" t="b">
        <v>1</v>
      </c>
    </row>
    <row r="2200" spans="14:19" x14ac:dyDescent="0.25">
      <c r="N2200" s="23" t="s">
        <v>102</v>
      </c>
      <c r="O2200" s="30" t="s">
        <v>1214</v>
      </c>
      <c r="P2200" s="30" t="s">
        <v>1242</v>
      </c>
      <c r="Q2200" s="84" t="s">
        <v>2462</v>
      </c>
      <c r="S2200" t="b">
        <v>1</v>
      </c>
    </row>
    <row r="2201" spans="14:19" x14ac:dyDescent="0.25">
      <c r="N2201" s="23" t="s">
        <v>102</v>
      </c>
      <c r="O2201" s="30" t="s">
        <v>1214</v>
      </c>
      <c r="P2201" s="30" t="s">
        <v>1243</v>
      </c>
      <c r="Q2201" s="84" t="s">
        <v>2462</v>
      </c>
      <c r="S2201" t="b">
        <v>1</v>
      </c>
    </row>
    <row r="2202" spans="14:19" x14ac:dyDescent="0.25">
      <c r="N2202" s="23" t="s">
        <v>102</v>
      </c>
      <c r="O2202" s="30" t="s">
        <v>1214</v>
      </c>
      <c r="P2202" s="30" t="s">
        <v>1244</v>
      </c>
      <c r="Q2202" s="84" t="s">
        <v>2462</v>
      </c>
      <c r="S2202" t="b">
        <v>1</v>
      </c>
    </row>
    <row r="2203" spans="14:19" x14ac:dyDescent="0.25">
      <c r="N2203" s="23" t="s">
        <v>102</v>
      </c>
      <c r="O2203" s="30" t="s">
        <v>1214</v>
      </c>
      <c r="P2203" s="30" t="s">
        <v>1245</v>
      </c>
      <c r="Q2203" s="84" t="s">
        <v>2463</v>
      </c>
      <c r="S2203" t="b">
        <v>0</v>
      </c>
    </row>
    <row r="2204" spans="14:19" x14ac:dyDescent="0.25">
      <c r="N2204" s="23" t="s">
        <v>102</v>
      </c>
      <c r="O2204" s="30" t="s">
        <v>1214</v>
      </c>
      <c r="P2204" s="30" t="s">
        <v>1246</v>
      </c>
      <c r="Q2204" s="84" t="s">
        <v>2463</v>
      </c>
      <c r="S2204" t="b">
        <v>0</v>
      </c>
    </row>
    <row r="2205" spans="14:19" x14ac:dyDescent="0.25">
      <c r="N2205" s="23" t="s">
        <v>102</v>
      </c>
      <c r="O2205" s="30" t="s">
        <v>1214</v>
      </c>
      <c r="P2205" s="30" t="s">
        <v>1247</v>
      </c>
      <c r="Q2205" s="84" t="s">
        <v>2463</v>
      </c>
      <c r="S2205" t="b">
        <v>0</v>
      </c>
    </row>
    <row r="2206" spans="14:19" x14ac:dyDescent="0.25">
      <c r="N2206" s="23" t="s">
        <v>102</v>
      </c>
      <c r="O2206" s="30" t="s">
        <v>1214</v>
      </c>
      <c r="P2206" s="30" t="s">
        <v>1248</v>
      </c>
      <c r="Q2206" s="84" t="s">
        <v>2463</v>
      </c>
      <c r="S2206" t="b">
        <v>0</v>
      </c>
    </row>
    <row r="2207" spans="14:19" x14ac:dyDescent="0.25">
      <c r="N2207" s="23" t="s">
        <v>102</v>
      </c>
      <c r="O2207" s="30" t="s">
        <v>1214</v>
      </c>
      <c r="P2207" s="30" t="s">
        <v>1249</v>
      </c>
      <c r="Q2207" s="84" t="s">
        <v>2463</v>
      </c>
      <c r="S2207" t="b">
        <v>0</v>
      </c>
    </row>
    <row r="2208" spans="14:19" x14ac:dyDescent="0.25">
      <c r="N2208" s="23" t="s">
        <v>102</v>
      </c>
      <c r="O2208" s="30" t="s">
        <v>1214</v>
      </c>
      <c r="P2208" s="30" t="s">
        <v>1250</v>
      </c>
      <c r="Q2208" s="84" t="s">
        <v>2463</v>
      </c>
      <c r="S2208" t="b">
        <v>0</v>
      </c>
    </row>
    <row r="2209" spans="14:19" x14ac:dyDescent="0.25">
      <c r="N2209" s="23" t="s">
        <v>102</v>
      </c>
      <c r="O2209" s="30" t="s">
        <v>1214</v>
      </c>
      <c r="P2209" s="30" t="s">
        <v>1251</v>
      </c>
      <c r="Q2209" s="84" t="s">
        <v>2463</v>
      </c>
      <c r="S2209" t="b">
        <v>0</v>
      </c>
    </row>
    <row r="2210" spans="14:19" x14ac:dyDescent="0.25">
      <c r="N2210" s="23" t="s">
        <v>102</v>
      </c>
      <c r="O2210" s="30" t="s">
        <v>1214</v>
      </c>
      <c r="P2210" s="30" t="s">
        <v>1252</v>
      </c>
      <c r="Q2210" s="84" t="s">
        <v>2463</v>
      </c>
      <c r="S2210" t="b">
        <v>0</v>
      </c>
    </row>
    <row r="2211" spans="14:19" x14ac:dyDescent="0.25">
      <c r="N2211" s="23" t="s">
        <v>106</v>
      </c>
      <c r="O2211" s="30" t="s">
        <v>2416</v>
      </c>
      <c r="P2211" s="30" t="s">
        <v>2417</v>
      </c>
      <c r="Q2211" s="84" t="s">
        <v>2462</v>
      </c>
      <c r="S2211" t="b">
        <v>1</v>
      </c>
    </row>
    <row r="2212" spans="14:19" x14ac:dyDescent="0.25">
      <c r="N2212" s="23" t="s">
        <v>106</v>
      </c>
      <c r="O2212" s="30" t="s">
        <v>2416</v>
      </c>
      <c r="P2212" s="30" t="s">
        <v>2418</v>
      </c>
      <c r="Q2212" s="84" t="s">
        <v>2462</v>
      </c>
      <c r="S2212" t="b">
        <v>1</v>
      </c>
    </row>
    <row r="2213" spans="14:19" x14ac:dyDescent="0.25">
      <c r="N2213" s="23" t="s">
        <v>106</v>
      </c>
      <c r="O2213" s="30" t="s">
        <v>2416</v>
      </c>
      <c r="P2213" s="30" t="s">
        <v>2419</v>
      </c>
      <c r="Q2213" s="84" t="s">
        <v>2462</v>
      </c>
      <c r="S2213" t="b">
        <v>1</v>
      </c>
    </row>
    <row r="2214" spans="14:19" x14ac:dyDescent="0.25">
      <c r="N2214" s="23" t="s">
        <v>106</v>
      </c>
      <c r="O2214" s="30" t="s">
        <v>2416</v>
      </c>
      <c r="P2214" s="30" t="s">
        <v>2420</v>
      </c>
      <c r="Q2214" s="84" t="s">
        <v>2462</v>
      </c>
      <c r="S2214" t="b">
        <v>1</v>
      </c>
    </row>
    <row r="2215" spans="14:19" x14ac:dyDescent="0.25">
      <c r="N2215" s="23" t="s">
        <v>106</v>
      </c>
      <c r="O2215" s="30" t="s">
        <v>2416</v>
      </c>
      <c r="P2215" s="30" t="s">
        <v>2421</v>
      </c>
      <c r="Q2215" s="84" t="s">
        <v>2462</v>
      </c>
      <c r="S2215" t="b">
        <v>1</v>
      </c>
    </row>
    <row r="2216" spans="14:19" x14ac:dyDescent="0.25">
      <c r="N2216" s="23" t="s">
        <v>106</v>
      </c>
      <c r="O2216" s="30" t="s">
        <v>2416</v>
      </c>
      <c r="P2216" s="30" t="s">
        <v>2422</v>
      </c>
      <c r="Q2216" s="84" t="s">
        <v>2462</v>
      </c>
      <c r="S2216" t="b">
        <v>1</v>
      </c>
    </row>
    <row r="2217" spans="14:19" x14ac:dyDescent="0.25">
      <c r="N2217" s="23" t="s">
        <v>106</v>
      </c>
      <c r="O2217" s="30" t="s">
        <v>2416</v>
      </c>
      <c r="P2217" s="30" t="s">
        <v>2423</v>
      </c>
      <c r="Q2217" s="84" t="s">
        <v>2462</v>
      </c>
      <c r="S2217" t="b">
        <v>1</v>
      </c>
    </row>
    <row r="2218" spans="14:19" x14ac:dyDescent="0.25">
      <c r="N2218" s="23" t="s">
        <v>106</v>
      </c>
      <c r="O2218" s="30" t="s">
        <v>2416</v>
      </c>
      <c r="P2218" s="30" t="s">
        <v>2424</v>
      </c>
      <c r="Q2218" s="84" t="s">
        <v>2462</v>
      </c>
      <c r="S2218" t="b">
        <v>1</v>
      </c>
    </row>
    <row r="2219" spans="14:19" x14ac:dyDescent="0.25">
      <c r="N2219" s="23" t="s">
        <v>106</v>
      </c>
      <c r="O2219" s="30" t="s">
        <v>2416</v>
      </c>
      <c r="P2219" s="30" t="s">
        <v>2425</v>
      </c>
      <c r="Q2219" s="84" t="s">
        <v>2462</v>
      </c>
      <c r="S2219" t="b">
        <v>1</v>
      </c>
    </row>
    <row r="2220" spans="14:19" x14ac:dyDescent="0.25">
      <c r="N2220" s="23" t="s">
        <v>106</v>
      </c>
      <c r="O2220" s="30" t="s">
        <v>2416</v>
      </c>
      <c r="P2220" s="30" t="s">
        <v>2426</v>
      </c>
      <c r="Q2220" s="84" t="s">
        <v>2462</v>
      </c>
      <c r="S2220" t="b">
        <v>1</v>
      </c>
    </row>
    <row r="2221" spans="14:19" x14ac:dyDescent="0.25">
      <c r="N2221" s="23" t="s">
        <v>106</v>
      </c>
      <c r="O2221" s="30" t="s">
        <v>2416</v>
      </c>
      <c r="P2221" s="30" t="s">
        <v>2427</v>
      </c>
      <c r="Q2221" s="84" t="s">
        <v>2462</v>
      </c>
      <c r="S2221" t="b">
        <v>1</v>
      </c>
    </row>
    <row r="2222" spans="14:19" x14ac:dyDescent="0.25">
      <c r="N2222" s="23" t="s">
        <v>106</v>
      </c>
      <c r="O2222" s="30" t="s">
        <v>2416</v>
      </c>
      <c r="P2222" s="30" t="s">
        <v>2428</v>
      </c>
      <c r="Q2222" s="84" t="s">
        <v>2462</v>
      </c>
      <c r="S2222" t="b">
        <v>1</v>
      </c>
    </row>
    <row r="2223" spans="14:19" x14ac:dyDescent="0.25">
      <c r="N2223" s="23" t="s">
        <v>106</v>
      </c>
      <c r="O2223" s="30" t="s">
        <v>2416</v>
      </c>
      <c r="P2223" s="30" t="s">
        <v>2429</v>
      </c>
      <c r="Q2223" s="84" t="s">
        <v>2462</v>
      </c>
      <c r="S2223" t="b">
        <v>1</v>
      </c>
    </row>
    <row r="2224" spans="14:19" x14ac:dyDescent="0.25">
      <c r="N2224" s="23" t="s">
        <v>106</v>
      </c>
      <c r="O2224" s="30" t="s">
        <v>2416</v>
      </c>
      <c r="P2224" s="30" t="s">
        <v>2430</v>
      </c>
      <c r="Q2224" s="84" t="s">
        <v>2462</v>
      </c>
      <c r="S2224" t="b">
        <v>1</v>
      </c>
    </row>
    <row r="2225" spans="14:19" x14ac:dyDescent="0.25">
      <c r="N2225" s="23" t="s">
        <v>106</v>
      </c>
      <c r="O2225" s="30" t="s">
        <v>2416</v>
      </c>
      <c r="P2225" s="30" t="s">
        <v>2431</v>
      </c>
      <c r="Q2225" s="84" t="s">
        <v>2462</v>
      </c>
      <c r="S2225" t="b">
        <v>1</v>
      </c>
    </row>
    <row r="2226" spans="14:19" x14ac:dyDescent="0.25">
      <c r="N2226" s="23" t="s">
        <v>106</v>
      </c>
      <c r="O2226" s="30" t="s">
        <v>2416</v>
      </c>
      <c r="P2226" s="30" t="s">
        <v>2432</v>
      </c>
      <c r="Q2226" s="84" t="s">
        <v>2462</v>
      </c>
      <c r="S2226" t="b">
        <v>1</v>
      </c>
    </row>
    <row r="2227" spans="14:19" x14ac:dyDescent="0.25">
      <c r="N2227" s="23" t="s">
        <v>106</v>
      </c>
      <c r="O2227" s="30" t="s">
        <v>2416</v>
      </c>
      <c r="P2227" s="30" t="s">
        <v>2433</v>
      </c>
      <c r="Q2227" s="84" t="s">
        <v>2462</v>
      </c>
      <c r="S2227" t="b">
        <v>1</v>
      </c>
    </row>
    <row r="2228" spans="14:19" x14ac:dyDescent="0.25">
      <c r="N2228" s="23" t="s">
        <v>106</v>
      </c>
      <c r="O2228" s="30" t="s">
        <v>2416</v>
      </c>
      <c r="P2228" s="30" t="s">
        <v>2434</v>
      </c>
      <c r="Q2228" s="84" t="s">
        <v>2462</v>
      </c>
      <c r="S2228" t="b">
        <v>1</v>
      </c>
    </row>
    <row r="2229" spans="14:19" x14ac:dyDescent="0.25">
      <c r="N2229" s="23" t="s">
        <v>106</v>
      </c>
      <c r="O2229" s="30" t="s">
        <v>2416</v>
      </c>
      <c r="P2229" s="30" t="s">
        <v>2435</v>
      </c>
      <c r="Q2229" s="84" t="s">
        <v>2463</v>
      </c>
      <c r="S2229" t="b">
        <v>0</v>
      </c>
    </row>
    <row r="2230" spans="14:19" x14ac:dyDescent="0.25">
      <c r="N2230" s="23" t="s">
        <v>106</v>
      </c>
      <c r="O2230" s="30" t="s">
        <v>2416</v>
      </c>
      <c r="P2230" s="30" t="s">
        <v>2436</v>
      </c>
      <c r="Q2230" s="84" t="s">
        <v>2462</v>
      </c>
      <c r="S2230" t="b">
        <v>1</v>
      </c>
    </row>
    <row r="2231" spans="14:19" x14ac:dyDescent="0.25">
      <c r="N2231" s="23" t="s">
        <v>106</v>
      </c>
      <c r="O2231" s="30" t="s">
        <v>2416</v>
      </c>
      <c r="P2231" s="30" t="s">
        <v>2437</v>
      </c>
      <c r="Q2231" s="84" t="s">
        <v>2462</v>
      </c>
      <c r="S2231" t="b">
        <v>1</v>
      </c>
    </row>
    <row r="2232" spans="14:19" x14ac:dyDescent="0.25">
      <c r="N2232" s="23" t="s">
        <v>106</v>
      </c>
      <c r="O2232" s="30" t="s">
        <v>2416</v>
      </c>
      <c r="P2232" s="30" t="s">
        <v>2438</v>
      </c>
      <c r="Q2232" s="84" t="s">
        <v>2462</v>
      </c>
      <c r="S2232" t="b">
        <v>1</v>
      </c>
    </row>
    <row r="2233" spans="14:19" x14ac:dyDescent="0.25">
      <c r="N2233" s="23" t="s">
        <v>106</v>
      </c>
      <c r="O2233" s="30" t="s">
        <v>2416</v>
      </c>
      <c r="P2233" s="30" t="s">
        <v>2439</v>
      </c>
      <c r="Q2233" s="84" t="s">
        <v>2462</v>
      </c>
      <c r="S2233" t="b">
        <v>1</v>
      </c>
    </row>
    <row r="2234" spans="14:19" x14ac:dyDescent="0.25">
      <c r="N2234" s="23" t="s">
        <v>107</v>
      </c>
      <c r="O2234" s="30" t="s">
        <v>1347</v>
      </c>
      <c r="P2234" s="30" t="s">
        <v>1348</v>
      </c>
      <c r="Q2234" s="84" t="s">
        <v>2462</v>
      </c>
      <c r="S2234" t="b">
        <v>1</v>
      </c>
    </row>
    <row r="2235" spans="14:19" x14ac:dyDescent="0.25">
      <c r="N2235" s="23" t="s">
        <v>107</v>
      </c>
      <c r="O2235" s="30" t="s">
        <v>1347</v>
      </c>
      <c r="P2235" s="30" t="s">
        <v>1349</v>
      </c>
      <c r="Q2235" s="84" t="s">
        <v>2462</v>
      </c>
      <c r="S2235" t="b">
        <v>1</v>
      </c>
    </row>
    <row r="2236" spans="14:19" x14ac:dyDescent="0.25">
      <c r="N2236" s="23" t="s">
        <v>107</v>
      </c>
      <c r="O2236" s="30" t="s">
        <v>1347</v>
      </c>
      <c r="P2236" s="30" t="s">
        <v>1350</v>
      </c>
      <c r="Q2236" s="84" t="s">
        <v>2462</v>
      </c>
      <c r="S2236" t="b">
        <v>1</v>
      </c>
    </row>
    <row r="2237" spans="14:19" x14ac:dyDescent="0.25">
      <c r="N2237" s="23" t="s">
        <v>107</v>
      </c>
      <c r="O2237" s="30" t="s">
        <v>1347</v>
      </c>
      <c r="P2237" s="30" t="s">
        <v>1351</v>
      </c>
      <c r="Q2237" s="84" t="s">
        <v>2462</v>
      </c>
      <c r="S2237" t="b">
        <v>1</v>
      </c>
    </row>
    <row r="2238" spans="14:19" x14ac:dyDescent="0.25">
      <c r="N2238" s="23" t="s">
        <v>107</v>
      </c>
      <c r="O2238" s="30" t="s">
        <v>1347</v>
      </c>
      <c r="P2238" s="30" t="s">
        <v>1352</v>
      </c>
      <c r="Q2238" s="84" t="s">
        <v>2462</v>
      </c>
      <c r="S2238" t="b">
        <v>1</v>
      </c>
    </row>
    <row r="2239" spans="14:19" x14ac:dyDescent="0.25">
      <c r="N2239" s="23" t="s">
        <v>107</v>
      </c>
      <c r="O2239" s="30" t="s">
        <v>1347</v>
      </c>
      <c r="P2239" s="30" t="s">
        <v>1353</v>
      </c>
      <c r="Q2239" s="84" t="s">
        <v>2463</v>
      </c>
      <c r="S2239" t="b">
        <v>0</v>
      </c>
    </row>
    <row r="2240" spans="14:19" x14ac:dyDescent="0.25">
      <c r="N2240" s="23" t="s">
        <v>107</v>
      </c>
      <c r="O2240" s="30" t="s">
        <v>1347</v>
      </c>
      <c r="P2240" s="30" t="s">
        <v>1354</v>
      </c>
      <c r="Q2240" s="84" t="s">
        <v>2463</v>
      </c>
      <c r="S2240" t="b">
        <v>0</v>
      </c>
    </row>
    <row r="2241" spans="14:19" x14ac:dyDescent="0.25">
      <c r="N2241" s="23" t="s">
        <v>107</v>
      </c>
      <c r="O2241" s="30" t="s">
        <v>1355</v>
      </c>
      <c r="P2241" s="30" t="s">
        <v>1356</v>
      </c>
      <c r="Q2241" s="84" t="s">
        <v>2462</v>
      </c>
      <c r="S2241" t="b">
        <v>1</v>
      </c>
    </row>
    <row r="2242" spans="14:19" x14ac:dyDescent="0.25">
      <c r="N2242" s="23" t="s">
        <v>107</v>
      </c>
      <c r="O2242" s="30" t="s">
        <v>1355</v>
      </c>
      <c r="P2242" s="30" t="s">
        <v>1357</v>
      </c>
      <c r="Q2242" s="84" t="s">
        <v>2462</v>
      </c>
      <c r="S2242" t="b">
        <v>1</v>
      </c>
    </row>
    <row r="2243" spans="14:19" x14ac:dyDescent="0.25">
      <c r="N2243" s="23" t="s">
        <v>107</v>
      </c>
      <c r="O2243" s="30" t="s">
        <v>1355</v>
      </c>
      <c r="P2243" s="30" t="s">
        <v>1358</v>
      </c>
      <c r="Q2243" s="84" t="s">
        <v>2462</v>
      </c>
      <c r="S2243" t="b">
        <v>1</v>
      </c>
    </row>
    <row r="2244" spans="14:19" x14ac:dyDescent="0.25">
      <c r="N2244" s="23" t="s">
        <v>107</v>
      </c>
      <c r="O2244" s="30" t="s">
        <v>1355</v>
      </c>
      <c r="P2244" s="30" t="s">
        <v>1359</v>
      </c>
      <c r="Q2244" s="84" t="s">
        <v>2462</v>
      </c>
      <c r="S2244" t="b">
        <v>1</v>
      </c>
    </row>
    <row r="2245" spans="14:19" x14ac:dyDescent="0.25">
      <c r="N2245" s="23" t="s">
        <v>107</v>
      </c>
      <c r="O2245" s="30" t="s">
        <v>1355</v>
      </c>
      <c r="P2245" s="30" t="s">
        <v>1360</v>
      </c>
      <c r="Q2245" s="84" t="s">
        <v>2462</v>
      </c>
      <c r="S2245" t="b">
        <v>1</v>
      </c>
    </row>
    <row r="2246" spans="14:19" x14ac:dyDescent="0.25">
      <c r="N2246" s="23" t="s">
        <v>107</v>
      </c>
      <c r="O2246" s="30" t="s">
        <v>1355</v>
      </c>
      <c r="P2246" s="30" t="s">
        <v>1361</v>
      </c>
      <c r="Q2246" s="84" t="s">
        <v>2462</v>
      </c>
      <c r="S2246" t="b">
        <v>1</v>
      </c>
    </row>
    <row r="2247" spans="14:19" x14ac:dyDescent="0.25">
      <c r="N2247" s="23" t="s">
        <v>107</v>
      </c>
      <c r="O2247" s="30" t="s">
        <v>1355</v>
      </c>
      <c r="P2247" s="30" t="s">
        <v>1362</v>
      </c>
      <c r="Q2247" s="84" t="s">
        <v>2462</v>
      </c>
      <c r="S2247" t="b">
        <v>1</v>
      </c>
    </row>
    <row r="2248" spans="14:19" x14ac:dyDescent="0.25">
      <c r="N2248" s="23" t="s">
        <v>107</v>
      </c>
      <c r="O2248" s="30" t="s">
        <v>1355</v>
      </c>
      <c r="P2248" s="30" t="s">
        <v>1363</v>
      </c>
      <c r="Q2248" s="84" t="s">
        <v>2462</v>
      </c>
      <c r="S2248" t="b">
        <v>1</v>
      </c>
    </row>
    <row r="2249" spans="14:19" x14ac:dyDescent="0.25">
      <c r="N2249" s="23" t="s">
        <v>107</v>
      </c>
      <c r="O2249" s="30" t="s">
        <v>1355</v>
      </c>
      <c r="P2249" s="30" t="s">
        <v>1364</v>
      </c>
      <c r="Q2249" s="84" t="s">
        <v>2462</v>
      </c>
      <c r="S2249" t="b">
        <v>1</v>
      </c>
    </row>
    <row r="2250" spans="14:19" x14ac:dyDescent="0.25">
      <c r="N2250" s="23" t="s">
        <v>107</v>
      </c>
      <c r="O2250" s="30" t="s">
        <v>1355</v>
      </c>
      <c r="P2250" s="30" t="s">
        <v>1365</v>
      </c>
      <c r="Q2250" s="84" t="s">
        <v>2462</v>
      </c>
      <c r="S2250" t="b">
        <v>1</v>
      </c>
    </row>
    <row r="2251" spans="14:19" x14ac:dyDescent="0.25">
      <c r="N2251" s="23" t="s">
        <v>107</v>
      </c>
      <c r="O2251" s="30" t="s">
        <v>1355</v>
      </c>
      <c r="P2251" s="30" t="s">
        <v>1366</v>
      </c>
      <c r="Q2251" s="84" t="s">
        <v>2462</v>
      </c>
      <c r="S2251" t="b">
        <v>1</v>
      </c>
    </row>
    <row r="2252" spans="14:19" x14ac:dyDescent="0.25">
      <c r="N2252" s="23" t="s">
        <v>107</v>
      </c>
      <c r="O2252" s="30" t="s">
        <v>1355</v>
      </c>
      <c r="P2252" s="30" t="s">
        <v>1367</v>
      </c>
      <c r="Q2252" s="84" t="s">
        <v>2462</v>
      </c>
      <c r="S2252" t="b">
        <v>1</v>
      </c>
    </row>
    <row r="2253" spans="14:19" x14ac:dyDescent="0.25">
      <c r="N2253" s="23" t="s">
        <v>107</v>
      </c>
      <c r="O2253" s="30" t="s">
        <v>1355</v>
      </c>
      <c r="P2253" s="30" t="s">
        <v>1368</v>
      </c>
      <c r="Q2253" s="84" t="s">
        <v>2462</v>
      </c>
      <c r="S2253" t="b">
        <v>1</v>
      </c>
    </row>
    <row r="2254" spans="14:19" x14ac:dyDescent="0.25">
      <c r="N2254" s="23" t="s">
        <v>107</v>
      </c>
      <c r="O2254" s="30" t="s">
        <v>1355</v>
      </c>
      <c r="P2254" s="30" t="s">
        <v>1369</v>
      </c>
      <c r="Q2254" s="84" t="s">
        <v>2462</v>
      </c>
      <c r="S2254" t="b">
        <v>1</v>
      </c>
    </row>
    <row r="2255" spans="14:19" x14ac:dyDescent="0.25">
      <c r="N2255" s="23" t="s">
        <v>107</v>
      </c>
      <c r="O2255" s="30" t="s">
        <v>1355</v>
      </c>
      <c r="P2255" s="30" t="s">
        <v>1370</v>
      </c>
      <c r="Q2255" s="84" t="s">
        <v>2462</v>
      </c>
      <c r="S2255" t="b">
        <v>1</v>
      </c>
    </row>
    <row r="2256" spans="14:19" x14ac:dyDescent="0.25">
      <c r="N2256" s="23" t="s">
        <v>107</v>
      </c>
      <c r="O2256" s="30" t="s">
        <v>1355</v>
      </c>
      <c r="P2256" s="30" t="s">
        <v>1371</v>
      </c>
      <c r="Q2256" s="84" t="s">
        <v>2462</v>
      </c>
      <c r="S2256" t="b">
        <v>1</v>
      </c>
    </row>
    <row r="2257" spans="14:19" x14ac:dyDescent="0.25">
      <c r="N2257" s="23" t="s">
        <v>107</v>
      </c>
      <c r="O2257" s="30" t="s">
        <v>1355</v>
      </c>
      <c r="P2257" s="30" t="s">
        <v>1372</v>
      </c>
      <c r="Q2257" s="84" t="s">
        <v>2462</v>
      </c>
      <c r="S2257" t="b">
        <v>1</v>
      </c>
    </row>
    <row r="2258" spans="14:19" x14ac:dyDescent="0.25">
      <c r="N2258" s="23" t="s">
        <v>107</v>
      </c>
      <c r="O2258" s="30" t="s">
        <v>1355</v>
      </c>
      <c r="P2258" s="30" t="s">
        <v>1373</v>
      </c>
      <c r="Q2258" s="84" t="s">
        <v>2462</v>
      </c>
      <c r="S2258" t="b">
        <v>1</v>
      </c>
    </row>
    <row r="2259" spans="14:19" x14ac:dyDescent="0.25">
      <c r="N2259" s="23" t="s">
        <v>107</v>
      </c>
      <c r="O2259" s="30" t="s">
        <v>1355</v>
      </c>
      <c r="P2259" s="30" t="s">
        <v>1374</v>
      </c>
      <c r="Q2259" s="84" t="s">
        <v>2462</v>
      </c>
      <c r="S2259" t="b">
        <v>1</v>
      </c>
    </row>
    <row r="2260" spans="14:19" x14ac:dyDescent="0.25">
      <c r="N2260" s="23" t="s">
        <v>107</v>
      </c>
      <c r="O2260" s="30" t="s">
        <v>1355</v>
      </c>
      <c r="P2260" s="30" t="s">
        <v>1375</v>
      </c>
      <c r="Q2260" s="84" t="s">
        <v>2462</v>
      </c>
      <c r="S2260" t="b">
        <v>1</v>
      </c>
    </row>
    <row r="2261" spans="14:19" x14ac:dyDescent="0.25">
      <c r="N2261" s="23" t="s">
        <v>107</v>
      </c>
      <c r="O2261" s="30" t="s">
        <v>1355</v>
      </c>
      <c r="P2261" s="30" t="s">
        <v>1376</v>
      </c>
      <c r="Q2261" s="84" t="s">
        <v>2463</v>
      </c>
      <c r="S2261" t="b">
        <v>0</v>
      </c>
    </row>
    <row r="2262" spans="14:19" x14ac:dyDescent="0.25">
      <c r="N2262" s="23" t="s">
        <v>107</v>
      </c>
      <c r="O2262" s="30" t="s">
        <v>1355</v>
      </c>
      <c r="P2262" s="30" t="s">
        <v>1377</v>
      </c>
      <c r="Q2262" s="84" t="s">
        <v>2463</v>
      </c>
      <c r="S2262" t="b">
        <v>0</v>
      </c>
    </row>
    <row r="2263" spans="14:19" x14ac:dyDescent="0.25">
      <c r="N2263" s="23" t="s">
        <v>107</v>
      </c>
      <c r="O2263" s="30" t="s">
        <v>1355</v>
      </c>
      <c r="P2263" s="30" t="s">
        <v>1378</v>
      </c>
      <c r="Q2263" s="84" t="s">
        <v>2463</v>
      </c>
      <c r="S2263" t="b">
        <v>0</v>
      </c>
    </row>
    <row r="2264" spans="14:19" x14ac:dyDescent="0.25">
      <c r="N2264" s="23" t="s">
        <v>107</v>
      </c>
      <c r="O2264" s="30" t="s">
        <v>1355</v>
      </c>
      <c r="P2264" s="30" t="s">
        <v>1379</v>
      </c>
      <c r="Q2264" s="84" t="s">
        <v>2463</v>
      </c>
      <c r="S2264" t="b">
        <v>0</v>
      </c>
    </row>
    <row r="2265" spans="14:19" x14ac:dyDescent="0.25">
      <c r="N2265" s="23" t="s">
        <v>107</v>
      </c>
      <c r="O2265" s="30" t="s">
        <v>1355</v>
      </c>
      <c r="P2265" s="30" t="s">
        <v>1380</v>
      </c>
      <c r="Q2265" s="84" t="s">
        <v>2463</v>
      </c>
      <c r="S2265" t="b">
        <v>0</v>
      </c>
    </row>
    <row r="2266" spans="14:19" x14ac:dyDescent="0.25">
      <c r="N2266" s="23" t="s">
        <v>107</v>
      </c>
      <c r="O2266" s="30" t="s">
        <v>1355</v>
      </c>
      <c r="P2266" s="30" t="s">
        <v>1381</v>
      </c>
      <c r="Q2266" s="84" t="s">
        <v>2463</v>
      </c>
      <c r="S2266" t="b">
        <v>0</v>
      </c>
    </row>
    <row r="2267" spans="14:19" x14ac:dyDescent="0.25">
      <c r="N2267" s="23" t="s">
        <v>107</v>
      </c>
      <c r="O2267" s="30" t="s">
        <v>1355</v>
      </c>
      <c r="P2267" s="30" t="s">
        <v>1382</v>
      </c>
      <c r="Q2267" s="84" t="s">
        <v>2463</v>
      </c>
      <c r="S2267" t="b">
        <v>0</v>
      </c>
    </row>
    <row r="2268" spans="14:19" x14ac:dyDescent="0.25">
      <c r="N2268" s="23" t="s">
        <v>108</v>
      </c>
      <c r="O2268" s="30" t="s">
        <v>1253</v>
      </c>
      <c r="P2268" s="30" t="s">
        <v>1254</v>
      </c>
      <c r="Q2268" s="84" t="s">
        <v>2463</v>
      </c>
      <c r="S2268" t="b">
        <v>0</v>
      </c>
    </row>
    <row r="2269" spans="14:19" x14ac:dyDescent="0.25">
      <c r="N2269" s="23" t="s">
        <v>108</v>
      </c>
      <c r="O2269" s="30" t="s">
        <v>1253</v>
      </c>
      <c r="P2269" s="30" t="s">
        <v>2578</v>
      </c>
      <c r="Q2269" s="84" t="s">
        <v>2463</v>
      </c>
      <c r="S2269" t="b">
        <v>0</v>
      </c>
    </row>
    <row r="2270" spans="14:19" x14ac:dyDescent="0.25">
      <c r="N2270" s="23" t="s">
        <v>108</v>
      </c>
      <c r="O2270" s="30" t="s">
        <v>2576</v>
      </c>
      <c r="P2270" s="30" t="s">
        <v>2577</v>
      </c>
      <c r="Q2270" s="84" t="s">
        <v>2462</v>
      </c>
      <c r="S2270" t="b">
        <v>1</v>
      </c>
    </row>
    <row r="2271" spans="14:19" x14ac:dyDescent="0.25">
      <c r="N2271" s="23" t="s">
        <v>102</v>
      </c>
      <c r="O2271" s="30" t="s">
        <v>130</v>
      </c>
      <c r="P2271" s="30" t="s">
        <v>2598</v>
      </c>
      <c r="Q2271" s="84" t="s">
        <v>2462</v>
      </c>
      <c r="S2271" t="b">
        <v>1</v>
      </c>
    </row>
    <row r="2272" spans="14:19" x14ac:dyDescent="0.25">
      <c r="N2272" s="23" t="s">
        <v>102</v>
      </c>
      <c r="O2272" s="30" t="s">
        <v>123</v>
      </c>
      <c r="P2272" s="30" t="s">
        <v>2596</v>
      </c>
      <c r="Q2272" s="84" t="s">
        <v>2463</v>
      </c>
      <c r="S2272" t="b">
        <v>0</v>
      </c>
    </row>
    <row r="2273" spans="14:19" x14ac:dyDescent="0.25">
      <c r="N2273" s="23" t="s">
        <v>102</v>
      </c>
      <c r="O2273" s="30" t="s">
        <v>564</v>
      </c>
      <c r="P2273" s="30" t="s">
        <v>2599</v>
      </c>
      <c r="Q2273" s="84" t="s">
        <v>2462</v>
      </c>
      <c r="S2273" t="b">
        <v>0</v>
      </c>
    </row>
    <row r="2274" spans="14:19" x14ac:dyDescent="0.25">
      <c r="N2274" s="23" t="s">
        <v>102</v>
      </c>
      <c r="O2274" s="30" t="s">
        <v>139</v>
      </c>
      <c r="P2274" s="30" t="s">
        <v>2597</v>
      </c>
      <c r="Q2274" s="84" t="s">
        <v>2463</v>
      </c>
      <c r="S2274" t="b">
        <v>0</v>
      </c>
    </row>
    <row r="2275" spans="14:19" x14ac:dyDescent="0.25">
      <c r="N2275" s="23" t="s">
        <v>102</v>
      </c>
      <c r="O2275" s="30" t="s">
        <v>867</v>
      </c>
      <c r="P2275" s="30" t="s">
        <v>2600</v>
      </c>
      <c r="Q2275" s="84" t="s">
        <v>2462</v>
      </c>
      <c r="S2275" t="b">
        <v>1</v>
      </c>
    </row>
    <row r="2276" spans="14:19" x14ac:dyDescent="0.25">
      <c r="N2276" s="23" t="s">
        <v>102</v>
      </c>
      <c r="O2276" s="30" t="s">
        <v>517</v>
      </c>
      <c r="P2276" s="30" t="s">
        <v>2601</v>
      </c>
      <c r="Q2276" s="84" t="s">
        <v>2463</v>
      </c>
      <c r="S2276" t="b">
        <v>0</v>
      </c>
    </row>
    <row r="2277" spans="14:19" x14ac:dyDescent="0.25">
      <c r="N2277" s="23"/>
      <c r="O2277" s="30"/>
      <c r="P2277" s="30"/>
      <c r="Q2277" s="84"/>
      <c r="S2277" t="b">
        <v>1</v>
      </c>
    </row>
    <row r="2278" spans="14:19" x14ac:dyDescent="0.25">
      <c r="N2278" s="23"/>
      <c r="O2278" s="30"/>
      <c r="P2278" s="30"/>
      <c r="Q2278" s="84"/>
      <c r="S2278" t="b">
        <v>1</v>
      </c>
    </row>
    <row r="2279" spans="14:19" x14ac:dyDescent="0.25">
      <c r="N2279" s="23"/>
      <c r="O2279" s="30"/>
      <c r="P2279" s="30"/>
      <c r="Q2279" s="84"/>
      <c r="S2279" t="b">
        <v>1</v>
      </c>
    </row>
    <row r="2280" spans="14:19" x14ac:dyDescent="0.25">
      <c r="N2280" s="23"/>
      <c r="O2280" s="30"/>
      <c r="P2280" s="30"/>
      <c r="Q2280" s="84"/>
      <c r="S2280" t="b">
        <v>1</v>
      </c>
    </row>
    <row r="2281" spans="14:19" x14ac:dyDescent="0.25">
      <c r="N2281" s="23"/>
      <c r="O2281" s="30"/>
      <c r="P2281" s="30"/>
      <c r="Q2281" s="84"/>
      <c r="S2281" t="b">
        <v>1</v>
      </c>
    </row>
    <row r="2282" spans="14:19" x14ac:dyDescent="0.25">
      <c r="N2282" s="23"/>
      <c r="O2282" s="30"/>
      <c r="P2282" s="30"/>
      <c r="Q2282" s="84"/>
      <c r="S2282" t="b">
        <v>1</v>
      </c>
    </row>
    <row r="2283" spans="14:19" x14ac:dyDescent="0.25">
      <c r="N2283" s="23"/>
      <c r="O2283" s="30"/>
      <c r="P2283" s="30"/>
      <c r="Q2283" s="84"/>
      <c r="S2283" t="b">
        <v>1</v>
      </c>
    </row>
    <row r="2284" spans="14:19" x14ac:dyDescent="0.25">
      <c r="N2284" s="23"/>
      <c r="O2284" s="30"/>
      <c r="P2284" s="30"/>
      <c r="Q2284" s="84"/>
      <c r="S2284" t="b">
        <v>1</v>
      </c>
    </row>
    <row r="2285" spans="14:19" x14ac:dyDescent="0.25">
      <c r="N2285" s="23"/>
      <c r="O2285" s="30"/>
      <c r="P2285" s="30"/>
      <c r="Q2285" s="84"/>
      <c r="S2285" t="b">
        <v>1</v>
      </c>
    </row>
    <row r="2286" spans="14:19" x14ac:dyDescent="0.25">
      <c r="N2286" s="23"/>
      <c r="O2286" s="30"/>
      <c r="P2286" s="30"/>
      <c r="Q2286" s="84"/>
      <c r="S2286" t="b">
        <v>1</v>
      </c>
    </row>
    <row r="2287" spans="14:19" x14ac:dyDescent="0.25">
      <c r="N2287" s="23"/>
      <c r="O2287" s="30"/>
      <c r="P2287" s="30"/>
      <c r="Q2287" s="84"/>
      <c r="S2287" t="b">
        <v>1</v>
      </c>
    </row>
    <row r="2288" spans="14:19" x14ac:dyDescent="0.25">
      <c r="N2288" s="23"/>
      <c r="O2288" s="30"/>
      <c r="P2288" s="30"/>
      <c r="Q2288" s="84"/>
      <c r="S2288" t="b">
        <v>1</v>
      </c>
    </row>
    <row r="2289" spans="14:19" x14ac:dyDescent="0.25">
      <c r="N2289" s="23"/>
      <c r="O2289" s="30"/>
      <c r="P2289" s="30"/>
      <c r="Q2289" s="84"/>
      <c r="S2289" t="b">
        <v>1</v>
      </c>
    </row>
    <row r="2290" spans="14:19" x14ac:dyDescent="0.25">
      <c r="N2290" s="23"/>
      <c r="O2290" s="30"/>
      <c r="P2290" s="30"/>
      <c r="Q2290" s="84"/>
      <c r="S2290" t="b">
        <v>1</v>
      </c>
    </row>
    <row r="2291" spans="14:19" x14ac:dyDescent="0.25">
      <c r="N2291" s="23"/>
      <c r="O2291" s="30"/>
      <c r="P2291" s="30"/>
      <c r="Q2291" s="84"/>
      <c r="S2291" t="b">
        <v>1</v>
      </c>
    </row>
    <row r="2292" spans="14:19" x14ac:dyDescent="0.25">
      <c r="N2292" s="23"/>
      <c r="O2292" s="30"/>
      <c r="P2292" s="30"/>
      <c r="Q2292" s="84"/>
      <c r="S2292" t="b">
        <v>1</v>
      </c>
    </row>
    <row r="2293" spans="14:19" x14ac:dyDescent="0.25">
      <c r="N2293" s="23"/>
      <c r="O2293" s="30"/>
      <c r="P2293" s="30"/>
      <c r="Q2293" s="84"/>
      <c r="S2293" t="b">
        <v>1</v>
      </c>
    </row>
    <row r="2294" spans="14:19" x14ac:dyDescent="0.25">
      <c r="N2294" s="23"/>
      <c r="O2294" s="30"/>
      <c r="P2294" s="30"/>
      <c r="Q2294" s="84"/>
      <c r="S2294" t="b">
        <v>1</v>
      </c>
    </row>
    <row r="2295" spans="14:19" x14ac:dyDescent="0.25">
      <c r="N2295" s="23"/>
      <c r="O2295" s="30"/>
      <c r="P2295" s="30"/>
      <c r="Q2295" s="84"/>
      <c r="S2295" t="b">
        <v>1</v>
      </c>
    </row>
    <row r="2296" spans="14:19" x14ac:dyDescent="0.25">
      <c r="N2296" s="23"/>
      <c r="O2296" s="30"/>
      <c r="P2296" s="30"/>
      <c r="Q2296" s="84"/>
      <c r="S2296" t="b">
        <v>1</v>
      </c>
    </row>
    <row r="2297" spans="14:19" x14ac:dyDescent="0.25">
      <c r="N2297" s="23"/>
      <c r="O2297" s="30"/>
      <c r="P2297" s="30"/>
      <c r="Q2297" s="84"/>
      <c r="S2297" t="b">
        <v>1</v>
      </c>
    </row>
    <row r="2298" spans="14:19" x14ac:dyDescent="0.25">
      <c r="N2298" s="23"/>
      <c r="O2298" s="30"/>
      <c r="P2298" s="30"/>
      <c r="Q2298" s="84"/>
      <c r="S2298" t="b">
        <v>1</v>
      </c>
    </row>
    <row r="2299" spans="14:19" x14ac:dyDescent="0.25">
      <c r="N2299" s="23"/>
      <c r="O2299" s="30"/>
      <c r="P2299" s="30"/>
      <c r="Q2299" s="84"/>
      <c r="S2299" t="b">
        <v>1</v>
      </c>
    </row>
    <row r="2300" spans="14:19" x14ac:dyDescent="0.25">
      <c r="N2300" s="23"/>
      <c r="O2300" s="30"/>
      <c r="P2300" s="30"/>
      <c r="Q2300" s="84"/>
      <c r="S2300" t="b">
        <v>1</v>
      </c>
    </row>
    <row r="2301" spans="14:19" x14ac:dyDescent="0.25">
      <c r="N2301" s="23"/>
      <c r="O2301" s="30"/>
      <c r="P2301" s="30"/>
      <c r="Q2301" s="84"/>
      <c r="S2301" t="b">
        <v>1</v>
      </c>
    </row>
    <row r="2302" spans="14:19" x14ac:dyDescent="0.25">
      <c r="N2302" s="23"/>
      <c r="O2302" s="30"/>
      <c r="P2302" s="30"/>
      <c r="Q2302" s="84"/>
      <c r="S2302" t="b">
        <v>1</v>
      </c>
    </row>
    <row r="2303" spans="14:19" x14ac:dyDescent="0.25">
      <c r="N2303" s="23"/>
      <c r="O2303" s="30"/>
      <c r="P2303" s="30"/>
      <c r="Q2303" s="84"/>
      <c r="S2303" t="b">
        <v>1</v>
      </c>
    </row>
    <row r="2304" spans="14:19" x14ac:dyDescent="0.25">
      <c r="N2304" s="23"/>
      <c r="O2304" s="30"/>
      <c r="P2304" s="30"/>
      <c r="Q2304" s="84"/>
      <c r="S2304" t="b">
        <v>1</v>
      </c>
    </row>
    <row r="2305" spans="14:19" x14ac:dyDescent="0.25">
      <c r="N2305" s="23"/>
      <c r="O2305" s="30"/>
      <c r="P2305" s="30"/>
      <c r="Q2305" s="84"/>
      <c r="S2305" t="b">
        <v>1</v>
      </c>
    </row>
    <row r="2306" spans="14:19" x14ac:dyDescent="0.25">
      <c r="N2306" s="23"/>
      <c r="O2306" s="30"/>
      <c r="P2306" s="30"/>
      <c r="Q2306" s="84"/>
      <c r="S2306" t="b">
        <v>1</v>
      </c>
    </row>
    <row r="2307" spans="14:19" x14ac:dyDescent="0.25">
      <c r="N2307" s="23"/>
      <c r="O2307" s="30"/>
      <c r="P2307" s="30"/>
      <c r="Q2307" s="84"/>
      <c r="S2307" t="b">
        <v>1</v>
      </c>
    </row>
    <row r="2308" spans="14:19" x14ac:dyDescent="0.25">
      <c r="N2308" s="23"/>
      <c r="O2308" s="30"/>
      <c r="P2308" s="30"/>
      <c r="Q2308" s="84"/>
      <c r="S2308" t="b">
        <v>1</v>
      </c>
    </row>
    <row r="2309" spans="14:19" x14ac:dyDescent="0.25">
      <c r="N2309" s="23"/>
      <c r="O2309" s="30"/>
      <c r="P2309" s="30"/>
      <c r="Q2309" s="84"/>
      <c r="S2309" t="b">
        <v>1</v>
      </c>
    </row>
    <row r="2310" spans="14:19" x14ac:dyDescent="0.25">
      <c r="N2310" s="23"/>
      <c r="O2310" s="30"/>
      <c r="P2310" s="30"/>
      <c r="Q2310" s="84"/>
      <c r="S2310" t="b">
        <v>1</v>
      </c>
    </row>
    <row r="2311" spans="14:19" x14ac:dyDescent="0.25">
      <c r="N2311" s="23"/>
      <c r="O2311" s="30"/>
      <c r="P2311" s="30"/>
      <c r="Q2311" s="84"/>
      <c r="S2311" t="b">
        <v>1</v>
      </c>
    </row>
    <row r="2312" spans="14:19" x14ac:dyDescent="0.25">
      <c r="N2312" s="23"/>
      <c r="O2312" s="30"/>
      <c r="P2312" s="30"/>
      <c r="Q2312" s="84"/>
      <c r="S2312" t="b">
        <v>1</v>
      </c>
    </row>
    <row r="2313" spans="14:19" x14ac:dyDescent="0.25">
      <c r="N2313" s="23"/>
      <c r="O2313" s="30"/>
      <c r="P2313" s="30"/>
      <c r="Q2313" s="84"/>
      <c r="S2313" t="b">
        <v>1</v>
      </c>
    </row>
    <row r="2314" spans="14:19" x14ac:dyDescent="0.25">
      <c r="N2314" s="23"/>
      <c r="O2314" s="30"/>
      <c r="P2314" s="30"/>
      <c r="Q2314" s="84"/>
      <c r="S2314" t="b">
        <v>1</v>
      </c>
    </row>
    <row r="2315" spans="14:19" x14ac:dyDescent="0.25">
      <c r="N2315" s="23"/>
      <c r="O2315" s="30"/>
      <c r="P2315" s="30"/>
      <c r="Q2315" s="84"/>
      <c r="S2315" t="b">
        <v>1</v>
      </c>
    </row>
    <row r="2316" spans="14:19" x14ac:dyDescent="0.25">
      <c r="N2316" s="23"/>
      <c r="O2316" s="30"/>
      <c r="P2316" s="30"/>
      <c r="Q2316" s="84"/>
      <c r="S2316" t="b">
        <v>1</v>
      </c>
    </row>
    <row r="2317" spans="14:19" x14ac:dyDescent="0.25">
      <c r="N2317" s="23"/>
      <c r="O2317" s="30"/>
      <c r="P2317" s="30"/>
      <c r="Q2317" s="84"/>
      <c r="S2317" t="b">
        <v>1</v>
      </c>
    </row>
    <row r="2318" spans="14:19" x14ac:dyDescent="0.25">
      <c r="N2318" s="23"/>
      <c r="O2318" s="30"/>
      <c r="P2318" s="30"/>
      <c r="Q2318" s="84"/>
      <c r="S2318" t="b">
        <v>1</v>
      </c>
    </row>
    <row r="2319" spans="14:19" x14ac:dyDescent="0.25">
      <c r="N2319" s="23"/>
      <c r="O2319" s="30"/>
      <c r="P2319" s="30"/>
      <c r="Q2319" s="84"/>
      <c r="S2319" t="b">
        <v>1</v>
      </c>
    </row>
    <row r="2320" spans="14:19" x14ac:dyDescent="0.25">
      <c r="N2320" s="23"/>
      <c r="O2320" s="30"/>
      <c r="P2320" s="30"/>
      <c r="Q2320" s="84"/>
      <c r="S2320" t="b">
        <v>1</v>
      </c>
    </row>
    <row r="2321" spans="14:19" x14ac:dyDescent="0.25">
      <c r="N2321" s="23"/>
      <c r="O2321" s="30"/>
      <c r="P2321" s="30"/>
      <c r="Q2321" s="84"/>
      <c r="S2321" t="b">
        <v>1</v>
      </c>
    </row>
    <row r="2322" spans="14:19" x14ac:dyDescent="0.25">
      <c r="N2322" s="23"/>
      <c r="O2322" s="30"/>
      <c r="P2322" s="30"/>
      <c r="Q2322" s="84"/>
      <c r="S2322" t="b">
        <v>1</v>
      </c>
    </row>
    <row r="2323" spans="14:19" x14ac:dyDescent="0.25">
      <c r="N2323" s="23"/>
      <c r="O2323" s="30"/>
      <c r="P2323" s="30"/>
      <c r="Q2323" s="84"/>
      <c r="S2323" t="b">
        <v>1</v>
      </c>
    </row>
    <row r="2324" spans="14:19" x14ac:dyDescent="0.25">
      <c r="N2324" s="23"/>
      <c r="O2324" s="30"/>
      <c r="P2324" s="30"/>
      <c r="Q2324" s="84"/>
      <c r="S2324" t="b">
        <v>1</v>
      </c>
    </row>
    <row r="2325" spans="14:19" x14ac:dyDescent="0.25">
      <c r="N2325" s="23"/>
      <c r="O2325" s="30"/>
      <c r="P2325" s="30"/>
      <c r="Q2325" s="84"/>
      <c r="S2325" t="b">
        <v>1</v>
      </c>
    </row>
    <row r="2326" spans="14:19" x14ac:dyDescent="0.25">
      <c r="N2326" s="23"/>
      <c r="O2326" s="30"/>
      <c r="P2326" s="30"/>
      <c r="Q2326" s="84"/>
      <c r="S2326" t="b">
        <v>1</v>
      </c>
    </row>
    <row r="2327" spans="14:19" x14ac:dyDescent="0.25">
      <c r="N2327" s="23"/>
      <c r="O2327" s="30"/>
      <c r="P2327" s="30"/>
      <c r="Q2327" s="84"/>
      <c r="S2327" t="b">
        <v>1</v>
      </c>
    </row>
    <row r="2328" spans="14:19" x14ac:dyDescent="0.25">
      <c r="N2328" s="23"/>
      <c r="O2328" s="30"/>
      <c r="P2328" s="30"/>
      <c r="Q2328" s="84"/>
      <c r="S2328" t="b">
        <v>1</v>
      </c>
    </row>
    <row r="2329" spans="14:19" x14ac:dyDescent="0.25">
      <c r="N2329" s="23"/>
      <c r="O2329" s="30"/>
      <c r="P2329" s="30"/>
      <c r="Q2329" s="84"/>
      <c r="S2329" t="b">
        <v>1</v>
      </c>
    </row>
    <row r="2330" spans="14:19" x14ac:dyDescent="0.25">
      <c r="N2330" s="23"/>
      <c r="O2330" s="30"/>
      <c r="P2330" s="30"/>
      <c r="Q2330" s="84"/>
      <c r="S2330" t="b">
        <v>1</v>
      </c>
    </row>
    <row r="2331" spans="14:19" x14ac:dyDescent="0.25">
      <c r="N2331" s="23"/>
      <c r="O2331" s="30"/>
      <c r="P2331" s="30"/>
      <c r="Q2331" s="84"/>
      <c r="S2331" t="b">
        <v>1</v>
      </c>
    </row>
    <row r="2332" spans="14:19" x14ac:dyDescent="0.25">
      <c r="N2332" s="23"/>
      <c r="O2332" s="30"/>
      <c r="P2332" s="30"/>
      <c r="Q2332" s="84"/>
      <c r="S2332" t="b">
        <v>1</v>
      </c>
    </row>
    <row r="2333" spans="14:19" x14ac:dyDescent="0.25">
      <c r="N2333" s="23"/>
      <c r="O2333" s="30"/>
      <c r="P2333" s="30"/>
      <c r="Q2333" s="84"/>
      <c r="S2333" t="b">
        <v>1</v>
      </c>
    </row>
    <row r="2334" spans="14:19" x14ac:dyDescent="0.25">
      <c r="N2334" s="23"/>
      <c r="O2334" s="30"/>
      <c r="P2334" s="30"/>
      <c r="Q2334" s="84"/>
      <c r="S2334" t="b">
        <v>1</v>
      </c>
    </row>
    <row r="2335" spans="14:19" x14ac:dyDescent="0.25">
      <c r="N2335" s="23"/>
      <c r="O2335" s="30"/>
      <c r="P2335" s="30"/>
      <c r="Q2335" s="84"/>
      <c r="S2335" t="b">
        <v>1</v>
      </c>
    </row>
    <row r="2336" spans="14:19" x14ac:dyDescent="0.25">
      <c r="N2336" s="23"/>
      <c r="O2336" s="30"/>
      <c r="P2336" s="30"/>
      <c r="Q2336" s="84"/>
      <c r="S2336" t="b">
        <v>1</v>
      </c>
    </row>
    <row r="2337" spans="14:19" x14ac:dyDescent="0.25">
      <c r="N2337" s="23"/>
      <c r="O2337" s="30"/>
      <c r="P2337" s="30"/>
      <c r="Q2337" s="84"/>
      <c r="S2337" t="b">
        <v>1</v>
      </c>
    </row>
    <row r="2338" spans="14:19" x14ac:dyDescent="0.25">
      <c r="N2338" s="23"/>
      <c r="O2338" s="30"/>
      <c r="P2338" s="30"/>
      <c r="Q2338" s="84"/>
      <c r="S2338" t="b">
        <v>1</v>
      </c>
    </row>
    <row r="2339" spans="14:19" x14ac:dyDescent="0.25">
      <c r="N2339" s="23"/>
      <c r="O2339" s="30"/>
      <c r="P2339" s="30"/>
      <c r="Q2339" s="84"/>
      <c r="S2339" t="b">
        <v>1</v>
      </c>
    </row>
    <row r="2340" spans="14:19" x14ac:dyDescent="0.25">
      <c r="N2340" s="23"/>
      <c r="O2340" s="30"/>
      <c r="P2340" s="30"/>
      <c r="Q2340" s="84"/>
      <c r="S2340" t="b">
        <v>1</v>
      </c>
    </row>
    <row r="2341" spans="14:19" x14ac:dyDescent="0.25">
      <c r="N2341" s="23"/>
      <c r="O2341" s="30"/>
      <c r="P2341" s="30"/>
      <c r="Q2341" s="84"/>
      <c r="S2341" t="b">
        <v>1</v>
      </c>
    </row>
    <row r="2342" spans="14:19" x14ac:dyDescent="0.25">
      <c r="N2342" s="23"/>
      <c r="O2342" s="30"/>
      <c r="P2342" s="30"/>
      <c r="Q2342" s="84"/>
      <c r="S2342" t="b">
        <v>1</v>
      </c>
    </row>
    <row r="2343" spans="14:19" x14ac:dyDescent="0.25">
      <c r="N2343" s="23"/>
      <c r="O2343" s="30"/>
      <c r="P2343" s="30"/>
      <c r="Q2343" s="84"/>
      <c r="S2343" t="b">
        <v>1</v>
      </c>
    </row>
    <row r="2344" spans="14:19" x14ac:dyDescent="0.25">
      <c r="N2344" s="23"/>
      <c r="O2344" s="30"/>
      <c r="P2344" s="30"/>
      <c r="Q2344" s="84"/>
      <c r="S2344" t="b">
        <v>1</v>
      </c>
    </row>
    <row r="2345" spans="14:19" x14ac:dyDescent="0.25">
      <c r="N2345" s="23"/>
      <c r="O2345" s="30"/>
      <c r="P2345" s="30"/>
      <c r="Q2345" s="84"/>
      <c r="S2345" t="b">
        <v>1</v>
      </c>
    </row>
    <row r="2346" spans="14:19" x14ac:dyDescent="0.25">
      <c r="N2346" s="23"/>
      <c r="O2346" s="30"/>
      <c r="P2346" s="30"/>
      <c r="Q2346" s="84"/>
      <c r="S2346" t="b">
        <v>1</v>
      </c>
    </row>
    <row r="2347" spans="14:19" x14ac:dyDescent="0.25">
      <c r="N2347" s="23"/>
      <c r="O2347" s="30"/>
      <c r="P2347" s="30"/>
      <c r="Q2347" s="84"/>
      <c r="S2347" t="b">
        <v>1</v>
      </c>
    </row>
    <row r="2348" spans="14:19" x14ac:dyDescent="0.25">
      <c r="N2348" s="23"/>
      <c r="O2348" s="30"/>
      <c r="P2348" s="30"/>
      <c r="Q2348" s="84"/>
      <c r="S2348" t="b">
        <v>1</v>
      </c>
    </row>
    <row r="2349" spans="14:19" x14ac:dyDescent="0.25">
      <c r="N2349" s="23"/>
      <c r="O2349" s="30"/>
      <c r="P2349" s="30"/>
      <c r="Q2349" s="84"/>
      <c r="S2349" t="b">
        <v>1</v>
      </c>
    </row>
    <row r="2350" spans="14:19" x14ac:dyDescent="0.25">
      <c r="N2350" s="23"/>
      <c r="O2350" s="30"/>
      <c r="P2350" s="30"/>
      <c r="Q2350" s="84"/>
      <c r="S2350" t="b">
        <v>1</v>
      </c>
    </row>
    <row r="2351" spans="14:19" x14ac:dyDescent="0.25">
      <c r="N2351" s="23"/>
      <c r="O2351" s="30"/>
      <c r="P2351" s="30"/>
      <c r="Q2351" s="84"/>
      <c r="S2351" t="b">
        <v>1</v>
      </c>
    </row>
    <row r="2352" spans="14:19" x14ac:dyDescent="0.25">
      <c r="N2352" s="23"/>
      <c r="O2352" s="30"/>
      <c r="P2352" s="30"/>
      <c r="Q2352" s="84"/>
      <c r="S2352" t="b">
        <v>1</v>
      </c>
    </row>
    <row r="2353" spans="14:19" x14ac:dyDescent="0.25">
      <c r="N2353" s="23"/>
      <c r="O2353" s="30"/>
      <c r="P2353" s="30"/>
      <c r="Q2353" s="84"/>
      <c r="S2353" t="b">
        <v>1</v>
      </c>
    </row>
    <row r="2354" spans="14:19" x14ac:dyDescent="0.25">
      <c r="N2354" s="23"/>
      <c r="O2354" s="30"/>
      <c r="P2354" s="30"/>
      <c r="Q2354" s="84"/>
      <c r="S2354" t="b">
        <v>1</v>
      </c>
    </row>
    <row r="2355" spans="14:19" x14ac:dyDescent="0.25">
      <c r="N2355" s="23"/>
      <c r="O2355" s="30"/>
      <c r="P2355" s="30"/>
      <c r="Q2355" s="84"/>
      <c r="S2355" t="b">
        <v>1</v>
      </c>
    </row>
    <row r="2356" spans="14:19" x14ac:dyDescent="0.25">
      <c r="N2356" s="23"/>
      <c r="O2356" s="30"/>
      <c r="P2356" s="30"/>
      <c r="Q2356" s="84"/>
      <c r="S2356" t="b">
        <v>1</v>
      </c>
    </row>
    <row r="2357" spans="14:19" x14ac:dyDescent="0.25">
      <c r="N2357" s="23"/>
      <c r="O2357" s="30"/>
      <c r="P2357" s="30"/>
      <c r="Q2357" s="84"/>
      <c r="S2357" t="b">
        <v>1</v>
      </c>
    </row>
    <row r="2358" spans="14:19" x14ac:dyDescent="0.25">
      <c r="N2358" s="23"/>
      <c r="O2358" s="30"/>
      <c r="P2358" s="30"/>
      <c r="Q2358" s="84"/>
      <c r="S2358" t="b">
        <v>1</v>
      </c>
    </row>
    <row r="2359" spans="14:19" x14ac:dyDescent="0.25">
      <c r="N2359" s="23"/>
      <c r="O2359" s="30"/>
      <c r="P2359" s="30"/>
      <c r="Q2359" s="84"/>
      <c r="S2359" t="b">
        <v>1</v>
      </c>
    </row>
    <row r="2360" spans="14:19" x14ac:dyDescent="0.25">
      <c r="N2360" s="23"/>
      <c r="O2360" s="30"/>
      <c r="P2360" s="30"/>
      <c r="Q2360" s="84"/>
      <c r="S2360" t="b">
        <v>1</v>
      </c>
    </row>
    <row r="2361" spans="14:19" x14ac:dyDescent="0.25">
      <c r="N2361" s="23"/>
      <c r="O2361" s="30"/>
      <c r="P2361" s="30"/>
      <c r="Q2361" s="84"/>
      <c r="S2361" t="b">
        <v>1</v>
      </c>
    </row>
    <row r="2362" spans="14:19" x14ac:dyDescent="0.25">
      <c r="N2362" s="23"/>
      <c r="O2362" s="30"/>
      <c r="P2362" s="30"/>
      <c r="Q2362" s="84"/>
      <c r="S2362" t="b">
        <v>1</v>
      </c>
    </row>
    <row r="2363" spans="14:19" x14ac:dyDescent="0.25">
      <c r="N2363" s="23"/>
      <c r="O2363" s="30"/>
      <c r="P2363" s="30"/>
      <c r="Q2363" s="84"/>
      <c r="S2363" t="b">
        <v>1</v>
      </c>
    </row>
    <row r="2364" spans="14:19" x14ac:dyDescent="0.25">
      <c r="N2364" s="23"/>
      <c r="O2364" s="30"/>
      <c r="P2364" s="30"/>
      <c r="Q2364" s="84"/>
      <c r="S2364" t="b">
        <v>1</v>
      </c>
    </row>
    <row r="2365" spans="14:19" x14ac:dyDescent="0.25">
      <c r="N2365" s="23"/>
      <c r="O2365" s="30"/>
      <c r="P2365" s="30"/>
      <c r="Q2365" s="84"/>
      <c r="S2365" t="b">
        <v>1</v>
      </c>
    </row>
    <row r="2366" spans="14:19" x14ac:dyDescent="0.25">
      <c r="N2366" s="23"/>
      <c r="O2366" s="30"/>
      <c r="P2366" s="30"/>
      <c r="Q2366" s="84"/>
      <c r="S2366" t="b">
        <v>1</v>
      </c>
    </row>
    <row r="2367" spans="14:19" x14ac:dyDescent="0.25">
      <c r="N2367" s="23"/>
      <c r="O2367" s="30"/>
      <c r="P2367" s="30"/>
      <c r="Q2367" s="84"/>
      <c r="S2367" t="b">
        <v>1</v>
      </c>
    </row>
    <row r="2368" spans="14:19" x14ac:dyDescent="0.25">
      <c r="N2368" s="23"/>
      <c r="O2368" s="30"/>
      <c r="P2368" s="30"/>
      <c r="Q2368" s="84"/>
      <c r="S2368" t="b">
        <v>1</v>
      </c>
    </row>
    <row r="2369" spans="14:19" x14ac:dyDescent="0.25">
      <c r="N2369" s="23"/>
      <c r="O2369" s="30"/>
      <c r="P2369" s="30"/>
      <c r="Q2369" s="84"/>
      <c r="S2369" t="b">
        <v>1</v>
      </c>
    </row>
    <row r="2370" spans="14:19" x14ac:dyDescent="0.25">
      <c r="N2370" s="23"/>
      <c r="O2370" s="30"/>
      <c r="P2370" s="30"/>
      <c r="Q2370" s="84"/>
      <c r="S2370" t="b">
        <v>1</v>
      </c>
    </row>
    <row r="2371" spans="14:19" x14ac:dyDescent="0.25">
      <c r="N2371" s="23"/>
      <c r="O2371" s="30"/>
      <c r="P2371" s="30"/>
      <c r="Q2371" s="84"/>
      <c r="S2371" t="b">
        <v>1</v>
      </c>
    </row>
    <row r="2372" spans="14:19" x14ac:dyDescent="0.25">
      <c r="N2372" s="23"/>
      <c r="O2372" s="30"/>
      <c r="P2372" s="30"/>
      <c r="Q2372" s="84"/>
      <c r="S2372" t="b">
        <v>1</v>
      </c>
    </row>
    <row r="2373" spans="14:19" x14ac:dyDescent="0.25">
      <c r="N2373" s="23"/>
      <c r="O2373" s="30"/>
      <c r="P2373" s="30"/>
      <c r="Q2373" s="84"/>
      <c r="S2373" t="b">
        <v>1</v>
      </c>
    </row>
    <row r="2374" spans="14:19" x14ac:dyDescent="0.25">
      <c r="N2374" s="23"/>
      <c r="O2374" s="30"/>
      <c r="P2374" s="30"/>
      <c r="Q2374" s="84"/>
      <c r="S2374" t="b">
        <v>1</v>
      </c>
    </row>
    <row r="2375" spans="14:19" x14ac:dyDescent="0.25">
      <c r="N2375" s="23"/>
      <c r="O2375" s="30"/>
      <c r="P2375" s="30"/>
      <c r="Q2375" s="84"/>
      <c r="S2375" t="b">
        <v>1</v>
      </c>
    </row>
    <row r="2376" spans="14:19" x14ac:dyDescent="0.25">
      <c r="N2376" s="23"/>
      <c r="O2376" s="30"/>
      <c r="P2376" s="30"/>
      <c r="Q2376" s="84"/>
      <c r="S2376" t="b">
        <v>1</v>
      </c>
    </row>
    <row r="2377" spans="14:19" x14ac:dyDescent="0.25">
      <c r="N2377" s="23"/>
      <c r="O2377" s="30"/>
      <c r="P2377" s="30"/>
      <c r="Q2377" s="84"/>
      <c r="S2377" t="b">
        <v>1</v>
      </c>
    </row>
    <row r="2378" spans="14:19" x14ac:dyDescent="0.25">
      <c r="N2378" s="23"/>
      <c r="O2378" s="30"/>
      <c r="P2378" s="30"/>
      <c r="Q2378" s="84"/>
      <c r="S2378" t="b">
        <v>1</v>
      </c>
    </row>
    <row r="2379" spans="14:19" x14ac:dyDescent="0.25">
      <c r="N2379" s="23"/>
      <c r="O2379" s="30"/>
      <c r="P2379" s="30"/>
      <c r="Q2379" s="84"/>
      <c r="S2379" t="b">
        <v>1</v>
      </c>
    </row>
    <row r="2380" spans="14:19" x14ac:dyDescent="0.25">
      <c r="N2380" s="23"/>
      <c r="O2380" s="30"/>
      <c r="P2380" s="30"/>
      <c r="Q2380" s="84"/>
      <c r="S2380" t="b">
        <v>1</v>
      </c>
    </row>
    <row r="2381" spans="14:19" x14ac:dyDescent="0.25">
      <c r="N2381" s="23"/>
      <c r="O2381" s="30"/>
      <c r="P2381" s="30"/>
      <c r="Q2381" s="84"/>
      <c r="S2381" t="b">
        <v>1</v>
      </c>
    </row>
    <row r="2382" spans="14:19" x14ac:dyDescent="0.25">
      <c r="N2382" s="23"/>
      <c r="O2382" s="30"/>
      <c r="P2382" s="30"/>
      <c r="Q2382" s="84"/>
      <c r="S2382" t="b">
        <v>1</v>
      </c>
    </row>
    <row r="2383" spans="14:19" x14ac:dyDescent="0.25">
      <c r="N2383" s="23"/>
      <c r="O2383" s="30"/>
      <c r="P2383" s="30"/>
      <c r="Q2383" s="84"/>
      <c r="S2383" t="b">
        <v>1</v>
      </c>
    </row>
    <row r="2384" spans="14:19" x14ac:dyDescent="0.25">
      <c r="N2384" s="23"/>
      <c r="O2384" s="30"/>
      <c r="P2384" s="30"/>
      <c r="Q2384" s="84"/>
      <c r="S2384" t="b">
        <v>1</v>
      </c>
    </row>
    <row r="2385" spans="14:19" x14ac:dyDescent="0.25">
      <c r="N2385" s="23"/>
      <c r="O2385" s="30"/>
      <c r="P2385" s="30"/>
      <c r="Q2385" s="84"/>
      <c r="S2385" t="b">
        <v>1</v>
      </c>
    </row>
    <row r="2386" spans="14:19" x14ac:dyDescent="0.25">
      <c r="N2386" s="23"/>
      <c r="O2386" s="30"/>
      <c r="P2386" s="30"/>
      <c r="Q2386" s="84"/>
      <c r="S2386" t="b">
        <v>1</v>
      </c>
    </row>
    <row r="2387" spans="14:19" x14ac:dyDescent="0.25">
      <c r="N2387" s="23"/>
      <c r="O2387" s="30"/>
      <c r="P2387" s="30"/>
      <c r="Q2387" s="84"/>
      <c r="S2387" t="b">
        <v>1</v>
      </c>
    </row>
    <row r="2388" spans="14:19" x14ac:dyDescent="0.25">
      <c r="N2388" s="23"/>
      <c r="O2388" s="30"/>
      <c r="P2388" s="30"/>
      <c r="Q2388" s="84"/>
      <c r="S2388" t="b">
        <v>1</v>
      </c>
    </row>
    <row r="2389" spans="14:19" x14ac:dyDescent="0.25">
      <c r="N2389" s="23"/>
      <c r="O2389" s="30"/>
      <c r="P2389" s="30"/>
      <c r="Q2389" s="84"/>
      <c r="S2389" t="b">
        <v>1</v>
      </c>
    </row>
    <row r="2390" spans="14:19" x14ac:dyDescent="0.25">
      <c r="N2390" s="23"/>
      <c r="O2390" s="30"/>
      <c r="P2390" s="30"/>
      <c r="Q2390" s="84"/>
      <c r="S2390" t="b">
        <v>1</v>
      </c>
    </row>
    <row r="2391" spans="14:19" x14ac:dyDescent="0.25">
      <c r="N2391" s="23"/>
      <c r="O2391" s="30"/>
      <c r="P2391" s="30"/>
      <c r="Q2391" s="84"/>
      <c r="S2391" t="b">
        <v>1</v>
      </c>
    </row>
    <row r="2392" spans="14:19" x14ac:dyDescent="0.25">
      <c r="N2392" s="23"/>
      <c r="O2392" s="30"/>
      <c r="P2392" s="30"/>
      <c r="Q2392" s="84"/>
      <c r="S2392" t="b">
        <v>1</v>
      </c>
    </row>
    <row r="2393" spans="14:19" x14ac:dyDescent="0.25">
      <c r="N2393" s="23"/>
      <c r="O2393" s="30"/>
      <c r="P2393" s="30"/>
      <c r="Q2393" s="84"/>
      <c r="S2393" t="b">
        <v>1</v>
      </c>
    </row>
    <row r="2394" spans="14:19" x14ac:dyDescent="0.25">
      <c r="N2394" s="23"/>
      <c r="O2394" s="30"/>
      <c r="P2394" s="30"/>
      <c r="Q2394" s="84"/>
      <c r="S2394" t="b">
        <v>1</v>
      </c>
    </row>
    <row r="2395" spans="14:19" x14ac:dyDescent="0.25">
      <c r="N2395" s="23"/>
      <c r="O2395" s="30"/>
      <c r="P2395" s="30"/>
      <c r="Q2395" s="84"/>
      <c r="S2395" t="b">
        <v>1</v>
      </c>
    </row>
    <row r="2396" spans="14:19" x14ac:dyDescent="0.25">
      <c r="N2396" s="23"/>
      <c r="O2396" s="30"/>
      <c r="P2396" s="30"/>
      <c r="Q2396" s="84"/>
      <c r="S2396" t="b">
        <v>1</v>
      </c>
    </row>
    <row r="2397" spans="14:19" x14ac:dyDescent="0.25">
      <c r="N2397" s="23"/>
      <c r="O2397" s="30"/>
      <c r="P2397" s="30"/>
      <c r="Q2397" s="84"/>
      <c r="S2397" t="b">
        <v>1</v>
      </c>
    </row>
    <row r="2398" spans="14:19" x14ac:dyDescent="0.25">
      <c r="N2398" s="23"/>
      <c r="O2398" s="30"/>
      <c r="P2398" s="30"/>
      <c r="Q2398" s="84"/>
      <c r="S2398" t="b">
        <v>1</v>
      </c>
    </row>
    <row r="2399" spans="14:19" x14ac:dyDescent="0.25">
      <c r="N2399" s="23"/>
      <c r="O2399" s="30"/>
      <c r="P2399" s="30"/>
      <c r="Q2399" s="84"/>
      <c r="S2399" t="b">
        <v>1</v>
      </c>
    </row>
    <row r="2400" spans="14:19" x14ac:dyDescent="0.25">
      <c r="N2400" s="23"/>
      <c r="O2400" s="30"/>
      <c r="P2400" s="30"/>
      <c r="Q2400" s="84"/>
      <c r="S2400" t="b">
        <v>1</v>
      </c>
    </row>
    <row r="2401" spans="14:19" x14ac:dyDescent="0.25">
      <c r="N2401" s="23"/>
      <c r="O2401" s="30"/>
      <c r="P2401" s="30"/>
      <c r="Q2401" s="84"/>
      <c r="S2401" t="b">
        <v>1</v>
      </c>
    </row>
    <row r="2402" spans="14:19" x14ac:dyDescent="0.25">
      <c r="N2402" s="23"/>
      <c r="O2402" s="30"/>
      <c r="P2402" s="30"/>
      <c r="Q2402" s="84"/>
      <c r="S2402" t="b">
        <v>1</v>
      </c>
    </row>
    <row r="2403" spans="14:19" x14ac:dyDescent="0.25">
      <c r="N2403" s="23"/>
      <c r="O2403" s="30"/>
      <c r="P2403" s="30"/>
      <c r="Q2403" s="84"/>
      <c r="S2403" t="b">
        <v>1</v>
      </c>
    </row>
    <row r="2404" spans="14:19" x14ac:dyDescent="0.25">
      <c r="N2404" s="23"/>
      <c r="O2404" s="30"/>
      <c r="P2404" s="30"/>
      <c r="Q2404" s="84"/>
      <c r="S2404" t="b">
        <v>1</v>
      </c>
    </row>
    <row r="2405" spans="14:19" x14ac:dyDescent="0.25">
      <c r="N2405" s="23"/>
      <c r="O2405" s="30"/>
      <c r="P2405" s="30"/>
      <c r="Q2405" s="84"/>
      <c r="S2405" t="b">
        <v>1</v>
      </c>
    </row>
    <row r="2406" spans="14:19" x14ac:dyDescent="0.25">
      <c r="N2406" s="23"/>
      <c r="O2406" s="30"/>
      <c r="P2406" s="30"/>
      <c r="Q2406" s="84"/>
      <c r="S2406" t="b">
        <v>1</v>
      </c>
    </row>
    <row r="2407" spans="14:19" x14ac:dyDescent="0.25">
      <c r="N2407" s="23"/>
      <c r="O2407" s="30"/>
      <c r="P2407" s="30"/>
      <c r="Q2407" s="84"/>
      <c r="S2407" t="b">
        <v>1</v>
      </c>
    </row>
    <row r="2408" spans="14:19" x14ac:dyDescent="0.25">
      <c r="N2408" s="23"/>
      <c r="O2408" s="30"/>
      <c r="P2408" s="30"/>
      <c r="Q2408" s="84"/>
      <c r="S2408" t="b">
        <v>1</v>
      </c>
    </row>
    <row r="2409" spans="14:19" x14ac:dyDescent="0.25">
      <c r="N2409" s="23"/>
      <c r="O2409" s="30"/>
      <c r="P2409" s="30"/>
      <c r="Q2409" s="84"/>
      <c r="S2409" t="b">
        <v>1</v>
      </c>
    </row>
    <row r="2410" spans="14:19" x14ac:dyDescent="0.25">
      <c r="N2410" s="23"/>
      <c r="O2410" s="30"/>
      <c r="P2410" s="30"/>
      <c r="Q2410" s="84"/>
      <c r="S2410" t="b">
        <v>1</v>
      </c>
    </row>
    <row r="2411" spans="14:19" x14ac:dyDescent="0.25">
      <c r="N2411" s="23"/>
      <c r="O2411" s="30"/>
      <c r="P2411" s="30"/>
      <c r="Q2411" s="84"/>
      <c r="S2411" t="b">
        <v>1</v>
      </c>
    </row>
    <row r="2412" spans="14:19" x14ac:dyDescent="0.25">
      <c r="N2412" s="23"/>
      <c r="O2412" s="30"/>
      <c r="P2412" s="30"/>
      <c r="Q2412" s="84"/>
      <c r="S2412" t="b">
        <v>1</v>
      </c>
    </row>
    <row r="2413" spans="14:19" x14ac:dyDescent="0.25">
      <c r="N2413" s="23"/>
      <c r="O2413" s="30"/>
      <c r="P2413" s="30"/>
      <c r="Q2413" s="84"/>
      <c r="S2413" t="b">
        <v>1</v>
      </c>
    </row>
    <row r="2414" spans="14:19" x14ac:dyDescent="0.25">
      <c r="N2414" s="23"/>
      <c r="O2414" s="30"/>
      <c r="P2414" s="30"/>
      <c r="Q2414" s="84"/>
      <c r="S2414" t="b">
        <v>1</v>
      </c>
    </row>
    <row r="2415" spans="14:19" x14ac:dyDescent="0.25">
      <c r="N2415" s="23"/>
      <c r="O2415" s="30"/>
      <c r="P2415" s="30"/>
      <c r="Q2415" s="84"/>
      <c r="S2415" t="b">
        <v>1</v>
      </c>
    </row>
    <row r="2416" spans="14:19" x14ac:dyDescent="0.25">
      <c r="N2416" s="23"/>
      <c r="O2416" s="30"/>
      <c r="P2416" s="30"/>
      <c r="Q2416" s="84"/>
      <c r="S2416" t="b">
        <v>1</v>
      </c>
    </row>
    <row r="2417" spans="14:19" x14ac:dyDescent="0.25">
      <c r="N2417" s="23"/>
      <c r="O2417" s="30"/>
      <c r="P2417" s="30"/>
      <c r="Q2417" s="84"/>
      <c r="S2417" t="b">
        <v>1</v>
      </c>
    </row>
    <row r="2418" spans="14:19" x14ac:dyDescent="0.25">
      <c r="N2418" s="23"/>
      <c r="O2418" s="30"/>
      <c r="P2418" s="30"/>
      <c r="Q2418" s="84"/>
      <c r="S2418" t="b">
        <v>1</v>
      </c>
    </row>
    <row r="2419" spans="14:19" x14ac:dyDescent="0.25">
      <c r="N2419" s="23"/>
      <c r="O2419" s="30"/>
      <c r="P2419" s="30"/>
      <c r="Q2419" s="84"/>
      <c r="S2419" t="b">
        <v>1</v>
      </c>
    </row>
    <row r="2420" spans="14:19" x14ac:dyDescent="0.25">
      <c r="N2420" s="23"/>
      <c r="O2420" s="30"/>
      <c r="P2420" s="30"/>
      <c r="Q2420" s="84"/>
      <c r="S2420" t="b">
        <v>1</v>
      </c>
    </row>
    <row r="2421" spans="14:19" x14ac:dyDescent="0.25">
      <c r="N2421" s="23"/>
      <c r="O2421" s="30"/>
      <c r="P2421" s="30"/>
      <c r="Q2421" s="84"/>
      <c r="S2421" t="b">
        <v>1</v>
      </c>
    </row>
    <row r="2422" spans="14:19" x14ac:dyDescent="0.25">
      <c r="N2422" s="23"/>
      <c r="O2422" s="30"/>
      <c r="P2422" s="30"/>
      <c r="Q2422" s="84"/>
      <c r="S2422" t="b">
        <v>1</v>
      </c>
    </row>
    <row r="2423" spans="14:19" x14ac:dyDescent="0.25">
      <c r="N2423" s="23"/>
      <c r="O2423" s="30"/>
      <c r="P2423" s="30"/>
      <c r="Q2423" s="84"/>
      <c r="S2423" t="b">
        <v>1</v>
      </c>
    </row>
    <row r="2424" spans="14:19" x14ac:dyDescent="0.25">
      <c r="N2424" s="23"/>
      <c r="O2424" s="30"/>
      <c r="P2424" s="30"/>
      <c r="Q2424" s="84"/>
      <c r="S2424" t="b">
        <v>1</v>
      </c>
    </row>
    <row r="2425" spans="14:19" x14ac:dyDescent="0.25">
      <c r="N2425" s="23"/>
      <c r="O2425" s="30"/>
      <c r="P2425" s="30"/>
      <c r="Q2425" s="84"/>
      <c r="S2425" t="b">
        <v>1</v>
      </c>
    </row>
    <row r="2426" spans="14:19" x14ac:dyDescent="0.25">
      <c r="N2426" s="23"/>
      <c r="O2426" s="30"/>
      <c r="P2426" s="30"/>
      <c r="Q2426" s="84"/>
      <c r="S2426" t="b">
        <v>1</v>
      </c>
    </row>
    <row r="2427" spans="14:19" x14ac:dyDescent="0.25">
      <c r="N2427" s="23"/>
      <c r="O2427" s="30"/>
      <c r="P2427" s="30"/>
      <c r="Q2427" s="84"/>
      <c r="S2427" t="b">
        <v>1</v>
      </c>
    </row>
    <row r="2428" spans="14:19" x14ac:dyDescent="0.25">
      <c r="N2428" s="23"/>
      <c r="O2428" s="30"/>
      <c r="P2428" s="30"/>
      <c r="Q2428" s="84"/>
      <c r="S2428" t="b">
        <v>1</v>
      </c>
    </row>
    <row r="2429" spans="14:19" x14ac:dyDescent="0.25">
      <c r="N2429" s="23"/>
      <c r="O2429" s="30"/>
      <c r="P2429" s="30"/>
      <c r="Q2429" s="84"/>
      <c r="S2429" t="b">
        <v>1</v>
      </c>
    </row>
    <row r="2430" spans="14:19" x14ac:dyDescent="0.25">
      <c r="N2430" s="23"/>
      <c r="O2430" s="30"/>
      <c r="P2430" s="30"/>
      <c r="Q2430" s="84"/>
      <c r="S2430" t="b">
        <v>1</v>
      </c>
    </row>
    <row r="2431" spans="14:19" x14ac:dyDescent="0.25">
      <c r="N2431" s="23"/>
      <c r="O2431" s="30"/>
      <c r="P2431" s="30"/>
      <c r="Q2431" s="84"/>
      <c r="S2431" t="b">
        <v>1</v>
      </c>
    </row>
    <row r="2432" spans="14:19" x14ac:dyDescent="0.25">
      <c r="N2432" s="23"/>
      <c r="O2432" s="30"/>
      <c r="P2432" s="30"/>
      <c r="Q2432" s="84"/>
      <c r="S2432" t="b">
        <v>1</v>
      </c>
    </row>
    <row r="2433" spans="14:19" x14ac:dyDescent="0.25">
      <c r="N2433" s="23"/>
      <c r="O2433" s="30"/>
      <c r="P2433" s="30"/>
      <c r="Q2433" s="84"/>
      <c r="S2433" t="b">
        <v>1</v>
      </c>
    </row>
    <row r="2434" spans="14:19" x14ac:dyDescent="0.25">
      <c r="N2434" s="23"/>
      <c r="O2434" s="30"/>
      <c r="P2434" s="30"/>
      <c r="Q2434" s="84"/>
      <c r="S2434" t="b">
        <v>1</v>
      </c>
    </row>
    <row r="2435" spans="14:19" x14ac:dyDescent="0.25">
      <c r="N2435" s="23"/>
      <c r="O2435" s="30"/>
      <c r="P2435" s="30"/>
      <c r="Q2435" s="84"/>
      <c r="S2435" t="b">
        <v>1</v>
      </c>
    </row>
    <row r="2436" spans="14:19" x14ac:dyDescent="0.25">
      <c r="N2436" s="23"/>
      <c r="O2436" s="30"/>
      <c r="P2436" s="30"/>
      <c r="Q2436" s="84"/>
      <c r="S2436" t="b">
        <v>1</v>
      </c>
    </row>
    <row r="2437" spans="14:19" x14ac:dyDescent="0.25">
      <c r="N2437" s="23"/>
      <c r="O2437" s="30"/>
      <c r="P2437" s="30"/>
      <c r="Q2437" s="84"/>
      <c r="S2437" t="b">
        <v>1</v>
      </c>
    </row>
    <row r="2438" spans="14:19" x14ac:dyDescent="0.25">
      <c r="N2438" s="23"/>
      <c r="O2438" s="30"/>
      <c r="P2438" s="30"/>
      <c r="Q2438" s="84"/>
      <c r="S2438" t="b">
        <v>1</v>
      </c>
    </row>
    <row r="2439" spans="14:19" x14ac:dyDescent="0.25">
      <c r="N2439" s="23"/>
      <c r="O2439" s="30"/>
      <c r="P2439" s="30"/>
      <c r="Q2439" s="84"/>
      <c r="S2439" t="b">
        <v>1</v>
      </c>
    </row>
    <row r="2440" spans="14:19" x14ac:dyDescent="0.25">
      <c r="N2440" s="23"/>
      <c r="O2440" s="30"/>
      <c r="P2440" s="30"/>
      <c r="Q2440" s="84"/>
      <c r="S2440" t="b">
        <v>1</v>
      </c>
    </row>
    <row r="2441" spans="14:19" x14ac:dyDescent="0.25">
      <c r="N2441" s="23"/>
      <c r="O2441" s="30"/>
      <c r="P2441" s="30"/>
      <c r="Q2441" s="84"/>
      <c r="S2441" t="b">
        <v>1</v>
      </c>
    </row>
    <row r="2442" spans="14:19" x14ac:dyDescent="0.25">
      <c r="N2442" s="23"/>
      <c r="O2442" s="30"/>
      <c r="P2442" s="30"/>
      <c r="Q2442" s="84"/>
      <c r="S2442" t="b">
        <v>1</v>
      </c>
    </row>
    <row r="2443" spans="14:19" x14ac:dyDescent="0.25">
      <c r="N2443" s="23"/>
      <c r="O2443" s="30"/>
      <c r="P2443" s="30"/>
      <c r="Q2443" s="84"/>
      <c r="S2443" t="b">
        <v>1</v>
      </c>
    </row>
    <row r="2444" spans="14:19" x14ac:dyDescent="0.25">
      <c r="N2444" s="23"/>
      <c r="O2444" s="30"/>
      <c r="P2444" s="30"/>
      <c r="Q2444" s="84"/>
      <c r="S2444" t="b">
        <v>1</v>
      </c>
    </row>
    <row r="2445" spans="14:19" x14ac:dyDescent="0.25">
      <c r="N2445" s="23"/>
      <c r="O2445" s="30"/>
      <c r="P2445" s="30"/>
      <c r="Q2445" s="84"/>
      <c r="S2445" t="b">
        <v>1</v>
      </c>
    </row>
    <row r="2446" spans="14:19" x14ac:dyDescent="0.25">
      <c r="N2446" s="23"/>
      <c r="O2446" s="30"/>
      <c r="P2446" s="30"/>
      <c r="Q2446" s="84"/>
      <c r="S2446" t="b">
        <v>1</v>
      </c>
    </row>
    <row r="2447" spans="14:19" x14ac:dyDescent="0.25">
      <c r="N2447" s="23"/>
      <c r="O2447" s="30"/>
      <c r="P2447" s="30"/>
      <c r="Q2447" s="84"/>
      <c r="S2447" t="b">
        <v>1</v>
      </c>
    </row>
    <row r="2448" spans="14:19" x14ac:dyDescent="0.25">
      <c r="N2448" s="23"/>
      <c r="O2448" s="30"/>
      <c r="P2448" s="30"/>
      <c r="Q2448" s="84"/>
      <c r="S2448" t="b">
        <v>1</v>
      </c>
    </row>
    <row r="2449" spans="14:19" x14ac:dyDescent="0.25">
      <c r="N2449" s="23"/>
      <c r="O2449" s="30"/>
      <c r="P2449" s="30"/>
      <c r="Q2449" s="84"/>
      <c r="S2449" t="b">
        <v>1</v>
      </c>
    </row>
    <row r="2450" spans="14:19" x14ac:dyDescent="0.25">
      <c r="N2450" s="23"/>
      <c r="O2450" s="30"/>
      <c r="P2450" s="30"/>
      <c r="Q2450" s="84"/>
      <c r="S2450" t="b">
        <v>1</v>
      </c>
    </row>
    <row r="2451" spans="14:19" x14ac:dyDescent="0.25">
      <c r="N2451" s="23"/>
      <c r="O2451" s="30"/>
      <c r="P2451" s="30"/>
      <c r="Q2451" s="84"/>
      <c r="S2451" t="b">
        <v>1</v>
      </c>
    </row>
    <row r="2452" spans="14:19" x14ac:dyDescent="0.25">
      <c r="N2452" s="23"/>
      <c r="O2452" s="30"/>
      <c r="P2452" s="30"/>
      <c r="Q2452" s="84"/>
      <c r="S2452" t="b">
        <v>1</v>
      </c>
    </row>
    <row r="2453" spans="14:19" x14ac:dyDescent="0.25">
      <c r="N2453" s="23"/>
      <c r="O2453" s="30"/>
      <c r="P2453" s="30"/>
      <c r="Q2453" s="84"/>
      <c r="S2453" t="b">
        <v>1</v>
      </c>
    </row>
    <row r="2454" spans="14:19" x14ac:dyDescent="0.25">
      <c r="N2454" s="23"/>
      <c r="O2454" s="30"/>
      <c r="P2454" s="30"/>
      <c r="Q2454" s="84"/>
      <c r="S2454" t="b">
        <v>1</v>
      </c>
    </row>
    <row r="2455" spans="14:19" x14ac:dyDescent="0.25">
      <c r="N2455" s="23"/>
      <c r="O2455" s="30"/>
      <c r="P2455" s="30"/>
      <c r="Q2455" s="84"/>
      <c r="S2455" t="b">
        <v>1</v>
      </c>
    </row>
    <row r="2456" spans="14:19" x14ac:dyDescent="0.25">
      <c r="N2456" s="23"/>
      <c r="O2456" s="30"/>
      <c r="P2456" s="30"/>
      <c r="Q2456" s="84"/>
      <c r="S2456" t="b">
        <v>1</v>
      </c>
    </row>
    <row r="2457" spans="14:19" x14ac:dyDescent="0.25">
      <c r="N2457" s="23"/>
      <c r="O2457" s="30"/>
      <c r="P2457" s="30"/>
      <c r="Q2457" s="84"/>
      <c r="S2457" t="b">
        <v>1</v>
      </c>
    </row>
    <row r="2458" spans="14:19" x14ac:dyDescent="0.25">
      <c r="N2458" s="23"/>
      <c r="O2458" s="30"/>
      <c r="P2458" s="30"/>
      <c r="Q2458" s="84"/>
      <c r="S2458" t="b">
        <v>1</v>
      </c>
    </row>
    <row r="2459" spans="14:19" x14ac:dyDescent="0.25">
      <c r="N2459" s="23"/>
      <c r="O2459" s="30"/>
      <c r="P2459" s="30"/>
      <c r="Q2459" s="84"/>
      <c r="S2459" t="b">
        <v>1</v>
      </c>
    </row>
    <row r="2460" spans="14:19" x14ac:dyDescent="0.25">
      <c r="N2460" s="23"/>
      <c r="O2460" s="30"/>
      <c r="P2460" s="30"/>
      <c r="Q2460" s="84"/>
      <c r="S2460" t="b">
        <v>1</v>
      </c>
    </row>
    <row r="2461" spans="14:19" x14ac:dyDescent="0.25">
      <c r="N2461" s="23"/>
      <c r="O2461" s="30"/>
      <c r="P2461" s="30"/>
      <c r="Q2461" s="84"/>
      <c r="S2461" t="b">
        <v>1</v>
      </c>
    </row>
    <row r="2462" spans="14:19" x14ac:dyDescent="0.25">
      <c r="N2462" s="23"/>
      <c r="O2462" s="30"/>
      <c r="P2462" s="30"/>
      <c r="Q2462" s="84"/>
      <c r="S2462" t="b">
        <v>1</v>
      </c>
    </row>
    <row r="2463" spans="14:19" x14ac:dyDescent="0.25">
      <c r="N2463" s="23"/>
      <c r="O2463" s="30"/>
      <c r="P2463" s="30"/>
      <c r="Q2463" s="84"/>
      <c r="S2463" t="b">
        <v>1</v>
      </c>
    </row>
    <row r="2464" spans="14:19" x14ac:dyDescent="0.25">
      <c r="N2464" s="23"/>
      <c r="O2464" s="30"/>
      <c r="P2464" s="30"/>
      <c r="Q2464" s="84"/>
      <c r="S2464" t="b">
        <v>1</v>
      </c>
    </row>
    <row r="2465" spans="14:19" x14ac:dyDescent="0.25">
      <c r="N2465" s="23"/>
      <c r="O2465" s="30"/>
      <c r="P2465" s="30"/>
      <c r="Q2465" s="84"/>
      <c r="S2465" t="b">
        <v>1</v>
      </c>
    </row>
    <row r="2466" spans="14:19" x14ac:dyDescent="0.25">
      <c r="N2466" s="23"/>
      <c r="O2466" s="30"/>
      <c r="P2466" s="30"/>
      <c r="Q2466" s="84"/>
      <c r="S2466" t="b">
        <v>1</v>
      </c>
    </row>
    <row r="2467" spans="14:19" x14ac:dyDescent="0.25">
      <c r="N2467" s="23"/>
      <c r="O2467" s="30"/>
      <c r="P2467" s="30"/>
      <c r="Q2467" s="84"/>
      <c r="S2467" t="b">
        <v>1</v>
      </c>
    </row>
    <row r="2468" spans="14:19" x14ac:dyDescent="0.25">
      <c r="N2468" s="23"/>
      <c r="O2468" s="30"/>
      <c r="P2468" s="30"/>
      <c r="Q2468" s="84"/>
      <c r="S2468" t="b">
        <v>1</v>
      </c>
    </row>
    <row r="2469" spans="14:19" x14ac:dyDescent="0.25">
      <c r="N2469" s="23"/>
      <c r="O2469" s="30"/>
      <c r="P2469" s="30"/>
      <c r="Q2469" s="84"/>
      <c r="S2469" t="b">
        <v>1</v>
      </c>
    </row>
    <row r="2470" spans="14:19" x14ac:dyDescent="0.25">
      <c r="N2470" s="23"/>
      <c r="O2470" s="30"/>
      <c r="P2470" s="30"/>
      <c r="Q2470" s="84"/>
      <c r="S2470" t="b">
        <v>1</v>
      </c>
    </row>
    <row r="2471" spans="14:19" x14ac:dyDescent="0.25">
      <c r="N2471" s="23"/>
      <c r="O2471" s="30"/>
      <c r="P2471" s="30"/>
      <c r="Q2471" s="84"/>
      <c r="S2471" t="b">
        <v>1</v>
      </c>
    </row>
    <row r="2472" spans="14:19" x14ac:dyDescent="0.25">
      <c r="N2472" s="23"/>
      <c r="O2472" s="30"/>
      <c r="P2472" s="30"/>
      <c r="Q2472" s="84"/>
      <c r="S2472" t="b">
        <v>1</v>
      </c>
    </row>
    <row r="2473" spans="14:19" x14ac:dyDescent="0.25">
      <c r="N2473" s="23"/>
      <c r="O2473" s="30"/>
      <c r="P2473" s="30"/>
      <c r="Q2473" s="84"/>
      <c r="S2473" t="b">
        <v>1</v>
      </c>
    </row>
    <row r="2474" spans="14:19" x14ac:dyDescent="0.25">
      <c r="N2474" s="23"/>
      <c r="O2474" s="30"/>
      <c r="P2474" s="30"/>
      <c r="Q2474" s="84"/>
      <c r="S2474" t="b">
        <v>1</v>
      </c>
    </row>
    <row r="2475" spans="14:19" x14ac:dyDescent="0.25">
      <c r="N2475" s="23"/>
      <c r="O2475" s="30"/>
      <c r="P2475" s="30"/>
      <c r="Q2475" s="84"/>
      <c r="S2475" t="b">
        <v>1</v>
      </c>
    </row>
    <row r="2476" spans="14:19" x14ac:dyDescent="0.25">
      <c r="N2476" s="23"/>
      <c r="O2476" s="30"/>
      <c r="P2476" s="30"/>
      <c r="Q2476" s="84"/>
      <c r="S2476" t="b">
        <v>1</v>
      </c>
    </row>
    <row r="2477" spans="14:19" x14ac:dyDescent="0.25">
      <c r="N2477" s="23"/>
      <c r="O2477" s="30"/>
      <c r="P2477" s="30"/>
      <c r="Q2477" s="84"/>
      <c r="S2477" t="b">
        <v>1</v>
      </c>
    </row>
    <row r="2478" spans="14:19" x14ac:dyDescent="0.25">
      <c r="N2478" s="23"/>
      <c r="O2478" s="30"/>
      <c r="P2478" s="30"/>
      <c r="Q2478" s="84"/>
      <c r="S2478" t="b">
        <v>1</v>
      </c>
    </row>
    <row r="2479" spans="14:19" x14ac:dyDescent="0.25">
      <c r="N2479" s="23"/>
      <c r="O2479" s="30"/>
      <c r="P2479" s="30"/>
      <c r="Q2479" s="84"/>
      <c r="S2479" t="b">
        <v>1</v>
      </c>
    </row>
    <row r="2480" spans="14:19" x14ac:dyDescent="0.25">
      <c r="N2480" s="23"/>
      <c r="O2480" s="30"/>
      <c r="P2480" s="30"/>
      <c r="Q2480" s="84"/>
      <c r="S2480" t="b">
        <v>1</v>
      </c>
    </row>
    <row r="2481" spans="14:19" x14ac:dyDescent="0.25">
      <c r="N2481" s="23"/>
      <c r="O2481" s="30"/>
      <c r="P2481" s="30"/>
      <c r="Q2481" s="84"/>
      <c r="S2481" t="b">
        <v>1</v>
      </c>
    </row>
    <row r="2482" spans="14:19" x14ac:dyDescent="0.25">
      <c r="N2482" s="23"/>
      <c r="O2482" s="30"/>
      <c r="P2482" s="30"/>
      <c r="Q2482" s="84"/>
      <c r="S2482" t="b">
        <v>1</v>
      </c>
    </row>
    <row r="2483" spans="14:19" x14ac:dyDescent="0.25">
      <c r="N2483" s="23"/>
      <c r="O2483" s="30"/>
      <c r="P2483" s="30"/>
      <c r="Q2483" s="84"/>
      <c r="S2483" t="b">
        <v>1</v>
      </c>
    </row>
    <row r="2484" spans="14:19" x14ac:dyDescent="0.25">
      <c r="N2484" s="23"/>
      <c r="O2484" s="30"/>
      <c r="P2484" s="30"/>
      <c r="Q2484" s="84"/>
      <c r="S2484" t="b">
        <v>1</v>
      </c>
    </row>
    <row r="2485" spans="14:19" x14ac:dyDescent="0.25">
      <c r="N2485" s="23"/>
      <c r="O2485" s="30"/>
      <c r="P2485" s="30"/>
      <c r="Q2485" s="84"/>
      <c r="S2485" t="b">
        <v>1</v>
      </c>
    </row>
    <row r="2486" spans="14:19" x14ac:dyDescent="0.25">
      <c r="N2486" s="23"/>
      <c r="O2486" s="30"/>
      <c r="P2486" s="30"/>
      <c r="Q2486" s="84"/>
      <c r="S2486" t="b">
        <v>1</v>
      </c>
    </row>
    <row r="2487" spans="14:19" x14ac:dyDescent="0.25">
      <c r="N2487" s="23"/>
      <c r="O2487" s="30"/>
      <c r="P2487" s="30"/>
      <c r="Q2487" s="84"/>
      <c r="S2487" t="b">
        <v>1</v>
      </c>
    </row>
    <row r="2488" spans="14:19" x14ac:dyDescent="0.25">
      <c r="N2488" s="23"/>
      <c r="O2488" s="30"/>
      <c r="P2488" s="30"/>
      <c r="Q2488" s="84"/>
      <c r="S2488" t="b">
        <v>1</v>
      </c>
    </row>
    <row r="2489" spans="14:19" x14ac:dyDescent="0.25">
      <c r="N2489" s="23"/>
      <c r="O2489" s="30"/>
      <c r="P2489" s="30"/>
      <c r="Q2489" s="84"/>
      <c r="S2489" t="b">
        <v>1</v>
      </c>
    </row>
    <row r="2490" spans="14:19" x14ac:dyDescent="0.25">
      <c r="N2490" s="23"/>
      <c r="O2490" s="30"/>
      <c r="P2490" s="30"/>
      <c r="Q2490" s="84"/>
      <c r="S2490" t="b">
        <v>1</v>
      </c>
    </row>
    <row r="2491" spans="14:19" x14ac:dyDescent="0.25">
      <c r="N2491" s="23"/>
      <c r="O2491" s="30"/>
      <c r="P2491" s="30"/>
      <c r="Q2491" s="84"/>
      <c r="S2491" t="b">
        <v>1</v>
      </c>
    </row>
    <row r="2492" spans="14:19" x14ac:dyDescent="0.25">
      <c r="N2492" s="23"/>
      <c r="O2492" s="30"/>
      <c r="P2492" s="30"/>
      <c r="Q2492" s="84"/>
      <c r="S2492" t="b">
        <v>1</v>
      </c>
    </row>
    <row r="2493" spans="14:19" x14ac:dyDescent="0.25">
      <c r="N2493" s="23"/>
      <c r="O2493" s="30"/>
      <c r="P2493" s="30"/>
      <c r="Q2493" s="84"/>
      <c r="S2493" t="b">
        <v>1</v>
      </c>
    </row>
    <row r="2494" spans="14:19" x14ac:dyDescent="0.25">
      <c r="N2494" s="23"/>
      <c r="O2494" s="30"/>
      <c r="P2494" s="30"/>
      <c r="Q2494" s="84"/>
      <c r="S2494" t="b">
        <v>1</v>
      </c>
    </row>
    <row r="2495" spans="14:19" x14ac:dyDescent="0.25">
      <c r="N2495" s="23"/>
      <c r="O2495" s="30"/>
      <c r="P2495" s="30"/>
      <c r="Q2495" s="84"/>
      <c r="S2495" t="b">
        <v>1</v>
      </c>
    </row>
    <row r="2496" spans="14:19" x14ac:dyDescent="0.25">
      <c r="N2496" s="23"/>
      <c r="O2496" s="30"/>
      <c r="P2496" s="30"/>
      <c r="Q2496" s="84"/>
      <c r="S2496" t="b">
        <v>1</v>
      </c>
    </row>
    <row r="2497" spans="14:19" x14ac:dyDescent="0.25">
      <c r="N2497" s="23"/>
      <c r="O2497" s="30"/>
      <c r="P2497" s="30"/>
      <c r="Q2497" s="84"/>
      <c r="S2497" t="b">
        <v>1</v>
      </c>
    </row>
    <row r="2498" spans="14:19" x14ac:dyDescent="0.25">
      <c r="N2498" s="23"/>
      <c r="O2498" s="30"/>
      <c r="P2498" s="30"/>
      <c r="Q2498" s="84"/>
      <c r="S2498" t="b">
        <v>1</v>
      </c>
    </row>
    <row r="2499" spans="14:19" x14ac:dyDescent="0.25">
      <c r="N2499" s="23"/>
      <c r="O2499" s="30"/>
      <c r="P2499" s="30"/>
      <c r="Q2499" s="84"/>
      <c r="S2499" t="b">
        <v>1</v>
      </c>
    </row>
    <row r="2500" spans="14:19" x14ac:dyDescent="0.25">
      <c r="N2500" s="23"/>
      <c r="O2500" s="30"/>
      <c r="P2500" s="30"/>
      <c r="Q2500" s="84"/>
      <c r="S2500" t="b">
        <v>1</v>
      </c>
    </row>
    <row r="2501" spans="14:19" x14ac:dyDescent="0.25">
      <c r="N2501" s="23"/>
      <c r="O2501" s="30"/>
      <c r="P2501" s="30"/>
      <c r="Q2501" s="84"/>
      <c r="S2501" t="b">
        <v>1</v>
      </c>
    </row>
    <row r="2502" spans="14:19" x14ac:dyDescent="0.25">
      <c r="N2502" s="23"/>
      <c r="O2502" s="30"/>
      <c r="P2502" s="30"/>
      <c r="Q2502" s="84"/>
      <c r="S2502" t="b">
        <v>1</v>
      </c>
    </row>
    <row r="2503" spans="14:19" x14ac:dyDescent="0.25">
      <c r="N2503" s="23"/>
      <c r="O2503" s="30"/>
      <c r="P2503" s="30"/>
      <c r="Q2503" s="84"/>
      <c r="S2503" t="b">
        <v>1</v>
      </c>
    </row>
    <row r="2504" spans="14:19" x14ac:dyDescent="0.25">
      <c r="N2504" s="23"/>
      <c r="O2504" s="30"/>
      <c r="P2504" s="30"/>
      <c r="Q2504" s="84"/>
      <c r="S2504" t="b">
        <v>1</v>
      </c>
    </row>
    <row r="2505" spans="14:19" x14ac:dyDescent="0.25">
      <c r="N2505" s="23"/>
      <c r="O2505" s="30"/>
      <c r="P2505" s="30"/>
      <c r="Q2505" s="84"/>
      <c r="S2505" t="b">
        <v>1</v>
      </c>
    </row>
    <row r="2506" spans="14:19" x14ac:dyDescent="0.25">
      <c r="N2506" s="23"/>
      <c r="O2506" s="30"/>
      <c r="P2506" s="30"/>
      <c r="Q2506" s="84"/>
      <c r="S2506" t="b">
        <v>1</v>
      </c>
    </row>
    <row r="2507" spans="14:19" x14ac:dyDescent="0.25">
      <c r="N2507" s="23"/>
      <c r="O2507" s="30"/>
      <c r="P2507" s="30"/>
      <c r="Q2507" s="84"/>
      <c r="S2507" t="b">
        <v>1</v>
      </c>
    </row>
    <row r="2508" spans="14:19" x14ac:dyDescent="0.25">
      <c r="N2508" s="23"/>
      <c r="O2508" s="30"/>
      <c r="P2508" s="30"/>
      <c r="Q2508" s="84"/>
      <c r="S2508" t="b">
        <v>1</v>
      </c>
    </row>
    <row r="2509" spans="14:19" x14ac:dyDescent="0.25">
      <c r="N2509" s="23"/>
      <c r="O2509" s="30"/>
      <c r="P2509" s="30"/>
      <c r="Q2509" s="84"/>
      <c r="S2509" t="b">
        <v>1</v>
      </c>
    </row>
    <row r="2510" spans="14:19" x14ac:dyDescent="0.25">
      <c r="N2510" s="23"/>
      <c r="O2510" s="30"/>
      <c r="P2510" s="30"/>
      <c r="Q2510" s="84"/>
      <c r="S2510" t="b">
        <v>1</v>
      </c>
    </row>
    <row r="2511" spans="14:19" x14ac:dyDescent="0.25">
      <c r="N2511" s="23"/>
      <c r="O2511" s="30"/>
      <c r="P2511" s="30"/>
      <c r="Q2511" s="84"/>
      <c r="S2511" t="b">
        <v>1</v>
      </c>
    </row>
    <row r="2512" spans="14:19" x14ac:dyDescent="0.25">
      <c r="N2512" s="23"/>
      <c r="O2512" s="30"/>
      <c r="P2512" s="30"/>
      <c r="Q2512" s="84"/>
      <c r="S2512" t="b">
        <v>1</v>
      </c>
    </row>
    <row r="2513" spans="14:19" x14ac:dyDescent="0.25">
      <c r="N2513" s="23"/>
      <c r="O2513" s="30"/>
      <c r="P2513" s="30"/>
      <c r="Q2513" s="84"/>
      <c r="S2513" t="b">
        <v>1</v>
      </c>
    </row>
    <row r="2514" spans="14:19" x14ac:dyDescent="0.25">
      <c r="N2514" s="23"/>
      <c r="O2514" s="30"/>
      <c r="P2514" s="30"/>
      <c r="Q2514" s="84"/>
      <c r="S2514" t="b">
        <v>1</v>
      </c>
    </row>
    <row r="2515" spans="14:19" x14ac:dyDescent="0.25">
      <c r="N2515" s="23"/>
      <c r="O2515" s="30"/>
      <c r="P2515" s="30"/>
      <c r="Q2515" s="84"/>
      <c r="S2515" t="b">
        <v>1</v>
      </c>
    </row>
    <row r="2516" spans="14:19" x14ac:dyDescent="0.25">
      <c r="N2516" s="23"/>
      <c r="O2516" s="30"/>
      <c r="P2516" s="30"/>
      <c r="Q2516" s="84"/>
      <c r="S2516" t="b">
        <v>1</v>
      </c>
    </row>
    <row r="2517" spans="14:19" x14ac:dyDescent="0.25">
      <c r="N2517" s="23"/>
      <c r="O2517" s="30"/>
      <c r="P2517" s="30"/>
      <c r="Q2517" s="84"/>
      <c r="S2517" t="b">
        <v>1</v>
      </c>
    </row>
    <row r="2518" spans="14:19" x14ac:dyDescent="0.25">
      <c r="N2518" s="23"/>
      <c r="O2518" s="30"/>
      <c r="P2518" s="30"/>
      <c r="Q2518" s="84"/>
      <c r="S2518" t="b">
        <v>1</v>
      </c>
    </row>
    <row r="2519" spans="14:19" x14ac:dyDescent="0.25">
      <c r="N2519" s="23"/>
      <c r="O2519" s="30"/>
      <c r="P2519" s="30"/>
      <c r="Q2519" s="84"/>
      <c r="S2519" t="b">
        <v>1</v>
      </c>
    </row>
    <row r="2520" spans="14:19" x14ac:dyDescent="0.25">
      <c r="N2520" s="23"/>
      <c r="O2520" s="30"/>
      <c r="P2520" s="30"/>
      <c r="Q2520" s="84"/>
      <c r="S2520" t="b">
        <v>1</v>
      </c>
    </row>
    <row r="2521" spans="14:19" x14ac:dyDescent="0.25">
      <c r="N2521" s="23"/>
      <c r="O2521" s="30"/>
      <c r="P2521" s="30"/>
      <c r="Q2521" s="84"/>
      <c r="S2521" t="b">
        <v>1</v>
      </c>
    </row>
    <row r="2522" spans="14:19" x14ac:dyDescent="0.25">
      <c r="N2522" s="23"/>
      <c r="O2522" s="30"/>
      <c r="P2522" s="30"/>
      <c r="Q2522" s="84"/>
      <c r="S2522" t="b">
        <v>1</v>
      </c>
    </row>
    <row r="2523" spans="14:19" x14ac:dyDescent="0.25">
      <c r="N2523" s="23"/>
      <c r="O2523" s="30"/>
      <c r="P2523" s="30"/>
      <c r="Q2523" s="84"/>
      <c r="S2523" t="b">
        <v>1</v>
      </c>
    </row>
    <row r="2524" spans="14:19" x14ac:dyDescent="0.25">
      <c r="N2524" s="23"/>
      <c r="O2524" s="30"/>
      <c r="P2524" s="30"/>
      <c r="Q2524" s="84"/>
      <c r="S2524" t="b">
        <v>1</v>
      </c>
    </row>
    <row r="2525" spans="14:19" x14ac:dyDescent="0.25">
      <c r="N2525" s="23"/>
      <c r="O2525" s="30"/>
      <c r="P2525" s="30"/>
      <c r="Q2525" s="84"/>
      <c r="S2525" t="b">
        <v>1</v>
      </c>
    </row>
    <row r="2526" spans="14:19" x14ac:dyDescent="0.25">
      <c r="N2526" s="23"/>
      <c r="O2526" s="30"/>
      <c r="P2526" s="30"/>
      <c r="Q2526" s="84"/>
      <c r="S2526" t="b">
        <v>1</v>
      </c>
    </row>
    <row r="2527" spans="14:19" x14ac:dyDescent="0.25">
      <c r="N2527" s="23"/>
      <c r="O2527" s="30"/>
      <c r="P2527" s="30"/>
      <c r="Q2527" s="84"/>
      <c r="S2527" t="b">
        <v>1</v>
      </c>
    </row>
    <row r="2528" spans="14:19" x14ac:dyDescent="0.25">
      <c r="N2528" s="23"/>
      <c r="O2528" s="30"/>
      <c r="P2528" s="30"/>
      <c r="Q2528" s="84"/>
      <c r="S2528" t="b">
        <v>1</v>
      </c>
    </row>
    <row r="2529" spans="14:19" x14ac:dyDescent="0.25">
      <c r="N2529" s="23"/>
      <c r="O2529" s="30"/>
      <c r="P2529" s="30"/>
      <c r="Q2529" s="84"/>
      <c r="S2529" t="b">
        <v>1</v>
      </c>
    </row>
    <row r="2530" spans="14:19" x14ac:dyDescent="0.25">
      <c r="N2530" s="23"/>
      <c r="O2530" s="30"/>
      <c r="P2530" s="30"/>
      <c r="Q2530" s="84"/>
      <c r="S2530" t="b">
        <v>1</v>
      </c>
    </row>
  </sheetData>
  <autoFilter ref="S1:S2530" xr:uid="{D4B95335-0F26-4822-85D9-D14A6A73E695}"/>
  <conditionalFormatting sqref="E2:E154">
    <cfRule type="duplicateValues" dxfId="105" priority="2"/>
  </conditionalFormatting>
  <conditionalFormatting sqref="P2:P2530">
    <cfRule type="duplicateValues" dxfId="104" priority="1"/>
  </conditionalFormatting>
  <dataValidations count="1">
    <dataValidation type="list" allowBlank="1" showInputMessage="1" showErrorMessage="1" sqref="K2:K15 N2:N2530" xr:uid="{00CC6C41-4627-4EA7-8F51-902B3EACCC14}">
      <formula1>$I$2:$I$27</formula1>
    </dataValidation>
  </dataValidation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2F3D-8B1D-4468-9C6C-047AB5E7DD84}">
  <sheetPr codeName="Sheet2"/>
  <dimension ref="A1:Q384"/>
  <sheetViews>
    <sheetView showGridLines="0" zoomScale="130" zoomScaleNormal="130" workbookViewId="0">
      <pane xSplit="8" ySplit="1" topLeftCell="I2" activePane="bottomRight" state="frozen"/>
      <selection pane="topRight" activeCell="H1" sqref="H1"/>
      <selection pane="bottomLeft" activeCell="A2" sqref="A2"/>
      <selection pane="bottomRight" activeCell="H151" sqref="H151"/>
    </sheetView>
  </sheetViews>
  <sheetFormatPr defaultRowHeight="15" x14ac:dyDescent="0.25"/>
  <cols>
    <col min="1" max="1" width="14" style="1" hidden="1" customWidth="1"/>
    <col min="2" max="2" width="3.5703125" style="1" hidden="1" customWidth="1"/>
    <col min="3" max="3" width="4.28515625" style="1" hidden="1" customWidth="1"/>
    <col min="4" max="4" width="4" style="1" hidden="1" customWidth="1"/>
    <col min="5" max="5" width="3.5703125" style="1" hidden="1" customWidth="1"/>
    <col min="6" max="6" width="6.42578125" style="1" customWidth="1"/>
    <col min="7" max="7" width="7.7109375" style="1" customWidth="1"/>
    <col min="8" max="8" width="8" style="1" customWidth="1"/>
    <col min="9" max="9" width="3.85546875" style="1" customWidth="1"/>
    <col min="10" max="10" width="32.7109375" style="1" customWidth="1"/>
    <col min="11" max="11" width="9.140625" style="1"/>
    <col min="12" max="12" width="3" style="1" customWidth="1"/>
    <col min="13" max="13" width="22.140625" style="1" customWidth="1"/>
    <col min="14" max="16384" width="9.140625" style="1"/>
  </cols>
  <sheetData>
    <row r="1" spans="1:17" x14ac:dyDescent="0.25">
      <c r="A1" s="1" t="s">
        <v>2477</v>
      </c>
      <c r="B1" s="1" t="s">
        <v>2478</v>
      </c>
      <c r="C1" s="1" t="s">
        <v>2460</v>
      </c>
      <c r="F1" s="3" t="s">
        <v>4</v>
      </c>
      <c r="G1" s="3" t="s">
        <v>2491</v>
      </c>
      <c r="H1" s="3" t="s">
        <v>3</v>
      </c>
      <c r="J1" s="2" t="s">
        <v>5</v>
      </c>
      <c r="K1" s="2" t="s">
        <v>2454</v>
      </c>
      <c r="M1" s="2" t="s">
        <v>2453</v>
      </c>
      <c r="N1" s="2" t="s">
        <v>0</v>
      </c>
      <c r="O1" s="2" t="s">
        <v>2490</v>
      </c>
      <c r="P1" s="2" t="s">
        <v>2491</v>
      </c>
      <c r="Q1" s="2" t="s">
        <v>2454</v>
      </c>
    </row>
    <row r="2" spans="1:17" x14ac:dyDescent="0.25">
      <c r="A2" s="1" t="str" cm="1">
        <f t="array" ref="A2:A384">d_trucks[PT]&amp;"-"&amp;_xlfn.ANCHORARRAY($C$2)&amp;"_"&amp;TEXT(d_trucks[No],"0000")</f>
        <v>RL-A40_0012</v>
      </c>
      <c r="B2" s="1" t="str" cm="1">
        <f t="array" ref="B2:B384">d_trucks[No]&amp;"_"&amp;d_trucks[Model]</f>
        <v>12_ADT40</v>
      </c>
      <c r="C2" s="1" t="str" cm="1">
        <f t="array" ref="C2:C384">_xlfn.XLOOKUP(d_trucks[Model],Table8[Model],Table8[Code],"")</f>
        <v>A40</v>
      </c>
      <c r="D2" s="1" t="b" cm="1">
        <f t="array" ref="D2:D384">_xlfn.LET(
   _xlpm.arr, d_trucks[],
   _xlpm.blnk, _xlfn.BYROW(_xlpm.arr, _xlfn.LAMBDA(_xlpm.x, COUNTBLANK(_xlpm.x))),
   _xlpm.id, _xlfn.BYROW(_xlpm.arr, _xlfn.LAMBDA(_xlpm.r, _xlfn.CONCAT(_xlpm.r))),
   _xlpm.cnt, _xlfn.MAP(_xlpm.id, _xlfn.LAMBDA(_xlpm.x, SUM(--(_xlpm.id=_xlpm.x)*(_xlpm.id&lt;&gt;"")))),
   _xlpm.rslt,IF(_xlpm.blnk=COLUMNS(_xlpm.arr),_xlpm.cnt&gt;1,_xlpm.blnk&gt;0),
   _xlpm.rslt)</f>
        <v>0</v>
      </c>
      <c r="F2" s="25" t="s">
        <v>18</v>
      </c>
      <c r="G2" s="26" t="s">
        <v>19</v>
      </c>
      <c r="H2" s="27">
        <v>12</v>
      </c>
      <c r="J2" s="36" t="s">
        <v>114</v>
      </c>
      <c r="K2" s="26" t="s">
        <v>10</v>
      </c>
      <c r="M2" s="26" t="s">
        <v>2457</v>
      </c>
      <c r="N2" s="37" t="s">
        <v>2458</v>
      </c>
      <c r="O2" s="37">
        <v>40</v>
      </c>
      <c r="P2" s="15" t="str">
        <f>Table8[[#This Row],[Type]]&amp;Table8[[#This Row],[PF]]</f>
        <v>ADT40</v>
      </c>
      <c r="Q2" s="15" t="str" cm="1">
        <f t="array" ref="Q2">_xlfn.LET( _xlpm.typ, Table8[[#This Row],[Type]],
      _xlpm.trck, IF(_xlpm.typ="TOT", _xlpm.typ, _xlfn.SWITCH(_xlpm.typ, "DT", "T", "ADT", "A")&amp;Table8[[#This Row],[PF]]),
      IF(Table8[[#This Row],[Type]]="","",_xlpm.trck))</f>
        <v>A40</v>
      </c>
    </row>
    <row r="3" spans="1:17" x14ac:dyDescent="0.25">
      <c r="A3" s="1" t="str">
        <v>RL-A40_0013</v>
      </c>
      <c r="B3" s="1" t="str">
        <v>13_ADT40</v>
      </c>
      <c r="C3" s="1" t="str">
        <v>A40</v>
      </c>
      <c r="D3" s="1" t="b">
        <v>0</v>
      </c>
      <c r="F3" s="25" t="s">
        <v>18</v>
      </c>
      <c r="G3" s="26" t="s">
        <v>19</v>
      </c>
      <c r="H3" s="27">
        <v>13</v>
      </c>
      <c r="J3" s="36" t="s">
        <v>15</v>
      </c>
      <c r="K3" s="26" t="s">
        <v>2</v>
      </c>
      <c r="M3" s="26" t="s">
        <v>2455</v>
      </c>
      <c r="N3" s="37" t="s">
        <v>2456</v>
      </c>
      <c r="O3" s="37">
        <v>20</v>
      </c>
      <c r="P3" s="15" t="str">
        <f>Table8[[#This Row],[Type]]&amp;Table8[[#This Row],[PF]]</f>
        <v>DT20</v>
      </c>
      <c r="Q3" s="15" t="str" cm="1">
        <f t="array" ref="Q3">_xlfn.LET( _xlpm.typ, Table8[[#This Row],[Type]],
      _xlpm.trck, IF(_xlpm.typ="TOT", _xlpm.typ, _xlfn.SWITCH(_xlpm.typ, "DT", "T", "ADT", "A")&amp;Table8[[#This Row],[PF]]),
      IF(Table8[[#This Row],[Type]]="","",_xlpm.trck))</f>
        <v>T20</v>
      </c>
    </row>
    <row r="4" spans="1:17" x14ac:dyDescent="0.25">
      <c r="A4" s="1" t="str">
        <v>RL-A40_0014</v>
      </c>
      <c r="B4" s="1" t="str">
        <v>14_ADT40</v>
      </c>
      <c r="C4" s="1" t="str">
        <v>A40</v>
      </c>
      <c r="D4" s="1" t="b">
        <v>0</v>
      </c>
      <c r="F4" s="25" t="s">
        <v>18</v>
      </c>
      <c r="G4" s="26" t="s">
        <v>19</v>
      </c>
      <c r="H4" s="27">
        <v>14</v>
      </c>
      <c r="J4" s="36" t="s">
        <v>16</v>
      </c>
      <c r="K4" s="26" t="s">
        <v>1</v>
      </c>
      <c r="M4" s="26" t="s">
        <v>2455</v>
      </c>
      <c r="N4" s="37" t="s">
        <v>2456</v>
      </c>
      <c r="O4" s="37">
        <v>30</v>
      </c>
      <c r="P4" s="15" t="str">
        <f>Table8[[#This Row],[Type]]&amp;Table8[[#This Row],[PF]]</f>
        <v>DT30</v>
      </c>
      <c r="Q4" s="15" t="str" cm="1">
        <f t="array" ref="Q4">_xlfn.LET( _xlpm.typ, Table8[[#This Row],[Type]],
      _xlpm.trck, IF(_xlpm.typ="TOT", _xlpm.typ, _xlfn.SWITCH(_xlpm.typ, "DT", "T", "ADT", "A")&amp;Table8[[#This Row],[PF]]),
      IF(Table8[[#This Row],[Type]]="","",_xlpm.trck))</f>
        <v>T30</v>
      </c>
    </row>
    <row r="5" spans="1:17" x14ac:dyDescent="0.25">
      <c r="A5" s="1" t="str">
        <v>RL-A40_0015</v>
      </c>
      <c r="B5" s="1" t="str">
        <v>15_ADT40</v>
      </c>
      <c r="C5" s="1" t="str">
        <v>A40</v>
      </c>
      <c r="D5" s="1" t="b">
        <v>0</v>
      </c>
      <c r="F5" s="25" t="s">
        <v>18</v>
      </c>
      <c r="G5" s="26" t="s">
        <v>19</v>
      </c>
      <c r="H5" s="27">
        <v>15</v>
      </c>
      <c r="J5" s="36" t="s">
        <v>17</v>
      </c>
      <c r="K5" s="26" t="s">
        <v>18</v>
      </c>
      <c r="M5" s="26" t="s">
        <v>2455</v>
      </c>
      <c r="N5" s="37" t="s">
        <v>2456</v>
      </c>
      <c r="O5" s="37">
        <v>40</v>
      </c>
      <c r="P5" s="15" t="str">
        <f>Table8[[#This Row],[Type]]&amp;Table8[[#This Row],[PF]]</f>
        <v>DT40</v>
      </c>
      <c r="Q5" s="15" t="str" cm="1">
        <f t="array" ref="Q5">_xlfn.LET( _xlpm.typ, Table8[[#This Row],[Type]],
      _xlpm.trck, IF(_xlpm.typ="TOT", _xlpm.typ, _xlfn.SWITCH(_xlpm.typ, "DT", "T", "ADT", "A")&amp;Table8[[#This Row],[PF]]),
      IF(Table8[[#This Row],[Type]]="","",_xlpm.trck))</f>
        <v>T40</v>
      </c>
    </row>
    <row r="6" spans="1:17" x14ac:dyDescent="0.25">
      <c r="A6" s="1" t="str">
        <v>RL-A40_0016</v>
      </c>
      <c r="B6" s="1" t="str">
        <v>16_ADT40</v>
      </c>
      <c r="C6" s="1" t="str">
        <v>A40</v>
      </c>
      <c r="D6" s="1" t="b">
        <v>0</v>
      </c>
      <c r="F6" s="25" t="s">
        <v>18</v>
      </c>
      <c r="G6" s="26" t="s">
        <v>19</v>
      </c>
      <c r="H6" s="27">
        <v>16</v>
      </c>
      <c r="J6" s="36" t="s">
        <v>6</v>
      </c>
      <c r="K6" s="26" t="s">
        <v>7</v>
      </c>
      <c r="M6" s="26"/>
      <c r="N6" s="37"/>
      <c r="O6" s="37"/>
      <c r="P6" s="15" t="str">
        <f>Table8[[#This Row],[Type]]&amp;Table8[[#This Row],[PF]]</f>
        <v/>
      </c>
      <c r="Q6" s="15" t="str" cm="1">
        <f t="array" ref="Q6">_xlfn.LET( _xlpm.typ, Table8[[#This Row],[Type]],
      _xlpm.trck, IF(_xlpm.typ="TOT", _xlpm.typ, _xlfn.SWITCH(_xlpm.typ, "DT", "T", "ADT", "A")&amp;Table8[[#This Row],[PF]]),
      IF(Table8[[#This Row],[Type]]="","",_xlpm.trck))</f>
        <v/>
      </c>
    </row>
    <row r="7" spans="1:17" x14ac:dyDescent="0.25">
      <c r="A7" s="1" t="str">
        <v>RL-A40_0017</v>
      </c>
      <c r="B7" s="1" t="str">
        <v>17_ADT40</v>
      </c>
      <c r="C7" s="1" t="str">
        <v>A40</v>
      </c>
      <c r="D7" s="1" t="b">
        <v>0</v>
      </c>
      <c r="F7" s="25" t="s">
        <v>18</v>
      </c>
      <c r="G7" s="26" t="s">
        <v>19</v>
      </c>
      <c r="H7" s="27">
        <v>17</v>
      </c>
      <c r="J7" s="36" t="s">
        <v>8</v>
      </c>
      <c r="K7" s="26" t="s">
        <v>9</v>
      </c>
      <c r="M7" s="26"/>
      <c r="N7" s="37"/>
      <c r="O7" s="37"/>
      <c r="P7" s="15" t="str">
        <f>Table8[[#This Row],[Type]]&amp;Table8[[#This Row],[PF]]</f>
        <v/>
      </c>
      <c r="Q7" s="15" t="str" cm="1">
        <f t="array" ref="Q7">_xlfn.LET( _xlpm.typ, Table8[[#This Row],[Type]],
      _xlpm.trck, IF(_xlpm.typ="TOT", _xlpm.typ, _xlfn.SWITCH(_xlpm.typ, "DT", "T", "ADT", "A")&amp;Table8[[#This Row],[PF]]),
      IF(Table8[[#This Row],[Type]]="","",_xlpm.trck))</f>
        <v/>
      </c>
    </row>
    <row r="8" spans="1:17" x14ac:dyDescent="0.25">
      <c r="A8" s="1" t="str">
        <v>RL-A40_0018</v>
      </c>
      <c r="B8" s="1" t="str">
        <v>18_ADT40</v>
      </c>
      <c r="C8" s="1" t="str">
        <v>A40</v>
      </c>
      <c r="D8" s="1" t="b">
        <v>0</v>
      </c>
      <c r="F8" s="25" t="s">
        <v>18</v>
      </c>
      <c r="G8" s="26" t="s">
        <v>19</v>
      </c>
      <c r="H8" s="27">
        <v>18</v>
      </c>
      <c r="J8" s="36" t="s">
        <v>13</v>
      </c>
      <c r="K8" s="26" t="s">
        <v>14</v>
      </c>
      <c r="M8" s="26"/>
      <c r="N8" s="37"/>
      <c r="O8" s="37"/>
      <c r="P8" s="15" t="str">
        <f>Table8[[#This Row],[Type]]&amp;Table8[[#This Row],[PF]]</f>
        <v/>
      </c>
      <c r="Q8" s="15" t="str" cm="1">
        <f t="array" ref="Q8">_xlfn.LET( _xlpm.typ, Table8[[#This Row],[Type]],
      _xlpm.trck, IF(_xlpm.typ="TOT", _xlpm.typ, _xlfn.SWITCH(_xlpm.typ, "DT", "T", "ADT", "A")&amp;Table8[[#This Row],[PF]]),
      IF(Table8[[#This Row],[Type]]="","",_xlpm.trck))</f>
        <v/>
      </c>
    </row>
    <row r="9" spans="1:17" x14ac:dyDescent="0.25">
      <c r="A9" s="1" t="str">
        <v>RL-A40_0019</v>
      </c>
      <c r="B9" s="1" t="str">
        <v>19_ADT40</v>
      </c>
      <c r="C9" s="1" t="str">
        <v>A40</v>
      </c>
      <c r="D9" s="1" t="b">
        <v>0</v>
      </c>
      <c r="F9" s="25" t="s">
        <v>18</v>
      </c>
      <c r="G9" s="26" t="s">
        <v>19</v>
      </c>
      <c r="H9" s="27">
        <v>19</v>
      </c>
      <c r="J9" s="36" t="s">
        <v>11</v>
      </c>
      <c r="K9" s="26" t="s">
        <v>12</v>
      </c>
    </row>
    <row r="10" spans="1:17" x14ac:dyDescent="0.25">
      <c r="A10" s="1" t="str">
        <v>RL-A40_0020</v>
      </c>
      <c r="B10" s="1" t="str">
        <v>20_ADT40</v>
      </c>
      <c r="C10" s="1" t="str">
        <v>A40</v>
      </c>
      <c r="D10" s="1" t="b">
        <v>0</v>
      </c>
      <c r="F10" s="25" t="s">
        <v>18</v>
      </c>
      <c r="G10" s="26" t="s">
        <v>19</v>
      </c>
      <c r="H10" s="27">
        <v>20</v>
      </c>
      <c r="J10" s="36"/>
      <c r="K10" s="26"/>
    </row>
    <row r="11" spans="1:17" x14ac:dyDescent="0.25">
      <c r="A11" s="1" t="str">
        <v>RL-A40_0021</v>
      </c>
      <c r="B11" s="1" t="str">
        <v>21_ADT40</v>
      </c>
      <c r="C11" s="1" t="str">
        <v>A40</v>
      </c>
      <c r="D11" s="1" t="b">
        <v>0</v>
      </c>
      <c r="F11" s="25" t="s">
        <v>18</v>
      </c>
      <c r="G11" s="26" t="s">
        <v>19</v>
      </c>
      <c r="H11" s="27">
        <v>21</v>
      </c>
      <c r="J11" s="36"/>
      <c r="K11" s="26"/>
    </row>
    <row r="12" spans="1:17" x14ac:dyDescent="0.25">
      <c r="A12" s="1" t="str">
        <v>RL-A40_0022</v>
      </c>
      <c r="B12" s="1" t="str">
        <v>22_ADT40</v>
      </c>
      <c r="C12" s="1" t="str">
        <v>A40</v>
      </c>
      <c r="D12" s="1" t="b">
        <v>0</v>
      </c>
      <c r="F12" s="25" t="s">
        <v>18</v>
      </c>
      <c r="G12" s="26" t="s">
        <v>19</v>
      </c>
      <c r="H12" s="27">
        <v>22</v>
      </c>
      <c r="J12" s="36"/>
      <c r="K12" s="26"/>
    </row>
    <row r="13" spans="1:17" x14ac:dyDescent="0.25">
      <c r="A13" s="1" t="str">
        <v>RL-A40_0023</v>
      </c>
      <c r="B13" s="1" t="str">
        <v>23_ADT40</v>
      </c>
      <c r="C13" s="1" t="str">
        <v>A40</v>
      </c>
      <c r="D13" s="1" t="b">
        <v>0</v>
      </c>
      <c r="F13" s="25" t="s">
        <v>18</v>
      </c>
      <c r="G13" s="26" t="s">
        <v>19</v>
      </c>
      <c r="H13" s="27">
        <v>23</v>
      </c>
      <c r="J13" s="36"/>
      <c r="K13" s="26"/>
    </row>
    <row r="14" spans="1:17" x14ac:dyDescent="0.25">
      <c r="A14" s="1" t="str">
        <v>RL-A40_0024</v>
      </c>
      <c r="B14" s="1" t="str">
        <v>24_ADT40</v>
      </c>
      <c r="C14" s="1" t="str">
        <v>A40</v>
      </c>
      <c r="D14" s="1" t="b">
        <v>0</v>
      </c>
      <c r="F14" s="25" t="s">
        <v>18</v>
      </c>
      <c r="G14" s="26" t="s">
        <v>19</v>
      </c>
      <c r="H14" s="27">
        <v>24</v>
      </c>
      <c r="J14" s="36"/>
      <c r="K14" s="26"/>
    </row>
    <row r="15" spans="1:17" x14ac:dyDescent="0.25">
      <c r="A15" s="1" t="str">
        <v>RL-A40_0025</v>
      </c>
      <c r="B15" s="1" t="str">
        <v>25_ADT40</v>
      </c>
      <c r="C15" s="1" t="str">
        <v>A40</v>
      </c>
      <c r="D15" s="1" t="b">
        <v>0</v>
      </c>
      <c r="F15" s="25" t="s">
        <v>18</v>
      </c>
      <c r="G15" s="26" t="s">
        <v>19</v>
      </c>
      <c r="H15" s="27">
        <v>25</v>
      </c>
      <c r="J15" s="36"/>
      <c r="K15" s="26"/>
    </row>
    <row r="16" spans="1:17" x14ac:dyDescent="0.25">
      <c r="A16" s="1" t="str">
        <v>RL-A40_0026</v>
      </c>
      <c r="B16" s="1" t="str">
        <v>26_ADT40</v>
      </c>
      <c r="C16" s="1" t="str">
        <v>A40</v>
      </c>
      <c r="D16" s="1" t="b">
        <v>0</v>
      </c>
      <c r="F16" s="25" t="s">
        <v>18</v>
      </c>
      <c r="G16" s="26" t="s">
        <v>19</v>
      </c>
      <c r="H16" s="27">
        <v>26</v>
      </c>
      <c r="J16" s="36"/>
      <c r="K16" s="26"/>
    </row>
    <row r="17" spans="1:8" x14ac:dyDescent="0.25">
      <c r="A17" s="1" t="str">
        <v>RL-A40_0027</v>
      </c>
      <c r="B17" s="1" t="str">
        <v>27_ADT40</v>
      </c>
      <c r="C17" s="1" t="str">
        <v>A40</v>
      </c>
      <c r="D17" s="1" t="b">
        <v>0</v>
      </c>
      <c r="F17" s="25" t="s">
        <v>18</v>
      </c>
      <c r="G17" s="26" t="s">
        <v>19</v>
      </c>
      <c r="H17" s="27">
        <v>27</v>
      </c>
    </row>
    <row r="18" spans="1:8" x14ac:dyDescent="0.25">
      <c r="A18" s="1" t="str">
        <v>RL-A40_0029</v>
      </c>
      <c r="B18" s="1" t="str">
        <v>29_ADT40</v>
      </c>
      <c r="C18" s="1" t="str">
        <v>A40</v>
      </c>
      <c r="D18" s="1" t="b">
        <v>0</v>
      </c>
      <c r="F18" s="25" t="s">
        <v>18</v>
      </c>
      <c r="G18" s="26" t="s">
        <v>19</v>
      </c>
      <c r="H18" s="27">
        <v>29</v>
      </c>
    </row>
    <row r="19" spans="1:8" x14ac:dyDescent="0.25">
      <c r="A19" s="1" t="str">
        <v>RL-A40_0030</v>
      </c>
      <c r="B19" s="1" t="str">
        <v>30_ADT40</v>
      </c>
      <c r="C19" s="1" t="str">
        <v>A40</v>
      </c>
      <c r="D19" s="1" t="b">
        <v>0</v>
      </c>
      <c r="F19" s="25" t="s">
        <v>18</v>
      </c>
      <c r="G19" s="26" t="s">
        <v>19</v>
      </c>
      <c r="H19" s="27">
        <v>30</v>
      </c>
    </row>
    <row r="20" spans="1:8" x14ac:dyDescent="0.25">
      <c r="A20" s="1" t="str">
        <v>RL-A40_0031</v>
      </c>
      <c r="B20" s="1" t="str">
        <v>31_ADT40</v>
      </c>
      <c r="C20" s="1" t="str">
        <v>A40</v>
      </c>
      <c r="D20" s="1" t="b">
        <v>0</v>
      </c>
      <c r="F20" s="25" t="s">
        <v>18</v>
      </c>
      <c r="G20" s="26" t="s">
        <v>19</v>
      </c>
      <c r="H20" s="27">
        <v>31</v>
      </c>
    </row>
    <row r="21" spans="1:8" x14ac:dyDescent="0.25">
      <c r="A21" s="1" t="str">
        <v>RL-A40_0032</v>
      </c>
      <c r="B21" s="1" t="str">
        <v>32_ADT40</v>
      </c>
      <c r="C21" s="1" t="str">
        <v>A40</v>
      </c>
      <c r="D21" s="1" t="b">
        <v>0</v>
      </c>
      <c r="F21" s="25" t="s">
        <v>18</v>
      </c>
      <c r="G21" s="26" t="s">
        <v>19</v>
      </c>
      <c r="H21" s="27">
        <v>32</v>
      </c>
    </row>
    <row r="22" spans="1:8" x14ac:dyDescent="0.25">
      <c r="A22" s="1" t="str">
        <v>RL-A40_0033</v>
      </c>
      <c r="B22" s="1" t="str">
        <v>33_ADT40</v>
      </c>
      <c r="C22" s="1" t="str">
        <v>A40</v>
      </c>
      <c r="D22" s="1" t="b">
        <v>0</v>
      </c>
      <c r="F22" s="25" t="s">
        <v>18</v>
      </c>
      <c r="G22" s="26" t="s">
        <v>19</v>
      </c>
      <c r="H22" s="27">
        <v>33</v>
      </c>
    </row>
    <row r="23" spans="1:8" x14ac:dyDescent="0.25">
      <c r="A23" s="1" t="str">
        <v>RL-A40_0034</v>
      </c>
      <c r="B23" s="1" t="str">
        <v>34_ADT40</v>
      </c>
      <c r="C23" s="1" t="str">
        <v>A40</v>
      </c>
      <c r="D23" s="1" t="b">
        <v>0</v>
      </c>
      <c r="F23" s="25" t="s">
        <v>18</v>
      </c>
      <c r="G23" s="26" t="s">
        <v>19</v>
      </c>
      <c r="H23" s="27">
        <v>34</v>
      </c>
    </row>
    <row r="24" spans="1:8" x14ac:dyDescent="0.25">
      <c r="A24" s="1" t="str">
        <v>RL-A40_0035</v>
      </c>
      <c r="B24" s="1" t="str">
        <v>35_ADT40</v>
      </c>
      <c r="C24" s="1" t="str">
        <v>A40</v>
      </c>
      <c r="D24" s="1" t="b">
        <v>0</v>
      </c>
      <c r="F24" s="25" t="s">
        <v>18</v>
      </c>
      <c r="G24" s="26" t="s">
        <v>19</v>
      </c>
      <c r="H24" s="27">
        <v>35</v>
      </c>
    </row>
    <row r="25" spans="1:8" x14ac:dyDescent="0.25">
      <c r="A25" s="1" t="str">
        <v>RL-A40_0036</v>
      </c>
      <c r="B25" s="1" t="str">
        <v>36_ADT40</v>
      </c>
      <c r="C25" s="1" t="str">
        <v>A40</v>
      </c>
      <c r="D25" s="1" t="b">
        <v>0</v>
      </c>
      <c r="F25" s="25" t="s">
        <v>18</v>
      </c>
      <c r="G25" s="26" t="s">
        <v>19</v>
      </c>
      <c r="H25" s="27">
        <v>36</v>
      </c>
    </row>
    <row r="26" spans="1:8" x14ac:dyDescent="0.25">
      <c r="A26" s="1" t="str">
        <v>SMA-A40_4171</v>
      </c>
      <c r="B26" s="1" t="str">
        <v>4171_ADT40</v>
      </c>
      <c r="C26" s="1" t="str">
        <v>A40</v>
      </c>
      <c r="D26" s="1" t="b">
        <v>0</v>
      </c>
      <c r="F26" s="25" t="s">
        <v>1</v>
      </c>
      <c r="G26" s="26" t="s">
        <v>19</v>
      </c>
      <c r="H26" s="27">
        <v>4171</v>
      </c>
    </row>
    <row r="27" spans="1:8" x14ac:dyDescent="0.25">
      <c r="A27" s="1" t="str">
        <v>SMA-A40_4172</v>
      </c>
      <c r="B27" s="1" t="str">
        <v>4172_ADT40</v>
      </c>
      <c r="C27" s="1" t="str">
        <v>A40</v>
      </c>
      <c r="D27" s="1" t="b">
        <v>0</v>
      </c>
      <c r="F27" s="25" t="s">
        <v>1</v>
      </c>
      <c r="G27" s="26" t="s">
        <v>19</v>
      </c>
      <c r="H27" s="27">
        <v>4172</v>
      </c>
    </row>
    <row r="28" spans="1:8" x14ac:dyDescent="0.25">
      <c r="A28" s="1" t="str">
        <v>SMA-A40_4173</v>
      </c>
      <c r="B28" s="1" t="str">
        <v>4173_ADT40</v>
      </c>
      <c r="C28" s="1" t="str">
        <v>A40</v>
      </c>
      <c r="D28" s="1" t="b">
        <v>0</v>
      </c>
      <c r="F28" s="25" t="s">
        <v>1</v>
      </c>
      <c r="G28" s="26" t="s">
        <v>19</v>
      </c>
      <c r="H28" s="27">
        <v>4173</v>
      </c>
    </row>
    <row r="29" spans="1:8" x14ac:dyDescent="0.25">
      <c r="A29" s="1" t="str">
        <v>SMA-A40_4174</v>
      </c>
      <c r="B29" s="1" t="str">
        <v>4174_ADT40</v>
      </c>
      <c r="C29" s="1" t="str">
        <v>A40</v>
      </c>
      <c r="D29" s="1" t="b">
        <v>0</v>
      </c>
      <c r="F29" s="25" t="s">
        <v>1</v>
      </c>
      <c r="G29" s="26" t="s">
        <v>19</v>
      </c>
      <c r="H29" s="27">
        <v>4174</v>
      </c>
    </row>
    <row r="30" spans="1:8" x14ac:dyDescent="0.25">
      <c r="A30" s="1" t="str">
        <v>SMA-A40_4175</v>
      </c>
      <c r="B30" s="1" t="str">
        <v>4175_ADT40</v>
      </c>
      <c r="C30" s="1" t="str">
        <v>A40</v>
      </c>
      <c r="D30" s="1" t="b">
        <v>0</v>
      </c>
      <c r="F30" s="25" t="s">
        <v>1</v>
      </c>
      <c r="G30" s="26" t="s">
        <v>19</v>
      </c>
      <c r="H30" s="27">
        <v>4175</v>
      </c>
    </row>
    <row r="31" spans="1:8" x14ac:dyDescent="0.25">
      <c r="A31" s="1" t="str">
        <v>SMA-A40_4176</v>
      </c>
      <c r="B31" s="1" t="str">
        <v>4176_ADT40</v>
      </c>
      <c r="C31" s="1" t="str">
        <v>A40</v>
      </c>
      <c r="D31" s="1" t="b">
        <v>0</v>
      </c>
      <c r="F31" s="25" t="s">
        <v>1</v>
      </c>
      <c r="G31" s="26" t="s">
        <v>19</v>
      </c>
      <c r="H31" s="27">
        <v>4176</v>
      </c>
    </row>
    <row r="32" spans="1:8" x14ac:dyDescent="0.25">
      <c r="A32" s="1" t="str">
        <v>SMA-A40_4177</v>
      </c>
      <c r="B32" s="1" t="str">
        <v>4177_ADT40</v>
      </c>
      <c r="C32" s="1" t="str">
        <v>A40</v>
      </c>
      <c r="D32" s="1" t="b">
        <v>0</v>
      </c>
      <c r="F32" s="25" t="s">
        <v>1</v>
      </c>
      <c r="G32" s="26" t="s">
        <v>19</v>
      </c>
      <c r="H32" s="27">
        <v>4177</v>
      </c>
    </row>
    <row r="33" spans="1:8" x14ac:dyDescent="0.25">
      <c r="A33" s="1" t="str">
        <v>SMA-A40_4178</v>
      </c>
      <c r="B33" s="1" t="str">
        <v>4178_ADT40</v>
      </c>
      <c r="C33" s="1" t="str">
        <v>A40</v>
      </c>
      <c r="D33" s="1" t="b">
        <v>0</v>
      </c>
      <c r="F33" s="25" t="s">
        <v>1</v>
      </c>
      <c r="G33" s="26" t="s">
        <v>19</v>
      </c>
      <c r="H33" s="27">
        <v>4178</v>
      </c>
    </row>
    <row r="34" spans="1:8" x14ac:dyDescent="0.25">
      <c r="A34" s="1" t="str">
        <v>SMA-A40_4179</v>
      </c>
      <c r="B34" s="1" t="str">
        <v>4179_ADT40</v>
      </c>
      <c r="C34" s="1" t="str">
        <v>A40</v>
      </c>
      <c r="D34" s="1" t="b">
        <v>0</v>
      </c>
      <c r="F34" s="25" t="s">
        <v>1</v>
      </c>
      <c r="G34" s="26" t="s">
        <v>19</v>
      </c>
      <c r="H34" s="27">
        <v>4179</v>
      </c>
    </row>
    <row r="35" spans="1:8" x14ac:dyDescent="0.25">
      <c r="A35" s="1" t="str">
        <v>SMA-A40_4180</v>
      </c>
      <c r="B35" s="1" t="str">
        <v>4180_ADT40</v>
      </c>
      <c r="C35" s="1" t="str">
        <v>A40</v>
      </c>
      <c r="D35" s="1" t="b">
        <v>0</v>
      </c>
      <c r="F35" s="25" t="s">
        <v>1</v>
      </c>
      <c r="G35" s="26" t="s">
        <v>19</v>
      </c>
      <c r="H35" s="27">
        <v>4180</v>
      </c>
    </row>
    <row r="36" spans="1:8" x14ac:dyDescent="0.25">
      <c r="A36" s="1" t="str">
        <v>SMA-A40_4181</v>
      </c>
      <c r="B36" s="1" t="str">
        <v>4181_ADT40</v>
      </c>
      <c r="C36" s="1" t="str">
        <v>A40</v>
      </c>
      <c r="D36" s="1" t="b">
        <v>0</v>
      </c>
      <c r="F36" s="25" t="s">
        <v>1</v>
      </c>
      <c r="G36" s="26" t="s">
        <v>19</v>
      </c>
      <c r="H36" s="27">
        <v>4181</v>
      </c>
    </row>
    <row r="37" spans="1:8" x14ac:dyDescent="0.25">
      <c r="A37" s="1" t="str">
        <v>SMA-A40_4189</v>
      </c>
      <c r="B37" s="1" t="str">
        <v>4189_ADT40</v>
      </c>
      <c r="C37" s="1" t="str">
        <v>A40</v>
      </c>
      <c r="D37" s="1" t="b">
        <v>0</v>
      </c>
      <c r="F37" s="25" t="s">
        <v>1</v>
      </c>
      <c r="G37" s="26" t="s">
        <v>19</v>
      </c>
      <c r="H37" s="27">
        <v>4189</v>
      </c>
    </row>
    <row r="38" spans="1:8" x14ac:dyDescent="0.25">
      <c r="A38" s="1" t="str">
        <v>SMA-A40_4190</v>
      </c>
      <c r="B38" s="1" t="str">
        <v>4190_ADT40</v>
      </c>
      <c r="C38" s="1" t="str">
        <v>A40</v>
      </c>
      <c r="D38" s="1" t="b">
        <v>0</v>
      </c>
      <c r="F38" s="25" t="s">
        <v>1</v>
      </c>
      <c r="G38" s="26" t="s">
        <v>19</v>
      </c>
      <c r="H38" s="27">
        <v>4190</v>
      </c>
    </row>
    <row r="39" spans="1:8" x14ac:dyDescent="0.25">
      <c r="A39" s="1" t="str">
        <v>SMA-A40_4191</v>
      </c>
      <c r="B39" s="1" t="str">
        <v>4191_ADT40</v>
      </c>
      <c r="C39" s="1" t="str">
        <v>A40</v>
      </c>
      <c r="D39" s="1" t="b">
        <v>0</v>
      </c>
      <c r="F39" s="25" t="s">
        <v>1</v>
      </c>
      <c r="G39" s="26" t="s">
        <v>19</v>
      </c>
      <c r="H39" s="27">
        <v>4191</v>
      </c>
    </row>
    <row r="40" spans="1:8" x14ac:dyDescent="0.25">
      <c r="A40" s="1" t="str">
        <v>SMA-A40_4192</v>
      </c>
      <c r="B40" s="1" t="str">
        <v>4192_ADT40</v>
      </c>
      <c r="C40" s="1" t="str">
        <v>A40</v>
      </c>
      <c r="D40" s="1" t="b">
        <v>0</v>
      </c>
      <c r="F40" s="25" t="s">
        <v>1</v>
      </c>
      <c r="G40" s="26" t="s">
        <v>19</v>
      </c>
      <c r="H40" s="27">
        <v>4192</v>
      </c>
    </row>
    <row r="41" spans="1:8" x14ac:dyDescent="0.25">
      <c r="A41" s="1" t="str">
        <v>SMA-A40_4193</v>
      </c>
      <c r="B41" s="1" t="str">
        <v>4193_ADT40</v>
      </c>
      <c r="C41" s="1" t="str">
        <v>A40</v>
      </c>
      <c r="D41" s="1" t="b">
        <v>0</v>
      </c>
      <c r="F41" s="25" t="s">
        <v>1</v>
      </c>
      <c r="G41" s="26" t="s">
        <v>19</v>
      </c>
      <c r="H41" s="27">
        <v>4193</v>
      </c>
    </row>
    <row r="42" spans="1:8" x14ac:dyDescent="0.25">
      <c r="A42" s="1" t="str">
        <v>SMA-A40_4194</v>
      </c>
      <c r="B42" s="1" t="str">
        <v>4194_ADT40</v>
      </c>
      <c r="C42" s="1" t="str">
        <v>A40</v>
      </c>
      <c r="D42" s="1" t="b">
        <v>0</v>
      </c>
      <c r="F42" s="25" t="s">
        <v>1</v>
      </c>
      <c r="G42" s="26" t="s">
        <v>19</v>
      </c>
      <c r="H42" s="27">
        <v>4194</v>
      </c>
    </row>
    <row r="43" spans="1:8" x14ac:dyDescent="0.25">
      <c r="A43" s="1" t="str">
        <v>SMA-A40_4195</v>
      </c>
      <c r="B43" s="1" t="str">
        <v>4195_ADT40</v>
      </c>
      <c r="C43" s="1" t="str">
        <v>A40</v>
      </c>
      <c r="D43" s="1" t="b">
        <v>0</v>
      </c>
      <c r="F43" s="25" t="s">
        <v>1</v>
      </c>
      <c r="G43" s="26" t="s">
        <v>19</v>
      </c>
      <c r="H43" s="27">
        <v>4195</v>
      </c>
    </row>
    <row r="44" spans="1:8" x14ac:dyDescent="0.25">
      <c r="A44" s="1" t="str">
        <v>SMA-A40_4196</v>
      </c>
      <c r="B44" s="1" t="str">
        <v>4196_ADT40</v>
      </c>
      <c r="C44" s="1" t="str">
        <v>A40</v>
      </c>
      <c r="D44" s="1" t="b">
        <v>0</v>
      </c>
      <c r="F44" s="25" t="s">
        <v>1</v>
      </c>
      <c r="G44" s="26" t="s">
        <v>19</v>
      </c>
      <c r="H44" s="27">
        <v>4196</v>
      </c>
    </row>
    <row r="45" spans="1:8" x14ac:dyDescent="0.25">
      <c r="A45" s="1" t="str">
        <v>SMA-A40_4197</v>
      </c>
      <c r="B45" s="1" t="str">
        <v>4197_ADT40</v>
      </c>
      <c r="C45" s="1" t="str">
        <v>A40</v>
      </c>
      <c r="D45" s="1" t="b">
        <v>0</v>
      </c>
      <c r="F45" s="25" t="s">
        <v>1</v>
      </c>
      <c r="G45" s="26" t="s">
        <v>19</v>
      </c>
      <c r="H45" s="27">
        <v>4197</v>
      </c>
    </row>
    <row r="46" spans="1:8" x14ac:dyDescent="0.25">
      <c r="A46" s="1" t="str">
        <v>SMA-A40_4198</v>
      </c>
      <c r="B46" s="1" t="str">
        <v>4198_ADT40</v>
      </c>
      <c r="C46" s="1" t="str">
        <v>A40</v>
      </c>
      <c r="D46" s="1" t="b">
        <v>0</v>
      </c>
      <c r="F46" s="25" t="s">
        <v>1</v>
      </c>
      <c r="G46" s="26" t="s">
        <v>19</v>
      </c>
      <c r="H46" s="27">
        <v>4198</v>
      </c>
    </row>
    <row r="47" spans="1:8" x14ac:dyDescent="0.25">
      <c r="A47" s="1" t="str">
        <v>SMA-A40_4199</v>
      </c>
      <c r="B47" s="1" t="str">
        <v>4199_ADT40</v>
      </c>
      <c r="C47" s="1" t="str">
        <v>A40</v>
      </c>
      <c r="D47" s="1" t="b">
        <v>0</v>
      </c>
      <c r="F47" s="25" t="s">
        <v>1</v>
      </c>
      <c r="G47" s="26" t="s">
        <v>19</v>
      </c>
      <c r="H47" s="27">
        <v>4199</v>
      </c>
    </row>
    <row r="48" spans="1:8" x14ac:dyDescent="0.25">
      <c r="A48" s="1" t="str">
        <v>SMA-A40_4200</v>
      </c>
      <c r="B48" s="1" t="str">
        <v>4200_ADT40</v>
      </c>
      <c r="C48" s="1" t="str">
        <v>A40</v>
      </c>
      <c r="D48" s="1" t="b">
        <v>0</v>
      </c>
      <c r="F48" s="25" t="s">
        <v>1</v>
      </c>
      <c r="G48" s="26" t="s">
        <v>19</v>
      </c>
      <c r="H48" s="27">
        <v>4200</v>
      </c>
    </row>
    <row r="49" spans="1:8" x14ac:dyDescent="0.25">
      <c r="A49" s="1" t="str">
        <v>SMA-A40_4201</v>
      </c>
      <c r="B49" s="1" t="str">
        <v>4201_ADT40</v>
      </c>
      <c r="C49" s="1" t="str">
        <v>A40</v>
      </c>
      <c r="D49" s="1" t="b">
        <v>0</v>
      </c>
      <c r="F49" s="25" t="s">
        <v>1</v>
      </c>
      <c r="G49" s="26" t="s">
        <v>19</v>
      </c>
      <c r="H49" s="27">
        <v>4201</v>
      </c>
    </row>
    <row r="50" spans="1:8" x14ac:dyDescent="0.25">
      <c r="A50" s="1" t="str">
        <v>SMA-A40_4202</v>
      </c>
      <c r="B50" s="1" t="str">
        <v>4202_ADT40</v>
      </c>
      <c r="C50" s="1" t="str">
        <v>A40</v>
      </c>
      <c r="D50" s="1" t="b">
        <v>0</v>
      </c>
      <c r="F50" s="25" t="s">
        <v>1</v>
      </c>
      <c r="G50" s="26" t="s">
        <v>19</v>
      </c>
      <c r="H50" s="27">
        <v>4202</v>
      </c>
    </row>
    <row r="51" spans="1:8" x14ac:dyDescent="0.25">
      <c r="A51" s="1" t="str">
        <v>SMA-A40_4203</v>
      </c>
      <c r="B51" s="1" t="str">
        <v>4203_ADT40</v>
      </c>
      <c r="C51" s="1" t="str">
        <v>A40</v>
      </c>
      <c r="D51" s="1" t="b">
        <v>0</v>
      </c>
      <c r="F51" s="25" t="s">
        <v>1</v>
      </c>
      <c r="G51" s="26" t="s">
        <v>19</v>
      </c>
      <c r="H51" s="27">
        <v>4203</v>
      </c>
    </row>
    <row r="52" spans="1:8" x14ac:dyDescent="0.25">
      <c r="A52" s="1" t="str">
        <v>SMA-A40_4204</v>
      </c>
      <c r="B52" s="1" t="str">
        <v>4204_ADT40</v>
      </c>
      <c r="C52" s="1" t="str">
        <v>A40</v>
      </c>
      <c r="D52" s="1" t="b">
        <v>0</v>
      </c>
      <c r="F52" s="25" t="s">
        <v>1</v>
      </c>
      <c r="G52" s="26" t="s">
        <v>19</v>
      </c>
      <c r="H52" s="27">
        <v>4204</v>
      </c>
    </row>
    <row r="53" spans="1:8" x14ac:dyDescent="0.25">
      <c r="A53" s="1" t="str">
        <v>SMA-A40_4205</v>
      </c>
      <c r="B53" s="1" t="str">
        <v>4205_ADT40</v>
      </c>
      <c r="C53" s="1" t="str">
        <v>A40</v>
      </c>
      <c r="D53" s="1" t="b">
        <v>0</v>
      </c>
      <c r="F53" s="25" t="s">
        <v>1</v>
      </c>
      <c r="G53" s="26" t="s">
        <v>19</v>
      </c>
      <c r="H53" s="27">
        <v>4205</v>
      </c>
    </row>
    <row r="54" spans="1:8" x14ac:dyDescent="0.25">
      <c r="A54" s="1" t="str">
        <v>SMA-A40_4206</v>
      </c>
      <c r="B54" s="1" t="str">
        <v>4206_ADT40</v>
      </c>
      <c r="C54" s="1" t="str">
        <v>A40</v>
      </c>
      <c r="D54" s="1" t="b">
        <v>0</v>
      </c>
      <c r="F54" s="25" t="s">
        <v>1</v>
      </c>
      <c r="G54" s="26" t="s">
        <v>19</v>
      </c>
      <c r="H54" s="27">
        <v>4206</v>
      </c>
    </row>
    <row r="55" spans="1:8" x14ac:dyDescent="0.25">
      <c r="A55" s="1" t="str">
        <v>SMA-A40_4207</v>
      </c>
      <c r="B55" s="1" t="str">
        <v>4207_ADT40</v>
      </c>
      <c r="C55" s="1" t="str">
        <v>A40</v>
      </c>
      <c r="D55" s="1" t="b">
        <v>0</v>
      </c>
      <c r="F55" s="25" t="s">
        <v>1</v>
      </c>
      <c r="G55" s="26" t="s">
        <v>19</v>
      </c>
      <c r="H55" s="27">
        <v>4207</v>
      </c>
    </row>
    <row r="56" spans="1:8" x14ac:dyDescent="0.25">
      <c r="A56" s="1" t="str">
        <v>SMA-A40_4208</v>
      </c>
      <c r="B56" s="1" t="str">
        <v>4208_ADT40</v>
      </c>
      <c r="C56" s="1" t="str">
        <v>A40</v>
      </c>
      <c r="D56" s="1" t="b">
        <v>0</v>
      </c>
      <c r="F56" s="25" t="s">
        <v>1</v>
      </c>
      <c r="G56" s="26" t="s">
        <v>19</v>
      </c>
      <c r="H56" s="27">
        <v>4208</v>
      </c>
    </row>
    <row r="57" spans="1:8" x14ac:dyDescent="0.25">
      <c r="A57" s="1" t="str">
        <v>STM-A40_0019</v>
      </c>
      <c r="B57" s="1" t="str">
        <v>19_ADT40</v>
      </c>
      <c r="C57" s="1" t="str">
        <v>A40</v>
      </c>
      <c r="D57" s="1" t="b">
        <v>0</v>
      </c>
      <c r="F57" s="25" t="s">
        <v>2</v>
      </c>
      <c r="G57" s="26" t="s">
        <v>19</v>
      </c>
      <c r="H57" s="27">
        <v>19</v>
      </c>
    </row>
    <row r="58" spans="1:8" x14ac:dyDescent="0.25">
      <c r="A58" s="1" t="str">
        <v>STM-A40_0022</v>
      </c>
      <c r="B58" s="1" t="str">
        <v>22_ADT40</v>
      </c>
      <c r="C58" s="1" t="str">
        <v>A40</v>
      </c>
      <c r="D58" s="1" t="b">
        <v>0</v>
      </c>
      <c r="F58" s="25" t="s">
        <v>2</v>
      </c>
      <c r="G58" s="26" t="s">
        <v>19</v>
      </c>
      <c r="H58" s="27">
        <v>22</v>
      </c>
    </row>
    <row r="59" spans="1:8" x14ac:dyDescent="0.25">
      <c r="A59" s="1" t="str">
        <v>STM-A40_0067</v>
      </c>
      <c r="B59" s="1" t="str">
        <v>67_ADT40</v>
      </c>
      <c r="C59" s="1" t="str">
        <v>A40</v>
      </c>
      <c r="D59" s="1" t="b">
        <v>0</v>
      </c>
      <c r="F59" s="25" t="s">
        <v>2</v>
      </c>
      <c r="G59" s="26" t="s">
        <v>19</v>
      </c>
      <c r="H59" s="27">
        <v>67</v>
      </c>
    </row>
    <row r="60" spans="1:8" x14ac:dyDescent="0.25">
      <c r="A60" s="1" t="str">
        <v>STM-A40_0068</v>
      </c>
      <c r="B60" s="1" t="str">
        <v>68_ADT40</v>
      </c>
      <c r="C60" s="1" t="str">
        <v>A40</v>
      </c>
      <c r="D60" s="1" t="b">
        <v>0</v>
      </c>
      <c r="F60" s="25" t="s">
        <v>2</v>
      </c>
      <c r="G60" s="26" t="s">
        <v>19</v>
      </c>
      <c r="H60" s="27">
        <v>68</v>
      </c>
    </row>
    <row r="61" spans="1:8" x14ac:dyDescent="0.25">
      <c r="A61" s="1" t="str">
        <v>STM-A40_0069</v>
      </c>
      <c r="B61" s="1" t="str">
        <v>69_ADT40</v>
      </c>
      <c r="C61" s="1" t="str">
        <v>A40</v>
      </c>
      <c r="D61" s="1" t="b">
        <v>0</v>
      </c>
      <c r="F61" s="25" t="s">
        <v>2</v>
      </c>
      <c r="G61" s="26" t="s">
        <v>19</v>
      </c>
      <c r="H61" s="27">
        <v>69</v>
      </c>
    </row>
    <row r="62" spans="1:8" x14ac:dyDescent="0.25">
      <c r="A62" s="1" t="str">
        <v>STM-A40_0070</v>
      </c>
      <c r="B62" s="1" t="str">
        <v>70_ADT40</v>
      </c>
      <c r="C62" s="1" t="str">
        <v>A40</v>
      </c>
      <c r="D62" s="1" t="b">
        <v>0</v>
      </c>
      <c r="F62" s="25" t="s">
        <v>2</v>
      </c>
      <c r="G62" s="26" t="s">
        <v>19</v>
      </c>
      <c r="H62" s="27">
        <v>70</v>
      </c>
    </row>
    <row r="63" spans="1:8" x14ac:dyDescent="0.25">
      <c r="A63" s="1" t="str">
        <v>STM-A40_0071</v>
      </c>
      <c r="B63" s="1" t="str">
        <v>71_ADT40</v>
      </c>
      <c r="C63" s="1" t="str">
        <v>A40</v>
      </c>
      <c r="D63" s="1" t="b">
        <v>0</v>
      </c>
      <c r="F63" s="25" t="s">
        <v>2</v>
      </c>
      <c r="G63" s="26" t="s">
        <v>19</v>
      </c>
      <c r="H63" s="27">
        <v>71</v>
      </c>
    </row>
    <row r="64" spans="1:8" x14ac:dyDescent="0.25">
      <c r="A64" s="1" t="str">
        <v>STM-A40_0075</v>
      </c>
      <c r="B64" s="1" t="str">
        <v>75_ADT40</v>
      </c>
      <c r="C64" s="1" t="str">
        <v>A40</v>
      </c>
      <c r="D64" s="1" t="b">
        <v>0</v>
      </c>
      <c r="F64" s="25" t="s">
        <v>2</v>
      </c>
      <c r="G64" s="26" t="s">
        <v>19</v>
      </c>
      <c r="H64" s="27">
        <v>75</v>
      </c>
    </row>
    <row r="65" spans="1:8" x14ac:dyDescent="0.25">
      <c r="A65" s="1" t="str">
        <v>STM-A40_0076</v>
      </c>
      <c r="B65" s="1" t="str">
        <v>76_ADT40</v>
      </c>
      <c r="C65" s="1" t="str">
        <v>A40</v>
      </c>
      <c r="D65" s="1" t="b">
        <v>0</v>
      </c>
      <c r="F65" s="25" t="s">
        <v>2</v>
      </c>
      <c r="G65" s="26" t="s">
        <v>19</v>
      </c>
      <c r="H65" s="27">
        <v>76</v>
      </c>
    </row>
    <row r="66" spans="1:8" x14ac:dyDescent="0.25">
      <c r="A66" s="1" t="str">
        <v>STM-A40_0077</v>
      </c>
      <c r="B66" s="1" t="str">
        <v>77_ADT40</v>
      </c>
      <c r="C66" s="1" t="str">
        <v>A40</v>
      </c>
      <c r="D66" s="1" t="b">
        <v>0</v>
      </c>
      <c r="F66" s="25" t="s">
        <v>2</v>
      </c>
      <c r="G66" s="26" t="s">
        <v>19</v>
      </c>
      <c r="H66" s="27">
        <v>77</v>
      </c>
    </row>
    <row r="67" spans="1:8" x14ac:dyDescent="0.25">
      <c r="A67" s="1" t="str">
        <v>STM-A40_0087</v>
      </c>
      <c r="B67" s="1" t="str">
        <v>87_ADT40</v>
      </c>
      <c r="C67" s="1" t="str">
        <v>A40</v>
      </c>
      <c r="D67" s="1" t="b">
        <v>0</v>
      </c>
      <c r="F67" s="25" t="s">
        <v>2</v>
      </c>
      <c r="G67" s="26" t="s">
        <v>19</v>
      </c>
      <c r="H67" s="27">
        <v>87</v>
      </c>
    </row>
    <row r="68" spans="1:8" x14ac:dyDescent="0.25">
      <c r="A68" s="1" t="str">
        <v>STM-A40_0088</v>
      </c>
      <c r="B68" s="1" t="str">
        <v>88_ADT40</v>
      </c>
      <c r="C68" s="1" t="str">
        <v>A40</v>
      </c>
      <c r="D68" s="1" t="b">
        <v>0</v>
      </c>
      <c r="F68" s="25" t="s">
        <v>2</v>
      </c>
      <c r="G68" s="26" t="s">
        <v>19</v>
      </c>
      <c r="H68" s="27">
        <v>88</v>
      </c>
    </row>
    <row r="69" spans="1:8" x14ac:dyDescent="0.25">
      <c r="A69" s="1" t="str">
        <v>STM-A40_0089</v>
      </c>
      <c r="B69" s="1" t="str">
        <v>89_ADT40</v>
      </c>
      <c r="C69" s="1" t="str">
        <v>A40</v>
      </c>
      <c r="D69" s="1" t="b">
        <v>0</v>
      </c>
      <c r="F69" s="25" t="s">
        <v>2</v>
      </c>
      <c r="G69" s="26" t="s">
        <v>19</v>
      </c>
      <c r="H69" s="27">
        <v>89</v>
      </c>
    </row>
    <row r="70" spans="1:8" x14ac:dyDescent="0.25">
      <c r="A70" s="1" t="str">
        <v>STM-A40_0093</v>
      </c>
      <c r="B70" s="1" t="str">
        <v>93_ADT40</v>
      </c>
      <c r="C70" s="1" t="str">
        <v>A40</v>
      </c>
      <c r="D70" s="1" t="b">
        <v>0</v>
      </c>
      <c r="F70" s="25" t="s">
        <v>2</v>
      </c>
      <c r="G70" s="26" t="s">
        <v>19</v>
      </c>
      <c r="H70" s="27">
        <v>93</v>
      </c>
    </row>
    <row r="71" spans="1:8" x14ac:dyDescent="0.25">
      <c r="A71" s="1" t="str">
        <v>STM-A40_0095</v>
      </c>
      <c r="B71" s="1" t="str">
        <v>95_ADT40</v>
      </c>
      <c r="C71" s="1" t="str">
        <v>A40</v>
      </c>
      <c r="D71" s="1" t="b">
        <v>0</v>
      </c>
      <c r="F71" s="25" t="s">
        <v>2</v>
      </c>
      <c r="G71" s="26" t="s">
        <v>19</v>
      </c>
      <c r="H71" s="27">
        <v>95</v>
      </c>
    </row>
    <row r="72" spans="1:8" x14ac:dyDescent="0.25">
      <c r="A72" s="1" t="str">
        <v>STM-A40_0096</v>
      </c>
      <c r="B72" s="1" t="str">
        <v>96_ADT40</v>
      </c>
      <c r="C72" s="1" t="str">
        <v>A40</v>
      </c>
      <c r="D72" s="1" t="b">
        <v>0</v>
      </c>
      <c r="F72" s="25" t="s">
        <v>2</v>
      </c>
      <c r="G72" s="26" t="s">
        <v>19</v>
      </c>
      <c r="H72" s="27">
        <v>96</v>
      </c>
    </row>
    <row r="73" spans="1:8" x14ac:dyDescent="0.25">
      <c r="A73" s="1" t="str">
        <v>STM-A40_0097</v>
      </c>
      <c r="B73" s="1" t="str">
        <v>97_ADT40</v>
      </c>
      <c r="C73" s="1" t="str">
        <v>A40</v>
      </c>
      <c r="D73" s="1" t="b">
        <v>0</v>
      </c>
      <c r="F73" s="25" t="s">
        <v>2</v>
      </c>
      <c r="G73" s="26" t="s">
        <v>19</v>
      </c>
      <c r="H73" s="27">
        <v>97</v>
      </c>
    </row>
    <row r="74" spans="1:8" x14ac:dyDescent="0.25">
      <c r="A74" s="1" t="str">
        <v>STM-A40_0098</v>
      </c>
      <c r="B74" s="1" t="str">
        <v>98_ADT40</v>
      </c>
      <c r="C74" s="1" t="str">
        <v>A40</v>
      </c>
      <c r="D74" s="1" t="b">
        <v>0</v>
      </c>
      <c r="F74" s="25" t="s">
        <v>2</v>
      </c>
      <c r="G74" s="26" t="s">
        <v>19</v>
      </c>
      <c r="H74" s="27">
        <v>98</v>
      </c>
    </row>
    <row r="75" spans="1:8" x14ac:dyDescent="0.25">
      <c r="A75" s="1" t="str">
        <v>STM-A40_0099</v>
      </c>
      <c r="B75" s="1" t="str">
        <v>99_ADT40</v>
      </c>
      <c r="C75" s="1" t="str">
        <v>A40</v>
      </c>
      <c r="D75" s="1" t="b">
        <v>0</v>
      </c>
      <c r="F75" s="25" t="s">
        <v>2</v>
      </c>
      <c r="G75" s="26" t="s">
        <v>19</v>
      </c>
      <c r="H75" s="27">
        <v>99</v>
      </c>
    </row>
    <row r="76" spans="1:8" x14ac:dyDescent="0.25">
      <c r="A76" s="1" t="str">
        <v>STM-A40_0100</v>
      </c>
      <c r="B76" s="1" t="str">
        <v>100_ADT40</v>
      </c>
      <c r="C76" s="1" t="str">
        <v>A40</v>
      </c>
      <c r="D76" s="1" t="b">
        <v>0</v>
      </c>
      <c r="F76" s="25" t="s">
        <v>2</v>
      </c>
      <c r="G76" s="26" t="s">
        <v>19</v>
      </c>
      <c r="H76" s="27">
        <v>100</v>
      </c>
    </row>
    <row r="77" spans="1:8" x14ac:dyDescent="0.25">
      <c r="A77" s="1" t="str">
        <v>STM-A40_0101</v>
      </c>
      <c r="B77" s="1" t="str">
        <v>101_ADT40</v>
      </c>
      <c r="C77" s="1" t="str">
        <v>A40</v>
      </c>
      <c r="D77" s="1" t="b">
        <v>0</v>
      </c>
      <c r="F77" s="25" t="s">
        <v>2</v>
      </c>
      <c r="G77" s="26" t="s">
        <v>19</v>
      </c>
      <c r="H77" s="27">
        <v>101</v>
      </c>
    </row>
    <row r="78" spans="1:8" x14ac:dyDescent="0.25">
      <c r="A78" s="1" t="str">
        <v>STM-A40_0102</v>
      </c>
      <c r="B78" s="1" t="str">
        <v>102_ADT40</v>
      </c>
      <c r="C78" s="1" t="str">
        <v>A40</v>
      </c>
      <c r="D78" s="1" t="b">
        <v>0</v>
      </c>
      <c r="F78" s="25" t="s">
        <v>2</v>
      </c>
      <c r="G78" s="26" t="s">
        <v>19</v>
      </c>
      <c r="H78" s="27">
        <v>102</v>
      </c>
    </row>
    <row r="79" spans="1:8" x14ac:dyDescent="0.25">
      <c r="A79" s="1" t="str">
        <v>STM-A40_0103</v>
      </c>
      <c r="B79" s="1" t="str">
        <v>103_ADT40</v>
      </c>
      <c r="C79" s="1" t="str">
        <v>A40</v>
      </c>
      <c r="D79" s="1" t="b">
        <v>0</v>
      </c>
      <c r="F79" s="25" t="s">
        <v>2</v>
      </c>
      <c r="G79" s="26" t="s">
        <v>19</v>
      </c>
      <c r="H79" s="27">
        <v>103</v>
      </c>
    </row>
    <row r="80" spans="1:8" x14ac:dyDescent="0.25">
      <c r="A80" s="1" t="str">
        <v>STM-A40_0105</v>
      </c>
      <c r="B80" s="1" t="str">
        <v>105_ADT40</v>
      </c>
      <c r="C80" s="1" t="str">
        <v>A40</v>
      </c>
      <c r="D80" s="1" t="b">
        <v>0</v>
      </c>
      <c r="F80" s="25" t="s">
        <v>2</v>
      </c>
      <c r="G80" s="26" t="s">
        <v>19</v>
      </c>
      <c r="H80" s="27">
        <v>105</v>
      </c>
    </row>
    <row r="81" spans="1:8" x14ac:dyDescent="0.25">
      <c r="A81" s="1" t="str">
        <v>STM-A40_0106</v>
      </c>
      <c r="B81" s="1" t="str">
        <v>106_ADT40</v>
      </c>
      <c r="C81" s="1" t="str">
        <v>A40</v>
      </c>
      <c r="D81" s="1" t="b">
        <v>0</v>
      </c>
      <c r="F81" s="25" t="s">
        <v>2</v>
      </c>
      <c r="G81" s="26" t="s">
        <v>19</v>
      </c>
      <c r="H81" s="27">
        <v>106</v>
      </c>
    </row>
    <row r="82" spans="1:8" x14ac:dyDescent="0.25">
      <c r="A82" s="1" t="str">
        <v>STM-A40_0107</v>
      </c>
      <c r="B82" s="1" t="str">
        <v>107_ADT40</v>
      </c>
      <c r="C82" s="1" t="str">
        <v>A40</v>
      </c>
      <c r="D82" s="1" t="b">
        <v>0</v>
      </c>
      <c r="F82" s="25" t="s">
        <v>2</v>
      </c>
      <c r="G82" s="26" t="s">
        <v>19</v>
      </c>
      <c r="H82" s="27">
        <v>107</v>
      </c>
    </row>
    <row r="83" spans="1:8" x14ac:dyDescent="0.25">
      <c r="A83" s="1" t="str">
        <v>STM-A40_0119</v>
      </c>
      <c r="B83" s="1" t="str">
        <v>119_ADT40</v>
      </c>
      <c r="C83" s="1" t="str">
        <v>A40</v>
      </c>
      <c r="D83" s="1" t="b">
        <v>0</v>
      </c>
      <c r="F83" s="25" t="s">
        <v>2</v>
      </c>
      <c r="G83" s="26" t="s">
        <v>19</v>
      </c>
      <c r="H83" s="27">
        <v>119</v>
      </c>
    </row>
    <row r="84" spans="1:8" x14ac:dyDescent="0.25">
      <c r="A84" s="1" t="str">
        <v>STM-A40_0120</v>
      </c>
      <c r="B84" s="1" t="str">
        <v>120_ADT40</v>
      </c>
      <c r="C84" s="1" t="str">
        <v>A40</v>
      </c>
      <c r="D84" s="1" t="b">
        <v>0</v>
      </c>
      <c r="F84" s="25" t="s">
        <v>2</v>
      </c>
      <c r="G84" s="26" t="s">
        <v>19</v>
      </c>
      <c r="H84" s="27">
        <v>120</v>
      </c>
    </row>
    <row r="85" spans="1:8" x14ac:dyDescent="0.25">
      <c r="A85" s="1" t="str">
        <v>STM-A40_0121</v>
      </c>
      <c r="B85" s="1" t="str">
        <v>121_ADT40</v>
      </c>
      <c r="C85" s="1" t="str">
        <v>A40</v>
      </c>
      <c r="D85" s="1" t="b">
        <v>0</v>
      </c>
      <c r="F85" s="25" t="s">
        <v>2</v>
      </c>
      <c r="G85" s="26" t="s">
        <v>19</v>
      </c>
      <c r="H85" s="27">
        <v>121</v>
      </c>
    </row>
    <row r="86" spans="1:8" x14ac:dyDescent="0.25">
      <c r="A86" s="1" t="str">
        <v>STM-A40_0122</v>
      </c>
      <c r="B86" s="1" t="str">
        <v>122_ADT40</v>
      </c>
      <c r="C86" s="1" t="str">
        <v>A40</v>
      </c>
      <c r="D86" s="1" t="b">
        <v>0</v>
      </c>
      <c r="F86" s="25" t="s">
        <v>2</v>
      </c>
      <c r="G86" s="26" t="s">
        <v>19</v>
      </c>
      <c r="H86" s="27">
        <v>122</v>
      </c>
    </row>
    <row r="87" spans="1:8" x14ac:dyDescent="0.25">
      <c r="A87" s="1" t="str">
        <v>STM-A40_0123</v>
      </c>
      <c r="B87" s="1" t="str">
        <v>123_ADT40</v>
      </c>
      <c r="C87" s="1" t="str">
        <v>A40</v>
      </c>
      <c r="D87" s="1" t="b">
        <v>0</v>
      </c>
      <c r="F87" s="25" t="s">
        <v>2</v>
      </c>
      <c r="G87" s="26" t="s">
        <v>19</v>
      </c>
      <c r="H87" s="27">
        <v>123</v>
      </c>
    </row>
    <row r="88" spans="1:8" x14ac:dyDescent="0.25">
      <c r="A88" s="1" t="str">
        <v>STM-A40_0125</v>
      </c>
      <c r="B88" s="1" t="str">
        <v>125_ADT40</v>
      </c>
      <c r="C88" s="1" t="str">
        <v>A40</v>
      </c>
      <c r="D88" s="1" t="b">
        <v>0</v>
      </c>
      <c r="F88" s="25" t="s">
        <v>2</v>
      </c>
      <c r="G88" s="26" t="s">
        <v>19</v>
      </c>
      <c r="H88" s="27">
        <v>125</v>
      </c>
    </row>
    <row r="89" spans="1:8" x14ac:dyDescent="0.25">
      <c r="A89" s="1" t="str">
        <v>STM-A40_0131</v>
      </c>
      <c r="B89" s="1" t="str">
        <v>131_ADT40</v>
      </c>
      <c r="C89" s="1" t="str">
        <v>A40</v>
      </c>
      <c r="D89" s="1" t="b">
        <v>0</v>
      </c>
      <c r="F89" s="25" t="s">
        <v>2</v>
      </c>
      <c r="G89" s="26" t="s">
        <v>19</v>
      </c>
      <c r="H89" s="27">
        <v>131</v>
      </c>
    </row>
    <row r="90" spans="1:8" x14ac:dyDescent="0.25">
      <c r="A90" s="1" t="str">
        <v>STM-A40_0132</v>
      </c>
      <c r="B90" s="1" t="str">
        <v>132_ADT40</v>
      </c>
      <c r="C90" s="1" t="str">
        <v>A40</v>
      </c>
      <c r="D90" s="1" t="b">
        <v>0</v>
      </c>
      <c r="F90" s="25" t="s">
        <v>2</v>
      </c>
      <c r="G90" s="26" t="s">
        <v>19</v>
      </c>
      <c r="H90" s="27">
        <v>132</v>
      </c>
    </row>
    <row r="91" spans="1:8" x14ac:dyDescent="0.25">
      <c r="A91" s="1" t="str">
        <v>STM-A40_0133</v>
      </c>
      <c r="B91" s="1" t="str">
        <v>133_ADT40</v>
      </c>
      <c r="C91" s="1" t="str">
        <v>A40</v>
      </c>
      <c r="D91" s="1" t="b">
        <v>0</v>
      </c>
      <c r="F91" s="25" t="s">
        <v>2</v>
      </c>
      <c r="G91" s="26" t="s">
        <v>19</v>
      </c>
      <c r="H91" s="27">
        <v>133</v>
      </c>
    </row>
    <row r="92" spans="1:8" x14ac:dyDescent="0.25">
      <c r="A92" s="1" t="str">
        <v>STM-A40_0135</v>
      </c>
      <c r="B92" s="1" t="str">
        <v>135_ADT40</v>
      </c>
      <c r="C92" s="1" t="str">
        <v>A40</v>
      </c>
      <c r="D92" s="1" t="b">
        <v>0</v>
      </c>
      <c r="F92" s="25" t="s">
        <v>2</v>
      </c>
      <c r="G92" s="26" t="s">
        <v>19</v>
      </c>
      <c r="H92" s="27">
        <v>135</v>
      </c>
    </row>
    <row r="93" spans="1:8" x14ac:dyDescent="0.25">
      <c r="A93" s="1" t="str">
        <v>STM-A40_0136</v>
      </c>
      <c r="B93" s="1" t="str">
        <v>136_ADT40</v>
      </c>
      <c r="C93" s="1" t="str">
        <v>A40</v>
      </c>
      <c r="D93" s="1" t="b">
        <v>0</v>
      </c>
      <c r="F93" s="25" t="s">
        <v>2</v>
      </c>
      <c r="G93" s="26" t="s">
        <v>19</v>
      </c>
      <c r="H93" s="27">
        <v>136</v>
      </c>
    </row>
    <row r="94" spans="1:8" x14ac:dyDescent="0.25">
      <c r="A94" s="1" t="str">
        <v>STM-A40_0141</v>
      </c>
      <c r="B94" s="1" t="str">
        <v>141_ADT40</v>
      </c>
      <c r="C94" s="1" t="str">
        <v>A40</v>
      </c>
      <c r="D94" s="1" t="b">
        <v>0</v>
      </c>
      <c r="F94" s="25" t="s">
        <v>2</v>
      </c>
      <c r="G94" s="26" t="s">
        <v>19</v>
      </c>
      <c r="H94" s="27">
        <v>141</v>
      </c>
    </row>
    <row r="95" spans="1:8" x14ac:dyDescent="0.25">
      <c r="A95" s="1" t="str">
        <v>STM-A40_0142</v>
      </c>
      <c r="B95" s="1" t="str">
        <v>142_ADT40</v>
      </c>
      <c r="C95" s="1" t="str">
        <v>A40</v>
      </c>
      <c r="D95" s="1" t="b">
        <v>0</v>
      </c>
      <c r="F95" s="25" t="s">
        <v>2</v>
      </c>
      <c r="G95" s="26" t="s">
        <v>19</v>
      </c>
      <c r="H95" s="27">
        <v>142</v>
      </c>
    </row>
    <row r="96" spans="1:8" x14ac:dyDescent="0.25">
      <c r="A96" s="1" t="str">
        <v>STM-A40_0143</v>
      </c>
      <c r="B96" s="1" t="str">
        <v>143_ADT40</v>
      </c>
      <c r="C96" s="1" t="str">
        <v>A40</v>
      </c>
      <c r="D96" s="1" t="b">
        <v>0</v>
      </c>
      <c r="F96" s="25" t="s">
        <v>2</v>
      </c>
      <c r="G96" s="26" t="s">
        <v>19</v>
      </c>
      <c r="H96" s="27">
        <v>143</v>
      </c>
    </row>
    <row r="97" spans="1:8" x14ac:dyDescent="0.25">
      <c r="A97" s="1" t="str">
        <v>STM-A40_0145</v>
      </c>
      <c r="B97" s="1" t="str">
        <v>145_ADT40</v>
      </c>
      <c r="C97" s="1" t="str">
        <v>A40</v>
      </c>
      <c r="D97" s="1" t="b">
        <v>0</v>
      </c>
      <c r="F97" s="25" t="s">
        <v>2</v>
      </c>
      <c r="G97" s="26" t="s">
        <v>19</v>
      </c>
      <c r="H97" s="27">
        <v>145</v>
      </c>
    </row>
    <row r="98" spans="1:8" x14ac:dyDescent="0.25">
      <c r="A98" s="1" t="str">
        <v>STM-A40_0146</v>
      </c>
      <c r="B98" s="1" t="str">
        <v>146_ADT40</v>
      </c>
      <c r="C98" s="1" t="str">
        <v>A40</v>
      </c>
      <c r="D98" s="1" t="b">
        <v>0</v>
      </c>
      <c r="F98" s="25" t="s">
        <v>2</v>
      </c>
      <c r="G98" s="26" t="s">
        <v>19</v>
      </c>
      <c r="H98" s="27">
        <v>146</v>
      </c>
    </row>
    <row r="99" spans="1:8" x14ac:dyDescent="0.25">
      <c r="A99" s="1" t="str">
        <v>STM-A40_2009</v>
      </c>
      <c r="B99" s="1" t="str">
        <v>2009_ADT40</v>
      </c>
      <c r="C99" s="1" t="str">
        <v>A40</v>
      </c>
      <c r="D99" s="1" t="b">
        <v>0</v>
      </c>
      <c r="F99" s="25" t="s">
        <v>2</v>
      </c>
      <c r="G99" s="26" t="s">
        <v>19</v>
      </c>
      <c r="H99" s="27">
        <v>2009</v>
      </c>
    </row>
    <row r="100" spans="1:8" x14ac:dyDescent="0.25">
      <c r="A100" s="1" t="str">
        <v>STM-A40_2010</v>
      </c>
      <c r="B100" s="1" t="str">
        <v>2010_ADT40</v>
      </c>
      <c r="C100" s="1" t="str">
        <v>A40</v>
      </c>
      <c r="D100" s="1" t="b">
        <v>0</v>
      </c>
      <c r="F100" s="25" t="s">
        <v>2</v>
      </c>
      <c r="G100" s="26" t="s">
        <v>19</v>
      </c>
      <c r="H100" s="27">
        <v>2010</v>
      </c>
    </row>
    <row r="101" spans="1:8" x14ac:dyDescent="0.25">
      <c r="A101" s="1" t="str">
        <v>STM-A40_2011</v>
      </c>
      <c r="B101" s="1" t="str">
        <v>2011_ADT40</v>
      </c>
      <c r="C101" s="1" t="str">
        <v>A40</v>
      </c>
      <c r="D101" s="1" t="b">
        <v>0</v>
      </c>
      <c r="F101" s="25" t="s">
        <v>2</v>
      </c>
      <c r="G101" s="26" t="s">
        <v>19</v>
      </c>
      <c r="H101" s="27">
        <v>2011</v>
      </c>
    </row>
    <row r="102" spans="1:8" x14ac:dyDescent="0.25">
      <c r="A102" s="1" t="str">
        <v>STM-A40_2012</v>
      </c>
      <c r="B102" s="1" t="str">
        <v>2012_ADT40</v>
      </c>
      <c r="C102" s="1" t="str">
        <v>A40</v>
      </c>
      <c r="D102" s="1" t="b">
        <v>0</v>
      </c>
      <c r="F102" s="25" t="s">
        <v>2</v>
      </c>
      <c r="G102" s="26" t="s">
        <v>19</v>
      </c>
      <c r="H102" s="27">
        <v>2012</v>
      </c>
    </row>
    <row r="103" spans="1:8" x14ac:dyDescent="0.25">
      <c r="A103" s="1" t="str">
        <v>HS-A40_0003</v>
      </c>
      <c r="B103" s="1" t="str">
        <v>3_ADT40</v>
      </c>
      <c r="C103" s="1" t="str">
        <v>A40</v>
      </c>
      <c r="D103" s="1" t="b">
        <v>0</v>
      </c>
      <c r="F103" s="25" t="s">
        <v>10</v>
      </c>
      <c r="G103" s="26" t="s">
        <v>19</v>
      </c>
      <c r="H103" s="27">
        <v>3</v>
      </c>
    </row>
    <row r="104" spans="1:8" x14ac:dyDescent="0.25">
      <c r="A104" s="1" t="str">
        <v>HS-A40_0007</v>
      </c>
      <c r="B104" s="1" t="str">
        <v>7_ADT40</v>
      </c>
      <c r="C104" s="1" t="str">
        <v>A40</v>
      </c>
      <c r="D104" s="1" t="b">
        <v>0</v>
      </c>
      <c r="F104" s="25" t="s">
        <v>10</v>
      </c>
      <c r="G104" s="26" t="s">
        <v>19</v>
      </c>
      <c r="H104" s="27">
        <v>7</v>
      </c>
    </row>
    <row r="105" spans="1:8" x14ac:dyDescent="0.25">
      <c r="A105" s="1" t="str">
        <v>HS-A40_0008</v>
      </c>
      <c r="B105" s="1" t="str">
        <v>8_ADT40</v>
      </c>
      <c r="C105" s="1" t="str">
        <v>A40</v>
      </c>
      <c r="D105" s="1" t="b">
        <v>0</v>
      </c>
      <c r="F105" s="25" t="s">
        <v>10</v>
      </c>
      <c r="G105" s="26" t="s">
        <v>19</v>
      </c>
      <c r="H105" s="27">
        <v>8</v>
      </c>
    </row>
    <row r="106" spans="1:8" x14ac:dyDescent="0.25">
      <c r="A106" s="1" t="str">
        <v>HS-A40_0016</v>
      </c>
      <c r="B106" s="1" t="str">
        <v>16_ADT40</v>
      </c>
      <c r="C106" s="1" t="str">
        <v>A40</v>
      </c>
      <c r="D106" s="1" t="b">
        <v>0</v>
      </c>
      <c r="F106" s="25" t="s">
        <v>10</v>
      </c>
      <c r="G106" s="26" t="s">
        <v>19</v>
      </c>
      <c r="H106" s="27">
        <v>16</v>
      </c>
    </row>
    <row r="107" spans="1:8" x14ac:dyDescent="0.25">
      <c r="A107" s="1" t="str">
        <v>HS-A40_0026</v>
      </c>
      <c r="B107" s="1" t="str">
        <v>26_ADT40</v>
      </c>
      <c r="C107" s="1" t="str">
        <v>A40</v>
      </c>
      <c r="D107" s="1" t="b">
        <v>0</v>
      </c>
      <c r="F107" s="25" t="s">
        <v>10</v>
      </c>
      <c r="G107" s="26" t="s">
        <v>19</v>
      </c>
      <c r="H107" s="27">
        <v>26</v>
      </c>
    </row>
    <row r="108" spans="1:8" x14ac:dyDescent="0.25">
      <c r="A108" s="1" t="str">
        <v>HS-A40_0002</v>
      </c>
      <c r="B108" s="1" t="str">
        <v>2_ADT40</v>
      </c>
      <c r="C108" s="1" t="str">
        <v>A40</v>
      </c>
      <c r="D108" s="1" t="b">
        <v>0</v>
      </c>
      <c r="F108" s="25" t="s">
        <v>10</v>
      </c>
      <c r="G108" s="26" t="s">
        <v>19</v>
      </c>
      <c r="H108" s="27">
        <v>2</v>
      </c>
    </row>
    <row r="109" spans="1:8" x14ac:dyDescent="0.25">
      <c r="A109" s="1" t="str">
        <v>HS-A40_0006</v>
      </c>
      <c r="B109" s="1" t="str">
        <v>6_ADT40</v>
      </c>
      <c r="C109" s="1" t="str">
        <v>A40</v>
      </c>
      <c r="D109" s="1" t="b">
        <v>0</v>
      </c>
      <c r="F109" s="25" t="s">
        <v>10</v>
      </c>
      <c r="G109" s="26" t="s">
        <v>19</v>
      </c>
      <c r="H109" s="27">
        <v>6</v>
      </c>
    </row>
    <row r="110" spans="1:8" x14ac:dyDescent="0.25">
      <c r="A110" s="1" t="str">
        <v>HS-A40_0021</v>
      </c>
      <c r="B110" s="1" t="str">
        <v>21_ADT40</v>
      </c>
      <c r="C110" s="1" t="str">
        <v>A40</v>
      </c>
      <c r="D110" s="1" t="b">
        <v>0</v>
      </c>
      <c r="F110" s="25" t="s">
        <v>10</v>
      </c>
      <c r="G110" s="26" t="s">
        <v>19</v>
      </c>
      <c r="H110" s="27">
        <v>21</v>
      </c>
    </row>
    <row r="111" spans="1:8" x14ac:dyDescent="0.25">
      <c r="A111" s="1" t="str">
        <v>HS-A40_0022</v>
      </c>
      <c r="B111" s="1" t="str">
        <v>22_ADT40</v>
      </c>
      <c r="C111" s="1" t="str">
        <v>A40</v>
      </c>
      <c r="D111" s="1" t="b">
        <v>0</v>
      </c>
      <c r="F111" s="25" t="s">
        <v>10</v>
      </c>
      <c r="G111" s="26" t="s">
        <v>19</v>
      </c>
      <c r="H111" s="27">
        <v>22</v>
      </c>
    </row>
    <row r="112" spans="1:8" x14ac:dyDescent="0.25">
      <c r="A112" s="1" t="str">
        <v>HS-A40_0024</v>
      </c>
      <c r="B112" s="1" t="str">
        <v>24_ADT40</v>
      </c>
      <c r="C112" s="1" t="str">
        <v>A40</v>
      </c>
      <c r="D112" s="1" t="b">
        <v>0</v>
      </c>
      <c r="F112" s="25" t="s">
        <v>10</v>
      </c>
      <c r="G112" s="26" t="s">
        <v>19</v>
      </c>
      <c r="H112" s="27">
        <v>24</v>
      </c>
    </row>
    <row r="113" spans="1:8" x14ac:dyDescent="0.25">
      <c r="A113" s="1" t="str">
        <v>HS-A40_0044</v>
      </c>
      <c r="B113" s="1" t="str">
        <v>44_ADT40</v>
      </c>
      <c r="C113" s="1" t="str">
        <v>A40</v>
      </c>
      <c r="D113" s="1" t="b">
        <v>0</v>
      </c>
      <c r="F113" s="25" t="s">
        <v>10</v>
      </c>
      <c r="G113" s="26" t="s">
        <v>19</v>
      </c>
      <c r="H113" s="27">
        <v>44</v>
      </c>
    </row>
    <row r="114" spans="1:8" x14ac:dyDescent="0.25">
      <c r="A114" s="1" t="str">
        <v>HS-A40_0013</v>
      </c>
      <c r="B114" s="1" t="str">
        <v>13_ADT40</v>
      </c>
      <c r="C114" s="1" t="str">
        <v>A40</v>
      </c>
      <c r="D114" s="1" t="b">
        <v>0</v>
      </c>
      <c r="F114" s="25" t="s">
        <v>10</v>
      </c>
      <c r="G114" s="26" t="s">
        <v>19</v>
      </c>
      <c r="H114" s="27">
        <v>13</v>
      </c>
    </row>
    <row r="115" spans="1:8" x14ac:dyDescent="0.25">
      <c r="A115" s="1" t="str">
        <v>HS-A40_0014</v>
      </c>
      <c r="B115" s="1" t="str">
        <v>14_ADT40</v>
      </c>
      <c r="C115" s="1" t="str">
        <v>A40</v>
      </c>
      <c r="D115" s="1" t="b">
        <v>0</v>
      </c>
      <c r="F115" s="25" t="s">
        <v>10</v>
      </c>
      <c r="G115" s="26" t="s">
        <v>19</v>
      </c>
      <c r="H115" s="27">
        <v>14</v>
      </c>
    </row>
    <row r="116" spans="1:8" x14ac:dyDescent="0.25">
      <c r="A116" s="1" t="str">
        <v>HS-A40_0029</v>
      </c>
      <c r="B116" s="1" t="str">
        <v>29_ADT40</v>
      </c>
      <c r="C116" s="1" t="str">
        <v>A40</v>
      </c>
      <c r="D116" s="1" t="b">
        <v>0</v>
      </c>
      <c r="F116" s="25" t="s">
        <v>10</v>
      </c>
      <c r="G116" s="26" t="s">
        <v>19</v>
      </c>
      <c r="H116" s="27">
        <v>29</v>
      </c>
    </row>
    <row r="117" spans="1:8" x14ac:dyDescent="0.25">
      <c r="A117" s="1" t="str">
        <v>HS-A40_0035</v>
      </c>
      <c r="B117" s="1" t="str">
        <v>35_ADT40</v>
      </c>
      <c r="C117" s="1" t="str">
        <v>A40</v>
      </c>
      <c r="D117" s="1" t="b">
        <v>0</v>
      </c>
      <c r="F117" s="25" t="s">
        <v>10</v>
      </c>
      <c r="G117" s="26" t="s">
        <v>19</v>
      </c>
      <c r="H117" s="27">
        <v>35</v>
      </c>
    </row>
    <row r="118" spans="1:8" x14ac:dyDescent="0.25">
      <c r="A118" s="1" t="str">
        <v>HS-A40_0037</v>
      </c>
      <c r="B118" s="1" t="str">
        <v>37_ADT40</v>
      </c>
      <c r="C118" s="1" t="str">
        <v>A40</v>
      </c>
      <c r="D118" s="1" t="b">
        <v>0</v>
      </c>
      <c r="F118" s="25" t="s">
        <v>10</v>
      </c>
      <c r="G118" s="26" t="s">
        <v>19</v>
      </c>
      <c r="H118" s="27">
        <v>37</v>
      </c>
    </row>
    <row r="119" spans="1:8" x14ac:dyDescent="0.25">
      <c r="A119" s="1" t="str">
        <v>HS-A40_0043</v>
      </c>
      <c r="B119" s="1" t="str">
        <v>43_ADT40</v>
      </c>
      <c r="C119" s="1" t="str">
        <v>A40</v>
      </c>
      <c r="D119" s="1" t="b">
        <v>0</v>
      </c>
      <c r="F119" s="25" t="s">
        <v>10</v>
      </c>
      <c r="G119" s="26" t="s">
        <v>19</v>
      </c>
      <c r="H119" s="27">
        <v>43</v>
      </c>
    </row>
    <row r="120" spans="1:8" x14ac:dyDescent="0.25">
      <c r="A120" s="1" t="str">
        <v>HS-A40_0045</v>
      </c>
      <c r="B120" s="1" t="str">
        <v>45_ADT40</v>
      </c>
      <c r="C120" s="1" t="str">
        <v>A40</v>
      </c>
      <c r="D120" s="1" t="b">
        <v>0</v>
      </c>
      <c r="F120" s="25" t="s">
        <v>10</v>
      </c>
      <c r="G120" s="26" t="s">
        <v>19</v>
      </c>
      <c r="H120" s="27">
        <v>45</v>
      </c>
    </row>
    <row r="121" spans="1:8" x14ac:dyDescent="0.25">
      <c r="A121" s="1" t="str">
        <v>HS-A40_0025</v>
      </c>
      <c r="B121" s="1" t="str">
        <v>25_ADT40</v>
      </c>
      <c r="C121" s="1" t="str">
        <v>A40</v>
      </c>
      <c r="D121" s="1" t="b">
        <v>0</v>
      </c>
      <c r="F121" s="25" t="s">
        <v>10</v>
      </c>
      <c r="G121" s="26" t="s">
        <v>19</v>
      </c>
      <c r="H121" s="27">
        <v>25</v>
      </c>
    </row>
    <row r="122" spans="1:8" x14ac:dyDescent="0.25">
      <c r="A122" s="1" t="str">
        <v>HS-A40_0027</v>
      </c>
      <c r="B122" s="1" t="str">
        <v>27_ADT40</v>
      </c>
      <c r="C122" s="1" t="str">
        <v>A40</v>
      </c>
      <c r="D122" s="1" t="b">
        <v>0</v>
      </c>
      <c r="F122" s="25" t="s">
        <v>10</v>
      </c>
      <c r="G122" s="26" t="s">
        <v>19</v>
      </c>
      <c r="H122" s="27">
        <v>27</v>
      </c>
    </row>
    <row r="123" spans="1:8" x14ac:dyDescent="0.25">
      <c r="A123" s="1" t="str">
        <v>HS-A40_0036</v>
      </c>
      <c r="B123" s="1" t="str">
        <v>36_ADT40</v>
      </c>
      <c r="C123" s="1" t="str">
        <v>A40</v>
      </c>
      <c r="D123" s="1" t="b">
        <v>0</v>
      </c>
      <c r="F123" s="25" t="s">
        <v>10</v>
      </c>
      <c r="G123" s="26" t="s">
        <v>19</v>
      </c>
      <c r="H123" s="27">
        <v>36</v>
      </c>
    </row>
    <row r="124" spans="1:8" x14ac:dyDescent="0.25">
      <c r="A124" s="1" t="str">
        <v>HS-A40_0004</v>
      </c>
      <c r="B124" s="1" t="str">
        <v>4_ADT40</v>
      </c>
      <c r="C124" s="1" t="str">
        <v>A40</v>
      </c>
      <c r="D124" s="1" t="b">
        <v>0</v>
      </c>
      <c r="F124" s="25" t="s">
        <v>10</v>
      </c>
      <c r="G124" s="26" t="s">
        <v>19</v>
      </c>
      <c r="H124" s="27">
        <v>4</v>
      </c>
    </row>
    <row r="125" spans="1:8" x14ac:dyDescent="0.25">
      <c r="A125" s="1" t="str">
        <v>HS-A40_0005</v>
      </c>
      <c r="B125" s="1" t="str">
        <v>5_ADT40</v>
      </c>
      <c r="C125" s="1" t="str">
        <v>A40</v>
      </c>
      <c r="D125" s="1" t="b">
        <v>0</v>
      </c>
      <c r="F125" s="25" t="s">
        <v>10</v>
      </c>
      <c r="G125" s="26" t="s">
        <v>19</v>
      </c>
      <c r="H125" s="27">
        <v>5</v>
      </c>
    </row>
    <row r="126" spans="1:8" x14ac:dyDescent="0.25">
      <c r="A126" s="1" t="str">
        <v>HS-A40_0011</v>
      </c>
      <c r="B126" s="1" t="str">
        <v>11_ADT40</v>
      </c>
      <c r="C126" s="1" t="str">
        <v>A40</v>
      </c>
      <c r="D126" s="1" t="b">
        <v>0</v>
      </c>
      <c r="F126" s="25" t="s">
        <v>10</v>
      </c>
      <c r="G126" s="26" t="s">
        <v>19</v>
      </c>
      <c r="H126" s="27">
        <v>11</v>
      </c>
    </row>
    <row r="127" spans="1:8" x14ac:dyDescent="0.25">
      <c r="A127" s="1" t="str">
        <v>HS-A40_0015</v>
      </c>
      <c r="B127" s="1" t="str">
        <v>15_ADT40</v>
      </c>
      <c r="C127" s="1" t="str">
        <v>A40</v>
      </c>
      <c r="D127" s="1" t="b">
        <v>0</v>
      </c>
      <c r="F127" s="25" t="s">
        <v>10</v>
      </c>
      <c r="G127" s="26" t="s">
        <v>19</v>
      </c>
      <c r="H127" s="27">
        <v>15</v>
      </c>
    </row>
    <row r="128" spans="1:8" x14ac:dyDescent="0.25">
      <c r="A128" s="1" t="str">
        <v>HS-A40_0020</v>
      </c>
      <c r="B128" s="1" t="str">
        <v>20_ADT40</v>
      </c>
      <c r="C128" s="1" t="str">
        <v>A40</v>
      </c>
      <c r="D128" s="1" t="b">
        <v>0</v>
      </c>
      <c r="F128" s="25" t="s">
        <v>10</v>
      </c>
      <c r="G128" s="26" t="s">
        <v>19</v>
      </c>
      <c r="H128" s="27">
        <v>20</v>
      </c>
    </row>
    <row r="129" spans="1:8" x14ac:dyDescent="0.25">
      <c r="A129" s="1" t="str">
        <v>HS-A40_0042</v>
      </c>
      <c r="B129" s="1" t="str">
        <v>42_ADT40</v>
      </c>
      <c r="C129" s="1" t="str">
        <v>A40</v>
      </c>
      <c r="D129" s="1" t="b">
        <v>0</v>
      </c>
      <c r="F129" s="25" t="s">
        <v>10</v>
      </c>
      <c r="G129" s="26" t="s">
        <v>19</v>
      </c>
      <c r="H129" s="27">
        <v>42</v>
      </c>
    </row>
    <row r="130" spans="1:8" x14ac:dyDescent="0.25">
      <c r="A130" s="1" t="str">
        <v>HS-A40_0012</v>
      </c>
      <c r="B130" s="1" t="str">
        <v>12_ADT40</v>
      </c>
      <c r="C130" s="1" t="str">
        <v>A40</v>
      </c>
      <c r="D130" s="1" t="b">
        <v>0</v>
      </c>
      <c r="F130" s="25" t="s">
        <v>10</v>
      </c>
      <c r="G130" s="26" t="s">
        <v>19</v>
      </c>
      <c r="H130" s="27">
        <v>12</v>
      </c>
    </row>
    <row r="131" spans="1:8" x14ac:dyDescent="0.25">
      <c r="A131" s="1" t="str">
        <v>HS-A40_0028</v>
      </c>
      <c r="B131" s="1" t="str">
        <v>28_ADT40</v>
      </c>
      <c r="C131" s="1" t="str">
        <v>A40</v>
      </c>
      <c r="D131" s="1" t="b">
        <v>0</v>
      </c>
      <c r="F131" s="25" t="s">
        <v>10</v>
      </c>
      <c r="G131" s="26" t="s">
        <v>19</v>
      </c>
      <c r="H131" s="27">
        <v>28</v>
      </c>
    </row>
    <row r="132" spans="1:8" x14ac:dyDescent="0.25">
      <c r="A132" s="1" t="str">
        <v>HS-A40_0030</v>
      </c>
      <c r="B132" s="1" t="str">
        <v>30_ADT40</v>
      </c>
      <c r="C132" s="1" t="str">
        <v>A40</v>
      </c>
      <c r="D132" s="1" t="b">
        <v>0</v>
      </c>
      <c r="F132" s="25" t="s">
        <v>10</v>
      </c>
      <c r="G132" s="26" t="s">
        <v>19</v>
      </c>
      <c r="H132" s="27">
        <v>30</v>
      </c>
    </row>
    <row r="133" spans="1:8" x14ac:dyDescent="0.25">
      <c r="A133" s="1" t="str">
        <v>HS-A40_0032</v>
      </c>
      <c r="B133" s="1" t="str">
        <v>32_ADT40</v>
      </c>
      <c r="C133" s="1" t="str">
        <v>A40</v>
      </c>
      <c r="D133" s="1" t="b">
        <v>0</v>
      </c>
      <c r="F133" s="25" t="s">
        <v>10</v>
      </c>
      <c r="G133" s="26" t="s">
        <v>19</v>
      </c>
      <c r="H133" s="27">
        <v>32</v>
      </c>
    </row>
    <row r="134" spans="1:8" x14ac:dyDescent="0.25">
      <c r="A134" s="1" t="str">
        <v>HS-A40_0033</v>
      </c>
      <c r="B134" s="1" t="str">
        <v>33_ADT40</v>
      </c>
      <c r="C134" s="1" t="str">
        <v>A40</v>
      </c>
      <c r="D134" s="1" t="b">
        <v>0</v>
      </c>
      <c r="F134" s="25" t="s">
        <v>10</v>
      </c>
      <c r="G134" s="26" t="s">
        <v>19</v>
      </c>
      <c r="H134" s="27">
        <v>33</v>
      </c>
    </row>
    <row r="135" spans="1:8" x14ac:dyDescent="0.25">
      <c r="A135" s="1" t="str">
        <v>HS-A40_0039</v>
      </c>
      <c r="B135" s="1" t="str">
        <v>39_ADT40</v>
      </c>
      <c r="C135" s="1" t="str">
        <v>A40</v>
      </c>
      <c r="D135" s="1" t="b">
        <v>0</v>
      </c>
      <c r="F135" s="25" t="s">
        <v>10</v>
      </c>
      <c r="G135" s="26" t="s">
        <v>19</v>
      </c>
      <c r="H135" s="27">
        <v>39</v>
      </c>
    </row>
    <row r="136" spans="1:8" x14ac:dyDescent="0.25">
      <c r="A136" s="1" t="str">
        <v>HS-A40_0040</v>
      </c>
      <c r="B136" s="1" t="str">
        <v>40_ADT40</v>
      </c>
      <c r="C136" s="1" t="str">
        <v>A40</v>
      </c>
      <c r="D136" s="1" t="b">
        <v>0</v>
      </c>
      <c r="F136" s="25" t="s">
        <v>10</v>
      </c>
      <c r="G136" s="26" t="s">
        <v>19</v>
      </c>
      <c r="H136" s="27">
        <v>40</v>
      </c>
    </row>
    <row r="137" spans="1:8" x14ac:dyDescent="0.25">
      <c r="A137" s="1" t="str">
        <v>HS-A40_0009</v>
      </c>
      <c r="B137" s="1" t="str">
        <v>9_ADT40</v>
      </c>
      <c r="C137" s="1" t="str">
        <v>A40</v>
      </c>
      <c r="D137" s="1" t="b">
        <v>0</v>
      </c>
      <c r="F137" s="25" t="s">
        <v>10</v>
      </c>
      <c r="G137" s="26" t="s">
        <v>19</v>
      </c>
      <c r="H137" s="27">
        <v>9</v>
      </c>
    </row>
    <row r="138" spans="1:8" x14ac:dyDescent="0.25">
      <c r="A138" s="1" t="str">
        <v>HS-A40_0010</v>
      </c>
      <c r="B138" s="1" t="str">
        <v>10_ADT40</v>
      </c>
      <c r="C138" s="1" t="str">
        <v>A40</v>
      </c>
      <c r="D138" s="1" t="b">
        <v>0</v>
      </c>
      <c r="F138" s="25" t="s">
        <v>10</v>
      </c>
      <c r="G138" s="26" t="s">
        <v>19</v>
      </c>
      <c r="H138" s="27">
        <v>10</v>
      </c>
    </row>
    <row r="139" spans="1:8" x14ac:dyDescent="0.25">
      <c r="A139" s="1" t="str">
        <v>HS-A40_0031</v>
      </c>
      <c r="B139" s="1" t="str">
        <v>31_ADT40</v>
      </c>
      <c r="C139" s="1" t="str">
        <v>A40</v>
      </c>
      <c r="D139" s="1" t="b">
        <v>0</v>
      </c>
      <c r="F139" s="25" t="s">
        <v>10</v>
      </c>
      <c r="G139" s="26" t="s">
        <v>19</v>
      </c>
      <c r="H139" s="27">
        <v>31</v>
      </c>
    </row>
    <row r="140" spans="1:8" x14ac:dyDescent="0.25">
      <c r="A140" s="1" t="str">
        <v>HS-A40_0001</v>
      </c>
      <c r="B140" s="1" t="str">
        <v>1_ADT40</v>
      </c>
      <c r="C140" s="1" t="str">
        <v>A40</v>
      </c>
      <c r="D140" s="1" t="b">
        <v>0</v>
      </c>
      <c r="F140" s="25" t="s">
        <v>10</v>
      </c>
      <c r="G140" s="26" t="s">
        <v>19</v>
      </c>
      <c r="H140" s="27">
        <v>1</v>
      </c>
    </row>
    <row r="141" spans="1:8" x14ac:dyDescent="0.25">
      <c r="A141" s="1" t="str">
        <v>HS-A40_0018</v>
      </c>
      <c r="B141" s="1" t="str">
        <v>18_ADT40</v>
      </c>
      <c r="C141" s="1" t="str">
        <v>A40</v>
      </c>
      <c r="D141" s="1" t="b">
        <v>0</v>
      </c>
      <c r="F141" s="25" t="s">
        <v>10</v>
      </c>
      <c r="G141" s="26" t="s">
        <v>19</v>
      </c>
      <c r="H141" s="27">
        <v>18</v>
      </c>
    </row>
    <row r="142" spans="1:8" x14ac:dyDescent="0.25">
      <c r="A142" s="1" t="str">
        <v>HS-A40_0019</v>
      </c>
      <c r="B142" s="1" t="str">
        <v>19_ADT40</v>
      </c>
      <c r="C142" s="1" t="str">
        <v>A40</v>
      </c>
      <c r="D142" s="1" t="b">
        <v>0</v>
      </c>
      <c r="F142" s="25" t="s">
        <v>10</v>
      </c>
      <c r="G142" s="26" t="s">
        <v>19</v>
      </c>
      <c r="H142" s="27">
        <v>19</v>
      </c>
    </row>
    <row r="143" spans="1:8" x14ac:dyDescent="0.25">
      <c r="A143" s="1" t="str">
        <v>HS-A40_0034</v>
      </c>
      <c r="B143" s="1" t="str">
        <v>34_ADT40</v>
      </c>
      <c r="C143" s="1" t="str">
        <v>A40</v>
      </c>
      <c r="D143" s="1" t="b">
        <v>0</v>
      </c>
      <c r="F143" s="25" t="s">
        <v>10</v>
      </c>
      <c r="G143" s="26" t="s">
        <v>19</v>
      </c>
      <c r="H143" s="27">
        <v>34</v>
      </c>
    </row>
    <row r="144" spans="1:8" x14ac:dyDescent="0.25">
      <c r="A144" s="1" t="str">
        <v>HS-A40_0038</v>
      </c>
      <c r="B144" s="1" t="str">
        <v>38_ADT40</v>
      </c>
      <c r="C144" s="1" t="str">
        <v>A40</v>
      </c>
      <c r="D144" s="1" t="b">
        <v>0</v>
      </c>
      <c r="F144" s="25" t="s">
        <v>10</v>
      </c>
      <c r="G144" s="26" t="s">
        <v>19</v>
      </c>
      <c r="H144" s="27">
        <v>38</v>
      </c>
    </row>
    <row r="145" spans="1:8" x14ac:dyDescent="0.25">
      <c r="A145" s="1" t="str">
        <v>HS-A40_0046</v>
      </c>
      <c r="B145" s="1" t="str">
        <v>46_ADT40</v>
      </c>
      <c r="C145" s="1" t="str">
        <v>A40</v>
      </c>
      <c r="D145" s="1" t="b">
        <v>0</v>
      </c>
      <c r="F145" s="25" t="s">
        <v>10</v>
      </c>
      <c r="G145" s="26" t="s">
        <v>19</v>
      </c>
      <c r="H145" s="27">
        <v>46</v>
      </c>
    </row>
    <row r="146" spans="1:8" x14ac:dyDescent="0.25">
      <c r="A146" s="1" t="str">
        <v>HS-A40_0047</v>
      </c>
      <c r="B146" s="1" t="str">
        <v>47_ADT40</v>
      </c>
      <c r="C146" s="1" t="str">
        <v>A40</v>
      </c>
      <c r="D146" s="1" t="b">
        <v>0</v>
      </c>
      <c r="F146" s="25" t="s">
        <v>10</v>
      </c>
      <c r="G146" s="26" t="s">
        <v>19</v>
      </c>
      <c r="H146" s="27">
        <v>47</v>
      </c>
    </row>
    <row r="147" spans="1:8" x14ac:dyDescent="0.25">
      <c r="A147" s="1" t="str">
        <v>HS-A40_0048</v>
      </c>
      <c r="B147" s="1" t="str">
        <v>48_ADT40</v>
      </c>
      <c r="C147" s="1" t="str">
        <v>A40</v>
      </c>
      <c r="D147" s="1" t="b">
        <v>0</v>
      </c>
      <c r="F147" s="25" t="s">
        <v>10</v>
      </c>
      <c r="G147" s="26" t="s">
        <v>19</v>
      </c>
      <c r="H147" s="27">
        <v>48</v>
      </c>
    </row>
    <row r="148" spans="1:8" x14ac:dyDescent="0.25">
      <c r="A148" s="1" t="str">
        <v>HS-A40_0049</v>
      </c>
      <c r="B148" s="1" t="str">
        <v>49_ADT40</v>
      </c>
      <c r="C148" s="1" t="str">
        <v>A40</v>
      </c>
      <c r="D148" s="1" t="b">
        <v>0</v>
      </c>
      <c r="F148" s="25" t="s">
        <v>10</v>
      </c>
      <c r="G148" s="26" t="s">
        <v>19</v>
      </c>
      <c r="H148" s="27">
        <v>49</v>
      </c>
    </row>
    <row r="149" spans="1:8" x14ac:dyDescent="0.25">
      <c r="A149" s="1" t="str">
        <v>HS-A40_0050</v>
      </c>
      <c r="B149" s="1" t="str">
        <v>50_ADT40</v>
      </c>
      <c r="C149" s="1" t="str">
        <v>A40</v>
      </c>
      <c r="D149" s="1" t="b">
        <v>0</v>
      </c>
      <c r="F149" s="25" t="s">
        <v>10</v>
      </c>
      <c r="G149" s="26" t="s">
        <v>19</v>
      </c>
      <c r="H149" s="27">
        <v>50</v>
      </c>
    </row>
    <row r="150" spans="1:8" x14ac:dyDescent="0.25">
      <c r="A150" s="1" t="str">
        <v>HS-A40_0051</v>
      </c>
      <c r="B150" s="1" t="str">
        <v>51_ADT40</v>
      </c>
      <c r="C150" s="1" t="str">
        <v>A40</v>
      </c>
      <c r="D150" s="1" t="b">
        <v>0</v>
      </c>
      <c r="F150" s="25" t="s">
        <v>10</v>
      </c>
      <c r="G150" s="26" t="s">
        <v>19</v>
      </c>
      <c r="H150" s="27">
        <v>51</v>
      </c>
    </row>
    <row r="151" spans="1:8" x14ac:dyDescent="0.25">
      <c r="A151" s="1" t="str">
        <v>STM-A40_2008</v>
      </c>
      <c r="B151" s="1" t="str">
        <v>2008_ADT40</v>
      </c>
      <c r="C151" s="1" t="str">
        <v>A40</v>
      </c>
      <c r="D151" s="1" t="b">
        <v>0</v>
      </c>
      <c r="F151" s="25" t="s">
        <v>2</v>
      </c>
      <c r="G151" s="26" t="s">
        <v>19</v>
      </c>
      <c r="H151" s="27">
        <v>2008</v>
      </c>
    </row>
    <row r="152" spans="1:8" x14ac:dyDescent="0.25">
      <c r="A152" s="1" t="str">
        <v>-_0000</v>
      </c>
      <c r="B152" s="1" t="str">
        <v>_</v>
      </c>
      <c r="C152" s="1" t="str">
        <v/>
      </c>
      <c r="D152" s="1" t="b">
        <v>0</v>
      </c>
      <c r="F152" s="25"/>
      <c r="G152" s="26"/>
      <c r="H152" s="27"/>
    </row>
    <row r="153" spans="1:8" x14ac:dyDescent="0.25">
      <c r="A153" s="1" t="str">
        <v>-_0000</v>
      </c>
      <c r="B153" s="1" t="str">
        <v>_</v>
      </c>
      <c r="C153" s="1" t="str">
        <v/>
      </c>
      <c r="D153" s="1" t="b">
        <v>0</v>
      </c>
      <c r="F153" s="25"/>
      <c r="G153" s="26"/>
      <c r="H153" s="27"/>
    </row>
    <row r="154" spans="1:8" x14ac:dyDescent="0.25">
      <c r="A154" s="1" t="str">
        <v>-_0000</v>
      </c>
      <c r="B154" s="1" t="str">
        <v>_</v>
      </c>
      <c r="C154" s="1" t="str">
        <v/>
      </c>
      <c r="D154" s="1" t="b">
        <v>0</v>
      </c>
      <c r="F154" s="25"/>
      <c r="G154" s="26"/>
      <c r="H154" s="27"/>
    </row>
    <row r="155" spans="1:8" x14ac:dyDescent="0.25">
      <c r="A155" s="1" t="str">
        <v>-_0000</v>
      </c>
      <c r="B155" s="1" t="str">
        <v>_</v>
      </c>
      <c r="C155" s="1" t="str">
        <v/>
      </c>
      <c r="D155" s="1" t="b">
        <v>0</v>
      </c>
      <c r="F155" s="25"/>
      <c r="G155" s="26"/>
      <c r="H155" s="27"/>
    </row>
    <row r="156" spans="1:8" x14ac:dyDescent="0.25">
      <c r="A156" s="1" t="str">
        <v>-_0000</v>
      </c>
      <c r="B156" s="1" t="str">
        <v>_</v>
      </c>
      <c r="C156" s="1" t="str">
        <v/>
      </c>
      <c r="D156" s="1" t="b">
        <v>0</v>
      </c>
      <c r="F156" s="25"/>
      <c r="G156" s="26"/>
      <c r="H156" s="27"/>
    </row>
    <row r="157" spans="1:8" x14ac:dyDescent="0.25">
      <c r="A157" s="1" t="str">
        <v>-_0000</v>
      </c>
      <c r="B157" s="1" t="str">
        <v>_</v>
      </c>
      <c r="C157" s="1" t="str">
        <v/>
      </c>
      <c r="D157" s="1" t="b">
        <v>0</v>
      </c>
      <c r="F157" s="25"/>
      <c r="G157" s="26"/>
      <c r="H157" s="27"/>
    </row>
    <row r="158" spans="1:8" x14ac:dyDescent="0.25">
      <c r="A158" s="1" t="str">
        <v>-_0000</v>
      </c>
      <c r="B158" s="1" t="str">
        <v>_</v>
      </c>
      <c r="C158" s="1" t="str">
        <v/>
      </c>
      <c r="D158" s="1" t="b">
        <v>0</v>
      </c>
      <c r="F158" s="25"/>
      <c r="G158" s="26"/>
      <c r="H158" s="27"/>
    </row>
    <row r="159" spans="1:8" x14ac:dyDescent="0.25">
      <c r="A159" s="1" t="str">
        <v>-_0000</v>
      </c>
      <c r="B159" s="1" t="str">
        <v>_</v>
      </c>
      <c r="C159" s="1" t="str">
        <v/>
      </c>
      <c r="D159" s="1" t="b">
        <v>0</v>
      </c>
      <c r="F159" s="25"/>
      <c r="G159" s="26"/>
      <c r="H159" s="27"/>
    </row>
    <row r="160" spans="1:8" x14ac:dyDescent="0.25">
      <c r="A160" s="1" t="str">
        <v>-_0000</v>
      </c>
      <c r="B160" s="1" t="str">
        <v>_</v>
      </c>
      <c r="C160" s="1" t="str">
        <v/>
      </c>
      <c r="D160" s="1" t="b">
        <v>0</v>
      </c>
      <c r="F160" s="25"/>
      <c r="G160" s="26"/>
      <c r="H160" s="27"/>
    </row>
    <row r="161" spans="1:8" x14ac:dyDescent="0.25">
      <c r="A161" s="1" t="str">
        <v>-_0000</v>
      </c>
      <c r="B161" s="1" t="str">
        <v>_</v>
      </c>
      <c r="C161" s="1" t="str">
        <v/>
      </c>
      <c r="D161" s="1" t="b">
        <v>0</v>
      </c>
      <c r="F161" s="25"/>
      <c r="G161" s="26"/>
      <c r="H161" s="27"/>
    </row>
    <row r="162" spans="1:8" x14ac:dyDescent="0.25">
      <c r="A162" s="1" t="str">
        <v>-_0000</v>
      </c>
      <c r="B162" s="1" t="str">
        <v>_</v>
      </c>
      <c r="C162" s="1" t="str">
        <v/>
      </c>
      <c r="D162" s="1" t="b">
        <v>0</v>
      </c>
      <c r="F162" s="25"/>
      <c r="G162" s="26"/>
      <c r="H162" s="27"/>
    </row>
    <row r="163" spans="1:8" x14ac:dyDescent="0.25">
      <c r="A163" s="1" t="str">
        <v>-_0000</v>
      </c>
      <c r="B163" s="1" t="str">
        <v>_</v>
      </c>
      <c r="C163" s="1" t="str">
        <v/>
      </c>
      <c r="D163" s="1" t="b">
        <v>0</v>
      </c>
      <c r="F163" s="25"/>
      <c r="G163" s="26"/>
      <c r="H163" s="27"/>
    </row>
    <row r="164" spans="1:8" x14ac:dyDescent="0.25">
      <c r="A164" s="1" t="str">
        <v>-_0000</v>
      </c>
      <c r="B164" s="1" t="str">
        <v>_</v>
      </c>
      <c r="C164" s="1" t="str">
        <v/>
      </c>
      <c r="D164" s="1" t="b">
        <v>0</v>
      </c>
      <c r="F164" s="25"/>
      <c r="G164" s="26"/>
      <c r="H164" s="27"/>
    </row>
    <row r="165" spans="1:8" x14ac:dyDescent="0.25">
      <c r="A165" s="1" t="str">
        <v>-_0000</v>
      </c>
      <c r="B165" s="1" t="str">
        <v>_</v>
      </c>
      <c r="C165" s="1" t="str">
        <v/>
      </c>
      <c r="D165" s="1" t="b">
        <v>0</v>
      </c>
      <c r="F165" s="25"/>
      <c r="G165" s="26"/>
      <c r="H165" s="27"/>
    </row>
    <row r="166" spans="1:8" x14ac:dyDescent="0.25">
      <c r="A166" s="1" t="str">
        <v>-_0000</v>
      </c>
      <c r="B166" s="1" t="str">
        <v>_</v>
      </c>
      <c r="C166" s="1" t="str">
        <v/>
      </c>
      <c r="D166" s="1" t="b">
        <v>0</v>
      </c>
      <c r="F166" s="25"/>
      <c r="G166" s="26"/>
      <c r="H166" s="27"/>
    </row>
    <row r="167" spans="1:8" x14ac:dyDescent="0.25">
      <c r="A167" s="1" t="str">
        <v>-_0000</v>
      </c>
      <c r="B167" s="1" t="str">
        <v>_</v>
      </c>
      <c r="C167" s="1" t="str">
        <v/>
      </c>
      <c r="D167" s="1" t="b">
        <v>0</v>
      </c>
      <c r="F167" s="25"/>
      <c r="G167" s="26"/>
      <c r="H167" s="27"/>
    </row>
    <row r="168" spans="1:8" x14ac:dyDescent="0.25">
      <c r="A168" s="1" t="str">
        <v>-_0000</v>
      </c>
      <c r="B168" s="1" t="str">
        <v>_</v>
      </c>
      <c r="C168" s="1" t="str">
        <v/>
      </c>
      <c r="D168" s="1" t="b">
        <v>0</v>
      </c>
      <c r="F168" s="25"/>
      <c r="G168" s="26"/>
      <c r="H168" s="27"/>
    </row>
    <row r="169" spans="1:8" x14ac:dyDescent="0.25">
      <c r="A169" s="1" t="str">
        <v>-_0000</v>
      </c>
      <c r="B169" s="1" t="str">
        <v>_</v>
      </c>
      <c r="C169" s="1" t="str">
        <v/>
      </c>
      <c r="D169" s="1" t="b">
        <v>0</v>
      </c>
      <c r="F169" s="25"/>
      <c r="G169" s="26"/>
      <c r="H169" s="27"/>
    </row>
    <row r="170" spans="1:8" x14ac:dyDescent="0.25">
      <c r="A170" s="1" t="str">
        <v>-_0000</v>
      </c>
      <c r="B170" s="1" t="str">
        <v>_</v>
      </c>
      <c r="C170" s="1" t="str">
        <v/>
      </c>
      <c r="D170" s="1" t="b">
        <v>0</v>
      </c>
      <c r="F170" s="25"/>
      <c r="G170" s="26"/>
      <c r="H170" s="27"/>
    </row>
    <row r="171" spans="1:8" x14ac:dyDescent="0.25">
      <c r="A171" s="1" t="str">
        <v>-_0000</v>
      </c>
      <c r="B171" s="1" t="str">
        <v>_</v>
      </c>
      <c r="C171" s="1" t="str">
        <v/>
      </c>
      <c r="D171" s="1" t="b">
        <v>0</v>
      </c>
      <c r="F171" s="25"/>
      <c r="G171" s="26"/>
      <c r="H171" s="27"/>
    </row>
    <row r="172" spans="1:8" x14ac:dyDescent="0.25">
      <c r="A172" s="1" t="str">
        <v>-_0000</v>
      </c>
      <c r="B172" s="1" t="str">
        <v>_</v>
      </c>
      <c r="C172" s="1" t="str">
        <v/>
      </c>
      <c r="D172" s="1" t="b">
        <v>0</v>
      </c>
      <c r="F172" s="25"/>
      <c r="G172" s="26"/>
      <c r="H172" s="27"/>
    </row>
    <row r="173" spans="1:8" x14ac:dyDescent="0.25">
      <c r="A173" s="1" t="str">
        <v>-_0000</v>
      </c>
      <c r="B173" s="1" t="str">
        <v>_</v>
      </c>
      <c r="C173" s="1" t="str">
        <v/>
      </c>
      <c r="D173" s="1" t="b">
        <v>0</v>
      </c>
      <c r="F173" s="25"/>
      <c r="G173" s="26"/>
      <c r="H173" s="27"/>
    </row>
    <row r="174" spans="1:8" x14ac:dyDescent="0.25">
      <c r="A174" s="1" t="str">
        <v>-_0000</v>
      </c>
      <c r="B174" s="1" t="str">
        <v>_</v>
      </c>
      <c r="C174" s="1" t="str">
        <v/>
      </c>
      <c r="D174" s="1" t="b">
        <v>0</v>
      </c>
      <c r="F174" s="25"/>
      <c r="G174" s="26"/>
      <c r="H174" s="27"/>
    </row>
    <row r="175" spans="1:8" x14ac:dyDescent="0.25">
      <c r="A175" s="1" t="str">
        <v>-_0000</v>
      </c>
      <c r="B175" s="1" t="str">
        <v>_</v>
      </c>
      <c r="C175" s="1" t="str">
        <v/>
      </c>
      <c r="D175" s="1" t="b">
        <v>0</v>
      </c>
      <c r="F175" s="25"/>
      <c r="G175" s="26"/>
      <c r="H175" s="27"/>
    </row>
    <row r="176" spans="1:8" x14ac:dyDescent="0.25">
      <c r="A176" s="1" t="str">
        <v>-_0000</v>
      </c>
      <c r="B176" s="1" t="str">
        <v>_</v>
      </c>
      <c r="C176" s="1" t="str">
        <v/>
      </c>
      <c r="D176" s="1" t="b">
        <v>0</v>
      </c>
      <c r="F176" s="25"/>
      <c r="G176" s="26"/>
      <c r="H176" s="27"/>
    </row>
    <row r="177" spans="1:8" x14ac:dyDescent="0.25">
      <c r="A177" s="1" t="str">
        <v>-_0000</v>
      </c>
      <c r="B177" s="1" t="str">
        <v>_</v>
      </c>
      <c r="C177" s="1" t="str">
        <v/>
      </c>
      <c r="D177" s="1" t="b">
        <v>0</v>
      </c>
      <c r="F177" s="25"/>
      <c r="G177" s="26"/>
      <c r="H177" s="27"/>
    </row>
    <row r="178" spans="1:8" x14ac:dyDescent="0.25">
      <c r="A178" s="1" t="str">
        <v>-_0000</v>
      </c>
      <c r="B178" s="1" t="str">
        <v>_</v>
      </c>
      <c r="C178" s="1" t="str">
        <v/>
      </c>
      <c r="D178" s="1" t="b">
        <v>0</v>
      </c>
      <c r="F178" s="25"/>
      <c r="G178" s="26"/>
      <c r="H178" s="27"/>
    </row>
    <row r="179" spans="1:8" x14ac:dyDescent="0.25">
      <c r="A179" s="1" t="str">
        <v>-_0000</v>
      </c>
      <c r="B179" s="1" t="str">
        <v>_</v>
      </c>
      <c r="C179" s="1" t="str">
        <v/>
      </c>
      <c r="D179" s="1" t="b">
        <v>0</v>
      </c>
      <c r="F179" s="25"/>
      <c r="G179" s="26"/>
      <c r="H179" s="27"/>
    </row>
    <row r="180" spans="1:8" x14ac:dyDescent="0.25">
      <c r="A180" s="1" t="str">
        <v>-_0000</v>
      </c>
      <c r="B180" s="1" t="str">
        <v>_</v>
      </c>
      <c r="C180" s="1" t="str">
        <v/>
      </c>
      <c r="D180" s="1" t="b">
        <v>0</v>
      </c>
      <c r="F180" s="25"/>
      <c r="G180" s="26"/>
      <c r="H180" s="27"/>
    </row>
    <row r="181" spans="1:8" x14ac:dyDescent="0.25">
      <c r="A181" s="1" t="str">
        <v>-_0000</v>
      </c>
      <c r="B181" s="1" t="str">
        <v>_</v>
      </c>
      <c r="C181" s="1" t="str">
        <v/>
      </c>
      <c r="D181" s="1" t="b">
        <v>0</v>
      </c>
      <c r="F181" s="25"/>
      <c r="G181" s="26"/>
      <c r="H181" s="27"/>
    </row>
    <row r="182" spans="1:8" x14ac:dyDescent="0.25">
      <c r="A182" s="1" t="str">
        <v>-_0000</v>
      </c>
      <c r="B182" s="1" t="str">
        <v>_</v>
      </c>
      <c r="C182" s="1" t="str">
        <v/>
      </c>
      <c r="D182" s="1" t="b">
        <v>0</v>
      </c>
      <c r="F182" s="25"/>
      <c r="G182" s="26"/>
      <c r="H182" s="27"/>
    </row>
    <row r="183" spans="1:8" x14ac:dyDescent="0.25">
      <c r="A183" s="1" t="str">
        <v>-_0000</v>
      </c>
      <c r="B183" s="1" t="str">
        <v>_</v>
      </c>
      <c r="C183" s="1" t="str">
        <v/>
      </c>
      <c r="D183" s="1" t="b">
        <v>0</v>
      </c>
      <c r="F183" s="25"/>
      <c r="G183" s="26"/>
      <c r="H183" s="27"/>
    </row>
    <row r="184" spans="1:8" x14ac:dyDescent="0.25">
      <c r="A184" s="1" t="str">
        <v>-_0000</v>
      </c>
      <c r="B184" s="1" t="str">
        <v>_</v>
      </c>
      <c r="C184" s="1" t="str">
        <v/>
      </c>
      <c r="D184" s="1" t="b">
        <v>0</v>
      </c>
      <c r="F184" s="25"/>
      <c r="G184" s="26"/>
      <c r="H184" s="27"/>
    </row>
    <row r="185" spans="1:8" x14ac:dyDescent="0.25">
      <c r="A185" s="1" t="str">
        <v>-_0000</v>
      </c>
      <c r="B185" s="1" t="str">
        <v>_</v>
      </c>
      <c r="C185" s="1" t="str">
        <v/>
      </c>
      <c r="D185" s="1" t="b">
        <v>0</v>
      </c>
      <c r="F185" s="25"/>
      <c r="G185" s="26"/>
      <c r="H185" s="27"/>
    </row>
    <row r="186" spans="1:8" x14ac:dyDescent="0.25">
      <c r="A186" s="1" t="str">
        <v>-_0000</v>
      </c>
      <c r="B186" s="1" t="str">
        <v>_</v>
      </c>
      <c r="C186" s="1" t="str">
        <v/>
      </c>
      <c r="D186" s="1" t="b">
        <v>0</v>
      </c>
      <c r="F186" s="25"/>
      <c r="G186" s="26"/>
      <c r="H186" s="27"/>
    </row>
    <row r="187" spans="1:8" x14ac:dyDescent="0.25">
      <c r="A187" s="1" t="str">
        <v>-_0000</v>
      </c>
      <c r="B187" s="1" t="str">
        <v>_</v>
      </c>
      <c r="C187" s="1" t="str">
        <v/>
      </c>
      <c r="D187" s="1" t="b">
        <v>0</v>
      </c>
      <c r="F187" s="25"/>
      <c r="G187" s="26"/>
      <c r="H187" s="27"/>
    </row>
    <row r="188" spans="1:8" x14ac:dyDescent="0.25">
      <c r="A188" s="1" t="str">
        <v>-_0000</v>
      </c>
      <c r="B188" s="1" t="str">
        <v>_</v>
      </c>
      <c r="C188" s="1" t="str">
        <v/>
      </c>
      <c r="D188" s="1" t="b">
        <v>0</v>
      </c>
      <c r="F188" s="25"/>
      <c r="G188" s="26"/>
      <c r="H188" s="27"/>
    </row>
    <row r="189" spans="1:8" x14ac:dyDescent="0.25">
      <c r="A189" s="1" t="str">
        <v>-_0000</v>
      </c>
      <c r="B189" s="1" t="str">
        <v>_</v>
      </c>
      <c r="C189" s="1" t="str">
        <v/>
      </c>
      <c r="D189" s="1" t="b">
        <v>0</v>
      </c>
      <c r="F189" s="25"/>
      <c r="G189" s="26"/>
      <c r="H189" s="27"/>
    </row>
    <row r="190" spans="1:8" x14ac:dyDescent="0.25">
      <c r="A190" s="1" t="str">
        <v>-_0000</v>
      </c>
      <c r="B190" s="1" t="str">
        <v>_</v>
      </c>
      <c r="C190" s="1" t="str">
        <v/>
      </c>
      <c r="D190" s="1" t="b">
        <v>0</v>
      </c>
      <c r="F190" s="25"/>
      <c r="G190" s="26"/>
      <c r="H190" s="27"/>
    </row>
    <row r="191" spans="1:8" x14ac:dyDescent="0.25">
      <c r="A191" s="1" t="str">
        <v>-_0000</v>
      </c>
      <c r="B191" s="1" t="str">
        <v>_</v>
      </c>
      <c r="C191" s="1" t="str">
        <v/>
      </c>
      <c r="D191" s="1" t="b">
        <v>0</v>
      </c>
      <c r="F191" s="25"/>
      <c r="G191" s="26"/>
      <c r="H191" s="27"/>
    </row>
    <row r="192" spans="1:8" x14ac:dyDescent="0.25">
      <c r="A192" s="1" t="str">
        <v>-_0000</v>
      </c>
      <c r="B192" s="1" t="str">
        <v>_</v>
      </c>
      <c r="C192" s="1" t="str">
        <v/>
      </c>
      <c r="D192" s="1" t="b">
        <v>0</v>
      </c>
      <c r="F192" s="25"/>
      <c r="G192" s="26"/>
      <c r="H192" s="27"/>
    </row>
    <row r="193" spans="1:8" x14ac:dyDescent="0.25">
      <c r="A193" s="1" t="str">
        <v>-_0000</v>
      </c>
      <c r="B193" s="1" t="str">
        <v>_</v>
      </c>
      <c r="C193" s="1" t="str">
        <v/>
      </c>
      <c r="D193" s="1" t="b">
        <v>0</v>
      </c>
      <c r="F193" s="25"/>
      <c r="G193" s="26"/>
      <c r="H193" s="27"/>
    </row>
    <row r="194" spans="1:8" x14ac:dyDescent="0.25">
      <c r="A194" s="1" t="str">
        <v>-_0000</v>
      </c>
      <c r="B194" s="1" t="str">
        <v>_</v>
      </c>
      <c r="C194" s="1" t="str">
        <v/>
      </c>
      <c r="D194" s="1" t="b">
        <v>0</v>
      </c>
      <c r="F194" s="25"/>
      <c r="G194" s="26"/>
      <c r="H194" s="27"/>
    </row>
    <row r="195" spans="1:8" x14ac:dyDescent="0.25">
      <c r="A195" s="1" t="str">
        <v>-_0000</v>
      </c>
      <c r="B195" s="1" t="str">
        <v>_</v>
      </c>
      <c r="C195" s="1" t="str">
        <v/>
      </c>
      <c r="D195" s="1" t="b">
        <v>0</v>
      </c>
      <c r="F195" s="25"/>
      <c r="G195" s="26"/>
      <c r="H195" s="27"/>
    </row>
    <row r="196" spans="1:8" x14ac:dyDescent="0.25">
      <c r="A196" s="1" t="str">
        <v>-_0000</v>
      </c>
      <c r="B196" s="1" t="str">
        <v>_</v>
      </c>
      <c r="C196" s="1" t="str">
        <v/>
      </c>
      <c r="D196" s="1" t="b">
        <v>0</v>
      </c>
      <c r="F196" s="25"/>
      <c r="G196" s="26"/>
      <c r="H196" s="27"/>
    </row>
    <row r="197" spans="1:8" x14ac:dyDescent="0.25">
      <c r="A197" s="1" t="str">
        <v>-_0000</v>
      </c>
      <c r="B197" s="1" t="str">
        <v>_</v>
      </c>
      <c r="C197" s="1" t="str">
        <v/>
      </c>
      <c r="D197" s="1" t="b">
        <v>0</v>
      </c>
      <c r="F197" s="25"/>
      <c r="G197" s="26"/>
      <c r="H197" s="27"/>
    </row>
    <row r="198" spans="1:8" x14ac:dyDescent="0.25">
      <c r="A198" s="1" t="str">
        <v>-_0000</v>
      </c>
      <c r="B198" s="1" t="str">
        <v>_</v>
      </c>
      <c r="C198" s="1" t="str">
        <v/>
      </c>
      <c r="D198" s="1" t="b">
        <v>0</v>
      </c>
      <c r="F198" s="25"/>
      <c r="G198" s="26"/>
      <c r="H198" s="27"/>
    </row>
    <row r="199" spans="1:8" x14ac:dyDescent="0.25">
      <c r="A199" s="1" t="str">
        <v>-_0000</v>
      </c>
      <c r="B199" s="1" t="str">
        <v>_</v>
      </c>
      <c r="C199" s="1" t="str">
        <v/>
      </c>
      <c r="D199" s="1" t="b">
        <v>0</v>
      </c>
      <c r="F199" s="25"/>
      <c r="G199" s="26"/>
      <c r="H199" s="27"/>
    </row>
    <row r="200" spans="1:8" x14ac:dyDescent="0.25">
      <c r="A200" s="1" t="str">
        <v>-_0000</v>
      </c>
      <c r="B200" s="1" t="str">
        <v>_</v>
      </c>
      <c r="C200" s="1" t="str">
        <v/>
      </c>
      <c r="D200" s="1" t="b">
        <v>0</v>
      </c>
      <c r="F200" s="25"/>
      <c r="G200" s="26"/>
      <c r="H200" s="27"/>
    </row>
    <row r="201" spans="1:8" x14ac:dyDescent="0.25">
      <c r="A201" s="1" t="str">
        <v>-_0000</v>
      </c>
      <c r="B201" s="1" t="str">
        <v>_</v>
      </c>
      <c r="C201" s="1" t="str">
        <v/>
      </c>
      <c r="D201" s="1" t="b">
        <v>0</v>
      </c>
      <c r="F201" s="25"/>
      <c r="G201" s="26"/>
      <c r="H201" s="27"/>
    </row>
    <row r="202" spans="1:8" x14ac:dyDescent="0.25">
      <c r="A202" s="1" t="str">
        <v>-_0000</v>
      </c>
      <c r="B202" s="1" t="str">
        <v>_</v>
      </c>
      <c r="C202" s="1" t="str">
        <v/>
      </c>
      <c r="D202" s="1" t="b">
        <v>0</v>
      </c>
      <c r="F202" s="25"/>
      <c r="G202" s="26"/>
      <c r="H202" s="27"/>
    </row>
    <row r="203" spans="1:8" x14ac:dyDescent="0.25">
      <c r="A203" s="1" t="str">
        <v>-_0000</v>
      </c>
      <c r="B203" s="1" t="str">
        <v>_</v>
      </c>
      <c r="C203" s="1" t="str">
        <v/>
      </c>
      <c r="D203" s="1" t="b">
        <v>0</v>
      </c>
      <c r="F203" s="25"/>
      <c r="G203" s="26"/>
      <c r="H203" s="27"/>
    </row>
    <row r="204" spans="1:8" x14ac:dyDescent="0.25">
      <c r="A204" s="1" t="str">
        <v>-_0000</v>
      </c>
      <c r="B204" s="1" t="str">
        <v>_</v>
      </c>
      <c r="C204" s="1" t="str">
        <v/>
      </c>
      <c r="D204" s="1" t="b">
        <v>0</v>
      </c>
      <c r="F204" s="25"/>
      <c r="G204" s="26"/>
      <c r="H204" s="27"/>
    </row>
    <row r="205" spans="1:8" x14ac:dyDescent="0.25">
      <c r="A205" s="1" t="str">
        <v>-_0000</v>
      </c>
      <c r="B205" s="1" t="str">
        <v>_</v>
      </c>
      <c r="C205" s="1" t="str">
        <v/>
      </c>
      <c r="D205" s="1" t="b">
        <v>0</v>
      </c>
      <c r="F205" s="25"/>
      <c r="G205" s="26"/>
      <c r="H205" s="27"/>
    </row>
    <row r="206" spans="1:8" x14ac:dyDescent="0.25">
      <c r="A206" s="1" t="str">
        <v>-_0000</v>
      </c>
      <c r="B206" s="1" t="str">
        <v>_</v>
      </c>
      <c r="C206" s="1" t="str">
        <v/>
      </c>
      <c r="D206" s="1" t="b">
        <v>0</v>
      </c>
      <c r="F206" s="25"/>
      <c r="G206" s="26"/>
      <c r="H206" s="27"/>
    </row>
    <row r="207" spans="1:8" x14ac:dyDescent="0.25">
      <c r="A207" s="1" t="str">
        <v>-_0000</v>
      </c>
      <c r="B207" s="1" t="str">
        <v>_</v>
      </c>
      <c r="C207" s="1" t="str">
        <v/>
      </c>
      <c r="D207" s="1" t="b">
        <v>0</v>
      </c>
      <c r="F207" s="25"/>
      <c r="G207" s="26"/>
      <c r="H207" s="27"/>
    </row>
    <row r="208" spans="1:8" x14ac:dyDescent="0.25">
      <c r="A208" s="1" t="str">
        <v>-_0000</v>
      </c>
      <c r="B208" s="1" t="str">
        <v>_</v>
      </c>
      <c r="C208" s="1" t="str">
        <v/>
      </c>
      <c r="D208" s="1" t="b">
        <v>0</v>
      </c>
      <c r="F208" s="25"/>
      <c r="G208" s="26"/>
      <c r="H208" s="27"/>
    </row>
    <row r="209" spans="1:8" x14ac:dyDescent="0.25">
      <c r="A209" s="1" t="str">
        <v>-_0000</v>
      </c>
      <c r="B209" s="1" t="str">
        <v>_</v>
      </c>
      <c r="C209" s="1" t="str">
        <v/>
      </c>
      <c r="D209" s="1" t="b">
        <v>0</v>
      </c>
      <c r="F209" s="25"/>
      <c r="G209" s="26"/>
      <c r="H209" s="27"/>
    </row>
    <row r="210" spans="1:8" x14ac:dyDescent="0.25">
      <c r="A210" s="1" t="str">
        <v>-_0000</v>
      </c>
      <c r="B210" s="1" t="str">
        <v>_</v>
      </c>
      <c r="C210" s="1" t="str">
        <v/>
      </c>
      <c r="D210" s="1" t="b">
        <v>0</v>
      </c>
      <c r="F210" s="25"/>
      <c r="G210" s="26"/>
      <c r="H210" s="27"/>
    </row>
    <row r="211" spans="1:8" x14ac:dyDescent="0.25">
      <c r="A211" s="1" t="str">
        <v>-_0000</v>
      </c>
      <c r="B211" s="1" t="str">
        <v>_</v>
      </c>
      <c r="C211" s="1" t="str">
        <v/>
      </c>
      <c r="D211" s="1" t="b">
        <v>0</v>
      </c>
      <c r="F211" s="25"/>
      <c r="G211" s="26"/>
      <c r="H211" s="27"/>
    </row>
    <row r="212" spans="1:8" x14ac:dyDescent="0.25">
      <c r="A212" s="1" t="str">
        <v>-_0000</v>
      </c>
      <c r="B212" s="1" t="str">
        <v>_</v>
      </c>
      <c r="C212" s="1" t="str">
        <v/>
      </c>
      <c r="D212" s="1" t="b">
        <v>0</v>
      </c>
      <c r="F212" s="25"/>
      <c r="G212" s="26"/>
      <c r="H212" s="27"/>
    </row>
    <row r="213" spans="1:8" x14ac:dyDescent="0.25">
      <c r="A213" s="1" t="str">
        <v>-_0000</v>
      </c>
      <c r="B213" s="1" t="str">
        <v>_</v>
      </c>
      <c r="C213" s="1" t="str">
        <v/>
      </c>
      <c r="D213" s="1" t="b">
        <v>0</v>
      </c>
      <c r="F213" s="25"/>
      <c r="G213" s="26"/>
      <c r="H213" s="27"/>
    </row>
    <row r="214" spans="1:8" x14ac:dyDescent="0.25">
      <c r="A214" s="1" t="str">
        <v>-_0000</v>
      </c>
      <c r="B214" s="1" t="str">
        <v>_</v>
      </c>
      <c r="C214" s="1" t="str">
        <v/>
      </c>
      <c r="D214" s="1" t="b">
        <v>0</v>
      </c>
      <c r="F214" s="25"/>
      <c r="G214" s="26"/>
      <c r="H214" s="27"/>
    </row>
    <row r="215" spans="1:8" x14ac:dyDescent="0.25">
      <c r="A215" s="1" t="str">
        <v>-_0000</v>
      </c>
      <c r="B215" s="1" t="str">
        <v>_</v>
      </c>
      <c r="C215" s="1" t="str">
        <v/>
      </c>
      <c r="D215" s="1" t="b">
        <v>0</v>
      </c>
      <c r="F215" s="25"/>
      <c r="G215" s="26"/>
      <c r="H215" s="27"/>
    </row>
    <row r="216" spans="1:8" x14ac:dyDescent="0.25">
      <c r="A216" s="1" t="str">
        <v>-_0000</v>
      </c>
      <c r="B216" s="1" t="str">
        <v>_</v>
      </c>
      <c r="C216" s="1" t="str">
        <v/>
      </c>
      <c r="D216" s="1" t="b">
        <v>0</v>
      </c>
      <c r="F216" s="25"/>
      <c r="G216" s="26"/>
      <c r="H216" s="27"/>
    </row>
    <row r="217" spans="1:8" x14ac:dyDescent="0.25">
      <c r="A217" s="1" t="str">
        <v>-_0000</v>
      </c>
      <c r="B217" s="1" t="str">
        <v>_</v>
      </c>
      <c r="C217" s="1" t="str">
        <v/>
      </c>
      <c r="D217" s="1" t="b">
        <v>0</v>
      </c>
      <c r="F217" s="25"/>
      <c r="G217" s="26"/>
      <c r="H217" s="27"/>
    </row>
    <row r="218" spans="1:8" x14ac:dyDescent="0.25">
      <c r="A218" s="1" t="str">
        <v>-_0000</v>
      </c>
      <c r="B218" s="1" t="str">
        <v>_</v>
      </c>
      <c r="C218" s="1" t="str">
        <v/>
      </c>
      <c r="D218" s="1" t="b">
        <v>0</v>
      </c>
      <c r="F218" s="25"/>
      <c r="G218" s="26"/>
      <c r="H218" s="27"/>
    </row>
    <row r="219" spans="1:8" x14ac:dyDescent="0.25">
      <c r="A219" s="1" t="str">
        <v>-_0000</v>
      </c>
      <c r="B219" s="1" t="str">
        <v>_</v>
      </c>
      <c r="C219" s="1" t="str">
        <v/>
      </c>
      <c r="D219" s="1" t="b">
        <v>0</v>
      </c>
      <c r="F219" s="25"/>
      <c r="G219" s="26"/>
      <c r="H219" s="27"/>
    </row>
    <row r="220" spans="1:8" x14ac:dyDescent="0.25">
      <c r="A220" s="1" t="str">
        <v>-_0000</v>
      </c>
      <c r="B220" s="1" t="str">
        <v>_</v>
      </c>
      <c r="C220" s="1" t="str">
        <v/>
      </c>
      <c r="D220" s="1" t="b">
        <v>0</v>
      </c>
      <c r="F220" s="25"/>
      <c r="G220" s="26"/>
      <c r="H220" s="27"/>
    </row>
    <row r="221" spans="1:8" x14ac:dyDescent="0.25">
      <c r="A221" s="1" t="str">
        <v>-_0000</v>
      </c>
      <c r="B221" s="1" t="str">
        <v>_</v>
      </c>
      <c r="C221" s="1" t="str">
        <v/>
      </c>
      <c r="D221" s="1" t="b">
        <v>0</v>
      </c>
      <c r="F221" s="25"/>
      <c r="G221" s="26"/>
      <c r="H221" s="27"/>
    </row>
    <row r="222" spans="1:8" x14ac:dyDescent="0.25">
      <c r="A222" s="1" t="str">
        <v>-_0000</v>
      </c>
      <c r="B222" s="1" t="str">
        <v>_</v>
      </c>
      <c r="C222" s="1" t="str">
        <v/>
      </c>
      <c r="D222" s="1" t="b">
        <v>0</v>
      </c>
      <c r="F222" s="25"/>
      <c r="G222" s="26"/>
      <c r="H222" s="27"/>
    </row>
    <row r="223" spans="1:8" x14ac:dyDescent="0.25">
      <c r="A223" s="1" t="str">
        <v>-_0000</v>
      </c>
      <c r="B223" s="1" t="str">
        <v>_</v>
      </c>
      <c r="C223" s="1" t="str">
        <v/>
      </c>
      <c r="D223" s="1" t="b">
        <v>0</v>
      </c>
      <c r="F223" s="25"/>
      <c r="G223" s="26"/>
      <c r="H223" s="27"/>
    </row>
    <row r="224" spans="1:8" x14ac:dyDescent="0.25">
      <c r="A224" s="1" t="str">
        <v>-_0000</v>
      </c>
      <c r="B224" s="1" t="str">
        <v>_</v>
      </c>
      <c r="C224" s="1" t="str">
        <v/>
      </c>
      <c r="D224" s="1" t="b">
        <v>0</v>
      </c>
      <c r="F224" s="25"/>
      <c r="G224" s="26"/>
      <c r="H224" s="27"/>
    </row>
    <row r="225" spans="1:8" x14ac:dyDescent="0.25">
      <c r="A225" s="1" t="str">
        <v>-_0000</v>
      </c>
      <c r="B225" s="1" t="str">
        <v>_</v>
      </c>
      <c r="C225" s="1" t="str">
        <v/>
      </c>
      <c r="D225" s="1" t="b">
        <v>0</v>
      </c>
      <c r="F225" s="25"/>
      <c r="G225" s="26"/>
      <c r="H225" s="27"/>
    </row>
    <row r="226" spans="1:8" x14ac:dyDescent="0.25">
      <c r="A226" s="1" t="str">
        <v>-_0000</v>
      </c>
      <c r="B226" s="1" t="str">
        <v>_</v>
      </c>
      <c r="C226" s="1" t="str">
        <v/>
      </c>
      <c r="D226" s="1" t="b">
        <v>0</v>
      </c>
      <c r="F226" s="25"/>
      <c r="G226" s="26"/>
      <c r="H226" s="27"/>
    </row>
    <row r="227" spans="1:8" x14ac:dyDescent="0.25">
      <c r="A227" s="1" t="str">
        <v>-_0000</v>
      </c>
      <c r="B227" s="1" t="str">
        <v>_</v>
      </c>
      <c r="C227" s="1" t="str">
        <v/>
      </c>
      <c r="D227" s="1" t="b">
        <v>0</v>
      </c>
      <c r="F227" s="25"/>
      <c r="G227" s="26"/>
      <c r="H227" s="27"/>
    </row>
    <row r="228" spans="1:8" x14ac:dyDescent="0.25">
      <c r="A228" s="1" t="str">
        <v>-_0000</v>
      </c>
      <c r="B228" s="1" t="str">
        <v>_</v>
      </c>
      <c r="C228" s="1" t="str">
        <v/>
      </c>
      <c r="D228" s="1" t="b">
        <v>0</v>
      </c>
      <c r="F228" s="25"/>
      <c r="G228" s="26"/>
      <c r="H228" s="27"/>
    </row>
    <row r="229" spans="1:8" x14ac:dyDescent="0.25">
      <c r="A229" s="1" t="str">
        <v>-_0000</v>
      </c>
      <c r="B229" s="1" t="str">
        <v>_</v>
      </c>
      <c r="C229" s="1" t="str">
        <v/>
      </c>
      <c r="D229" s="1" t="b">
        <v>0</v>
      </c>
      <c r="F229" s="25"/>
      <c r="G229" s="26"/>
      <c r="H229" s="27"/>
    </row>
    <row r="230" spans="1:8" x14ac:dyDescent="0.25">
      <c r="A230" s="1" t="str">
        <v>-_0000</v>
      </c>
      <c r="B230" s="1" t="str">
        <v>_</v>
      </c>
      <c r="C230" s="1" t="str">
        <v/>
      </c>
      <c r="D230" s="1" t="b">
        <v>0</v>
      </c>
      <c r="F230" s="25"/>
      <c r="G230" s="26"/>
      <c r="H230" s="27"/>
    </row>
    <row r="231" spans="1:8" x14ac:dyDescent="0.25">
      <c r="A231" s="1" t="str">
        <v>-_0000</v>
      </c>
      <c r="B231" s="1" t="str">
        <v>_</v>
      </c>
      <c r="C231" s="1" t="str">
        <v/>
      </c>
      <c r="D231" s="1" t="b">
        <v>0</v>
      </c>
      <c r="F231" s="25"/>
      <c r="G231" s="26"/>
      <c r="H231" s="27"/>
    </row>
    <row r="232" spans="1:8" x14ac:dyDescent="0.25">
      <c r="A232" s="1" t="str">
        <v>-_0000</v>
      </c>
      <c r="B232" s="1" t="str">
        <v>_</v>
      </c>
      <c r="C232" s="1" t="str">
        <v/>
      </c>
      <c r="D232" s="1" t="b">
        <v>0</v>
      </c>
      <c r="F232" s="25"/>
      <c r="G232" s="26"/>
      <c r="H232" s="27"/>
    </row>
    <row r="233" spans="1:8" x14ac:dyDescent="0.25">
      <c r="A233" s="1" t="str">
        <v>-_0000</v>
      </c>
      <c r="B233" s="1" t="str">
        <v>_</v>
      </c>
      <c r="C233" s="1" t="str">
        <v/>
      </c>
      <c r="D233" s="1" t="b">
        <v>0</v>
      </c>
      <c r="F233" s="25"/>
      <c r="G233" s="26"/>
      <c r="H233" s="27"/>
    </row>
    <row r="234" spans="1:8" x14ac:dyDescent="0.25">
      <c r="A234" s="1" t="str">
        <v>-_0000</v>
      </c>
      <c r="B234" s="1" t="str">
        <v>_</v>
      </c>
      <c r="C234" s="1" t="str">
        <v/>
      </c>
      <c r="D234" s="1" t="b">
        <v>0</v>
      </c>
      <c r="F234" s="25"/>
      <c r="G234" s="26"/>
      <c r="H234" s="27"/>
    </row>
    <row r="235" spans="1:8" x14ac:dyDescent="0.25">
      <c r="A235" s="1" t="str">
        <v>-_0000</v>
      </c>
      <c r="B235" s="1" t="str">
        <v>_</v>
      </c>
      <c r="C235" s="1" t="str">
        <v/>
      </c>
      <c r="D235" s="1" t="b">
        <v>0</v>
      </c>
      <c r="F235" s="25"/>
      <c r="G235" s="26"/>
      <c r="H235" s="27"/>
    </row>
    <row r="236" spans="1:8" x14ac:dyDescent="0.25">
      <c r="A236" s="1" t="str">
        <v>-_0000</v>
      </c>
      <c r="B236" s="1" t="str">
        <v>_</v>
      </c>
      <c r="C236" s="1" t="str">
        <v/>
      </c>
      <c r="D236" s="1" t="b">
        <v>0</v>
      </c>
      <c r="F236" s="25"/>
      <c r="G236" s="26"/>
      <c r="H236" s="27"/>
    </row>
    <row r="237" spans="1:8" x14ac:dyDescent="0.25">
      <c r="A237" s="1" t="str">
        <v>-_0000</v>
      </c>
      <c r="B237" s="1" t="str">
        <v>_</v>
      </c>
      <c r="C237" s="1" t="str">
        <v/>
      </c>
      <c r="D237" s="1" t="b">
        <v>0</v>
      </c>
      <c r="F237" s="25"/>
      <c r="G237" s="26"/>
      <c r="H237" s="27"/>
    </row>
    <row r="238" spans="1:8" x14ac:dyDescent="0.25">
      <c r="A238" s="1" t="str">
        <v>-_0000</v>
      </c>
      <c r="B238" s="1" t="str">
        <v>_</v>
      </c>
      <c r="C238" s="1" t="str">
        <v/>
      </c>
      <c r="D238" s="1" t="b">
        <v>0</v>
      </c>
      <c r="F238" s="25"/>
      <c r="G238" s="26"/>
      <c r="H238" s="27"/>
    </row>
    <row r="239" spans="1:8" x14ac:dyDescent="0.25">
      <c r="A239" s="1" t="str">
        <v>-_0000</v>
      </c>
      <c r="B239" s="1" t="str">
        <v>_</v>
      </c>
      <c r="C239" s="1" t="str">
        <v/>
      </c>
      <c r="D239" s="1" t="b">
        <v>0</v>
      </c>
      <c r="F239" s="25"/>
      <c r="G239" s="26"/>
      <c r="H239" s="27"/>
    </row>
    <row r="240" spans="1:8" x14ac:dyDescent="0.25">
      <c r="A240" s="1" t="str">
        <v>-_0000</v>
      </c>
      <c r="B240" s="1" t="str">
        <v>_</v>
      </c>
      <c r="C240" s="1" t="str">
        <v/>
      </c>
      <c r="D240" s="1" t="b">
        <v>0</v>
      </c>
      <c r="F240" s="25"/>
      <c r="G240" s="26"/>
      <c r="H240" s="27"/>
    </row>
    <row r="241" spans="1:8" x14ac:dyDescent="0.25">
      <c r="A241" s="1" t="str">
        <v>-_0000</v>
      </c>
      <c r="B241" s="1" t="str">
        <v>_</v>
      </c>
      <c r="C241" s="1" t="str">
        <v/>
      </c>
      <c r="D241" s="1" t="b">
        <v>0</v>
      </c>
      <c r="F241" s="25"/>
      <c r="G241" s="26"/>
      <c r="H241" s="27"/>
    </row>
    <row r="242" spans="1:8" x14ac:dyDescent="0.25">
      <c r="A242" s="1" t="str">
        <v>-_0000</v>
      </c>
      <c r="B242" s="1" t="str">
        <v>_</v>
      </c>
      <c r="C242" s="1" t="str">
        <v/>
      </c>
      <c r="D242" s="1" t="b">
        <v>0</v>
      </c>
      <c r="F242" s="25"/>
      <c r="G242" s="26"/>
      <c r="H242" s="27"/>
    </row>
    <row r="243" spans="1:8" x14ac:dyDescent="0.25">
      <c r="A243" s="1" t="str">
        <v>-_0000</v>
      </c>
      <c r="B243" s="1" t="str">
        <v>_</v>
      </c>
      <c r="C243" s="1" t="str">
        <v/>
      </c>
      <c r="D243" s="1" t="b">
        <v>0</v>
      </c>
      <c r="F243" s="25"/>
      <c r="G243" s="26"/>
      <c r="H243" s="27"/>
    </row>
    <row r="244" spans="1:8" x14ac:dyDescent="0.25">
      <c r="A244" s="1" t="str">
        <v>-_0000</v>
      </c>
      <c r="B244" s="1" t="str">
        <v>_</v>
      </c>
      <c r="C244" s="1" t="str">
        <v/>
      </c>
      <c r="D244" s="1" t="b">
        <v>0</v>
      </c>
      <c r="F244" s="25"/>
      <c r="G244" s="26"/>
      <c r="H244" s="27"/>
    </row>
    <row r="245" spans="1:8" x14ac:dyDescent="0.25">
      <c r="A245" s="1" t="str">
        <v>-_0000</v>
      </c>
      <c r="B245" s="1" t="str">
        <v>_</v>
      </c>
      <c r="C245" s="1" t="str">
        <v/>
      </c>
      <c r="D245" s="1" t="b">
        <v>0</v>
      </c>
      <c r="F245" s="25"/>
      <c r="G245" s="26"/>
      <c r="H245" s="27"/>
    </row>
    <row r="246" spans="1:8" x14ac:dyDescent="0.25">
      <c r="A246" s="1" t="str">
        <v>-_0000</v>
      </c>
      <c r="B246" s="1" t="str">
        <v>_</v>
      </c>
      <c r="C246" s="1" t="str">
        <v/>
      </c>
      <c r="D246" s="1" t="b">
        <v>0</v>
      </c>
      <c r="F246" s="25"/>
      <c r="G246" s="26"/>
      <c r="H246" s="27"/>
    </row>
    <row r="247" spans="1:8" x14ac:dyDescent="0.25">
      <c r="A247" s="1" t="str">
        <v>-_0000</v>
      </c>
      <c r="B247" s="1" t="str">
        <v>_</v>
      </c>
      <c r="C247" s="1" t="str">
        <v/>
      </c>
      <c r="D247" s="1" t="b">
        <v>0</v>
      </c>
      <c r="F247" s="25"/>
      <c r="G247" s="26"/>
      <c r="H247" s="27"/>
    </row>
    <row r="248" spans="1:8" x14ac:dyDescent="0.25">
      <c r="A248" s="1" t="str">
        <v>-_0000</v>
      </c>
      <c r="B248" s="1" t="str">
        <v>_</v>
      </c>
      <c r="C248" s="1" t="str">
        <v/>
      </c>
      <c r="D248" s="1" t="b">
        <v>0</v>
      </c>
      <c r="F248" s="25"/>
      <c r="G248" s="26"/>
      <c r="H248" s="27"/>
    </row>
    <row r="249" spans="1:8" x14ac:dyDescent="0.25">
      <c r="A249" s="1" t="str">
        <v>-_0000</v>
      </c>
      <c r="B249" s="1" t="str">
        <v>_</v>
      </c>
      <c r="C249" s="1" t="str">
        <v/>
      </c>
      <c r="D249" s="1" t="b">
        <v>0</v>
      </c>
      <c r="F249" s="25"/>
      <c r="G249" s="26"/>
      <c r="H249" s="27"/>
    </row>
    <row r="250" spans="1:8" x14ac:dyDescent="0.25">
      <c r="A250" s="1" t="str">
        <v>-_0000</v>
      </c>
      <c r="B250" s="1" t="str">
        <v>_</v>
      </c>
      <c r="C250" s="1" t="str">
        <v/>
      </c>
      <c r="D250" s="1" t="b">
        <v>0</v>
      </c>
      <c r="F250" s="25"/>
      <c r="G250" s="26"/>
      <c r="H250" s="27"/>
    </row>
    <row r="251" spans="1:8" x14ac:dyDescent="0.25">
      <c r="A251" s="1" t="str">
        <v>-_0000</v>
      </c>
      <c r="B251" s="1" t="str">
        <v>_</v>
      </c>
      <c r="C251" s="1" t="str">
        <v/>
      </c>
      <c r="D251" s="1" t="b">
        <v>0</v>
      </c>
      <c r="F251" s="25"/>
      <c r="G251" s="26"/>
      <c r="H251" s="27"/>
    </row>
    <row r="252" spans="1:8" x14ac:dyDescent="0.25">
      <c r="A252" s="1" t="str">
        <v>-_0000</v>
      </c>
      <c r="B252" s="1" t="str">
        <v>_</v>
      </c>
      <c r="C252" s="1" t="str">
        <v/>
      </c>
      <c r="D252" s="1" t="b">
        <v>0</v>
      </c>
      <c r="F252" s="25"/>
      <c r="G252" s="26"/>
      <c r="H252" s="27"/>
    </row>
    <row r="253" spans="1:8" x14ac:dyDescent="0.25">
      <c r="A253" s="1" t="str">
        <v>-_0000</v>
      </c>
      <c r="B253" s="1" t="str">
        <v>_</v>
      </c>
      <c r="C253" s="1" t="str">
        <v/>
      </c>
      <c r="D253" s="1" t="b">
        <v>0</v>
      </c>
      <c r="F253" s="25"/>
      <c r="G253" s="26"/>
      <c r="H253" s="27"/>
    </row>
    <row r="254" spans="1:8" x14ac:dyDescent="0.25">
      <c r="A254" s="1" t="str">
        <v>-_0000</v>
      </c>
      <c r="B254" s="1" t="str">
        <v>_</v>
      </c>
      <c r="C254" s="1" t="str">
        <v/>
      </c>
      <c r="D254" s="1" t="b">
        <v>0</v>
      </c>
      <c r="F254" s="25"/>
      <c r="G254" s="26"/>
      <c r="H254" s="27"/>
    </row>
    <row r="255" spans="1:8" x14ac:dyDescent="0.25">
      <c r="A255" s="1" t="str">
        <v>-_0000</v>
      </c>
      <c r="B255" s="1" t="str">
        <v>_</v>
      </c>
      <c r="C255" s="1" t="str">
        <v/>
      </c>
      <c r="D255" s="1" t="b">
        <v>0</v>
      </c>
      <c r="F255" s="25"/>
      <c r="G255" s="26"/>
      <c r="H255" s="27"/>
    </row>
    <row r="256" spans="1:8" x14ac:dyDescent="0.25">
      <c r="A256" s="1" t="str">
        <v>-_0000</v>
      </c>
      <c r="B256" s="1" t="str">
        <v>_</v>
      </c>
      <c r="C256" s="1" t="str">
        <v/>
      </c>
      <c r="D256" s="1" t="b">
        <v>0</v>
      </c>
      <c r="F256" s="25"/>
      <c r="G256" s="26"/>
      <c r="H256" s="27"/>
    </row>
    <row r="257" spans="1:8" x14ac:dyDescent="0.25">
      <c r="A257" s="1" t="str">
        <v>-_0000</v>
      </c>
      <c r="B257" s="1" t="str">
        <v>_</v>
      </c>
      <c r="C257" s="1" t="str">
        <v/>
      </c>
      <c r="D257" s="1" t="b">
        <v>0</v>
      </c>
      <c r="F257" s="25"/>
      <c r="G257" s="26"/>
      <c r="H257" s="27"/>
    </row>
    <row r="258" spans="1:8" x14ac:dyDescent="0.25">
      <c r="A258" s="1" t="str">
        <v>-_0000</v>
      </c>
      <c r="B258" s="1" t="str">
        <v>_</v>
      </c>
      <c r="C258" s="1" t="str">
        <v/>
      </c>
      <c r="D258" s="1" t="b">
        <v>0</v>
      </c>
      <c r="F258" s="25"/>
      <c r="G258" s="26"/>
      <c r="H258" s="27"/>
    </row>
    <row r="259" spans="1:8" x14ac:dyDescent="0.25">
      <c r="A259" s="1" t="str">
        <v>-_0000</v>
      </c>
      <c r="B259" s="1" t="str">
        <v>_</v>
      </c>
      <c r="C259" s="1" t="str">
        <v/>
      </c>
      <c r="D259" s="1" t="b">
        <v>0</v>
      </c>
      <c r="F259" s="25"/>
      <c r="G259" s="26"/>
      <c r="H259" s="27"/>
    </row>
    <row r="260" spans="1:8" x14ac:dyDescent="0.25">
      <c r="A260" s="1" t="str">
        <v>-_0000</v>
      </c>
      <c r="B260" s="1" t="str">
        <v>_</v>
      </c>
      <c r="C260" s="1" t="str">
        <v/>
      </c>
      <c r="D260" s="1" t="b">
        <v>0</v>
      </c>
      <c r="F260" s="25"/>
      <c r="G260" s="26"/>
      <c r="H260" s="27"/>
    </row>
    <row r="261" spans="1:8" x14ac:dyDescent="0.25">
      <c r="A261" s="1" t="str">
        <v>-_0000</v>
      </c>
      <c r="B261" s="1" t="str">
        <v>_</v>
      </c>
      <c r="C261" s="1" t="str">
        <v/>
      </c>
      <c r="D261" s="1" t="b">
        <v>0</v>
      </c>
      <c r="F261" s="25"/>
      <c r="G261" s="26"/>
      <c r="H261" s="27"/>
    </row>
    <row r="262" spans="1:8" x14ac:dyDescent="0.25">
      <c r="A262" s="1" t="str">
        <v>-_0000</v>
      </c>
      <c r="B262" s="1" t="str">
        <v>_</v>
      </c>
      <c r="C262" s="1" t="str">
        <v/>
      </c>
      <c r="D262" s="1" t="b">
        <v>0</v>
      </c>
      <c r="F262" s="25"/>
      <c r="G262" s="26"/>
      <c r="H262" s="27"/>
    </row>
    <row r="263" spans="1:8" x14ac:dyDescent="0.25">
      <c r="A263" s="1" t="str">
        <v>-_0000</v>
      </c>
      <c r="B263" s="1" t="str">
        <v>_</v>
      </c>
      <c r="C263" s="1" t="str">
        <v/>
      </c>
      <c r="D263" s="1" t="b">
        <v>0</v>
      </c>
      <c r="F263" s="25"/>
      <c r="G263" s="26"/>
      <c r="H263" s="27"/>
    </row>
    <row r="264" spans="1:8" x14ac:dyDescent="0.25">
      <c r="A264" s="1" t="str">
        <v>-_0000</v>
      </c>
      <c r="B264" s="1" t="str">
        <v>_</v>
      </c>
      <c r="C264" s="1" t="str">
        <v/>
      </c>
      <c r="D264" s="1" t="b">
        <v>0</v>
      </c>
      <c r="F264" s="25"/>
      <c r="G264" s="26"/>
      <c r="H264" s="27"/>
    </row>
    <row r="265" spans="1:8" x14ac:dyDescent="0.25">
      <c r="A265" s="1" t="str">
        <v>-_0000</v>
      </c>
      <c r="B265" s="1" t="str">
        <v>_</v>
      </c>
      <c r="C265" s="1" t="str">
        <v/>
      </c>
      <c r="D265" s="1" t="b">
        <v>0</v>
      </c>
      <c r="F265" s="25"/>
      <c r="G265" s="26"/>
      <c r="H265" s="27"/>
    </row>
    <row r="266" spans="1:8" x14ac:dyDescent="0.25">
      <c r="A266" s="1" t="str">
        <v>-_0000</v>
      </c>
      <c r="B266" s="1" t="str">
        <v>_</v>
      </c>
      <c r="C266" s="1" t="str">
        <v/>
      </c>
      <c r="D266" s="1" t="b">
        <v>0</v>
      </c>
      <c r="F266" s="25"/>
      <c r="G266" s="26"/>
      <c r="H266" s="27"/>
    </row>
    <row r="267" spans="1:8" x14ac:dyDescent="0.25">
      <c r="A267" s="1" t="str">
        <v>-_0000</v>
      </c>
      <c r="B267" s="1" t="str">
        <v>_</v>
      </c>
      <c r="C267" s="1" t="str">
        <v/>
      </c>
      <c r="D267" s="1" t="b">
        <v>0</v>
      </c>
      <c r="F267" s="25"/>
      <c r="G267" s="26"/>
      <c r="H267" s="27"/>
    </row>
    <row r="268" spans="1:8" x14ac:dyDescent="0.25">
      <c r="A268" s="1" t="str">
        <v>-_0000</v>
      </c>
      <c r="B268" s="1" t="str">
        <v>_</v>
      </c>
      <c r="C268" s="1" t="str">
        <v/>
      </c>
      <c r="D268" s="1" t="b">
        <v>0</v>
      </c>
      <c r="F268" s="25"/>
      <c r="G268" s="26"/>
      <c r="H268" s="27"/>
    </row>
    <row r="269" spans="1:8" x14ac:dyDescent="0.25">
      <c r="A269" s="1" t="str">
        <v>-_0000</v>
      </c>
      <c r="B269" s="1" t="str">
        <v>_</v>
      </c>
      <c r="C269" s="1" t="str">
        <v/>
      </c>
      <c r="D269" s="1" t="b">
        <v>0</v>
      </c>
      <c r="F269" s="25"/>
      <c r="G269" s="26"/>
      <c r="H269" s="27"/>
    </row>
    <row r="270" spans="1:8" x14ac:dyDescent="0.25">
      <c r="A270" s="1" t="str">
        <v>-_0000</v>
      </c>
      <c r="B270" s="1" t="str">
        <v>_</v>
      </c>
      <c r="C270" s="1" t="str">
        <v/>
      </c>
      <c r="D270" s="1" t="b">
        <v>0</v>
      </c>
      <c r="F270" s="25"/>
      <c r="G270" s="26"/>
      <c r="H270" s="27"/>
    </row>
    <row r="271" spans="1:8" x14ac:dyDescent="0.25">
      <c r="A271" s="1" t="str">
        <v>-_0000</v>
      </c>
      <c r="B271" s="1" t="str">
        <v>_</v>
      </c>
      <c r="C271" s="1" t="str">
        <v/>
      </c>
      <c r="D271" s="1" t="b">
        <v>0</v>
      </c>
      <c r="F271" s="25"/>
      <c r="G271" s="26"/>
      <c r="H271" s="27"/>
    </row>
    <row r="272" spans="1:8" x14ac:dyDescent="0.25">
      <c r="A272" s="1" t="str">
        <v>-_0000</v>
      </c>
      <c r="B272" s="1" t="str">
        <v>_</v>
      </c>
      <c r="C272" s="1" t="str">
        <v/>
      </c>
      <c r="D272" s="1" t="b">
        <v>0</v>
      </c>
      <c r="F272" s="25"/>
      <c r="G272" s="26"/>
      <c r="H272" s="27"/>
    </row>
    <row r="273" spans="1:8" x14ac:dyDescent="0.25">
      <c r="A273" s="1" t="str">
        <v>-_0000</v>
      </c>
      <c r="B273" s="1" t="str">
        <v>_</v>
      </c>
      <c r="C273" s="1" t="str">
        <v/>
      </c>
      <c r="D273" s="1" t="b">
        <v>0</v>
      </c>
      <c r="F273" s="25"/>
      <c r="G273" s="26"/>
      <c r="H273" s="27"/>
    </row>
    <row r="274" spans="1:8" x14ac:dyDescent="0.25">
      <c r="A274" s="1" t="str">
        <v>-_0000</v>
      </c>
      <c r="B274" s="1" t="str">
        <v>_</v>
      </c>
      <c r="C274" s="1" t="str">
        <v/>
      </c>
      <c r="D274" s="1" t="b">
        <v>0</v>
      </c>
      <c r="F274" s="25"/>
      <c r="G274" s="26"/>
      <c r="H274" s="27"/>
    </row>
    <row r="275" spans="1:8" x14ac:dyDescent="0.25">
      <c r="A275" s="1" t="str">
        <v>-_0000</v>
      </c>
      <c r="B275" s="1" t="str">
        <v>_</v>
      </c>
      <c r="C275" s="1" t="str">
        <v/>
      </c>
      <c r="D275" s="1" t="b">
        <v>0</v>
      </c>
      <c r="F275" s="25"/>
      <c r="G275" s="26"/>
      <c r="H275" s="27"/>
    </row>
    <row r="276" spans="1:8" x14ac:dyDescent="0.25">
      <c r="A276" s="1" t="str">
        <v>-_0000</v>
      </c>
      <c r="B276" s="1" t="str">
        <v>_</v>
      </c>
      <c r="C276" s="1" t="str">
        <v/>
      </c>
      <c r="D276" s="1" t="b">
        <v>0</v>
      </c>
      <c r="F276" s="25"/>
      <c r="G276" s="26"/>
      <c r="H276" s="27"/>
    </row>
    <row r="277" spans="1:8" x14ac:dyDescent="0.25">
      <c r="A277" s="1" t="str">
        <v>-_0000</v>
      </c>
      <c r="B277" s="1" t="str">
        <v>_</v>
      </c>
      <c r="C277" s="1" t="str">
        <v/>
      </c>
      <c r="D277" s="1" t="b">
        <v>0</v>
      </c>
      <c r="F277" s="25"/>
      <c r="G277" s="26"/>
      <c r="H277" s="27"/>
    </row>
    <row r="278" spans="1:8" x14ac:dyDescent="0.25">
      <c r="A278" s="1" t="str">
        <v>-_0000</v>
      </c>
      <c r="B278" s="1" t="str">
        <v>_</v>
      </c>
      <c r="C278" s="1" t="str">
        <v/>
      </c>
      <c r="D278" s="1" t="b">
        <v>0</v>
      </c>
      <c r="F278" s="25"/>
      <c r="G278" s="26"/>
      <c r="H278" s="27"/>
    </row>
    <row r="279" spans="1:8" x14ac:dyDescent="0.25">
      <c r="A279" s="1" t="str">
        <v>-_0000</v>
      </c>
      <c r="B279" s="1" t="str">
        <v>_</v>
      </c>
      <c r="C279" s="1" t="str">
        <v/>
      </c>
      <c r="D279" s="1" t="b">
        <v>0</v>
      </c>
      <c r="F279" s="25"/>
      <c r="G279" s="26"/>
      <c r="H279" s="27"/>
    </row>
    <row r="280" spans="1:8" x14ac:dyDescent="0.25">
      <c r="A280" s="1" t="str">
        <v>-_0000</v>
      </c>
      <c r="B280" s="1" t="str">
        <v>_</v>
      </c>
      <c r="C280" s="1" t="str">
        <v/>
      </c>
      <c r="D280" s="1" t="b">
        <v>0</v>
      </c>
      <c r="F280" s="25"/>
      <c r="G280" s="26"/>
      <c r="H280" s="27"/>
    </row>
    <row r="281" spans="1:8" x14ac:dyDescent="0.25">
      <c r="A281" s="1" t="str">
        <v>-_0000</v>
      </c>
      <c r="B281" s="1" t="str">
        <v>_</v>
      </c>
      <c r="C281" s="1" t="str">
        <v/>
      </c>
      <c r="D281" s="1" t="b">
        <v>0</v>
      </c>
      <c r="F281" s="25"/>
      <c r="G281" s="26"/>
      <c r="H281" s="27"/>
    </row>
    <row r="282" spans="1:8" x14ac:dyDescent="0.25">
      <c r="A282" s="1" t="str">
        <v>-_0000</v>
      </c>
      <c r="B282" s="1" t="str">
        <v>_</v>
      </c>
      <c r="C282" s="1" t="str">
        <v/>
      </c>
      <c r="D282" s="1" t="b">
        <v>0</v>
      </c>
      <c r="F282" s="25"/>
      <c r="G282" s="26"/>
      <c r="H282" s="27"/>
    </row>
    <row r="283" spans="1:8" x14ac:dyDescent="0.25">
      <c r="A283" s="1" t="str">
        <v>-_0000</v>
      </c>
      <c r="B283" s="1" t="str">
        <v>_</v>
      </c>
      <c r="C283" s="1" t="str">
        <v/>
      </c>
      <c r="D283" s="1" t="b">
        <v>0</v>
      </c>
      <c r="F283" s="25"/>
      <c r="G283" s="26"/>
      <c r="H283" s="27"/>
    </row>
    <row r="284" spans="1:8" x14ac:dyDescent="0.25">
      <c r="A284" s="1" t="str">
        <v>-_0000</v>
      </c>
      <c r="B284" s="1" t="str">
        <v>_</v>
      </c>
      <c r="C284" s="1" t="str">
        <v/>
      </c>
      <c r="D284" s="1" t="b">
        <v>0</v>
      </c>
      <c r="F284" s="25"/>
      <c r="G284" s="26"/>
      <c r="H284" s="27"/>
    </row>
    <row r="285" spans="1:8" x14ac:dyDescent="0.25">
      <c r="A285" s="1" t="str">
        <v>-_0000</v>
      </c>
      <c r="B285" s="1" t="str">
        <v>_</v>
      </c>
      <c r="C285" s="1" t="str">
        <v/>
      </c>
      <c r="D285" s="1" t="b">
        <v>0</v>
      </c>
      <c r="F285" s="25"/>
      <c r="G285" s="26"/>
      <c r="H285" s="27"/>
    </row>
    <row r="286" spans="1:8" x14ac:dyDescent="0.25">
      <c r="A286" s="1" t="str">
        <v>-_0000</v>
      </c>
      <c r="B286" s="1" t="str">
        <v>_</v>
      </c>
      <c r="C286" s="1" t="str">
        <v/>
      </c>
      <c r="D286" s="1" t="b">
        <v>0</v>
      </c>
      <c r="F286" s="25"/>
      <c r="G286" s="26"/>
      <c r="H286" s="27"/>
    </row>
    <row r="287" spans="1:8" x14ac:dyDescent="0.25">
      <c r="A287" s="1" t="str">
        <v>-_0000</v>
      </c>
      <c r="B287" s="1" t="str">
        <v>_</v>
      </c>
      <c r="C287" s="1" t="str">
        <v/>
      </c>
      <c r="D287" s="1" t="b">
        <v>0</v>
      </c>
      <c r="F287" s="25"/>
      <c r="G287" s="26"/>
      <c r="H287" s="27"/>
    </row>
    <row r="288" spans="1:8" x14ac:dyDescent="0.25">
      <c r="A288" s="1" t="str">
        <v>-_0000</v>
      </c>
      <c r="B288" s="1" t="str">
        <v>_</v>
      </c>
      <c r="C288" s="1" t="str">
        <v/>
      </c>
      <c r="D288" s="1" t="b">
        <v>0</v>
      </c>
      <c r="F288" s="25"/>
      <c r="G288" s="26"/>
      <c r="H288" s="27"/>
    </row>
    <row r="289" spans="1:8" x14ac:dyDescent="0.25">
      <c r="A289" s="1" t="str">
        <v>-_0000</v>
      </c>
      <c r="B289" s="1" t="str">
        <v>_</v>
      </c>
      <c r="C289" s="1" t="str">
        <v/>
      </c>
      <c r="D289" s="1" t="b">
        <v>0</v>
      </c>
      <c r="F289" s="25"/>
      <c r="G289" s="26"/>
      <c r="H289" s="27"/>
    </row>
    <row r="290" spans="1:8" x14ac:dyDescent="0.25">
      <c r="A290" s="1" t="str">
        <v>-_0000</v>
      </c>
      <c r="B290" s="1" t="str">
        <v>_</v>
      </c>
      <c r="C290" s="1" t="str">
        <v/>
      </c>
      <c r="D290" s="1" t="b">
        <v>0</v>
      </c>
      <c r="F290" s="25"/>
      <c r="G290" s="26"/>
      <c r="H290" s="27"/>
    </row>
    <row r="291" spans="1:8" x14ac:dyDescent="0.25">
      <c r="A291" s="1" t="str">
        <v>-_0000</v>
      </c>
      <c r="B291" s="1" t="str">
        <v>_</v>
      </c>
      <c r="C291" s="1" t="str">
        <v/>
      </c>
      <c r="D291" s="1" t="b">
        <v>0</v>
      </c>
      <c r="F291" s="25"/>
      <c r="G291" s="26"/>
      <c r="H291" s="27"/>
    </row>
    <row r="292" spans="1:8" x14ac:dyDescent="0.25">
      <c r="A292" s="1" t="str">
        <v>-_0000</v>
      </c>
      <c r="B292" s="1" t="str">
        <v>_</v>
      </c>
      <c r="C292" s="1" t="str">
        <v/>
      </c>
      <c r="D292" s="1" t="b">
        <v>0</v>
      </c>
      <c r="F292" s="25"/>
      <c r="G292" s="26"/>
      <c r="H292" s="27"/>
    </row>
    <row r="293" spans="1:8" x14ac:dyDescent="0.25">
      <c r="A293" s="1" t="str">
        <v>-_0000</v>
      </c>
      <c r="B293" s="1" t="str">
        <v>_</v>
      </c>
      <c r="C293" s="1" t="str">
        <v/>
      </c>
      <c r="D293" s="1" t="b">
        <v>0</v>
      </c>
      <c r="F293" s="25"/>
      <c r="G293" s="26"/>
      <c r="H293" s="27"/>
    </row>
    <row r="294" spans="1:8" x14ac:dyDescent="0.25">
      <c r="A294" s="1" t="str">
        <v>-_0000</v>
      </c>
      <c r="B294" s="1" t="str">
        <v>_</v>
      </c>
      <c r="C294" s="1" t="str">
        <v/>
      </c>
      <c r="D294" s="1" t="b">
        <v>0</v>
      </c>
      <c r="F294" s="25"/>
      <c r="G294" s="26"/>
      <c r="H294" s="27"/>
    </row>
    <row r="295" spans="1:8" x14ac:dyDescent="0.25">
      <c r="A295" s="1" t="str">
        <v>-_0000</v>
      </c>
      <c r="B295" s="1" t="str">
        <v>_</v>
      </c>
      <c r="C295" s="1" t="str">
        <v/>
      </c>
      <c r="D295" s="1" t="b">
        <v>0</v>
      </c>
      <c r="F295" s="25"/>
      <c r="G295" s="26"/>
      <c r="H295" s="27"/>
    </row>
    <row r="296" spans="1:8" x14ac:dyDescent="0.25">
      <c r="A296" s="1" t="str">
        <v>-_0000</v>
      </c>
      <c r="B296" s="1" t="str">
        <v>_</v>
      </c>
      <c r="C296" s="1" t="str">
        <v/>
      </c>
      <c r="D296" s="1" t="b">
        <v>0</v>
      </c>
      <c r="F296" s="25"/>
      <c r="G296" s="26"/>
      <c r="H296" s="27"/>
    </row>
    <row r="297" spans="1:8" x14ac:dyDescent="0.25">
      <c r="A297" s="1" t="str">
        <v>-_0000</v>
      </c>
      <c r="B297" s="1" t="str">
        <v>_</v>
      </c>
      <c r="C297" s="1" t="str">
        <v/>
      </c>
      <c r="D297" s="1" t="b">
        <v>0</v>
      </c>
      <c r="F297" s="25"/>
      <c r="G297" s="26"/>
      <c r="H297" s="27"/>
    </row>
    <row r="298" spans="1:8" x14ac:dyDescent="0.25">
      <c r="A298" s="1" t="str">
        <v>-_0000</v>
      </c>
      <c r="B298" s="1" t="str">
        <v>_</v>
      </c>
      <c r="C298" s="1" t="str">
        <v/>
      </c>
      <c r="D298" s="1" t="b">
        <v>0</v>
      </c>
      <c r="F298" s="25"/>
      <c r="G298" s="26"/>
      <c r="H298" s="27"/>
    </row>
    <row r="299" spans="1:8" x14ac:dyDescent="0.25">
      <c r="A299" s="1" t="str">
        <v>-_0000</v>
      </c>
      <c r="B299" s="1" t="str">
        <v>_</v>
      </c>
      <c r="C299" s="1" t="str">
        <v/>
      </c>
      <c r="D299" s="1" t="b">
        <v>0</v>
      </c>
      <c r="F299" s="25"/>
      <c r="G299" s="26"/>
      <c r="H299" s="27"/>
    </row>
    <row r="300" spans="1:8" x14ac:dyDescent="0.25">
      <c r="A300" s="1" t="str">
        <v>-_0000</v>
      </c>
      <c r="B300" s="1" t="str">
        <v>_</v>
      </c>
      <c r="C300" s="1" t="str">
        <v/>
      </c>
      <c r="D300" s="1" t="b">
        <v>0</v>
      </c>
      <c r="F300" s="25"/>
      <c r="G300" s="26"/>
      <c r="H300" s="27"/>
    </row>
    <row r="301" spans="1:8" x14ac:dyDescent="0.25">
      <c r="A301" s="1" t="str">
        <v>-_0000</v>
      </c>
      <c r="B301" s="1" t="str">
        <v>_</v>
      </c>
      <c r="C301" s="1" t="str">
        <v/>
      </c>
      <c r="D301" s="1" t="b">
        <v>0</v>
      </c>
      <c r="F301" s="25"/>
      <c r="G301" s="26"/>
      <c r="H301" s="27"/>
    </row>
    <row r="302" spans="1:8" x14ac:dyDescent="0.25">
      <c r="A302" s="1" t="str">
        <v>-_0000</v>
      </c>
      <c r="B302" s="1" t="str">
        <v>_</v>
      </c>
      <c r="C302" s="1" t="str">
        <v/>
      </c>
      <c r="D302" s="1" t="b">
        <v>0</v>
      </c>
      <c r="F302" s="25"/>
      <c r="G302" s="26"/>
      <c r="H302" s="27"/>
    </row>
    <row r="303" spans="1:8" x14ac:dyDescent="0.25">
      <c r="A303" s="1" t="str">
        <v>-_0000</v>
      </c>
      <c r="B303" s="1" t="str">
        <v>_</v>
      </c>
      <c r="C303" s="1" t="str">
        <v/>
      </c>
      <c r="D303" s="1" t="b">
        <v>0</v>
      </c>
      <c r="F303" s="25"/>
      <c r="G303" s="26"/>
      <c r="H303" s="27"/>
    </row>
    <row r="304" spans="1:8" x14ac:dyDescent="0.25">
      <c r="A304" s="1" t="str">
        <v>-_0000</v>
      </c>
      <c r="B304" s="1" t="str">
        <v>_</v>
      </c>
      <c r="C304" s="1" t="str">
        <v/>
      </c>
      <c r="D304" s="1" t="b">
        <v>0</v>
      </c>
      <c r="F304" s="25"/>
      <c r="G304" s="26"/>
      <c r="H304" s="27"/>
    </row>
    <row r="305" spans="1:8" x14ac:dyDescent="0.25">
      <c r="A305" s="1" t="str">
        <v>-_0000</v>
      </c>
      <c r="B305" s="1" t="str">
        <v>_</v>
      </c>
      <c r="C305" s="1" t="str">
        <v/>
      </c>
      <c r="D305" s="1" t="b">
        <v>0</v>
      </c>
      <c r="F305" s="25"/>
      <c r="G305" s="26"/>
      <c r="H305" s="27"/>
    </row>
    <row r="306" spans="1:8" x14ac:dyDescent="0.25">
      <c r="A306" s="1" t="str">
        <v>-_0000</v>
      </c>
      <c r="B306" s="1" t="str">
        <v>_</v>
      </c>
      <c r="C306" s="1" t="str">
        <v/>
      </c>
      <c r="D306" s="1" t="b">
        <v>0</v>
      </c>
      <c r="F306" s="25"/>
      <c r="G306" s="26"/>
      <c r="H306" s="27"/>
    </row>
    <row r="307" spans="1:8" x14ac:dyDescent="0.25">
      <c r="A307" s="1" t="str">
        <v>-_0000</v>
      </c>
      <c r="B307" s="1" t="str">
        <v>_</v>
      </c>
      <c r="C307" s="1" t="str">
        <v/>
      </c>
      <c r="D307" s="1" t="b">
        <v>0</v>
      </c>
      <c r="F307" s="25"/>
      <c r="G307" s="26"/>
      <c r="H307" s="27"/>
    </row>
    <row r="308" spans="1:8" x14ac:dyDescent="0.25">
      <c r="A308" s="1" t="str">
        <v>-_0000</v>
      </c>
      <c r="B308" s="1" t="str">
        <v>_</v>
      </c>
      <c r="C308" s="1" t="str">
        <v/>
      </c>
      <c r="D308" s="1" t="b">
        <v>0</v>
      </c>
      <c r="F308" s="25"/>
      <c r="G308" s="26"/>
      <c r="H308" s="27"/>
    </row>
    <row r="309" spans="1:8" x14ac:dyDescent="0.25">
      <c r="A309" s="1" t="str">
        <v>-_0000</v>
      </c>
      <c r="B309" s="1" t="str">
        <v>_</v>
      </c>
      <c r="C309" s="1" t="str">
        <v/>
      </c>
      <c r="D309" s="1" t="b">
        <v>0</v>
      </c>
      <c r="F309" s="25"/>
      <c r="G309" s="26"/>
      <c r="H309" s="27"/>
    </row>
    <row r="310" spans="1:8" x14ac:dyDescent="0.25">
      <c r="A310" s="1" t="str">
        <v>-_0000</v>
      </c>
      <c r="B310" s="1" t="str">
        <v>_</v>
      </c>
      <c r="C310" s="1" t="str">
        <v/>
      </c>
      <c r="D310" s="1" t="b">
        <v>0</v>
      </c>
      <c r="F310" s="25"/>
      <c r="G310" s="26"/>
      <c r="H310" s="27"/>
    </row>
    <row r="311" spans="1:8" x14ac:dyDescent="0.25">
      <c r="A311" s="1" t="str">
        <v>-_0000</v>
      </c>
      <c r="B311" s="1" t="str">
        <v>_</v>
      </c>
      <c r="C311" s="1" t="str">
        <v/>
      </c>
      <c r="D311" s="1" t="b">
        <v>0</v>
      </c>
      <c r="F311" s="25"/>
      <c r="G311" s="26"/>
      <c r="H311" s="27"/>
    </row>
    <row r="312" spans="1:8" x14ac:dyDescent="0.25">
      <c r="A312" s="1" t="str">
        <v>-_0000</v>
      </c>
      <c r="B312" s="1" t="str">
        <v>_</v>
      </c>
      <c r="C312" s="1" t="str">
        <v/>
      </c>
      <c r="D312" s="1" t="b">
        <v>0</v>
      </c>
      <c r="F312" s="25"/>
      <c r="G312" s="26"/>
      <c r="H312" s="27"/>
    </row>
    <row r="313" spans="1:8" x14ac:dyDescent="0.25">
      <c r="A313" s="1" t="str">
        <v>-_0000</v>
      </c>
      <c r="B313" s="1" t="str">
        <v>_</v>
      </c>
      <c r="C313" s="1" t="str">
        <v/>
      </c>
      <c r="D313" s="1" t="b">
        <v>0</v>
      </c>
      <c r="F313" s="25"/>
      <c r="G313" s="26"/>
      <c r="H313" s="27"/>
    </row>
    <row r="314" spans="1:8" x14ac:dyDescent="0.25">
      <c r="A314" s="1" t="str">
        <v>-_0000</v>
      </c>
      <c r="B314" s="1" t="str">
        <v>_</v>
      </c>
      <c r="C314" s="1" t="str">
        <v/>
      </c>
      <c r="D314" s="1" t="b">
        <v>0</v>
      </c>
      <c r="F314" s="25"/>
      <c r="G314" s="26"/>
      <c r="H314" s="27"/>
    </row>
    <row r="315" spans="1:8" x14ac:dyDescent="0.25">
      <c r="A315" s="1" t="str">
        <v>-_0000</v>
      </c>
      <c r="B315" s="1" t="str">
        <v>_</v>
      </c>
      <c r="C315" s="1" t="str">
        <v/>
      </c>
      <c r="D315" s="1" t="b">
        <v>0</v>
      </c>
      <c r="F315" s="25"/>
      <c r="G315" s="26"/>
      <c r="H315" s="27"/>
    </row>
    <row r="316" spans="1:8" x14ac:dyDescent="0.25">
      <c r="A316" s="1" t="str">
        <v>-_0000</v>
      </c>
      <c r="B316" s="1" t="str">
        <v>_</v>
      </c>
      <c r="C316" s="1" t="str">
        <v/>
      </c>
      <c r="D316" s="1" t="b">
        <v>0</v>
      </c>
      <c r="F316" s="25"/>
      <c r="G316" s="26"/>
      <c r="H316" s="27"/>
    </row>
    <row r="317" spans="1:8" x14ac:dyDescent="0.25">
      <c r="A317" s="1" t="str">
        <v>-_0000</v>
      </c>
      <c r="B317" s="1" t="str">
        <v>_</v>
      </c>
      <c r="C317" s="1" t="str">
        <v/>
      </c>
      <c r="D317" s="1" t="b">
        <v>0</v>
      </c>
      <c r="F317" s="25"/>
      <c r="G317" s="26"/>
      <c r="H317" s="27"/>
    </row>
    <row r="318" spans="1:8" x14ac:dyDescent="0.25">
      <c r="A318" s="1" t="str">
        <v>-_0000</v>
      </c>
      <c r="B318" s="1" t="str">
        <v>_</v>
      </c>
      <c r="C318" s="1" t="str">
        <v/>
      </c>
      <c r="D318" s="1" t="b">
        <v>0</v>
      </c>
      <c r="F318" s="25"/>
      <c r="G318" s="26"/>
      <c r="H318" s="27"/>
    </row>
    <row r="319" spans="1:8" x14ac:dyDescent="0.25">
      <c r="A319" s="1" t="str">
        <v>-_0000</v>
      </c>
      <c r="B319" s="1" t="str">
        <v>_</v>
      </c>
      <c r="C319" s="1" t="str">
        <v/>
      </c>
      <c r="D319" s="1" t="b">
        <v>0</v>
      </c>
      <c r="F319" s="25"/>
      <c r="G319" s="26"/>
      <c r="H319" s="27"/>
    </row>
    <row r="320" spans="1:8" x14ac:dyDescent="0.25">
      <c r="A320" s="1" t="str">
        <v>-_0000</v>
      </c>
      <c r="B320" s="1" t="str">
        <v>_</v>
      </c>
      <c r="C320" s="1" t="str">
        <v/>
      </c>
      <c r="D320" s="1" t="b">
        <v>0</v>
      </c>
      <c r="F320" s="25"/>
      <c r="G320" s="26"/>
      <c r="H320" s="27"/>
    </row>
    <row r="321" spans="1:8" x14ac:dyDescent="0.25">
      <c r="A321" s="1" t="str">
        <v>-_0000</v>
      </c>
      <c r="B321" s="1" t="str">
        <v>_</v>
      </c>
      <c r="C321" s="1" t="str">
        <v/>
      </c>
      <c r="D321" s="1" t="b">
        <v>0</v>
      </c>
      <c r="F321" s="25"/>
      <c r="G321" s="26"/>
      <c r="H321" s="27"/>
    </row>
    <row r="322" spans="1:8" x14ac:dyDescent="0.25">
      <c r="A322" s="1" t="str">
        <v>-_0000</v>
      </c>
      <c r="B322" s="1" t="str">
        <v>_</v>
      </c>
      <c r="C322" s="1" t="str">
        <v/>
      </c>
      <c r="D322" s="1" t="b">
        <v>0</v>
      </c>
      <c r="F322" s="25"/>
      <c r="G322" s="26"/>
      <c r="H322" s="27"/>
    </row>
    <row r="323" spans="1:8" x14ac:dyDescent="0.25">
      <c r="A323" s="1" t="str">
        <v>-_0000</v>
      </c>
      <c r="B323" s="1" t="str">
        <v>_</v>
      </c>
      <c r="C323" s="1" t="str">
        <v/>
      </c>
      <c r="D323" s="1" t="b">
        <v>0</v>
      </c>
      <c r="F323" s="25"/>
      <c r="G323" s="26"/>
      <c r="H323" s="27"/>
    </row>
    <row r="324" spans="1:8" x14ac:dyDescent="0.25">
      <c r="A324" s="1" t="str">
        <v>-_0000</v>
      </c>
      <c r="B324" s="1" t="str">
        <v>_</v>
      </c>
      <c r="C324" s="1" t="str">
        <v/>
      </c>
      <c r="D324" s="1" t="b">
        <v>0</v>
      </c>
      <c r="F324" s="25"/>
      <c r="G324" s="26"/>
      <c r="H324" s="27"/>
    </row>
    <row r="325" spans="1:8" x14ac:dyDescent="0.25">
      <c r="A325" s="1" t="str">
        <v>-_0000</v>
      </c>
      <c r="B325" s="1" t="str">
        <v>_</v>
      </c>
      <c r="C325" s="1" t="str">
        <v/>
      </c>
      <c r="D325" s="1" t="b">
        <v>0</v>
      </c>
      <c r="F325" s="25"/>
      <c r="G325" s="26"/>
      <c r="H325" s="27"/>
    </row>
    <row r="326" spans="1:8" x14ac:dyDescent="0.25">
      <c r="A326" s="1" t="str">
        <v>-_0000</v>
      </c>
      <c r="B326" s="1" t="str">
        <v>_</v>
      </c>
      <c r="C326" s="1" t="str">
        <v/>
      </c>
      <c r="D326" s="1" t="b">
        <v>0</v>
      </c>
      <c r="F326" s="25"/>
      <c r="G326" s="26"/>
      <c r="H326" s="27"/>
    </row>
    <row r="327" spans="1:8" x14ac:dyDescent="0.25">
      <c r="A327" s="1" t="str">
        <v>-_0000</v>
      </c>
      <c r="B327" s="1" t="str">
        <v>_</v>
      </c>
      <c r="C327" s="1" t="str">
        <v/>
      </c>
      <c r="D327" s="1" t="b">
        <v>0</v>
      </c>
      <c r="F327" s="25"/>
      <c r="G327" s="26"/>
      <c r="H327" s="27"/>
    </row>
    <row r="328" spans="1:8" x14ac:dyDescent="0.25">
      <c r="A328" s="1" t="str">
        <v>-_0000</v>
      </c>
      <c r="B328" s="1" t="str">
        <v>_</v>
      </c>
      <c r="C328" s="1" t="str">
        <v/>
      </c>
      <c r="D328" s="1" t="b">
        <v>0</v>
      </c>
      <c r="F328" s="25"/>
      <c r="G328" s="26"/>
      <c r="H328" s="27"/>
    </row>
    <row r="329" spans="1:8" x14ac:dyDescent="0.25">
      <c r="A329" s="1" t="str">
        <v>-_0000</v>
      </c>
      <c r="B329" s="1" t="str">
        <v>_</v>
      </c>
      <c r="C329" s="1" t="str">
        <v/>
      </c>
      <c r="D329" s="1" t="b">
        <v>0</v>
      </c>
      <c r="F329" s="25"/>
      <c r="G329" s="26"/>
      <c r="H329" s="27"/>
    </row>
    <row r="330" spans="1:8" x14ac:dyDescent="0.25">
      <c r="A330" s="1" t="str">
        <v>-_0000</v>
      </c>
      <c r="B330" s="1" t="str">
        <v>_</v>
      </c>
      <c r="C330" s="1" t="str">
        <v/>
      </c>
      <c r="D330" s="1" t="b">
        <v>0</v>
      </c>
      <c r="F330" s="25"/>
      <c r="G330" s="26"/>
      <c r="H330" s="27"/>
    </row>
    <row r="331" spans="1:8" x14ac:dyDescent="0.25">
      <c r="A331" s="1" t="str">
        <v>-_0000</v>
      </c>
      <c r="B331" s="1" t="str">
        <v>_</v>
      </c>
      <c r="C331" s="1" t="str">
        <v/>
      </c>
      <c r="D331" s="1" t="b">
        <v>0</v>
      </c>
      <c r="F331" s="25"/>
      <c r="G331" s="26"/>
      <c r="H331" s="27"/>
    </row>
    <row r="332" spans="1:8" x14ac:dyDescent="0.25">
      <c r="A332" s="1" t="str">
        <v>-_0000</v>
      </c>
      <c r="B332" s="1" t="str">
        <v>_</v>
      </c>
      <c r="C332" s="1" t="str">
        <v/>
      </c>
      <c r="D332" s="1" t="b">
        <v>0</v>
      </c>
      <c r="F332" s="25"/>
      <c r="G332" s="26"/>
      <c r="H332" s="27"/>
    </row>
    <row r="333" spans="1:8" x14ac:dyDescent="0.25">
      <c r="A333" s="1" t="str">
        <v>-_0000</v>
      </c>
      <c r="B333" s="1" t="str">
        <v>_</v>
      </c>
      <c r="C333" s="1" t="str">
        <v/>
      </c>
      <c r="D333" s="1" t="b">
        <v>0</v>
      </c>
      <c r="F333" s="25"/>
      <c r="G333" s="26"/>
      <c r="H333" s="27"/>
    </row>
    <row r="334" spans="1:8" x14ac:dyDescent="0.25">
      <c r="A334" s="1" t="str">
        <v>-_0000</v>
      </c>
      <c r="B334" s="1" t="str">
        <v>_</v>
      </c>
      <c r="C334" s="1" t="str">
        <v/>
      </c>
      <c r="D334" s="1" t="b">
        <v>0</v>
      </c>
      <c r="F334" s="25"/>
      <c r="G334" s="26"/>
      <c r="H334" s="27"/>
    </row>
    <row r="335" spans="1:8" x14ac:dyDescent="0.25">
      <c r="A335" s="1" t="str">
        <v>-_0000</v>
      </c>
      <c r="B335" s="1" t="str">
        <v>_</v>
      </c>
      <c r="C335" s="1" t="str">
        <v/>
      </c>
      <c r="D335" s="1" t="b">
        <v>0</v>
      </c>
      <c r="F335" s="25"/>
      <c r="G335" s="26"/>
      <c r="H335" s="27"/>
    </row>
    <row r="336" spans="1:8" x14ac:dyDescent="0.25">
      <c r="A336" s="1" t="str">
        <v>-_0000</v>
      </c>
      <c r="B336" s="1" t="str">
        <v>_</v>
      </c>
      <c r="C336" s="1" t="str">
        <v/>
      </c>
      <c r="D336" s="1" t="b">
        <v>0</v>
      </c>
      <c r="F336" s="25"/>
      <c r="G336" s="26"/>
      <c r="H336" s="27"/>
    </row>
    <row r="337" spans="1:8" x14ac:dyDescent="0.25">
      <c r="A337" s="1" t="str">
        <v>-_0000</v>
      </c>
      <c r="B337" s="1" t="str">
        <v>_</v>
      </c>
      <c r="C337" s="1" t="str">
        <v/>
      </c>
      <c r="D337" s="1" t="b">
        <v>0</v>
      </c>
      <c r="F337" s="25"/>
      <c r="G337" s="26"/>
      <c r="H337" s="27"/>
    </row>
    <row r="338" spans="1:8" x14ac:dyDescent="0.25">
      <c r="A338" s="1" t="str">
        <v>-_0000</v>
      </c>
      <c r="B338" s="1" t="str">
        <v>_</v>
      </c>
      <c r="C338" s="1" t="str">
        <v/>
      </c>
      <c r="D338" s="1" t="b">
        <v>0</v>
      </c>
      <c r="F338" s="25"/>
      <c r="G338" s="26"/>
      <c r="H338" s="27"/>
    </row>
    <row r="339" spans="1:8" x14ac:dyDescent="0.25">
      <c r="A339" s="1" t="str">
        <v>-_0000</v>
      </c>
      <c r="B339" s="1" t="str">
        <v>_</v>
      </c>
      <c r="C339" s="1" t="str">
        <v/>
      </c>
      <c r="D339" s="1" t="b">
        <v>0</v>
      </c>
      <c r="F339" s="25"/>
      <c r="G339" s="26"/>
      <c r="H339" s="27"/>
    </row>
    <row r="340" spans="1:8" x14ac:dyDescent="0.25">
      <c r="A340" s="1" t="str">
        <v>-_0000</v>
      </c>
      <c r="B340" s="1" t="str">
        <v>_</v>
      </c>
      <c r="C340" s="1" t="str">
        <v/>
      </c>
      <c r="D340" s="1" t="b">
        <v>0</v>
      </c>
      <c r="F340" s="25"/>
      <c r="G340" s="26"/>
      <c r="H340" s="27"/>
    </row>
    <row r="341" spans="1:8" x14ac:dyDescent="0.25">
      <c r="A341" s="1" t="str">
        <v>-_0000</v>
      </c>
      <c r="B341" s="1" t="str">
        <v>_</v>
      </c>
      <c r="C341" s="1" t="str">
        <v/>
      </c>
      <c r="D341" s="1" t="b">
        <v>0</v>
      </c>
      <c r="F341" s="25"/>
      <c r="G341" s="26"/>
      <c r="H341" s="27"/>
    </row>
    <row r="342" spans="1:8" x14ac:dyDescent="0.25">
      <c r="A342" s="1" t="str">
        <v>-_0000</v>
      </c>
      <c r="B342" s="1" t="str">
        <v>_</v>
      </c>
      <c r="C342" s="1" t="str">
        <v/>
      </c>
      <c r="D342" s="1" t="b">
        <v>0</v>
      </c>
      <c r="F342" s="25"/>
      <c r="G342" s="26"/>
      <c r="H342" s="27"/>
    </row>
    <row r="343" spans="1:8" x14ac:dyDescent="0.25">
      <c r="A343" s="1" t="str">
        <v>-_0000</v>
      </c>
      <c r="B343" s="1" t="str">
        <v>_</v>
      </c>
      <c r="C343" s="1" t="str">
        <v/>
      </c>
      <c r="D343" s="1" t="b">
        <v>0</v>
      </c>
      <c r="F343" s="25"/>
      <c r="G343" s="26"/>
      <c r="H343" s="27"/>
    </row>
    <row r="344" spans="1:8" x14ac:dyDescent="0.25">
      <c r="A344" s="1" t="str">
        <v>-_0000</v>
      </c>
      <c r="B344" s="1" t="str">
        <v>_</v>
      </c>
      <c r="C344" s="1" t="str">
        <v/>
      </c>
      <c r="D344" s="1" t="b">
        <v>0</v>
      </c>
      <c r="F344" s="25"/>
      <c r="G344" s="26"/>
      <c r="H344" s="27"/>
    </row>
    <row r="345" spans="1:8" x14ac:dyDescent="0.25">
      <c r="A345" s="1" t="str">
        <v>-_0000</v>
      </c>
      <c r="B345" s="1" t="str">
        <v>_</v>
      </c>
      <c r="C345" s="1" t="str">
        <v/>
      </c>
      <c r="D345" s="1" t="b">
        <v>0</v>
      </c>
      <c r="F345" s="25"/>
      <c r="G345" s="26"/>
      <c r="H345" s="27"/>
    </row>
    <row r="346" spans="1:8" x14ac:dyDescent="0.25">
      <c r="A346" s="1" t="str">
        <v>-_0000</v>
      </c>
      <c r="B346" s="1" t="str">
        <v>_</v>
      </c>
      <c r="C346" s="1" t="str">
        <v/>
      </c>
      <c r="D346" s="1" t="b">
        <v>0</v>
      </c>
      <c r="F346" s="25"/>
      <c r="G346" s="26"/>
      <c r="H346" s="27"/>
    </row>
    <row r="347" spans="1:8" x14ac:dyDescent="0.25">
      <c r="A347" s="1" t="str">
        <v>-_0000</v>
      </c>
      <c r="B347" s="1" t="str">
        <v>_</v>
      </c>
      <c r="C347" s="1" t="str">
        <v/>
      </c>
      <c r="D347" s="1" t="b">
        <v>0</v>
      </c>
      <c r="F347" s="25"/>
      <c r="G347" s="26"/>
      <c r="H347" s="27"/>
    </row>
    <row r="348" spans="1:8" x14ac:dyDescent="0.25">
      <c r="A348" s="1" t="str">
        <v>-_0000</v>
      </c>
      <c r="B348" s="1" t="str">
        <v>_</v>
      </c>
      <c r="C348" s="1" t="str">
        <v/>
      </c>
      <c r="D348" s="1" t="b">
        <v>0</v>
      </c>
      <c r="F348" s="25"/>
      <c r="G348" s="26"/>
      <c r="H348" s="27"/>
    </row>
    <row r="349" spans="1:8" x14ac:dyDescent="0.25">
      <c r="A349" s="1" t="str">
        <v>-_0000</v>
      </c>
      <c r="B349" s="1" t="str">
        <v>_</v>
      </c>
      <c r="C349" s="1" t="str">
        <v/>
      </c>
      <c r="D349" s="1" t="b">
        <v>0</v>
      </c>
      <c r="F349" s="25"/>
      <c r="G349" s="26"/>
      <c r="H349" s="27"/>
    </row>
    <row r="350" spans="1:8" x14ac:dyDescent="0.25">
      <c r="A350" s="1" t="str">
        <v>-_0000</v>
      </c>
      <c r="B350" s="1" t="str">
        <v>_</v>
      </c>
      <c r="C350" s="1" t="str">
        <v/>
      </c>
      <c r="D350" s="1" t="b">
        <v>0</v>
      </c>
      <c r="F350" s="25"/>
      <c r="G350" s="26"/>
      <c r="H350" s="27"/>
    </row>
    <row r="351" spans="1:8" x14ac:dyDescent="0.25">
      <c r="A351" s="1" t="str">
        <v>-_0000</v>
      </c>
      <c r="B351" s="1" t="str">
        <v>_</v>
      </c>
      <c r="C351" s="1" t="str">
        <v/>
      </c>
      <c r="D351" s="1" t="b">
        <v>0</v>
      </c>
      <c r="F351" s="25"/>
      <c r="G351" s="26"/>
      <c r="H351" s="27"/>
    </row>
    <row r="352" spans="1:8" x14ac:dyDescent="0.25">
      <c r="A352" s="1" t="str">
        <v>-_0000</v>
      </c>
      <c r="B352" s="1" t="str">
        <v>_</v>
      </c>
      <c r="C352" s="1" t="str">
        <v/>
      </c>
      <c r="D352" s="1" t="b">
        <v>0</v>
      </c>
      <c r="F352" s="25"/>
      <c r="G352" s="26"/>
      <c r="H352" s="27"/>
    </row>
    <row r="353" spans="1:8" x14ac:dyDescent="0.25">
      <c r="A353" s="1" t="str">
        <v>-_0000</v>
      </c>
      <c r="B353" s="1" t="str">
        <v>_</v>
      </c>
      <c r="C353" s="1" t="str">
        <v/>
      </c>
      <c r="D353" s="1" t="b">
        <v>0</v>
      </c>
      <c r="F353" s="25"/>
      <c r="G353" s="26"/>
      <c r="H353" s="27"/>
    </row>
    <row r="354" spans="1:8" x14ac:dyDescent="0.25">
      <c r="A354" s="1" t="str">
        <v>-_0000</v>
      </c>
      <c r="B354" s="1" t="str">
        <v>_</v>
      </c>
      <c r="C354" s="1" t="str">
        <v/>
      </c>
      <c r="D354" s="1" t="b">
        <v>0</v>
      </c>
      <c r="F354" s="25"/>
      <c r="G354" s="26"/>
      <c r="H354" s="27"/>
    </row>
    <row r="355" spans="1:8" x14ac:dyDescent="0.25">
      <c r="A355" s="1" t="str">
        <v>-_0000</v>
      </c>
      <c r="B355" s="1" t="str">
        <v>_</v>
      </c>
      <c r="C355" s="1" t="str">
        <v/>
      </c>
      <c r="D355" s="1" t="b">
        <v>0</v>
      </c>
      <c r="F355" s="25"/>
      <c r="G355" s="26"/>
      <c r="H355" s="27"/>
    </row>
    <row r="356" spans="1:8" x14ac:dyDescent="0.25">
      <c r="A356" s="1" t="str">
        <v>-_0000</v>
      </c>
      <c r="B356" s="1" t="str">
        <v>_</v>
      </c>
      <c r="C356" s="1" t="str">
        <v/>
      </c>
      <c r="D356" s="1" t="b">
        <v>0</v>
      </c>
      <c r="F356" s="25"/>
      <c r="G356" s="26"/>
      <c r="H356" s="27"/>
    </row>
    <row r="357" spans="1:8" x14ac:dyDescent="0.25">
      <c r="A357" s="1" t="str">
        <v>-_0000</v>
      </c>
      <c r="B357" s="1" t="str">
        <v>_</v>
      </c>
      <c r="C357" s="1" t="str">
        <v/>
      </c>
      <c r="D357" s="1" t="b">
        <v>0</v>
      </c>
      <c r="F357" s="25"/>
      <c r="G357" s="26"/>
      <c r="H357" s="27"/>
    </row>
    <row r="358" spans="1:8" x14ac:dyDescent="0.25">
      <c r="A358" s="1" t="str">
        <v>-_0000</v>
      </c>
      <c r="B358" s="1" t="str">
        <v>_</v>
      </c>
      <c r="C358" s="1" t="str">
        <v/>
      </c>
      <c r="D358" s="1" t="b">
        <v>0</v>
      </c>
      <c r="F358" s="25"/>
      <c r="G358" s="26"/>
      <c r="H358" s="27"/>
    </row>
    <row r="359" spans="1:8" x14ac:dyDescent="0.25">
      <c r="A359" s="1" t="str">
        <v>-_0000</v>
      </c>
      <c r="B359" s="1" t="str">
        <v>_</v>
      </c>
      <c r="C359" s="1" t="str">
        <v/>
      </c>
      <c r="D359" s="1" t="b">
        <v>0</v>
      </c>
      <c r="F359" s="25"/>
      <c r="G359" s="26"/>
      <c r="H359" s="27"/>
    </row>
    <row r="360" spans="1:8" x14ac:dyDescent="0.25">
      <c r="A360" s="1" t="str">
        <v>-_0000</v>
      </c>
      <c r="B360" s="1" t="str">
        <v>_</v>
      </c>
      <c r="C360" s="1" t="str">
        <v/>
      </c>
      <c r="D360" s="1" t="b">
        <v>0</v>
      </c>
      <c r="F360" s="25"/>
      <c r="G360" s="26"/>
      <c r="H360" s="27"/>
    </row>
    <row r="361" spans="1:8" x14ac:dyDescent="0.25">
      <c r="A361" s="1" t="str">
        <v>-_0000</v>
      </c>
      <c r="B361" s="1" t="str">
        <v>_</v>
      </c>
      <c r="C361" s="1" t="str">
        <v/>
      </c>
      <c r="D361" s="1" t="b">
        <v>0</v>
      </c>
      <c r="F361" s="25"/>
      <c r="G361" s="26"/>
      <c r="H361" s="27"/>
    </row>
    <row r="362" spans="1:8" x14ac:dyDescent="0.25">
      <c r="A362" s="1" t="str">
        <v>-_0000</v>
      </c>
      <c r="B362" s="1" t="str">
        <v>_</v>
      </c>
      <c r="C362" s="1" t="str">
        <v/>
      </c>
      <c r="D362" s="1" t="b">
        <v>0</v>
      </c>
      <c r="F362" s="25"/>
      <c r="G362" s="26"/>
      <c r="H362" s="27"/>
    </row>
    <row r="363" spans="1:8" x14ac:dyDescent="0.25">
      <c r="A363" s="1" t="str">
        <v>-_0000</v>
      </c>
      <c r="B363" s="1" t="str">
        <v>_</v>
      </c>
      <c r="C363" s="1" t="str">
        <v/>
      </c>
      <c r="D363" s="1" t="b">
        <v>0</v>
      </c>
      <c r="F363" s="25"/>
      <c r="G363" s="26"/>
      <c r="H363" s="27"/>
    </row>
    <row r="364" spans="1:8" x14ac:dyDescent="0.25">
      <c r="A364" s="1" t="str">
        <v>-_0000</v>
      </c>
      <c r="B364" s="1" t="str">
        <v>_</v>
      </c>
      <c r="C364" s="1" t="str">
        <v/>
      </c>
      <c r="D364" s="1" t="b">
        <v>0</v>
      </c>
      <c r="F364" s="25"/>
      <c r="G364" s="26"/>
      <c r="H364" s="27"/>
    </row>
    <row r="365" spans="1:8" x14ac:dyDescent="0.25">
      <c r="A365" s="1" t="str">
        <v>-_0000</v>
      </c>
      <c r="B365" s="1" t="str">
        <v>_</v>
      </c>
      <c r="C365" s="1" t="str">
        <v/>
      </c>
      <c r="D365" s="1" t="b">
        <v>0</v>
      </c>
      <c r="F365" s="25"/>
      <c r="G365" s="26"/>
      <c r="H365" s="27"/>
    </row>
    <row r="366" spans="1:8" x14ac:dyDescent="0.25">
      <c r="A366" s="1" t="str">
        <v>-_0000</v>
      </c>
      <c r="B366" s="1" t="str">
        <v>_</v>
      </c>
      <c r="C366" s="1" t="str">
        <v/>
      </c>
      <c r="D366" s="1" t="b">
        <v>0</v>
      </c>
      <c r="F366" s="25"/>
      <c r="G366" s="26"/>
      <c r="H366" s="27"/>
    </row>
    <row r="367" spans="1:8" x14ac:dyDescent="0.25">
      <c r="A367" s="1" t="str">
        <v>-_0000</v>
      </c>
      <c r="B367" s="1" t="str">
        <v>_</v>
      </c>
      <c r="C367" s="1" t="str">
        <v/>
      </c>
      <c r="D367" s="1" t="b">
        <v>0</v>
      </c>
      <c r="F367" s="25"/>
      <c r="G367" s="26"/>
      <c r="H367" s="27"/>
    </row>
    <row r="368" spans="1:8" x14ac:dyDescent="0.25">
      <c r="A368" s="1" t="str">
        <v>-_0000</v>
      </c>
      <c r="B368" s="1" t="str">
        <v>_</v>
      </c>
      <c r="C368" s="1" t="str">
        <v/>
      </c>
      <c r="D368" s="1" t="b">
        <v>0</v>
      </c>
      <c r="F368" s="25"/>
      <c r="G368" s="26"/>
      <c r="H368" s="27"/>
    </row>
    <row r="369" spans="1:8" x14ac:dyDescent="0.25">
      <c r="A369" s="1" t="str">
        <v>-_0000</v>
      </c>
      <c r="B369" s="1" t="str">
        <v>_</v>
      </c>
      <c r="C369" s="1" t="str">
        <v/>
      </c>
      <c r="D369" s="1" t="b">
        <v>0</v>
      </c>
      <c r="F369" s="25"/>
      <c r="G369" s="26"/>
      <c r="H369" s="27"/>
    </row>
    <row r="370" spans="1:8" x14ac:dyDescent="0.25">
      <c r="A370" s="1" t="str">
        <v>-_0000</v>
      </c>
      <c r="B370" s="1" t="str">
        <v>_</v>
      </c>
      <c r="C370" s="1" t="str">
        <v/>
      </c>
      <c r="D370" s="1" t="b">
        <v>0</v>
      </c>
      <c r="F370" s="25"/>
      <c r="G370" s="26"/>
      <c r="H370" s="27"/>
    </row>
    <row r="371" spans="1:8" x14ac:dyDescent="0.25">
      <c r="A371" s="1" t="str">
        <v>-_0000</v>
      </c>
      <c r="B371" s="1" t="str">
        <v>_</v>
      </c>
      <c r="C371" s="1" t="str">
        <v/>
      </c>
      <c r="D371" s="1" t="b">
        <v>0</v>
      </c>
      <c r="F371" s="25"/>
      <c r="G371" s="26"/>
      <c r="H371" s="27"/>
    </row>
    <row r="372" spans="1:8" x14ac:dyDescent="0.25">
      <c r="A372" s="1" t="str">
        <v>-_0000</v>
      </c>
      <c r="B372" s="1" t="str">
        <v>_</v>
      </c>
      <c r="C372" s="1" t="str">
        <v/>
      </c>
      <c r="D372" s="1" t="b">
        <v>0</v>
      </c>
      <c r="F372" s="25"/>
      <c r="G372" s="26"/>
      <c r="H372" s="27"/>
    </row>
    <row r="373" spans="1:8" x14ac:dyDescent="0.25">
      <c r="A373" s="1" t="str">
        <v>-_0000</v>
      </c>
      <c r="B373" s="1" t="str">
        <v>_</v>
      </c>
      <c r="C373" s="1" t="str">
        <v/>
      </c>
      <c r="D373" s="1" t="b">
        <v>0</v>
      </c>
      <c r="F373" s="25"/>
      <c r="G373" s="26"/>
      <c r="H373" s="27"/>
    </row>
    <row r="374" spans="1:8" x14ac:dyDescent="0.25">
      <c r="A374" s="1" t="str">
        <v>-_0000</v>
      </c>
      <c r="B374" s="1" t="str">
        <v>_</v>
      </c>
      <c r="C374" s="1" t="str">
        <v/>
      </c>
      <c r="D374" s="1" t="b">
        <v>0</v>
      </c>
      <c r="F374" s="25"/>
      <c r="G374" s="26"/>
      <c r="H374" s="27"/>
    </row>
    <row r="375" spans="1:8" x14ac:dyDescent="0.25">
      <c r="A375" s="1" t="str">
        <v>-_0000</v>
      </c>
      <c r="B375" s="1" t="str">
        <v>_</v>
      </c>
      <c r="C375" s="1" t="str">
        <v/>
      </c>
      <c r="D375" s="1" t="b">
        <v>0</v>
      </c>
      <c r="F375" s="25"/>
      <c r="G375" s="26"/>
      <c r="H375" s="27"/>
    </row>
    <row r="376" spans="1:8" x14ac:dyDescent="0.25">
      <c r="A376" s="1" t="str">
        <v>-_0000</v>
      </c>
      <c r="B376" s="1" t="str">
        <v>_</v>
      </c>
      <c r="C376" s="1" t="str">
        <v/>
      </c>
      <c r="D376" s="1" t="b">
        <v>0</v>
      </c>
      <c r="F376" s="25"/>
      <c r="G376" s="26"/>
      <c r="H376" s="27"/>
    </row>
    <row r="377" spans="1:8" x14ac:dyDescent="0.25">
      <c r="A377" s="1" t="str">
        <v>-_0000</v>
      </c>
      <c r="B377" s="1" t="str">
        <v>_</v>
      </c>
      <c r="C377" s="1" t="str">
        <v/>
      </c>
      <c r="D377" s="1" t="b">
        <v>0</v>
      </c>
      <c r="F377" s="25"/>
      <c r="G377" s="26"/>
      <c r="H377" s="27"/>
    </row>
    <row r="378" spans="1:8" x14ac:dyDescent="0.25">
      <c r="A378" s="1" t="str">
        <v>-_0000</v>
      </c>
      <c r="B378" s="1" t="str">
        <v>_</v>
      </c>
      <c r="C378" s="1" t="str">
        <v/>
      </c>
      <c r="D378" s="1" t="b">
        <v>0</v>
      </c>
      <c r="F378" s="25"/>
      <c r="G378" s="26"/>
      <c r="H378" s="27"/>
    </row>
    <row r="379" spans="1:8" x14ac:dyDescent="0.25">
      <c r="A379" s="1" t="str">
        <v>-_0000</v>
      </c>
      <c r="B379" s="1" t="str">
        <v>_</v>
      </c>
      <c r="C379" s="1" t="str">
        <v/>
      </c>
      <c r="D379" s="1" t="b">
        <v>0</v>
      </c>
      <c r="F379" s="25"/>
      <c r="G379" s="26"/>
      <c r="H379" s="27"/>
    </row>
    <row r="380" spans="1:8" x14ac:dyDescent="0.25">
      <c r="A380" s="1" t="str">
        <v>-_0000</v>
      </c>
      <c r="B380" s="1" t="str">
        <v>_</v>
      </c>
      <c r="C380" s="1" t="str">
        <v/>
      </c>
      <c r="D380" s="1" t="b">
        <v>0</v>
      </c>
      <c r="F380" s="25"/>
      <c r="G380" s="26"/>
      <c r="H380" s="27"/>
    </row>
    <row r="381" spans="1:8" x14ac:dyDescent="0.25">
      <c r="A381" s="1" t="str">
        <v>-_0000</v>
      </c>
      <c r="B381" s="1" t="str">
        <v>_</v>
      </c>
      <c r="C381" s="1" t="str">
        <v/>
      </c>
      <c r="D381" s="1" t="b">
        <v>0</v>
      </c>
      <c r="F381" s="25"/>
      <c r="G381" s="26"/>
      <c r="H381" s="27"/>
    </row>
    <row r="382" spans="1:8" x14ac:dyDescent="0.25">
      <c r="A382" s="1" t="str">
        <v>-_0000</v>
      </c>
      <c r="B382" s="1" t="str">
        <v>_</v>
      </c>
      <c r="C382" s="1" t="str">
        <v/>
      </c>
      <c r="D382" s="1" t="b">
        <v>0</v>
      </c>
      <c r="F382" s="25"/>
      <c r="G382" s="26"/>
      <c r="H382" s="27"/>
    </row>
    <row r="383" spans="1:8" x14ac:dyDescent="0.25">
      <c r="A383" s="1" t="str">
        <v>-_0000</v>
      </c>
      <c r="B383" s="1" t="str">
        <v>_</v>
      </c>
      <c r="C383" s="1" t="str">
        <v/>
      </c>
      <c r="D383" s="1" t="b">
        <v>0</v>
      </c>
      <c r="F383" s="25"/>
      <c r="G383" s="26"/>
      <c r="H383" s="27"/>
    </row>
    <row r="384" spans="1:8" x14ac:dyDescent="0.25">
      <c r="A384" s="1" t="str">
        <v>-_0000</v>
      </c>
      <c r="B384" s="1" t="str">
        <v>_</v>
      </c>
      <c r="C384" s="1" t="str">
        <v/>
      </c>
      <c r="D384" s="1" t="b">
        <v>0</v>
      </c>
      <c r="F384" s="25"/>
      <c r="G384" s="26"/>
      <c r="H384" s="27"/>
    </row>
  </sheetData>
  <sheetProtection sheet="1" objects="1" scenarios="1"/>
  <phoneticPr fontId="1" type="noConversion"/>
  <conditionalFormatting sqref="F2:H384">
    <cfRule type="expression" dxfId="103" priority="1">
      <formula>COUNTIFS($F$2:$F$384,$F2,$G$2:$G$384,$G2,$H$2:$H$384,$H2)&gt;1</formula>
    </cfRule>
    <cfRule type="expression" dxfId="102" priority="3">
      <formula>$D2</formula>
    </cfRule>
  </conditionalFormatting>
  <conditionalFormatting sqref="K2:K16">
    <cfRule type="duplicateValues" dxfId="101" priority="2"/>
  </conditionalFormatting>
  <dataValidations count="3">
    <dataValidation type="whole" operator="greaterThan" allowBlank="1" showInputMessage="1" showErrorMessage="1" sqref="H2:H384" xr:uid="{3A1716AB-22E7-417C-816E-817899553806}">
      <formula1>0</formula1>
    </dataValidation>
    <dataValidation type="list" allowBlank="1" showInputMessage="1" showErrorMessage="1" sqref="F2:F384" xr:uid="{BC6B1085-1F13-4333-9EF7-C163AD2FBDC4}">
      <formula1>$K$2:$K$15</formula1>
    </dataValidation>
    <dataValidation type="list" allowBlank="1" showInputMessage="1" showErrorMessage="1" sqref="G2:G384" xr:uid="{1BAEC167-C6A0-4EBB-97BB-C6C31AEE1386}">
      <formula1>$P$2:$P$8</formula1>
    </dataValidation>
  </dataValidation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BD05-9F48-46C6-994F-047C304F659C}">
  <sheetPr codeName="Sheet3"/>
  <dimension ref="A1:EO87"/>
  <sheetViews>
    <sheetView showGridLines="0" zoomScale="175" zoomScaleNormal="175" workbookViewId="0">
      <pane xSplit="7" ySplit="7" topLeftCell="H8" activePane="bottomRight" state="frozen"/>
      <selection activeCell="E1" sqref="E1"/>
      <selection pane="topRight" activeCell="G1" sqref="G1"/>
      <selection pane="bottomLeft" activeCell="E8" sqref="E8"/>
      <selection pane="bottomRight" activeCell="N15" sqref="N15"/>
    </sheetView>
  </sheetViews>
  <sheetFormatPr defaultRowHeight="15" x14ac:dyDescent="0.25"/>
  <cols>
    <col min="1" max="1" width="3.28515625" hidden="1" customWidth="1"/>
    <col min="2" max="2" width="8.85546875" style="5" hidden="1" customWidth="1"/>
    <col min="3" max="3" width="12.5703125" hidden="1" customWidth="1"/>
    <col min="4" max="4" width="8.7109375" hidden="1" customWidth="1"/>
    <col min="5" max="6" width="7.7109375" hidden="1" customWidth="1"/>
    <col min="7" max="7" width="11" bestFit="1" customWidth="1"/>
    <col min="8" max="8" width="12.85546875" customWidth="1"/>
    <col min="9" max="9" width="12.42578125" customWidth="1"/>
    <col min="10" max="10" width="10.5703125" customWidth="1"/>
    <col min="11" max="12" width="2.42578125" customWidth="1"/>
    <col min="13" max="13" width="9.28515625" customWidth="1"/>
    <col min="14" max="14" width="11.28515625" bestFit="1" customWidth="1"/>
    <col min="15" max="15" width="5.42578125" bestFit="1" customWidth="1"/>
    <col min="16" max="16" width="5.28515625" customWidth="1"/>
    <col min="17" max="17" width="7.85546875" customWidth="1"/>
    <col min="18" max="18" width="2.42578125" customWidth="1"/>
    <col min="19" max="19" width="6.85546875" customWidth="1"/>
    <col min="20" max="20" width="6.7109375" bestFit="1" customWidth="1"/>
    <col min="21" max="21" width="6.7109375" customWidth="1"/>
    <col min="22" max="23" width="7.42578125" customWidth="1"/>
    <col min="24" max="29" width="12.5703125" customWidth="1"/>
    <col min="30" max="30" width="7.5703125" hidden="1" customWidth="1"/>
    <col min="31" max="31" width="10" hidden="1" customWidth="1"/>
    <col min="32" max="32" width="5.28515625" hidden="1" customWidth="1"/>
    <col min="33" max="33" width="9.140625" hidden="1" customWidth="1"/>
    <col min="34" max="34" width="41.5703125" hidden="1" customWidth="1"/>
    <col min="35" max="40" width="9.140625" hidden="1" customWidth="1"/>
    <col min="41" max="41" width="7.5703125" hidden="1" customWidth="1"/>
    <col min="42" max="42" width="8.7109375" hidden="1" customWidth="1"/>
    <col min="43" max="145" width="9.140625" hidden="1" customWidth="1"/>
    <col min="146" max="294" width="9.140625" customWidth="1"/>
  </cols>
  <sheetData>
    <row r="1" spans="2:145" ht="20.25" customHeight="1" x14ac:dyDescent="0.3">
      <c r="B1" s="5" cm="1">
        <f t="array" aca="1" ref="B1:B2" ca="1">_xlfn.SEQUENCE(2,,TODAY(),-1)</f>
        <v>46249</v>
      </c>
      <c r="C1" t="str" cm="1">
        <f t="array" ref="C1:C2">_xlfn._xlws.FILTER(Location[Sampling House],Location[Sector]=$H$3)</f>
        <v>SH_01</v>
      </c>
      <c r="D1" t="str" cm="1">
        <f t="array" ref="D1:D36">_xlfn.UNIQUE(_xlfn._xlws.FILTER(Pile_area[stockpile],(Pile_area[sector]=Regist!$H$3)))</f>
        <v>BR-C_02</v>
      </c>
      <c r="G1" s="8" t="s">
        <v>113</v>
      </c>
      <c r="H1" s="75">
        <v>46211</v>
      </c>
      <c r="I1" s="76" t="s">
        <v>2580</v>
      </c>
      <c r="AC1" t="s">
        <v>2552</v>
      </c>
      <c r="AH1" t="str" cm="1">
        <f t="array" ref="AH1:AM12">_xlfn.LET( _xlpm.dy, "_Date/Shift: " &amp; TEXT(Date, "dd-mmm-yy") &amp;" / "&amp; Shift &amp;"_",
     _xlpm.week, "_Week: " &amp; _xlfn.ISOWEEKNUM(Date) &amp;"_",
     _xlpm.emp, _xlfn.HSTACK(_xlfn.VSTACK(IF(Person[NIK]&gt;0, ""),Person4[Job]), _xlfn.VSTACK(Person[NIK],Person4[NIK]), _xlfn.VSTACK(_xlfn.ANCHORARRAY($H$8),_xlfn.ANCHORARRAY($I$19))),
            _xlpm.pic,  _xlfn._xlws.FILTER(_xlpm.emp, _xlfn.DROP(_xlpm.emp,,2)&lt;&gt;""),
            _xlpm.dt, _xlfn.HSTACK(Date,Shift,$H$3&amp;"/"&amp;$H$5),
            _xlpm.pic_t, {"_*Date","Shift","Location","Job Desk","NIK","Name*_"},
            _xlpm.pic_v, _xlfn.HSTACK(IF(_xlfn.DROP(_xlpm.pic,,2)&gt;0, _xlpm.dt,""), _xlpm.pic),
            _xlpm.ttl, _xlfn.IFNA(_xlfn.VSTACK(_xlfn.VSTACK({"_Dear All,_";"*DAILY ORE QUALITY ASSURANCE REPORT*"},"_*-- Ore &amp; Sample Production --*_",_xlpm.dy, _xlpm.week),"","*MANPOWER:*",_xlpm.pic_t,_xlpm.pic_v,""),""),
            _xlpm.ttl)</f>
        <v>_Dear All,_</v>
      </c>
      <c r="AI1" t="str">
        <v/>
      </c>
      <c r="AJ1" t="str">
        <v/>
      </c>
      <c r="AK1" t="str">
        <v/>
      </c>
      <c r="AL1" t="str">
        <v/>
      </c>
      <c r="AM1" t="str">
        <v/>
      </c>
      <c r="DC1" t="s">
        <v>2552</v>
      </c>
      <c r="EO1" t="s">
        <v>2552</v>
      </c>
    </row>
    <row r="2" spans="2:145" ht="3" customHeight="1" x14ac:dyDescent="0.25">
      <c r="B2" s="5">
        <f ca="1"/>
        <v>46248</v>
      </c>
      <c r="C2" t="str">
        <v>SHT/C01</v>
      </c>
      <c r="D2" t="str">
        <v>BR-C_03</v>
      </c>
      <c r="G2" s="4"/>
      <c r="H2" s="4"/>
      <c r="I2" s="4"/>
      <c r="K2" s="4"/>
      <c r="L2" s="4"/>
      <c r="M2" s="4"/>
      <c r="N2" s="4"/>
      <c r="O2" s="4"/>
      <c r="P2" s="4"/>
      <c r="Q2" s="4"/>
      <c r="R2" s="4"/>
      <c r="AH2" t="str">
        <v>*DAILY ORE QUALITY ASSURANCE REPORT*</v>
      </c>
      <c r="AI2" t="str">
        <v/>
      </c>
      <c r="AJ2" t="str">
        <v/>
      </c>
      <c r="AK2" t="str">
        <v/>
      </c>
      <c r="AL2" t="str">
        <v/>
      </c>
      <c r="AM2" t="str">
        <v/>
      </c>
    </row>
    <row r="3" spans="2:145" ht="19.5" customHeight="1" x14ac:dyDescent="0.3">
      <c r="D3" t="str">
        <v>BR-C_04</v>
      </c>
      <c r="G3" s="7" t="s">
        <v>111</v>
      </c>
      <c r="H3" s="74" t="s">
        <v>102</v>
      </c>
      <c r="AH3" t="str">
        <v>_*-- Ore &amp; Sample Production --*_</v>
      </c>
      <c r="AI3" t="str">
        <v/>
      </c>
      <c r="AJ3" t="str">
        <v/>
      </c>
      <c r="AK3" t="str">
        <v/>
      </c>
      <c r="AL3" t="str">
        <v/>
      </c>
      <c r="AM3" t="str">
        <v/>
      </c>
    </row>
    <row r="4" spans="2:145" ht="3.75" customHeight="1" x14ac:dyDescent="0.25">
      <c r="D4" t="str">
        <v>BR-C_06</v>
      </c>
      <c r="G4" s="4"/>
      <c r="H4" s="4"/>
      <c r="I4" s="4"/>
      <c r="K4" s="4"/>
      <c r="L4" s="4"/>
      <c r="M4" s="4"/>
      <c r="N4" s="4"/>
      <c r="O4" s="4"/>
      <c r="P4" s="4"/>
      <c r="Q4" s="4"/>
      <c r="R4" s="4"/>
      <c r="S4" s="4"/>
      <c r="AH4" t="str">
        <v>_Date/Shift: 08-Jul-26 / D_</v>
      </c>
      <c r="AI4" t="str">
        <v/>
      </c>
      <c r="AJ4" t="str">
        <v/>
      </c>
      <c r="AK4" t="str">
        <v/>
      </c>
      <c r="AL4" t="str">
        <v/>
      </c>
      <c r="AM4" t="str">
        <v/>
      </c>
    </row>
    <row r="5" spans="2:145" ht="19.5" customHeight="1" x14ac:dyDescent="0.3">
      <c r="D5" t="str">
        <v>BR-C_12</v>
      </c>
      <c r="G5" s="9" t="s">
        <v>112</v>
      </c>
      <c r="H5" s="108" t="s">
        <v>110</v>
      </c>
      <c r="I5" s="108"/>
      <c r="M5" s="109" t="s">
        <v>2476</v>
      </c>
      <c r="N5" s="109"/>
      <c r="O5" s="109"/>
      <c r="P5" s="109"/>
      <c r="Q5" s="109"/>
      <c r="AH5" t="str">
        <v>_Week: 28_</v>
      </c>
      <c r="AI5" t="str">
        <v/>
      </c>
      <c r="AJ5" t="str">
        <v/>
      </c>
      <c r="AK5" t="str">
        <v/>
      </c>
      <c r="AL5" t="str">
        <v/>
      </c>
      <c r="AM5" t="str">
        <v/>
      </c>
    </row>
    <row r="6" spans="2:145" ht="3" customHeight="1" x14ac:dyDescent="0.25">
      <c r="D6" t="str">
        <v>C_02</v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</row>
    <row r="7" spans="2:145" x14ac:dyDescent="0.25">
      <c r="D7" t="str">
        <v>C_03</v>
      </c>
      <c r="G7" s="17" t="s">
        <v>20</v>
      </c>
      <c r="H7" s="6" t="s">
        <v>109</v>
      </c>
      <c r="I7" s="6"/>
      <c r="M7" s="19" t="s">
        <v>101</v>
      </c>
      <c r="N7" s="19" t="s">
        <v>2450</v>
      </c>
      <c r="O7" s="19" t="s">
        <v>2451</v>
      </c>
      <c r="P7" s="19" t="s">
        <v>2474</v>
      </c>
      <c r="Q7" s="19" t="s">
        <v>2550</v>
      </c>
      <c r="AH7" t="str">
        <v>*MANPOWER:*</v>
      </c>
      <c r="AI7" t="str">
        <v/>
      </c>
      <c r="AJ7" t="str">
        <v/>
      </c>
      <c r="AK7" t="str">
        <v/>
      </c>
      <c r="AL7" t="str">
        <v/>
      </c>
      <c r="AM7" t="str">
        <v/>
      </c>
    </row>
    <row r="8" spans="2:145" s="11" customFormat="1" ht="18" customHeight="1" x14ac:dyDescent="0.25">
      <c r="B8" s="10"/>
      <c r="D8" s="11" t="str">
        <v>C_04</v>
      </c>
      <c r="G8" s="40" t="s">
        <v>2498</v>
      </c>
      <c r="H8" s="41" t="str" cm="1">
        <f t="array" ref="H8:H16">IF(Person[NIK]="","",_xlfn.XLOOKUP(Person[NIK],Emply_Staff[NIK],Emply_Staff[Name]))</f>
        <v>Raharjo Rahman</v>
      </c>
      <c r="I8" s="41"/>
      <c r="M8" s="23" t="s">
        <v>867</v>
      </c>
      <c r="N8" s="23" t="s">
        <v>947</v>
      </c>
      <c r="O8" s="24">
        <v>53</v>
      </c>
      <c r="P8" s="30">
        <v>8</v>
      </c>
      <c r="Q8" s="81" t="s">
        <v>2581</v>
      </c>
      <c r="AD8" s="11" t="str" cm="1">
        <f t="array" ref="AD8:AD35">IF(Sample_Pending[Pile_ID]="","",_xlfn.XLOOKUP(Sample_Pending[Pile_ID],Pile_area[pile_id],Pile_area[Ore]))</f>
        <v>SAP</v>
      </c>
      <c r="AE8" s="11" t="str" cm="1">
        <f t="array" ref="AE8:AE87">IF(Front_Des[Front No]&gt;0,Front_Des[Sector]&amp;"/"&amp;TEXT(Front_Des[Front No],"00"),"")</f>
        <v>BR1/01</v>
      </c>
      <c r="AF8" s="11" cm="1">
        <f t="array" ref="AF8:AF87">IF(_xlfn.ANCHORARRAY($AE$8)="","",COUNTIF(_xlfn.ANCHORARRAY($AE$8),_xlfn.ANCHORARRAY($AE$8)))</f>
        <v>1</v>
      </c>
      <c r="AH8" s="11" t="str">
        <v>_*Date</v>
      </c>
      <c r="AI8" s="11" t="str">
        <v>Shift</v>
      </c>
      <c r="AJ8" s="11" t="str">
        <v>Location</v>
      </c>
      <c r="AK8" s="11" t="str">
        <v>Job Desk</v>
      </c>
      <c r="AL8" s="11" t="str">
        <v>NIK</v>
      </c>
      <c r="AM8" s="11" t="str">
        <v>Name*_</v>
      </c>
      <c r="AO8" s="11" t="str" cm="1">
        <f t="array" ref="AO8:EC35">_xlfn.DROP(_xlfn.REDUCE("", (Sample_Pending[Stockpile]), _xlfn.LAMBDA(_xlpm.matriks,_xlpm.p, _xlfn.VSTACK(_xlpm.matriks, _xlfn.TOROW(IFERROR(_xlfn.UNIQUE(_xlfn._xlws.SORT(_xlfn._xlws.FILTER(Pile_area[pile_id], (Pile_area[stockpile] = _xlpm.p)*(Pile_area[pile_id]&gt;0)))), ""))))), 1)</f>
        <v>S5_01</v>
      </c>
      <c r="AP8" s="11" t="str">
        <v>S5_06</v>
      </c>
      <c r="AQ8" s="11" t="str">
        <v>S5_06_02A</v>
      </c>
      <c r="AR8" s="11" t="str">
        <v>S5_07</v>
      </c>
      <c r="AS8" s="11" t="str">
        <v>S5_12_02</v>
      </c>
      <c r="AT8" s="11" t="str">
        <v>S5_13</v>
      </c>
      <c r="AU8" s="11" t="str">
        <v>S5_14</v>
      </c>
      <c r="AV8" s="11" t="str">
        <v>S5_15</v>
      </c>
      <c r="AW8" s="11" t="str">
        <v>S5_16</v>
      </c>
      <c r="AX8" s="11" t="str">
        <v>S5_17</v>
      </c>
      <c r="AY8" s="11" t="str">
        <v>S5_18</v>
      </c>
      <c r="AZ8" s="11" t="str">
        <v>S5_19</v>
      </c>
      <c r="BA8" s="11" t="str">
        <v>S5_20</v>
      </c>
      <c r="BB8" s="11" t="str">
        <v>S5_21</v>
      </c>
      <c r="BC8" s="11" t="str">
        <v>S5_22</v>
      </c>
      <c r="BD8" s="11" t="str">
        <v>S5_23</v>
      </c>
      <c r="BE8" s="11" t="str">
        <v>S5_24</v>
      </c>
      <c r="BF8" s="11" t="str">
        <v>S5_25</v>
      </c>
      <c r="BG8" s="11" t="str">
        <v>S5_26</v>
      </c>
      <c r="BH8" s="11" t="str">
        <v>S5_27</v>
      </c>
      <c r="BI8" s="11" t="str">
        <v>S5_28</v>
      </c>
      <c r="BJ8" s="11" t="str">
        <v>S5_29</v>
      </c>
      <c r="BK8" s="11" t="str">
        <v>S5_30</v>
      </c>
      <c r="BL8" s="11" t="str">
        <v>S5_31</v>
      </c>
      <c r="BM8" s="11" t="str">
        <v>S5_32</v>
      </c>
      <c r="BN8" s="11" t="str">
        <v>S5_33</v>
      </c>
      <c r="BO8" s="11" t="str">
        <v>S5_34</v>
      </c>
      <c r="BP8" s="11" t="str">
        <v>S5_35</v>
      </c>
      <c r="BQ8" s="11" t="str">
        <v>S5_36</v>
      </c>
      <c r="BR8" s="11" t="str">
        <v>S5_37</v>
      </c>
      <c r="BS8" s="11" t="str">
        <v>S5_38</v>
      </c>
      <c r="BT8" s="11" t="str">
        <v>S5_39</v>
      </c>
      <c r="BU8" s="11" t="str">
        <v>S5_40</v>
      </c>
      <c r="BV8" s="11" t="str">
        <v>S5_41</v>
      </c>
      <c r="BW8" s="11" t="str">
        <v>S5_42</v>
      </c>
      <c r="BX8" s="11" t="str">
        <v>S5_43</v>
      </c>
      <c r="BY8" s="11" t="str">
        <v>S5_44</v>
      </c>
      <c r="BZ8" s="11" t="str">
        <v>S5_45</v>
      </c>
      <c r="CA8" s="11" t="str">
        <v>S5_46</v>
      </c>
      <c r="CB8" s="11" t="str">
        <v>S5_47</v>
      </c>
      <c r="CC8" s="11" t="str">
        <v>S5_48</v>
      </c>
      <c r="CD8" s="11" t="str">
        <v>S5_49</v>
      </c>
      <c r="CE8" s="11" t="str">
        <v>S5_50</v>
      </c>
      <c r="CF8" s="11" t="str">
        <v>S5_51</v>
      </c>
      <c r="CG8" s="11" t="str">
        <v>S5_52</v>
      </c>
      <c r="CH8" s="11" t="str">
        <v>S5_53</v>
      </c>
      <c r="CI8" s="11" t="str">
        <v>S5_54</v>
      </c>
      <c r="CJ8" s="11" t="str">
        <v>S5_55</v>
      </c>
      <c r="CK8" s="11" t="str">
        <v>S5_56</v>
      </c>
      <c r="CL8" s="11" t="str">
        <v>S5_57</v>
      </c>
      <c r="CM8" s="11" t="str">
        <v>S5_58</v>
      </c>
      <c r="CN8" s="11" t="str">
        <v>S5_59</v>
      </c>
      <c r="CO8" s="11" t="str">
        <v>S5_60</v>
      </c>
      <c r="CP8" s="11" t="str">
        <v>S5_61</v>
      </c>
      <c r="CQ8" s="11" t="str">
        <v>S5_62</v>
      </c>
      <c r="CR8" s="11" t="str">
        <v>S5_63</v>
      </c>
      <c r="CS8" s="11" t="str">
        <v>S5_64</v>
      </c>
      <c r="CT8" s="11" t="str">
        <v>S5_65</v>
      </c>
      <c r="CU8" s="11" t="str">
        <v>S5_66</v>
      </c>
      <c r="CV8" s="11" t="str">
        <v>S5_67</v>
      </c>
      <c r="CW8" s="11" t="str">
        <v>S5_68</v>
      </c>
      <c r="CX8" s="11" t="str">
        <v>S5_69</v>
      </c>
      <c r="CY8" s="11" t="str">
        <v>S5_70</v>
      </c>
      <c r="CZ8" s="11" t="str">
        <v>S5_71</v>
      </c>
      <c r="DA8" s="11" t="str">
        <v>S5_72</v>
      </c>
      <c r="DB8" s="11" t="str">
        <v>S5_73</v>
      </c>
      <c r="DC8" s="11" t="str">
        <v>S5_74</v>
      </c>
      <c r="DD8" s="11" t="str">
        <v>S5_75</v>
      </c>
      <c r="DE8" s="11" t="str">
        <v>S5_76</v>
      </c>
      <c r="DF8" s="11" t="str">
        <v>S5_77</v>
      </c>
      <c r="DG8" s="11" t="str">
        <v>S5_79</v>
      </c>
      <c r="DH8" s="11" t="str">
        <v>S5_80</v>
      </c>
      <c r="DI8" s="11" t="str">
        <v>S5_81</v>
      </c>
      <c r="DJ8" s="11" t="str">
        <v>S5_82</v>
      </c>
      <c r="DK8" s="11" t="str">
        <v>S5_83</v>
      </c>
      <c r="DL8" s="11" t="str">
        <v>S5_84</v>
      </c>
      <c r="DM8" s="11" t="str">
        <v>S5_85</v>
      </c>
      <c r="DN8" s="11" t="str">
        <v>S5_86</v>
      </c>
      <c r="DO8" s="11" t="str">
        <v>S5_87</v>
      </c>
      <c r="DP8" s="11" t="str">
        <v>S5_88</v>
      </c>
      <c r="DQ8" s="11" t="str">
        <v>S5_89</v>
      </c>
      <c r="DR8" s="11" t="str">
        <v>S5_90</v>
      </c>
      <c r="DS8" s="11" t="str">
        <v>S5_91</v>
      </c>
      <c r="DT8" s="11" t="str">
        <v>S5_92</v>
      </c>
      <c r="DU8" s="11" t="str">
        <v>S5_93</v>
      </c>
      <c r="DV8" s="11" t="str">
        <v>S5_L01</v>
      </c>
      <c r="DW8" s="11" t="str">
        <v>S5_L02</v>
      </c>
      <c r="DX8" s="11" t="str">
        <v>S5_L03</v>
      </c>
      <c r="DY8" s="11" t="str">
        <v>S5_L04</v>
      </c>
      <c r="DZ8" s="11" t="str">
        <v>S5_L05</v>
      </c>
      <c r="EA8" s="11" t="str">
        <v>S5_L06</v>
      </c>
      <c r="EB8" s="11" t="str">
        <v>S5_L07</v>
      </c>
      <c r="EC8" s="11" t="str">
        <v>S5_L08</v>
      </c>
    </row>
    <row r="9" spans="2:145" s="11" customFormat="1" ht="18" customHeight="1" x14ac:dyDescent="0.25">
      <c r="B9" s="10"/>
      <c r="D9" s="11" t="str">
        <v>C_05</v>
      </c>
      <c r="G9" s="42" t="s">
        <v>2516</v>
      </c>
      <c r="H9" s="41" t="str">
        <v>Wahyudin Madilao</v>
      </c>
      <c r="I9" s="41"/>
      <c r="M9" s="23" t="s">
        <v>867</v>
      </c>
      <c r="N9" s="23" t="s">
        <v>947</v>
      </c>
      <c r="O9" s="24">
        <v>68</v>
      </c>
      <c r="P9" s="30">
        <v>16</v>
      </c>
      <c r="Q9" s="81" t="s">
        <v>2581</v>
      </c>
      <c r="AD9" s="11" t="str">
        <v>SAP</v>
      </c>
      <c r="AE9" s="11" t="str">
        <v>BR1/02</v>
      </c>
      <c r="AF9" s="11">
        <v>1</v>
      </c>
      <c r="AH9" s="11">
        <v>46211</v>
      </c>
      <c r="AI9" s="11" t="str">
        <v>D</v>
      </c>
      <c r="AJ9" s="11" t="str">
        <v>BR1/SH_01</v>
      </c>
      <c r="AK9" s="11" t="str">
        <v/>
      </c>
      <c r="AL9" s="11" t="str">
        <v>SCM0333</v>
      </c>
      <c r="AM9" s="11" t="str">
        <v>Raharjo Rahman</v>
      </c>
      <c r="AO9" s="11" t="str">
        <v>S5_01</v>
      </c>
      <c r="AP9" s="11" t="str">
        <v>S5_06</v>
      </c>
      <c r="AQ9" s="11" t="str">
        <v>S5_06_02A</v>
      </c>
      <c r="AR9" s="11" t="str">
        <v>S5_07</v>
      </c>
      <c r="AS9" s="11" t="str">
        <v>S5_12_02</v>
      </c>
      <c r="AT9" s="11" t="str">
        <v>S5_13</v>
      </c>
      <c r="AU9" s="11" t="str">
        <v>S5_14</v>
      </c>
      <c r="AV9" s="11" t="str">
        <v>S5_15</v>
      </c>
      <c r="AW9" s="11" t="str">
        <v>S5_16</v>
      </c>
      <c r="AX9" s="11" t="str">
        <v>S5_17</v>
      </c>
      <c r="AY9" s="11" t="str">
        <v>S5_18</v>
      </c>
      <c r="AZ9" s="11" t="str">
        <v>S5_19</v>
      </c>
      <c r="BA9" s="11" t="str">
        <v>S5_20</v>
      </c>
      <c r="BB9" s="11" t="str">
        <v>S5_21</v>
      </c>
      <c r="BC9" s="11" t="str">
        <v>S5_22</v>
      </c>
      <c r="BD9" s="11" t="str">
        <v>S5_23</v>
      </c>
      <c r="BE9" s="11" t="str">
        <v>S5_24</v>
      </c>
      <c r="BF9" s="11" t="str">
        <v>S5_25</v>
      </c>
      <c r="BG9" s="11" t="str">
        <v>S5_26</v>
      </c>
      <c r="BH9" s="11" t="str">
        <v>S5_27</v>
      </c>
      <c r="BI9" s="11" t="str">
        <v>S5_28</v>
      </c>
      <c r="BJ9" s="11" t="str">
        <v>S5_29</v>
      </c>
      <c r="BK9" s="11" t="str">
        <v>S5_30</v>
      </c>
      <c r="BL9" s="11" t="str">
        <v>S5_31</v>
      </c>
      <c r="BM9" s="11" t="str">
        <v>S5_32</v>
      </c>
      <c r="BN9" s="11" t="str">
        <v>S5_33</v>
      </c>
      <c r="BO9" s="11" t="str">
        <v>S5_34</v>
      </c>
      <c r="BP9" s="11" t="str">
        <v>S5_35</v>
      </c>
      <c r="BQ9" s="11" t="str">
        <v>S5_36</v>
      </c>
      <c r="BR9" s="11" t="str">
        <v>S5_37</v>
      </c>
      <c r="BS9" s="11" t="str">
        <v>S5_38</v>
      </c>
      <c r="BT9" s="11" t="str">
        <v>S5_39</v>
      </c>
      <c r="BU9" s="11" t="str">
        <v>S5_40</v>
      </c>
      <c r="BV9" s="11" t="str">
        <v>S5_41</v>
      </c>
      <c r="BW9" s="11" t="str">
        <v>S5_42</v>
      </c>
      <c r="BX9" s="11" t="str">
        <v>S5_43</v>
      </c>
      <c r="BY9" s="11" t="str">
        <v>S5_44</v>
      </c>
      <c r="BZ9" s="11" t="str">
        <v>S5_45</v>
      </c>
      <c r="CA9" s="11" t="str">
        <v>S5_46</v>
      </c>
      <c r="CB9" s="11" t="str">
        <v>S5_47</v>
      </c>
      <c r="CC9" s="11" t="str">
        <v>S5_48</v>
      </c>
      <c r="CD9" s="11" t="str">
        <v>S5_49</v>
      </c>
      <c r="CE9" s="11" t="str">
        <v>S5_50</v>
      </c>
      <c r="CF9" s="11" t="str">
        <v>S5_51</v>
      </c>
      <c r="CG9" s="11" t="str">
        <v>S5_52</v>
      </c>
      <c r="CH9" s="11" t="str">
        <v>S5_53</v>
      </c>
      <c r="CI9" s="11" t="str">
        <v>S5_54</v>
      </c>
      <c r="CJ9" s="11" t="str">
        <v>S5_55</v>
      </c>
      <c r="CK9" s="11" t="str">
        <v>S5_56</v>
      </c>
      <c r="CL9" s="11" t="str">
        <v>S5_57</v>
      </c>
      <c r="CM9" s="11" t="str">
        <v>S5_58</v>
      </c>
      <c r="CN9" s="11" t="str">
        <v>S5_59</v>
      </c>
      <c r="CO9" s="11" t="str">
        <v>S5_60</v>
      </c>
      <c r="CP9" s="11" t="str">
        <v>S5_61</v>
      </c>
      <c r="CQ9" s="11" t="str">
        <v>S5_62</v>
      </c>
      <c r="CR9" s="11" t="str">
        <v>S5_63</v>
      </c>
      <c r="CS9" s="11" t="str">
        <v>S5_64</v>
      </c>
      <c r="CT9" s="11" t="str">
        <v>S5_65</v>
      </c>
      <c r="CU9" s="11" t="str">
        <v>S5_66</v>
      </c>
      <c r="CV9" s="11" t="str">
        <v>S5_67</v>
      </c>
      <c r="CW9" s="11" t="str">
        <v>S5_68</v>
      </c>
      <c r="CX9" s="11" t="str">
        <v>S5_69</v>
      </c>
      <c r="CY9" s="11" t="str">
        <v>S5_70</v>
      </c>
      <c r="CZ9" s="11" t="str">
        <v>S5_71</v>
      </c>
      <c r="DA9" s="11" t="str">
        <v>S5_72</v>
      </c>
      <c r="DB9" s="11" t="str">
        <v>S5_73</v>
      </c>
      <c r="DC9" s="11" t="str">
        <v>S5_74</v>
      </c>
      <c r="DD9" s="11" t="str">
        <v>S5_75</v>
      </c>
      <c r="DE9" s="11" t="str">
        <v>S5_76</v>
      </c>
      <c r="DF9" s="11" t="str">
        <v>S5_77</v>
      </c>
      <c r="DG9" s="11" t="str">
        <v>S5_79</v>
      </c>
      <c r="DH9" s="11" t="str">
        <v>S5_80</v>
      </c>
      <c r="DI9" s="11" t="str">
        <v>S5_81</v>
      </c>
      <c r="DJ9" s="11" t="str">
        <v>S5_82</v>
      </c>
      <c r="DK9" s="11" t="str">
        <v>S5_83</v>
      </c>
      <c r="DL9" s="11" t="str">
        <v>S5_84</v>
      </c>
      <c r="DM9" s="11" t="str">
        <v>S5_85</v>
      </c>
      <c r="DN9" s="11" t="str">
        <v>S5_86</v>
      </c>
      <c r="DO9" s="11" t="str">
        <v>S5_87</v>
      </c>
      <c r="DP9" s="11" t="str">
        <v>S5_88</v>
      </c>
      <c r="DQ9" s="11" t="str">
        <v>S5_89</v>
      </c>
      <c r="DR9" s="11" t="str">
        <v>S5_90</v>
      </c>
      <c r="DS9" s="11" t="str">
        <v>S5_91</v>
      </c>
      <c r="DT9" s="11" t="str">
        <v>S5_92</v>
      </c>
      <c r="DU9" s="11" t="str">
        <v>S5_93</v>
      </c>
      <c r="DV9" s="11" t="str">
        <v>S5_L01</v>
      </c>
      <c r="DW9" s="11" t="str">
        <v>S5_L02</v>
      </c>
      <c r="DX9" s="11" t="str">
        <v>S5_L03</v>
      </c>
      <c r="DY9" s="11" t="str">
        <v>S5_L04</v>
      </c>
      <c r="DZ9" s="11" t="str">
        <v>S5_L05</v>
      </c>
      <c r="EA9" s="11" t="str">
        <v>S5_L06</v>
      </c>
      <c r="EB9" s="11" t="str">
        <v>S5_L07</v>
      </c>
      <c r="EC9" s="11" t="str">
        <v>S5_L08</v>
      </c>
    </row>
    <row r="10" spans="2:145" s="11" customFormat="1" ht="18" customHeight="1" x14ac:dyDescent="0.25">
      <c r="B10" s="10"/>
      <c r="D10" s="11" t="str">
        <v>C_06</v>
      </c>
      <c r="G10" s="42"/>
      <c r="H10" s="41" t="str">
        <v/>
      </c>
      <c r="I10" s="41"/>
      <c r="M10" s="23" t="s">
        <v>123</v>
      </c>
      <c r="N10" s="23" t="s">
        <v>2596</v>
      </c>
      <c r="O10" s="24">
        <v>5</v>
      </c>
      <c r="P10" s="30">
        <v>66</v>
      </c>
      <c r="Q10" s="81" t="s">
        <v>2581</v>
      </c>
      <c r="AD10" s="11" t="str">
        <v>LIM</v>
      </c>
      <c r="AE10" s="11" t="str">
        <v>BR1/03</v>
      </c>
      <c r="AF10" s="11">
        <v>1</v>
      </c>
      <c r="AH10" s="11">
        <v>46211</v>
      </c>
      <c r="AI10" s="11" t="str">
        <v>D</v>
      </c>
      <c r="AJ10" s="11" t="str">
        <v>BR1/SH_01</v>
      </c>
      <c r="AK10" s="11" t="str">
        <v/>
      </c>
      <c r="AL10" s="11" t="str">
        <v>SCM0627</v>
      </c>
      <c r="AM10" s="11" t="str">
        <v>Wahyudin Madilao</v>
      </c>
      <c r="AO10" s="11" t="str">
        <v>BR-C3_L08</v>
      </c>
      <c r="AP10" s="11" t="str">
        <v>BR-C3_L09</v>
      </c>
      <c r="AQ10" s="11" t="str">
        <v>BR-C3_L10</v>
      </c>
      <c r="AR10" s="11" t="str">
        <v>BR-C3_S05</v>
      </c>
      <c r="AS10" s="11" t="str">
        <v>BR-C3B_S14</v>
      </c>
      <c r="AT10" s="11" t="e">
        <v>#N/A</v>
      </c>
      <c r="AU10" s="11" t="e">
        <v>#N/A</v>
      </c>
      <c r="AV10" s="11" t="e">
        <v>#N/A</v>
      </c>
      <c r="AW10" s="11" t="e">
        <v>#N/A</v>
      </c>
      <c r="AX10" s="11" t="e">
        <v>#N/A</v>
      </c>
      <c r="AY10" s="11" t="e">
        <v>#N/A</v>
      </c>
      <c r="AZ10" s="11" t="e">
        <v>#N/A</v>
      </c>
      <c r="BA10" s="11" t="e">
        <v>#N/A</v>
      </c>
      <c r="BB10" s="11" t="e">
        <v>#N/A</v>
      </c>
      <c r="BC10" s="11" t="e">
        <v>#N/A</v>
      </c>
      <c r="BD10" s="11" t="e">
        <v>#N/A</v>
      </c>
      <c r="BE10" s="11" t="e">
        <v>#N/A</v>
      </c>
      <c r="BF10" s="11" t="e">
        <v>#N/A</v>
      </c>
      <c r="BG10" s="11" t="e">
        <v>#N/A</v>
      </c>
      <c r="BH10" s="11" t="e">
        <v>#N/A</v>
      </c>
      <c r="BI10" s="11" t="e">
        <v>#N/A</v>
      </c>
      <c r="BJ10" s="11" t="e">
        <v>#N/A</v>
      </c>
      <c r="BK10" s="11" t="e">
        <v>#N/A</v>
      </c>
      <c r="BL10" s="11" t="e">
        <v>#N/A</v>
      </c>
      <c r="BM10" s="11" t="e">
        <v>#N/A</v>
      </c>
      <c r="BN10" s="11" t="e">
        <v>#N/A</v>
      </c>
      <c r="BO10" s="11" t="e">
        <v>#N/A</v>
      </c>
      <c r="BP10" s="11" t="e">
        <v>#N/A</v>
      </c>
      <c r="BQ10" s="11" t="e">
        <v>#N/A</v>
      </c>
      <c r="BR10" s="11" t="e">
        <v>#N/A</v>
      </c>
      <c r="BS10" s="11" t="e">
        <v>#N/A</v>
      </c>
      <c r="BT10" s="11" t="e">
        <v>#N/A</v>
      </c>
      <c r="BU10" s="11" t="e">
        <v>#N/A</v>
      </c>
      <c r="BV10" s="11" t="e">
        <v>#N/A</v>
      </c>
      <c r="BW10" s="11" t="e">
        <v>#N/A</v>
      </c>
      <c r="BX10" s="11" t="e">
        <v>#N/A</v>
      </c>
      <c r="BY10" s="11" t="e">
        <v>#N/A</v>
      </c>
      <c r="BZ10" s="11" t="e">
        <v>#N/A</v>
      </c>
      <c r="CA10" s="11" t="e">
        <v>#N/A</v>
      </c>
      <c r="CB10" s="11" t="e">
        <v>#N/A</v>
      </c>
      <c r="CC10" s="11" t="e">
        <v>#N/A</v>
      </c>
      <c r="CD10" s="11" t="e">
        <v>#N/A</v>
      </c>
      <c r="CE10" s="11" t="e">
        <v>#N/A</v>
      </c>
      <c r="CF10" s="11" t="e">
        <v>#N/A</v>
      </c>
      <c r="CG10" s="11" t="e">
        <v>#N/A</v>
      </c>
      <c r="CH10" s="11" t="e">
        <v>#N/A</v>
      </c>
      <c r="CI10" s="11" t="e">
        <v>#N/A</v>
      </c>
      <c r="CJ10" s="11" t="e">
        <v>#N/A</v>
      </c>
      <c r="CK10" s="11" t="e">
        <v>#N/A</v>
      </c>
      <c r="CL10" s="11" t="e">
        <v>#N/A</v>
      </c>
      <c r="CM10" s="11" t="e">
        <v>#N/A</v>
      </c>
      <c r="CN10" s="11" t="e">
        <v>#N/A</v>
      </c>
      <c r="CO10" s="11" t="e">
        <v>#N/A</v>
      </c>
      <c r="CP10" s="11" t="e">
        <v>#N/A</v>
      </c>
      <c r="CQ10" s="11" t="e">
        <v>#N/A</v>
      </c>
      <c r="CR10" s="11" t="e">
        <v>#N/A</v>
      </c>
      <c r="CS10" s="11" t="e">
        <v>#N/A</v>
      </c>
      <c r="CT10" s="11" t="e">
        <v>#N/A</v>
      </c>
      <c r="CU10" s="11" t="e">
        <v>#N/A</v>
      </c>
      <c r="CV10" s="11" t="e">
        <v>#N/A</v>
      </c>
      <c r="CW10" s="11" t="e">
        <v>#N/A</v>
      </c>
      <c r="CX10" s="11" t="e">
        <v>#N/A</v>
      </c>
      <c r="CY10" s="11" t="e">
        <v>#N/A</v>
      </c>
      <c r="CZ10" s="11" t="e">
        <v>#N/A</v>
      </c>
      <c r="DA10" s="11" t="e">
        <v>#N/A</v>
      </c>
      <c r="DB10" s="11" t="e">
        <v>#N/A</v>
      </c>
      <c r="DC10" s="11" t="e">
        <v>#N/A</v>
      </c>
      <c r="DD10" s="11" t="e">
        <v>#N/A</v>
      </c>
      <c r="DE10" s="11" t="e">
        <v>#N/A</v>
      </c>
      <c r="DF10" s="11" t="e">
        <v>#N/A</v>
      </c>
      <c r="DG10" s="11" t="e">
        <v>#N/A</v>
      </c>
      <c r="DH10" s="11" t="e">
        <v>#N/A</v>
      </c>
      <c r="DI10" s="11" t="e">
        <v>#N/A</v>
      </c>
      <c r="DJ10" s="11" t="e">
        <v>#N/A</v>
      </c>
      <c r="DK10" s="11" t="e">
        <v>#N/A</v>
      </c>
      <c r="DL10" s="11" t="e">
        <v>#N/A</v>
      </c>
      <c r="DM10" s="11" t="e">
        <v>#N/A</v>
      </c>
      <c r="DN10" s="11" t="e">
        <v>#N/A</v>
      </c>
      <c r="DO10" s="11" t="e">
        <v>#N/A</v>
      </c>
      <c r="DP10" s="11" t="e">
        <v>#N/A</v>
      </c>
      <c r="DQ10" s="11" t="e">
        <v>#N/A</v>
      </c>
      <c r="DR10" s="11" t="e">
        <v>#N/A</v>
      </c>
      <c r="DS10" s="11" t="e">
        <v>#N/A</v>
      </c>
      <c r="DT10" s="11" t="e">
        <v>#N/A</v>
      </c>
      <c r="DU10" s="11" t="e">
        <v>#N/A</v>
      </c>
      <c r="DV10" s="11" t="e">
        <v>#N/A</v>
      </c>
      <c r="DW10" s="11" t="e">
        <v>#N/A</v>
      </c>
      <c r="DX10" s="11" t="e">
        <v>#N/A</v>
      </c>
      <c r="DY10" s="11" t="e">
        <v>#N/A</v>
      </c>
      <c r="DZ10" s="11" t="e">
        <v>#N/A</v>
      </c>
      <c r="EA10" s="11" t="e">
        <v>#N/A</v>
      </c>
      <c r="EB10" s="11" t="e">
        <v>#N/A</v>
      </c>
      <c r="EC10" s="11" t="e">
        <v>#N/A</v>
      </c>
    </row>
    <row r="11" spans="2:145" s="11" customFormat="1" ht="18" customHeight="1" x14ac:dyDescent="0.25">
      <c r="B11" s="10"/>
      <c r="D11" s="11" t="str">
        <v>C_10</v>
      </c>
      <c r="G11" s="42"/>
      <c r="H11" s="41" t="str">
        <v/>
      </c>
      <c r="I11" s="41"/>
      <c r="M11" s="23" t="s">
        <v>867</v>
      </c>
      <c r="N11" s="23" t="s">
        <v>937</v>
      </c>
      <c r="O11" s="24">
        <v>40</v>
      </c>
      <c r="P11" s="30">
        <v>18</v>
      </c>
      <c r="Q11" s="81" t="s">
        <v>2581</v>
      </c>
      <c r="AD11" s="11" t="str">
        <v>SAP</v>
      </c>
      <c r="AE11" s="11" t="str">
        <v>BR1/04</v>
      </c>
      <c r="AF11" s="11">
        <v>1</v>
      </c>
      <c r="AH11" s="11">
        <v>46211</v>
      </c>
      <c r="AI11" s="11" t="str">
        <v>D</v>
      </c>
      <c r="AJ11" s="11" t="str">
        <v>BR1/SH_01</v>
      </c>
      <c r="AK11" s="11" t="str">
        <v>Sampler</v>
      </c>
      <c r="AL11" s="11">
        <v>260225</v>
      </c>
      <c r="AM11" s="11" t="str">
        <v>Andri Tani Kusuma</v>
      </c>
      <c r="AO11" s="11" t="str">
        <v>S5_01</v>
      </c>
      <c r="AP11" s="11" t="str">
        <v>S5_06</v>
      </c>
      <c r="AQ11" s="11" t="str">
        <v>S5_06_02A</v>
      </c>
      <c r="AR11" s="11" t="str">
        <v>S5_07</v>
      </c>
      <c r="AS11" s="11" t="str">
        <v>S5_12_02</v>
      </c>
      <c r="AT11" s="11" t="str">
        <v>S5_13</v>
      </c>
      <c r="AU11" s="11" t="str">
        <v>S5_14</v>
      </c>
      <c r="AV11" s="11" t="str">
        <v>S5_15</v>
      </c>
      <c r="AW11" s="11" t="str">
        <v>S5_16</v>
      </c>
      <c r="AX11" s="11" t="str">
        <v>S5_17</v>
      </c>
      <c r="AY11" s="11" t="str">
        <v>S5_18</v>
      </c>
      <c r="AZ11" s="11" t="str">
        <v>S5_19</v>
      </c>
      <c r="BA11" s="11" t="str">
        <v>S5_20</v>
      </c>
      <c r="BB11" s="11" t="str">
        <v>S5_21</v>
      </c>
      <c r="BC11" s="11" t="str">
        <v>S5_22</v>
      </c>
      <c r="BD11" s="11" t="str">
        <v>S5_23</v>
      </c>
      <c r="BE11" s="11" t="str">
        <v>S5_24</v>
      </c>
      <c r="BF11" s="11" t="str">
        <v>S5_25</v>
      </c>
      <c r="BG11" s="11" t="str">
        <v>S5_26</v>
      </c>
      <c r="BH11" s="11" t="str">
        <v>S5_27</v>
      </c>
      <c r="BI11" s="11" t="str">
        <v>S5_28</v>
      </c>
      <c r="BJ11" s="11" t="str">
        <v>S5_29</v>
      </c>
      <c r="BK11" s="11" t="str">
        <v>S5_30</v>
      </c>
      <c r="BL11" s="11" t="str">
        <v>S5_31</v>
      </c>
      <c r="BM11" s="11" t="str">
        <v>S5_32</v>
      </c>
      <c r="BN11" s="11" t="str">
        <v>S5_33</v>
      </c>
      <c r="BO11" s="11" t="str">
        <v>S5_34</v>
      </c>
      <c r="BP11" s="11" t="str">
        <v>S5_35</v>
      </c>
      <c r="BQ11" s="11" t="str">
        <v>S5_36</v>
      </c>
      <c r="BR11" s="11" t="str">
        <v>S5_37</v>
      </c>
      <c r="BS11" s="11" t="str">
        <v>S5_38</v>
      </c>
      <c r="BT11" s="11" t="str">
        <v>S5_39</v>
      </c>
      <c r="BU11" s="11" t="str">
        <v>S5_40</v>
      </c>
      <c r="BV11" s="11" t="str">
        <v>S5_41</v>
      </c>
      <c r="BW11" s="11" t="str">
        <v>S5_42</v>
      </c>
      <c r="BX11" s="11" t="str">
        <v>S5_43</v>
      </c>
      <c r="BY11" s="11" t="str">
        <v>S5_44</v>
      </c>
      <c r="BZ11" s="11" t="str">
        <v>S5_45</v>
      </c>
      <c r="CA11" s="11" t="str">
        <v>S5_46</v>
      </c>
      <c r="CB11" s="11" t="str">
        <v>S5_47</v>
      </c>
      <c r="CC11" s="11" t="str">
        <v>S5_48</v>
      </c>
      <c r="CD11" s="11" t="str">
        <v>S5_49</v>
      </c>
      <c r="CE11" s="11" t="str">
        <v>S5_50</v>
      </c>
      <c r="CF11" s="11" t="str">
        <v>S5_51</v>
      </c>
      <c r="CG11" s="11" t="str">
        <v>S5_52</v>
      </c>
      <c r="CH11" s="11" t="str">
        <v>S5_53</v>
      </c>
      <c r="CI11" s="11" t="str">
        <v>S5_54</v>
      </c>
      <c r="CJ11" s="11" t="str">
        <v>S5_55</v>
      </c>
      <c r="CK11" s="11" t="str">
        <v>S5_56</v>
      </c>
      <c r="CL11" s="11" t="str">
        <v>S5_57</v>
      </c>
      <c r="CM11" s="11" t="str">
        <v>S5_58</v>
      </c>
      <c r="CN11" s="11" t="str">
        <v>S5_59</v>
      </c>
      <c r="CO11" s="11" t="str">
        <v>S5_60</v>
      </c>
      <c r="CP11" s="11" t="str">
        <v>S5_61</v>
      </c>
      <c r="CQ11" s="11" t="str">
        <v>S5_62</v>
      </c>
      <c r="CR11" s="11" t="str">
        <v>S5_63</v>
      </c>
      <c r="CS11" s="11" t="str">
        <v>S5_64</v>
      </c>
      <c r="CT11" s="11" t="str">
        <v>S5_65</v>
      </c>
      <c r="CU11" s="11" t="str">
        <v>S5_66</v>
      </c>
      <c r="CV11" s="11" t="str">
        <v>S5_67</v>
      </c>
      <c r="CW11" s="11" t="str">
        <v>S5_68</v>
      </c>
      <c r="CX11" s="11" t="str">
        <v>S5_69</v>
      </c>
      <c r="CY11" s="11" t="str">
        <v>S5_70</v>
      </c>
      <c r="CZ11" s="11" t="str">
        <v>S5_71</v>
      </c>
      <c r="DA11" s="11" t="str">
        <v>S5_72</v>
      </c>
      <c r="DB11" s="11" t="str">
        <v>S5_73</v>
      </c>
      <c r="DC11" s="11" t="str">
        <v>S5_74</v>
      </c>
      <c r="DD11" s="11" t="str">
        <v>S5_75</v>
      </c>
      <c r="DE11" s="11" t="str">
        <v>S5_76</v>
      </c>
      <c r="DF11" s="11" t="str">
        <v>S5_77</v>
      </c>
      <c r="DG11" s="11" t="str">
        <v>S5_79</v>
      </c>
      <c r="DH11" s="11" t="str">
        <v>S5_80</v>
      </c>
      <c r="DI11" s="11" t="str">
        <v>S5_81</v>
      </c>
      <c r="DJ11" s="11" t="str">
        <v>S5_82</v>
      </c>
      <c r="DK11" s="11" t="str">
        <v>S5_83</v>
      </c>
      <c r="DL11" s="11" t="str">
        <v>S5_84</v>
      </c>
      <c r="DM11" s="11" t="str">
        <v>S5_85</v>
      </c>
      <c r="DN11" s="11" t="str">
        <v>S5_86</v>
      </c>
      <c r="DO11" s="11" t="str">
        <v>S5_87</v>
      </c>
      <c r="DP11" s="11" t="str">
        <v>S5_88</v>
      </c>
      <c r="DQ11" s="11" t="str">
        <v>S5_89</v>
      </c>
      <c r="DR11" s="11" t="str">
        <v>S5_90</v>
      </c>
      <c r="DS11" s="11" t="str">
        <v>S5_91</v>
      </c>
      <c r="DT11" s="11" t="str">
        <v>S5_92</v>
      </c>
      <c r="DU11" s="11" t="str">
        <v>S5_93</v>
      </c>
      <c r="DV11" s="11" t="str">
        <v>S5_L01</v>
      </c>
      <c r="DW11" s="11" t="str">
        <v>S5_L02</v>
      </c>
      <c r="DX11" s="11" t="str">
        <v>S5_L03</v>
      </c>
      <c r="DY11" s="11" t="str">
        <v>S5_L04</v>
      </c>
      <c r="DZ11" s="11" t="str">
        <v>S5_L05</v>
      </c>
      <c r="EA11" s="11" t="str">
        <v>S5_L06</v>
      </c>
      <c r="EB11" s="11" t="str">
        <v>S5_L07</v>
      </c>
      <c r="EC11" s="11" t="str">
        <v>S5_L08</v>
      </c>
    </row>
    <row r="12" spans="2:145" s="11" customFormat="1" ht="18" customHeight="1" x14ac:dyDescent="0.25">
      <c r="B12" s="10"/>
      <c r="D12" s="11" t="str">
        <v>C_12</v>
      </c>
      <c r="G12" s="42"/>
      <c r="H12" s="41" t="str">
        <v/>
      </c>
      <c r="I12" s="41"/>
      <c r="M12" s="23" t="s">
        <v>867</v>
      </c>
      <c r="N12" s="23" t="s">
        <v>937</v>
      </c>
      <c r="O12" s="24">
        <v>36</v>
      </c>
      <c r="P12" s="30">
        <v>3</v>
      </c>
      <c r="Q12" s="81" t="s">
        <v>2581</v>
      </c>
      <c r="AD12" s="11" t="str">
        <v>SAP</v>
      </c>
      <c r="AE12" s="11" t="str">
        <v>BR1/05</v>
      </c>
      <c r="AF12" s="11">
        <v>1</v>
      </c>
      <c r="AH12" s="11" t="str">
        <v/>
      </c>
      <c r="AI12" s="11" t="str">
        <v/>
      </c>
      <c r="AJ12" s="11" t="str">
        <v/>
      </c>
      <c r="AK12" s="11" t="str">
        <v/>
      </c>
      <c r="AL12" s="11" t="str">
        <v/>
      </c>
      <c r="AM12" s="11" t="str">
        <v/>
      </c>
      <c r="AO12" s="11" t="str">
        <v>S5_01</v>
      </c>
      <c r="AP12" s="11" t="str">
        <v>S5_06</v>
      </c>
      <c r="AQ12" s="11" t="str">
        <v>S5_06_02A</v>
      </c>
      <c r="AR12" s="11" t="str">
        <v>S5_07</v>
      </c>
      <c r="AS12" s="11" t="str">
        <v>S5_12_02</v>
      </c>
      <c r="AT12" s="11" t="str">
        <v>S5_13</v>
      </c>
      <c r="AU12" s="11" t="str">
        <v>S5_14</v>
      </c>
      <c r="AV12" s="11" t="str">
        <v>S5_15</v>
      </c>
      <c r="AW12" s="11" t="str">
        <v>S5_16</v>
      </c>
      <c r="AX12" s="11" t="str">
        <v>S5_17</v>
      </c>
      <c r="AY12" s="11" t="str">
        <v>S5_18</v>
      </c>
      <c r="AZ12" s="11" t="str">
        <v>S5_19</v>
      </c>
      <c r="BA12" s="11" t="str">
        <v>S5_20</v>
      </c>
      <c r="BB12" s="11" t="str">
        <v>S5_21</v>
      </c>
      <c r="BC12" s="11" t="str">
        <v>S5_22</v>
      </c>
      <c r="BD12" s="11" t="str">
        <v>S5_23</v>
      </c>
      <c r="BE12" s="11" t="str">
        <v>S5_24</v>
      </c>
      <c r="BF12" s="11" t="str">
        <v>S5_25</v>
      </c>
      <c r="BG12" s="11" t="str">
        <v>S5_26</v>
      </c>
      <c r="BH12" s="11" t="str">
        <v>S5_27</v>
      </c>
      <c r="BI12" s="11" t="str">
        <v>S5_28</v>
      </c>
      <c r="BJ12" s="11" t="str">
        <v>S5_29</v>
      </c>
      <c r="BK12" s="11" t="str">
        <v>S5_30</v>
      </c>
      <c r="BL12" s="11" t="str">
        <v>S5_31</v>
      </c>
      <c r="BM12" s="11" t="str">
        <v>S5_32</v>
      </c>
      <c r="BN12" s="11" t="str">
        <v>S5_33</v>
      </c>
      <c r="BO12" s="11" t="str">
        <v>S5_34</v>
      </c>
      <c r="BP12" s="11" t="str">
        <v>S5_35</v>
      </c>
      <c r="BQ12" s="11" t="str">
        <v>S5_36</v>
      </c>
      <c r="BR12" s="11" t="str">
        <v>S5_37</v>
      </c>
      <c r="BS12" s="11" t="str">
        <v>S5_38</v>
      </c>
      <c r="BT12" s="11" t="str">
        <v>S5_39</v>
      </c>
      <c r="BU12" s="11" t="str">
        <v>S5_40</v>
      </c>
      <c r="BV12" s="11" t="str">
        <v>S5_41</v>
      </c>
      <c r="BW12" s="11" t="str">
        <v>S5_42</v>
      </c>
      <c r="BX12" s="11" t="str">
        <v>S5_43</v>
      </c>
      <c r="BY12" s="11" t="str">
        <v>S5_44</v>
      </c>
      <c r="BZ12" s="11" t="str">
        <v>S5_45</v>
      </c>
      <c r="CA12" s="11" t="str">
        <v>S5_46</v>
      </c>
      <c r="CB12" s="11" t="str">
        <v>S5_47</v>
      </c>
      <c r="CC12" s="11" t="str">
        <v>S5_48</v>
      </c>
      <c r="CD12" s="11" t="str">
        <v>S5_49</v>
      </c>
      <c r="CE12" s="11" t="str">
        <v>S5_50</v>
      </c>
      <c r="CF12" s="11" t="str">
        <v>S5_51</v>
      </c>
      <c r="CG12" s="11" t="str">
        <v>S5_52</v>
      </c>
      <c r="CH12" s="11" t="str">
        <v>S5_53</v>
      </c>
      <c r="CI12" s="11" t="str">
        <v>S5_54</v>
      </c>
      <c r="CJ12" s="11" t="str">
        <v>S5_55</v>
      </c>
      <c r="CK12" s="11" t="str">
        <v>S5_56</v>
      </c>
      <c r="CL12" s="11" t="str">
        <v>S5_57</v>
      </c>
      <c r="CM12" s="11" t="str">
        <v>S5_58</v>
      </c>
      <c r="CN12" s="11" t="str">
        <v>S5_59</v>
      </c>
      <c r="CO12" s="11" t="str">
        <v>S5_60</v>
      </c>
      <c r="CP12" s="11" t="str">
        <v>S5_61</v>
      </c>
      <c r="CQ12" s="11" t="str">
        <v>S5_62</v>
      </c>
      <c r="CR12" s="11" t="str">
        <v>S5_63</v>
      </c>
      <c r="CS12" s="11" t="str">
        <v>S5_64</v>
      </c>
      <c r="CT12" s="11" t="str">
        <v>S5_65</v>
      </c>
      <c r="CU12" s="11" t="str">
        <v>S5_66</v>
      </c>
      <c r="CV12" s="11" t="str">
        <v>S5_67</v>
      </c>
      <c r="CW12" s="11" t="str">
        <v>S5_68</v>
      </c>
      <c r="CX12" s="11" t="str">
        <v>S5_69</v>
      </c>
      <c r="CY12" s="11" t="str">
        <v>S5_70</v>
      </c>
      <c r="CZ12" s="11" t="str">
        <v>S5_71</v>
      </c>
      <c r="DA12" s="11" t="str">
        <v>S5_72</v>
      </c>
      <c r="DB12" s="11" t="str">
        <v>S5_73</v>
      </c>
      <c r="DC12" s="11" t="str">
        <v>S5_74</v>
      </c>
      <c r="DD12" s="11" t="str">
        <v>S5_75</v>
      </c>
      <c r="DE12" s="11" t="str">
        <v>S5_76</v>
      </c>
      <c r="DF12" s="11" t="str">
        <v>S5_77</v>
      </c>
      <c r="DG12" s="11" t="str">
        <v>S5_79</v>
      </c>
      <c r="DH12" s="11" t="str">
        <v>S5_80</v>
      </c>
      <c r="DI12" s="11" t="str">
        <v>S5_81</v>
      </c>
      <c r="DJ12" s="11" t="str">
        <v>S5_82</v>
      </c>
      <c r="DK12" s="11" t="str">
        <v>S5_83</v>
      </c>
      <c r="DL12" s="11" t="str">
        <v>S5_84</v>
      </c>
      <c r="DM12" s="11" t="str">
        <v>S5_85</v>
      </c>
      <c r="DN12" s="11" t="str">
        <v>S5_86</v>
      </c>
      <c r="DO12" s="11" t="str">
        <v>S5_87</v>
      </c>
      <c r="DP12" s="11" t="str">
        <v>S5_88</v>
      </c>
      <c r="DQ12" s="11" t="str">
        <v>S5_89</v>
      </c>
      <c r="DR12" s="11" t="str">
        <v>S5_90</v>
      </c>
      <c r="DS12" s="11" t="str">
        <v>S5_91</v>
      </c>
      <c r="DT12" s="11" t="str">
        <v>S5_92</v>
      </c>
      <c r="DU12" s="11" t="str">
        <v>S5_93</v>
      </c>
      <c r="DV12" s="11" t="str">
        <v>S5_L01</v>
      </c>
      <c r="DW12" s="11" t="str">
        <v>S5_L02</v>
      </c>
      <c r="DX12" s="11" t="str">
        <v>S5_L03</v>
      </c>
      <c r="DY12" s="11" t="str">
        <v>S5_L04</v>
      </c>
      <c r="DZ12" s="11" t="str">
        <v>S5_L05</v>
      </c>
      <c r="EA12" s="11" t="str">
        <v>S5_L06</v>
      </c>
      <c r="EB12" s="11" t="str">
        <v>S5_L07</v>
      </c>
      <c r="EC12" s="11" t="str">
        <v>S5_L08</v>
      </c>
    </row>
    <row r="13" spans="2:145" s="11" customFormat="1" ht="18" customHeight="1" x14ac:dyDescent="0.25">
      <c r="B13" s="10"/>
      <c r="D13" s="11" t="str">
        <v>LS_01</v>
      </c>
      <c r="G13" s="42"/>
      <c r="H13" s="41" t="str">
        <v/>
      </c>
      <c r="I13" s="41"/>
      <c r="M13" s="23" t="s">
        <v>123</v>
      </c>
      <c r="N13" s="23" t="s">
        <v>2596</v>
      </c>
      <c r="O13" s="24">
        <v>6</v>
      </c>
      <c r="P13" s="30">
        <v>12</v>
      </c>
      <c r="Q13" s="81" t="s">
        <v>2581</v>
      </c>
      <c r="AD13" s="11" t="str">
        <v>LIM</v>
      </c>
      <c r="AE13" s="11" t="str">
        <v/>
      </c>
      <c r="AF13" s="11" t="str">
        <v/>
      </c>
      <c r="AO13" s="11" t="str">
        <v>BR-C3_L08</v>
      </c>
      <c r="AP13" s="11" t="str">
        <v>BR-C3_L09</v>
      </c>
      <c r="AQ13" s="11" t="str">
        <v>BR-C3_L10</v>
      </c>
      <c r="AR13" s="11" t="str">
        <v>BR-C3_S05</v>
      </c>
      <c r="AS13" s="11" t="str">
        <v>BR-C3B_S14</v>
      </c>
      <c r="AT13" s="11" t="e">
        <v>#N/A</v>
      </c>
      <c r="AU13" s="11" t="e">
        <v>#N/A</v>
      </c>
      <c r="AV13" s="11" t="e">
        <v>#N/A</v>
      </c>
      <c r="AW13" s="11" t="e">
        <v>#N/A</v>
      </c>
      <c r="AX13" s="11" t="e">
        <v>#N/A</v>
      </c>
      <c r="AY13" s="11" t="e">
        <v>#N/A</v>
      </c>
      <c r="AZ13" s="11" t="e">
        <v>#N/A</v>
      </c>
      <c r="BA13" s="11" t="e">
        <v>#N/A</v>
      </c>
      <c r="BB13" s="11" t="e">
        <v>#N/A</v>
      </c>
      <c r="BC13" s="11" t="e">
        <v>#N/A</v>
      </c>
      <c r="BD13" s="11" t="e">
        <v>#N/A</v>
      </c>
      <c r="BE13" s="11" t="e">
        <v>#N/A</v>
      </c>
      <c r="BF13" s="11" t="e">
        <v>#N/A</v>
      </c>
      <c r="BG13" s="11" t="e">
        <v>#N/A</v>
      </c>
      <c r="BH13" s="11" t="e">
        <v>#N/A</v>
      </c>
      <c r="BI13" s="11" t="e">
        <v>#N/A</v>
      </c>
      <c r="BJ13" s="11" t="e">
        <v>#N/A</v>
      </c>
      <c r="BK13" s="11" t="e">
        <v>#N/A</v>
      </c>
      <c r="BL13" s="11" t="e">
        <v>#N/A</v>
      </c>
      <c r="BM13" s="11" t="e">
        <v>#N/A</v>
      </c>
      <c r="BN13" s="11" t="e">
        <v>#N/A</v>
      </c>
      <c r="BO13" s="11" t="e">
        <v>#N/A</v>
      </c>
      <c r="BP13" s="11" t="e">
        <v>#N/A</v>
      </c>
      <c r="BQ13" s="11" t="e">
        <v>#N/A</v>
      </c>
      <c r="BR13" s="11" t="e">
        <v>#N/A</v>
      </c>
      <c r="BS13" s="11" t="e">
        <v>#N/A</v>
      </c>
      <c r="BT13" s="11" t="e">
        <v>#N/A</v>
      </c>
      <c r="BU13" s="11" t="e">
        <v>#N/A</v>
      </c>
      <c r="BV13" s="11" t="e">
        <v>#N/A</v>
      </c>
      <c r="BW13" s="11" t="e">
        <v>#N/A</v>
      </c>
      <c r="BX13" s="11" t="e">
        <v>#N/A</v>
      </c>
      <c r="BY13" s="11" t="e">
        <v>#N/A</v>
      </c>
      <c r="BZ13" s="11" t="e">
        <v>#N/A</v>
      </c>
      <c r="CA13" s="11" t="e">
        <v>#N/A</v>
      </c>
      <c r="CB13" s="11" t="e">
        <v>#N/A</v>
      </c>
      <c r="CC13" s="11" t="e">
        <v>#N/A</v>
      </c>
      <c r="CD13" s="11" t="e">
        <v>#N/A</v>
      </c>
      <c r="CE13" s="11" t="e">
        <v>#N/A</v>
      </c>
      <c r="CF13" s="11" t="e">
        <v>#N/A</v>
      </c>
      <c r="CG13" s="11" t="e">
        <v>#N/A</v>
      </c>
      <c r="CH13" s="11" t="e">
        <v>#N/A</v>
      </c>
      <c r="CI13" s="11" t="e">
        <v>#N/A</v>
      </c>
      <c r="CJ13" s="11" t="e">
        <v>#N/A</v>
      </c>
      <c r="CK13" s="11" t="e">
        <v>#N/A</v>
      </c>
      <c r="CL13" s="11" t="e">
        <v>#N/A</v>
      </c>
      <c r="CM13" s="11" t="e">
        <v>#N/A</v>
      </c>
      <c r="CN13" s="11" t="e">
        <v>#N/A</v>
      </c>
      <c r="CO13" s="11" t="e">
        <v>#N/A</v>
      </c>
      <c r="CP13" s="11" t="e">
        <v>#N/A</v>
      </c>
      <c r="CQ13" s="11" t="e">
        <v>#N/A</v>
      </c>
      <c r="CR13" s="11" t="e">
        <v>#N/A</v>
      </c>
      <c r="CS13" s="11" t="e">
        <v>#N/A</v>
      </c>
      <c r="CT13" s="11" t="e">
        <v>#N/A</v>
      </c>
      <c r="CU13" s="11" t="e">
        <v>#N/A</v>
      </c>
      <c r="CV13" s="11" t="e">
        <v>#N/A</v>
      </c>
      <c r="CW13" s="11" t="e">
        <v>#N/A</v>
      </c>
      <c r="CX13" s="11" t="e">
        <v>#N/A</v>
      </c>
      <c r="CY13" s="11" t="e">
        <v>#N/A</v>
      </c>
      <c r="CZ13" s="11" t="e">
        <v>#N/A</v>
      </c>
      <c r="DA13" s="11" t="e">
        <v>#N/A</v>
      </c>
      <c r="DB13" s="11" t="e">
        <v>#N/A</v>
      </c>
      <c r="DC13" s="11" t="e">
        <v>#N/A</v>
      </c>
      <c r="DD13" s="11" t="e">
        <v>#N/A</v>
      </c>
      <c r="DE13" s="11" t="e">
        <v>#N/A</v>
      </c>
      <c r="DF13" s="11" t="e">
        <v>#N/A</v>
      </c>
      <c r="DG13" s="11" t="e">
        <v>#N/A</v>
      </c>
      <c r="DH13" s="11" t="e">
        <v>#N/A</v>
      </c>
      <c r="DI13" s="11" t="e">
        <v>#N/A</v>
      </c>
      <c r="DJ13" s="11" t="e">
        <v>#N/A</v>
      </c>
      <c r="DK13" s="11" t="e">
        <v>#N/A</v>
      </c>
      <c r="DL13" s="11" t="e">
        <v>#N/A</v>
      </c>
      <c r="DM13" s="11" t="e">
        <v>#N/A</v>
      </c>
      <c r="DN13" s="11" t="e">
        <v>#N/A</v>
      </c>
      <c r="DO13" s="11" t="e">
        <v>#N/A</v>
      </c>
      <c r="DP13" s="11" t="e">
        <v>#N/A</v>
      </c>
      <c r="DQ13" s="11" t="e">
        <v>#N/A</v>
      </c>
      <c r="DR13" s="11" t="e">
        <v>#N/A</v>
      </c>
      <c r="DS13" s="11" t="e">
        <v>#N/A</v>
      </c>
      <c r="DT13" s="11" t="e">
        <v>#N/A</v>
      </c>
      <c r="DU13" s="11" t="e">
        <v>#N/A</v>
      </c>
      <c r="DV13" s="11" t="e">
        <v>#N/A</v>
      </c>
      <c r="DW13" s="11" t="e">
        <v>#N/A</v>
      </c>
      <c r="DX13" s="11" t="e">
        <v>#N/A</v>
      </c>
      <c r="DY13" s="11" t="e">
        <v>#N/A</v>
      </c>
      <c r="DZ13" s="11" t="e">
        <v>#N/A</v>
      </c>
      <c r="EA13" s="11" t="e">
        <v>#N/A</v>
      </c>
      <c r="EB13" s="11" t="e">
        <v>#N/A</v>
      </c>
      <c r="EC13" s="11" t="e">
        <v>#N/A</v>
      </c>
    </row>
    <row r="14" spans="2:145" s="11" customFormat="1" ht="18" customHeight="1" x14ac:dyDescent="0.25">
      <c r="B14" s="10"/>
      <c r="D14" s="11" t="str">
        <v>LS_02</v>
      </c>
      <c r="G14" s="42"/>
      <c r="H14" s="41" t="str">
        <v/>
      </c>
      <c r="I14" s="41"/>
      <c r="M14" s="23" t="s">
        <v>139</v>
      </c>
      <c r="N14" s="23" t="s">
        <v>2597</v>
      </c>
      <c r="O14" s="24">
        <v>3</v>
      </c>
      <c r="P14" s="30">
        <v>90</v>
      </c>
      <c r="Q14" s="81" t="s">
        <v>2581</v>
      </c>
      <c r="AD14" s="11" t="str">
        <v>LIM</v>
      </c>
      <c r="AE14" s="11" t="str">
        <v/>
      </c>
      <c r="AF14" s="11" t="str">
        <v/>
      </c>
      <c r="AO14" s="11" t="str">
        <v>BR-C12_L10</v>
      </c>
      <c r="AP14" s="11" t="str">
        <v>BR-C12_L11</v>
      </c>
      <c r="AQ14" s="11" t="str">
        <v>BR-C12_L12</v>
      </c>
      <c r="AR14" s="11" t="e">
        <v>#N/A</v>
      </c>
      <c r="AS14" s="11" t="e">
        <v>#N/A</v>
      </c>
      <c r="AT14" s="11" t="e">
        <v>#N/A</v>
      </c>
      <c r="AU14" s="11" t="e">
        <v>#N/A</v>
      </c>
      <c r="AV14" s="11" t="e">
        <v>#N/A</v>
      </c>
      <c r="AW14" s="11" t="e">
        <v>#N/A</v>
      </c>
      <c r="AX14" s="11" t="e">
        <v>#N/A</v>
      </c>
      <c r="AY14" s="11" t="e">
        <v>#N/A</v>
      </c>
      <c r="AZ14" s="11" t="e">
        <v>#N/A</v>
      </c>
      <c r="BA14" s="11" t="e">
        <v>#N/A</v>
      </c>
      <c r="BB14" s="11" t="e">
        <v>#N/A</v>
      </c>
      <c r="BC14" s="11" t="e">
        <v>#N/A</v>
      </c>
      <c r="BD14" s="11" t="e">
        <v>#N/A</v>
      </c>
      <c r="BE14" s="11" t="e">
        <v>#N/A</v>
      </c>
      <c r="BF14" s="11" t="e">
        <v>#N/A</v>
      </c>
      <c r="BG14" s="11" t="e">
        <v>#N/A</v>
      </c>
      <c r="BH14" s="11" t="e">
        <v>#N/A</v>
      </c>
      <c r="BI14" s="11" t="e">
        <v>#N/A</v>
      </c>
      <c r="BJ14" s="11" t="e">
        <v>#N/A</v>
      </c>
      <c r="BK14" s="11" t="e">
        <v>#N/A</v>
      </c>
      <c r="BL14" s="11" t="e">
        <v>#N/A</v>
      </c>
      <c r="BM14" s="11" t="e">
        <v>#N/A</v>
      </c>
      <c r="BN14" s="11" t="e">
        <v>#N/A</v>
      </c>
      <c r="BO14" s="11" t="e">
        <v>#N/A</v>
      </c>
      <c r="BP14" s="11" t="e">
        <v>#N/A</v>
      </c>
      <c r="BQ14" s="11" t="e">
        <v>#N/A</v>
      </c>
      <c r="BR14" s="11" t="e">
        <v>#N/A</v>
      </c>
      <c r="BS14" s="11" t="e">
        <v>#N/A</v>
      </c>
      <c r="BT14" s="11" t="e">
        <v>#N/A</v>
      </c>
      <c r="BU14" s="11" t="e">
        <v>#N/A</v>
      </c>
      <c r="BV14" s="11" t="e">
        <v>#N/A</v>
      </c>
      <c r="BW14" s="11" t="e">
        <v>#N/A</v>
      </c>
      <c r="BX14" s="11" t="e">
        <v>#N/A</v>
      </c>
      <c r="BY14" s="11" t="e">
        <v>#N/A</v>
      </c>
      <c r="BZ14" s="11" t="e">
        <v>#N/A</v>
      </c>
      <c r="CA14" s="11" t="e">
        <v>#N/A</v>
      </c>
      <c r="CB14" s="11" t="e">
        <v>#N/A</v>
      </c>
      <c r="CC14" s="11" t="e">
        <v>#N/A</v>
      </c>
      <c r="CD14" s="11" t="e">
        <v>#N/A</v>
      </c>
      <c r="CE14" s="11" t="e">
        <v>#N/A</v>
      </c>
      <c r="CF14" s="11" t="e">
        <v>#N/A</v>
      </c>
      <c r="CG14" s="11" t="e">
        <v>#N/A</v>
      </c>
      <c r="CH14" s="11" t="e">
        <v>#N/A</v>
      </c>
      <c r="CI14" s="11" t="e">
        <v>#N/A</v>
      </c>
      <c r="CJ14" s="11" t="e">
        <v>#N/A</v>
      </c>
      <c r="CK14" s="11" t="e">
        <v>#N/A</v>
      </c>
      <c r="CL14" s="11" t="e">
        <v>#N/A</v>
      </c>
      <c r="CM14" s="11" t="e">
        <v>#N/A</v>
      </c>
      <c r="CN14" s="11" t="e">
        <v>#N/A</v>
      </c>
      <c r="CO14" s="11" t="e">
        <v>#N/A</v>
      </c>
      <c r="CP14" s="11" t="e">
        <v>#N/A</v>
      </c>
      <c r="CQ14" s="11" t="e">
        <v>#N/A</v>
      </c>
      <c r="CR14" s="11" t="e">
        <v>#N/A</v>
      </c>
      <c r="CS14" s="11" t="e">
        <v>#N/A</v>
      </c>
      <c r="CT14" s="11" t="e">
        <v>#N/A</v>
      </c>
      <c r="CU14" s="11" t="e">
        <v>#N/A</v>
      </c>
      <c r="CV14" s="11" t="e">
        <v>#N/A</v>
      </c>
      <c r="CW14" s="11" t="e">
        <v>#N/A</v>
      </c>
      <c r="CX14" s="11" t="e">
        <v>#N/A</v>
      </c>
      <c r="CY14" s="11" t="e">
        <v>#N/A</v>
      </c>
      <c r="CZ14" s="11" t="e">
        <v>#N/A</v>
      </c>
      <c r="DA14" s="11" t="e">
        <v>#N/A</v>
      </c>
      <c r="DB14" s="11" t="e">
        <v>#N/A</v>
      </c>
      <c r="DC14" s="11" t="e">
        <v>#N/A</v>
      </c>
      <c r="DD14" s="11" t="e">
        <v>#N/A</v>
      </c>
      <c r="DE14" s="11" t="e">
        <v>#N/A</v>
      </c>
      <c r="DF14" s="11" t="e">
        <v>#N/A</v>
      </c>
      <c r="DG14" s="11" t="e">
        <v>#N/A</v>
      </c>
      <c r="DH14" s="11" t="e">
        <v>#N/A</v>
      </c>
      <c r="DI14" s="11" t="e">
        <v>#N/A</v>
      </c>
      <c r="DJ14" s="11" t="e">
        <v>#N/A</v>
      </c>
      <c r="DK14" s="11" t="e">
        <v>#N/A</v>
      </c>
      <c r="DL14" s="11" t="e">
        <v>#N/A</v>
      </c>
      <c r="DM14" s="11" t="e">
        <v>#N/A</v>
      </c>
      <c r="DN14" s="11" t="e">
        <v>#N/A</v>
      </c>
      <c r="DO14" s="11" t="e">
        <v>#N/A</v>
      </c>
      <c r="DP14" s="11" t="e">
        <v>#N/A</v>
      </c>
      <c r="DQ14" s="11" t="e">
        <v>#N/A</v>
      </c>
      <c r="DR14" s="11" t="e">
        <v>#N/A</v>
      </c>
      <c r="DS14" s="11" t="e">
        <v>#N/A</v>
      </c>
      <c r="DT14" s="11" t="e">
        <v>#N/A</v>
      </c>
      <c r="DU14" s="11" t="e">
        <v>#N/A</v>
      </c>
      <c r="DV14" s="11" t="e">
        <v>#N/A</v>
      </c>
      <c r="DW14" s="11" t="e">
        <v>#N/A</v>
      </c>
      <c r="DX14" s="11" t="e">
        <v>#N/A</v>
      </c>
      <c r="DY14" s="11" t="e">
        <v>#N/A</v>
      </c>
      <c r="DZ14" s="11" t="e">
        <v>#N/A</v>
      </c>
      <c r="EA14" s="11" t="e">
        <v>#N/A</v>
      </c>
      <c r="EB14" s="11" t="e">
        <v>#N/A</v>
      </c>
      <c r="EC14" s="11" t="e">
        <v>#N/A</v>
      </c>
    </row>
    <row r="15" spans="2:145" s="11" customFormat="1" ht="18" customHeight="1" x14ac:dyDescent="0.25">
      <c r="B15" s="10"/>
      <c r="D15" s="11" t="str">
        <v>LS_03</v>
      </c>
      <c r="G15" s="42"/>
      <c r="H15" s="41" t="str">
        <v/>
      </c>
      <c r="I15" s="41"/>
      <c r="M15" s="23" t="s">
        <v>130</v>
      </c>
      <c r="N15" s="23" t="s">
        <v>2598</v>
      </c>
      <c r="O15" s="24">
        <v>32</v>
      </c>
      <c r="P15" s="30">
        <v>1</v>
      </c>
      <c r="Q15" s="81" t="s">
        <v>2581</v>
      </c>
      <c r="AD15" s="11" t="str">
        <v>SAP</v>
      </c>
      <c r="AE15" s="11" t="str">
        <v/>
      </c>
      <c r="AF15" s="11" t="str">
        <v/>
      </c>
      <c r="AO15" s="11" t="str">
        <v>BR-C6_L22</v>
      </c>
      <c r="AP15" s="11" t="str">
        <v>BR-C6_L23</v>
      </c>
      <c r="AQ15" s="11" t="str">
        <v>BR-C6_S07</v>
      </c>
      <c r="AR15" s="11" t="str">
        <v>BR-C6_S08</v>
      </c>
      <c r="AS15" s="11" t="str">
        <v>BR-C6_S10</v>
      </c>
      <c r="AT15" s="11" t="str">
        <v>BR-C6C_S06</v>
      </c>
      <c r="AU15" s="11" t="str">
        <v>BR-C6C_S07</v>
      </c>
      <c r="AV15" s="11" t="str">
        <v>BR-C6D_S06</v>
      </c>
      <c r="AW15" s="11" t="str">
        <v>BR-C6D_S16</v>
      </c>
      <c r="AX15" s="11" t="e">
        <v>#N/A</v>
      </c>
      <c r="AY15" s="11" t="e">
        <v>#N/A</v>
      </c>
      <c r="AZ15" s="11" t="e">
        <v>#N/A</v>
      </c>
      <c r="BA15" s="11" t="e">
        <v>#N/A</v>
      </c>
      <c r="BB15" s="11" t="e">
        <v>#N/A</v>
      </c>
      <c r="BC15" s="11" t="e">
        <v>#N/A</v>
      </c>
      <c r="BD15" s="11" t="e">
        <v>#N/A</v>
      </c>
      <c r="BE15" s="11" t="e">
        <v>#N/A</v>
      </c>
      <c r="BF15" s="11" t="e">
        <v>#N/A</v>
      </c>
      <c r="BG15" s="11" t="e">
        <v>#N/A</v>
      </c>
      <c r="BH15" s="11" t="e">
        <v>#N/A</v>
      </c>
      <c r="BI15" s="11" t="e">
        <v>#N/A</v>
      </c>
      <c r="BJ15" s="11" t="e">
        <v>#N/A</v>
      </c>
      <c r="BK15" s="11" t="e">
        <v>#N/A</v>
      </c>
      <c r="BL15" s="11" t="e">
        <v>#N/A</v>
      </c>
      <c r="BM15" s="11" t="e">
        <v>#N/A</v>
      </c>
      <c r="BN15" s="11" t="e">
        <v>#N/A</v>
      </c>
      <c r="BO15" s="11" t="e">
        <v>#N/A</v>
      </c>
      <c r="BP15" s="11" t="e">
        <v>#N/A</v>
      </c>
      <c r="BQ15" s="11" t="e">
        <v>#N/A</v>
      </c>
      <c r="BR15" s="11" t="e">
        <v>#N/A</v>
      </c>
      <c r="BS15" s="11" t="e">
        <v>#N/A</v>
      </c>
      <c r="BT15" s="11" t="e">
        <v>#N/A</v>
      </c>
      <c r="BU15" s="11" t="e">
        <v>#N/A</v>
      </c>
      <c r="BV15" s="11" t="e">
        <v>#N/A</v>
      </c>
      <c r="BW15" s="11" t="e">
        <v>#N/A</v>
      </c>
      <c r="BX15" s="11" t="e">
        <v>#N/A</v>
      </c>
      <c r="BY15" s="11" t="e">
        <v>#N/A</v>
      </c>
      <c r="BZ15" s="11" t="e">
        <v>#N/A</v>
      </c>
      <c r="CA15" s="11" t="e">
        <v>#N/A</v>
      </c>
      <c r="CB15" s="11" t="e">
        <v>#N/A</v>
      </c>
      <c r="CC15" s="11" t="e">
        <v>#N/A</v>
      </c>
      <c r="CD15" s="11" t="e">
        <v>#N/A</v>
      </c>
      <c r="CE15" s="11" t="e">
        <v>#N/A</v>
      </c>
      <c r="CF15" s="11" t="e">
        <v>#N/A</v>
      </c>
      <c r="CG15" s="11" t="e">
        <v>#N/A</v>
      </c>
      <c r="CH15" s="11" t="e">
        <v>#N/A</v>
      </c>
      <c r="CI15" s="11" t="e">
        <v>#N/A</v>
      </c>
      <c r="CJ15" s="11" t="e">
        <v>#N/A</v>
      </c>
      <c r="CK15" s="11" t="e">
        <v>#N/A</v>
      </c>
      <c r="CL15" s="11" t="e">
        <v>#N/A</v>
      </c>
      <c r="CM15" s="11" t="e">
        <v>#N/A</v>
      </c>
      <c r="CN15" s="11" t="e">
        <v>#N/A</v>
      </c>
      <c r="CO15" s="11" t="e">
        <v>#N/A</v>
      </c>
      <c r="CP15" s="11" t="e">
        <v>#N/A</v>
      </c>
      <c r="CQ15" s="11" t="e">
        <v>#N/A</v>
      </c>
      <c r="CR15" s="11" t="e">
        <v>#N/A</v>
      </c>
      <c r="CS15" s="11" t="e">
        <v>#N/A</v>
      </c>
      <c r="CT15" s="11" t="e">
        <v>#N/A</v>
      </c>
      <c r="CU15" s="11" t="e">
        <v>#N/A</v>
      </c>
      <c r="CV15" s="11" t="e">
        <v>#N/A</v>
      </c>
      <c r="CW15" s="11" t="e">
        <v>#N/A</v>
      </c>
      <c r="CX15" s="11" t="e">
        <v>#N/A</v>
      </c>
      <c r="CY15" s="11" t="e">
        <v>#N/A</v>
      </c>
      <c r="CZ15" s="11" t="e">
        <v>#N/A</v>
      </c>
      <c r="DA15" s="11" t="e">
        <v>#N/A</v>
      </c>
      <c r="DB15" s="11" t="e">
        <v>#N/A</v>
      </c>
      <c r="DC15" s="11" t="e">
        <v>#N/A</v>
      </c>
      <c r="DD15" s="11" t="e">
        <v>#N/A</v>
      </c>
      <c r="DE15" s="11" t="e">
        <v>#N/A</v>
      </c>
      <c r="DF15" s="11" t="e">
        <v>#N/A</v>
      </c>
      <c r="DG15" s="11" t="e">
        <v>#N/A</v>
      </c>
      <c r="DH15" s="11" t="e">
        <v>#N/A</v>
      </c>
      <c r="DI15" s="11" t="e">
        <v>#N/A</v>
      </c>
      <c r="DJ15" s="11" t="e">
        <v>#N/A</v>
      </c>
      <c r="DK15" s="11" t="e">
        <v>#N/A</v>
      </c>
      <c r="DL15" s="11" t="e">
        <v>#N/A</v>
      </c>
      <c r="DM15" s="11" t="e">
        <v>#N/A</v>
      </c>
      <c r="DN15" s="11" t="e">
        <v>#N/A</v>
      </c>
      <c r="DO15" s="11" t="e">
        <v>#N/A</v>
      </c>
      <c r="DP15" s="11" t="e">
        <v>#N/A</v>
      </c>
      <c r="DQ15" s="11" t="e">
        <v>#N/A</v>
      </c>
      <c r="DR15" s="11" t="e">
        <v>#N/A</v>
      </c>
      <c r="DS15" s="11" t="e">
        <v>#N/A</v>
      </c>
      <c r="DT15" s="11" t="e">
        <v>#N/A</v>
      </c>
      <c r="DU15" s="11" t="e">
        <v>#N/A</v>
      </c>
      <c r="DV15" s="11" t="e">
        <v>#N/A</v>
      </c>
      <c r="DW15" s="11" t="e">
        <v>#N/A</v>
      </c>
      <c r="DX15" s="11" t="e">
        <v>#N/A</v>
      </c>
      <c r="DY15" s="11" t="e">
        <v>#N/A</v>
      </c>
      <c r="DZ15" s="11" t="e">
        <v>#N/A</v>
      </c>
      <c r="EA15" s="11" t="e">
        <v>#N/A</v>
      </c>
      <c r="EB15" s="11" t="e">
        <v>#N/A</v>
      </c>
      <c r="EC15" s="11" t="e">
        <v>#N/A</v>
      </c>
    </row>
    <row r="16" spans="2:145" s="11" customFormat="1" ht="18" customHeight="1" x14ac:dyDescent="0.25">
      <c r="B16" s="10"/>
      <c r="D16" s="11" t="str">
        <v>LS_04</v>
      </c>
      <c r="G16" s="43"/>
      <c r="H16" s="41" t="str">
        <v/>
      </c>
      <c r="I16" s="41"/>
      <c r="M16" s="23" t="s">
        <v>867</v>
      </c>
      <c r="N16" s="23" t="s">
        <v>947</v>
      </c>
      <c r="O16" s="24">
        <v>59</v>
      </c>
      <c r="P16" s="30">
        <v>7</v>
      </c>
      <c r="Q16" s="81" t="s">
        <v>2581</v>
      </c>
      <c r="AD16" s="11" t="str">
        <v>SAP</v>
      </c>
      <c r="AE16" s="11" t="str">
        <v/>
      </c>
      <c r="AF16" s="11" t="str">
        <v/>
      </c>
      <c r="AO16" s="11" t="str">
        <v>S5_01</v>
      </c>
      <c r="AP16" s="11" t="str">
        <v>S5_06</v>
      </c>
      <c r="AQ16" s="11" t="str">
        <v>S5_06_02A</v>
      </c>
      <c r="AR16" s="11" t="str">
        <v>S5_07</v>
      </c>
      <c r="AS16" s="11" t="str">
        <v>S5_12_02</v>
      </c>
      <c r="AT16" s="11" t="str">
        <v>S5_13</v>
      </c>
      <c r="AU16" s="11" t="str">
        <v>S5_14</v>
      </c>
      <c r="AV16" s="11" t="str">
        <v>S5_15</v>
      </c>
      <c r="AW16" s="11" t="str">
        <v>S5_16</v>
      </c>
      <c r="AX16" s="11" t="str">
        <v>S5_17</v>
      </c>
      <c r="AY16" s="11" t="str">
        <v>S5_18</v>
      </c>
      <c r="AZ16" s="11" t="str">
        <v>S5_19</v>
      </c>
      <c r="BA16" s="11" t="str">
        <v>S5_20</v>
      </c>
      <c r="BB16" s="11" t="str">
        <v>S5_21</v>
      </c>
      <c r="BC16" s="11" t="str">
        <v>S5_22</v>
      </c>
      <c r="BD16" s="11" t="str">
        <v>S5_23</v>
      </c>
      <c r="BE16" s="11" t="str">
        <v>S5_24</v>
      </c>
      <c r="BF16" s="11" t="str">
        <v>S5_25</v>
      </c>
      <c r="BG16" s="11" t="str">
        <v>S5_26</v>
      </c>
      <c r="BH16" s="11" t="str">
        <v>S5_27</v>
      </c>
      <c r="BI16" s="11" t="str">
        <v>S5_28</v>
      </c>
      <c r="BJ16" s="11" t="str">
        <v>S5_29</v>
      </c>
      <c r="BK16" s="11" t="str">
        <v>S5_30</v>
      </c>
      <c r="BL16" s="11" t="str">
        <v>S5_31</v>
      </c>
      <c r="BM16" s="11" t="str">
        <v>S5_32</v>
      </c>
      <c r="BN16" s="11" t="str">
        <v>S5_33</v>
      </c>
      <c r="BO16" s="11" t="str">
        <v>S5_34</v>
      </c>
      <c r="BP16" s="11" t="str">
        <v>S5_35</v>
      </c>
      <c r="BQ16" s="11" t="str">
        <v>S5_36</v>
      </c>
      <c r="BR16" s="11" t="str">
        <v>S5_37</v>
      </c>
      <c r="BS16" s="11" t="str">
        <v>S5_38</v>
      </c>
      <c r="BT16" s="11" t="str">
        <v>S5_39</v>
      </c>
      <c r="BU16" s="11" t="str">
        <v>S5_40</v>
      </c>
      <c r="BV16" s="11" t="str">
        <v>S5_41</v>
      </c>
      <c r="BW16" s="11" t="str">
        <v>S5_42</v>
      </c>
      <c r="BX16" s="11" t="str">
        <v>S5_43</v>
      </c>
      <c r="BY16" s="11" t="str">
        <v>S5_44</v>
      </c>
      <c r="BZ16" s="11" t="str">
        <v>S5_45</v>
      </c>
      <c r="CA16" s="11" t="str">
        <v>S5_46</v>
      </c>
      <c r="CB16" s="11" t="str">
        <v>S5_47</v>
      </c>
      <c r="CC16" s="11" t="str">
        <v>S5_48</v>
      </c>
      <c r="CD16" s="11" t="str">
        <v>S5_49</v>
      </c>
      <c r="CE16" s="11" t="str">
        <v>S5_50</v>
      </c>
      <c r="CF16" s="11" t="str">
        <v>S5_51</v>
      </c>
      <c r="CG16" s="11" t="str">
        <v>S5_52</v>
      </c>
      <c r="CH16" s="11" t="str">
        <v>S5_53</v>
      </c>
      <c r="CI16" s="11" t="str">
        <v>S5_54</v>
      </c>
      <c r="CJ16" s="11" t="str">
        <v>S5_55</v>
      </c>
      <c r="CK16" s="11" t="str">
        <v>S5_56</v>
      </c>
      <c r="CL16" s="11" t="str">
        <v>S5_57</v>
      </c>
      <c r="CM16" s="11" t="str">
        <v>S5_58</v>
      </c>
      <c r="CN16" s="11" t="str">
        <v>S5_59</v>
      </c>
      <c r="CO16" s="11" t="str">
        <v>S5_60</v>
      </c>
      <c r="CP16" s="11" t="str">
        <v>S5_61</v>
      </c>
      <c r="CQ16" s="11" t="str">
        <v>S5_62</v>
      </c>
      <c r="CR16" s="11" t="str">
        <v>S5_63</v>
      </c>
      <c r="CS16" s="11" t="str">
        <v>S5_64</v>
      </c>
      <c r="CT16" s="11" t="str">
        <v>S5_65</v>
      </c>
      <c r="CU16" s="11" t="str">
        <v>S5_66</v>
      </c>
      <c r="CV16" s="11" t="str">
        <v>S5_67</v>
      </c>
      <c r="CW16" s="11" t="str">
        <v>S5_68</v>
      </c>
      <c r="CX16" s="11" t="str">
        <v>S5_69</v>
      </c>
      <c r="CY16" s="11" t="str">
        <v>S5_70</v>
      </c>
      <c r="CZ16" s="11" t="str">
        <v>S5_71</v>
      </c>
      <c r="DA16" s="11" t="str">
        <v>S5_72</v>
      </c>
      <c r="DB16" s="11" t="str">
        <v>S5_73</v>
      </c>
      <c r="DC16" s="11" t="str">
        <v>S5_74</v>
      </c>
      <c r="DD16" s="11" t="str">
        <v>S5_75</v>
      </c>
      <c r="DE16" s="11" t="str">
        <v>S5_76</v>
      </c>
      <c r="DF16" s="11" t="str">
        <v>S5_77</v>
      </c>
      <c r="DG16" s="11" t="str">
        <v>S5_79</v>
      </c>
      <c r="DH16" s="11" t="str">
        <v>S5_80</v>
      </c>
      <c r="DI16" s="11" t="str">
        <v>S5_81</v>
      </c>
      <c r="DJ16" s="11" t="str">
        <v>S5_82</v>
      </c>
      <c r="DK16" s="11" t="str">
        <v>S5_83</v>
      </c>
      <c r="DL16" s="11" t="str">
        <v>S5_84</v>
      </c>
      <c r="DM16" s="11" t="str">
        <v>S5_85</v>
      </c>
      <c r="DN16" s="11" t="str">
        <v>S5_86</v>
      </c>
      <c r="DO16" s="11" t="str">
        <v>S5_87</v>
      </c>
      <c r="DP16" s="11" t="str">
        <v>S5_88</v>
      </c>
      <c r="DQ16" s="11" t="str">
        <v>S5_89</v>
      </c>
      <c r="DR16" s="11" t="str">
        <v>S5_90</v>
      </c>
      <c r="DS16" s="11" t="str">
        <v>S5_91</v>
      </c>
      <c r="DT16" s="11" t="str">
        <v>S5_92</v>
      </c>
      <c r="DU16" s="11" t="str">
        <v>S5_93</v>
      </c>
      <c r="DV16" s="11" t="str">
        <v>S5_L01</v>
      </c>
      <c r="DW16" s="11" t="str">
        <v>S5_L02</v>
      </c>
      <c r="DX16" s="11" t="str">
        <v>S5_L03</v>
      </c>
      <c r="DY16" s="11" t="str">
        <v>S5_L04</v>
      </c>
      <c r="DZ16" s="11" t="str">
        <v>S5_L05</v>
      </c>
      <c r="EA16" s="11" t="str">
        <v>S5_L06</v>
      </c>
      <c r="EB16" s="11" t="str">
        <v>S5_L07</v>
      </c>
      <c r="EC16" s="11" t="str">
        <v>S5_L08</v>
      </c>
    </row>
    <row r="17" spans="2:133" s="11" customFormat="1" ht="18" customHeight="1" x14ac:dyDescent="0.25">
      <c r="B17" s="10"/>
      <c r="D17" s="11" t="str">
        <v>LS_05</v>
      </c>
      <c r="M17" s="23" t="s">
        <v>564</v>
      </c>
      <c r="N17" s="23" t="s">
        <v>2599</v>
      </c>
      <c r="O17" s="24">
        <v>31</v>
      </c>
      <c r="P17" s="30">
        <v>18</v>
      </c>
      <c r="Q17" s="81" t="s">
        <v>2581</v>
      </c>
      <c r="AD17" s="11" t="str">
        <v>SAP</v>
      </c>
      <c r="AE17" s="11" t="str">
        <v/>
      </c>
      <c r="AF17" s="11" t="str">
        <v/>
      </c>
      <c r="AO17" s="11" t="str">
        <v>L18_01</v>
      </c>
      <c r="AP17" s="11" t="str">
        <v>L18_03</v>
      </c>
      <c r="AQ17" s="11" t="str">
        <v>L18_04</v>
      </c>
      <c r="AR17" s="11" t="str">
        <v>L18_05</v>
      </c>
      <c r="AS17" s="11" t="str">
        <v>L18_06</v>
      </c>
      <c r="AT17" s="11" t="str">
        <v>L18_07</v>
      </c>
      <c r="AU17" s="11" t="str">
        <v>L18_08</v>
      </c>
      <c r="AV17" s="11" t="str">
        <v>L18_09</v>
      </c>
      <c r="AW17" s="11" t="str">
        <v>L18_10</v>
      </c>
      <c r="AX17" s="11" t="str">
        <v>L18_11</v>
      </c>
      <c r="AY17" s="11" t="str">
        <v>L18_S01</v>
      </c>
      <c r="AZ17" s="11" t="str">
        <v>L18_S02</v>
      </c>
      <c r="BA17" s="11" t="str">
        <v>L18_S03</v>
      </c>
      <c r="BB17" s="11" t="str">
        <v>L18_S04</v>
      </c>
      <c r="BC17" s="11" t="str">
        <v>L18_S05</v>
      </c>
      <c r="BD17" s="11" t="str">
        <v>L18_S06</v>
      </c>
      <c r="BE17" s="11" t="str">
        <v>L18_S07</v>
      </c>
      <c r="BF17" s="11" t="str">
        <v>L18_S09</v>
      </c>
      <c r="BG17" s="11" t="e">
        <v>#N/A</v>
      </c>
      <c r="BH17" s="11" t="e">
        <v>#N/A</v>
      </c>
      <c r="BI17" s="11" t="e">
        <v>#N/A</v>
      </c>
      <c r="BJ17" s="11" t="e">
        <v>#N/A</v>
      </c>
      <c r="BK17" s="11" t="e">
        <v>#N/A</v>
      </c>
      <c r="BL17" s="11" t="e">
        <v>#N/A</v>
      </c>
      <c r="BM17" s="11" t="e">
        <v>#N/A</v>
      </c>
      <c r="BN17" s="11" t="e">
        <v>#N/A</v>
      </c>
      <c r="BO17" s="11" t="e">
        <v>#N/A</v>
      </c>
      <c r="BP17" s="11" t="e">
        <v>#N/A</v>
      </c>
      <c r="BQ17" s="11" t="e">
        <v>#N/A</v>
      </c>
      <c r="BR17" s="11" t="e">
        <v>#N/A</v>
      </c>
      <c r="BS17" s="11" t="e">
        <v>#N/A</v>
      </c>
      <c r="BT17" s="11" t="e">
        <v>#N/A</v>
      </c>
      <c r="BU17" s="11" t="e">
        <v>#N/A</v>
      </c>
      <c r="BV17" s="11" t="e">
        <v>#N/A</v>
      </c>
      <c r="BW17" s="11" t="e">
        <v>#N/A</v>
      </c>
      <c r="BX17" s="11" t="e">
        <v>#N/A</v>
      </c>
      <c r="BY17" s="11" t="e">
        <v>#N/A</v>
      </c>
      <c r="BZ17" s="11" t="e">
        <v>#N/A</v>
      </c>
      <c r="CA17" s="11" t="e">
        <v>#N/A</v>
      </c>
      <c r="CB17" s="11" t="e">
        <v>#N/A</v>
      </c>
      <c r="CC17" s="11" t="e">
        <v>#N/A</v>
      </c>
      <c r="CD17" s="11" t="e">
        <v>#N/A</v>
      </c>
      <c r="CE17" s="11" t="e">
        <v>#N/A</v>
      </c>
      <c r="CF17" s="11" t="e">
        <v>#N/A</v>
      </c>
      <c r="CG17" s="11" t="e">
        <v>#N/A</v>
      </c>
      <c r="CH17" s="11" t="e">
        <v>#N/A</v>
      </c>
      <c r="CI17" s="11" t="e">
        <v>#N/A</v>
      </c>
      <c r="CJ17" s="11" t="e">
        <v>#N/A</v>
      </c>
      <c r="CK17" s="11" t="e">
        <v>#N/A</v>
      </c>
      <c r="CL17" s="11" t="e">
        <v>#N/A</v>
      </c>
      <c r="CM17" s="11" t="e">
        <v>#N/A</v>
      </c>
      <c r="CN17" s="11" t="e">
        <v>#N/A</v>
      </c>
      <c r="CO17" s="11" t="e">
        <v>#N/A</v>
      </c>
      <c r="CP17" s="11" t="e">
        <v>#N/A</v>
      </c>
      <c r="CQ17" s="11" t="e">
        <v>#N/A</v>
      </c>
      <c r="CR17" s="11" t="e">
        <v>#N/A</v>
      </c>
      <c r="CS17" s="11" t="e">
        <v>#N/A</v>
      </c>
      <c r="CT17" s="11" t="e">
        <v>#N/A</v>
      </c>
      <c r="CU17" s="11" t="e">
        <v>#N/A</v>
      </c>
      <c r="CV17" s="11" t="e">
        <v>#N/A</v>
      </c>
      <c r="CW17" s="11" t="e">
        <v>#N/A</v>
      </c>
      <c r="CX17" s="11" t="e">
        <v>#N/A</v>
      </c>
      <c r="CY17" s="11" t="e">
        <v>#N/A</v>
      </c>
      <c r="CZ17" s="11" t="e">
        <v>#N/A</v>
      </c>
      <c r="DA17" s="11" t="e">
        <v>#N/A</v>
      </c>
      <c r="DB17" s="11" t="e">
        <v>#N/A</v>
      </c>
      <c r="DC17" s="11" t="e">
        <v>#N/A</v>
      </c>
      <c r="DD17" s="11" t="e">
        <v>#N/A</v>
      </c>
      <c r="DE17" s="11" t="e">
        <v>#N/A</v>
      </c>
      <c r="DF17" s="11" t="e">
        <v>#N/A</v>
      </c>
      <c r="DG17" s="11" t="e">
        <v>#N/A</v>
      </c>
      <c r="DH17" s="11" t="e">
        <v>#N/A</v>
      </c>
      <c r="DI17" s="11" t="e">
        <v>#N/A</v>
      </c>
      <c r="DJ17" s="11" t="e">
        <v>#N/A</v>
      </c>
      <c r="DK17" s="11" t="e">
        <v>#N/A</v>
      </c>
      <c r="DL17" s="11" t="e">
        <v>#N/A</v>
      </c>
      <c r="DM17" s="11" t="e">
        <v>#N/A</v>
      </c>
      <c r="DN17" s="11" t="e">
        <v>#N/A</v>
      </c>
      <c r="DO17" s="11" t="e">
        <v>#N/A</v>
      </c>
      <c r="DP17" s="11" t="e">
        <v>#N/A</v>
      </c>
      <c r="DQ17" s="11" t="e">
        <v>#N/A</v>
      </c>
      <c r="DR17" s="11" t="e">
        <v>#N/A</v>
      </c>
      <c r="DS17" s="11" t="e">
        <v>#N/A</v>
      </c>
      <c r="DT17" s="11" t="e">
        <v>#N/A</v>
      </c>
      <c r="DU17" s="11" t="e">
        <v>#N/A</v>
      </c>
      <c r="DV17" s="11" t="e">
        <v>#N/A</v>
      </c>
      <c r="DW17" s="11" t="e">
        <v>#N/A</v>
      </c>
      <c r="DX17" s="11" t="e">
        <v>#N/A</v>
      </c>
      <c r="DY17" s="11" t="e">
        <v>#N/A</v>
      </c>
      <c r="DZ17" s="11" t="e">
        <v>#N/A</v>
      </c>
      <c r="EA17" s="11" t="e">
        <v>#N/A</v>
      </c>
      <c r="EB17" s="11" t="e">
        <v>#N/A</v>
      </c>
      <c r="EC17" s="11" t="e">
        <v>#N/A</v>
      </c>
    </row>
    <row r="18" spans="2:133" s="11" customFormat="1" ht="18" customHeight="1" x14ac:dyDescent="0.25">
      <c r="B18" s="10"/>
      <c r="D18" s="11" t="str">
        <v>LS_07</v>
      </c>
      <c r="G18" s="17" t="s">
        <v>2556</v>
      </c>
      <c r="H18" s="17" t="s">
        <v>20</v>
      </c>
      <c r="I18" s="6" t="s">
        <v>109</v>
      </c>
      <c r="J18" s="6"/>
      <c r="M18" s="23" t="s">
        <v>130</v>
      </c>
      <c r="N18" s="23" t="s">
        <v>2598</v>
      </c>
      <c r="O18" s="24">
        <v>31</v>
      </c>
      <c r="P18" s="30">
        <v>10</v>
      </c>
      <c r="Q18" s="81" t="s">
        <v>2581</v>
      </c>
      <c r="AD18" s="11" t="str">
        <v>SAP</v>
      </c>
      <c r="AE18" s="11" t="str">
        <v/>
      </c>
      <c r="AF18" s="11" t="str">
        <v/>
      </c>
      <c r="AO18" s="11" t="str">
        <v>BR-C6_L22</v>
      </c>
      <c r="AP18" s="11" t="str">
        <v>BR-C6_L23</v>
      </c>
      <c r="AQ18" s="11" t="str">
        <v>BR-C6_S07</v>
      </c>
      <c r="AR18" s="11" t="str">
        <v>BR-C6_S08</v>
      </c>
      <c r="AS18" s="11" t="str">
        <v>BR-C6_S10</v>
      </c>
      <c r="AT18" s="11" t="str">
        <v>BR-C6C_S06</v>
      </c>
      <c r="AU18" s="11" t="str">
        <v>BR-C6C_S07</v>
      </c>
      <c r="AV18" s="11" t="str">
        <v>BR-C6D_S06</v>
      </c>
      <c r="AW18" s="11" t="str">
        <v>BR-C6D_S16</v>
      </c>
      <c r="AX18" s="11" t="e">
        <v>#N/A</v>
      </c>
      <c r="AY18" s="11" t="e">
        <v>#N/A</v>
      </c>
      <c r="AZ18" s="11" t="e">
        <v>#N/A</v>
      </c>
      <c r="BA18" s="11" t="e">
        <v>#N/A</v>
      </c>
      <c r="BB18" s="11" t="e">
        <v>#N/A</v>
      </c>
      <c r="BC18" s="11" t="e">
        <v>#N/A</v>
      </c>
      <c r="BD18" s="11" t="e">
        <v>#N/A</v>
      </c>
      <c r="BE18" s="11" t="e">
        <v>#N/A</v>
      </c>
      <c r="BF18" s="11" t="e">
        <v>#N/A</v>
      </c>
      <c r="BG18" s="11" t="e">
        <v>#N/A</v>
      </c>
      <c r="BH18" s="11" t="e">
        <v>#N/A</v>
      </c>
      <c r="BI18" s="11" t="e">
        <v>#N/A</v>
      </c>
      <c r="BJ18" s="11" t="e">
        <v>#N/A</v>
      </c>
      <c r="BK18" s="11" t="e">
        <v>#N/A</v>
      </c>
      <c r="BL18" s="11" t="e">
        <v>#N/A</v>
      </c>
      <c r="BM18" s="11" t="e">
        <v>#N/A</v>
      </c>
      <c r="BN18" s="11" t="e">
        <v>#N/A</v>
      </c>
      <c r="BO18" s="11" t="e">
        <v>#N/A</v>
      </c>
      <c r="BP18" s="11" t="e">
        <v>#N/A</v>
      </c>
      <c r="BQ18" s="11" t="e">
        <v>#N/A</v>
      </c>
      <c r="BR18" s="11" t="e">
        <v>#N/A</v>
      </c>
      <c r="BS18" s="11" t="e">
        <v>#N/A</v>
      </c>
      <c r="BT18" s="11" t="e">
        <v>#N/A</v>
      </c>
      <c r="BU18" s="11" t="e">
        <v>#N/A</v>
      </c>
      <c r="BV18" s="11" t="e">
        <v>#N/A</v>
      </c>
      <c r="BW18" s="11" t="e">
        <v>#N/A</v>
      </c>
      <c r="BX18" s="11" t="e">
        <v>#N/A</v>
      </c>
      <c r="BY18" s="11" t="e">
        <v>#N/A</v>
      </c>
      <c r="BZ18" s="11" t="e">
        <v>#N/A</v>
      </c>
      <c r="CA18" s="11" t="e">
        <v>#N/A</v>
      </c>
      <c r="CB18" s="11" t="e">
        <v>#N/A</v>
      </c>
      <c r="CC18" s="11" t="e">
        <v>#N/A</v>
      </c>
      <c r="CD18" s="11" t="e">
        <v>#N/A</v>
      </c>
      <c r="CE18" s="11" t="e">
        <v>#N/A</v>
      </c>
      <c r="CF18" s="11" t="e">
        <v>#N/A</v>
      </c>
      <c r="CG18" s="11" t="e">
        <v>#N/A</v>
      </c>
      <c r="CH18" s="11" t="e">
        <v>#N/A</v>
      </c>
      <c r="CI18" s="11" t="e">
        <v>#N/A</v>
      </c>
      <c r="CJ18" s="11" t="e">
        <v>#N/A</v>
      </c>
      <c r="CK18" s="11" t="e">
        <v>#N/A</v>
      </c>
      <c r="CL18" s="11" t="e">
        <v>#N/A</v>
      </c>
      <c r="CM18" s="11" t="e">
        <v>#N/A</v>
      </c>
      <c r="CN18" s="11" t="e">
        <v>#N/A</v>
      </c>
      <c r="CO18" s="11" t="e">
        <v>#N/A</v>
      </c>
      <c r="CP18" s="11" t="e">
        <v>#N/A</v>
      </c>
      <c r="CQ18" s="11" t="e">
        <v>#N/A</v>
      </c>
      <c r="CR18" s="11" t="e">
        <v>#N/A</v>
      </c>
      <c r="CS18" s="11" t="e">
        <v>#N/A</v>
      </c>
      <c r="CT18" s="11" t="e">
        <v>#N/A</v>
      </c>
      <c r="CU18" s="11" t="e">
        <v>#N/A</v>
      </c>
      <c r="CV18" s="11" t="e">
        <v>#N/A</v>
      </c>
      <c r="CW18" s="11" t="e">
        <v>#N/A</v>
      </c>
      <c r="CX18" s="11" t="e">
        <v>#N/A</v>
      </c>
      <c r="CY18" s="11" t="e">
        <v>#N/A</v>
      </c>
      <c r="CZ18" s="11" t="e">
        <v>#N/A</v>
      </c>
      <c r="DA18" s="11" t="e">
        <v>#N/A</v>
      </c>
      <c r="DB18" s="11" t="e">
        <v>#N/A</v>
      </c>
      <c r="DC18" s="11" t="e">
        <v>#N/A</v>
      </c>
      <c r="DD18" s="11" t="e">
        <v>#N/A</v>
      </c>
      <c r="DE18" s="11" t="e">
        <v>#N/A</v>
      </c>
      <c r="DF18" s="11" t="e">
        <v>#N/A</v>
      </c>
      <c r="DG18" s="11" t="e">
        <v>#N/A</v>
      </c>
      <c r="DH18" s="11" t="e">
        <v>#N/A</v>
      </c>
      <c r="DI18" s="11" t="e">
        <v>#N/A</v>
      </c>
      <c r="DJ18" s="11" t="e">
        <v>#N/A</v>
      </c>
      <c r="DK18" s="11" t="e">
        <v>#N/A</v>
      </c>
      <c r="DL18" s="11" t="e">
        <v>#N/A</v>
      </c>
      <c r="DM18" s="11" t="e">
        <v>#N/A</v>
      </c>
      <c r="DN18" s="11" t="e">
        <v>#N/A</v>
      </c>
      <c r="DO18" s="11" t="e">
        <v>#N/A</v>
      </c>
      <c r="DP18" s="11" t="e">
        <v>#N/A</v>
      </c>
      <c r="DQ18" s="11" t="e">
        <v>#N/A</v>
      </c>
      <c r="DR18" s="11" t="e">
        <v>#N/A</v>
      </c>
      <c r="DS18" s="11" t="e">
        <v>#N/A</v>
      </c>
      <c r="DT18" s="11" t="e">
        <v>#N/A</v>
      </c>
      <c r="DU18" s="11" t="e">
        <v>#N/A</v>
      </c>
      <c r="DV18" s="11" t="e">
        <v>#N/A</v>
      </c>
      <c r="DW18" s="11" t="e">
        <v>#N/A</v>
      </c>
      <c r="DX18" s="11" t="e">
        <v>#N/A</v>
      </c>
      <c r="DY18" s="11" t="e">
        <v>#N/A</v>
      </c>
      <c r="DZ18" s="11" t="e">
        <v>#N/A</v>
      </c>
      <c r="EA18" s="11" t="e">
        <v>#N/A</v>
      </c>
      <c r="EB18" s="11" t="e">
        <v>#N/A</v>
      </c>
      <c r="EC18" s="11" t="e">
        <v>#N/A</v>
      </c>
    </row>
    <row r="19" spans="2:133" s="11" customFormat="1" ht="18" customHeight="1" x14ac:dyDescent="0.25">
      <c r="B19" s="10"/>
      <c r="D19" s="11" t="str">
        <v>LS_08</v>
      </c>
      <c r="G19" s="106" t="s">
        <v>2625</v>
      </c>
      <c r="H19" s="44">
        <v>260225</v>
      </c>
      <c r="I19" s="45" t="str" cm="1">
        <f t="array" ref="I19:I27">IF(Person4[NIK]="","",_xlfn.XLOOKUP(Person4[NIK],Emply_Crew[NIK],Emply_Crew[EMP_NAME]))</f>
        <v>Andri Tani Kusuma</v>
      </c>
      <c r="J19" s="45"/>
      <c r="M19" s="23" t="s">
        <v>139</v>
      </c>
      <c r="N19" s="23" t="s">
        <v>2597</v>
      </c>
      <c r="O19" s="24">
        <v>4</v>
      </c>
      <c r="P19" s="30">
        <v>79</v>
      </c>
      <c r="Q19" s="81" t="s">
        <v>2581</v>
      </c>
      <c r="AD19" s="11" t="str">
        <v>LIM</v>
      </c>
      <c r="AE19" s="11" t="str">
        <v/>
      </c>
      <c r="AF19" s="11" t="str">
        <v/>
      </c>
      <c r="AO19" s="11" t="str">
        <v>BR-C12_L10</v>
      </c>
      <c r="AP19" s="11" t="str">
        <v>BR-C12_L11</v>
      </c>
      <c r="AQ19" s="11" t="str">
        <v>BR-C12_L12</v>
      </c>
      <c r="AR19" s="11" t="e">
        <v>#N/A</v>
      </c>
      <c r="AS19" s="11" t="e">
        <v>#N/A</v>
      </c>
      <c r="AT19" s="11" t="e">
        <v>#N/A</v>
      </c>
      <c r="AU19" s="11" t="e">
        <v>#N/A</v>
      </c>
      <c r="AV19" s="11" t="e">
        <v>#N/A</v>
      </c>
      <c r="AW19" s="11" t="e">
        <v>#N/A</v>
      </c>
      <c r="AX19" s="11" t="e">
        <v>#N/A</v>
      </c>
      <c r="AY19" s="11" t="e">
        <v>#N/A</v>
      </c>
      <c r="AZ19" s="11" t="e">
        <v>#N/A</v>
      </c>
      <c r="BA19" s="11" t="e">
        <v>#N/A</v>
      </c>
      <c r="BB19" s="11" t="e">
        <v>#N/A</v>
      </c>
      <c r="BC19" s="11" t="e">
        <v>#N/A</v>
      </c>
      <c r="BD19" s="11" t="e">
        <v>#N/A</v>
      </c>
      <c r="BE19" s="11" t="e">
        <v>#N/A</v>
      </c>
      <c r="BF19" s="11" t="e">
        <v>#N/A</v>
      </c>
      <c r="BG19" s="11" t="e">
        <v>#N/A</v>
      </c>
      <c r="BH19" s="11" t="e">
        <v>#N/A</v>
      </c>
      <c r="BI19" s="11" t="e">
        <v>#N/A</v>
      </c>
      <c r="BJ19" s="11" t="e">
        <v>#N/A</v>
      </c>
      <c r="BK19" s="11" t="e">
        <v>#N/A</v>
      </c>
      <c r="BL19" s="11" t="e">
        <v>#N/A</v>
      </c>
      <c r="BM19" s="11" t="e">
        <v>#N/A</v>
      </c>
      <c r="BN19" s="11" t="e">
        <v>#N/A</v>
      </c>
      <c r="BO19" s="11" t="e">
        <v>#N/A</v>
      </c>
      <c r="BP19" s="11" t="e">
        <v>#N/A</v>
      </c>
      <c r="BQ19" s="11" t="e">
        <v>#N/A</v>
      </c>
      <c r="BR19" s="11" t="e">
        <v>#N/A</v>
      </c>
      <c r="BS19" s="11" t="e">
        <v>#N/A</v>
      </c>
      <c r="BT19" s="11" t="e">
        <v>#N/A</v>
      </c>
      <c r="BU19" s="11" t="e">
        <v>#N/A</v>
      </c>
      <c r="BV19" s="11" t="e">
        <v>#N/A</v>
      </c>
      <c r="BW19" s="11" t="e">
        <v>#N/A</v>
      </c>
      <c r="BX19" s="11" t="e">
        <v>#N/A</v>
      </c>
      <c r="BY19" s="11" t="e">
        <v>#N/A</v>
      </c>
      <c r="BZ19" s="11" t="e">
        <v>#N/A</v>
      </c>
      <c r="CA19" s="11" t="e">
        <v>#N/A</v>
      </c>
      <c r="CB19" s="11" t="e">
        <v>#N/A</v>
      </c>
      <c r="CC19" s="11" t="e">
        <v>#N/A</v>
      </c>
      <c r="CD19" s="11" t="e">
        <v>#N/A</v>
      </c>
      <c r="CE19" s="11" t="e">
        <v>#N/A</v>
      </c>
      <c r="CF19" s="11" t="e">
        <v>#N/A</v>
      </c>
      <c r="CG19" s="11" t="e">
        <v>#N/A</v>
      </c>
      <c r="CH19" s="11" t="e">
        <v>#N/A</v>
      </c>
      <c r="CI19" s="11" t="e">
        <v>#N/A</v>
      </c>
      <c r="CJ19" s="11" t="e">
        <v>#N/A</v>
      </c>
      <c r="CK19" s="11" t="e">
        <v>#N/A</v>
      </c>
      <c r="CL19" s="11" t="e">
        <v>#N/A</v>
      </c>
      <c r="CM19" s="11" t="e">
        <v>#N/A</v>
      </c>
      <c r="CN19" s="11" t="e">
        <v>#N/A</v>
      </c>
      <c r="CO19" s="11" t="e">
        <v>#N/A</v>
      </c>
      <c r="CP19" s="11" t="e">
        <v>#N/A</v>
      </c>
      <c r="CQ19" s="11" t="e">
        <v>#N/A</v>
      </c>
      <c r="CR19" s="11" t="e">
        <v>#N/A</v>
      </c>
      <c r="CS19" s="11" t="e">
        <v>#N/A</v>
      </c>
      <c r="CT19" s="11" t="e">
        <v>#N/A</v>
      </c>
      <c r="CU19" s="11" t="e">
        <v>#N/A</v>
      </c>
      <c r="CV19" s="11" t="e">
        <v>#N/A</v>
      </c>
      <c r="CW19" s="11" t="e">
        <v>#N/A</v>
      </c>
      <c r="CX19" s="11" t="e">
        <v>#N/A</v>
      </c>
      <c r="CY19" s="11" t="e">
        <v>#N/A</v>
      </c>
      <c r="CZ19" s="11" t="e">
        <v>#N/A</v>
      </c>
      <c r="DA19" s="11" t="e">
        <v>#N/A</v>
      </c>
      <c r="DB19" s="11" t="e">
        <v>#N/A</v>
      </c>
      <c r="DC19" s="11" t="e">
        <v>#N/A</v>
      </c>
      <c r="DD19" s="11" t="e">
        <v>#N/A</v>
      </c>
      <c r="DE19" s="11" t="e">
        <v>#N/A</v>
      </c>
      <c r="DF19" s="11" t="e">
        <v>#N/A</v>
      </c>
      <c r="DG19" s="11" t="e">
        <v>#N/A</v>
      </c>
      <c r="DH19" s="11" t="e">
        <v>#N/A</v>
      </c>
      <c r="DI19" s="11" t="e">
        <v>#N/A</v>
      </c>
      <c r="DJ19" s="11" t="e">
        <v>#N/A</v>
      </c>
      <c r="DK19" s="11" t="e">
        <v>#N/A</v>
      </c>
      <c r="DL19" s="11" t="e">
        <v>#N/A</v>
      </c>
      <c r="DM19" s="11" t="e">
        <v>#N/A</v>
      </c>
      <c r="DN19" s="11" t="e">
        <v>#N/A</v>
      </c>
      <c r="DO19" s="11" t="e">
        <v>#N/A</v>
      </c>
      <c r="DP19" s="11" t="e">
        <v>#N/A</v>
      </c>
      <c r="DQ19" s="11" t="e">
        <v>#N/A</v>
      </c>
      <c r="DR19" s="11" t="e">
        <v>#N/A</v>
      </c>
      <c r="DS19" s="11" t="e">
        <v>#N/A</v>
      </c>
      <c r="DT19" s="11" t="e">
        <v>#N/A</v>
      </c>
      <c r="DU19" s="11" t="e">
        <v>#N/A</v>
      </c>
      <c r="DV19" s="11" t="e">
        <v>#N/A</v>
      </c>
      <c r="DW19" s="11" t="e">
        <v>#N/A</v>
      </c>
      <c r="DX19" s="11" t="e">
        <v>#N/A</v>
      </c>
      <c r="DY19" s="11" t="e">
        <v>#N/A</v>
      </c>
      <c r="DZ19" s="11" t="e">
        <v>#N/A</v>
      </c>
      <c r="EA19" s="11" t="e">
        <v>#N/A</v>
      </c>
      <c r="EB19" s="11" t="e">
        <v>#N/A</v>
      </c>
      <c r="EC19" s="11" t="e">
        <v>#N/A</v>
      </c>
    </row>
    <row r="20" spans="2:133" s="11" customFormat="1" ht="18" customHeight="1" x14ac:dyDescent="0.25">
      <c r="B20" s="10"/>
      <c r="D20" s="11" t="str">
        <v>LS_09</v>
      </c>
      <c r="G20" s="46"/>
      <c r="H20" s="46"/>
      <c r="I20" s="45" t="str">
        <v/>
      </c>
      <c r="J20" s="45"/>
      <c r="M20" s="23" t="s">
        <v>130</v>
      </c>
      <c r="N20" s="23" t="s">
        <v>2598</v>
      </c>
      <c r="O20" s="24">
        <v>22</v>
      </c>
      <c r="P20" s="30">
        <v>13</v>
      </c>
      <c r="Q20" s="81" t="s">
        <v>2581</v>
      </c>
      <c r="AD20" s="11" t="str">
        <v>SAP</v>
      </c>
      <c r="AE20" s="11" t="str">
        <v/>
      </c>
      <c r="AF20" s="11" t="str">
        <v/>
      </c>
      <c r="AO20" s="11" t="str">
        <v>BR-C6_L22</v>
      </c>
      <c r="AP20" s="11" t="str">
        <v>BR-C6_L23</v>
      </c>
      <c r="AQ20" s="11" t="str">
        <v>BR-C6_S07</v>
      </c>
      <c r="AR20" s="11" t="str">
        <v>BR-C6_S08</v>
      </c>
      <c r="AS20" s="11" t="str">
        <v>BR-C6_S10</v>
      </c>
      <c r="AT20" s="11" t="str">
        <v>BR-C6C_S06</v>
      </c>
      <c r="AU20" s="11" t="str">
        <v>BR-C6C_S07</v>
      </c>
      <c r="AV20" s="11" t="str">
        <v>BR-C6D_S06</v>
      </c>
      <c r="AW20" s="11" t="str">
        <v>BR-C6D_S16</v>
      </c>
      <c r="AX20" s="11" t="e">
        <v>#N/A</v>
      </c>
      <c r="AY20" s="11" t="e">
        <v>#N/A</v>
      </c>
      <c r="AZ20" s="11" t="e">
        <v>#N/A</v>
      </c>
      <c r="BA20" s="11" t="e">
        <v>#N/A</v>
      </c>
      <c r="BB20" s="11" t="e">
        <v>#N/A</v>
      </c>
      <c r="BC20" s="11" t="e">
        <v>#N/A</v>
      </c>
      <c r="BD20" s="11" t="e">
        <v>#N/A</v>
      </c>
      <c r="BE20" s="11" t="e">
        <v>#N/A</v>
      </c>
      <c r="BF20" s="11" t="e">
        <v>#N/A</v>
      </c>
      <c r="BG20" s="11" t="e">
        <v>#N/A</v>
      </c>
      <c r="BH20" s="11" t="e">
        <v>#N/A</v>
      </c>
      <c r="BI20" s="11" t="e">
        <v>#N/A</v>
      </c>
      <c r="BJ20" s="11" t="e">
        <v>#N/A</v>
      </c>
      <c r="BK20" s="11" t="e">
        <v>#N/A</v>
      </c>
      <c r="BL20" s="11" t="e">
        <v>#N/A</v>
      </c>
      <c r="BM20" s="11" t="e">
        <v>#N/A</v>
      </c>
      <c r="BN20" s="11" t="e">
        <v>#N/A</v>
      </c>
      <c r="BO20" s="11" t="e">
        <v>#N/A</v>
      </c>
      <c r="BP20" s="11" t="e">
        <v>#N/A</v>
      </c>
      <c r="BQ20" s="11" t="e">
        <v>#N/A</v>
      </c>
      <c r="BR20" s="11" t="e">
        <v>#N/A</v>
      </c>
      <c r="BS20" s="11" t="e">
        <v>#N/A</v>
      </c>
      <c r="BT20" s="11" t="e">
        <v>#N/A</v>
      </c>
      <c r="BU20" s="11" t="e">
        <v>#N/A</v>
      </c>
      <c r="BV20" s="11" t="e">
        <v>#N/A</v>
      </c>
      <c r="BW20" s="11" t="e">
        <v>#N/A</v>
      </c>
      <c r="BX20" s="11" t="e">
        <v>#N/A</v>
      </c>
      <c r="BY20" s="11" t="e">
        <v>#N/A</v>
      </c>
      <c r="BZ20" s="11" t="e">
        <v>#N/A</v>
      </c>
      <c r="CA20" s="11" t="e">
        <v>#N/A</v>
      </c>
      <c r="CB20" s="11" t="e">
        <v>#N/A</v>
      </c>
      <c r="CC20" s="11" t="e">
        <v>#N/A</v>
      </c>
      <c r="CD20" s="11" t="e">
        <v>#N/A</v>
      </c>
      <c r="CE20" s="11" t="e">
        <v>#N/A</v>
      </c>
      <c r="CF20" s="11" t="e">
        <v>#N/A</v>
      </c>
      <c r="CG20" s="11" t="e">
        <v>#N/A</v>
      </c>
      <c r="CH20" s="11" t="e">
        <v>#N/A</v>
      </c>
      <c r="CI20" s="11" t="e">
        <v>#N/A</v>
      </c>
      <c r="CJ20" s="11" t="e">
        <v>#N/A</v>
      </c>
      <c r="CK20" s="11" t="e">
        <v>#N/A</v>
      </c>
      <c r="CL20" s="11" t="e">
        <v>#N/A</v>
      </c>
      <c r="CM20" s="11" t="e">
        <v>#N/A</v>
      </c>
      <c r="CN20" s="11" t="e">
        <v>#N/A</v>
      </c>
      <c r="CO20" s="11" t="e">
        <v>#N/A</v>
      </c>
      <c r="CP20" s="11" t="e">
        <v>#N/A</v>
      </c>
      <c r="CQ20" s="11" t="e">
        <v>#N/A</v>
      </c>
      <c r="CR20" s="11" t="e">
        <v>#N/A</v>
      </c>
      <c r="CS20" s="11" t="e">
        <v>#N/A</v>
      </c>
      <c r="CT20" s="11" t="e">
        <v>#N/A</v>
      </c>
      <c r="CU20" s="11" t="e">
        <v>#N/A</v>
      </c>
      <c r="CV20" s="11" t="e">
        <v>#N/A</v>
      </c>
      <c r="CW20" s="11" t="e">
        <v>#N/A</v>
      </c>
      <c r="CX20" s="11" t="e">
        <v>#N/A</v>
      </c>
      <c r="CY20" s="11" t="e">
        <v>#N/A</v>
      </c>
      <c r="CZ20" s="11" t="e">
        <v>#N/A</v>
      </c>
      <c r="DA20" s="11" t="e">
        <v>#N/A</v>
      </c>
      <c r="DB20" s="11" t="e">
        <v>#N/A</v>
      </c>
      <c r="DC20" s="11" t="e">
        <v>#N/A</v>
      </c>
      <c r="DD20" s="11" t="e">
        <v>#N/A</v>
      </c>
      <c r="DE20" s="11" t="e">
        <v>#N/A</v>
      </c>
      <c r="DF20" s="11" t="e">
        <v>#N/A</v>
      </c>
      <c r="DG20" s="11" t="e">
        <v>#N/A</v>
      </c>
      <c r="DH20" s="11" t="e">
        <v>#N/A</v>
      </c>
      <c r="DI20" s="11" t="e">
        <v>#N/A</v>
      </c>
      <c r="DJ20" s="11" t="e">
        <v>#N/A</v>
      </c>
      <c r="DK20" s="11" t="e">
        <v>#N/A</v>
      </c>
      <c r="DL20" s="11" t="e">
        <v>#N/A</v>
      </c>
      <c r="DM20" s="11" t="e">
        <v>#N/A</v>
      </c>
      <c r="DN20" s="11" t="e">
        <v>#N/A</v>
      </c>
      <c r="DO20" s="11" t="e">
        <v>#N/A</v>
      </c>
      <c r="DP20" s="11" t="e">
        <v>#N/A</v>
      </c>
      <c r="DQ20" s="11" t="e">
        <v>#N/A</v>
      </c>
      <c r="DR20" s="11" t="e">
        <v>#N/A</v>
      </c>
      <c r="DS20" s="11" t="e">
        <v>#N/A</v>
      </c>
      <c r="DT20" s="11" t="e">
        <v>#N/A</v>
      </c>
      <c r="DU20" s="11" t="e">
        <v>#N/A</v>
      </c>
      <c r="DV20" s="11" t="e">
        <v>#N/A</v>
      </c>
      <c r="DW20" s="11" t="e">
        <v>#N/A</v>
      </c>
      <c r="DX20" s="11" t="e">
        <v>#N/A</v>
      </c>
      <c r="DY20" s="11" t="e">
        <v>#N/A</v>
      </c>
      <c r="DZ20" s="11" t="e">
        <v>#N/A</v>
      </c>
      <c r="EA20" s="11" t="e">
        <v>#N/A</v>
      </c>
      <c r="EB20" s="11" t="e">
        <v>#N/A</v>
      </c>
      <c r="EC20" s="11" t="e">
        <v>#N/A</v>
      </c>
    </row>
    <row r="21" spans="2:133" s="11" customFormat="1" ht="18" customHeight="1" x14ac:dyDescent="0.25">
      <c r="B21" s="10"/>
      <c r="D21" s="11" t="str">
        <v>LS_12</v>
      </c>
      <c r="G21" s="46"/>
      <c r="H21" s="46"/>
      <c r="I21" s="45" t="str">
        <v/>
      </c>
      <c r="J21" s="45"/>
      <c r="M21" s="23" t="s">
        <v>867</v>
      </c>
      <c r="N21" s="23" t="s">
        <v>937</v>
      </c>
      <c r="O21" s="24">
        <v>42</v>
      </c>
      <c r="P21" s="30">
        <v>19</v>
      </c>
      <c r="Q21" s="81" t="s">
        <v>2581</v>
      </c>
      <c r="AD21" s="11" t="str">
        <v>SAP</v>
      </c>
      <c r="AE21" s="11" t="str">
        <v/>
      </c>
      <c r="AF21" s="11" t="str">
        <v/>
      </c>
      <c r="AO21" s="11" t="str">
        <v>S5_01</v>
      </c>
      <c r="AP21" s="11" t="str">
        <v>S5_06</v>
      </c>
      <c r="AQ21" s="11" t="str">
        <v>S5_06_02A</v>
      </c>
      <c r="AR21" s="11" t="str">
        <v>S5_07</v>
      </c>
      <c r="AS21" s="11" t="str">
        <v>S5_12_02</v>
      </c>
      <c r="AT21" s="11" t="str">
        <v>S5_13</v>
      </c>
      <c r="AU21" s="11" t="str">
        <v>S5_14</v>
      </c>
      <c r="AV21" s="11" t="str">
        <v>S5_15</v>
      </c>
      <c r="AW21" s="11" t="str">
        <v>S5_16</v>
      </c>
      <c r="AX21" s="11" t="str">
        <v>S5_17</v>
      </c>
      <c r="AY21" s="11" t="str">
        <v>S5_18</v>
      </c>
      <c r="AZ21" s="11" t="str">
        <v>S5_19</v>
      </c>
      <c r="BA21" s="11" t="str">
        <v>S5_20</v>
      </c>
      <c r="BB21" s="11" t="str">
        <v>S5_21</v>
      </c>
      <c r="BC21" s="11" t="str">
        <v>S5_22</v>
      </c>
      <c r="BD21" s="11" t="str">
        <v>S5_23</v>
      </c>
      <c r="BE21" s="11" t="str">
        <v>S5_24</v>
      </c>
      <c r="BF21" s="11" t="str">
        <v>S5_25</v>
      </c>
      <c r="BG21" s="11" t="str">
        <v>S5_26</v>
      </c>
      <c r="BH21" s="11" t="str">
        <v>S5_27</v>
      </c>
      <c r="BI21" s="11" t="str">
        <v>S5_28</v>
      </c>
      <c r="BJ21" s="11" t="str">
        <v>S5_29</v>
      </c>
      <c r="BK21" s="11" t="str">
        <v>S5_30</v>
      </c>
      <c r="BL21" s="11" t="str">
        <v>S5_31</v>
      </c>
      <c r="BM21" s="11" t="str">
        <v>S5_32</v>
      </c>
      <c r="BN21" s="11" t="str">
        <v>S5_33</v>
      </c>
      <c r="BO21" s="11" t="str">
        <v>S5_34</v>
      </c>
      <c r="BP21" s="11" t="str">
        <v>S5_35</v>
      </c>
      <c r="BQ21" s="11" t="str">
        <v>S5_36</v>
      </c>
      <c r="BR21" s="11" t="str">
        <v>S5_37</v>
      </c>
      <c r="BS21" s="11" t="str">
        <v>S5_38</v>
      </c>
      <c r="BT21" s="11" t="str">
        <v>S5_39</v>
      </c>
      <c r="BU21" s="11" t="str">
        <v>S5_40</v>
      </c>
      <c r="BV21" s="11" t="str">
        <v>S5_41</v>
      </c>
      <c r="BW21" s="11" t="str">
        <v>S5_42</v>
      </c>
      <c r="BX21" s="11" t="str">
        <v>S5_43</v>
      </c>
      <c r="BY21" s="11" t="str">
        <v>S5_44</v>
      </c>
      <c r="BZ21" s="11" t="str">
        <v>S5_45</v>
      </c>
      <c r="CA21" s="11" t="str">
        <v>S5_46</v>
      </c>
      <c r="CB21" s="11" t="str">
        <v>S5_47</v>
      </c>
      <c r="CC21" s="11" t="str">
        <v>S5_48</v>
      </c>
      <c r="CD21" s="11" t="str">
        <v>S5_49</v>
      </c>
      <c r="CE21" s="11" t="str">
        <v>S5_50</v>
      </c>
      <c r="CF21" s="11" t="str">
        <v>S5_51</v>
      </c>
      <c r="CG21" s="11" t="str">
        <v>S5_52</v>
      </c>
      <c r="CH21" s="11" t="str">
        <v>S5_53</v>
      </c>
      <c r="CI21" s="11" t="str">
        <v>S5_54</v>
      </c>
      <c r="CJ21" s="11" t="str">
        <v>S5_55</v>
      </c>
      <c r="CK21" s="11" t="str">
        <v>S5_56</v>
      </c>
      <c r="CL21" s="11" t="str">
        <v>S5_57</v>
      </c>
      <c r="CM21" s="11" t="str">
        <v>S5_58</v>
      </c>
      <c r="CN21" s="11" t="str">
        <v>S5_59</v>
      </c>
      <c r="CO21" s="11" t="str">
        <v>S5_60</v>
      </c>
      <c r="CP21" s="11" t="str">
        <v>S5_61</v>
      </c>
      <c r="CQ21" s="11" t="str">
        <v>S5_62</v>
      </c>
      <c r="CR21" s="11" t="str">
        <v>S5_63</v>
      </c>
      <c r="CS21" s="11" t="str">
        <v>S5_64</v>
      </c>
      <c r="CT21" s="11" t="str">
        <v>S5_65</v>
      </c>
      <c r="CU21" s="11" t="str">
        <v>S5_66</v>
      </c>
      <c r="CV21" s="11" t="str">
        <v>S5_67</v>
      </c>
      <c r="CW21" s="11" t="str">
        <v>S5_68</v>
      </c>
      <c r="CX21" s="11" t="str">
        <v>S5_69</v>
      </c>
      <c r="CY21" s="11" t="str">
        <v>S5_70</v>
      </c>
      <c r="CZ21" s="11" t="str">
        <v>S5_71</v>
      </c>
      <c r="DA21" s="11" t="str">
        <v>S5_72</v>
      </c>
      <c r="DB21" s="11" t="str">
        <v>S5_73</v>
      </c>
      <c r="DC21" s="11" t="str">
        <v>S5_74</v>
      </c>
      <c r="DD21" s="11" t="str">
        <v>S5_75</v>
      </c>
      <c r="DE21" s="11" t="str">
        <v>S5_76</v>
      </c>
      <c r="DF21" s="11" t="str">
        <v>S5_77</v>
      </c>
      <c r="DG21" s="11" t="str">
        <v>S5_79</v>
      </c>
      <c r="DH21" s="11" t="str">
        <v>S5_80</v>
      </c>
      <c r="DI21" s="11" t="str">
        <v>S5_81</v>
      </c>
      <c r="DJ21" s="11" t="str">
        <v>S5_82</v>
      </c>
      <c r="DK21" s="11" t="str">
        <v>S5_83</v>
      </c>
      <c r="DL21" s="11" t="str">
        <v>S5_84</v>
      </c>
      <c r="DM21" s="11" t="str">
        <v>S5_85</v>
      </c>
      <c r="DN21" s="11" t="str">
        <v>S5_86</v>
      </c>
      <c r="DO21" s="11" t="str">
        <v>S5_87</v>
      </c>
      <c r="DP21" s="11" t="str">
        <v>S5_88</v>
      </c>
      <c r="DQ21" s="11" t="str">
        <v>S5_89</v>
      </c>
      <c r="DR21" s="11" t="str">
        <v>S5_90</v>
      </c>
      <c r="DS21" s="11" t="str">
        <v>S5_91</v>
      </c>
      <c r="DT21" s="11" t="str">
        <v>S5_92</v>
      </c>
      <c r="DU21" s="11" t="str">
        <v>S5_93</v>
      </c>
      <c r="DV21" s="11" t="str">
        <v>S5_L01</v>
      </c>
      <c r="DW21" s="11" t="str">
        <v>S5_L02</v>
      </c>
      <c r="DX21" s="11" t="str">
        <v>S5_L03</v>
      </c>
      <c r="DY21" s="11" t="str">
        <v>S5_L04</v>
      </c>
      <c r="DZ21" s="11" t="str">
        <v>S5_L05</v>
      </c>
      <c r="EA21" s="11" t="str">
        <v>S5_L06</v>
      </c>
      <c r="EB21" s="11" t="str">
        <v>S5_L07</v>
      </c>
      <c r="EC21" s="11" t="str">
        <v>S5_L08</v>
      </c>
    </row>
    <row r="22" spans="2:133" s="11" customFormat="1" ht="18" customHeight="1" x14ac:dyDescent="0.25">
      <c r="B22" s="10"/>
      <c r="D22" s="11" t="str">
        <v>LS_14</v>
      </c>
      <c r="G22" s="46"/>
      <c r="H22" s="46"/>
      <c r="I22" s="45" t="str">
        <v/>
      </c>
      <c r="J22" s="45"/>
      <c r="M22" s="23" t="s">
        <v>130</v>
      </c>
      <c r="N22" s="23" t="s">
        <v>2598</v>
      </c>
      <c r="O22" s="24">
        <v>12</v>
      </c>
      <c r="P22" s="30">
        <v>7</v>
      </c>
      <c r="Q22" s="81" t="s">
        <v>2581</v>
      </c>
      <c r="AD22" s="11" t="str">
        <v>SAP</v>
      </c>
      <c r="AE22" s="11" t="str">
        <v/>
      </c>
      <c r="AF22" s="11" t="str">
        <v/>
      </c>
      <c r="AO22" s="11" t="str">
        <v>BR-C6_L22</v>
      </c>
      <c r="AP22" s="11" t="str">
        <v>BR-C6_L23</v>
      </c>
      <c r="AQ22" s="11" t="str">
        <v>BR-C6_S07</v>
      </c>
      <c r="AR22" s="11" t="str">
        <v>BR-C6_S08</v>
      </c>
      <c r="AS22" s="11" t="str">
        <v>BR-C6_S10</v>
      </c>
      <c r="AT22" s="11" t="str">
        <v>BR-C6C_S06</v>
      </c>
      <c r="AU22" s="11" t="str">
        <v>BR-C6C_S07</v>
      </c>
      <c r="AV22" s="11" t="str">
        <v>BR-C6D_S06</v>
      </c>
      <c r="AW22" s="11" t="str">
        <v>BR-C6D_S16</v>
      </c>
      <c r="AX22" s="11" t="e">
        <v>#N/A</v>
      </c>
      <c r="AY22" s="11" t="e">
        <v>#N/A</v>
      </c>
      <c r="AZ22" s="11" t="e">
        <v>#N/A</v>
      </c>
      <c r="BA22" s="11" t="e">
        <v>#N/A</v>
      </c>
      <c r="BB22" s="11" t="e">
        <v>#N/A</v>
      </c>
      <c r="BC22" s="11" t="e">
        <v>#N/A</v>
      </c>
      <c r="BD22" s="11" t="e">
        <v>#N/A</v>
      </c>
      <c r="BE22" s="11" t="e">
        <v>#N/A</v>
      </c>
      <c r="BF22" s="11" t="e">
        <v>#N/A</v>
      </c>
      <c r="BG22" s="11" t="e">
        <v>#N/A</v>
      </c>
      <c r="BH22" s="11" t="e">
        <v>#N/A</v>
      </c>
      <c r="BI22" s="11" t="e">
        <v>#N/A</v>
      </c>
      <c r="BJ22" s="11" t="e">
        <v>#N/A</v>
      </c>
      <c r="BK22" s="11" t="e">
        <v>#N/A</v>
      </c>
      <c r="BL22" s="11" t="e">
        <v>#N/A</v>
      </c>
      <c r="BM22" s="11" t="e">
        <v>#N/A</v>
      </c>
      <c r="BN22" s="11" t="e">
        <v>#N/A</v>
      </c>
      <c r="BO22" s="11" t="e">
        <v>#N/A</v>
      </c>
      <c r="BP22" s="11" t="e">
        <v>#N/A</v>
      </c>
      <c r="BQ22" s="11" t="e">
        <v>#N/A</v>
      </c>
      <c r="BR22" s="11" t="e">
        <v>#N/A</v>
      </c>
      <c r="BS22" s="11" t="e">
        <v>#N/A</v>
      </c>
      <c r="BT22" s="11" t="e">
        <v>#N/A</v>
      </c>
      <c r="BU22" s="11" t="e">
        <v>#N/A</v>
      </c>
      <c r="BV22" s="11" t="e">
        <v>#N/A</v>
      </c>
      <c r="BW22" s="11" t="e">
        <v>#N/A</v>
      </c>
      <c r="BX22" s="11" t="e">
        <v>#N/A</v>
      </c>
      <c r="BY22" s="11" t="e">
        <v>#N/A</v>
      </c>
      <c r="BZ22" s="11" t="e">
        <v>#N/A</v>
      </c>
      <c r="CA22" s="11" t="e">
        <v>#N/A</v>
      </c>
      <c r="CB22" s="11" t="e">
        <v>#N/A</v>
      </c>
      <c r="CC22" s="11" t="e">
        <v>#N/A</v>
      </c>
      <c r="CD22" s="11" t="e">
        <v>#N/A</v>
      </c>
      <c r="CE22" s="11" t="e">
        <v>#N/A</v>
      </c>
      <c r="CF22" s="11" t="e">
        <v>#N/A</v>
      </c>
      <c r="CG22" s="11" t="e">
        <v>#N/A</v>
      </c>
      <c r="CH22" s="11" t="e">
        <v>#N/A</v>
      </c>
      <c r="CI22" s="11" t="e">
        <v>#N/A</v>
      </c>
      <c r="CJ22" s="11" t="e">
        <v>#N/A</v>
      </c>
      <c r="CK22" s="11" t="e">
        <v>#N/A</v>
      </c>
      <c r="CL22" s="11" t="e">
        <v>#N/A</v>
      </c>
      <c r="CM22" s="11" t="e">
        <v>#N/A</v>
      </c>
      <c r="CN22" s="11" t="e">
        <v>#N/A</v>
      </c>
      <c r="CO22" s="11" t="e">
        <v>#N/A</v>
      </c>
      <c r="CP22" s="11" t="e">
        <v>#N/A</v>
      </c>
      <c r="CQ22" s="11" t="e">
        <v>#N/A</v>
      </c>
      <c r="CR22" s="11" t="e">
        <v>#N/A</v>
      </c>
      <c r="CS22" s="11" t="e">
        <v>#N/A</v>
      </c>
      <c r="CT22" s="11" t="e">
        <v>#N/A</v>
      </c>
      <c r="CU22" s="11" t="e">
        <v>#N/A</v>
      </c>
      <c r="CV22" s="11" t="e">
        <v>#N/A</v>
      </c>
      <c r="CW22" s="11" t="e">
        <v>#N/A</v>
      </c>
      <c r="CX22" s="11" t="e">
        <v>#N/A</v>
      </c>
      <c r="CY22" s="11" t="e">
        <v>#N/A</v>
      </c>
      <c r="CZ22" s="11" t="e">
        <v>#N/A</v>
      </c>
      <c r="DA22" s="11" t="e">
        <v>#N/A</v>
      </c>
      <c r="DB22" s="11" t="e">
        <v>#N/A</v>
      </c>
      <c r="DC22" s="11" t="e">
        <v>#N/A</v>
      </c>
      <c r="DD22" s="11" t="e">
        <v>#N/A</v>
      </c>
      <c r="DE22" s="11" t="e">
        <v>#N/A</v>
      </c>
      <c r="DF22" s="11" t="e">
        <v>#N/A</v>
      </c>
      <c r="DG22" s="11" t="e">
        <v>#N/A</v>
      </c>
      <c r="DH22" s="11" t="e">
        <v>#N/A</v>
      </c>
      <c r="DI22" s="11" t="e">
        <v>#N/A</v>
      </c>
      <c r="DJ22" s="11" t="e">
        <v>#N/A</v>
      </c>
      <c r="DK22" s="11" t="e">
        <v>#N/A</v>
      </c>
      <c r="DL22" s="11" t="e">
        <v>#N/A</v>
      </c>
      <c r="DM22" s="11" t="e">
        <v>#N/A</v>
      </c>
      <c r="DN22" s="11" t="e">
        <v>#N/A</v>
      </c>
      <c r="DO22" s="11" t="e">
        <v>#N/A</v>
      </c>
      <c r="DP22" s="11" t="e">
        <v>#N/A</v>
      </c>
      <c r="DQ22" s="11" t="e">
        <v>#N/A</v>
      </c>
      <c r="DR22" s="11" t="e">
        <v>#N/A</v>
      </c>
      <c r="DS22" s="11" t="e">
        <v>#N/A</v>
      </c>
      <c r="DT22" s="11" t="e">
        <v>#N/A</v>
      </c>
      <c r="DU22" s="11" t="e">
        <v>#N/A</v>
      </c>
      <c r="DV22" s="11" t="e">
        <v>#N/A</v>
      </c>
      <c r="DW22" s="11" t="e">
        <v>#N/A</v>
      </c>
      <c r="DX22" s="11" t="e">
        <v>#N/A</v>
      </c>
      <c r="DY22" s="11" t="e">
        <v>#N/A</v>
      </c>
      <c r="DZ22" s="11" t="e">
        <v>#N/A</v>
      </c>
      <c r="EA22" s="11" t="e">
        <v>#N/A</v>
      </c>
      <c r="EB22" s="11" t="e">
        <v>#N/A</v>
      </c>
      <c r="EC22" s="11" t="e">
        <v>#N/A</v>
      </c>
    </row>
    <row r="23" spans="2:133" s="11" customFormat="1" ht="18" customHeight="1" x14ac:dyDescent="0.25">
      <c r="B23" s="10"/>
      <c r="D23" s="11" t="str">
        <v>LS_15</v>
      </c>
      <c r="G23" s="46"/>
      <c r="H23" s="46"/>
      <c r="I23" s="45" t="str">
        <v/>
      </c>
      <c r="J23" s="45"/>
      <c r="M23" s="23" t="s">
        <v>564</v>
      </c>
      <c r="N23" s="23" t="s">
        <v>2599</v>
      </c>
      <c r="O23" s="24">
        <v>25</v>
      </c>
      <c r="P23" s="30">
        <v>3</v>
      </c>
      <c r="Q23" s="81" t="s">
        <v>2581</v>
      </c>
      <c r="AD23" s="11" t="str">
        <v>SAP</v>
      </c>
      <c r="AE23" s="11" t="str">
        <v/>
      </c>
      <c r="AF23" s="11" t="str">
        <v/>
      </c>
      <c r="AO23" s="11" t="str">
        <v>L18_01</v>
      </c>
      <c r="AP23" s="11" t="str">
        <v>L18_03</v>
      </c>
      <c r="AQ23" s="11" t="str">
        <v>L18_04</v>
      </c>
      <c r="AR23" s="11" t="str">
        <v>L18_05</v>
      </c>
      <c r="AS23" s="11" t="str">
        <v>L18_06</v>
      </c>
      <c r="AT23" s="11" t="str">
        <v>L18_07</v>
      </c>
      <c r="AU23" s="11" t="str">
        <v>L18_08</v>
      </c>
      <c r="AV23" s="11" t="str">
        <v>L18_09</v>
      </c>
      <c r="AW23" s="11" t="str">
        <v>L18_10</v>
      </c>
      <c r="AX23" s="11" t="str">
        <v>L18_11</v>
      </c>
      <c r="AY23" s="11" t="str">
        <v>L18_S01</v>
      </c>
      <c r="AZ23" s="11" t="str">
        <v>L18_S02</v>
      </c>
      <c r="BA23" s="11" t="str">
        <v>L18_S03</v>
      </c>
      <c r="BB23" s="11" t="str">
        <v>L18_S04</v>
      </c>
      <c r="BC23" s="11" t="str">
        <v>L18_S05</v>
      </c>
      <c r="BD23" s="11" t="str">
        <v>L18_S06</v>
      </c>
      <c r="BE23" s="11" t="str">
        <v>L18_S07</v>
      </c>
      <c r="BF23" s="11" t="str">
        <v>L18_S09</v>
      </c>
      <c r="BG23" s="11" t="e">
        <v>#N/A</v>
      </c>
      <c r="BH23" s="11" t="e">
        <v>#N/A</v>
      </c>
      <c r="BI23" s="11" t="e">
        <v>#N/A</v>
      </c>
      <c r="BJ23" s="11" t="e">
        <v>#N/A</v>
      </c>
      <c r="BK23" s="11" t="e">
        <v>#N/A</v>
      </c>
      <c r="BL23" s="11" t="e">
        <v>#N/A</v>
      </c>
      <c r="BM23" s="11" t="e">
        <v>#N/A</v>
      </c>
      <c r="BN23" s="11" t="e">
        <v>#N/A</v>
      </c>
      <c r="BO23" s="11" t="e">
        <v>#N/A</v>
      </c>
      <c r="BP23" s="11" t="e">
        <v>#N/A</v>
      </c>
      <c r="BQ23" s="11" t="e">
        <v>#N/A</v>
      </c>
      <c r="BR23" s="11" t="e">
        <v>#N/A</v>
      </c>
      <c r="BS23" s="11" t="e">
        <v>#N/A</v>
      </c>
      <c r="BT23" s="11" t="e">
        <v>#N/A</v>
      </c>
      <c r="BU23" s="11" t="e">
        <v>#N/A</v>
      </c>
      <c r="BV23" s="11" t="e">
        <v>#N/A</v>
      </c>
      <c r="BW23" s="11" t="e">
        <v>#N/A</v>
      </c>
      <c r="BX23" s="11" t="e">
        <v>#N/A</v>
      </c>
      <c r="BY23" s="11" t="e">
        <v>#N/A</v>
      </c>
      <c r="BZ23" s="11" t="e">
        <v>#N/A</v>
      </c>
      <c r="CA23" s="11" t="e">
        <v>#N/A</v>
      </c>
      <c r="CB23" s="11" t="e">
        <v>#N/A</v>
      </c>
      <c r="CC23" s="11" t="e">
        <v>#N/A</v>
      </c>
      <c r="CD23" s="11" t="e">
        <v>#N/A</v>
      </c>
      <c r="CE23" s="11" t="e">
        <v>#N/A</v>
      </c>
      <c r="CF23" s="11" t="e">
        <v>#N/A</v>
      </c>
      <c r="CG23" s="11" t="e">
        <v>#N/A</v>
      </c>
      <c r="CH23" s="11" t="e">
        <v>#N/A</v>
      </c>
      <c r="CI23" s="11" t="e">
        <v>#N/A</v>
      </c>
      <c r="CJ23" s="11" t="e">
        <v>#N/A</v>
      </c>
      <c r="CK23" s="11" t="e">
        <v>#N/A</v>
      </c>
      <c r="CL23" s="11" t="e">
        <v>#N/A</v>
      </c>
      <c r="CM23" s="11" t="e">
        <v>#N/A</v>
      </c>
      <c r="CN23" s="11" t="e">
        <v>#N/A</v>
      </c>
      <c r="CO23" s="11" t="e">
        <v>#N/A</v>
      </c>
      <c r="CP23" s="11" t="e">
        <v>#N/A</v>
      </c>
      <c r="CQ23" s="11" t="e">
        <v>#N/A</v>
      </c>
      <c r="CR23" s="11" t="e">
        <v>#N/A</v>
      </c>
      <c r="CS23" s="11" t="e">
        <v>#N/A</v>
      </c>
      <c r="CT23" s="11" t="e">
        <v>#N/A</v>
      </c>
      <c r="CU23" s="11" t="e">
        <v>#N/A</v>
      </c>
      <c r="CV23" s="11" t="e">
        <v>#N/A</v>
      </c>
      <c r="CW23" s="11" t="e">
        <v>#N/A</v>
      </c>
      <c r="CX23" s="11" t="e">
        <v>#N/A</v>
      </c>
      <c r="CY23" s="11" t="e">
        <v>#N/A</v>
      </c>
      <c r="CZ23" s="11" t="e">
        <v>#N/A</v>
      </c>
      <c r="DA23" s="11" t="e">
        <v>#N/A</v>
      </c>
      <c r="DB23" s="11" t="e">
        <v>#N/A</v>
      </c>
      <c r="DC23" s="11" t="e">
        <v>#N/A</v>
      </c>
      <c r="DD23" s="11" t="e">
        <v>#N/A</v>
      </c>
      <c r="DE23" s="11" t="e">
        <v>#N/A</v>
      </c>
      <c r="DF23" s="11" t="e">
        <v>#N/A</v>
      </c>
      <c r="DG23" s="11" t="e">
        <v>#N/A</v>
      </c>
      <c r="DH23" s="11" t="e">
        <v>#N/A</v>
      </c>
      <c r="DI23" s="11" t="e">
        <v>#N/A</v>
      </c>
      <c r="DJ23" s="11" t="e">
        <v>#N/A</v>
      </c>
      <c r="DK23" s="11" t="e">
        <v>#N/A</v>
      </c>
      <c r="DL23" s="11" t="e">
        <v>#N/A</v>
      </c>
      <c r="DM23" s="11" t="e">
        <v>#N/A</v>
      </c>
      <c r="DN23" s="11" t="e">
        <v>#N/A</v>
      </c>
      <c r="DO23" s="11" t="e">
        <v>#N/A</v>
      </c>
      <c r="DP23" s="11" t="e">
        <v>#N/A</v>
      </c>
      <c r="DQ23" s="11" t="e">
        <v>#N/A</v>
      </c>
      <c r="DR23" s="11" t="e">
        <v>#N/A</v>
      </c>
      <c r="DS23" s="11" t="e">
        <v>#N/A</v>
      </c>
      <c r="DT23" s="11" t="e">
        <v>#N/A</v>
      </c>
      <c r="DU23" s="11" t="e">
        <v>#N/A</v>
      </c>
      <c r="DV23" s="11" t="e">
        <v>#N/A</v>
      </c>
      <c r="DW23" s="11" t="e">
        <v>#N/A</v>
      </c>
      <c r="DX23" s="11" t="e">
        <v>#N/A</v>
      </c>
      <c r="DY23" s="11" t="e">
        <v>#N/A</v>
      </c>
      <c r="DZ23" s="11" t="e">
        <v>#N/A</v>
      </c>
      <c r="EA23" s="11" t="e">
        <v>#N/A</v>
      </c>
      <c r="EB23" s="11" t="e">
        <v>#N/A</v>
      </c>
      <c r="EC23" s="11" t="e">
        <v>#N/A</v>
      </c>
    </row>
    <row r="24" spans="2:133" s="11" customFormat="1" ht="18" customHeight="1" x14ac:dyDescent="0.25">
      <c r="B24" s="10"/>
      <c r="D24" s="11" t="str">
        <v>LS_16</v>
      </c>
      <c r="G24" s="46"/>
      <c r="H24" s="46"/>
      <c r="I24" s="45" t="str">
        <v/>
      </c>
      <c r="J24" s="45"/>
      <c r="M24" s="23" t="s">
        <v>867</v>
      </c>
      <c r="N24" s="23" t="s">
        <v>947</v>
      </c>
      <c r="O24" s="24">
        <v>67</v>
      </c>
      <c r="P24" s="30">
        <v>15</v>
      </c>
      <c r="Q24" s="81" t="s">
        <v>2581</v>
      </c>
      <c r="AD24" s="11" t="str">
        <v>SAP</v>
      </c>
      <c r="AE24" s="11" t="str">
        <v/>
      </c>
      <c r="AF24" s="11" t="str">
        <v/>
      </c>
      <c r="AO24" s="11" t="str">
        <v>S5_01</v>
      </c>
      <c r="AP24" s="11" t="str">
        <v>S5_06</v>
      </c>
      <c r="AQ24" s="11" t="str">
        <v>S5_06_02A</v>
      </c>
      <c r="AR24" s="11" t="str">
        <v>S5_07</v>
      </c>
      <c r="AS24" s="11" t="str">
        <v>S5_12_02</v>
      </c>
      <c r="AT24" s="11" t="str">
        <v>S5_13</v>
      </c>
      <c r="AU24" s="11" t="str">
        <v>S5_14</v>
      </c>
      <c r="AV24" s="11" t="str">
        <v>S5_15</v>
      </c>
      <c r="AW24" s="11" t="str">
        <v>S5_16</v>
      </c>
      <c r="AX24" s="11" t="str">
        <v>S5_17</v>
      </c>
      <c r="AY24" s="11" t="str">
        <v>S5_18</v>
      </c>
      <c r="AZ24" s="11" t="str">
        <v>S5_19</v>
      </c>
      <c r="BA24" s="11" t="str">
        <v>S5_20</v>
      </c>
      <c r="BB24" s="11" t="str">
        <v>S5_21</v>
      </c>
      <c r="BC24" s="11" t="str">
        <v>S5_22</v>
      </c>
      <c r="BD24" s="11" t="str">
        <v>S5_23</v>
      </c>
      <c r="BE24" s="11" t="str">
        <v>S5_24</v>
      </c>
      <c r="BF24" s="11" t="str">
        <v>S5_25</v>
      </c>
      <c r="BG24" s="11" t="str">
        <v>S5_26</v>
      </c>
      <c r="BH24" s="11" t="str">
        <v>S5_27</v>
      </c>
      <c r="BI24" s="11" t="str">
        <v>S5_28</v>
      </c>
      <c r="BJ24" s="11" t="str">
        <v>S5_29</v>
      </c>
      <c r="BK24" s="11" t="str">
        <v>S5_30</v>
      </c>
      <c r="BL24" s="11" t="str">
        <v>S5_31</v>
      </c>
      <c r="BM24" s="11" t="str">
        <v>S5_32</v>
      </c>
      <c r="BN24" s="11" t="str">
        <v>S5_33</v>
      </c>
      <c r="BO24" s="11" t="str">
        <v>S5_34</v>
      </c>
      <c r="BP24" s="11" t="str">
        <v>S5_35</v>
      </c>
      <c r="BQ24" s="11" t="str">
        <v>S5_36</v>
      </c>
      <c r="BR24" s="11" t="str">
        <v>S5_37</v>
      </c>
      <c r="BS24" s="11" t="str">
        <v>S5_38</v>
      </c>
      <c r="BT24" s="11" t="str">
        <v>S5_39</v>
      </c>
      <c r="BU24" s="11" t="str">
        <v>S5_40</v>
      </c>
      <c r="BV24" s="11" t="str">
        <v>S5_41</v>
      </c>
      <c r="BW24" s="11" t="str">
        <v>S5_42</v>
      </c>
      <c r="BX24" s="11" t="str">
        <v>S5_43</v>
      </c>
      <c r="BY24" s="11" t="str">
        <v>S5_44</v>
      </c>
      <c r="BZ24" s="11" t="str">
        <v>S5_45</v>
      </c>
      <c r="CA24" s="11" t="str">
        <v>S5_46</v>
      </c>
      <c r="CB24" s="11" t="str">
        <v>S5_47</v>
      </c>
      <c r="CC24" s="11" t="str">
        <v>S5_48</v>
      </c>
      <c r="CD24" s="11" t="str">
        <v>S5_49</v>
      </c>
      <c r="CE24" s="11" t="str">
        <v>S5_50</v>
      </c>
      <c r="CF24" s="11" t="str">
        <v>S5_51</v>
      </c>
      <c r="CG24" s="11" t="str">
        <v>S5_52</v>
      </c>
      <c r="CH24" s="11" t="str">
        <v>S5_53</v>
      </c>
      <c r="CI24" s="11" t="str">
        <v>S5_54</v>
      </c>
      <c r="CJ24" s="11" t="str">
        <v>S5_55</v>
      </c>
      <c r="CK24" s="11" t="str">
        <v>S5_56</v>
      </c>
      <c r="CL24" s="11" t="str">
        <v>S5_57</v>
      </c>
      <c r="CM24" s="11" t="str">
        <v>S5_58</v>
      </c>
      <c r="CN24" s="11" t="str">
        <v>S5_59</v>
      </c>
      <c r="CO24" s="11" t="str">
        <v>S5_60</v>
      </c>
      <c r="CP24" s="11" t="str">
        <v>S5_61</v>
      </c>
      <c r="CQ24" s="11" t="str">
        <v>S5_62</v>
      </c>
      <c r="CR24" s="11" t="str">
        <v>S5_63</v>
      </c>
      <c r="CS24" s="11" t="str">
        <v>S5_64</v>
      </c>
      <c r="CT24" s="11" t="str">
        <v>S5_65</v>
      </c>
      <c r="CU24" s="11" t="str">
        <v>S5_66</v>
      </c>
      <c r="CV24" s="11" t="str">
        <v>S5_67</v>
      </c>
      <c r="CW24" s="11" t="str">
        <v>S5_68</v>
      </c>
      <c r="CX24" s="11" t="str">
        <v>S5_69</v>
      </c>
      <c r="CY24" s="11" t="str">
        <v>S5_70</v>
      </c>
      <c r="CZ24" s="11" t="str">
        <v>S5_71</v>
      </c>
      <c r="DA24" s="11" t="str">
        <v>S5_72</v>
      </c>
      <c r="DB24" s="11" t="str">
        <v>S5_73</v>
      </c>
      <c r="DC24" s="11" t="str">
        <v>S5_74</v>
      </c>
      <c r="DD24" s="11" t="str">
        <v>S5_75</v>
      </c>
      <c r="DE24" s="11" t="str">
        <v>S5_76</v>
      </c>
      <c r="DF24" s="11" t="str">
        <v>S5_77</v>
      </c>
      <c r="DG24" s="11" t="str">
        <v>S5_79</v>
      </c>
      <c r="DH24" s="11" t="str">
        <v>S5_80</v>
      </c>
      <c r="DI24" s="11" t="str">
        <v>S5_81</v>
      </c>
      <c r="DJ24" s="11" t="str">
        <v>S5_82</v>
      </c>
      <c r="DK24" s="11" t="str">
        <v>S5_83</v>
      </c>
      <c r="DL24" s="11" t="str">
        <v>S5_84</v>
      </c>
      <c r="DM24" s="11" t="str">
        <v>S5_85</v>
      </c>
      <c r="DN24" s="11" t="str">
        <v>S5_86</v>
      </c>
      <c r="DO24" s="11" t="str">
        <v>S5_87</v>
      </c>
      <c r="DP24" s="11" t="str">
        <v>S5_88</v>
      </c>
      <c r="DQ24" s="11" t="str">
        <v>S5_89</v>
      </c>
      <c r="DR24" s="11" t="str">
        <v>S5_90</v>
      </c>
      <c r="DS24" s="11" t="str">
        <v>S5_91</v>
      </c>
      <c r="DT24" s="11" t="str">
        <v>S5_92</v>
      </c>
      <c r="DU24" s="11" t="str">
        <v>S5_93</v>
      </c>
      <c r="DV24" s="11" t="str">
        <v>S5_L01</v>
      </c>
      <c r="DW24" s="11" t="str">
        <v>S5_L02</v>
      </c>
      <c r="DX24" s="11" t="str">
        <v>S5_L03</v>
      </c>
      <c r="DY24" s="11" t="str">
        <v>S5_L04</v>
      </c>
      <c r="DZ24" s="11" t="str">
        <v>S5_L05</v>
      </c>
      <c r="EA24" s="11" t="str">
        <v>S5_L06</v>
      </c>
      <c r="EB24" s="11" t="str">
        <v>S5_L07</v>
      </c>
      <c r="EC24" s="11" t="str">
        <v>S5_L08</v>
      </c>
    </row>
    <row r="25" spans="2:133" s="13" customFormat="1" x14ac:dyDescent="0.25">
      <c r="B25" s="12"/>
      <c r="D25" s="13" t="str">
        <v>LS_18</v>
      </c>
      <c r="G25" s="46"/>
      <c r="H25" s="46"/>
      <c r="I25" s="45" t="str">
        <v/>
      </c>
      <c r="J25" s="45"/>
      <c r="M25" s="23" t="s">
        <v>564</v>
      </c>
      <c r="N25" s="23" t="s">
        <v>2599</v>
      </c>
      <c r="O25" s="24">
        <v>24</v>
      </c>
      <c r="P25" s="30">
        <v>10</v>
      </c>
      <c r="Q25" s="81" t="s">
        <v>2581</v>
      </c>
      <c r="AD25" s="13" t="str">
        <v>SAP</v>
      </c>
      <c r="AE25" s="13" t="str">
        <v/>
      </c>
      <c r="AF25" s="13" t="str">
        <v/>
      </c>
      <c r="AO25" s="13" t="str">
        <v>L18_01</v>
      </c>
      <c r="AP25" s="13" t="str">
        <v>L18_03</v>
      </c>
      <c r="AQ25" s="13" t="str">
        <v>L18_04</v>
      </c>
      <c r="AR25" s="13" t="str">
        <v>L18_05</v>
      </c>
      <c r="AS25" s="13" t="str">
        <v>L18_06</v>
      </c>
      <c r="AT25" s="13" t="str">
        <v>L18_07</v>
      </c>
      <c r="AU25" s="13" t="str">
        <v>L18_08</v>
      </c>
      <c r="AV25" s="13" t="str">
        <v>L18_09</v>
      </c>
      <c r="AW25" s="13" t="str">
        <v>L18_10</v>
      </c>
      <c r="AX25" s="13" t="str">
        <v>L18_11</v>
      </c>
      <c r="AY25" s="13" t="str">
        <v>L18_S01</v>
      </c>
      <c r="AZ25" s="13" t="str">
        <v>L18_S02</v>
      </c>
      <c r="BA25" s="13" t="str">
        <v>L18_S03</v>
      </c>
      <c r="BB25" s="13" t="str">
        <v>L18_S04</v>
      </c>
      <c r="BC25" s="13" t="str">
        <v>L18_S05</v>
      </c>
      <c r="BD25" s="13" t="str">
        <v>L18_S06</v>
      </c>
      <c r="BE25" s="13" t="str">
        <v>L18_S07</v>
      </c>
      <c r="BF25" s="13" t="str">
        <v>L18_S09</v>
      </c>
      <c r="BG25" s="13" t="e">
        <v>#N/A</v>
      </c>
      <c r="BH25" s="13" t="e">
        <v>#N/A</v>
      </c>
      <c r="BI25" s="13" t="e">
        <v>#N/A</v>
      </c>
      <c r="BJ25" s="13" t="e">
        <v>#N/A</v>
      </c>
      <c r="BK25" s="13" t="e">
        <v>#N/A</v>
      </c>
      <c r="BL25" s="13" t="e">
        <v>#N/A</v>
      </c>
      <c r="BM25" s="13" t="e">
        <v>#N/A</v>
      </c>
      <c r="BN25" s="13" t="e">
        <v>#N/A</v>
      </c>
      <c r="BO25" s="13" t="e">
        <v>#N/A</v>
      </c>
      <c r="BP25" s="13" t="e">
        <v>#N/A</v>
      </c>
      <c r="BQ25" s="13" t="e">
        <v>#N/A</v>
      </c>
      <c r="BR25" s="13" t="e">
        <v>#N/A</v>
      </c>
      <c r="BS25" s="13" t="e">
        <v>#N/A</v>
      </c>
      <c r="BT25" s="13" t="e">
        <v>#N/A</v>
      </c>
      <c r="BU25" s="13" t="e">
        <v>#N/A</v>
      </c>
      <c r="BV25" s="13" t="e">
        <v>#N/A</v>
      </c>
      <c r="BW25" s="13" t="e">
        <v>#N/A</v>
      </c>
      <c r="BX25" s="13" t="e">
        <v>#N/A</v>
      </c>
      <c r="BY25" s="13" t="e">
        <v>#N/A</v>
      </c>
      <c r="BZ25" s="13" t="e">
        <v>#N/A</v>
      </c>
      <c r="CA25" s="13" t="e">
        <v>#N/A</v>
      </c>
      <c r="CB25" s="13" t="e">
        <v>#N/A</v>
      </c>
      <c r="CC25" s="13" t="e">
        <v>#N/A</v>
      </c>
      <c r="CD25" s="13" t="e">
        <v>#N/A</v>
      </c>
      <c r="CE25" s="13" t="e">
        <v>#N/A</v>
      </c>
      <c r="CF25" s="13" t="e">
        <v>#N/A</v>
      </c>
      <c r="CG25" s="13" t="e">
        <v>#N/A</v>
      </c>
      <c r="CH25" s="13" t="e">
        <v>#N/A</v>
      </c>
      <c r="CI25" s="13" t="e">
        <v>#N/A</v>
      </c>
      <c r="CJ25" s="13" t="e">
        <v>#N/A</v>
      </c>
      <c r="CK25" s="13" t="e">
        <v>#N/A</v>
      </c>
      <c r="CL25" s="13" t="e">
        <v>#N/A</v>
      </c>
      <c r="CM25" s="13" t="e">
        <v>#N/A</v>
      </c>
      <c r="CN25" s="13" t="e">
        <v>#N/A</v>
      </c>
      <c r="CO25" s="13" t="e">
        <v>#N/A</v>
      </c>
      <c r="CP25" s="13" t="e">
        <v>#N/A</v>
      </c>
      <c r="CQ25" s="13" t="e">
        <v>#N/A</v>
      </c>
      <c r="CR25" s="13" t="e">
        <v>#N/A</v>
      </c>
      <c r="CS25" s="13" t="e">
        <v>#N/A</v>
      </c>
      <c r="CT25" s="13" t="e">
        <v>#N/A</v>
      </c>
      <c r="CU25" s="13" t="e">
        <v>#N/A</v>
      </c>
      <c r="CV25" s="13" t="e">
        <v>#N/A</v>
      </c>
      <c r="CW25" s="13" t="e">
        <v>#N/A</v>
      </c>
      <c r="CX25" s="13" t="e">
        <v>#N/A</v>
      </c>
      <c r="CY25" s="13" t="e">
        <v>#N/A</v>
      </c>
      <c r="CZ25" s="13" t="e">
        <v>#N/A</v>
      </c>
      <c r="DA25" s="13" t="e">
        <v>#N/A</v>
      </c>
      <c r="DB25" s="13" t="e">
        <v>#N/A</v>
      </c>
      <c r="DC25" s="13" t="e">
        <v>#N/A</v>
      </c>
      <c r="DD25" s="13" t="e">
        <v>#N/A</v>
      </c>
      <c r="DE25" s="13" t="e">
        <v>#N/A</v>
      </c>
      <c r="DF25" s="13" t="e">
        <v>#N/A</v>
      </c>
      <c r="DG25" s="13" t="e">
        <v>#N/A</v>
      </c>
      <c r="DH25" s="13" t="e">
        <v>#N/A</v>
      </c>
      <c r="DI25" s="13" t="e">
        <v>#N/A</v>
      </c>
      <c r="DJ25" s="13" t="e">
        <v>#N/A</v>
      </c>
      <c r="DK25" s="13" t="e">
        <v>#N/A</v>
      </c>
      <c r="DL25" s="13" t="e">
        <v>#N/A</v>
      </c>
      <c r="DM25" s="13" t="e">
        <v>#N/A</v>
      </c>
      <c r="DN25" s="13" t="e">
        <v>#N/A</v>
      </c>
      <c r="DO25" s="13" t="e">
        <v>#N/A</v>
      </c>
      <c r="DP25" s="13" t="e">
        <v>#N/A</v>
      </c>
      <c r="DQ25" s="13" t="e">
        <v>#N/A</v>
      </c>
      <c r="DR25" s="13" t="e">
        <v>#N/A</v>
      </c>
      <c r="DS25" s="13" t="e">
        <v>#N/A</v>
      </c>
      <c r="DT25" s="13" t="e">
        <v>#N/A</v>
      </c>
      <c r="DU25" s="13" t="e">
        <v>#N/A</v>
      </c>
      <c r="DV25" s="13" t="e">
        <v>#N/A</v>
      </c>
      <c r="DW25" s="13" t="e">
        <v>#N/A</v>
      </c>
      <c r="DX25" s="13" t="e">
        <v>#N/A</v>
      </c>
      <c r="DY25" s="13" t="e">
        <v>#N/A</v>
      </c>
      <c r="DZ25" s="13" t="e">
        <v>#N/A</v>
      </c>
      <c r="EA25" s="13" t="e">
        <v>#N/A</v>
      </c>
      <c r="EB25" s="13" t="e">
        <v>#N/A</v>
      </c>
      <c r="EC25" s="13" t="e">
        <v>#N/A</v>
      </c>
    </row>
    <row r="26" spans="2:133" s="13" customFormat="1" x14ac:dyDescent="0.25">
      <c r="B26" s="12"/>
      <c r="D26" s="13" t="str">
        <v>LS_21</v>
      </c>
      <c r="G26" s="46"/>
      <c r="H26" s="46"/>
      <c r="I26" s="45" t="str">
        <v/>
      </c>
      <c r="J26" s="45"/>
      <c r="M26" s="23" t="s">
        <v>867</v>
      </c>
      <c r="N26" s="23" t="s">
        <v>2600</v>
      </c>
      <c r="O26" s="24">
        <v>6</v>
      </c>
      <c r="P26" s="30">
        <v>4</v>
      </c>
      <c r="Q26" s="81" t="s">
        <v>2581</v>
      </c>
      <c r="AD26" s="13" t="str">
        <v>SAP</v>
      </c>
      <c r="AE26" s="13" t="str">
        <v/>
      </c>
      <c r="AF26" s="13" t="str">
        <v/>
      </c>
      <c r="AO26" s="13" t="str">
        <v>S5_01</v>
      </c>
      <c r="AP26" s="13" t="str">
        <v>S5_06</v>
      </c>
      <c r="AQ26" s="13" t="str">
        <v>S5_06_02A</v>
      </c>
      <c r="AR26" s="13" t="str">
        <v>S5_07</v>
      </c>
      <c r="AS26" s="13" t="str">
        <v>S5_12_02</v>
      </c>
      <c r="AT26" s="13" t="str">
        <v>S5_13</v>
      </c>
      <c r="AU26" s="13" t="str">
        <v>S5_14</v>
      </c>
      <c r="AV26" s="13" t="str">
        <v>S5_15</v>
      </c>
      <c r="AW26" s="13" t="str">
        <v>S5_16</v>
      </c>
      <c r="AX26" s="13" t="str">
        <v>S5_17</v>
      </c>
      <c r="AY26" s="13" t="str">
        <v>S5_18</v>
      </c>
      <c r="AZ26" s="13" t="str">
        <v>S5_19</v>
      </c>
      <c r="BA26" s="13" t="str">
        <v>S5_20</v>
      </c>
      <c r="BB26" s="13" t="str">
        <v>S5_21</v>
      </c>
      <c r="BC26" s="13" t="str">
        <v>S5_22</v>
      </c>
      <c r="BD26" s="13" t="str">
        <v>S5_23</v>
      </c>
      <c r="BE26" s="13" t="str">
        <v>S5_24</v>
      </c>
      <c r="BF26" s="13" t="str">
        <v>S5_25</v>
      </c>
      <c r="BG26" s="13" t="str">
        <v>S5_26</v>
      </c>
      <c r="BH26" s="13" t="str">
        <v>S5_27</v>
      </c>
      <c r="BI26" s="13" t="str">
        <v>S5_28</v>
      </c>
      <c r="BJ26" s="13" t="str">
        <v>S5_29</v>
      </c>
      <c r="BK26" s="13" t="str">
        <v>S5_30</v>
      </c>
      <c r="BL26" s="13" t="str">
        <v>S5_31</v>
      </c>
      <c r="BM26" s="13" t="str">
        <v>S5_32</v>
      </c>
      <c r="BN26" s="13" t="str">
        <v>S5_33</v>
      </c>
      <c r="BO26" s="13" t="str">
        <v>S5_34</v>
      </c>
      <c r="BP26" s="13" t="str">
        <v>S5_35</v>
      </c>
      <c r="BQ26" s="13" t="str">
        <v>S5_36</v>
      </c>
      <c r="BR26" s="13" t="str">
        <v>S5_37</v>
      </c>
      <c r="BS26" s="13" t="str">
        <v>S5_38</v>
      </c>
      <c r="BT26" s="13" t="str">
        <v>S5_39</v>
      </c>
      <c r="BU26" s="13" t="str">
        <v>S5_40</v>
      </c>
      <c r="BV26" s="13" t="str">
        <v>S5_41</v>
      </c>
      <c r="BW26" s="13" t="str">
        <v>S5_42</v>
      </c>
      <c r="BX26" s="13" t="str">
        <v>S5_43</v>
      </c>
      <c r="BY26" s="13" t="str">
        <v>S5_44</v>
      </c>
      <c r="BZ26" s="13" t="str">
        <v>S5_45</v>
      </c>
      <c r="CA26" s="13" t="str">
        <v>S5_46</v>
      </c>
      <c r="CB26" s="13" t="str">
        <v>S5_47</v>
      </c>
      <c r="CC26" s="13" t="str">
        <v>S5_48</v>
      </c>
      <c r="CD26" s="13" t="str">
        <v>S5_49</v>
      </c>
      <c r="CE26" s="13" t="str">
        <v>S5_50</v>
      </c>
      <c r="CF26" s="13" t="str">
        <v>S5_51</v>
      </c>
      <c r="CG26" s="13" t="str">
        <v>S5_52</v>
      </c>
      <c r="CH26" s="13" t="str">
        <v>S5_53</v>
      </c>
      <c r="CI26" s="13" t="str">
        <v>S5_54</v>
      </c>
      <c r="CJ26" s="13" t="str">
        <v>S5_55</v>
      </c>
      <c r="CK26" s="13" t="str">
        <v>S5_56</v>
      </c>
      <c r="CL26" s="13" t="str">
        <v>S5_57</v>
      </c>
      <c r="CM26" s="13" t="str">
        <v>S5_58</v>
      </c>
      <c r="CN26" s="13" t="str">
        <v>S5_59</v>
      </c>
      <c r="CO26" s="13" t="str">
        <v>S5_60</v>
      </c>
      <c r="CP26" s="13" t="str">
        <v>S5_61</v>
      </c>
      <c r="CQ26" s="13" t="str">
        <v>S5_62</v>
      </c>
      <c r="CR26" s="13" t="str">
        <v>S5_63</v>
      </c>
      <c r="CS26" s="13" t="str">
        <v>S5_64</v>
      </c>
      <c r="CT26" s="13" t="str">
        <v>S5_65</v>
      </c>
      <c r="CU26" s="13" t="str">
        <v>S5_66</v>
      </c>
      <c r="CV26" s="13" t="str">
        <v>S5_67</v>
      </c>
      <c r="CW26" s="13" t="str">
        <v>S5_68</v>
      </c>
      <c r="CX26" s="13" t="str">
        <v>S5_69</v>
      </c>
      <c r="CY26" s="13" t="str">
        <v>S5_70</v>
      </c>
      <c r="CZ26" s="13" t="str">
        <v>S5_71</v>
      </c>
      <c r="DA26" s="13" t="str">
        <v>S5_72</v>
      </c>
      <c r="DB26" s="13" t="str">
        <v>S5_73</v>
      </c>
      <c r="DC26" s="13" t="str">
        <v>S5_74</v>
      </c>
      <c r="DD26" s="13" t="str">
        <v>S5_75</v>
      </c>
      <c r="DE26" s="13" t="str">
        <v>S5_76</v>
      </c>
      <c r="DF26" s="13" t="str">
        <v>S5_77</v>
      </c>
      <c r="DG26" s="13" t="str">
        <v>S5_79</v>
      </c>
      <c r="DH26" s="13" t="str">
        <v>S5_80</v>
      </c>
      <c r="DI26" s="13" t="str">
        <v>S5_81</v>
      </c>
      <c r="DJ26" s="13" t="str">
        <v>S5_82</v>
      </c>
      <c r="DK26" s="13" t="str">
        <v>S5_83</v>
      </c>
      <c r="DL26" s="13" t="str">
        <v>S5_84</v>
      </c>
      <c r="DM26" s="13" t="str">
        <v>S5_85</v>
      </c>
      <c r="DN26" s="13" t="str">
        <v>S5_86</v>
      </c>
      <c r="DO26" s="13" t="str">
        <v>S5_87</v>
      </c>
      <c r="DP26" s="13" t="str">
        <v>S5_88</v>
      </c>
      <c r="DQ26" s="13" t="str">
        <v>S5_89</v>
      </c>
      <c r="DR26" s="13" t="str">
        <v>S5_90</v>
      </c>
      <c r="DS26" s="13" t="str">
        <v>S5_91</v>
      </c>
      <c r="DT26" s="13" t="str">
        <v>S5_92</v>
      </c>
      <c r="DU26" s="13" t="str">
        <v>S5_93</v>
      </c>
      <c r="DV26" s="13" t="str">
        <v>S5_L01</v>
      </c>
      <c r="DW26" s="13" t="str">
        <v>S5_L02</v>
      </c>
      <c r="DX26" s="13" t="str">
        <v>S5_L03</v>
      </c>
      <c r="DY26" s="13" t="str">
        <v>S5_L04</v>
      </c>
      <c r="DZ26" s="13" t="str">
        <v>S5_L05</v>
      </c>
      <c r="EA26" s="13" t="str">
        <v>S5_L06</v>
      </c>
      <c r="EB26" s="13" t="str">
        <v>S5_L07</v>
      </c>
      <c r="EC26" s="13" t="str">
        <v>S5_L08</v>
      </c>
    </row>
    <row r="27" spans="2:133" x14ac:dyDescent="0.25">
      <c r="D27" t="str">
        <v>SS_01</v>
      </c>
      <c r="G27" s="107"/>
      <c r="H27" s="47"/>
      <c r="I27" s="45" t="str">
        <v/>
      </c>
      <c r="J27" s="45"/>
      <c r="M27" s="23" t="s">
        <v>517</v>
      </c>
      <c r="N27" s="23" t="s">
        <v>2601</v>
      </c>
      <c r="O27" s="24">
        <v>2</v>
      </c>
      <c r="P27" s="30">
        <v>10</v>
      </c>
      <c r="Q27" s="81" t="s">
        <v>2581</v>
      </c>
      <c r="AD27" t="str">
        <v>LIM</v>
      </c>
      <c r="AE27" t="str">
        <v/>
      </c>
      <c r="AF27" t="str">
        <v/>
      </c>
      <c r="AO27" t="str">
        <v>L9_01</v>
      </c>
      <c r="AP27" t="str">
        <v>L9_02</v>
      </c>
      <c r="AQ27" t="str">
        <v>L9_04</v>
      </c>
      <c r="AR27" t="str">
        <v>L9_05</v>
      </c>
      <c r="AS27" t="str">
        <v>L9_06</v>
      </c>
      <c r="AT27" t="str">
        <v>L9_07</v>
      </c>
      <c r="AU27" t="str">
        <v>L9_08</v>
      </c>
      <c r="AV27" t="str">
        <v>L9_09</v>
      </c>
      <c r="AW27" t="str">
        <v>L9_10</v>
      </c>
      <c r="AX27" t="str">
        <v>L9_11</v>
      </c>
      <c r="AY27" t="str">
        <v>L9_12</v>
      </c>
      <c r="AZ27" t="str">
        <v>L9_13</v>
      </c>
      <c r="BA27" t="str">
        <v>L9_14</v>
      </c>
      <c r="BB27" t="str">
        <v>L9_15</v>
      </c>
      <c r="BC27" t="str">
        <v>L9_16</v>
      </c>
      <c r="BD27" t="str">
        <v>L9_17</v>
      </c>
      <c r="BE27" t="str">
        <v>L9_18</v>
      </c>
      <c r="BF27" t="str">
        <v>L9_19</v>
      </c>
      <c r="BG27" t="str">
        <v>L9_20</v>
      </c>
      <c r="BH27" t="str">
        <v>L9_21</v>
      </c>
      <c r="BI27" t="str">
        <v>L9_22</v>
      </c>
      <c r="BJ27" t="str">
        <v>L9_23</v>
      </c>
      <c r="BK27" t="str">
        <v>L9_24</v>
      </c>
      <c r="BL27" t="str">
        <v>L9_26</v>
      </c>
      <c r="BM27" t="str">
        <v>L9_S01</v>
      </c>
      <c r="BN27" t="str">
        <v>L9_S02</v>
      </c>
      <c r="BO27" t="str">
        <v>L9_S03</v>
      </c>
      <c r="BP27" t="str">
        <v>L9_S04</v>
      </c>
      <c r="BQ27" t="e">
        <v>#N/A</v>
      </c>
      <c r="BR27" t="e">
        <v>#N/A</v>
      </c>
      <c r="BS27" t="e">
        <v>#N/A</v>
      </c>
      <c r="BT27" t="e">
        <v>#N/A</v>
      </c>
      <c r="BU27" t="e">
        <v>#N/A</v>
      </c>
      <c r="BV27" t="e">
        <v>#N/A</v>
      </c>
      <c r="BW27" t="e">
        <v>#N/A</v>
      </c>
      <c r="BX27" t="e">
        <v>#N/A</v>
      </c>
      <c r="BY27" t="e">
        <v>#N/A</v>
      </c>
      <c r="BZ27" t="e">
        <v>#N/A</v>
      </c>
      <c r="CA27" t="e">
        <v>#N/A</v>
      </c>
      <c r="CB27" t="e">
        <v>#N/A</v>
      </c>
      <c r="CC27" t="e">
        <v>#N/A</v>
      </c>
      <c r="CD27" t="e">
        <v>#N/A</v>
      </c>
      <c r="CE27" t="e">
        <v>#N/A</v>
      </c>
      <c r="CF27" t="e">
        <v>#N/A</v>
      </c>
      <c r="CG27" t="e">
        <v>#N/A</v>
      </c>
      <c r="CH27" t="e">
        <v>#N/A</v>
      </c>
      <c r="CI27" t="e">
        <v>#N/A</v>
      </c>
      <c r="CJ27" t="e">
        <v>#N/A</v>
      </c>
      <c r="CK27" t="e">
        <v>#N/A</v>
      </c>
      <c r="CL27" t="e">
        <v>#N/A</v>
      </c>
      <c r="CM27" t="e">
        <v>#N/A</v>
      </c>
      <c r="CN27" t="e">
        <v>#N/A</v>
      </c>
      <c r="CO27" t="e">
        <v>#N/A</v>
      </c>
      <c r="CP27" t="e">
        <v>#N/A</v>
      </c>
      <c r="CQ27" t="e">
        <v>#N/A</v>
      </c>
      <c r="CR27" t="e">
        <v>#N/A</v>
      </c>
      <c r="CS27" t="e">
        <v>#N/A</v>
      </c>
      <c r="CT27" t="e">
        <v>#N/A</v>
      </c>
      <c r="CU27" t="e">
        <v>#N/A</v>
      </c>
      <c r="CV27" t="e">
        <v>#N/A</v>
      </c>
      <c r="CW27" t="e">
        <v>#N/A</v>
      </c>
      <c r="CX27" t="e">
        <v>#N/A</v>
      </c>
      <c r="CY27" t="e">
        <v>#N/A</v>
      </c>
      <c r="CZ27" t="e">
        <v>#N/A</v>
      </c>
      <c r="DA27" t="e">
        <v>#N/A</v>
      </c>
      <c r="DB27" t="e">
        <v>#N/A</v>
      </c>
      <c r="DC27" t="e">
        <v>#N/A</v>
      </c>
      <c r="DD27" t="e">
        <v>#N/A</v>
      </c>
      <c r="DE27" t="e">
        <v>#N/A</v>
      </c>
      <c r="DF27" t="e">
        <v>#N/A</v>
      </c>
      <c r="DG27" t="e">
        <v>#N/A</v>
      </c>
      <c r="DH27" t="e">
        <v>#N/A</v>
      </c>
      <c r="DI27" t="e">
        <v>#N/A</v>
      </c>
      <c r="DJ27" t="e">
        <v>#N/A</v>
      </c>
      <c r="DK27" t="e">
        <v>#N/A</v>
      </c>
      <c r="DL27" t="e">
        <v>#N/A</v>
      </c>
      <c r="DM27" t="e">
        <v>#N/A</v>
      </c>
      <c r="DN27" t="e">
        <v>#N/A</v>
      </c>
      <c r="DO27" t="e">
        <v>#N/A</v>
      </c>
      <c r="DP27" t="e">
        <v>#N/A</v>
      </c>
      <c r="DQ27" t="e">
        <v>#N/A</v>
      </c>
      <c r="DR27" t="e">
        <v>#N/A</v>
      </c>
      <c r="DS27" t="e">
        <v>#N/A</v>
      </c>
      <c r="DT27" t="e">
        <v>#N/A</v>
      </c>
      <c r="DU27" t="e">
        <v>#N/A</v>
      </c>
      <c r="DV27" t="e">
        <v>#N/A</v>
      </c>
      <c r="DW27" t="e">
        <v>#N/A</v>
      </c>
      <c r="DX27" t="e">
        <v>#N/A</v>
      </c>
      <c r="DY27" t="e">
        <v>#N/A</v>
      </c>
      <c r="DZ27" t="e">
        <v>#N/A</v>
      </c>
      <c r="EA27" t="e">
        <v>#N/A</v>
      </c>
      <c r="EB27" t="e">
        <v>#N/A</v>
      </c>
      <c r="EC27" t="e">
        <v>#N/A</v>
      </c>
    </row>
    <row r="28" spans="2:133" x14ac:dyDescent="0.25">
      <c r="D28" t="str">
        <v>SS_02</v>
      </c>
      <c r="M28" s="23" t="s">
        <v>564</v>
      </c>
      <c r="N28" s="23" t="s">
        <v>2599</v>
      </c>
      <c r="O28" s="24">
        <v>32</v>
      </c>
      <c r="P28" s="30">
        <v>14</v>
      </c>
      <c r="Q28" s="81" t="s">
        <v>2581</v>
      </c>
      <c r="AD28" t="str">
        <v>SAP</v>
      </c>
      <c r="AE28" t="str">
        <v/>
      </c>
      <c r="AF28" t="str">
        <v/>
      </c>
      <c r="AO28" t="str">
        <v>L18_01</v>
      </c>
      <c r="AP28" t="str">
        <v>L18_03</v>
      </c>
      <c r="AQ28" t="str">
        <v>L18_04</v>
      </c>
      <c r="AR28" t="str">
        <v>L18_05</v>
      </c>
      <c r="AS28" t="str">
        <v>L18_06</v>
      </c>
      <c r="AT28" t="str">
        <v>L18_07</v>
      </c>
      <c r="AU28" t="str">
        <v>L18_08</v>
      </c>
      <c r="AV28" t="str">
        <v>L18_09</v>
      </c>
      <c r="AW28" t="str">
        <v>L18_10</v>
      </c>
      <c r="AX28" t="str">
        <v>L18_11</v>
      </c>
      <c r="AY28" t="str">
        <v>L18_S01</v>
      </c>
      <c r="AZ28" t="str">
        <v>L18_S02</v>
      </c>
      <c r="BA28" t="str">
        <v>L18_S03</v>
      </c>
      <c r="BB28" t="str">
        <v>L18_S04</v>
      </c>
      <c r="BC28" t="str">
        <v>L18_S05</v>
      </c>
      <c r="BD28" t="str">
        <v>L18_S06</v>
      </c>
      <c r="BE28" t="str">
        <v>L18_S07</v>
      </c>
      <c r="BF28" t="str">
        <v>L18_S09</v>
      </c>
      <c r="BG28" t="e">
        <v>#N/A</v>
      </c>
      <c r="BH28" t="e">
        <v>#N/A</v>
      </c>
      <c r="BI28" t="e">
        <v>#N/A</v>
      </c>
      <c r="BJ28" t="e">
        <v>#N/A</v>
      </c>
      <c r="BK28" t="e">
        <v>#N/A</v>
      </c>
      <c r="BL28" t="e">
        <v>#N/A</v>
      </c>
      <c r="BM28" t="e">
        <v>#N/A</v>
      </c>
      <c r="BN28" t="e">
        <v>#N/A</v>
      </c>
      <c r="BO28" t="e">
        <v>#N/A</v>
      </c>
      <c r="BP28" t="e">
        <v>#N/A</v>
      </c>
      <c r="BQ28" t="e">
        <v>#N/A</v>
      </c>
      <c r="BR28" t="e">
        <v>#N/A</v>
      </c>
      <c r="BS28" t="e">
        <v>#N/A</v>
      </c>
      <c r="BT28" t="e">
        <v>#N/A</v>
      </c>
      <c r="BU28" t="e">
        <v>#N/A</v>
      </c>
      <c r="BV28" t="e">
        <v>#N/A</v>
      </c>
      <c r="BW28" t="e">
        <v>#N/A</v>
      </c>
      <c r="BX28" t="e">
        <v>#N/A</v>
      </c>
      <c r="BY28" t="e">
        <v>#N/A</v>
      </c>
      <c r="BZ28" t="e">
        <v>#N/A</v>
      </c>
      <c r="CA28" t="e">
        <v>#N/A</v>
      </c>
      <c r="CB28" t="e">
        <v>#N/A</v>
      </c>
      <c r="CC28" t="e">
        <v>#N/A</v>
      </c>
      <c r="CD28" t="e">
        <v>#N/A</v>
      </c>
      <c r="CE28" t="e">
        <v>#N/A</v>
      </c>
      <c r="CF28" t="e">
        <v>#N/A</v>
      </c>
      <c r="CG28" t="e">
        <v>#N/A</v>
      </c>
      <c r="CH28" t="e">
        <v>#N/A</v>
      </c>
      <c r="CI28" t="e">
        <v>#N/A</v>
      </c>
      <c r="CJ28" t="e">
        <v>#N/A</v>
      </c>
      <c r="CK28" t="e">
        <v>#N/A</v>
      </c>
      <c r="CL28" t="e">
        <v>#N/A</v>
      </c>
      <c r="CM28" t="e">
        <v>#N/A</v>
      </c>
      <c r="CN28" t="e">
        <v>#N/A</v>
      </c>
      <c r="CO28" t="e">
        <v>#N/A</v>
      </c>
      <c r="CP28" t="e">
        <v>#N/A</v>
      </c>
      <c r="CQ28" t="e">
        <v>#N/A</v>
      </c>
      <c r="CR28" t="e">
        <v>#N/A</v>
      </c>
      <c r="CS28" t="e">
        <v>#N/A</v>
      </c>
      <c r="CT28" t="e">
        <v>#N/A</v>
      </c>
      <c r="CU28" t="e">
        <v>#N/A</v>
      </c>
      <c r="CV28" t="e">
        <v>#N/A</v>
      </c>
      <c r="CW28" t="e">
        <v>#N/A</v>
      </c>
      <c r="CX28" t="e">
        <v>#N/A</v>
      </c>
      <c r="CY28" t="e">
        <v>#N/A</v>
      </c>
      <c r="CZ28" t="e">
        <v>#N/A</v>
      </c>
      <c r="DA28" t="e">
        <v>#N/A</v>
      </c>
      <c r="DB28" t="e">
        <v>#N/A</v>
      </c>
      <c r="DC28" t="e">
        <v>#N/A</v>
      </c>
      <c r="DD28" t="e">
        <v>#N/A</v>
      </c>
      <c r="DE28" t="e">
        <v>#N/A</v>
      </c>
      <c r="DF28" t="e">
        <v>#N/A</v>
      </c>
      <c r="DG28" t="e">
        <v>#N/A</v>
      </c>
      <c r="DH28" t="e">
        <v>#N/A</v>
      </c>
      <c r="DI28" t="e">
        <v>#N/A</v>
      </c>
      <c r="DJ28" t="e">
        <v>#N/A</v>
      </c>
      <c r="DK28" t="e">
        <v>#N/A</v>
      </c>
      <c r="DL28" t="e">
        <v>#N/A</v>
      </c>
      <c r="DM28" t="e">
        <v>#N/A</v>
      </c>
      <c r="DN28" t="e">
        <v>#N/A</v>
      </c>
      <c r="DO28" t="e">
        <v>#N/A</v>
      </c>
      <c r="DP28" t="e">
        <v>#N/A</v>
      </c>
      <c r="DQ28" t="e">
        <v>#N/A</v>
      </c>
      <c r="DR28" t="e">
        <v>#N/A</v>
      </c>
      <c r="DS28" t="e">
        <v>#N/A</v>
      </c>
      <c r="DT28" t="e">
        <v>#N/A</v>
      </c>
      <c r="DU28" t="e">
        <v>#N/A</v>
      </c>
      <c r="DV28" t="e">
        <v>#N/A</v>
      </c>
      <c r="DW28" t="e">
        <v>#N/A</v>
      </c>
      <c r="DX28" t="e">
        <v>#N/A</v>
      </c>
      <c r="DY28" t="e">
        <v>#N/A</v>
      </c>
      <c r="DZ28" t="e">
        <v>#N/A</v>
      </c>
      <c r="EA28" t="e">
        <v>#N/A</v>
      </c>
      <c r="EB28" t="e">
        <v>#N/A</v>
      </c>
      <c r="EC28" t="e">
        <v>#N/A</v>
      </c>
    </row>
    <row r="29" spans="2:133" x14ac:dyDescent="0.25">
      <c r="D29" t="str">
        <v>SS_03</v>
      </c>
      <c r="M29" s="23"/>
      <c r="N29" s="23"/>
      <c r="O29" s="24"/>
      <c r="P29" s="30"/>
      <c r="Q29" s="81"/>
      <c r="AD29" t="str">
        <v/>
      </c>
      <c r="AE29" t="str">
        <v/>
      </c>
      <c r="AF29" t="str">
        <v/>
      </c>
      <c r="AO29" t="str">
        <v/>
      </c>
      <c r="AP29" t="e">
        <v>#N/A</v>
      </c>
      <c r="AQ29" t="e">
        <v>#N/A</v>
      </c>
      <c r="AR29" t="e">
        <v>#N/A</v>
      </c>
      <c r="AS29" t="e">
        <v>#N/A</v>
      </c>
      <c r="AT29" t="e">
        <v>#N/A</v>
      </c>
      <c r="AU29" t="e">
        <v>#N/A</v>
      </c>
      <c r="AV29" t="e">
        <v>#N/A</v>
      </c>
      <c r="AW29" t="e">
        <v>#N/A</v>
      </c>
      <c r="AX29" t="e">
        <v>#N/A</v>
      </c>
      <c r="AY29" t="e">
        <v>#N/A</v>
      </c>
      <c r="AZ29" t="e">
        <v>#N/A</v>
      </c>
      <c r="BA29" t="e">
        <v>#N/A</v>
      </c>
      <c r="BB29" t="e">
        <v>#N/A</v>
      </c>
      <c r="BC29" t="e">
        <v>#N/A</v>
      </c>
      <c r="BD29" t="e">
        <v>#N/A</v>
      </c>
      <c r="BE29" t="e">
        <v>#N/A</v>
      </c>
      <c r="BF29" t="e">
        <v>#N/A</v>
      </c>
      <c r="BG29" t="e">
        <v>#N/A</v>
      </c>
      <c r="BH29" t="e">
        <v>#N/A</v>
      </c>
      <c r="BI29" t="e">
        <v>#N/A</v>
      </c>
      <c r="BJ29" t="e">
        <v>#N/A</v>
      </c>
      <c r="BK29" t="e">
        <v>#N/A</v>
      </c>
      <c r="BL29" t="e">
        <v>#N/A</v>
      </c>
      <c r="BM29" t="e">
        <v>#N/A</v>
      </c>
      <c r="BN29" t="e">
        <v>#N/A</v>
      </c>
      <c r="BO29" t="e">
        <v>#N/A</v>
      </c>
      <c r="BP29" t="e">
        <v>#N/A</v>
      </c>
      <c r="BQ29" t="e">
        <v>#N/A</v>
      </c>
      <c r="BR29" t="e">
        <v>#N/A</v>
      </c>
      <c r="BS29" t="e">
        <v>#N/A</v>
      </c>
      <c r="BT29" t="e">
        <v>#N/A</v>
      </c>
      <c r="BU29" t="e">
        <v>#N/A</v>
      </c>
      <c r="BV29" t="e">
        <v>#N/A</v>
      </c>
      <c r="BW29" t="e">
        <v>#N/A</v>
      </c>
      <c r="BX29" t="e">
        <v>#N/A</v>
      </c>
      <c r="BY29" t="e">
        <v>#N/A</v>
      </c>
      <c r="BZ29" t="e">
        <v>#N/A</v>
      </c>
      <c r="CA29" t="e">
        <v>#N/A</v>
      </c>
      <c r="CB29" t="e">
        <v>#N/A</v>
      </c>
      <c r="CC29" t="e">
        <v>#N/A</v>
      </c>
      <c r="CD29" t="e">
        <v>#N/A</v>
      </c>
      <c r="CE29" t="e">
        <v>#N/A</v>
      </c>
      <c r="CF29" t="e">
        <v>#N/A</v>
      </c>
      <c r="CG29" t="e">
        <v>#N/A</v>
      </c>
      <c r="CH29" t="e">
        <v>#N/A</v>
      </c>
      <c r="CI29" t="e">
        <v>#N/A</v>
      </c>
      <c r="CJ29" t="e">
        <v>#N/A</v>
      </c>
      <c r="CK29" t="e">
        <v>#N/A</v>
      </c>
      <c r="CL29" t="e">
        <v>#N/A</v>
      </c>
      <c r="CM29" t="e">
        <v>#N/A</v>
      </c>
      <c r="CN29" t="e">
        <v>#N/A</v>
      </c>
      <c r="CO29" t="e">
        <v>#N/A</v>
      </c>
      <c r="CP29" t="e">
        <v>#N/A</v>
      </c>
      <c r="CQ29" t="e">
        <v>#N/A</v>
      </c>
      <c r="CR29" t="e">
        <v>#N/A</v>
      </c>
      <c r="CS29" t="e">
        <v>#N/A</v>
      </c>
      <c r="CT29" t="e">
        <v>#N/A</v>
      </c>
      <c r="CU29" t="e">
        <v>#N/A</v>
      </c>
      <c r="CV29" t="e">
        <v>#N/A</v>
      </c>
      <c r="CW29" t="e">
        <v>#N/A</v>
      </c>
      <c r="CX29" t="e">
        <v>#N/A</v>
      </c>
      <c r="CY29" t="e">
        <v>#N/A</v>
      </c>
      <c r="CZ29" t="e">
        <v>#N/A</v>
      </c>
      <c r="DA29" t="e">
        <v>#N/A</v>
      </c>
      <c r="DB29" t="e">
        <v>#N/A</v>
      </c>
      <c r="DC29" t="e">
        <v>#N/A</v>
      </c>
      <c r="DD29" t="e">
        <v>#N/A</v>
      </c>
      <c r="DE29" t="e">
        <v>#N/A</v>
      </c>
      <c r="DF29" t="e">
        <v>#N/A</v>
      </c>
      <c r="DG29" t="e">
        <v>#N/A</v>
      </c>
      <c r="DH29" t="e">
        <v>#N/A</v>
      </c>
      <c r="DI29" t="e">
        <v>#N/A</v>
      </c>
      <c r="DJ29" t="e">
        <v>#N/A</v>
      </c>
      <c r="DK29" t="e">
        <v>#N/A</v>
      </c>
      <c r="DL29" t="e">
        <v>#N/A</v>
      </c>
      <c r="DM29" t="e">
        <v>#N/A</v>
      </c>
      <c r="DN29" t="e">
        <v>#N/A</v>
      </c>
      <c r="DO29" t="e">
        <v>#N/A</v>
      </c>
      <c r="DP29" t="e">
        <v>#N/A</v>
      </c>
      <c r="DQ29" t="e">
        <v>#N/A</v>
      </c>
      <c r="DR29" t="e">
        <v>#N/A</v>
      </c>
      <c r="DS29" t="e">
        <v>#N/A</v>
      </c>
      <c r="DT29" t="e">
        <v>#N/A</v>
      </c>
      <c r="DU29" t="e">
        <v>#N/A</v>
      </c>
      <c r="DV29" t="e">
        <v>#N/A</v>
      </c>
      <c r="DW29" t="e">
        <v>#N/A</v>
      </c>
      <c r="DX29" t="e">
        <v>#N/A</v>
      </c>
      <c r="DY29" t="e">
        <v>#N/A</v>
      </c>
      <c r="DZ29" t="e">
        <v>#N/A</v>
      </c>
      <c r="EA29" t="e">
        <v>#N/A</v>
      </c>
      <c r="EB29" t="e">
        <v>#N/A</v>
      </c>
      <c r="EC29" t="e">
        <v>#N/A</v>
      </c>
    </row>
    <row r="30" spans="2:133" x14ac:dyDescent="0.25">
      <c r="D30" t="str">
        <v>SS_04</v>
      </c>
      <c r="M30" s="23"/>
      <c r="N30" s="23"/>
      <c r="O30" s="24"/>
      <c r="P30" s="30"/>
      <c r="Q30" s="81"/>
      <c r="S30" s="11"/>
      <c r="T30" s="11"/>
      <c r="U30" s="11"/>
      <c r="V30" s="11"/>
      <c r="W30" s="11"/>
      <c r="AD30" t="str">
        <v/>
      </c>
      <c r="AE30" t="str">
        <v/>
      </c>
      <c r="AF30" t="str">
        <v/>
      </c>
      <c r="AO30" t="str">
        <v/>
      </c>
      <c r="AP30" t="e">
        <v>#N/A</v>
      </c>
      <c r="AQ30" t="e">
        <v>#N/A</v>
      </c>
      <c r="AR30" t="e">
        <v>#N/A</v>
      </c>
      <c r="AS30" t="e">
        <v>#N/A</v>
      </c>
      <c r="AT30" t="e">
        <v>#N/A</v>
      </c>
      <c r="AU30" t="e">
        <v>#N/A</v>
      </c>
      <c r="AV30" t="e">
        <v>#N/A</v>
      </c>
      <c r="AW30" t="e">
        <v>#N/A</v>
      </c>
      <c r="AX30" t="e">
        <v>#N/A</v>
      </c>
      <c r="AY30" t="e">
        <v>#N/A</v>
      </c>
      <c r="AZ30" t="e">
        <v>#N/A</v>
      </c>
      <c r="BA30" t="e">
        <v>#N/A</v>
      </c>
      <c r="BB30" t="e">
        <v>#N/A</v>
      </c>
      <c r="BC30" t="e">
        <v>#N/A</v>
      </c>
      <c r="BD30" t="e">
        <v>#N/A</v>
      </c>
      <c r="BE30" t="e">
        <v>#N/A</v>
      </c>
      <c r="BF30" t="e">
        <v>#N/A</v>
      </c>
      <c r="BG30" t="e">
        <v>#N/A</v>
      </c>
      <c r="BH30" t="e">
        <v>#N/A</v>
      </c>
      <c r="BI30" t="e">
        <v>#N/A</v>
      </c>
      <c r="BJ30" t="e">
        <v>#N/A</v>
      </c>
      <c r="BK30" t="e">
        <v>#N/A</v>
      </c>
      <c r="BL30" t="e">
        <v>#N/A</v>
      </c>
      <c r="BM30" t="e">
        <v>#N/A</v>
      </c>
      <c r="BN30" t="e">
        <v>#N/A</v>
      </c>
      <c r="BO30" t="e">
        <v>#N/A</v>
      </c>
      <c r="BP30" t="e">
        <v>#N/A</v>
      </c>
      <c r="BQ30" t="e">
        <v>#N/A</v>
      </c>
      <c r="BR30" t="e">
        <v>#N/A</v>
      </c>
      <c r="BS30" t="e">
        <v>#N/A</v>
      </c>
      <c r="BT30" t="e">
        <v>#N/A</v>
      </c>
      <c r="BU30" t="e">
        <v>#N/A</v>
      </c>
      <c r="BV30" t="e">
        <v>#N/A</v>
      </c>
      <c r="BW30" t="e">
        <v>#N/A</v>
      </c>
      <c r="BX30" t="e">
        <v>#N/A</v>
      </c>
      <c r="BY30" t="e">
        <v>#N/A</v>
      </c>
      <c r="BZ30" t="e">
        <v>#N/A</v>
      </c>
      <c r="CA30" t="e">
        <v>#N/A</v>
      </c>
      <c r="CB30" t="e">
        <v>#N/A</v>
      </c>
      <c r="CC30" t="e">
        <v>#N/A</v>
      </c>
      <c r="CD30" t="e">
        <v>#N/A</v>
      </c>
      <c r="CE30" t="e">
        <v>#N/A</v>
      </c>
      <c r="CF30" t="e">
        <v>#N/A</v>
      </c>
      <c r="CG30" t="e">
        <v>#N/A</v>
      </c>
      <c r="CH30" t="e">
        <v>#N/A</v>
      </c>
      <c r="CI30" t="e">
        <v>#N/A</v>
      </c>
      <c r="CJ30" t="e">
        <v>#N/A</v>
      </c>
      <c r="CK30" t="e">
        <v>#N/A</v>
      </c>
      <c r="CL30" t="e">
        <v>#N/A</v>
      </c>
      <c r="CM30" t="e">
        <v>#N/A</v>
      </c>
      <c r="CN30" t="e">
        <v>#N/A</v>
      </c>
      <c r="CO30" t="e">
        <v>#N/A</v>
      </c>
      <c r="CP30" t="e">
        <v>#N/A</v>
      </c>
      <c r="CQ30" t="e">
        <v>#N/A</v>
      </c>
      <c r="CR30" t="e">
        <v>#N/A</v>
      </c>
      <c r="CS30" t="e">
        <v>#N/A</v>
      </c>
      <c r="CT30" t="e">
        <v>#N/A</v>
      </c>
      <c r="CU30" t="e">
        <v>#N/A</v>
      </c>
      <c r="CV30" t="e">
        <v>#N/A</v>
      </c>
      <c r="CW30" t="e">
        <v>#N/A</v>
      </c>
      <c r="CX30" t="e">
        <v>#N/A</v>
      </c>
      <c r="CY30" t="e">
        <v>#N/A</v>
      </c>
      <c r="CZ30" t="e">
        <v>#N/A</v>
      </c>
      <c r="DA30" t="e">
        <v>#N/A</v>
      </c>
      <c r="DB30" t="e">
        <v>#N/A</v>
      </c>
      <c r="DC30" t="e">
        <v>#N/A</v>
      </c>
      <c r="DD30" t="e">
        <v>#N/A</v>
      </c>
      <c r="DE30" t="e">
        <v>#N/A</v>
      </c>
      <c r="DF30" t="e">
        <v>#N/A</v>
      </c>
      <c r="DG30" t="e">
        <v>#N/A</v>
      </c>
      <c r="DH30" t="e">
        <v>#N/A</v>
      </c>
      <c r="DI30" t="e">
        <v>#N/A</v>
      </c>
      <c r="DJ30" t="e">
        <v>#N/A</v>
      </c>
      <c r="DK30" t="e">
        <v>#N/A</v>
      </c>
      <c r="DL30" t="e">
        <v>#N/A</v>
      </c>
      <c r="DM30" t="e">
        <v>#N/A</v>
      </c>
      <c r="DN30" t="e">
        <v>#N/A</v>
      </c>
      <c r="DO30" t="e">
        <v>#N/A</v>
      </c>
      <c r="DP30" t="e">
        <v>#N/A</v>
      </c>
      <c r="DQ30" t="e">
        <v>#N/A</v>
      </c>
      <c r="DR30" t="e">
        <v>#N/A</v>
      </c>
      <c r="DS30" t="e">
        <v>#N/A</v>
      </c>
      <c r="DT30" t="e">
        <v>#N/A</v>
      </c>
      <c r="DU30" t="e">
        <v>#N/A</v>
      </c>
      <c r="DV30" t="e">
        <v>#N/A</v>
      </c>
      <c r="DW30" t="e">
        <v>#N/A</v>
      </c>
      <c r="DX30" t="e">
        <v>#N/A</v>
      </c>
      <c r="DY30" t="e">
        <v>#N/A</v>
      </c>
      <c r="DZ30" t="e">
        <v>#N/A</v>
      </c>
      <c r="EA30" t="e">
        <v>#N/A</v>
      </c>
      <c r="EB30" t="e">
        <v>#N/A</v>
      </c>
      <c r="EC30" t="e">
        <v>#N/A</v>
      </c>
    </row>
    <row r="31" spans="2:133" x14ac:dyDescent="0.25">
      <c r="D31" t="str">
        <v>SS_05</v>
      </c>
      <c r="M31" s="23"/>
      <c r="N31" s="23"/>
      <c r="O31" s="24"/>
      <c r="P31" s="30"/>
      <c r="Q31" s="82"/>
      <c r="S31" s="11"/>
      <c r="T31" s="11"/>
      <c r="U31" s="11"/>
      <c r="V31" s="11"/>
      <c r="W31" s="11"/>
      <c r="AD31" t="str">
        <v/>
      </c>
      <c r="AE31" t="str">
        <v/>
      </c>
      <c r="AF31" t="str">
        <v/>
      </c>
      <c r="AO31" t="str">
        <v/>
      </c>
      <c r="AP31" t="e">
        <v>#N/A</v>
      </c>
      <c r="AQ31" t="e">
        <v>#N/A</v>
      </c>
      <c r="AR31" t="e">
        <v>#N/A</v>
      </c>
      <c r="AS31" t="e">
        <v>#N/A</v>
      </c>
      <c r="AT31" t="e">
        <v>#N/A</v>
      </c>
      <c r="AU31" t="e">
        <v>#N/A</v>
      </c>
      <c r="AV31" t="e">
        <v>#N/A</v>
      </c>
      <c r="AW31" t="e">
        <v>#N/A</v>
      </c>
      <c r="AX31" t="e">
        <v>#N/A</v>
      </c>
      <c r="AY31" t="e">
        <v>#N/A</v>
      </c>
      <c r="AZ31" t="e">
        <v>#N/A</v>
      </c>
      <c r="BA31" t="e">
        <v>#N/A</v>
      </c>
      <c r="BB31" t="e">
        <v>#N/A</v>
      </c>
      <c r="BC31" t="e">
        <v>#N/A</v>
      </c>
      <c r="BD31" t="e">
        <v>#N/A</v>
      </c>
      <c r="BE31" t="e">
        <v>#N/A</v>
      </c>
      <c r="BF31" t="e">
        <v>#N/A</v>
      </c>
      <c r="BG31" t="e">
        <v>#N/A</v>
      </c>
      <c r="BH31" t="e">
        <v>#N/A</v>
      </c>
      <c r="BI31" t="e">
        <v>#N/A</v>
      </c>
      <c r="BJ31" t="e">
        <v>#N/A</v>
      </c>
      <c r="BK31" t="e">
        <v>#N/A</v>
      </c>
      <c r="BL31" t="e">
        <v>#N/A</v>
      </c>
      <c r="BM31" t="e">
        <v>#N/A</v>
      </c>
      <c r="BN31" t="e">
        <v>#N/A</v>
      </c>
      <c r="BO31" t="e">
        <v>#N/A</v>
      </c>
      <c r="BP31" t="e">
        <v>#N/A</v>
      </c>
      <c r="BQ31" t="e">
        <v>#N/A</v>
      </c>
      <c r="BR31" t="e">
        <v>#N/A</v>
      </c>
      <c r="BS31" t="e">
        <v>#N/A</v>
      </c>
      <c r="BT31" t="e">
        <v>#N/A</v>
      </c>
      <c r="BU31" t="e">
        <v>#N/A</v>
      </c>
      <c r="BV31" t="e">
        <v>#N/A</v>
      </c>
      <c r="BW31" t="e">
        <v>#N/A</v>
      </c>
      <c r="BX31" t="e">
        <v>#N/A</v>
      </c>
      <c r="BY31" t="e">
        <v>#N/A</v>
      </c>
      <c r="BZ31" t="e">
        <v>#N/A</v>
      </c>
      <c r="CA31" t="e">
        <v>#N/A</v>
      </c>
      <c r="CB31" t="e">
        <v>#N/A</v>
      </c>
      <c r="CC31" t="e">
        <v>#N/A</v>
      </c>
      <c r="CD31" t="e">
        <v>#N/A</v>
      </c>
      <c r="CE31" t="e">
        <v>#N/A</v>
      </c>
      <c r="CF31" t="e">
        <v>#N/A</v>
      </c>
      <c r="CG31" t="e">
        <v>#N/A</v>
      </c>
      <c r="CH31" t="e">
        <v>#N/A</v>
      </c>
      <c r="CI31" t="e">
        <v>#N/A</v>
      </c>
      <c r="CJ31" t="e">
        <v>#N/A</v>
      </c>
      <c r="CK31" t="e">
        <v>#N/A</v>
      </c>
      <c r="CL31" t="e">
        <v>#N/A</v>
      </c>
      <c r="CM31" t="e">
        <v>#N/A</v>
      </c>
      <c r="CN31" t="e">
        <v>#N/A</v>
      </c>
      <c r="CO31" t="e">
        <v>#N/A</v>
      </c>
      <c r="CP31" t="e">
        <v>#N/A</v>
      </c>
      <c r="CQ31" t="e">
        <v>#N/A</v>
      </c>
      <c r="CR31" t="e">
        <v>#N/A</v>
      </c>
      <c r="CS31" t="e">
        <v>#N/A</v>
      </c>
      <c r="CT31" t="e">
        <v>#N/A</v>
      </c>
      <c r="CU31" t="e">
        <v>#N/A</v>
      </c>
      <c r="CV31" t="e">
        <v>#N/A</v>
      </c>
      <c r="CW31" t="e">
        <v>#N/A</v>
      </c>
      <c r="CX31" t="e">
        <v>#N/A</v>
      </c>
      <c r="CY31" t="e">
        <v>#N/A</v>
      </c>
      <c r="CZ31" t="e">
        <v>#N/A</v>
      </c>
      <c r="DA31" t="e">
        <v>#N/A</v>
      </c>
      <c r="DB31" t="e">
        <v>#N/A</v>
      </c>
      <c r="DC31" t="e">
        <v>#N/A</v>
      </c>
      <c r="DD31" t="e">
        <v>#N/A</v>
      </c>
      <c r="DE31" t="e">
        <v>#N/A</v>
      </c>
      <c r="DF31" t="e">
        <v>#N/A</v>
      </c>
      <c r="DG31" t="e">
        <v>#N/A</v>
      </c>
      <c r="DH31" t="e">
        <v>#N/A</v>
      </c>
      <c r="DI31" t="e">
        <v>#N/A</v>
      </c>
      <c r="DJ31" t="e">
        <v>#N/A</v>
      </c>
      <c r="DK31" t="e">
        <v>#N/A</v>
      </c>
      <c r="DL31" t="e">
        <v>#N/A</v>
      </c>
      <c r="DM31" t="e">
        <v>#N/A</v>
      </c>
      <c r="DN31" t="e">
        <v>#N/A</v>
      </c>
      <c r="DO31" t="e">
        <v>#N/A</v>
      </c>
      <c r="DP31" t="e">
        <v>#N/A</v>
      </c>
      <c r="DQ31" t="e">
        <v>#N/A</v>
      </c>
      <c r="DR31" t="e">
        <v>#N/A</v>
      </c>
      <c r="DS31" t="e">
        <v>#N/A</v>
      </c>
      <c r="DT31" t="e">
        <v>#N/A</v>
      </c>
      <c r="DU31" t="e">
        <v>#N/A</v>
      </c>
      <c r="DV31" t="e">
        <v>#N/A</v>
      </c>
      <c r="DW31" t="e">
        <v>#N/A</v>
      </c>
      <c r="DX31" t="e">
        <v>#N/A</v>
      </c>
      <c r="DY31" t="e">
        <v>#N/A</v>
      </c>
      <c r="DZ31" t="e">
        <v>#N/A</v>
      </c>
      <c r="EA31" t="e">
        <v>#N/A</v>
      </c>
      <c r="EB31" t="e">
        <v>#N/A</v>
      </c>
      <c r="EC31" t="e">
        <v>#N/A</v>
      </c>
    </row>
    <row r="32" spans="2:133" x14ac:dyDescent="0.25">
      <c r="D32" t="str">
        <v>SS_07</v>
      </c>
      <c r="M32" s="23"/>
      <c r="N32" s="23"/>
      <c r="O32" s="24"/>
      <c r="P32" s="30"/>
      <c r="Q32" s="82"/>
      <c r="S32" s="11"/>
      <c r="T32" s="11"/>
      <c r="U32" s="11"/>
      <c r="V32" s="11"/>
      <c r="W32" s="11"/>
      <c r="AD32" t="str">
        <v/>
      </c>
      <c r="AE32" t="str">
        <v/>
      </c>
      <c r="AF32" t="str">
        <v/>
      </c>
      <c r="AO32" t="str">
        <v/>
      </c>
      <c r="AP32" t="e">
        <v>#N/A</v>
      </c>
      <c r="AQ32" t="e">
        <v>#N/A</v>
      </c>
      <c r="AR32" t="e">
        <v>#N/A</v>
      </c>
      <c r="AS32" t="e">
        <v>#N/A</v>
      </c>
      <c r="AT32" t="e">
        <v>#N/A</v>
      </c>
      <c r="AU32" t="e">
        <v>#N/A</v>
      </c>
      <c r="AV32" t="e">
        <v>#N/A</v>
      </c>
      <c r="AW32" t="e">
        <v>#N/A</v>
      </c>
      <c r="AX32" t="e">
        <v>#N/A</v>
      </c>
      <c r="AY32" t="e">
        <v>#N/A</v>
      </c>
      <c r="AZ32" t="e">
        <v>#N/A</v>
      </c>
      <c r="BA32" t="e">
        <v>#N/A</v>
      </c>
      <c r="BB32" t="e">
        <v>#N/A</v>
      </c>
      <c r="BC32" t="e">
        <v>#N/A</v>
      </c>
      <c r="BD32" t="e">
        <v>#N/A</v>
      </c>
      <c r="BE32" t="e">
        <v>#N/A</v>
      </c>
      <c r="BF32" t="e">
        <v>#N/A</v>
      </c>
      <c r="BG32" t="e">
        <v>#N/A</v>
      </c>
      <c r="BH32" t="e">
        <v>#N/A</v>
      </c>
      <c r="BI32" t="e">
        <v>#N/A</v>
      </c>
      <c r="BJ32" t="e">
        <v>#N/A</v>
      </c>
      <c r="BK32" t="e">
        <v>#N/A</v>
      </c>
      <c r="BL32" t="e">
        <v>#N/A</v>
      </c>
      <c r="BM32" t="e">
        <v>#N/A</v>
      </c>
      <c r="BN32" t="e">
        <v>#N/A</v>
      </c>
      <c r="BO32" t="e">
        <v>#N/A</v>
      </c>
      <c r="BP32" t="e">
        <v>#N/A</v>
      </c>
      <c r="BQ32" t="e">
        <v>#N/A</v>
      </c>
      <c r="BR32" t="e">
        <v>#N/A</v>
      </c>
      <c r="BS32" t="e">
        <v>#N/A</v>
      </c>
      <c r="BT32" t="e">
        <v>#N/A</v>
      </c>
      <c r="BU32" t="e">
        <v>#N/A</v>
      </c>
      <c r="BV32" t="e">
        <v>#N/A</v>
      </c>
      <c r="BW32" t="e">
        <v>#N/A</v>
      </c>
      <c r="BX32" t="e">
        <v>#N/A</v>
      </c>
      <c r="BY32" t="e">
        <v>#N/A</v>
      </c>
      <c r="BZ32" t="e">
        <v>#N/A</v>
      </c>
      <c r="CA32" t="e">
        <v>#N/A</v>
      </c>
      <c r="CB32" t="e">
        <v>#N/A</v>
      </c>
      <c r="CC32" t="e">
        <v>#N/A</v>
      </c>
      <c r="CD32" t="e">
        <v>#N/A</v>
      </c>
      <c r="CE32" t="e">
        <v>#N/A</v>
      </c>
      <c r="CF32" t="e">
        <v>#N/A</v>
      </c>
      <c r="CG32" t="e">
        <v>#N/A</v>
      </c>
      <c r="CH32" t="e">
        <v>#N/A</v>
      </c>
      <c r="CI32" t="e">
        <v>#N/A</v>
      </c>
      <c r="CJ32" t="e">
        <v>#N/A</v>
      </c>
      <c r="CK32" t="e">
        <v>#N/A</v>
      </c>
      <c r="CL32" t="e">
        <v>#N/A</v>
      </c>
      <c r="CM32" t="e">
        <v>#N/A</v>
      </c>
      <c r="CN32" t="e">
        <v>#N/A</v>
      </c>
      <c r="CO32" t="e">
        <v>#N/A</v>
      </c>
      <c r="CP32" t="e">
        <v>#N/A</v>
      </c>
      <c r="CQ32" t="e">
        <v>#N/A</v>
      </c>
      <c r="CR32" t="e">
        <v>#N/A</v>
      </c>
      <c r="CS32" t="e">
        <v>#N/A</v>
      </c>
      <c r="CT32" t="e">
        <v>#N/A</v>
      </c>
      <c r="CU32" t="e">
        <v>#N/A</v>
      </c>
      <c r="CV32" t="e">
        <v>#N/A</v>
      </c>
      <c r="CW32" t="e">
        <v>#N/A</v>
      </c>
      <c r="CX32" t="e">
        <v>#N/A</v>
      </c>
      <c r="CY32" t="e">
        <v>#N/A</v>
      </c>
      <c r="CZ32" t="e">
        <v>#N/A</v>
      </c>
      <c r="DA32" t="e">
        <v>#N/A</v>
      </c>
      <c r="DB32" t="e">
        <v>#N/A</v>
      </c>
      <c r="DC32" t="e">
        <v>#N/A</v>
      </c>
      <c r="DD32" t="e">
        <v>#N/A</v>
      </c>
      <c r="DE32" t="e">
        <v>#N/A</v>
      </c>
      <c r="DF32" t="e">
        <v>#N/A</v>
      </c>
      <c r="DG32" t="e">
        <v>#N/A</v>
      </c>
      <c r="DH32" t="e">
        <v>#N/A</v>
      </c>
      <c r="DI32" t="e">
        <v>#N/A</v>
      </c>
      <c r="DJ32" t="e">
        <v>#N/A</v>
      </c>
      <c r="DK32" t="e">
        <v>#N/A</v>
      </c>
      <c r="DL32" t="e">
        <v>#N/A</v>
      </c>
      <c r="DM32" t="e">
        <v>#N/A</v>
      </c>
      <c r="DN32" t="e">
        <v>#N/A</v>
      </c>
      <c r="DO32" t="e">
        <v>#N/A</v>
      </c>
      <c r="DP32" t="e">
        <v>#N/A</v>
      </c>
      <c r="DQ32" t="e">
        <v>#N/A</v>
      </c>
      <c r="DR32" t="e">
        <v>#N/A</v>
      </c>
      <c r="DS32" t="e">
        <v>#N/A</v>
      </c>
      <c r="DT32" t="e">
        <v>#N/A</v>
      </c>
      <c r="DU32" t="e">
        <v>#N/A</v>
      </c>
      <c r="DV32" t="e">
        <v>#N/A</v>
      </c>
      <c r="DW32" t="e">
        <v>#N/A</v>
      </c>
      <c r="DX32" t="e">
        <v>#N/A</v>
      </c>
      <c r="DY32" t="e">
        <v>#N/A</v>
      </c>
      <c r="DZ32" t="e">
        <v>#N/A</v>
      </c>
      <c r="EA32" t="e">
        <v>#N/A</v>
      </c>
      <c r="EB32" t="e">
        <v>#N/A</v>
      </c>
      <c r="EC32" t="e">
        <v>#N/A</v>
      </c>
    </row>
    <row r="33" spans="4:133" x14ac:dyDescent="0.25">
      <c r="D33" t="str">
        <v>SS_08</v>
      </c>
      <c r="M33" s="23"/>
      <c r="N33" s="23"/>
      <c r="O33" s="24"/>
      <c r="P33" s="30"/>
      <c r="Q33" s="83"/>
      <c r="S33" s="11"/>
      <c r="T33" s="11"/>
      <c r="U33" s="11"/>
      <c r="V33" s="11"/>
      <c r="W33" s="11"/>
      <c r="AD33" t="str">
        <v/>
      </c>
      <c r="AE33" t="str">
        <v/>
      </c>
      <c r="AF33" t="str">
        <v/>
      </c>
      <c r="AO33" t="str">
        <v/>
      </c>
      <c r="AP33" t="e">
        <v>#N/A</v>
      </c>
      <c r="AQ33" t="e">
        <v>#N/A</v>
      </c>
      <c r="AR33" t="e">
        <v>#N/A</v>
      </c>
      <c r="AS33" t="e">
        <v>#N/A</v>
      </c>
      <c r="AT33" t="e">
        <v>#N/A</v>
      </c>
      <c r="AU33" t="e">
        <v>#N/A</v>
      </c>
      <c r="AV33" t="e">
        <v>#N/A</v>
      </c>
      <c r="AW33" t="e">
        <v>#N/A</v>
      </c>
      <c r="AX33" t="e">
        <v>#N/A</v>
      </c>
      <c r="AY33" t="e">
        <v>#N/A</v>
      </c>
      <c r="AZ33" t="e">
        <v>#N/A</v>
      </c>
      <c r="BA33" t="e">
        <v>#N/A</v>
      </c>
      <c r="BB33" t="e">
        <v>#N/A</v>
      </c>
      <c r="BC33" t="e">
        <v>#N/A</v>
      </c>
      <c r="BD33" t="e">
        <v>#N/A</v>
      </c>
      <c r="BE33" t="e">
        <v>#N/A</v>
      </c>
      <c r="BF33" t="e">
        <v>#N/A</v>
      </c>
      <c r="BG33" t="e">
        <v>#N/A</v>
      </c>
      <c r="BH33" t="e">
        <v>#N/A</v>
      </c>
      <c r="BI33" t="e">
        <v>#N/A</v>
      </c>
      <c r="BJ33" t="e">
        <v>#N/A</v>
      </c>
      <c r="BK33" t="e">
        <v>#N/A</v>
      </c>
      <c r="BL33" t="e">
        <v>#N/A</v>
      </c>
      <c r="BM33" t="e">
        <v>#N/A</v>
      </c>
      <c r="BN33" t="e">
        <v>#N/A</v>
      </c>
      <c r="BO33" t="e">
        <v>#N/A</v>
      </c>
      <c r="BP33" t="e">
        <v>#N/A</v>
      </c>
      <c r="BQ33" t="e">
        <v>#N/A</v>
      </c>
      <c r="BR33" t="e">
        <v>#N/A</v>
      </c>
      <c r="BS33" t="e">
        <v>#N/A</v>
      </c>
      <c r="BT33" t="e">
        <v>#N/A</v>
      </c>
      <c r="BU33" t="e">
        <v>#N/A</v>
      </c>
      <c r="BV33" t="e">
        <v>#N/A</v>
      </c>
      <c r="BW33" t="e">
        <v>#N/A</v>
      </c>
      <c r="BX33" t="e">
        <v>#N/A</v>
      </c>
      <c r="BY33" t="e">
        <v>#N/A</v>
      </c>
      <c r="BZ33" t="e">
        <v>#N/A</v>
      </c>
      <c r="CA33" t="e">
        <v>#N/A</v>
      </c>
      <c r="CB33" t="e">
        <v>#N/A</v>
      </c>
      <c r="CC33" t="e">
        <v>#N/A</v>
      </c>
      <c r="CD33" t="e">
        <v>#N/A</v>
      </c>
      <c r="CE33" t="e">
        <v>#N/A</v>
      </c>
      <c r="CF33" t="e">
        <v>#N/A</v>
      </c>
      <c r="CG33" t="e">
        <v>#N/A</v>
      </c>
      <c r="CH33" t="e">
        <v>#N/A</v>
      </c>
      <c r="CI33" t="e">
        <v>#N/A</v>
      </c>
      <c r="CJ33" t="e">
        <v>#N/A</v>
      </c>
      <c r="CK33" t="e">
        <v>#N/A</v>
      </c>
      <c r="CL33" t="e">
        <v>#N/A</v>
      </c>
      <c r="CM33" t="e">
        <v>#N/A</v>
      </c>
      <c r="CN33" t="e">
        <v>#N/A</v>
      </c>
      <c r="CO33" t="e">
        <v>#N/A</v>
      </c>
      <c r="CP33" t="e">
        <v>#N/A</v>
      </c>
      <c r="CQ33" t="e">
        <v>#N/A</v>
      </c>
      <c r="CR33" t="e">
        <v>#N/A</v>
      </c>
      <c r="CS33" t="e">
        <v>#N/A</v>
      </c>
      <c r="CT33" t="e">
        <v>#N/A</v>
      </c>
      <c r="CU33" t="e">
        <v>#N/A</v>
      </c>
      <c r="CV33" t="e">
        <v>#N/A</v>
      </c>
      <c r="CW33" t="e">
        <v>#N/A</v>
      </c>
      <c r="CX33" t="e">
        <v>#N/A</v>
      </c>
      <c r="CY33" t="e">
        <v>#N/A</v>
      </c>
      <c r="CZ33" t="e">
        <v>#N/A</v>
      </c>
      <c r="DA33" t="e">
        <v>#N/A</v>
      </c>
      <c r="DB33" t="e">
        <v>#N/A</v>
      </c>
      <c r="DC33" t="e">
        <v>#N/A</v>
      </c>
      <c r="DD33" t="e">
        <v>#N/A</v>
      </c>
      <c r="DE33" t="e">
        <v>#N/A</v>
      </c>
      <c r="DF33" t="e">
        <v>#N/A</v>
      </c>
      <c r="DG33" t="e">
        <v>#N/A</v>
      </c>
      <c r="DH33" t="e">
        <v>#N/A</v>
      </c>
      <c r="DI33" t="e">
        <v>#N/A</v>
      </c>
      <c r="DJ33" t="e">
        <v>#N/A</v>
      </c>
      <c r="DK33" t="e">
        <v>#N/A</v>
      </c>
      <c r="DL33" t="e">
        <v>#N/A</v>
      </c>
      <c r="DM33" t="e">
        <v>#N/A</v>
      </c>
      <c r="DN33" t="e">
        <v>#N/A</v>
      </c>
      <c r="DO33" t="e">
        <v>#N/A</v>
      </c>
      <c r="DP33" t="e">
        <v>#N/A</v>
      </c>
      <c r="DQ33" t="e">
        <v>#N/A</v>
      </c>
      <c r="DR33" t="e">
        <v>#N/A</v>
      </c>
      <c r="DS33" t="e">
        <v>#N/A</v>
      </c>
      <c r="DT33" t="e">
        <v>#N/A</v>
      </c>
      <c r="DU33" t="e">
        <v>#N/A</v>
      </c>
      <c r="DV33" t="e">
        <v>#N/A</v>
      </c>
      <c r="DW33" t="e">
        <v>#N/A</v>
      </c>
      <c r="DX33" t="e">
        <v>#N/A</v>
      </c>
      <c r="DY33" t="e">
        <v>#N/A</v>
      </c>
      <c r="DZ33" t="e">
        <v>#N/A</v>
      </c>
      <c r="EA33" t="e">
        <v>#N/A</v>
      </c>
      <c r="EB33" t="e">
        <v>#N/A</v>
      </c>
      <c r="EC33" t="e">
        <v>#N/A</v>
      </c>
    </row>
    <row r="34" spans="4:133" x14ac:dyDescent="0.25">
      <c r="D34" t="str">
        <v>SS_09</v>
      </c>
      <c r="M34" s="23"/>
      <c r="N34" s="23"/>
      <c r="O34" s="24"/>
      <c r="P34" s="30"/>
      <c r="Q34" s="83"/>
      <c r="S34" s="11"/>
      <c r="T34" s="11"/>
      <c r="U34" s="11"/>
      <c r="V34" s="11"/>
      <c r="W34" s="11"/>
      <c r="AD34" t="str">
        <v/>
      </c>
      <c r="AE34" t="str">
        <v/>
      </c>
      <c r="AF34" t="str">
        <v/>
      </c>
      <c r="AO34" t="str">
        <v/>
      </c>
      <c r="AP34" t="e">
        <v>#N/A</v>
      </c>
      <c r="AQ34" t="e">
        <v>#N/A</v>
      </c>
      <c r="AR34" t="e">
        <v>#N/A</v>
      </c>
      <c r="AS34" t="e">
        <v>#N/A</v>
      </c>
      <c r="AT34" t="e">
        <v>#N/A</v>
      </c>
      <c r="AU34" t="e">
        <v>#N/A</v>
      </c>
      <c r="AV34" t="e">
        <v>#N/A</v>
      </c>
      <c r="AW34" t="e">
        <v>#N/A</v>
      </c>
      <c r="AX34" t="e">
        <v>#N/A</v>
      </c>
      <c r="AY34" t="e">
        <v>#N/A</v>
      </c>
      <c r="AZ34" t="e">
        <v>#N/A</v>
      </c>
      <c r="BA34" t="e">
        <v>#N/A</v>
      </c>
      <c r="BB34" t="e">
        <v>#N/A</v>
      </c>
      <c r="BC34" t="e">
        <v>#N/A</v>
      </c>
      <c r="BD34" t="e">
        <v>#N/A</v>
      </c>
      <c r="BE34" t="e">
        <v>#N/A</v>
      </c>
      <c r="BF34" t="e">
        <v>#N/A</v>
      </c>
      <c r="BG34" t="e">
        <v>#N/A</v>
      </c>
      <c r="BH34" t="e">
        <v>#N/A</v>
      </c>
      <c r="BI34" t="e">
        <v>#N/A</v>
      </c>
      <c r="BJ34" t="e">
        <v>#N/A</v>
      </c>
      <c r="BK34" t="e">
        <v>#N/A</v>
      </c>
      <c r="BL34" t="e">
        <v>#N/A</v>
      </c>
      <c r="BM34" t="e">
        <v>#N/A</v>
      </c>
      <c r="BN34" t="e">
        <v>#N/A</v>
      </c>
      <c r="BO34" t="e">
        <v>#N/A</v>
      </c>
      <c r="BP34" t="e">
        <v>#N/A</v>
      </c>
      <c r="BQ34" t="e">
        <v>#N/A</v>
      </c>
      <c r="BR34" t="e">
        <v>#N/A</v>
      </c>
      <c r="BS34" t="e">
        <v>#N/A</v>
      </c>
      <c r="BT34" t="e">
        <v>#N/A</v>
      </c>
      <c r="BU34" t="e">
        <v>#N/A</v>
      </c>
      <c r="BV34" t="e">
        <v>#N/A</v>
      </c>
      <c r="BW34" t="e">
        <v>#N/A</v>
      </c>
      <c r="BX34" t="e">
        <v>#N/A</v>
      </c>
      <c r="BY34" t="e">
        <v>#N/A</v>
      </c>
      <c r="BZ34" t="e">
        <v>#N/A</v>
      </c>
      <c r="CA34" t="e">
        <v>#N/A</v>
      </c>
      <c r="CB34" t="e">
        <v>#N/A</v>
      </c>
      <c r="CC34" t="e">
        <v>#N/A</v>
      </c>
      <c r="CD34" t="e">
        <v>#N/A</v>
      </c>
      <c r="CE34" t="e">
        <v>#N/A</v>
      </c>
      <c r="CF34" t="e">
        <v>#N/A</v>
      </c>
      <c r="CG34" t="e">
        <v>#N/A</v>
      </c>
      <c r="CH34" t="e">
        <v>#N/A</v>
      </c>
      <c r="CI34" t="e">
        <v>#N/A</v>
      </c>
      <c r="CJ34" t="e">
        <v>#N/A</v>
      </c>
      <c r="CK34" t="e">
        <v>#N/A</v>
      </c>
      <c r="CL34" t="e">
        <v>#N/A</v>
      </c>
      <c r="CM34" t="e">
        <v>#N/A</v>
      </c>
      <c r="CN34" t="e">
        <v>#N/A</v>
      </c>
      <c r="CO34" t="e">
        <v>#N/A</v>
      </c>
      <c r="CP34" t="e">
        <v>#N/A</v>
      </c>
      <c r="CQ34" t="e">
        <v>#N/A</v>
      </c>
      <c r="CR34" t="e">
        <v>#N/A</v>
      </c>
      <c r="CS34" t="e">
        <v>#N/A</v>
      </c>
      <c r="CT34" t="e">
        <v>#N/A</v>
      </c>
      <c r="CU34" t="e">
        <v>#N/A</v>
      </c>
      <c r="CV34" t="e">
        <v>#N/A</v>
      </c>
      <c r="CW34" t="e">
        <v>#N/A</v>
      </c>
      <c r="CX34" t="e">
        <v>#N/A</v>
      </c>
      <c r="CY34" t="e">
        <v>#N/A</v>
      </c>
      <c r="CZ34" t="e">
        <v>#N/A</v>
      </c>
      <c r="DA34" t="e">
        <v>#N/A</v>
      </c>
      <c r="DB34" t="e">
        <v>#N/A</v>
      </c>
      <c r="DC34" t="e">
        <v>#N/A</v>
      </c>
      <c r="DD34" t="e">
        <v>#N/A</v>
      </c>
      <c r="DE34" t="e">
        <v>#N/A</v>
      </c>
      <c r="DF34" t="e">
        <v>#N/A</v>
      </c>
      <c r="DG34" t="e">
        <v>#N/A</v>
      </c>
      <c r="DH34" t="e">
        <v>#N/A</v>
      </c>
      <c r="DI34" t="e">
        <v>#N/A</v>
      </c>
      <c r="DJ34" t="e">
        <v>#N/A</v>
      </c>
      <c r="DK34" t="e">
        <v>#N/A</v>
      </c>
      <c r="DL34" t="e">
        <v>#N/A</v>
      </c>
      <c r="DM34" t="e">
        <v>#N/A</v>
      </c>
      <c r="DN34" t="e">
        <v>#N/A</v>
      </c>
      <c r="DO34" t="e">
        <v>#N/A</v>
      </c>
      <c r="DP34" t="e">
        <v>#N/A</v>
      </c>
      <c r="DQ34" t="e">
        <v>#N/A</v>
      </c>
      <c r="DR34" t="e">
        <v>#N/A</v>
      </c>
      <c r="DS34" t="e">
        <v>#N/A</v>
      </c>
      <c r="DT34" t="e">
        <v>#N/A</v>
      </c>
      <c r="DU34" t="e">
        <v>#N/A</v>
      </c>
      <c r="DV34" t="e">
        <v>#N/A</v>
      </c>
      <c r="DW34" t="e">
        <v>#N/A</v>
      </c>
      <c r="DX34" t="e">
        <v>#N/A</v>
      </c>
      <c r="DY34" t="e">
        <v>#N/A</v>
      </c>
      <c r="DZ34" t="e">
        <v>#N/A</v>
      </c>
      <c r="EA34" t="e">
        <v>#N/A</v>
      </c>
      <c r="EB34" t="e">
        <v>#N/A</v>
      </c>
      <c r="EC34" t="e">
        <v>#N/A</v>
      </c>
    </row>
    <row r="35" spans="4:133" x14ac:dyDescent="0.25">
      <c r="D35" t="str">
        <v>SS_10</v>
      </c>
      <c r="M35" s="23"/>
      <c r="N35" s="23"/>
      <c r="O35" s="24"/>
      <c r="P35" s="30"/>
      <c r="Q35" s="83"/>
      <c r="S35" s="11"/>
      <c r="T35" s="11"/>
      <c r="U35" s="11"/>
      <c r="V35" s="11"/>
      <c r="W35" s="11"/>
      <c r="AD35" t="str">
        <v/>
      </c>
      <c r="AE35" t="str">
        <v/>
      </c>
      <c r="AF35" t="str">
        <v/>
      </c>
      <c r="AO35" t="str">
        <v/>
      </c>
      <c r="AP35" t="e">
        <v>#N/A</v>
      </c>
      <c r="AQ35" t="e">
        <v>#N/A</v>
      </c>
      <c r="AR35" t="e">
        <v>#N/A</v>
      </c>
      <c r="AS35" t="e">
        <v>#N/A</v>
      </c>
      <c r="AT35" t="e">
        <v>#N/A</v>
      </c>
      <c r="AU35" t="e">
        <v>#N/A</v>
      </c>
      <c r="AV35" t="e">
        <v>#N/A</v>
      </c>
      <c r="AW35" t="e">
        <v>#N/A</v>
      </c>
      <c r="AX35" t="e">
        <v>#N/A</v>
      </c>
      <c r="AY35" t="e">
        <v>#N/A</v>
      </c>
      <c r="AZ35" t="e">
        <v>#N/A</v>
      </c>
      <c r="BA35" t="e">
        <v>#N/A</v>
      </c>
      <c r="BB35" t="e">
        <v>#N/A</v>
      </c>
      <c r="BC35" t="e">
        <v>#N/A</v>
      </c>
      <c r="BD35" t="e">
        <v>#N/A</v>
      </c>
      <c r="BE35" t="e">
        <v>#N/A</v>
      </c>
      <c r="BF35" t="e">
        <v>#N/A</v>
      </c>
      <c r="BG35" t="e">
        <v>#N/A</v>
      </c>
      <c r="BH35" t="e">
        <v>#N/A</v>
      </c>
      <c r="BI35" t="e">
        <v>#N/A</v>
      </c>
      <c r="BJ35" t="e">
        <v>#N/A</v>
      </c>
      <c r="BK35" t="e">
        <v>#N/A</v>
      </c>
      <c r="BL35" t="e">
        <v>#N/A</v>
      </c>
      <c r="BM35" t="e">
        <v>#N/A</v>
      </c>
      <c r="BN35" t="e">
        <v>#N/A</v>
      </c>
      <c r="BO35" t="e">
        <v>#N/A</v>
      </c>
      <c r="BP35" t="e">
        <v>#N/A</v>
      </c>
      <c r="BQ35" t="e">
        <v>#N/A</v>
      </c>
      <c r="BR35" t="e">
        <v>#N/A</v>
      </c>
      <c r="BS35" t="e">
        <v>#N/A</v>
      </c>
      <c r="BT35" t="e">
        <v>#N/A</v>
      </c>
      <c r="BU35" t="e">
        <v>#N/A</v>
      </c>
      <c r="BV35" t="e">
        <v>#N/A</v>
      </c>
      <c r="BW35" t="e">
        <v>#N/A</v>
      </c>
      <c r="BX35" t="e">
        <v>#N/A</v>
      </c>
      <c r="BY35" t="e">
        <v>#N/A</v>
      </c>
      <c r="BZ35" t="e">
        <v>#N/A</v>
      </c>
      <c r="CA35" t="e">
        <v>#N/A</v>
      </c>
      <c r="CB35" t="e">
        <v>#N/A</v>
      </c>
      <c r="CC35" t="e">
        <v>#N/A</v>
      </c>
      <c r="CD35" t="e">
        <v>#N/A</v>
      </c>
      <c r="CE35" t="e">
        <v>#N/A</v>
      </c>
      <c r="CF35" t="e">
        <v>#N/A</v>
      </c>
      <c r="CG35" t="e">
        <v>#N/A</v>
      </c>
      <c r="CH35" t="e">
        <v>#N/A</v>
      </c>
      <c r="CI35" t="e">
        <v>#N/A</v>
      </c>
      <c r="CJ35" t="e">
        <v>#N/A</v>
      </c>
      <c r="CK35" t="e">
        <v>#N/A</v>
      </c>
      <c r="CL35" t="e">
        <v>#N/A</v>
      </c>
      <c r="CM35" t="e">
        <v>#N/A</v>
      </c>
      <c r="CN35" t="e">
        <v>#N/A</v>
      </c>
      <c r="CO35" t="e">
        <v>#N/A</v>
      </c>
      <c r="CP35" t="e">
        <v>#N/A</v>
      </c>
      <c r="CQ35" t="e">
        <v>#N/A</v>
      </c>
      <c r="CR35" t="e">
        <v>#N/A</v>
      </c>
      <c r="CS35" t="e">
        <v>#N/A</v>
      </c>
      <c r="CT35" t="e">
        <v>#N/A</v>
      </c>
      <c r="CU35" t="e">
        <v>#N/A</v>
      </c>
      <c r="CV35" t="e">
        <v>#N/A</v>
      </c>
      <c r="CW35" t="e">
        <v>#N/A</v>
      </c>
      <c r="CX35" t="e">
        <v>#N/A</v>
      </c>
      <c r="CY35" t="e">
        <v>#N/A</v>
      </c>
      <c r="CZ35" t="e">
        <v>#N/A</v>
      </c>
      <c r="DA35" t="e">
        <v>#N/A</v>
      </c>
      <c r="DB35" t="e">
        <v>#N/A</v>
      </c>
      <c r="DC35" t="e">
        <v>#N/A</v>
      </c>
      <c r="DD35" t="e">
        <v>#N/A</v>
      </c>
      <c r="DE35" t="e">
        <v>#N/A</v>
      </c>
      <c r="DF35" t="e">
        <v>#N/A</v>
      </c>
      <c r="DG35" t="e">
        <v>#N/A</v>
      </c>
      <c r="DH35" t="e">
        <v>#N/A</v>
      </c>
      <c r="DI35" t="e">
        <v>#N/A</v>
      </c>
      <c r="DJ35" t="e">
        <v>#N/A</v>
      </c>
      <c r="DK35" t="e">
        <v>#N/A</v>
      </c>
      <c r="DL35" t="e">
        <v>#N/A</v>
      </c>
      <c r="DM35" t="e">
        <v>#N/A</v>
      </c>
      <c r="DN35" t="e">
        <v>#N/A</v>
      </c>
      <c r="DO35" t="e">
        <v>#N/A</v>
      </c>
      <c r="DP35" t="e">
        <v>#N/A</v>
      </c>
      <c r="DQ35" t="e">
        <v>#N/A</v>
      </c>
      <c r="DR35" t="e">
        <v>#N/A</v>
      </c>
      <c r="DS35" t="e">
        <v>#N/A</v>
      </c>
      <c r="DT35" t="e">
        <v>#N/A</v>
      </c>
      <c r="DU35" t="e">
        <v>#N/A</v>
      </c>
      <c r="DV35" t="e">
        <v>#N/A</v>
      </c>
      <c r="DW35" t="e">
        <v>#N/A</v>
      </c>
      <c r="DX35" t="e">
        <v>#N/A</v>
      </c>
      <c r="DY35" t="e">
        <v>#N/A</v>
      </c>
      <c r="DZ35" t="e">
        <v>#N/A</v>
      </c>
      <c r="EA35" t="e">
        <v>#N/A</v>
      </c>
      <c r="EB35" t="e">
        <v>#N/A</v>
      </c>
      <c r="EC35" t="e">
        <v>#N/A</v>
      </c>
    </row>
    <row r="36" spans="4:133" x14ac:dyDescent="0.25">
      <c r="D36" t="str">
        <v>SS_11</v>
      </c>
      <c r="S36" s="11"/>
      <c r="T36" s="11"/>
      <c r="U36" s="11"/>
      <c r="V36" s="11"/>
      <c r="W36" s="11"/>
      <c r="AE36" t="str">
        <v/>
      </c>
      <c r="AF36" t="str">
        <v/>
      </c>
    </row>
    <row r="37" spans="4:133" x14ac:dyDescent="0.25">
      <c r="S37" s="11"/>
      <c r="T37" s="11"/>
      <c r="U37" s="11"/>
      <c r="V37" s="11"/>
      <c r="W37" s="11"/>
      <c r="AE37" t="str">
        <v/>
      </c>
      <c r="AF37" t="str">
        <v/>
      </c>
    </row>
    <row r="38" spans="4:133" x14ac:dyDescent="0.25">
      <c r="S38" s="13"/>
      <c r="T38" s="13"/>
      <c r="U38" s="13"/>
      <c r="V38" s="13"/>
      <c r="W38" s="13"/>
      <c r="AE38" t="str">
        <v/>
      </c>
      <c r="AF38" t="str">
        <v/>
      </c>
    </row>
    <row r="39" spans="4:133" x14ac:dyDescent="0.25">
      <c r="S39" s="13"/>
      <c r="T39" s="13"/>
      <c r="U39" s="13"/>
      <c r="V39" s="13"/>
      <c r="W39" s="13"/>
      <c r="AE39" t="str">
        <v/>
      </c>
      <c r="AF39" t="str">
        <v/>
      </c>
    </row>
    <row r="40" spans="4:133" x14ac:dyDescent="0.25">
      <c r="AE40" t="str">
        <v/>
      </c>
      <c r="AF40" t="str">
        <v/>
      </c>
    </row>
    <row r="41" spans="4:133" x14ac:dyDescent="0.25">
      <c r="AE41" t="str">
        <v/>
      </c>
      <c r="AF41" t="str">
        <v/>
      </c>
    </row>
    <row r="42" spans="4:133" x14ac:dyDescent="0.25">
      <c r="AE42" t="str">
        <v/>
      </c>
      <c r="AF42" t="str">
        <v/>
      </c>
    </row>
    <row r="43" spans="4:133" x14ac:dyDescent="0.25">
      <c r="AE43" t="str">
        <v/>
      </c>
      <c r="AF43" t="str">
        <v/>
      </c>
    </row>
    <row r="44" spans="4:133" x14ac:dyDescent="0.25">
      <c r="AE44" t="str">
        <v/>
      </c>
      <c r="AF44" t="str">
        <v/>
      </c>
    </row>
    <row r="45" spans="4:133" x14ac:dyDescent="0.25">
      <c r="AE45" t="str">
        <v/>
      </c>
      <c r="AF45" t="str">
        <v/>
      </c>
    </row>
    <row r="46" spans="4:133" x14ac:dyDescent="0.25">
      <c r="AE46" t="str">
        <v/>
      </c>
      <c r="AF46" t="str">
        <v/>
      </c>
    </row>
    <row r="47" spans="4:133" x14ac:dyDescent="0.25">
      <c r="AE47" t="str">
        <v/>
      </c>
      <c r="AF47" t="str">
        <v/>
      </c>
    </row>
    <row r="48" spans="4:133" x14ac:dyDescent="0.25">
      <c r="AE48" t="str">
        <v/>
      </c>
      <c r="AF48" t="str">
        <v/>
      </c>
    </row>
    <row r="49" spans="31:32" x14ac:dyDescent="0.25">
      <c r="AE49" t="str">
        <v/>
      </c>
      <c r="AF49" t="str">
        <v/>
      </c>
    </row>
    <row r="50" spans="31:32" x14ac:dyDescent="0.25">
      <c r="AE50" t="str">
        <v/>
      </c>
      <c r="AF50" t="str">
        <v/>
      </c>
    </row>
    <row r="51" spans="31:32" x14ac:dyDescent="0.25">
      <c r="AE51" t="str">
        <v/>
      </c>
      <c r="AF51" t="str">
        <v/>
      </c>
    </row>
    <row r="52" spans="31:32" x14ac:dyDescent="0.25">
      <c r="AE52" t="str">
        <v/>
      </c>
      <c r="AF52" t="str">
        <v/>
      </c>
    </row>
    <row r="53" spans="31:32" x14ac:dyDescent="0.25">
      <c r="AE53" t="str">
        <v/>
      </c>
      <c r="AF53" t="str">
        <v/>
      </c>
    </row>
    <row r="54" spans="31:32" x14ac:dyDescent="0.25">
      <c r="AE54" t="str">
        <v/>
      </c>
      <c r="AF54" t="str">
        <v/>
      </c>
    </row>
    <row r="55" spans="31:32" x14ac:dyDescent="0.25">
      <c r="AE55" t="str">
        <v/>
      </c>
      <c r="AF55" t="str">
        <v/>
      </c>
    </row>
    <row r="56" spans="31:32" x14ac:dyDescent="0.25">
      <c r="AE56" t="str">
        <v/>
      </c>
      <c r="AF56" t="str">
        <v/>
      </c>
    </row>
    <row r="57" spans="31:32" x14ac:dyDescent="0.25">
      <c r="AE57" t="str">
        <v/>
      </c>
      <c r="AF57" t="str">
        <v/>
      </c>
    </row>
    <row r="58" spans="31:32" x14ac:dyDescent="0.25">
      <c r="AE58" t="str">
        <v/>
      </c>
      <c r="AF58" t="str">
        <v/>
      </c>
    </row>
    <row r="59" spans="31:32" x14ac:dyDescent="0.25">
      <c r="AE59" t="str">
        <v/>
      </c>
      <c r="AF59" t="str">
        <v/>
      </c>
    </row>
    <row r="60" spans="31:32" x14ac:dyDescent="0.25">
      <c r="AE60" t="str">
        <v/>
      </c>
      <c r="AF60" t="str">
        <v/>
      </c>
    </row>
    <row r="61" spans="31:32" x14ac:dyDescent="0.25">
      <c r="AE61" t="str">
        <v/>
      </c>
      <c r="AF61" t="str">
        <v/>
      </c>
    </row>
    <row r="62" spans="31:32" x14ac:dyDescent="0.25">
      <c r="AE62" t="str">
        <v/>
      </c>
      <c r="AF62" t="str">
        <v/>
      </c>
    </row>
    <row r="63" spans="31:32" x14ac:dyDescent="0.25">
      <c r="AE63" t="str">
        <v/>
      </c>
      <c r="AF63" t="str">
        <v/>
      </c>
    </row>
    <row r="64" spans="31:32" x14ac:dyDescent="0.25">
      <c r="AE64" t="str">
        <v/>
      </c>
      <c r="AF64" t="str">
        <v/>
      </c>
    </row>
    <row r="65" spans="31:32" x14ac:dyDescent="0.25">
      <c r="AE65" t="str">
        <v/>
      </c>
      <c r="AF65" t="str">
        <v/>
      </c>
    </row>
    <row r="66" spans="31:32" x14ac:dyDescent="0.25">
      <c r="AE66" t="str">
        <v/>
      </c>
      <c r="AF66" t="str">
        <v/>
      </c>
    </row>
    <row r="67" spans="31:32" x14ac:dyDescent="0.25">
      <c r="AE67" t="str">
        <v/>
      </c>
      <c r="AF67" t="str">
        <v/>
      </c>
    </row>
    <row r="68" spans="31:32" x14ac:dyDescent="0.25">
      <c r="AE68" t="str">
        <v/>
      </c>
      <c r="AF68" t="str">
        <v/>
      </c>
    </row>
    <row r="69" spans="31:32" x14ac:dyDescent="0.25">
      <c r="AE69" t="str">
        <v/>
      </c>
      <c r="AF69" t="str">
        <v/>
      </c>
    </row>
    <row r="70" spans="31:32" x14ac:dyDescent="0.25">
      <c r="AE70" t="str">
        <v/>
      </c>
      <c r="AF70" t="str">
        <v/>
      </c>
    </row>
    <row r="71" spans="31:32" x14ac:dyDescent="0.25">
      <c r="AE71" t="str">
        <v/>
      </c>
      <c r="AF71" t="str">
        <v/>
      </c>
    </row>
    <row r="72" spans="31:32" x14ac:dyDescent="0.25">
      <c r="AE72" t="str">
        <v/>
      </c>
      <c r="AF72" t="str">
        <v/>
      </c>
    </row>
    <row r="73" spans="31:32" x14ac:dyDescent="0.25">
      <c r="AE73" t="str">
        <v/>
      </c>
      <c r="AF73" t="str">
        <v/>
      </c>
    </row>
    <row r="74" spans="31:32" x14ac:dyDescent="0.25">
      <c r="AE74" t="str">
        <v/>
      </c>
      <c r="AF74" t="str">
        <v/>
      </c>
    </row>
    <row r="75" spans="31:32" x14ac:dyDescent="0.25">
      <c r="AE75" t="str">
        <v/>
      </c>
      <c r="AF75" t="str">
        <v/>
      </c>
    </row>
    <row r="76" spans="31:32" x14ac:dyDescent="0.25">
      <c r="AE76" t="str">
        <v/>
      </c>
      <c r="AF76" t="str">
        <v/>
      </c>
    </row>
    <row r="77" spans="31:32" x14ac:dyDescent="0.25">
      <c r="AE77" t="str">
        <v/>
      </c>
      <c r="AF77" t="str">
        <v/>
      </c>
    </row>
    <row r="78" spans="31:32" x14ac:dyDescent="0.25">
      <c r="AE78" t="str">
        <v/>
      </c>
      <c r="AF78" t="str">
        <v/>
      </c>
    </row>
    <row r="79" spans="31:32" x14ac:dyDescent="0.25">
      <c r="AE79" t="str">
        <v/>
      </c>
      <c r="AF79" t="str">
        <v/>
      </c>
    </row>
    <row r="80" spans="31:32" x14ac:dyDescent="0.25">
      <c r="AE80" t="str">
        <v/>
      </c>
      <c r="AF80" t="str">
        <v/>
      </c>
    </row>
    <row r="81" spans="31:32" x14ac:dyDescent="0.25">
      <c r="AE81" t="str">
        <v/>
      </c>
      <c r="AF81" t="str">
        <v/>
      </c>
    </row>
    <row r="82" spans="31:32" x14ac:dyDescent="0.25">
      <c r="AE82" t="str">
        <v/>
      </c>
      <c r="AF82" t="str">
        <v/>
      </c>
    </row>
    <row r="83" spans="31:32" x14ac:dyDescent="0.25">
      <c r="AE83" t="str">
        <v/>
      </c>
      <c r="AF83" t="str">
        <v/>
      </c>
    </row>
    <row r="84" spans="31:32" x14ac:dyDescent="0.25">
      <c r="AE84" t="str">
        <v/>
      </c>
      <c r="AF84" t="str">
        <v/>
      </c>
    </row>
    <row r="85" spans="31:32" x14ac:dyDescent="0.25">
      <c r="AE85" t="str">
        <v/>
      </c>
      <c r="AF85" t="str">
        <v/>
      </c>
    </row>
    <row r="86" spans="31:32" x14ac:dyDescent="0.25">
      <c r="AE86" t="str">
        <v/>
      </c>
      <c r="AF86" t="str">
        <v/>
      </c>
    </row>
    <row r="87" spans="31:32" x14ac:dyDescent="0.25">
      <c r="AE87" t="str">
        <v/>
      </c>
      <c r="AF87" t="str">
        <v/>
      </c>
    </row>
  </sheetData>
  <sheetProtection sheet="1" objects="1" scenarios="1"/>
  <mergeCells count="2">
    <mergeCell ref="H5:I5"/>
    <mergeCell ref="M5:Q5"/>
  </mergeCells>
  <phoneticPr fontId="1" type="noConversion"/>
  <conditionalFormatting sqref="H8:I15">
    <cfRule type="expression" dxfId="99" priority="130">
      <formula>AND($H8&gt;0,$H9=0)</formula>
    </cfRule>
  </conditionalFormatting>
  <conditionalFormatting sqref="H8:I16">
    <cfRule type="expression" dxfId="98" priority="126">
      <formula>$H8&gt;0</formula>
    </cfRule>
  </conditionalFormatting>
  <conditionalFormatting sqref="H16:I16">
    <cfRule type="expression" dxfId="97" priority="128">
      <formula>AND($H16&gt;0,#REF!=0)</formula>
    </cfRule>
  </conditionalFormatting>
  <conditionalFormatting sqref="I19:J26 I17:J17 I28:J29">
    <cfRule type="expression" dxfId="96" priority="12">
      <formula>AND($I17&gt;0,$I18=0)</formula>
    </cfRule>
  </conditionalFormatting>
  <conditionalFormatting sqref="I19:J27">
    <cfRule type="expression" dxfId="95" priority="6">
      <formula>$I19&gt;0</formula>
    </cfRule>
  </conditionalFormatting>
  <conditionalFormatting sqref="I27:J27">
    <cfRule type="expression" dxfId="94" priority="7">
      <formula>AND($I27&gt;0,#REF!=0)</formula>
    </cfRule>
  </conditionalFormatting>
  <conditionalFormatting sqref="M8:M35">
    <cfRule type="expression" dxfId="93" priority="125">
      <formula>AND($M8&gt;0,ISNA(MATCH($M8,_xlfn.ANCHORARRAY($D$1),0)))</formula>
    </cfRule>
  </conditionalFormatting>
  <conditionalFormatting sqref="M8:N35">
    <cfRule type="expression" dxfId="92" priority="39">
      <formula>ISNA($AD8)</formula>
    </cfRule>
  </conditionalFormatting>
  <conditionalFormatting sqref="M30:N35">
    <cfRule type="expression" dxfId="91" priority="87">
      <formula>ISNA($AD24)</formula>
    </cfRule>
  </conditionalFormatting>
  <conditionalFormatting sqref="M8:Q35">
    <cfRule type="expression" dxfId="90" priority="5">
      <formula>$Q8="Hold"</formula>
    </cfRule>
  </conditionalFormatting>
  <conditionalFormatting sqref="N8:N35">
    <cfRule type="expression" dxfId="89" priority="1">
      <formula>AND($N8&gt;0,ISNA(MATCH($N8,Input_Pile,0)))</formula>
    </cfRule>
  </conditionalFormatting>
  <conditionalFormatting sqref="O8:Q35">
    <cfRule type="expression" dxfId="88" priority="4">
      <formula>AND($N8&gt;0,ISBLANK(O8))</formula>
    </cfRule>
  </conditionalFormatting>
  <dataValidations count="7">
    <dataValidation type="list" allowBlank="1" showInputMessage="1" showErrorMessage="1" sqref="H1" xr:uid="{20B03C54-4951-43B8-99B2-AAA13121B8CA}">
      <formula1>_xlfn.ANCHORARRAY($B$1)</formula1>
    </dataValidation>
    <dataValidation type="list" allowBlank="1" showInputMessage="1" showErrorMessage="1" sqref="I1" xr:uid="{D853DCF8-7C91-4F32-A7BC-5094F262BF97}">
      <formula1>"D, N"</formula1>
    </dataValidation>
    <dataValidation type="list" allowBlank="1" showInputMessage="1" showErrorMessage="1" sqref="H5" xr:uid="{3FA99983-1A9C-4447-B3AF-B392FD8C7CD5}">
      <formula1>_xlfn.ANCHORARRAY($C$1)</formula1>
    </dataValidation>
    <dataValidation type="list" allowBlank="1" showInputMessage="1" showErrorMessage="1" sqref="Q8:Q35" xr:uid="{288D4A27-D2E1-4348-82B9-98D2758E3DC5}">
      <formula1>"Cont, Hold"</formula1>
    </dataValidation>
    <dataValidation type="list" allowBlank="1" showInputMessage="1" showErrorMessage="1" sqref="N8:N35" xr:uid="{1ED03281-6B93-4D09-80DF-C3461240BA05}">
      <formula1>Input_Pile</formula1>
    </dataValidation>
    <dataValidation type="list" allowBlank="1" showInputMessage="1" showErrorMessage="1" sqref="M8:M35" xr:uid="{BAC2E510-C596-4693-BA80-DEE9DA8A1B81}">
      <formula1>_xlfn.ANCHORARRAY($D$1)</formula1>
    </dataValidation>
    <dataValidation type="list" allowBlank="1" showInputMessage="1" showErrorMessage="1" sqref="G19:G27" xr:uid="{9D89AF57-6C49-4D65-ACCC-3CB88824C4DD}">
      <formula1>"Sampler, Checker"</formula1>
    </dataValidation>
  </dataValidations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BAF13E25-9223-4B6C-88E4-2D7AAE948CC2}">
            <xm:f>ISNA(MATCH($H$3&amp;$H$5,Rules!$K$2:$K$15&amp;Rules!$L$2:$L$15,0))</xm:f>
            <x14:dxf>
              <fill>
                <patternFill>
                  <bgColor rgb="FFFF0000"/>
                </patternFill>
              </fill>
            </x14:dxf>
          </x14:cfRule>
          <xm:sqref>H5:I5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ED6DE79-DF05-4752-A3DB-3B98281C8B02}">
          <x14:formula1>
            <xm:f>Rules!$K$2:$K$15</xm:f>
          </x14:formula1>
          <xm:sqref>H3</xm:sqref>
        </x14:dataValidation>
        <x14:dataValidation type="list" allowBlank="1" showInputMessage="1" showErrorMessage="1" xr:uid="{4E6F822B-6C50-4290-95F3-29D5D4F02730}">
          <x14:formula1>
            <xm:f>Rules!$B$2:$B$42</xm:f>
          </x14:formula1>
          <xm:sqref>G8:G16</xm:sqref>
        </x14:dataValidation>
        <x14:dataValidation type="list" allowBlank="1" showInputMessage="1" showErrorMessage="1" xr:uid="{4C45262B-BE92-4B06-A59F-1448BD8EAB31}">
          <x14:formula1>
            <xm:f>Rules!$E$2:$E$154</xm:f>
          </x14:formula1>
          <xm:sqref>H19:H27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2B6A-FA02-41C4-AAAE-147A1C470B6D}">
  <sheetPr codeName="Sheet4">
    <tabColor rgb="FFA02B93"/>
  </sheetPr>
  <dimension ref="A1:EP83"/>
  <sheetViews>
    <sheetView showGridLines="0" tabSelected="1" zoomScale="130" zoomScaleNormal="130" workbookViewId="0">
      <pane xSplit="5" ySplit="3" topLeftCell="F4" activePane="bottomRight" state="frozen"/>
      <selection pane="topRight" activeCell="E1" sqref="E1"/>
      <selection pane="bottomLeft" activeCell="A4" sqref="A4"/>
      <selection pane="bottomRight" activeCell="I20" sqref="I20"/>
    </sheetView>
  </sheetViews>
  <sheetFormatPr defaultRowHeight="15" x14ac:dyDescent="0.25"/>
  <cols>
    <col min="1" max="1" width="9.5703125" hidden="1" customWidth="1"/>
    <col min="2" max="2" width="6.7109375" hidden="1" customWidth="1"/>
    <col min="3" max="3" width="10.42578125" hidden="1" customWidth="1"/>
    <col min="4" max="4" width="7.28515625" customWidth="1"/>
    <col min="5" max="5" width="5.85546875" customWidth="1"/>
    <col min="6" max="6" width="6" customWidth="1"/>
    <col min="7" max="7" width="11" customWidth="1"/>
    <col min="8" max="8" width="10" bestFit="1" customWidth="1"/>
    <col min="9" max="23" width="14.7109375" customWidth="1"/>
    <col min="24" max="25" width="9.140625" customWidth="1"/>
    <col min="26" max="26" width="7.42578125" bestFit="1" customWidth="1"/>
    <col min="27" max="27" width="112.28515625" hidden="1" customWidth="1"/>
    <col min="28" max="28" width="129" hidden="1" customWidth="1"/>
    <col min="29" max="29" width="11.7109375" hidden="1" customWidth="1"/>
    <col min="30" max="31" width="10.7109375" hidden="1" customWidth="1"/>
    <col min="32" max="35" width="8.42578125" hidden="1" customWidth="1"/>
    <col min="36" max="43" width="6.28515625" hidden="1" customWidth="1"/>
    <col min="44" max="63" width="2.5703125" hidden="1" customWidth="1"/>
    <col min="64" max="66" width="13.140625" hidden="1" customWidth="1"/>
    <col min="67" max="76" width="9.140625" hidden="1" customWidth="1"/>
    <col min="77" max="77" width="98.28515625" hidden="1" customWidth="1"/>
    <col min="78" max="82" width="9.140625" hidden="1" customWidth="1"/>
    <col min="83" max="129" width="13.7109375" hidden="1" customWidth="1"/>
    <col min="130" max="145" width="9.140625" hidden="1" customWidth="1"/>
  </cols>
  <sheetData>
    <row r="1" spans="1:146" x14ac:dyDescent="0.25">
      <c r="D1" s="110" t="s">
        <v>2582</v>
      </c>
      <c r="E1" s="110"/>
      <c r="F1" s="110"/>
      <c r="G1" s="110"/>
      <c r="H1" s="110"/>
      <c r="I1" s="64" t="s">
        <v>2565</v>
      </c>
      <c r="J1" s="87" t="s">
        <v>2590</v>
      </c>
      <c r="K1" s="60" t="s">
        <v>2563</v>
      </c>
      <c r="L1" s="61" t="s">
        <v>2568</v>
      </c>
      <c r="Z1" t="s">
        <v>2552</v>
      </c>
      <c r="EO1" t="s">
        <v>2552</v>
      </c>
      <c r="EP1" t="s">
        <v>2552</v>
      </c>
    </row>
    <row r="2" spans="1:146" ht="4.5" customHeight="1" x14ac:dyDescent="0.25"/>
    <row r="3" spans="1:146" ht="27" x14ac:dyDescent="0.25">
      <c r="A3" t="s">
        <v>2554</v>
      </c>
      <c r="D3" s="18" t="s">
        <v>105</v>
      </c>
      <c r="E3" s="18" t="s">
        <v>2459</v>
      </c>
      <c r="F3" s="18" t="s">
        <v>2449</v>
      </c>
      <c r="G3" s="18" t="s">
        <v>2553</v>
      </c>
      <c r="H3" s="18" t="s">
        <v>2566</v>
      </c>
      <c r="I3" s="19" t="s">
        <v>2479</v>
      </c>
      <c r="J3" s="19" t="s">
        <v>2480</v>
      </c>
      <c r="K3" s="19" t="s">
        <v>2481</v>
      </c>
      <c r="L3" s="19" t="s">
        <v>2482</v>
      </c>
      <c r="M3" s="19" t="s">
        <v>2483</v>
      </c>
      <c r="N3" s="19" t="s">
        <v>2484</v>
      </c>
      <c r="O3" s="19" t="s">
        <v>2485</v>
      </c>
      <c r="P3" s="19" t="s">
        <v>2486</v>
      </c>
      <c r="Q3" s="19" t="s">
        <v>2487</v>
      </c>
      <c r="R3" s="19" t="s">
        <v>2488</v>
      </c>
      <c r="S3" s="19" t="s">
        <v>2585</v>
      </c>
      <c r="T3" s="19" t="s">
        <v>2586</v>
      </c>
      <c r="U3" s="19" t="s">
        <v>2587</v>
      </c>
      <c r="V3" s="19" t="s">
        <v>2588</v>
      </c>
      <c r="W3" s="19" t="s">
        <v>2589</v>
      </c>
      <c r="BL3" s="63" t="s">
        <v>2564</v>
      </c>
      <c r="BM3" s="63"/>
      <c r="BN3" s="63"/>
    </row>
    <row r="4" spans="1:146" x14ac:dyDescent="0.25">
      <c r="A4" t="str" cm="1">
        <f t="array" ref="A4:A83">IF((Front_Des[Sector]&gt;0)*(Front_Des[Front No]&gt;0),Front_Des[Sector]&amp;"/"&amp;TEXT(Front_Des[Front No],"00"),"")</f>
        <v>BR1/01</v>
      </c>
      <c r="B4" t="str" cm="1">
        <f t="array" ref="B4">_xlfn.UNIQUE(_xlfn._xlws.FILTER(Front_Des[Sector],Front_Des[Sector]&gt;0))</f>
        <v>BR1</v>
      </c>
      <c r="D4" s="20" t="s">
        <v>102</v>
      </c>
      <c r="E4" s="21">
        <v>1</v>
      </c>
      <c r="F4" s="21" t="s">
        <v>2</v>
      </c>
      <c r="G4" s="22" t="s">
        <v>2599</v>
      </c>
      <c r="H4" s="22"/>
      <c r="I4" s="55" t="s">
        <v>2602</v>
      </c>
      <c r="J4" s="56" t="s">
        <v>2595</v>
      </c>
      <c r="K4" s="56" t="s">
        <v>2603</v>
      </c>
      <c r="L4" s="56" t="s">
        <v>2604</v>
      </c>
      <c r="M4" s="56" t="s">
        <v>2605</v>
      </c>
      <c r="N4" s="56" t="s">
        <v>2606</v>
      </c>
      <c r="O4" s="56" t="s">
        <v>2607</v>
      </c>
      <c r="P4" s="56"/>
      <c r="Q4" s="56"/>
      <c r="R4" s="56"/>
      <c r="S4" s="56"/>
      <c r="T4" s="56"/>
      <c r="U4" s="56"/>
      <c r="V4" s="56"/>
      <c r="W4" s="56"/>
      <c r="AA4" t="str" cm="1">
        <f t="array" ref="AA4:AA83">_xlfn.LET(
    _xlpm.tbl, Front_Des[],
    _xlpm.code, List_Front,
    _xlpm.same, Front_Des[Fleet Reff],
    _xlpm.truckCols, _xlfn.DROP(_xlpm.tbl,,_xlfn.XMATCH("Truck*",Front_Des[#Headers],2)-1),
    _xlpm.n, ROWS(_xlpm.tbl),
    _xlfn.BYROW(
        _xlfn.SEQUENCE(_xlpm.n),
        _xlfn.LAMBDA(_xlpm.i,
            _xlfn.LET(
                _xlpm.curFleet, IF(INDEX(_xlpm.same,_xlpm.i)="",INDEX(_xlpm.code,_xlpm.i),INDEX(_xlpm.same,_xlpm.i)),
                _xlpm.masterRow, IFERROR(_xlfn.XMATCH(_xlpm.curFleet,_xlpm.code,0),_xlpm.i),
                _xlpm.baseTrucks, _xlfn.UNIQUE(_xlfn.TOCOL(_xlfn.CHOOSEROWS(_xlpm.truckCols,_xlpm.masterRow),1)),
                _xlpm.curTrucks, _xlfn.UNIQUE(_xlfn.TOCOL(_xlfn.CHOOSEROWS(_xlpm.truckCols,_xlpm.i),1)),
                _xlpm.isMaster, _xlpm.i=_xlpm.masterRow,
                _xlpm.finalTrucks, IF(_xlpm.isMaster, _xlpm.baseTrucks,
                              _xlfn.LET( _xlpm.remainBase, _xlfn._xlws.FILTER(_xlpm.baseTrucks,ISNA(_xlfn.XMATCH(_xlpm.baseTrucks,_xlpm.curTrucks,0)),""),
                                   _xlpm.newTrucks,  _xlfn._xlws.FILTER(_xlpm.curTrucks,ISNA(_xlfn.XMATCH(_xlpm.curTrucks,_xlpm.baseTrucks,0)),""),
                                   _xlpm.combined, _xlfn.VSTACK(_xlpm.remainBase, _xlpm.newTrucks),
                                   _xlpm.list, IFERROR(_xlfn._xlws.FILTER(_xlpm.combined, _xlpm.combined&gt;0),_xlpm.baseTrucks),
                                   _xlpm.list)),
                _xlpm.rslt, _xlfn.TEXTJOIN("|",,_xlfn._xlws.SORT(_xlfn.UNIQUE(_xlpm.finalTrucks))),
                IFERROR(_xlpm.rslt,"")
            )
        )
    )
)</f>
        <v>STM-A40_0098|STM-A40_0105|STM-A40_0106|STM-A40_0107|STM-A40_0119|STM-A40_0121|STM-A40_0136</v>
      </c>
      <c r="AB4" s="11" t="str" cm="1">
        <f t="array" ref="AB4:AB83">_xlfn.LET( _xlpm.ore, _xlfn.XLOOKUP(Front_Des[Dest],Sample_Pending[Pile_ID],_xlfn.ANCHORARRAY(Regist!$AD$8),""),
      _xlpm.list, _xlfn.IFNA(_xlfn.DROP(_xlfn.REDUCE("", _xlpm.ore, _xlfn.LAMBDA(_xlpm.matriks,_xlpm.p, _xlfn.VSTACK(_xlpm.matriks, _xlfn.TOROW(IFERROR(_xlfn._xlws.SORT(_xlfn._xlws.FILTER(Sample_Pending[Pile_ID], (_xlfn.XLOOKUP(Sample_Pending[Pile_ID],Pile_area[pile_id],Pile_area[Ore]) = _xlpm.p)*(Sample_Pending[Status]="Cont"))), ""))))), 1),""),
      _xlfn.BYROW(_xlpm.list, _xlfn.LAMBDA(_xlpm.x, _xlfn.TEXTJOIN("|",, _xlfn._xlws.SORT(_xlfn.UNIQUE(_xlpm.x),,,TRUE)))))</f>
        <v>BR-C6_S10|BR-C6_S10|BR-C6_S10|BR-C6_S10|L18_S09|L18_S09|L18_S09|L18_S09|S5_77|S5_77|S5_77|S5_88|S5_88|S5_88|S5_88|S5_93</v>
      </c>
      <c r="AC4" t="str" cm="1">
        <f t="array" ref="AC4">_xlfn.LET(
  _xlpm.p, HLG_01[[#This Row],[Front_ID]],
  _xlpm.baris_idx, MATCH(_xlpm.p, List_Front, 0),
  _xlpm.truk_valid, INDEX(_xlfn.ANCHORARRAY(Fleet_Det!$CE$4), _xlpm.baris_idx, ),
  _xlpm.fleet_str, INDEX(List_Unit_Fleet, _xlpm.baris_idx),
  _xlpm.daftar_truk, IFERROR(_xlfn.TEXTSPLIT(_xlpm.fleet_str, "|"), ""),
  _xlpm.daftar_truk_vec, _xlfn.TOCOL(_xlpm.daftar_truk, 1),
  _xlpm.hasil, _xlfn._xlws.FILTER(_xlpm.daftar_truk_vec, ISNUMBER(MATCH(_xlpm.daftar_truk_vec, _xlpm.truk_valid, 0)), ""),
  _xlfn.TOROW(_xlfn._xlws.SORT(_xlfn.UNIQUE(_xlpm.hasil)))
)</f>
        <v/>
      </c>
      <c r="BL4" t="str" cm="1">
        <f t="array" ref="BL4:BO83">_xlfn.LET(
    _xlpm.tbl, Front_Des[],
    _xlpm.n_baris, ROWS(_xlpm.tbl),
    _xlpm.all_sec, Front_Des[Sector],
    _xlpm.all_hau, Front_Des[Hauler],
    _xlpm.all_codes, _xlpm.all_sec &amp; "/" &amp; TEXT(Front_Des[Front No], "00"),
    _xlfn.REDUCE(
        "Daftar Codes",
        _xlfn.SEQUENCE(_xlpm.n_baris),
        _xlfn.LAMBDA(_xlpm.matriks,_xlpm.i,
            _xlfn.LET(
                _xlpm.sec_ini, INDEX(_xlpm.all_sec, _xlpm.i),
                _xlpm.hau_ini, INDEX(_xlpm.all_hau, _xlpm.i),
                _xlpm.filter_cond, (_xlpm.all_sec &lt;&gt; "") * (_xlpm.all_sec = _xlpm.sec_ini) * (_xlpm.all_hau = _xlpm.hau_ini) * (_xlfn.SEQUENCE(_xlpm.n_baris) &lt; _xlpm.i),
                _xlpm.hasil_filter, _xlfn._xlws.FILTER(_xlpm.all_codes, _xlpm.filter_cond, ""),
                _xlpm.hasil_bersih, IF(
                    INDEX(_xlpm.hasil_filter, 1) = "",
                    "",
                    _xlfn.TOROW(_xlfn._xlws.SORT(_xlfn.UNIQUE(_xlpm.hasil_filter)))
                ),
                _xlfn.IFNA(IF(_xlpm.i = 1, _xlpm.hasil_bersih, _xlfn.VSTACK(_xlpm.matriks, _xlpm.hasil_bersih)),"")
            )
        )
    )
)</f>
        <v/>
      </c>
      <c r="BM4" t="str">
        <v/>
      </c>
      <c r="BN4" t="str">
        <v/>
      </c>
      <c r="BO4" t="str">
        <v/>
      </c>
      <c r="CE4" t="str" cm="1">
        <f t="array" ref="CE4:DY83">_xlfn.DROP(_xlfn.REDUCE("", (Front_Des[Hauler]), _xlfn.LAMBDA(_xlpm.matriks,_xlpm.p, _xlfn.VSTACK(_xlpm.matriks, _xlfn.TOROW(IFERROR(_xlfn.DROP(_xlfn._xlws.SORT(_xlfn._xlws.FILTER(_xlfn.HSTACK(d_trucks[PT],d_trucks[No],_xlfn.ANCHORARRAY(Truck!$A$2)), (d_trucks[PT] = _xlpm.p)*(d_trucks[No]&gt;0))),,2), ""))))), 1)</f>
        <v>STM-A40_0019</v>
      </c>
      <c r="CF4" t="str">
        <v>STM-A40_0022</v>
      </c>
      <c r="CG4" t="str">
        <v>STM-A40_0067</v>
      </c>
      <c r="CH4" t="str">
        <v>STM-A40_0068</v>
      </c>
      <c r="CI4" t="str">
        <v>STM-A40_0069</v>
      </c>
      <c r="CJ4" t="str">
        <v>STM-A40_0070</v>
      </c>
      <c r="CK4" t="str">
        <v>STM-A40_0071</v>
      </c>
      <c r="CL4" t="str">
        <v>STM-A40_0075</v>
      </c>
      <c r="CM4" t="str">
        <v>STM-A40_0076</v>
      </c>
      <c r="CN4" t="str">
        <v>STM-A40_0077</v>
      </c>
      <c r="CO4" t="str">
        <v>STM-A40_0087</v>
      </c>
      <c r="CP4" t="str">
        <v>STM-A40_0088</v>
      </c>
      <c r="CQ4" t="str">
        <v>STM-A40_0089</v>
      </c>
      <c r="CR4" t="str">
        <v>STM-A40_0093</v>
      </c>
      <c r="CS4" t="str">
        <v>STM-A40_0095</v>
      </c>
      <c r="CT4" t="str">
        <v>STM-A40_0096</v>
      </c>
      <c r="CU4" t="str">
        <v>STM-A40_0097</v>
      </c>
      <c r="CV4" t="str">
        <v>STM-A40_0098</v>
      </c>
      <c r="CW4" t="str">
        <v>STM-A40_0099</v>
      </c>
      <c r="CX4" t="str">
        <v>STM-A40_0100</v>
      </c>
      <c r="CY4" t="str">
        <v>STM-A40_0101</v>
      </c>
      <c r="CZ4" t="str">
        <v>STM-A40_0102</v>
      </c>
      <c r="DA4" t="str">
        <v>STM-A40_0103</v>
      </c>
      <c r="DB4" t="str">
        <v>STM-A40_0105</v>
      </c>
      <c r="DC4" t="str">
        <v>STM-A40_0106</v>
      </c>
      <c r="DD4" t="str">
        <v>STM-A40_0107</v>
      </c>
      <c r="DE4" t="str">
        <v>STM-A40_0119</v>
      </c>
      <c r="DF4" t="str">
        <v>STM-A40_0120</v>
      </c>
      <c r="DG4" t="str">
        <v>STM-A40_0121</v>
      </c>
      <c r="DH4" t="str">
        <v>STM-A40_0122</v>
      </c>
      <c r="DI4" t="str">
        <v>STM-A40_0123</v>
      </c>
      <c r="DJ4" t="str">
        <v>STM-A40_0125</v>
      </c>
      <c r="DK4" t="str">
        <v>STM-A40_0131</v>
      </c>
      <c r="DL4" t="str">
        <v>STM-A40_0132</v>
      </c>
      <c r="DM4" t="str">
        <v>STM-A40_0133</v>
      </c>
      <c r="DN4" t="str">
        <v>STM-A40_0135</v>
      </c>
      <c r="DO4" t="str">
        <v>STM-A40_0136</v>
      </c>
      <c r="DP4" t="str">
        <v>STM-A40_0141</v>
      </c>
      <c r="DQ4" t="str">
        <v>STM-A40_0142</v>
      </c>
      <c r="DR4" t="str">
        <v>STM-A40_0143</v>
      </c>
      <c r="DS4" t="str">
        <v>STM-A40_0145</v>
      </c>
      <c r="DT4" t="str">
        <v>STM-A40_0146</v>
      </c>
      <c r="DU4" t="str">
        <v>STM-A40_2009</v>
      </c>
      <c r="DV4" t="str">
        <v>STM-A40_2010</v>
      </c>
      <c r="DW4" t="str">
        <v>STM-A40_2011</v>
      </c>
      <c r="DX4" t="str">
        <v>STM-A40_2012</v>
      </c>
      <c r="DY4" t="str">
        <v>STM-A40_2008</v>
      </c>
    </row>
    <row r="5" spans="1:146" x14ac:dyDescent="0.25">
      <c r="A5" t="str">
        <v>BR1/02</v>
      </c>
      <c r="D5" s="20" t="s">
        <v>102</v>
      </c>
      <c r="E5" s="21">
        <v>2</v>
      </c>
      <c r="F5" s="21" t="s">
        <v>2</v>
      </c>
      <c r="G5" s="22" t="s">
        <v>2599</v>
      </c>
      <c r="H5" s="22"/>
      <c r="I5" s="55" t="s">
        <v>2608</v>
      </c>
      <c r="J5" s="56" t="s">
        <v>2609</v>
      </c>
      <c r="K5" s="56" t="s">
        <v>2610</v>
      </c>
      <c r="L5" s="56" t="s">
        <v>2611</v>
      </c>
      <c r="M5" s="56" t="s">
        <v>2612</v>
      </c>
      <c r="N5" s="56" t="s">
        <v>2605</v>
      </c>
      <c r="O5" s="56" t="s">
        <v>2613</v>
      </c>
      <c r="P5" s="56"/>
      <c r="Q5" s="56"/>
      <c r="R5" s="56"/>
      <c r="S5" s="56"/>
      <c r="T5" s="56"/>
      <c r="U5" s="56"/>
      <c r="V5" s="56"/>
      <c r="W5" s="56"/>
      <c r="AA5" t="str">
        <v>STM-A40_0068|STM-A40_0069|STM-A40_0087|STM-A40_0097|STM-A40_0132|STM-A40_0133|STM-A40_0136</v>
      </c>
      <c r="AB5" t="str">
        <v>BR-C6_S10|BR-C6_S10|BR-C6_S10|BR-C6_S10|L18_S09|L18_S09|L18_S09|L18_S09|S5_77|S5_77|S5_77|S5_88|S5_88|S5_88|S5_88|S5_93</v>
      </c>
      <c r="BL5" t="str">
        <v>BR1/01</v>
      </c>
      <c r="BM5" t="str">
        <v/>
      </c>
      <c r="BN5" t="str">
        <v/>
      </c>
      <c r="BO5" t="str">
        <v/>
      </c>
      <c r="CE5" t="str">
        <v>STM-A40_0019</v>
      </c>
      <c r="CF5" t="str">
        <v>STM-A40_0022</v>
      </c>
      <c r="CG5" t="str">
        <v>STM-A40_0067</v>
      </c>
      <c r="CH5" t="str">
        <v>STM-A40_0068</v>
      </c>
      <c r="CI5" t="str">
        <v>STM-A40_0069</v>
      </c>
      <c r="CJ5" t="str">
        <v>STM-A40_0070</v>
      </c>
      <c r="CK5" t="str">
        <v>STM-A40_0071</v>
      </c>
      <c r="CL5" t="str">
        <v>STM-A40_0075</v>
      </c>
      <c r="CM5" t="str">
        <v>STM-A40_0076</v>
      </c>
      <c r="CN5" t="str">
        <v>STM-A40_0077</v>
      </c>
      <c r="CO5" t="str">
        <v>STM-A40_0087</v>
      </c>
      <c r="CP5" t="str">
        <v>STM-A40_0088</v>
      </c>
      <c r="CQ5" t="str">
        <v>STM-A40_0089</v>
      </c>
      <c r="CR5" t="str">
        <v>STM-A40_0093</v>
      </c>
      <c r="CS5" t="str">
        <v>STM-A40_0095</v>
      </c>
      <c r="CT5" t="str">
        <v>STM-A40_0096</v>
      </c>
      <c r="CU5" t="str">
        <v>STM-A40_0097</v>
      </c>
      <c r="CV5" t="str">
        <v>STM-A40_0098</v>
      </c>
      <c r="CW5" t="str">
        <v>STM-A40_0099</v>
      </c>
      <c r="CX5" t="str">
        <v>STM-A40_0100</v>
      </c>
      <c r="CY5" t="str">
        <v>STM-A40_0101</v>
      </c>
      <c r="CZ5" t="str">
        <v>STM-A40_0102</v>
      </c>
      <c r="DA5" t="str">
        <v>STM-A40_0103</v>
      </c>
      <c r="DB5" t="str">
        <v>STM-A40_0105</v>
      </c>
      <c r="DC5" t="str">
        <v>STM-A40_0106</v>
      </c>
      <c r="DD5" t="str">
        <v>STM-A40_0107</v>
      </c>
      <c r="DE5" t="str">
        <v>STM-A40_0119</v>
      </c>
      <c r="DF5" t="str">
        <v>STM-A40_0120</v>
      </c>
      <c r="DG5" t="str">
        <v>STM-A40_0121</v>
      </c>
      <c r="DH5" t="str">
        <v>STM-A40_0122</v>
      </c>
      <c r="DI5" t="str">
        <v>STM-A40_0123</v>
      </c>
      <c r="DJ5" t="str">
        <v>STM-A40_0125</v>
      </c>
      <c r="DK5" t="str">
        <v>STM-A40_0131</v>
      </c>
      <c r="DL5" t="str">
        <v>STM-A40_0132</v>
      </c>
      <c r="DM5" t="str">
        <v>STM-A40_0133</v>
      </c>
      <c r="DN5" t="str">
        <v>STM-A40_0135</v>
      </c>
      <c r="DO5" t="str">
        <v>STM-A40_0136</v>
      </c>
      <c r="DP5" t="str">
        <v>STM-A40_0141</v>
      </c>
      <c r="DQ5" t="str">
        <v>STM-A40_0142</v>
      </c>
      <c r="DR5" t="str">
        <v>STM-A40_0143</v>
      </c>
      <c r="DS5" t="str">
        <v>STM-A40_0145</v>
      </c>
      <c r="DT5" t="str">
        <v>STM-A40_0146</v>
      </c>
      <c r="DU5" t="str">
        <v>STM-A40_2009</v>
      </c>
      <c r="DV5" t="str">
        <v>STM-A40_2010</v>
      </c>
      <c r="DW5" t="str">
        <v>STM-A40_2011</v>
      </c>
      <c r="DX5" t="str">
        <v>STM-A40_2012</v>
      </c>
      <c r="DY5" t="str">
        <v>STM-A40_2008</v>
      </c>
    </row>
    <row r="6" spans="1:146" x14ac:dyDescent="0.25">
      <c r="A6" t="str">
        <v>BR1/03</v>
      </c>
      <c r="D6" s="20" t="s">
        <v>102</v>
      </c>
      <c r="E6" s="21">
        <v>3</v>
      </c>
      <c r="F6" s="21" t="s">
        <v>2</v>
      </c>
      <c r="G6" s="22" t="s">
        <v>2601</v>
      </c>
      <c r="H6" s="22"/>
      <c r="I6" s="55" t="s">
        <v>2614</v>
      </c>
      <c r="J6" s="56" t="s">
        <v>2615</v>
      </c>
      <c r="K6" s="56" t="s">
        <v>2616</v>
      </c>
      <c r="L6" s="56" t="s">
        <v>2617</v>
      </c>
      <c r="M6" s="56" t="s">
        <v>2618</v>
      </c>
      <c r="N6" s="56" t="s">
        <v>2619</v>
      </c>
      <c r="O6" s="56" t="s">
        <v>2611</v>
      </c>
      <c r="P6" s="56"/>
      <c r="Q6" s="56"/>
      <c r="R6" s="56"/>
      <c r="S6" s="56"/>
      <c r="T6" s="56"/>
      <c r="U6" s="56"/>
      <c r="V6" s="56"/>
      <c r="W6" s="56"/>
      <c r="AA6" t="str">
        <v>STM-A40_0095|STM-A40_0096|STM-A40_0097|STM-A40_0103|STM-A40_0131|STM-A40_0135|STM-A40_2010</v>
      </c>
      <c r="AB6" t="str">
        <v>BR-C12_L12|BR-C12_L12|BR-C3_L10|BR-C3_L10|L9_26</v>
      </c>
      <c r="BL6" t="str">
        <v>BR1/01</v>
      </c>
      <c r="BM6" t="str">
        <v>BR1/02</v>
      </c>
      <c r="BN6" t="str">
        <v/>
      </c>
      <c r="BO6" t="str">
        <v/>
      </c>
      <c r="CE6" t="str">
        <v>STM-A40_0019</v>
      </c>
      <c r="CF6" t="str">
        <v>STM-A40_0022</v>
      </c>
      <c r="CG6" t="str">
        <v>STM-A40_0067</v>
      </c>
      <c r="CH6" t="str">
        <v>STM-A40_0068</v>
      </c>
      <c r="CI6" t="str">
        <v>STM-A40_0069</v>
      </c>
      <c r="CJ6" t="str">
        <v>STM-A40_0070</v>
      </c>
      <c r="CK6" t="str">
        <v>STM-A40_0071</v>
      </c>
      <c r="CL6" t="str">
        <v>STM-A40_0075</v>
      </c>
      <c r="CM6" t="str">
        <v>STM-A40_0076</v>
      </c>
      <c r="CN6" t="str">
        <v>STM-A40_0077</v>
      </c>
      <c r="CO6" t="str">
        <v>STM-A40_0087</v>
      </c>
      <c r="CP6" t="str">
        <v>STM-A40_0088</v>
      </c>
      <c r="CQ6" t="str">
        <v>STM-A40_0089</v>
      </c>
      <c r="CR6" t="str">
        <v>STM-A40_0093</v>
      </c>
      <c r="CS6" t="str">
        <v>STM-A40_0095</v>
      </c>
      <c r="CT6" t="str">
        <v>STM-A40_0096</v>
      </c>
      <c r="CU6" t="str">
        <v>STM-A40_0097</v>
      </c>
      <c r="CV6" t="str">
        <v>STM-A40_0098</v>
      </c>
      <c r="CW6" t="str">
        <v>STM-A40_0099</v>
      </c>
      <c r="CX6" t="str">
        <v>STM-A40_0100</v>
      </c>
      <c r="CY6" t="str">
        <v>STM-A40_0101</v>
      </c>
      <c r="CZ6" t="str">
        <v>STM-A40_0102</v>
      </c>
      <c r="DA6" t="str">
        <v>STM-A40_0103</v>
      </c>
      <c r="DB6" t="str">
        <v>STM-A40_0105</v>
      </c>
      <c r="DC6" t="str">
        <v>STM-A40_0106</v>
      </c>
      <c r="DD6" t="str">
        <v>STM-A40_0107</v>
      </c>
      <c r="DE6" t="str">
        <v>STM-A40_0119</v>
      </c>
      <c r="DF6" t="str">
        <v>STM-A40_0120</v>
      </c>
      <c r="DG6" t="str">
        <v>STM-A40_0121</v>
      </c>
      <c r="DH6" t="str">
        <v>STM-A40_0122</v>
      </c>
      <c r="DI6" t="str">
        <v>STM-A40_0123</v>
      </c>
      <c r="DJ6" t="str">
        <v>STM-A40_0125</v>
      </c>
      <c r="DK6" t="str">
        <v>STM-A40_0131</v>
      </c>
      <c r="DL6" t="str">
        <v>STM-A40_0132</v>
      </c>
      <c r="DM6" t="str">
        <v>STM-A40_0133</v>
      </c>
      <c r="DN6" t="str">
        <v>STM-A40_0135</v>
      </c>
      <c r="DO6" t="str">
        <v>STM-A40_0136</v>
      </c>
      <c r="DP6" t="str">
        <v>STM-A40_0141</v>
      </c>
      <c r="DQ6" t="str">
        <v>STM-A40_0142</v>
      </c>
      <c r="DR6" t="str">
        <v>STM-A40_0143</v>
      </c>
      <c r="DS6" t="str">
        <v>STM-A40_0145</v>
      </c>
      <c r="DT6" t="str">
        <v>STM-A40_0146</v>
      </c>
      <c r="DU6" t="str">
        <v>STM-A40_2009</v>
      </c>
      <c r="DV6" t="str">
        <v>STM-A40_2010</v>
      </c>
      <c r="DW6" t="str">
        <v>STM-A40_2011</v>
      </c>
      <c r="DX6" t="str">
        <v>STM-A40_2012</v>
      </c>
      <c r="DY6" t="str">
        <v>STM-A40_2008</v>
      </c>
    </row>
    <row r="7" spans="1:146" x14ac:dyDescent="0.25">
      <c r="A7" t="str">
        <v>BR1/04</v>
      </c>
      <c r="D7" s="20" t="s">
        <v>102</v>
      </c>
      <c r="E7" s="21">
        <v>4</v>
      </c>
      <c r="F7" s="21" t="s">
        <v>2</v>
      </c>
      <c r="G7" s="22" t="s">
        <v>2599</v>
      </c>
      <c r="H7" s="22" t="s">
        <v>2620</v>
      </c>
      <c r="I7" s="55" t="s">
        <v>2602</v>
      </c>
      <c r="J7" s="56" t="s">
        <v>2626</v>
      </c>
      <c r="K7" s="56" t="s">
        <v>2627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AA7" t="str">
        <v>STM-A40_0067|STM-A40_0088|STM-A40_0098|STM-A40_0105|STM-A40_0106|STM-A40_0107|STM-A40_0119|STM-A40_0136</v>
      </c>
      <c r="AB7" t="str">
        <v>BR-C6_S10|BR-C6_S10|BR-C6_S10|BR-C6_S10|L18_S09|L18_S09|L18_S09|L18_S09|S5_77|S5_77|S5_77|S5_88|S5_88|S5_88|S5_88|S5_93</v>
      </c>
      <c r="BL7" t="str">
        <v>BR1/01</v>
      </c>
      <c r="BM7" t="str">
        <v>BR1/02</v>
      </c>
      <c r="BN7" t="str">
        <v>BR1/03</v>
      </c>
      <c r="BO7" t="str">
        <v/>
      </c>
      <c r="CE7" t="str">
        <v>STM-A40_0019</v>
      </c>
      <c r="CF7" t="str">
        <v>STM-A40_0022</v>
      </c>
      <c r="CG7" t="str">
        <v>STM-A40_0067</v>
      </c>
      <c r="CH7" t="str">
        <v>STM-A40_0068</v>
      </c>
      <c r="CI7" t="str">
        <v>STM-A40_0069</v>
      </c>
      <c r="CJ7" t="str">
        <v>STM-A40_0070</v>
      </c>
      <c r="CK7" t="str">
        <v>STM-A40_0071</v>
      </c>
      <c r="CL7" t="str">
        <v>STM-A40_0075</v>
      </c>
      <c r="CM7" t="str">
        <v>STM-A40_0076</v>
      </c>
      <c r="CN7" t="str">
        <v>STM-A40_0077</v>
      </c>
      <c r="CO7" t="str">
        <v>STM-A40_0087</v>
      </c>
      <c r="CP7" t="str">
        <v>STM-A40_0088</v>
      </c>
      <c r="CQ7" t="str">
        <v>STM-A40_0089</v>
      </c>
      <c r="CR7" t="str">
        <v>STM-A40_0093</v>
      </c>
      <c r="CS7" t="str">
        <v>STM-A40_0095</v>
      </c>
      <c r="CT7" t="str">
        <v>STM-A40_0096</v>
      </c>
      <c r="CU7" t="str">
        <v>STM-A40_0097</v>
      </c>
      <c r="CV7" t="str">
        <v>STM-A40_0098</v>
      </c>
      <c r="CW7" t="str">
        <v>STM-A40_0099</v>
      </c>
      <c r="CX7" t="str">
        <v>STM-A40_0100</v>
      </c>
      <c r="CY7" t="str">
        <v>STM-A40_0101</v>
      </c>
      <c r="CZ7" t="str">
        <v>STM-A40_0102</v>
      </c>
      <c r="DA7" t="str">
        <v>STM-A40_0103</v>
      </c>
      <c r="DB7" t="str">
        <v>STM-A40_0105</v>
      </c>
      <c r="DC7" t="str">
        <v>STM-A40_0106</v>
      </c>
      <c r="DD7" t="str">
        <v>STM-A40_0107</v>
      </c>
      <c r="DE7" t="str">
        <v>STM-A40_0119</v>
      </c>
      <c r="DF7" t="str">
        <v>STM-A40_0120</v>
      </c>
      <c r="DG7" t="str">
        <v>STM-A40_0121</v>
      </c>
      <c r="DH7" t="str">
        <v>STM-A40_0122</v>
      </c>
      <c r="DI7" t="str">
        <v>STM-A40_0123</v>
      </c>
      <c r="DJ7" t="str">
        <v>STM-A40_0125</v>
      </c>
      <c r="DK7" t="str">
        <v>STM-A40_0131</v>
      </c>
      <c r="DL7" t="str">
        <v>STM-A40_0132</v>
      </c>
      <c r="DM7" t="str">
        <v>STM-A40_0133</v>
      </c>
      <c r="DN7" t="str">
        <v>STM-A40_0135</v>
      </c>
      <c r="DO7" t="str">
        <v>STM-A40_0136</v>
      </c>
      <c r="DP7" t="str">
        <v>STM-A40_0141</v>
      </c>
      <c r="DQ7" t="str">
        <v>STM-A40_0142</v>
      </c>
      <c r="DR7" t="str">
        <v>STM-A40_0143</v>
      </c>
      <c r="DS7" t="str">
        <v>STM-A40_0145</v>
      </c>
      <c r="DT7" t="str">
        <v>STM-A40_0146</v>
      </c>
      <c r="DU7" t="str">
        <v>STM-A40_2009</v>
      </c>
      <c r="DV7" t="str">
        <v>STM-A40_2010</v>
      </c>
      <c r="DW7" t="str">
        <v>STM-A40_2011</v>
      </c>
      <c r="DX7" t="str">
        <v>STM-A40_2012</v>
      </c>
      <c r="DY7" t="str">
        <v>STM-A40_2008</v>
      </c>
    </row>
    <row r="8" spans="1:146" x14ac:dyDescent="0.25">
      <c r="A8" t="str">
        <v>BR1/05</v>
      </c>
      <c r="D8" s="20" t="s">
        <v>102</v>
      </c>
      <c r="E8" s="21">
        <v>5</v>
      </c>
      <c r="F8" s="21" t="s">
        <v>2</v>
      </c>
      <c r="G8" s="22" t="s">
        <v>2599</v>
      </c>
      <c r="H8" s="22" t="s">
        <v>2620</v>
      </c>
      <c r="I8" s="55" t="s">
        <v>2602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AA8" t="str">
        <v>STM-A40_0098|STM-A40_0105|STM-A40_0106|STM-A40_0107|STM-A40_0119|STM-A40_0136</v>
      </c>
      <c r="AB8" t="str">
        <v>BR-C6_S10|BR-C6_S10|BR-C6_S10|BR-C6_S10|L18_S09|L18_S09|L18_S09|L18_S09|S5_77|S5_77|S5_77|S5_88|S5_88|S5_88|S5_88|S5_93</v>
      </c>
      <c r="BL8" t="str">
        <v>BR1/01</v>
      </c>
      <c r="BM8" t="str">
        <v>BR1/02</v>
      </c>
      <c r="BN8" t="str">
        <v>BR1/03</v>
      </c>
      <c r="BO8" t="str">
        <v>BR1/04</v>
      </c>
      <c r="CE8" t="str">
        <v>STM-A40_0019</v>
      </c>
      <c r="CF8" t="str">
        <v>STM-A40_0022</v>
      </c>
      <c r="CG8" t="str">
        <v>STM-A40_0067</v>
      </c>
      <c r="CH8" t="str">
        <v>STM-A40_0068</v>
      </c>
      <c r="CI8" t="str">
        <v>STM-A40_0069</v>
      </c>
      <c r="CJ8" t="str">
        <v>STM-A40_0070</v>
      </c>
      <c r="CK8" t="str">
        <v>STM-A40_0071</v>
      </c>
      <c r="CL8" t="str">
        <v>STM-A40_0075</v>
      </c>
      <c r="CM8" t="str">
        <v>STM-A40_0076</v>
      </c>
      <c r="CN8" t="str">
        <v>STM-A40_0077</v>
      </c>
      <c r="CO8" t="str">
        <v>STM-A40_0087</v>
      </c>
      <c r="CP8" t="str">
        <v>STM-A40_0088</v>
      </c>
      <c r="CQ8" t="str">
        <v>STM-A40_0089</v>
      </c>
      <c r="CR8" t="str">
        <v>STM-A40_0093</v>
      </c>
      <c r="CS8" t="str">
        <v>STM-A40_0095</v>
      </c>
      <c r="CT8" t="str">
        <v>STM-A40_0096</v>
      </c>
      <c r="CU8" t="str">
        <v>STM-A40_0097</v>
      </c>
      <c r="CV8" t="str">
        <v>STM-A40_0098</v>
      </c>
      <c r="CW8" t="str">
        <v>STM-A40_0099</v>
      </c>
      <c r="CX8" t="str">
        <v>STM-A40_0100</v>
      </c>
      <c r="CY8" t="str">
        <v>STM-A40_0101</v>
      </c>
      <c r="CZ8" t="str">
        <v>STM-A40_0102</v>
      </c>
      <c r="DA8" t="str">
        <v>STM-A40_0103</v>
      </c>
      <c r="DB8" t="str">
        <v>STM-A40_0105</v>
      </c>
      <c r="DC8" t="str">
        <v>STM-A40_0106</v>
      </c>
      <c r="DD8" t="str">
        <v>STM-A40_0107</v>
      </c>
      <c r="DE8" t="str">
        <v>STM-A40_0119</v>
      </c>
      <c r="DF8" t="str">
        <v>STM-A40_0120</v>
      </c>
      <c r="DG8" t="str">
        <v>STM-A40_0121</v>
      </c>
      <c r="DH8" t="str">
        <v>STM-A40_0122</v>
      </c>
      <c r="DI8" t="str">
        <v>STM-A40_0123</v>
      </c>
      <c r="DJ8" t="str">
        <v>STM-A40_0125</v>
      </c>
      <c r="DK8" t="str">
        <v>STM-A40_0131</v>
      </c>
      <c r="DL8" t="str">
        <v>STM-A40_0132</v>
      </c>
      <c r="DM8" t="str">
        <v>STM-A40_0133</v>
      </c>
      <c r="DN8" t="str">
        <v>STM-A40_0135</v>
      </c>
      <c r="DO8" t="str">
        <v>STM-A40_0136</v>
      </c>
      <c r="DP8" t="str">
        <v>STM-A40_0141</v>
      </c>
      <c r="DQ8" t="str">
        <v>STM-A40_0142</v>
      </c>
      <c r="DR8" t="str">
        <v>STM-A40_0143</v>
      </c>
      <c r="DS8" t="str">
        <v>STM-A40_0145</v>
      </c>
      <c r="DT8" t="str">
        <v>STM-A40_0146</v>
      </c>
      <c r="DU8" t="str">
        <v>STM-A40_2009</v>
      </c>
      <c r="DV8" t="str">
        <v>STM-A40_2010</v>
      </c>
      <c r="DW8" t="str">
        <v>STM-A40_2011</v>
      </c>
      <c r="DX8" t="str">
        <v>STM-A40_2012</v>
      </c>
      <c r="DY8" t="str">
        <v>STM-A40_2008</v>
      </c>
    </row>
    <row r="9" spans="1:146" x14ac:dyDescent="0.25">
      <c r="A9" t="str">
        <v/>
      </c>
      <c r="D9" s="20"/>
      <c r="E9" s="21"/>
      <c r="F9" s="21"/>
      <c r="G9" s="22"/>
      <c r="H9" s="22"/>
      <c r="I9" s="55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AA9" t="str">
        <v/>
      </c>
      <c r="AB9" t="str">
        <v/>
      </c>
      <c r="BL9" t="str">
        <v/>
      </c>
      <c r="BM9" t="str">
        <v/>
      </c>
      <c r="BN9" t="str">
        <v/>
      </c>
      <c r="BO9" t="str">
        <v/>
      </c>
      <c r="CE9" t="str">
        <v/>
      </c>
      <c r="CF9" t="e">
        <v>#N/A</v>
      </c>
      <c r="CG9" t="e">
        <v>#N/A</v>
      </c>
      <c r="CH9" t="e">
        <v>#N/A</v>
      </c>
      <c r="CI9" t="e">
        <v>#N/A</v>
      </c>
      <c r="CJ9" t="e">
        <v>#N/A</v>
      </c>
      <c r="CK9" t="e">
        <v>#N/A</v>
      </c>
      <c r="CL9" t="e">
        <v>#N/A</v>
      </c>
      <c r="CM9" t="e">
        <v>#N/A</v>
      </c>
      <c r="CN9" t="e">
        <v>#N/A</v>
      </c>
      <c r="CO9" t="e">
        <v>#N/A</v>
      </c>
      <c r="CP9" t="e">
        <v>#N/A</v>
      </c>
      <c r="CQ9" t="e">
        <v>#N/A</v>
      </c>
      <c r="CR9" t="e">
        <v>#N/A</v>
      </c>
      <c r="CS9" t="e">
        <v>#N/A</v>
      </c>
      <c r="CT9" t="e">
        <v>#N/A</v>
      </c>
      <c r="CU9" t="e">
        <v>#N/A</v>
      </c>
      <c r="CV9" t="e">
        <v>#N/A</v>
      </c>
      <c r="CW9" t="e">
        <v>#N/A</v>
      </c>
      <c r="CX9" t="e">
        <v>#N/A</v>
      </c>
      <c r="CY9" t="e">
        <v>#N/A</v>
      </c>
      <c r="CZ9" t="e">
        <v>#N/A</v>
      </c>
      <c r="DA9" t="e">
        <v>#N/A</v>
      </c>
      <c r="DB9" t="e">
        <v>#N/A</v>
      </c>
      <c r="DC9" t="e">
        <v>#N/A</v>
      </c>
      <c r="DD9" t="e">
        <v>#N/A</v>
      </c>
      <c r="DE9" t="e">
        <v>#N/A</v>
      </c>
      <c r="DF9" t="e">
        <v>#N/A</v>
      </c>
      <c r="DG9" t="e">
        <v>#N/A</v>
      </c>
      <c r="DH9" t="e">
        <v>#N/A</v>
      </c>
      <c r="DI9" t="e">
        <v>#N/A</v>
      </c>
      <c r="DJ9" t="e">
        <v>#N/A</v>
      </c>
      <c r="DK9" t="e">
        <v>#N/A</v>
      </c>
      <c r="DL9" t="e">
        <v>#N/A</v>
      </c>
      <c r="DM9" t="e">
        <v>#N/A</v>
      </c>
      <c r="DN9" t="e">
        <v>#N/A</v>
      </c>
      <c r="DO9" t="e">
        <v>#N/A</v>
      </c>
      <c r="DP9" t="e">
        <v>#N/A</v>
      </c>
      <c r="DQ9" t="e">
        <v>#N/A</v>
      </c>
      <c r="DR9" t="e">
        <v>#N/A</v>
      </c>
      <c r="DS9" t="e">
        <v>#N/A</v>
      </c>
      <c r="DT9" t="e">
        <v>#N/A</v>
      </c>
      <c r="DU9" t="e">
        <v>#N/A</v>
      </c>
      <c r="DV9" t="e">
        <v>#N/A</v>
      </c>
      <c r="DW9" t="e">
        <v>#N/A</v>
      </c>
      <c r="DX9" t="e">
        <v>#N/A</v>
      </c>
      <c r="DY9" t="e">
        <v>#N/A</v>
      </c>
    </row>
    <row r="10" spans="1:146" x14ac:dyDescent="0.25">
      <c r="A10" t="str">
        <v/>
      </c>
      <c r="D10" s="20"/>
      <c r="E10" s="21"/>
      <c r="F10" s="21"/>
      <c r="G10" s="22"/>
      <c r="H10" s="22"/>
      <c r="I10" s="55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AA10" t="str">
        <v/>
      </c>
      <c r="AB10" t="str">
        <v/>
      </c>
      <c r="BL10" t="str">
        <v/>
      </c>
      <c r="BM10" t="str">
        <v/>
      </c>
      <c r="BN10" t="str">
        <v/>
      </c>
      <c r="BO10" t="str">
        <v/>
      </c>
      <c r="CE10" t="str">
        <v/>
      </c>
      <c r="CF10" t="e">
        <v>#N/A</v>
      </c>
      <c r="CG10" t="e">
        <v>#N/A</v>
      </c>
      <c r="CH10" t="e">
        <v>#N/A</v>
      </c>
      <c r="CI10" t="e">
        <v>#N/A</v>
      </c>
      <c r="CJ10" t="e">
        <v>#N/A</v>
      </c>
      <c r="CK10" t="e">
        <v>#N/A</v>
      </c>
      <c r="CL10" t="e">
        <v>#N/A</v>
      </c>
      <c r="CM10" t="e">
        <v>#N/A</v>
      </c>
      <c r="CN10" t="e">
        <v>#N/A</v>
      </c>
      <c r="CO10" t="e">
        <v>#N/A</v>
      </c>
      <c r="CP10" t="e">
        <v>#N/A</v>
      </c>
      <c r="CQ10" t="e">
        <v>#N/A</v>
      </c>
      <c r="CR10" t="e">
        <v>#N/A</v>
      </c>
      <c r="CS10" t="e">
        <v>#N/A</v>
      </c>
      <c r="CT10" t="e">
        <v>#N/A</v>
      </c>
      <c r="CU10" t="e">
        <v>#N/A</v>
      </c>
      <c r="CV10" t="e">
        <v>#N/A</v>
      </c>
      <c r="CW10" t="e">
        <v>#N/A</v>
      </c>
      <c r="CX10" t="e">
        <v>#N/A</v>
      </c>
      <c r="CY10" t="e">
        <v>#N/A</v>
      </c>
      <c r="CZ10" t="e">
        <v>#N/A</v>
      </c>
      <c r="DA10" t="e">
        <v>#N/A</v>
      </c>
      <c r="DB10" t="e">
        <v>#N/A</v>
      </c>
      <c r="DC10" t="e">
        <v>#N/A</v>
      </c>
      <c r="DD10" t="e">
        <v>#N/A</v>
      </c>
      <c r="DE10" t="e">
        <v>#N/A</v>
      </c>
      <c r="DF10" t="e">
        <v>#N/A</v>
      </c>
      <c r="DG10" t="e">
        <v>#N/A</v>
      </c>
      <c r="DH10" t="e">
        <v>#N/A</v>
      </c>
      <c r="DI10" t="e">
        <v>#N/A</v>
      </c>
      <c r="DJ10" t="e">
        <v>#N/A</v>
      </c>
      <c r="DK10" t="e">
        <v>#N/A</v>
      </c>
      <c r="DL10" t="e">
        <v>#N/A</v>
      </c>
      <c r="DM10" t="e">
        <v>#N/A</v>
      </c>
      <c r="DN10" t="e">
        <v>#N/A</v>
      </c>
      <c r="DO10" t="e">
        <v>#N/A</v>
      </c>
      <c r="DP10" t="e">
        <v>#N/A</v>
      </c>
      <c r="DQ10" t="e">
        <v>#N/A</v>
      </c>
      <c r="DR10" t="e">
        <v>#N/A</v>
      </c>
      <c r="DS10" t="e">
        <v>#N/A</v>
      </c>
      <c r="DT10" t="e">
        <v>#N/A</v>
      </c>
      <c r="DU10" t="e">
        <v>#N/A</v>
      </c>
      <c r="DV10" t="e">
        <v>#N/A</v>
      </c>
      <c r="DW10" t="e">
        <v>#N/A</v>
      </c>
      <c r="DX10" t="e">
        <v>#N/A</v>
      </c>
      <c r="DY10" t="e">
        <v>#N/A</v>
      </c>
    </row>
    <row r="11" spans="1:146" x14ac:dyDescent="0.25">
      <c r="A11" t="str">
        <v/>
      </c>
      <c r="D11" s="20"/>
      <c r="E11" s="21"/>
      <c r="F11" s="21"/>
      <c r="G11" s="22"/>
      <c r="H11" s="22"/>
      <c r="I11" s="55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AA11" t="str">
        <v/>
      </c>
      <c r="AB11" t="str">
        <v/>
      </c>
      <c r="BL11" t="str">
        <v/>
      </c>
      <c r="BM11" t="str">
        <v/>
      </c>
      <c r="BN11" t="str">
        <v/>
      </c>
      <c r="BO11" t="str">
        <v/>
      </c>
      <c r="CE11" t="str">
        <v/>
      </c>
      <c r="CF11" t="e">
        <v>#N/A</v>
      </c>
      <c r="CG11" t="e">
        <v>#N/A</v>
      </c>
      <c r="CH11" t="e">
        <v>#N/A</v>
      </c>
      <c r="CI11" t="e">
        <v>#N/A</v>
      </c>
      <c r="CJ11" t="e">
        <v>#N/A</v>
      </c>
      <c r="CK11" t="e">
        <v>#N/A</v>
      </c>
      <c r="CL11" t="e">
        <v>#N/A</v>
      </c>
      <c r="CM11" t="e">
        <v>#N/A</v>
      </c>
      <c r="CN11" t="e">
        <v>#N/A</v>
      </c>
      <c r="CO11" t="e">
        <v>#N/A</v>
      </c>
      <c r="CP11" t="e">
        <v>#N/A</v>
      </c>
      <c r="CQ11" t="e">
        <v>#N/A</v>
      </c>
      <c r="CR11" t="e">
        <v>#N/A</v>
      </c>
      <c r="CS11" t="e">
        <v>#N/A</v>
      </c>
      <c r="CT11" t="e">
        <v>#N/A</v>
      </c>
      <c r="CU11" t="e">
        <v>#N/A</v>
      </c>
      <c r="CV11" t="e">
        <v>#N/A</v>
      </c>
      <c r="CW11" t="e">
        <v>#N/A</v>
      </c>
      <c r="CX11" t="e">
        <v>#N/A</v>
      </c>
      <c r="CY11" t="e">
        <v>#N/A</v>
      </c>
      <c r="CZ11" t="e">
        <v>#N/A</v>
      </c>
      <c r="DA11" t="e">
        <v>#N/A</v>
      </c>
      <c r="DB11" t="e">
        <v>#N/A</v>
      </c>
      <c r="DC11" t="e">
        <v>#N/A</v>
      </c>
      <c r="DD11" t="e">
        <v>#N/A</v>
      </c>
      <c r="DE11" t="e">
        <v>#N/A</v>
      </c>
      <c r="DF11" t="e">
        <v>#N/A</v>
      </c>
      <c r="DG11" t="e">
        <v>#N/A</v>
      </c>
      <c r="DH11" t="e">
        <v>#N/A</v>
      </c>
      <c r="DI11" t="e">
        <v>#N/A</v>
      </c>
      <c r="DJ11" t="e">
        <v>#N/A</v>
      </c>
      <c r="DK11" t="e">
        <v>#N/A</v>
      </c>
      <c r="DL11" t="e">
        <v>#N/A</v>
      </c>
      <c r="DM11" t="e">
        <v>#N/A</v>
      </c>
      <c r="DN11" t="e">
        <v>#N/A</v>
      </c>
      <c r="DO11" t="e">
        <v>#N/A</v>
      </c>
      <c r="DP11" t="e">
        <v>#N/A</v>
      </c>
      <c r="DQ11" t="e">
        <v>#N/A</v>
      </c>
      <c r="DR11" t="e">
        <v>#N/A</v>
      </c>
      <c r="DS11" t="e">
        <v>#N/A</v>
      </c>
      <c r="DT11" t="e">
        <v>#N/A</v>
      </c>
      <c r="DU11" t="e">
        <v>#N/A</v>
      </c>
      <c r="DV11" t="e">
        <v>#N/A</v>
      </c>
      <c r="DW11" t="e">
        <v>#N/A</v>
      </c>
      <c r="DX11" t="e">
        <v>#N/A</v>
      </c>
      <c r="DY11" t="e">
        <v>#N/A</v>
      </c>
    </row>
    <row r="12" spans="1:146" x14ac:dyDescent="0.25">
      <c r="A12" t="str">
        <v/>
      </c>
      <c r="D12" s="20"/>
      <c r="E12" s="21"/>
      <c r="F12" s="21"/>
      <c r="G12" s="22"/>
      <c r="H12" s="22"/>
      <c r="I12" s="55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AA12" t="str">
        <v/>
      </c>
      <c r="AB12" t="str">
        <v/>
      </c>
      <c r="BL12" t="str">
        <v/>
      </c>
      <c r="BM12" t="str">
        <v/>
      </c>
      <c r="BN12" t="str">
        <v/>
      </c>
      <c r="BO12" t="str">
        <v/>
      </c>
      <c r="CE12" t="str">
        <v/>
      </c>
      <c r="CF12" t="e">
        <v>#N/A</v>
      </c>
      <c r="CG12" t="e">
        <v>#N/A</v>
      </c>
      <c r="CH12" t="e">
        <v>#N/A</v>
      </c>
      <c r="CI12" t="e">
        <v>#N/A</v>
      </c>
      <c r="CJ12" t="e">
        <v>#N/A</v>
      </c>
      <c r="CK12" t="e">
        <v>#N/A</v>
      </c>
      <c r="CL12" t="e">
        <v>#N/A</v>
      </c>
      <c r="CM12" t="e">
        <v>#N/A</v>
      </c>
      <c r="CN12" t="e">
        <v>#N/A</v>
      </c>
      <c r="CO12" t="e">
        <v>#N/A</v>
      </c>
      <c r="CP12" t="e">
        <v>#N/A</v>
      </c>
      <c r="CQ12" t="e">
        <v>#N/A</v>
      </c>
      <c r="CR12" t="e">
        <v>#N/A</v>
      </c>
      <c r="CS12" t="e">
        <v>#N/A</v>
      </c>
      <c r="CT12" t="e">
        <v>#N/A</v>
      </c>
      <c r="CU12" t="e">
        <v>#N/A</v>
      </c>
      <c r="CV12" t="e">
        <v>#N/A</v>
      </c>
      <c r="CW12" t="e">
        <v>#N/A</v>
      </c>
      <c r="CX12" t="e">
        <v>#N/A</v>
      </c>
      <c r="CY12" t="e">
        <v>#N/A</v>
      </c>
      <c r="CZ12" t="e">
        <v>#N/A</v>
      </c>
      <c r="DA12" t="e">
        <v>#N/A</v>
      </c>
      <c r="DB12" t="e">
        <v>#N/A</v>
      </c>
      <c r="DC12" t="e">
        <v>#N/A</v>
      </c>
      <c r="DD12" t="e">
        <v>#N/A</v>
      </c>
      <c r="DE12" t="e">
        <v>#N/A</v>
      </c>
      <c r="DF12" t="e">
        <v>#N/A</v>
      </c>
      <c r="DG12" t="e">
        <v>#N/A</v>
      </c>
      <c r="DH12" t="e">
        <v>#N/A</v>
      </c>
      <c r="DI12" t="e">
        <v>#N/A</v>
      </c>
      <c r="DJ12" t="e">
        <v>#N/A</v>
      </c>
      <c r="DK12" t="e">
        <v>#N/A</v>
      </c>
      <c r="DL12" t="e">
        <v>#N/A</v>
      </c>
      <c r="DM12" t="e">
        <v>#N/A</v>
      </c>
      <c r="DN12" t="e">
        <v>#N/A</v>
      </c>
      <c r="DO12" t="e">
        <v>#N/A</v>
      </c>
      <c r="DP12" t="e">
        <v>#N/A</v>
      </c>
      <c r="DQ12" t="e">
        <v>#N/A</v>
      </c>
      <c r="DR12" t="e">
        <v>#N/A</v>
      </c>
      <c r="DS12" t="e">
        <v>#N/A</v>
      </c>
      <c r="DT12" t="e">
        <v>#N/A</v>
      </c>
      <c r="DU12" t="e">
        <v>#N/A</v>
      </c>
      <c r="DV12" t="e">
        <v>#N/A</v>
      </c>
      <c r="DW12" t="e">
        <v>#N/A</v>
      </c>
      <c r="DX12" t="e">
        <v>#N/A</v>
      </c>
      <c r="DY12" t="e">
        <v>#N/A</v>
      </c>
    </row>
    <row r="13" spans="1:146" x14ac:dyDescent="0.25">
      <c r="A13" t="str">
        <v/>
      </c>
      <c r="D13" s="20"/>
      <c r="E13" s="21"/>
      <c r="F13" s="21"/>
      <c r="G13" s="22"/>
      <c r="H13" s="22"/>
      <c r="I13" s="55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AA13" t="str">
        <v/>
      </c>
      <c r="AB13" t="str">
        <v/>
      </c>
      <c r="BL13" t="str">
        <v/>
      </c>
      <c r="BM13" t="str">
        <v/>
      </c>
      <c r="BN13" t="str">
        <v/>
      </c>
      <c r="BO13" t="str">
        <v/>
      </c>
      <c r="CE13" t="str">
        <v/>
      </c>
      <c r="CF13" t="e">
        <v>#N/A</v>
      </c>
      <c r="CG13" t="e">
        <v>#N/A</v>
      </c>
      <c r="CH13" t="e">
        <v>#N/A</v>
      </c>
      <c r="CI13" t="e">
        <v>#N/A</v>
      </c>
      <c r="CJ13" t="e">
        <v>#N/A</v>
      </c>
      <c r="CK13" t="e">
        <v>#N/A</v>
      </c>
      <c r="CL13" t="e">
        <v>#N/A</v>
      </c>
      <c r="CM13" t="e">
        <v>#N/A</v>
      </c>
      <c r="CN13" t="e">
        <v>#N/A</v>
      </c>
      <c r="CO13" t="e">
        <v>#N/A</v>
      </c>
      <c r="CP13" t="e">
        <v>#N/A</v>
      </c>
      <c r="CQ13" t="e">
        <v>#N/A</v>
      </c>
      <c r="CR13" t="e">
        <v>#N/A</v>
      </c>
      <c r="CS13" t="e">
        <v>#N/A</v>
      </c>
      <c r="CT13" t="e">
        <v>#N/A</v>
      </c>
      <c r="CU13" t="e">
        <v>#N/A</v>
      </c>
      <c r="CV13" t="e">
        <v>#N/A</v>
      </c>
      <c r="CW13" t="e">
        <v>#N/A</v>
      </c>
      <c r="CX13" t="e">
        <v>#N/A</v>
      </c>
      <c r="CY13" t="e">
        <v>#N/A</v>
      </c>
      <c r="CZ13" t="e">
        <v>#N/A</v>
      </c>
      <c r="DA13" t="e">
        <v>#N/A</v>
      </c>
      <c r="DB13" t="e">
        <v>#N/A</v>
      </c>
      <c r="DC13" t="e">
        <v>#N/A</v>
      </c>
      <c r="DD13" t="e">
        <v>#N/A</v>
      </c>
      <c r="DE13" t="e">
        <v>#N/A</v>
      </c>
      <c r="DF13" t="e">
        <v>#N/A</v>
      </c>
      <c r="DG13" t="e">
        <v>#N/A</v>
      </c>
      <c r="DH13" t="e">
        <v>#N/A</v>
      </c>
      <c r="DI13" t="e">
        <v>#N/A</v>
      </c>
      <c r="DJ13" t="e">
        <v>#N/A</v>
      </c>
      <c r="DK13" t="e">
        <v>#N/A</v>
      </c>
      <c r="DL13" t="e">
        <v>#N/A</v>
      </c>
      <c r="DM13" t="e">
        <v>#N/A</v>
      </c>
      <c r="DN13" t="e">
        <v>#N/A</v>
      </c>
      <c r="DO13" t="e">
        <v>#N/A</v>
      </c>
      <c r="DP13" t="e">
        <v>#N/A</v>
      </c>
      <c r="DQ13" t="e">
        <v>#N/A</v>
      </c>
      <c r="DR13" t="e">
        <v>#N/A</v>
      </c>
      <c r="DS13" t="e">
        <v>#N/A</v>
      </c>
      <c r="DT13" t="e">
        <v>#N/A</v>
      </c>
      <c r="DU13" t="e">
        <v>#N/A</v>
      </c>
      <c r="DV13" t="e">
        <v>#N/A</v>
      </c>
      <c r="DW13" t="e">
        <v>#N/A</v>
      </c>
      <c r="DX13" t="e">
        <v>#N/A</v>
      </c>
      <c r="DY13" t="e">
        <v>#N/A</v>
      </c>
    </row>
    <row r="14" spans="1:146" x14ac:dyDescent="0.25">
      <c r="A14" t="str">
        <v/>
      </c>
      <c r="D14" s="20"/>
      <c r="E14" s="21"/>
      <c r="F14" s="21"/>
      <c r="G14" s="22"/>
      <c r="H14" s="22"/>
      <c r="I14" s="55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AA14" t="str">
        <v/>
      </c>
      <c r="AB14" t="str">
        <v/>
      </c>
      <c r="BL14" t="str">
        <v/>
      </c>
      <c r="BM14" t="str">
        <v/>
      </c>
      <c r="BN14" t="str">
        <v/>
      </c>
      <c r="BO14" t="str">
        <v/>
      </c>
      <c r="CE14" t="str">
        <v/>
      </c>
      <c r="CF14" t="e">
        <v>#N/A</v>
      </c>
      <c r="CG14" t="e">
        <v>#N/A</v>
      </c>
      <c r="CH14" t="e">
        <v>#N/A</v>
      </c>
      <c r="CI14" t="e">
        <v>#N/A</v>
      </c>
      <c r="CJ14" t="e">
        <v>#N/A</v>
      </c>
      <c r="CK14" t="e">
        <v>#N/A</v>
      </c>
      <c r="CL14" t="e">
        <v>#N/A</v>
      </c>
      <c r="CM14" t="e">
        <v>#N/A</v>
      </c>
      <c r="CN14" t="e">
        <v>#N/A</v>
      </c>
      <c r="CO14" t="e">
        <v>#N/A</v>
      </c>
      <c r="CP14" t="e">
        <v>#N/A</v>
      </c>
      <c r="CQ14" t="e">
        <v>#N/A</v>
      </c>
      <c r="CR14" t="e">
        <v>#N/A</v>
      </c>
      <c r="CS14" t="e">
        <v>#N/A</v>
      </c>
      <c r="CT14" t="e">
        <v>#N/A</v>
      </c>
      <c r="CU14" t="e">
        <v>#N/A</v>
      </c>
      <c r="CV14" t="e">
        <v>#N/A</v>
      </c>
      <c r="CW14" t="e">
        <v>#N/A</v>
      </c>
      <c r="CX14" t="e">
        <v>#N/A</v>
      </c>
      <c r="CY14" t="e">
        <v>#N/A</v>
      </c>
      <c r="CZ14" t="e">
        <v>#N/A</v>
      </c>
      <c r="DA14" t="e">
        <v>#N/A</v>
      </c>
      <c r="DB14" t="e">
        <v>#N/A</v>
      </c>
      <c r="DC14" t="e">
        <v>#N/A</v>
      </c>
      <c r="DD14" t="e">
        <v>#N/A</v>
      </c>
      <c r="DE14" t="e">
        <v>#N/A</v>
      </c>
      <c r="DF14" t="e">
        <v>#N/A</v>
      </c>
      <c r="DG14" t="e">
        <v>#N/A</v>
      </c>
      <c r="DH14" t="e">
        <v>#N/A</v>
      </c>
      <c r="DI14" t="e">
        <v>#N/A</v>
      </c>
      <c r="DJ14" t="e">
        <v>#N/A</v>
      </c>
      <c r="DK14" t="e">
        <v>#N/A</v>
      </c>
      <c r="DL14" t="e">
        <v>#N/A</v>
      </c>
      <c r="DM14" t="e">
        <v>#N/A</v>
      </c>
      <c r="DN14" t="e">
        <v>#N/A</v>
      </c>
      <c r="DO14" t="e">
        <v>#N/A</v>
      </c>
      <c r="DP14" t="e">
        <v>#N/A</v>
      </c>
      <c r="DQ14" t="e">
        <v>#N/A</v>
      </c>
      <c r="DR14" t="e">
        <v>#N/A</v>
      </c>
      <c r="DS14" t="e">
        <v>#N/A</v>
      </c>
      <c r="DT14" t="e">
        <v>#N/A</v>
      </c>
      <c r="DU14" t="e">
        <v>#N/A</v>
      </c>
      <c r="DV14" t="e">
        <v>#N/A</v>
      </c>
      <c r="DW14" t="e">
        <v>#N/A</v>
      </c>
      <c r="DX14" t="e">
        <v>#N/A</v>
      </c>
      <c r="DY14" t="e">
        <v>#N/A</v>
      </c>
    </row>
    <row r="15" spans="1:146" x14ac:dyDescent="0.25">
      <c r="A15" t="str">
        <v/>
      </c>
      <c r="D15" s="20"/>
      <c r="E15" s="21"/>
      <c r="F15" s="21"/>
      <c r="G15" s="22"/>
      <c r="H15" s="22"/>
      <c r="I15" s="55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AA15" t="str">
        <v/>
      </c>
      <c r="AB15" t="str">
        <v/>
      </c>
      <c r="BL15" t="str">
        <v/>
      </c>
      <c r="BM15" t="str">
        <v/>
      </c>
      <c r="BN15" t="str">
        <v/>
      </c>
      <c r="BO15" t="str">
        <v/>
      </c>
      <c r="CE15" t="str">
        <v/>
      </c>
      <c r="CF15" t="e">
        <v>#N/A</v>
      </c>
      <c r="CG15" t="e">
        <v>#N/A</v>
      </c>
      <c r="CH15" t="e">
        <v>#N/A</v>
      </c>
      <c r="CI15" t="e">
        <v>#N/A</v>
      </c>
      <c r="CJ15" t="e">
        <v>#N/A</v>
      </c>
      <c r="CK15" t="e">
        <v>#N/A</v>
      </c>
      <c r="CL15" t="e">
        <v>#N/A</v>
      </c>
      <c r="CM15" t="e">
        <v>#N/A</v>
      </c>
      <c r="CN15" t="e">
        <v>#N/A</v>
      </c>
      <c r="CO15" t="e">
        <v>#N/A</v>
      </c>
      <c r="CP15" t="e">
        <v>#N/A</v>
      </c>
      <c r="CQ15" t="e">
        <v>#N/A</v>
      </c>
      <c r="CR15" t="e">
        <v>#N/A</v>
      </c>
      <c r="CS15" t="e">
        <v>#N/A</v>
      </c>
      <c r="CT15" t="e">
        <v>#N/A</v>
      </c>
      <c r="CU15" t="e">
        <v>#N/A</v>
      </c>
      <c r="CV15" t="e">
        <v>#N/A</v>
      </c>
      <c r="CW15" t="e">
        <v>#N/A</v>
      </c>
      <c r="CX15" t="e">
        <v>#N/A</v>
      </c>
      <c r="CY15" t="e">
        <v>#N/A</v>
      </c>
      <c r="CZ15" t="e">
        <v>#N/A</v>
      </c>
      <c r="DA15" t="e">
        <v>#N/A</v>
      </c>
      <c r="DB15" t="e">
        <v>#N/A</v>
      </c>
      <c r="DC15" t="e">
        <v>#N/A</v>
      </c>
      <c r="DD15" t="e">
        <v>#N/A</v>
      </c>
      <c r="DE15" t="e">
        <v>#N/A</v>
      </c>
      <c r="DF15" t="e">
        <v>#N/A</v>
      </c>
      <c r="DG15" t="e">
        <v>#N/A</v>
      </c>
      <c r="DH15" t="e">
        <v>#N/A</v>
      </c>
      <c r="DI15" t="e">
        <v>#N/A</v>
      </c>
      <c r="DJ15" t="e">
        <v>#N/A</v>
      </c>
      <c r="DK15" t="e">
        <v>#N/A</v>
      </c>
      <c r="DL15" t="e">
        <v>#N/A</v>
      </c>
      <c r="DM15" t="e">
        <v>#N/A</v>
      </c>
      <c r="DN15" t="e">
        <v>#N/A</v>
      </c>
      <c r="DO15" t="e">
        <v>#N/A</v>
      </c>
      <c r="DP15" t="e">
        <v>#N/A</v>
      </c>
      <c r="DQ15" t="e">
        <v>#N/A</v>
      </c>
      <c r="DR15" t="e">
        <v>#N/A</v>
      </c>
      <c r="DS15" t="e">
        <v>#N/A</v>
      </c>
      <c r="DT15" t="e">
        <v>#N/A</v>
      </c>
      <c r="DU15" t="e">
        <v>#N/A</v>
      </c>
      <c r="DV15" t="e">
        <v>#N/A</v>
      </c>
      <c r="DW15" t="e">
        <v>#N/A</v>
      </c>
      <c r="DX15" t="e">
        <v>#N/A</v>
      </c>
      <c r="DY15" t="e">
        <v>#N/A</v>
      </c>
    </row>
    <row r="16" spans="1:146" x14ac:dyDescent="0.25">
      <c r="A16" t="str">
        <v/>
      </c>
      <c r="D16" s="20"/>
      <c r="E16" s="21"/>
      <c r="F16" s="21"/>
      <c r="G16" s="22"/>
      <c r="H16" s="22"/>
      <c r="I16" s="55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AA16" t="str">
        <v/>
      </c>
      <c r="AB16" t="str">
        <v/>
      </c>
      <c r="BL16" t="str">
        <v/>
      </c>
      <c r="BM16" t="str">
        <v/>
      </c>
      <c r="BN16" t="str">
        <v/>
      </c>
      <c r="BO16" t="str">
        <v/>
      </c>
      <c r="CE16" t="str">
        <v/>
      </c>
      <c r="CF16" t="e">
        <v>#N/A</v>
      </c>
      <c r="CG16" t="e">
        <v>#N/A</v>
      </c>
      <c r="CH16" t="e">
        <v>#N/A</v>
      </c>
      <c r="CI16" t="e">
        <v>#N/A</v>
      </c>
      <c r="CJ16" t="e">
        <v>#N/A</v>
      </c>
      <c r="CK16" t="e">
        <v>#N/A</v>
      </c>
      <c r="CL16" t="e">
        <v>#N/A</v>
      </c>
      <c r="CM16" t="e">
        <v>#N/A</v>
      </c>
      <c r="CN16" t="e">
        <v>#N/A</v>
      </c>
      <c r="CO16" t="e">
        <v>#N/A</v>
      </c>
      <c r="CP16" t="e">
        <v>#N/A</v>
      </c>
      <c r="CQ16" t="e">
        <v>#N/A</v>
      </c>
      <c r="CR16" t="e">
        <v>#N/A</v>
      </c>
      <c r="CS16" t="e">
        <v>#N/A</v>
      </c>
      <c r="CT16" t="e">
        <v>#N/A</v>
      </c>
      <c r="CU16" t="e">
        <v>#N/A</v>
      </c>
      <c r="CV16" t="e">
        <v>#N/A</v>
      </c>
      <c r="CW16" t="e">
        <v>#N/A</v>
      </c>
      <c r="CX16" t="e">
        <v>#N/A</v>
      </c>
      <c r="CY16" t="e">
        <v>#N/A</v>
      </c>
      <c r="CZ16" t="e">
        <v>#N/A</v>
      </c>
      <c r="DA16" t="e">
        <v>#N/A</v>
      </c>
      <c r="DB16" t="e">
        <v>#N/A</v>
      </c>
      <c r="DC16" t="e">
        <v>#N/A</v>
      </c>
      <c r="DD16" t="e">
        <v>#N/A</v>
      </c>
      <c r="DE16" t="e">
        <v>#N/A</v>
      </c>
      <c r="DF16" t="e">
        <v>#N/A</v>
      </c>
      <c r="DG16" t="e">
        <v>#N/A</v>
      </c>
      <c r="DH16" t="e">
        <v>#N/A</v>
      </c>
      <c r="DI16" t="e">
        <v>#N/A</v>
      </c>
      <c r="DJ16" t="e">
        <v>#N/A</v>
      </c>
      <c r="DK16" t="e">
        <v>#N/A</v>
      </c>
      <c r="DL16" t="e">
        <v>#N/A</v>
      </c>
      <c r="DM16" t="e">
        <v>#N/A</v>
      </c>
      <c r="DN16" t="e">
        <v>#N/A</v>
      </c>
      <c r="DO16" t="e">
        <v>#N/A</v>
      </c>
      <c r="DP16" t="e">
        <v>#N/A</v>
      </c>
      <c r="DQ16" t="e">
        <v>#N/A</v>
      </c>
      <c r="DR16" t="e">
        <v>#N/A</v>
      </c>
      <c r="DS16" t="e">
        <v>#N/A</v>
      </c>
      <c r="DT16" t="e">
        <v>#N/A</v>
      </c>
      <c r="DU16" t="e">
        <v>#N/A</v>
      </c>
      <c r="DV16" t="e">
        <v>#N/A</v>
      </c>
      <c r="DW16" t="e">
        <v>#N/A</v>
      </c>
      <c r="DX16" t="e">
        <v>#N/A</v>
      </c>
      <c r="DY16" t="e">
        <v>#N/A</v>
      </c>
    </row>
    <row r="17" spans="1:129" x14ac:dyDescent="0.25">
      <c r="A17" t="str">
        <v/>
      </c>
      <c r="D17" s="20"/>
      <c r="E17" s="21"/>
      <c r="F17" s="21"/>
      <c r="G17" s="22"/>
      <c r="H17" s="22"/>
      <c r="I17" s="55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AA17" t="str">
        <v/>
      </c>
      <c r="AB17" t="str">
        <v/>
      </c>
      <c r="BL17" t="str">
        <v/>
      </c>
      <c r="BM17" t="str">
        <v/>
      </c>
      <c r="BN17" t="str">
        <v/>
      </c>
      <c r="BO17" t="str">
        <v/>
      </c>
      <c r="CE17" t="str">
        <v/>
      </c>
      <c r="CF17" t="e">
        <v>#N/A</v>
      </c>
      <c r="CG17" t="e">
        <v>#N/A</v>
      </c>
      <c r="CH17" t="e">
        <v>#N/A</v>
      </c>
      <c r="CI17" t="e">
        <v>#N/A</v>
      </c>
      <c r="CJ17" t="e">
        <v>#N/A</v>
      </c>
      <c r="CK17" t="e">
        <v>#N/A</v>
      </c>
      <c r="CL17" t="e">
        <v>#N/A</v>
      </c>
      <c r="CM17" t="e">
        <v>#N/A</v>
      </c>
      <c r="CN17" t="e">
        <v>#N/A</v>
      </c>
      <c r="CO17" t="e">
        <v>#N/A</v>
      </c>
      <c r="CP17" t="e">
        <v>#N/A</v>
      </c>
      <c r="CQ17" t="e">
        <v>#N/A</v>
      </c>
      <c r="CR17" t="e">
        <v>#N/A</v>
      </c>
      <c r="CS17" t="e">
        <v>#N/A</v>
      </c>
      <c r="CT17" t="e">
        <v>#N/A</v>
      </c>
      <c r="CU17" t="e">
        <v>#N/A</v>
      </c>
      <c r="CV17" t="e">
        <v>#N/A</v>
      </c>
      <c r="CW17" t="e">
        <v>#N/A</v>
      </c>
      <c r="CX17" t="e">
        <v>#N/A</v>
      </c>
      <c r="CY17" t="e">
        <v>#N/A</v>
      </c>
      <c r="CZ17" t="e">
        <v>#N/A</v>
      </c>
      <c r="DA17" t="e">
        <v>#N/A</v>
      </c>
      <c r="DB17" t="e">
        <v>#N/A</v>
      </c>
      <c r="DC17" t="e">
        <v>#N/A</v>
      </c>
      <c r="DD17" t="e">
        <v>#N/A</v>
      </c>
      <c r="DE17" t="e">
        <v>#N/A</v>
      </c>
      <c r="DF17" t="e">
        <v>#N/A</v>
      </c>
      <c r="DG17" t="e">
        <v>#N/A</v>
      </c>
      <c r="DH17" t="e">
        <v>#N/A</v>
      </c>
      <c r="DI17" t="e">
        <v>#N/A</v>
      </c>
      <c r="DJ17" t="e">
        <v>#N/A</v>
      </c>
      <c r="DK17" t="e">
        <v>#N/A</v>
      </c>
      <c r="DL17" t="e">
        <v>#N/A</v>
      </c>
      <c r="DM17" t="e">
        <v>#N/A</v>
      </c>
      <c r="DN17" t="e">
        <v>#N/A</v>
      </c>
      <c r="DO17" t="e">
        <v>#N/A</v>
      </c>
      <c r="DP17" t="e">
        <v>#N/A</v>
      </c>
      <c r="DQ17" t="e">
        <v>#N/A</v>
      </c>
      <c r="DR17" t="e">
        <v>#N/A</v>
      </c>
      <c r="DS17" t="e">
        <v>#N/A</v>
      </c>
      <c r="DT17" t="e">
        <v>#N/A</v>
      </c>
      <c r="DU17" t="e">
        <v>#N/A</v>
      </c>
      <c r="DV17" t="e">
        <v>#N/A</v>
      </c>
      <c r="DW17" t="e">
        <v>#N/A</v>
      </c>
      <c r="DX17" t="e">
        <v>#N/A</v>
      </c>
      <c r="DY17" t="e">
        <v>#N/A</v>
      </c>
    </row>
    <row r="18" spans="1:129" x14ac:dyDescent="0.25">
      <c r="A18" t="str">
        <v/>
      </c>
      <c r="D18" s="20"/>
      <c r="E18" s="21"/>
      <c r="F18" s="21"/>
      <c r="G18" s="22"/>
      <c r="H18" s="22"/>
      <c r="I18" s="55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AA18" t="str">
        <v/>
      </c>
      <c r="AB18" t="str">
        <v/>
      </c>
      <c r="BL18" t="str">
        <v/>
      </c>
      <c r="BM18" t="str">
        <v/>
      </c>
      <c r="BN18" t="str">
        <v/>
      </c>
      <c r="BO18" t="str">
        <v/>
      </c>
      <c r="CE18" t="str">
        <v/>
      </c>
      <c r="CF18" t="e">
        <v>#N/A</v>
      </c>
      <c r="CG18" t="e">
        <v>#N/A</v>
      </c>
      <c r="CH18" t="e">
        <v>#N/A</v>
      </c>
      <c r="CI18" t="e">
        <v>#N/A</v>
      </c>
      <c r="CJ18" t="e">
        <v>#N/A</v>
      </c>
      <c r="CK18" t="e">
        <v>#N/A</v>
      </c>
      <c r="CL18" t="e">
        <v>#N/A</v>
      </c>
      <c r="CM18" t="e">
        <v>#N/A</v>
      </c>
      <c r="CN18" t="e">
        <v>#N/A</v>
      </c>
      <c r="CO18" t="e">
        <v>#N/A</v>
      </c>
      <c r="CP18" t="e">
        <v>#N/A</v>
      </c>
      <c r="CQ18" t="e">
        <v>#N/A</v>
      </c>
      <c r="CR18" t="e">
        <v>#N/A</v>
      </c>
      <c r="CS18" t="e">
        <v>#N/A</v>
      </c>
      <c r="CT18" t="e">
        <v>#N/A</v>
      </c>
      <c r="CU18" t="e">
        <v>#N/A</v>
      </c>
      <c r="CV18" t="e">
        <v>#N/A</v>
      </c>
      <c r="CW18" t="e">
        <v>#N/A</v>
      </c>
      <c r="CX18" t="e">
        <v>#N/A</v>
      </c>
      <c r="CY18" t="e">
        <v>#N/A</v>
      </c>
      <c r="CZ18" t="e">
        <v>#N/A</v>
      </c>
      <c r="DA18" t="e">
        <v>#N/A</v>
      </c>
      <c r="DB18" t="e">
        <v>#N/A</v>
      </c>
      <c r="DC18" t="e">
        <v>#N/A</v>
      </c>
      <c r="DD18" t="e">
        <v>#N/A</v>
      </c>
      <c r="DE18" t="e">
        <v>#N/A</v>
      </c>
      <c r="DF18" t="e">
        <v>#N/A</v>
      </c>
      <c r="DG18" t="e">
        <v>#N/A</v>
      </c>
      <c r="DH18" t="e">
        <v>#N/A</v>
      </c>
      <c r="DI18" t="e">
        <v>#N/A</v>
      </c>
      <c r="DJ18" t="e">
        <v>#N/A</v>
      </c>
      <c r="DK18" t="e">
        <v>#N/A</v>
      </c>
      <c r="DL18" t="e">
        <v>#N/A</v>
      </c>
      <c r="DM18" t="e">
        <v>#N/A</v>
      </c>
      <c r="DN18" t="e">
        <v>#N/A</v>
      </c>
      <c r="DO18" t="e">
        <v>#N/A</v>
      </c>
      <c r="DP18" t="e">
        <v>#N/A</v>
      </c>
      <c r="DQ18" t="e">
        <v>#N/A</v>
      </c>
      <c r="DR18" t="e">
        <v>#N/A</v>
      </c>
      <c r="DS18" t="e">
        <v>#N/A</v>
      </c>
      <c r="DT18" t="e">
        <v>#N/A</v>
      </c>
      <c r="DU18" t="e">
        <v>#N/A</v>
      </c>
      <c r="DV18" t="e">
        <v>#N/A</v>
      </c>
      <c r="DW18" t="e">
        <v>#N/A</v>
      </c>
      <c r="DX18" t="e">
        <v>#N/A</v>
      </c>
      <c r="DY18" t="e">
        <v>#N/A</v>
      </c>
    </row>
    <row r="19" spans="1:129" x14ac:dyDescent="0.25">
      <c r="A19" t="str">
        <v/>
      </c>
      <c r="D19" s="20"/>
      <c r="E19" s="21"/>
      <c r="F19" s="21"/>
      <c r="G19" s="22"/>
      <c r="H19" s="22"/>
      <c r="I19" s="55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AA19" t="str">
        <v/>
      </c>
      <c r="AB19" t="str">
        <v/>
      </c>
      <c r="BL19" t="str">
        <v/>
      </c>
      <c r="BM19" t="str">
        <v/>
      </c>
      <c r="BN19" t="str">
        <v/>
      </c>
      <c r="BO19" t="str">
        <v/>
      </c>
      <c r="CE19" t="str">
        <v/>
      </c>
      <c r="CF19" t="e">
        <v>#N/A</v>
      </c>
      <c r="CG19" t="e">
        <v>#N/A</v>
      </c>
      <c r="CH19" t="e">
        <v>#N/A</v>
      </c>
      <c r="CI19" t="e">
        <v>#N/A</v>
      </c>
      <c r="CJ19" t="e">
        <v>#N/A</v>
      </c>
      <c r="CK19" t="e">
        <v>#N/A</v>
      </c>
      <c r="CL19" t="e">
        <v>#N/A</v>
      </c>
      <c r="CM19" t="e">
        <v>#N/A</v>
      </c>
      <c r="CN19" t="e">
        <v>#N/A</v>
      </c>
      <c r="CO19" t="e">
        <v>#N/A</v>
      </c>
      <c r="CP19" t="e">
        <v>#N/A</v>
      </c>
      <c r="CQ19" t="e">
        <v>#N/A</v>
      </c>
      <c r="CR19" t="e">
        <v>#N/A</v>
      </c>
      <c r="CS19" t="e">
        <v>#N/A</v>
      </c>
      <c r="CT19" t="e">
        <v>#N/A</v>
      </c>
      <c r="CU19" t="e">
        <v>#N/A</v>
      </c>
      <c r="CV19" t="e">
        <v>#N/A</v>
      </c>
      <c r="CW19" t="e">
        <v>#N/A</v>
      </c>
      <c r="CX19" t="e">
        <v>#N/A</v>
      </c>
      <c r="CY19" t="e">
        <v>#N/A</v>
      </c>
      <c r="CZ19" t="e">
        <v>#N/A</v>
      </c>
      <c r="DA19" t="e">
        <v>#N/A</v>
      </c>
      <c r="DB19" t="e">
        <v>#N/A</v>
      </c>
      <c r="DC19" t="e">
        <v>#N/A</v>
      </c>
      <c r="DD19" t="e">
        <v>#N/A</v>
      </c>
      <c r="DE19" t="e">
        <v>#N/A</v>
      </c>
      <c r="DF19" t="e">
        <v>#N/A</v>
      </c>
      <c r="DG19" t="e">
        <v>#N/A</v>
      </c>
      <c r="DH19" t="e">
        <v>#N/A</v>
      </c>
      <c r="DI19" t="e">
        <v>#N/A</v>
      </c>
      <c r="DJ19" t="e">
        <v>#N/A</v>
      </c>
      <c r="DK19" t="e">
        <v>#N/A</v>
      </c>
      <c r="DL19" t="e">
        <v>#N/A</v>
      </c>
      <c r="DM19" t="e">
        <v>#N/A</v>
      </c>
      <c r="DN19" t="e">
        <v>#N/A</v>
      </c>
      <c r="DO19" t="e">
        <v>#N/A</v>
      </c>
      <c r="DP19" t="e">
        <v>#N/A</v>
      </c>
      <c r="DQ19" t="e">
        <v>#N/A</v>
      </c>
      <c r="DR19" t="e">
        <v>#N/A</v>
      </c>
      <c r="DS19" t="e">
        <v>#N/A</v>
      </c>
      <c r="DT19" t="e">
        <v>#N/A</v>
      </c>
      <c r="DU19" t="e">
        <v>#N/A</v>
      </c>
      <c r="DV19" t="e">
        <v>#N/A</v>
      </c>
      <c r="DW19" t="e">
        <v>#N/A</v>
      </c>
      <c r="DX19" t="e">
        <v>#N/A</v>
      </c>
      <c r="DY19" t="e">
        <v>#N/A</v>
      </c>
    </row>
    <row r="20" spans="1:129" x14ac:dyDescent="0.25">
      <c r="A20" t="str">
        <v/>
      </c>
      <c r="D20" s="20"/>
      <c r="E20" s="21"/>
      <c r="F20" s="21"/>
      <c r="G20" s="22"/>
      <c r="H20" s="22"/>
      <c r="I20" s="55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AA20" t="str">
        <v/>
      </c>
      <c r="AB20" t="str">
        <v/>
      </c>
      <c r="BL20" t="str">
        <v/>
      </c>
      <c r="BM20" t="str">
        <v/>
      </c>
      <c r="BN20" t="str">
        <v/>
      </c>
      <c r="BO20" t="str">
        <v/>
      </c>
      <c r="CE20" t="str">
        <v/>
      </c>
      <c r="CF20" t="e">
        <v>#N/A</v>
      </c>
      <c r="CG20" t="e">
        <v>#N/A</v>
      </c>
      <c r="CH20" t="e">
        <v>#N/A</v>
      </c>
      <c r="CI20" t="e">
        <v>#N/A</v>
      </c>
      <c r="CJ20" t="e">
        <v>#N/A</v>
      </c>
      <c r="CK20" t="e">
        <v>#N/A</v>
      </c>
      <c r="CL20" t="e">
        <v>#N/A</v>
      </c>
      <c r="CM20" t="e">
        <v>#N/A</v>
      </c>
      <c r="CN20" t="e">
        <v>#N/A</v>
      </c>
      <c r="CO20" t="e">
        <v>#N/A</v>
      </c>
      <c r="CP20" t="e">
        <v>#N/A</v>
      </c>
      <c r="CQ20" t="e">
        <v>#N/A</v>
      </c>
      <c r="CR20" t="e">
        <v>#N/A</v>
      </c>
      <c r="CS20" t="e">
        <v>#N/A</v>
      </c>
      <c r="CT20" t="e">
        <v>#N/A</v>
      </c>
      <c r="CU20" t="e">
        <v>#N/A</v>
      </c>
      <c r="CV20" t="e">
        <v>#N/A</v>
      </c>
      <c r="CW20" t="e">
        <v>#N/A</v>
      </c>
      <c r="CX20" t="e">
        <v>#N/A</v>
      </c>
      <c r="CY20" t="e">
        <v>#N/A</v>
      </c>
      <c r="CZ20" t="e">
        <v>#N/A</v>
      </c>
      <c r="DA20" t="e">
        <v>#N/A</v>
      </c>
      <c r="DB20" t="e">
        <v>#N/A</v>
      </c>
      <c r="DC20" t="e">
        <v>#N/A</v>
      </c>
      <c r="DD20" t="e">
        <v>#N/A</v>
      </c>
      <c r="DE20" t="e">
        <v>#N/A</v>
      </c>
      <c r="DF20" t="e">
        <v>#N/A</v>
      </c>
      <c r="DG20" t="e">
        <v>#N/A</v>
      </c>
      <c r="DH20" t="e">
        <v>#N/A</v>
      </c>
      <c r="DI20" t="e">
        <v>#N/A</v>
      </c>
      <c r="DJ20" t="e">
        <v>#N/A</v>
      </c>
      <c r="DK20" t="e">
        <v>#N/A</v>
      </c>
      <c r="DL20" t="e">
        <v>#N/A</v>
      </c>
      <c r="DM20" t="e">
        <v>#N/A</v>
      </c>
      <c r="DN20" t="e">
        <v>#N/A</v>
      </c>
      <c r="DO20" t="e">
        <v>#N/A</v>
      </c>
      <c r="DP20" t="e">
        <v>#N/A</v>
      </c>
      <c r="DQ20" t="e">
        <v>#N/A</v>
      </c>
      <c r="DR20" t="e">
        <v>#N/A</v>
      </c>
      <c r="DS20" t="e">
        <v>#N/A</v>
      </c>
      <c r="DT20" t="e">
        <v>#N/A</v>
      </c>
      <c r="DU20" t="e">
        <v>#N/A</v>
      </c>
      <c r="DV20" t="e">
        <v>#N/A</v>
      </c>
      <c r="DW20" t="e">
        <v>#N/A</v>
      </c>
      <c r="DX20" t="e">
        <v>#N/A</v>
      </c>
      <c r="DY20" t="e">
        <v>#N/A</v>
      </c>
    </row>
    <row r="21" spans="1:129" x14ac:dyDescent="0.25">
      <c r="A21" t="str">
        <v/>
      </c>
      <c r="D21" s="20"/>
      <c r="E21" s="21"/>
      <c r="F21" s="21"/>
      <c r="G21" s="22"/>
      <c r="H21" s="22"/>
      <c r="I21" s="55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AA21" t="str">
        <v/>
      </c>
      <c r="AB21" t="str">
        <v/>
      </c>
      <c r="BL21" t="str">
        <v/>
      </c>
      <c r="BM21" t="str">
        <v/>
      </c>
      <c r="BN21" t="str">
        <v/>
      </c>
      <c r="BO21" t="str">
        <v/>
      </c>
      <c r="CE21" t="str">
        <v/>
      </c>
      <c r="CF21" t="e">
        <v>#N/A</v>
      </c>
      <c r="CG21" t="e">
        <v>#N/A</v>
      </c>
      <c r="CH21" t="e">
        <v>#N/A</v>
      </c>
      <c r="CI21" t="e">
        <v>#N/A</v>
      </c>
      <c r="CJ21" t="e">
        <v>#N/A</v>
      </c>
      <c r="CK21" t="e">
        <v>#N/A</v>
      </c>
      <c r="CL21" t="e">
        <v>#N/A</v>
      </c>
      <c r="CM21" t="e">
        <v>#N/A</v>
      </c>
      <c r="CN21" t="e">
        <v>#N/A</v>
      </c>
      <c r="CO21" t="e">
        <v>#N/A</v>
      </c>
      <c r="CP21" t="e">
        <v>#N/A</v>
      </c>
      <c r="CQ21" t="e">
        <v>#N/A</v>
      </c>
      <c r="CR21" t="e">
        <v>#N/A</v>
      </c>
      <c r="CS21" t="e">
        <v>#N/A</v>
      </c>
      <c r="CT21" t="e">
        <v>#N/A</v>
      </c>
      <c r="CU21" t="e">
        <v>#N/A</v>
      </c>
      <c r="CV21" t="e">
        <v>#N/A</v>
      </c>
      <c r="CW21" t="e">
        <v>#N/A</v>
      </c>
      <c r="CX21" t="e">
        <v>#N/A</v>
      </c>
      <c r="CY21" t="e">
        <v>#N/A</v>
      </c>
      <c r="CZ21" t="e">
        <v>#N/A</v>
      </c>
      <c r="DA21" t="e">
        <v>#N/A</v>
      </c>
      <c r="DB21" t="e">
        <v>#N/A</v>
      </c>
      <c r="DC21" t="e">
        <v>#N/A</v>
      </c>
      <c r="DD21" t="e">
        <v>#N/A</v>
      </c>
      <c r="DE21" t="e">
        <v>#N/A</v>
      </c>
      <c r="DF21" t="e">
        <v>#N/A</v>
      </c>
      <c r="DG21" t="e">
        <v>#N/A</v>
      </c>
      <c r="DH21" t="e">
        <v>#N/A</v>
      </c>
      <c r="DI21" t="e">
        <v>#N/A</v>
      </c>
      <c r="DJ21" t="e">
        <v>#N/A</v>
      </c>
      <c r="DK21" t="e">
        <v>#N/A</v>
      </c>
      <c r="DL21" t="e">
        <v>#N/A</v>
      </c>
      <c r="DM21" t="e">
        <v>#N/A</v>
      </c>
      <c r="DN21" t="e">
        <v>#N/A</v>
      </c>
      <c r="DO21" t="e">
        <v>#N/A</v>
      </c>
      <c r="DP21" t="e">
        <v>#N/A</v>
      </c>
      <c r="DQ21" t="e">
        <v>#N/A</v>
      </c>
      <c r="DR21" t="e">
        <v>#N/A</v>
      </c>
      <c r="DS21" t="e">
        <v>#N/A</v>
      </c>
      <c r="DT21" t="e">
        <v>#N/A</v>
      </c>
      <c r="DU21" t="e">
        <v>#N/A</v>
      </c>
      <c r="DV21" t="e">
        <v>#N/A</v>
      </c>
      <c r="DW21" t="e">
        <v>#N/A</v>
      </c>
      <c r="DX21" t="e">
        <v>#N/A</v>
      </c>
      <c r="DY21" t="e">
        <v>#N/A</v>
      </c>
    </row>
    <row r="22" spans="1:129" x14ac:dyDescent="0.25">
      <c r="A22" t="str">
        <v/>
      </c>
      <c r="D22" s="20"/>
      <c r="E22" s="21"/>
      <c r="F22" s="21"/>
      <c r="G22" s="22"/>
      <c r="H22" s="22"/>
      <c r="I22" s="55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AA22" t="str">
        <v/>
      </c>
      <c r="AB22" t="str">
        <v/>
      </c>
      <c r="BL22" t="str">
        <v/>
      </c>
      <c r="BM22" t="str">
        <v/>
      </c>
      <c r="BN22" t="str">
        <v/>
      </c>
      <c r="BO22" t="str">
        <v/>
      </c>
      <c r="CE22" t="str">
        <v/>
      </c>
      <c r="CF22" t="e">
        <v>#N/A</v>
      </c>
      <c r="CG22" t="e">
        <v>#N/A</v>
      </c>
      <c r="CH22" t="e">
        <v>#N/A</v>
      </c>
      <c r="CI22" t="e">
        <v>#N/A</v>
      </c>
      <c r="CJ22" t="e">
        <v>#N/A</v>
      </c>
      <c r="CK22" t="e">
        <v>#N/A</v>
      </c>
      <c r="CL22" t="e">
        <v>#N/A</v>
      </c>
      <c r="CM22" t="e">
        <v>#N/A</v>
      </c>
      <c r="CN22" t="e">
        <v>#N/A</v>
      </c>
      <c r="CO22" t="e">
        <v>#N/A</v>
      </c>
      <c r="CP22" t="e">
        <v>#N/A</v>
      </c>
      <c r="CQ22" t="e">
        <v>#N/A</v>
      </c>
      <c r="CR22" t="e">
        <v>#N/A</v>
      </c>
      <c r="CS22" t="e">
        <v>#N/A</v>
      </c>
      <c r="CT22" t="e">
        <v>#N/A</v>
      </c>
      <c r="CU22" t="e">
        <v>#N/A</v>
      </c>
      <c r="CV22" t="e">
        <v>#N/A</v>
      </c>
      <c r="CW22" t="e">
        <v>#N/A</v>
      </c>
      <c r="CX22" t="e">
        <v>#N/A</v>
      </c>
      <c r="CY22" t="e">
        <v>#N/A</v>
      </c>
      <c r="CZ22" t="e">
        <v>#N/A</v>
      </c>
      <c r="DA22" t="e">
        <v>#N/A</v>
      </c>
      <c r="DB22" t="e">
        <v>#N/A</v>
      </c>
      <c r="DC22" t="e">
        <v>#N/A</v>
      </c>
      <c r="DD22" t="e">
        <v>#N/A</v>
      </c>
      <c r="DE22" t="e">
        <v>#N/A</v>
      </c>
      <c r="DF22" t="e">
        <v>#N/A</v>
      </c>
      <c r="DG22" t="e">
        <v>#N/A</v>
      </c>
      <c r="DH22" t="e">
        <v>#N/A</v>
      </c>
      <c r="DI22" t="e">
        <v>#N/A</v>
      </c>
      <c r="DJ22" t="e">
        <v>#N/A</v>
      </c>
      <c r="DK22" t="e">
        <v>#N/A</v>
      </c>
      <c r="DL22" t="e">
        <v>#N/A</v>
      </c>
      <c r="DM22" t="e">
        <v>#N/A</v>
      </c>
      <c r="DN22" t="e">
        <v>#N/A</v>
      </c>
      <c r="DO22" t="e">
        <v>#N/A</v>
      </c>
      <c r="DP22" t="e">
        <v>#N/A</v>
      </c>
      <c r="DQ22" t="e">
        <v>#N/A</v>
      </c>
      <c r="DR22" t="e">
        <v>#N/A</v>
      </c>
      <c r="DS22" t="e">
        <v>#N/A</v>
      </c>
      <c r="DT22" t="e">
        <v>#N/A</v>
      </c>
      <c r="DU22" t="e">
        <v>#N/A</v>
      </c>
      <c r="DV22" t="e">
        <v>#N/A</v>
      </c>
      <c r="DW22" t="e">
        <v>#N/A</v>
      </c>
      <c r="DX22" t="e">
        <v>#N/A</v>
      </c>
      <c r="DY22" t="e">
        <v>#N/A</v>
      </c>
    </row>
    <row r="23" spans="1:129" x14ac:dyDescent="0.25">
      <c r="A23" t="str">
        <v/>
      </c>
      <c r="D23" s="20"/>
      <c r="E23" s="21"/>
      <c r="F23" s="21"/>
      <c r="G23" s="22"/>
      <c r="H23" s="22"/>
      <c r="I23" s="55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AA23" t="str">
        <v/>
      </c>
      <c r="AB23" t="str">
        <v/>
      </c>
      <c r="BL23" t="str">
        <v/>
      </c>
      <c r="BM23" t="str">
        <v/>
      </c>
      <c r="BN23" t="str">
        <v/>
      </c>
      <c r="BO23" t="str">
        <v/>
      </c>
      <c r="CE23" t="str">
        <v/>
      </c>
      <c r="CF23" t="e">
        <v>#N/A</v>
      </c>
      <c r="CG23" t="e">
        <v>#N/A</v>
      </c>
      <c r="CH23" t="e">
        <v>#N/A</v>
      </c>
      <c r="CI23" t="e">
        <v>#N/A</v>
      </c>
      <c r="CJ23" t="e">
        <v>#N/A</v>
      </c>
      <c r="CK23" t="e">
        <v>#N/A</v>
      </c>
      <c r="CL23" t="e">
        <v>#N/A</v>
      </c>
      <c r="CM23" t="e">
        <v>#N/A</v>
      </c>
      <c r="CN23" t="e">
        <v>#N/A</v>
      </c>
      <c r="CO23" t="e">
        <v>#N/A</v>
      </c>
      <c r="CP23" t="e">
        <v>#N/A</v>
      </c>
      <c r="CQ23" t="e">
        <v>#N/A</v>
      </c>
      <c r="CR23" t="e">
        <v>#N/A</v>
      </c>
      <c r="CS23" t="e">
        <v>#N/A</v>
      </c>
      <c r="CT23" t="e">
        <v>#N/A</v>
      </c>
      <c r="CU23" t="e">
        <v>#N/A</v>
      </c>
      <c r="CV23" t="e">
        <v>#N/A</v>
      </c>
      <c r="CW23" t="e">
        <v>#N/A</v>
      </c>
      <c r="CX23" t="e">
        <v>#N/A</v>
      </c>
      <c r="CY23" t="e">
        <v>#N/A</v>
      </c>
      <c r="CZ23" t="e">
        <v>#N/A</v>
      </c>
      <c r="DA23" t="e">
        <v>#N/A</v>
      </c>
      <c r="DB23" t="e">
        <v>#N/A</v>
      </c>
      <c r="DC23" t="e">
        <v>#N/A</v>
      </c>
      <c r="DD23" t="e">
        <v>#N/A</v>
      </c>
      <c r="DE23" t="e">
        <v>#N/A</v>
      </c>
      <c r="DF23" t="e">
        <v>#N/A</v>
      </c>
      <c r="DG23" t="e">
        <v>#N/A</v>
      </c>
      <c r="DH23" t="e">
        <v>#N/A</v>
      </c>
      <c r="DI23" t="e">
        <v>#N/A</v>
      </c>
      <c r="DJ23" t="e">
        <v>#N/A</v>
      </c>
      <c r="DK23" t="e">
        <v>#N/A</v>
      </c>
      <c r="DL23" t="e">
        <v>#N/A</v>
      </c>
      <c r="DM23" t="e">
        <v>#N/A</v>
      </c>
      <c r="DN23" t="e">
        <v>#N/A</v>
      </c>
      <c r="DO23" t="e">
        <v>#N/A</v>
      </c>
      <c r="DP23" t="e">
        <v>#N/A</v>
      </c>
      <c r="DQ23" t="e">
        <v>#N/A</v>
      </c>
      <c r="DR23" t="e">
        <v>#N/A</v>
      </c>
      <c r="DS23" t="e">
        <v>#N/A</v>
      </c>
      <c r="DT23" t="e">
        <v>#N/A</v>
      </c>
      <c r="DU23" t="e">
        <v>#N/A</v>
      </c>
      <c r="DV23" t="e">
        <v>#N/A</v>
      </c>
      <c r="DW23" t="e">
        <v>#N/A</v>
      </c>
      <c r="DX23" t="e">
        <v>#N/A</v>
      </c>
      <c r="DY23" t="e">
        <v>#N/A</v>
      </c>
    </row>
    <row r="24" spans="1:129" x14ac:dyDescent="0.25">
      <c r="A24" t="str">
        <v/>
      </c>
      <c r="D24" s="20"/>
      <c r="E24" s="21"/>
      <c r="F24" s="21"/>
      <c r="G24" s="22"/>
      <c r="H24" s="22"/>
      <c r="I24" s="55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AA24" t="str">
        <v/>
      </c>
      <c r="AB24" t="str">
        <v/>
      </c>
      <c r="BL24" t="str">
        <v/>
      </c>
      <c r="BM24" t="str">
        <v/>
      </c>
      <c r="BN24" t="str">
        <v/>
      </c>
      <c r="BO24" t="str">
        <v/>
      </c>
      <c r="CE24" t="str">
        <v/>
      </c>
      <c r="CF24" t="e">
        <v>#N/A</v>
      </c>
      <c r="CG24" t="e">
        <v>#N/A</v>
      </c>
      <c r="CH24" t="e">
        <v>#N/A</v>
      </c>
      <c r="CI24" t="e">
        <v>#N/A</v>
      </c>
      <c r="CJ24" t="e">
        <v>#N/A</v>
      </c>
      <c r="CK24" t="e">
        <v>#N/A</v>
      </c>
      <c r="CL24" t="e">
        <v>#N/A</v>
      </c>
      <c r="CM24" t="e">
        <v>#N/A</v>
      </c>
      <c r="CN24" t="e">
        <v>#N/A</v>
      </c>
      <c r="CO24" t="e">
        <v>#N/A</v>
      </c>
      <c r="CP24" t="e">
        <v>#N/A</v>
      </c>
      <c r="CQ24" t="e">
        <v>#N/A</v>
      </c>
      <c r="CR24" t="e">
        <v>#N/A</v>
      </c>
      <c r="CS24" t="e">
        <v>#N/A</v>
      </c>
      <c r="CT24" t="e">
        <v>#N/A</v>
      </c>
      <c r="CU24" t="e">
        <v>#N/A</v>
      </c>
      <c r="CV24" t="e">
        <v>#N/A</v>
      </c>
      <c r="CW24" t="e">
        <v>#N/A</v>
      </c>
      <c r="CX24" t="e">
        <v>#N/A</v>
      </c>
      <c r="CY24" t="e">
        <v>#N/A</v>
      </c>
      <c r="CZ24" t="e">
        <v>#N/A</v>
      </c>
      <c r="DA24" t="e">
        <v>#N/A</v>
      </c>
      <c r="DB24" t="e">
        <v>#N/A</v>
      </c>
      <c r="DC24" t="e">
        <v>#N/A</v>
      </c>
      <c r="DD24" t="e">
        <v>#N/A</v>
      </c>
      <c r="DE24" t="e">
        <v>#N/A</v>
      </c>
      <c r="DF24" t="e">
        <v>#N/A</v>
      </c>
      <c r="DG24" t="e">
        <v>#N/A</v>
      </c>
      <c r="DH24" t="e">
        <v>#N/A</v>
      </c>
      <c r="DI24" t="e">
        <v>#N/A</v>
      </c>
      <c r="DJ24" t="e">
        <v>#N/A</v>
      </c>
      <c r="DK24" t="e">
        <v>#N/A</v>
      </c>
      <c r="DL24" t="e">
        <v>#N/A</v>
      </c>
      <c r="DM24" t="e">
        <v>#N/A</v>
      </c>
      <c r="DN24" t="e">
        <v>#N/A</v>
      </c>
      <c r="DO24" t="e">
        <v>#N/A</v>
      </c>
      <c r="DP24" t="e">
        <v>#N/A</v>
      </c>
      <c r="DQ24" t="e">
        <v>#N/A</v>
      </c>
      <c r="DR24" t="e">
        <v>#N/A</v>
      </c>
      <c r="DS24" t="e">
        <v>#N/A</v>
      </c>
      <c r="DT24" t="e">
        <v>#N/A</v>
      </c>
      <c r="DU24" t="e">
        <v>#N/A</v>
      </c>
      <c r="DV24" t="e">
        <v>#N/A</v>
      </c>
      <c r="DW24" t="e">
        <v>#N/A</v>
      </c>
      <c r="DX24" t="e">
        <v>#N/A</v>
      </c>
      <c r="DY24" t="e">
        <v>#N/A</v>
      </c>
    </row>
    <row r="25" spans="1:129" x14ac:dyDescent="0.25">
      <c r="A25" t="str">
        <v/>
      </c>
      <c r="D25" s="20"/>
      <c r="E25" s="21"/>
      <c r="F25" s="21"/>
      <c r="G25" s="22"/>
      <c r="H25" s="22"/>
      <c r="I25" s="55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AA25" t="str">
        <v/>
      </c>
      <c r="AB25" t="str">
        <v/>
      </c>
      <c r="BL25" t="str">
        <v/>
      </c>
      <c r="BM25" t="str">
        <v/>
      </c>
      <c r="BN25" t="str">
        <v/>
      </c>
      <c r="BO25" t="str">
        <v/>
      </c>
      <c r="CE25" t="str">
        <v/>
      </c>
      <c r="CF25" t="e">
        <v>#N/A</v>
      </c>
      <c r="CG25" t="e">
        <v>#N/A</v>
      </c>
      <c r="CH25" t="e">
        <v>#N/A</v>
      </c>
      <c r="CI25" t="e">
        <v>#N/A</v>
      </c>
      <c r="CJ25" t="e">
        <v>#N/A</v>
      </c>
      <c r="CK25" t="e">
        <v>#N/A</v>
      </c>
      <c r="CL25" t="e">
        <v>#N/A</v>
      </c>
      <c r="CM25" t="e">
        <v>#N/A</v>
      </c>
      <c r="CN25" t="e">
        <v>#N/A</v>
      </c>
      <c r="CO25" t="e">
        <v>#N/A</v>
      </c>
      <c r="CP25" t="e">
        <v>#N/A</v>
      </c>
      <c r="CQ25" t="e">
        <v>#N/A</v>
      </c>
      <c r="CR25" t="e">
        <v>#N/A</v>
      </c>
      <c r="CS25" t="e">
        <v>#N/A</v>
      </c>
      <c r="CT25" t="e">
        <v>#N/A</v>
      </c>
      <c r="CU25" t="e">
        <v>#N/A</v>
      </c>
      <c r="CV25" t="e">
        <v>#N/A</v>
      </c>
      <c r="CW25" t="e">
        <v>#N/A</v>
      </c>
      <c r="CX25" t="e">
        <v>#N/A</v>
      </c>
      <c r="CY25" t="e">
        <v>#N/A</v>
      </c>
      <c r="CZ25" t="e">
        <v>#N/A</v>
      </c>
      <c r="DA25" t="e">
        <v>#N/A</v>
      </c>
      <c r="DB25" t="e">
        <v>#N/A</v>
      </c>
      <c r="DC25" t="e">
        <v>#N/A</v>
      </c>
      <c r="DD25" t="e">
        <v>#N/A</v>
      </c>
      <c r="DE25" t="e">
        <v>#N/A</v>
      </c>
      <c r="DF25" t="e">
        <v>#N/A</v>
      </c>
      <c r="DG25" t="e">
        <v>#N/A</v>
      </c>
      <c r="DH25" t="e">
        <v>#N/A</v>
      </c>
      <c r="DI25" t="e">
        <v>#N/A</v>
      </c>
      <c r="DJ25" t="e">
        <v>#N/A</v>
      </c>
      <c r="DK25" t="e">
        <v>#N/A</v>
      </c>
      <c r="DL25" t="e">
        <v>#N/A</v>
      </c>
      <c r="DM25" t="e">
        <v>#N/A</v>
      </c>
      <c r="DN25" t="e">
        <v>#N/A</v>
      </c>
      <c r="DO25" t="e">
        <v>#N/A</v>
      </c>
      <c r="DP25" t="e">
        <v>#N/A</v>
      </c>
      <c r="DQ25" t="e">
        <v>#N/A</v>
      </c>
      <c r="DR25" t="e">
        <v>#N/A</v>
      </c>
      <c r="DS25" t="e">
        <v>#N/A</v>
      </c>
      <c r="DT25" t="e">
        <v>#N/A</v>
      </c>
      <c r="DU25" t="e">
        <v>#N/A</v>
      </c>
      <c r="DV25" t="e">
        <v>#N/A</v>
      </c>
      <c r="DW25" t="e">
        <v>#N/A</v>
      </c>
      <c r="DX25" t="e">
        <v>#N/A</v>
      </c>
      <c r="DY25" t="e">
        <v>#N/A</v>
      </c>
    </row>
    <row r="26" spans="1:129" x14ac:dyDescent="0.25">
      <c r="A26" t="str">
        <v/>
      </c>
      <c r="D26" s="20"/>
      <c r="E26" s="21"/>
      <c r="F26" s="21"/>
      <c r="G26" s="22"/>
      <c r="H26" s="22"/>
      <c r="I26" s="55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AA26" t="str">
        <v/>
      </c>
      <c r="AB26" t="str">
        <v/>
      </c>
      <c r="BL26" t="str">
        <v/>
      </c>
      <c r="BM26" t="str">
        <v/>
      </c>
      <c r="BN26" t="str">
        <v/>
      </c>
      <c r="BO26" t="str">
        <v/>
      </c>
      <c r="CE26" t="str">
        <v/>
      </c>
      <c r="CF26" t="e">
        <v>#N/A</v>
      </c>
      <c r="CG26" t="e">
        <v>#N/A</v>
      </c>
      <c r="CH26" t="e">
        <v>#N/A</v>
      </c>
      <c r="CI26" t="e">
        <v>#N/A</v>
      </c>
      <c r="CJ26" t="e">
        <v>#N/A</v>
      </c>
      <c r="CK26" t="e">
        <v>#N/A</v>
      </c>
      <c r="CL26" t="e">
        <v>#N/A</v>
      </c>
      <c r="CM26" t="e">
        <v>#N/A</v>
      </c>
      <c r="CN26" t="e">
        <v>#N/A</v>
      </c>
      <c r="CO26" t="e">
        <v>#N/A</v>
      </c>
      <c r="CP26" t="e">
        <v>#N/A</v>
      </c>
      <c r="CQ26" t="e">
        <v>#N/A</v>
      </c>
      <c r="CR26" t="e">
        <v>#N/A</v>
      </c>
      <c r="CS26" t="e">
        <v>#N/A</v>
      </c>
      <c r="CT26" t="e">
        <v>#N/A</v>
      </c>
      <c r="CU26" t="e">
        <v>#N/A</v>
      </c>
      <c r="CV26" t="e">
        <v>#N/A</v>
      </c>
      <c r="CW26" t="e">
        <v>#N/A</v>
      </c>
      <c r="CX26" t="e">
        <v>#N/A</v>
      </c>
      <c r="CY26" t="e">
        <v>#N/A</v>
      </c>
      <c r="CZ26" t="e">
        <v>#N/A</v>
      </c>
      <c r="DA26" t="e">
        <v>#N/A</v>
      </c>
      <c r="DB26" t="e">
        <v>#N/A</v>
      </c>
      <c r="DC26" t="e">
        <v>#N/A</v>
      </c>
      <c r="DD26" t="e">
        <v>#N/A</v>
      </c>
      <c r="DE26" t="e">
        <v>#N/A</v>
      </c>
      <c r="DF26" t="e">
        <v>#N/A</v>
      </c>
      <c r="DG26" t="e">
        <v>#N/A</v>
      </c>
      <c r="DH26" t="e">
        <v>#N/A</v>
      </c>
      <c r="DI26" t="e">
        <v>#N/A</v>
      </c>
      <c r="DJ26" t="e">
        <v>#N/A</v>
      </c>
      <c r="DK26" t="e">
        <v>#N/A</v>
      </c>
      <c r="DL26" t="e">
        <v>#N/A</v>
      </c>
      <c r="DM26" t="e">
        <v>#N/A</v>
      </c>
      <c r="DN26" t="e">
        <v>#N/A</v>
      </c>
      <c r="DO26" t="e">
        <v>#N/A</v>
      </c>
      <c r="DP26" t="e">
        <v>#N/A</v>
      </c>
      <c r="DQ26" t="e">
        <v>#N/A</v>
      </c>
      <c r="DR26" t="e">
        <v>#N/A</v>
      </c>
      <c r="DS26" t="e">
        <v>#N/A</v>
      </c>
      <c r="DT26" t="e">
        <v>#N/A</v>
      </c>
      <c r="DU26" t="e">
        <v>#N/A</v>
      </c>
      <c r="DV26" t="e">
        <v>#N/A</v>
      </c>
      <c r="DW26" t="e">
        <v>#N/A</v>
      </c>
      <c r="DX26" t="e">
        <v>#N/A</v>
      </c>
      <c r="DY26" t="e">
        <v>#N/A</v>
      </c>
    </row>
    <row r="27" spans="1:129" x14ac:dyDescent="0.25">
      <c r="A27" t="str">
        <v/>
      </c>
      <c r="D27" s="20"/>
      <c r="E27" s="21"/>
      <c r="F27" s="21"/>
      <c r="G27" s="22"/>
      <c r="H27" s="22"/>
      <c r="I27" s="55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AA27" t="str">
        <v/>
      </c>
      <c r="AB27" t="str">
        <v/>
      </c>
      <c r="BL27" t="str">
        <v/>
      </c>
      <c r="BM27" t="str">
        <v/>
      </c>
      <c r="BN27" t="str">
        <v/>
      </c>
      <c r="BO27" t="str">
        <v/>
      </c>
      <c r="CE27" t="str">
        <v/>
      </c>
      <c r="CF27" t="e">
        <v>#N/A</v>
      </c>
      <c r="CG27" t="e">
        <v>#N/A</v>
      </c>
      <c r="CH27" t="e">
        <v>#N/A</v>
      </c>
      <c r="CI27" t="e">
        <v>#N/A</v>
      </c>
      <c r="CJ27" t="e">
        <v>#N/A</v>
      </c>
      <c r="CK27" t="e">
        <v>#N/A</v>
      </c>
      <c r="CL27" t="e">
        <v>#N/A</v>
      </c>
      <c r="CM27" t="e">
        <v>#N/A</v>
      </c>
      <c r="CN27" t="e">
        <v>#N/A</v>
      </c>
      <c r="CO27" t="e">
        <v>#N/A</v>
      </c>
      <c r="CP27" t="e">
        <v>#N/A</v>
      </c>
      <c r="CQ27" t="e">
        <v>#N/A</v>
      </c>
      <c r="CR27" t="e">
        <v>#N/A</v>
      </c>
      <c r="CS27" t="e">
        <v>#N/A</v>
      </c>
      <c r="CT27" t="e">
        <v>#N/A</v>
      </c>
      <c r="CU27" t="e">
        <v>#N/A</v>
      </c>
      <c r="CV27" t="e">
        <v>#N/A</v>
      </c>
      <c r="CW27" t="e">
        <v>#N/A</v>
      </c>
      <c r="CX27" t="e">
        <v>#N/A</v>
      </c>
      <c r="CY27" t="e">
        <v>#N/A</v>
      </c>
      <c r="CZ27" t="e">
        <v>#N/A</v>
      </c>
      <c r="DA27" t="e">
        <v>#N/A</v>
      </c>
      <c r="DB27" t="e">
        <v>#N/A</v>
      </c>
      <c r="DC27" t="e">
        <v>#N/A</v>
      </c>
      <c r="DD27" t="e">
        <v>#N/A</v>
      </c>
      <c r="DE27" t="e">
        <v>#N/A</v>
      </c>
      <c r="DF27" t="e">
        <v>#N/A</v>
      </c>
      <c r="DG27" t="e">
        <v>#N/A</v>
      </c>
      <c r="DH27" t="e">
        <v>#N/A</v>
      </c>
      <c r="DI27" t="e">
        <v>#N/A</v>
      </c>
      <c r="DJ27" t="e">
        <v>#N/A</v>
      </c>
      <c r="DK27" t="e">
        <v>#N/A</v>
      </c>
      <c r="DL27" t="e">
        <v>#N/A</v>
      </c>
      <c r="DM27" t="e">
        <v>#N/A</v>
      </c>
      <c r="DN27" t="e">
        <v>#N/A</v>
      </c>
      <c r="DO27" t="e">
        <v>#N/A</v>
      </c>
      <c r="DP27" t="e">
        <v>#N/A</v>
      </c>
      <c r="DQ27" t="e">
        <v>#N/A</v>
      </c>
      <c r="DR27" t="e">
        <v>#N/A</v>
      </c>
      <c r="DS27" t="e">
        <v>#N/A</v>
      </c>
      <c r="DT27" t="e">
        <v>#N/A</v>
      </c>
      <c r="DU27" t="e">
        <v>#N/A</v>
      </c>
      <c r="DV27" t="e">
        <v>#N/A</v>
      </c>
      <c r="DW27" t="e">
        <v>#N/A</v>
      </c>
      <c r="DX27" t="e">
        <v>#N/A</v>
      </c>
      <c r="DY27" t="e">
        <v>#N/A</v>
      </c>
    </row>
    <row r="28" spans="1:129" x14ac:dyDescent="0.25">
      <c r="A28" t="str">
        <v/>
      </c>
      <c r="D28" s="20"/>
      <c r="E28" s="21"/>
      <c r="F28" s="21"/>
      <c r="G28" s="22"/>
      <c r="H28" s="22"/>
      <c r="I28" s="55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AA28" t="str">
        <v/>
      </c>
      <c r="AB28" t="str">
        <v/>
      </c>
      <c r="BL28" t="str">
        <v/>
      </c>
      <c r="BM28" t="str">
        <v/>
      </c>
      <c r="BN28" t="str">
        <v/>
      </c>
      <c r="BO28" t="str">
        <v/>
      </c>
      <c r="CE28" t="str">
        <v/>
      </c>
      <c r="CF28" t="e">
        <v>#N/A</v>
      </c>
      <c r="CG28" t="e">
        <v>#N/A</v>
      </c>
      <c r="CH28" t="e">
        <v>#N/A</v>
      </c>
      <c r="CI28" t="e">
        <v>#N/A</v>
      </c>
      <c r="CJ28" t="e">
        <v>#N/A</v>
      </c>
      <c r="CK28" t="e">
        <v>#N/A</v>
      </c>
      <c r="CL28" t="e">
        <v>#N/A</v>
      </c>
      <c r="CM28" t="e">
        <v>#N/A</v>
      </c>
      <c r="CN28" t="e">
        <v>#N/A</v>
      </c>
      <c r="CO28" t="e">
        <v>#N/A</v>
      </c>
      <c r="CP28" t="e">
        <v>#N/A</v>
      </c>
      <c r="CQ28" t="e">
        <v>#N/A</v>
      </c>
      <c r="CR28" t="e">
        <v>#N/A</v>
      </c>
      <c r="CS28" t="e">
        <v>#N/A</v>
      </c>
      <c r="CT28" t="e">
        <v>#N/A</v>
      </c>
      <c r="CU28" t="e">
        <v>#N/A</v>
      </c>
      <c r="CV28" t="e">
        <v>#N/A</v>
      </c>
      <c r="CW28" t="e">
        <v>#N/A</v>
      </c>
      <c r="CX28" t="e">
        <v>#N/A</v>
      </c>
      <c r="CY28" t="e">
        <v>#N/A</v>
      </c>
      <c r="CZ28" t="e">
        <v>#N/A</v>
      </c>
      <c r="DA28" t="e">
        <v>#N/A</v>
      </c>
      <c r="DB28" t="e">
        <v>#N/A</v>
      </c>
      <c r="DC28" t="e">
        <v>#N/A</v>
      </c>
      <c r="DD28" t="e">
        <v>#N/A</v>
      </c>
      <c r="DE28" t="e">
        <v>#N/A</v>
      </c>
      <c r="DF28" t="e">
        <v>#N/A</v>
      </c>
      <c r="DG28" t="e">
        <v>#N/A</v>
      </c>
      <c r="DH28" t="e">
        <v>#N/A</v>
      </c>
      <c r="DI28" t="e">
        <v>#N/A</v>
      </c>
      <c r="DJ28" t="e">
        <v>#N/A</v>
      </c>
      <c r="DK28" t="e">
        <v>#N/A</v>
      </c>
      <c r="DL28" t="e">
        <v>#N/A</v>
      </c>
      <c r="DM28" t="e">
        <v>#N/A</v>
      </c>
      <c r="DN28" t="e">
        <v>#N/A</v>
      </c>
      <c r="DO28" t="e">
        <v>#N/A</v>
      </c>
      <c r="DP28" t="e">
        <v>#N/A</v>
      </c>
      <c r="DQ28" t="e">
        <v>#N/A</v>
      </c>
      <c r="DR28" t="e">
        <v>#N/A</v>
      </c>
      <c r="DS28" t="e">
        <v>#N/A</v>
      </c>
      <c r="DT28" t="e">
        <v>#N/A</v>
      </c>
      <c r="DU28" t="e">
        <v>#N/A</v>
      </c>
      <c r="DV28" t="e">
        <v>#N/A</v>
      </c>
      <c r="DW28" t="e">
        <v>#N/A</v>
      </c>
      <c r="DX28" t="e">
        <v>#N/A</v>
      </c>
      <c r="DY28" t="e">
        <v>#N/A</v>
      </c>
    </row>
    <row r="29" spans="1:129" x14ac:dyDescent="0.25">
      <c r="A29" t="str">
        <v/>
      </c>
      <c r="D29" s="20"/>
      <c r="E29" s="21"/>
      <c r="F29" s="21"/>
      <c r="G29" s="22"/>
      <c r="H29" s="22"/>
      <c r="I29" s="55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AA29" t="str">
        <v/>
      </c>
      <c r="AB29" t="str">
        <v/>
      </c>
      <c r="BL29" t="str">
        <v/>
      </c>
      <c r="BM29" t="str">
        <v/>
      </c>
      <c r="BN29" t="str">
        <v/>
      </c>
      <c r="BO29" t="str">
        <v/>
      </c>
      <c r="CE29" t="str">
        <v/>
      </c>
      <c r="CF29" t="e">
        <v>#N/A</v>
      </c>
      <c r="CG29" t="e">
        <v>#N/A</v>
      </c>
      <c r="CH29" t="e">
        <v>#N/A</v>
      </c>
      <c r="CI29" t="e">
        <v>#N/A</v>
      </c>
      <c r="CJ29" t="e">
        <v>#N/A</v>
      </c>
      <c r="CK29" t="e">
        <v>#N/A</v>
      </c>
      <c r="CL29" t="e">
        <v>#N/A</v>
      </c>
      <c r="CM29" t="e">
        <v>#N/A</v>
      </c>
      <c r="CN29" t="e">
        <v>#N/A</v>
      </c>
      <c r="CO29" t="e">
        <v>#N/A</v>
      </c>
      <c r="CP29" t="e">
        <v>#N/A</v>
      </c>
      <c r="CQ29" t="e">
        <v>#N/A</v>
      </c>
      <c r="CR29" t="e">
        <v>#N/A</v>
      </c>
      <c r="CS29" t="e">
        <v>#N/A</v>
      </c>
      <c r="CT29" t="e">
        <v>#N/A</v>
      </c>
      <c r="CU29" t="e">
        <v>#N/A</v>
      </c>
      <c r="CV29" t="e">
        <v>#N/A</v>
      </c>
      <c r="CW29" t="e">
        <v>#N/A</v>
      </c>
      <c r="CX29" t="e">
        <v>#N/A</v>
      </c>
      <c r="CY29" t="e">
        <v>#N/A</v>
      </c>
      <c r="CZ29" t="e">
        <v>#N/A</v>
      </c>
      <c r="DA29" t="e">
        <v>#N/A</v>
      </c>
      <c r="DB29" t="e">
        <v>#N/A</v>
      </c>
      <c r="DC29" t="e">
        <v>#N/A</v>
      </c>
      <c r="DD29" t="e">
        <v>#N/A</v>
      </c>
      <c r="DE29" t="e">
        <v>#N/A</v>
      </c>
      <c r="DF29" t="e">
        <v>#N/A</v>
      </c>
      <c r="DG29" t="e">
        <v>#N/A</v>
      </c>
      <c r="DH29" t="e">
        <v>#N/A</v>
      </c>
      <c r="DI29" t="e">
        <v>#N/A</v>
      </c>
      <c r="DJ29" t="e">
        <v>#N/A</v>
      </c>
      <c r="DK29" t="e">
        <v>#N/A</v>
      </c>
      <c r="DL29" t="e">
        <v>#N/A</v>
      </c>
      <c r="DM29" t="e">
        <v>#N/A</v>
      </c>
      <c r="DN29" t="e">
        <v>#N/A</v>
      </c>
      <c r="DO29" t="e">
        <v>#N/A</v>
      </c>
      <c r="DP29" t="e">
        <v>#N/A</v>
      </c>
      <c r="DQ29" t="e">
        <v>#N/A</v>
      </c>
      <c r="DR29" t="e">
        <v>#N/A</v>
      </c>
      <c r="DS29" t="e">
        <v>#N/A</v>
      </c>
      <c r="DT29" t="e">
        <v>#N/A</v>
      </c>
      <c r="DU29" t="e">
        <v>#N/A</v>
      </c>
      <c r="DV29" t="e">
        <v>#N/A</v>
      </c>
      <c r="DW29" t="e">
        <v>#N/A</v>
      </c>
      <c r="DX29" t="e">
        <v>#N/A</v>
      </c>
      <c r="DY29" t="e">
        <v>#N/A</v>
      </c>
    </row>
    <row r="30" spans="1:129" x14ac:dyDescent="0.25">
      <c r="A30" t="str">
        <v/>
      </c>
      <c r="D30" s="20"/>
      <c r="E30" s="21"/>
      <c r="F30" s="21"/>
      <c r="G30" s="22"/>
      <c r="H30" s="22"/>
      <c r="I30" s="55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AA30" t="str">
        <v/>
      </c>
      <c r="AB30" t="str">
        <v/>
      </c>
      <c r="BL30" t="str">
        <v/>
      </c>
      <c r="BM30" t="str">
        <v/>
      </c>
      <c r="BN30" t="str">
        <v/>
      </c>
      <c r="BO30" t="str">
        <v/>
      </c>
      <c r="CE30" t="str">
        <v/>
      </c>
      <c r="CF30" t="e">
        <v>#N/A</v>
      </c>
      <c r="CG30" t="e">
        <v>#N/A</v>
      </c>
      <c r="CH30" t="e">
        <v>#N/A</v>
      </c>
      <c r="CI30" t="e">
        <v>#N/A</v>
      </c>
      <c r="CJ30" t="e">
        <v>#N/A</v>
      </c>
      <c r="CK30" t="e">
        <v>#N/A</v>
      </c>
      <c r="CL30" t="e">
        <v>#N/A</v>
      </c>
      <c r="CM30" t="e">
        <v>#N/A</v>
      </c>
      <c r="CN30" t="e">
        <v>#N/A</v>
      </c>
      <c r="CO30" t="e">
        <v>#N/A</v>
      </c>
      <c r="CP30" t="e">
        <v>#N/A</v>
      </c>
      <c r="CQ30" t="e">
        <v>#N/A</v>
      </c>
      <c r="CR30" t="e">
        <v>#N/A</v>
      </c>
      <c r="CS30" t="e">
        <v>#N/A</v>
      </c>
      <c r="CT30" t="e">
        <v>#N/A</v>
      </c>
      <c r="CU30" t="e">
        <v>#N/A</v>
      </c>
      <c r="CV30" t="e">
        <v>#N/A</v>
      </c>
      <c r="CW30" t="e">
        <v>#N/A</v>
      </c>
      <c r="CX30" t="e">
        <v>#N/A</v>
      </c>
      <c r="CY30" t="e">
        <v>#N/A</v>
      </c>
      <c r="CZ30" t="e">
        <v>#N/A</v>
      </c>
      <c r="DA30" t="e">
        <v>#N/A</v>
      </c>
      <c r="DB30" t="e">
        <v>#N/A</v>
      </c>
      <c r="DC30" t="e">
        <v>#N/A</v>
      </c>
      <c r="DD30" t="e">
        <v>#N/A</v>
      </c>
      <c r="DE30" t="e">
        <v>#N/A</v>
      </c>
      <c r="DF30" t="e">
        <v>#N/A</v>
      </c>
      <c r="DG30" t="e">
        <v>#N/A</v>
      </c>
      <c r="DH30" t="e">
        <v>#N/A</v>
      </c>
      <c r="DI30" t="e">
        <v>#N/A</v>
      </c>
      <c r="DJ30" t="e">
        <v>#N/A</v>
      </c>
      <c r="DK30" t="e">
        <v>#N/A</v>
      </c>
      <c r="DL30" t="e">
        <v>#N/A</v>
      </c>
      <c r="DM30" t="e">
        <v>#N/A</v>
      </c>
      <c r="DN30" t="e">
        <v>#N/A</v>
      </c>
      <c r="DO30" t="e">
        <v>#N/A</v>
      </c>
      <c r="DP30" t="e">
        <v>#N/A</v>
      </c>
      <c r="DQ30" t="e">
        <v>#N/A</v>
      </c>
      <c r="DR30" t="e">
        <v>#N/A</v>
      </c>
      <c r="DS30" t="e">
        <v>#N/A</v>
      </c>
      <c r="DT30" t="e">
        <v>#N/A</v>
      </c>
      <c r="DU30" t="e">
        <v>#N/A</v>
      </c>
      <c r="DV30" t="e">
        <v>#N/A</v>
      </c>
      <c r="DW30" t="e">
        <v>#N/A</v>
      </c>
      <c r="DX30" t="e">
        <v>#N/A</v>
      </c>
      <c r="DY30" t="e">
        <v>#N/A</v>
      </c>
    </row>
    <row r="31" spans="1:129" x14ac:dyDescent="0.25">
      <c r="A31" t="str">
        <v/>
      </c>
      <c r="D31" s="20"/>
      <c r="E31" s="21"/>
      <c r="F31" s="21"/>
      <c r="G31" s="22"/>
      <c r="H31" s="22"/>
      <c r="I31" s="55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AA31" t="str">
        <v/>
      </c>
      <c r="AB31" t="str">
        <v/>
      </c>
      <c r="BL31" t="str">
        <v/>
      </c>
      <c r="BM31" t="str">
        <v/>
      </c>
      <c r="BN31" t="str">
        <v/>
      </c>
      <c r="BO31" t="str">
        <v/>
      </c>
      <c r="CE31" t="str">
        <v/>
      </c>
      <c r="CF31" t="e">
        <v>#N/A</v>
      </c>
      <c r="CG31" t="e">
        <v>#N/A</v>
      </c>
      <c r="CH31" t="e">
        <v>#N/A</v>
      </c>
      <c r="CI31" t="e">
        <v>#N/A</v>
      </c>
      <c r="CJ31" t="e">
        <v>#N/A</v>
      </c>
      <c r="CK31" t="e">
        <v>#N/A</v>
      </c>
      <c r="CL31" t="e">
        <v>#N/A</v>
      </c>
      <c r="CM31" t="e">
        <v>#N/A</v>
      </c>
      <c r="CN31" t="e">
        <v>#N/A</v>
      </c>
      <c r="CO31" t="e">
        <v>#N/A</v>
      </c>
      <c r="CP31" t="e">
        <v>#N/A</v>
      </c>
      <c r="CQ31" t="e">
        <v>#N/A</v>
      </c>
      <c r="CR31" t="e">
        <v>#N/A</v>
      </c>
      <c r="CS31" t="e">
        <v>#N/A</v>
      </c>
      <c r="CT31" t="e">
        <v>#N/A</v>
      </c>
      <c r="CU31" t="e">
        <v>#N/A</v>
      </c>
      <c r="CV31" t="e">
        <v>#N/A</v>
      </c>
      <c r="CW31" t="e">
        <v>#N/A</v>
      </c>
      <c r="CX31" t="e">
        <v>#N/A</v>
      </c>
      <c r="CY31" t="e">
        <v>#N/A</v>
      </c>
      <c r="CZ31" t="e">
        <v>#N/A</v>
      </c>
      <c r="DA31" t="e">
        <v>#N/A</v>
      </c>
      <c r="DB31" t="e">
        <v>#N/A</v>
      </c>
      <c r="DC31" t="e">
        <v>#N/A</v>
      </c>
      <c r="DD31" t="e">
        <v>#N/A</v>
      </c>
      <c r="DE31" t="e">
        <v>#N/A</v>
      </c>
      <c r="DF31" t="e">
        <v>#N/A</v>
      </c>
      <c r="DG31" t="e">
        <v>#N/A</v>
      </c>
      <c r="DH31" t="e">
        <v>#N/A</v>
      </c>
      <c r="DI31" t="e">
        <v>#N/A</v>
      </c>
      <c r="DJ31" t="e">
        <v>#N/A</v>
      </c>
      <c r="DK31" t="e">
        <v>#N/A</v>
      </c>
      <c r="DL31" t="e">
        <v>#N/A</v>
      </c>
      <c r="DM31" t="e">
        <v>#N/A</v>
      </c>
      <c r="DN31" t="e">
        <v>#N/A</v>
      </c>
      <c r="DO31" t="e">
        <v>#N/A</v>
      </c>
      <c r="DP31" t="e">
        <v>#N/A</v>
      </c>
      <c r="DQ31" t="e">
        <v>#N/A</v>
      </c>
      <c r="DR31" t="e">
        <v>#N/A</v>
      </c>
      <c r="DS31" t="e">
        <v>#N/A</v>
      </c>
      <c r="DT31" t="e">
        <v>#N/A</v>
      </c>
      <c r="DU31" t="e">
        <v>#N/A</v>
      </c>
      <c r="DV31" t="e">
        <v>#N/A</v>
      </c>
      <c r="DW31" t="e">
        <v>#N/A</v>
      </c>
      <c r="DX31" t="e">
        <v>#N/A</v>
      </c>
      <c r="DY31" t="e">
        <v>#N/A</v>
      </c>
    </row>
    <row r="32" spans="1:129" x14ac:dyDescent="0.25">
      <c r="A32" t="str">
        <v/>
      </c>
      <c r="D32" s="20"/>
      <c r="E32" s="21"/>
      <c r="F32" s="21"/>
      <c r="G32" s="22"/>
      <c r="H32" s="22"/>
      <c r="I32" s="55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AA32" t="str">
        <v/>
      </c>
      <c r="AB32" t="str">
        <v/>
      </c>
      <c r="BL32" t="str">
        <v/>
      </c>
      <c r="BM32" t="str">
        <v/>
      </c>
      <c r="BN32" t="str">
        <v/>
      </c>
      <c r="BO32" t="str">
        <v/>
      </c>
      <c r="CE32" t="str">
        <v/>
      </c>
      <c r="CF32" t="e">
        <v>#N/A</v>
      </c>
      <c r="CG32" t="e">
        <v>#N/A</v>
      </c>
      <c r="CH32" t="e">
        <v>#N/A</v>
      </c>
      <c r="CI32" t="e">
        <v>#N/A</v>
      </c>
      <c r="CJ32" t="e">
        <v>#N/A</v>
      </c>
      <c r="CK32" t="e">
        <v>#N/A</v>
      </c>
      <c r="CL32" t="e">
        <v>#N/A</v>
      </c>
      <c r="CM32" t="e">
        <v>#N/A</v>
      </c>
      <c r="CN32" t="e">
        <v>#N/A</v>
      </c>
      <c r="CO32" t="e">
        <v>#N/A</v>
      </c>
      <c r="CP32" t="e">
        <v>#N/A</v>
      </c>
      <c r="CQ32" t="e">
        <v>#N/A</v>
      </c>
      <c r="CR32" t="e">
        <v>#N/A</v>
      </c>
      <c r="CS32" t="e">
        <v>#N/A</v>
      </c>
      <c r="CT32" t="e">
        <v>#N/A</v>
      </c>
      <c r="CU32" t="e">
        <v>#N/A</v>
      </c>
      <c r="CV32" t="e">
        <v>#N/A</v>
      </c>
      <c r="CW32" t="e">
        <v>#N/A</v>
      </c>
      <c r="CX32" t="e">
        <v>#N/A</v>
      </c>
      <c r="CY32" t="e">
        <v>#N/A</v>
      </c>
      <c r="CZ32" t="e">
        <v>#N/A</v>
      </c>
      <c r="DA32" t="e">
        <v>#N/A</v>
      </c>
      <c r="DB32" t="e">
        <v>#N/A</v>
      </c>
      <c r="DC32" t="e">
        <v>#N/A</v>
      </c>
      <c r="DD32" t="e">
        <v>#N/A</v>
      </c>
      <c r="DE32" t="e">
        <v>#N/A</v>
      </c>
      <c r="DF32" t="e">
        <v>#N/A</v>
      </c>
      <c r="DG32" t="e">
        <v>#N/A</v>
      </c>
      <c r="DH32" t="e">
        <v>#N/A</v>
      </c>
      <c r="DI32" t="e">
        <v>#N/A</v>
      </c>
      <c r="DJ32" t="e">
        <v>#N/A</v>
      </c>
      <c r="DK32" t="e">
        <v>#N/A</v>
      </c>
      <c r="DL32" t="e">
        <v>#N/A</v>
      </c>
      <c r="DM32" t="e">
        <v>#N/A</v>
      </c>
      <c r="DN32" t="e">
        <v>#N/A</v>
      </c>
      <c r="DO32" t="e">
        <v>#N/A</v>
      </c>
      <c r="DP32" t="e">
        <v>#N/A</v>
      </c>
      <c r="DQ32" t="e">
        <v>#N/A</v>
      </c>
      <c r="DR32" t="e">
        <v>#N/A</v>
      </c>
      <c r="DS32" t="e">
        <v>#N/A</v>
      </c>
      <c r="DT32" t="e">
        <v>#N/A</v>
      </c>
      <c r="DU32" t="e">
        <v>#N/A</v>
      </c>
      <c r="DV32" t="e">
        <v>#N/A</v>
      </c>
      <c r="DW32" t="e">
        <v>#N/A</v>
      </c>
      <c r="DX32" t="e">
        <v>#N/A</v>
      </c>
      <c r="DY32" t="e">
        <v>#N/A</v>
      </c>
    </row>
    <row r="33" spans="1:129" x14ac:dyDescent="0.25">
      <c r="A33" t="str">
        <v/>
      </c>
      <c r="D33" s="20"/>
      <c r="E33" s="21"/>
      <c r="F33" s="21"/>
      <c r="G33" s="22"/>
      <c r="H33" s="22"/>
      <c r="I33" s="55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AA33" t="str">
        <v/>
      </c>
      <c r="AB33" t="str">
        <v/>
      </c>
      <c r="BL33" t="str">
        <v/>
      </c>
      <c r="BM33" t="str">
        <v/>
      </c>
      <c r="BN33" t="str">
        <v/>
      </c>
      <c r="BO33" t="str">
        <v/>
      </c>
      <c r="CE33" t="str">
        <v/>
      </c>
      <c r="CF33" t="e">
        <v>#N/A</v>
      </c>
      <c r="CG33" t="e">
        <v>#N/A</v>
      </c>
      <c r="CH33" t="e">
        <v>#N/A</v>
      </c>
      <c r="CI33" t="e">
        <v>#N/A</v>
      </c>
      <c r="CJ33" t="e">
        <v>#N/A</v>
      </c>
      <c r="CK33" t="e">
        <v>#N/A</v>
      </c>
      <c r="CL33" t="e">
        <v>#N/A</v>
      </c>
      <c r="CM33" t="e">
        <v>#N/A</v>
      </c>
      <c r="CN33" t="e">
        <v>#N/A</v>
      </c>
      <c r="CO33" t="e">
        <v>#N/A</v>
      </c>
      <c r="CP33" t="e">
        <v>#N/A</v>
      </c>
      <c r="CQ33" t="e">
        <v>#N/A</v>
      </c>
      <c r="CR33" t="e">
        <v>#N/A</v>
      </c>
      <c r="CS33" t="e">
        <v>#N/A</v>
      </c>
      <c r="CT33" t="e">
        <v>#N/A</v>
      </c>
      <c r="CU33" t="e">
        <v>#N/A</v>
      </c>
      <c r="CV33" t="e">
        <v>#N/A</v>
      </c>
      <c r="CW33" t="e">
        <v>#N/A</v>
      </c>
      <c r="CX33" t="e">
        <v>#N/A</v>
      </c>
      <c r="CY33" t="e">
        <v>#N/A</v>
      </c>
      <c r="CZ33" t="e">
        <v>#N/A</v>
      </c>
      <c r="DA33" t="e">
        <v>#N/A</v>
      </c>
      <c r="DB33" t="e">
        <v>#N/A</v>
      </c>
      <c r="DC33" t="e">
        <v>#N/A</v>
      </c>
      <c r="DD33" t="e">
        <v>#N/A</v>
      </c>
      <c r="DE33" t="e">
        <v>#N/A</v>
      </c>
      <c r="DF33" t="e">
        <v>#N/A</v>
      </c>
      <c r="DG33" t="e">
        <v>#N/A</v>
      </c>
      <c r="DH33" t="e">
        <v>#N/A</v>
      </c>
      <c r="DI33" t="e">
        <v>#N/A</v>
      </c>
      <c r="DJ33" t="e">
        <v>#N/A</v>
      </c>
      <c r="DK33" t="e">
        <v>#N/A</v>
      </c>
      <c r="DL33" t="e">
        <v>#N/A</v>
      </c>
      <c r="DM33" t="e">
        <v>#N/A</v>
      </c>
      <c r="DN33" t="e">
        <v>#N/A</v>
      </c>
      <c r="DO33" t="e">
        <v>#N/A</v>
      </c>
      <c r="DP33" t="e">
        <v>#N/A</v>
      </c>
      <c r="DQ33" t="e">
        <v>#N/A</v>
      </c>
      <c r="DR33" t="e">
        <v>#N/A</v>
      </c>
      <c r="DS33" t="e">
        <v>#N/A</v>
      </c>
      <c r="DT33" t="e">
        <v>#N/A</v>
      </c>
      <c r="DU33" t="e">
        <v>#N/A</v>
      </c>
      <c r="DV33" t="e">
        <v>#N/A</v>
      </c>
      <c r="DW33" t="e">
        <v>#N/A</v>
      </c>
      <c r="DX33" t="e">
        <v>#N/A</v>
      </c>
      <c r="DY33" t="e">
        <v>#N/A</v>
      </c>
    </row>
    <row r="34" spans="1:129" x14ac:dyDescent="0.25">
      <c r="A34" t="str">
        <v/>
      </c>
      <c r="D34" s="20"/>
      <c r="E34" s="21"/>
      <c r="F34" s="21"/>
      <c r="G34" s="22"/>
      <c r="H34" s="22"/>
      <c r="I34" s="55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AA34" t="str">
        <v/>
      </c>
      <c r="AB34" t="str">
        <v/>
      </c>
      <c r="BL34" t="str">
        <v/>
      </c>
      <c r="BM34" t="str">
        <v/>
      </c>
      <c r="BN34" t="str">
        <v/>
      </c>
      <c r="BO34" t="str">
        <v/>
      </c>
      <c r="CE34" t="str">
        <v/>
      </c>
      <c r="CF34" t="e">
        <v>#N/A</v>
      </c>
      <c r="CG34" t="e">
        <v>#N/A</v>
      </c>
      <c r="CH34" t="e">
        <v>#N/A</v>
      </c>
      <c r="CI34" t="e">
        <v>#N/A</v>
      </c>
      <c r="CJ34" t="e">
        <v>#N/A</v>
      </c>
      <c r="CK34" t="e">
        <v>#N/A</v>
      </c>
      <c r="CL34" t="e">
        <v>#N/A</v>
      </c>
      <c r="CM34" t="e">
        <v>#N/A</v>
      </c>
      <c r="CN34" t="e">
        <v>#N/A</v>
      </c>
      <c r="CO34" t="e">
        <v>#N/A</v>
      </c>
      <c r="CP34" t="e">
        <v>#N/A</v>
      </c>
      <c r="CQ34" t="e">
        <v>#N/A</v>
      </c>
      <c r="CR34" t="e">
        <v>#N/A</v>
      </c>
      <c r="CS34" t="e">
        <v>#N/A</v>
      </c>
      <c r="CT34" t="e">
        <v>#N/A</v>
      </c>
      <c r="CU34" t="e">
        <v>#N/A</v>
      </c>
      <c r="CV34" t="e">
        <v>#N/A</v>
      </c>
      <c r="CW34" t="e">
        <v>#N/A</v>
      </c>
      <c r="CX34" t="e">
        <v>#N/A</v>
      </c>
      <c r="CY34" t="e">
        <v>#N/A</v>
      </c>
      <c r="CZ34" t="e">
        <v>#N/A</v>
      </c>
      <c r="DA34" t="e">
        <v>#N/A</v>
      </c>
      <c r="DB34" t="e">
        <v>#N/A</v>
      </c>
      <c r="DC34" t="e">
        <v>#N/A</v>
      </c>
      <c r="DD34" t="e">
        <v>#N/A</v>
      </c>
      <c r="DE34" t="e">
        <v>#N/A</v>
      </c>
      <c r="DF34" t="e">
        <v>#N/A</v>
      </c>
      <c r="DG34" t="e">
        <v>#N/A</v>
      </c>
      <c r="DH34" t="e">
        <v>#N/A</v>
      </c>
      <c r="DI34" t="e">
        <v>#N/A</v>
      </c>
      <c r="DJ34" t="e">
        <v>#N/A</v>
      </c>
      <c r="DK34" t="e">
        <v>#N/A</v>
      </c>
      <c r="DL34" t="e">
        <v>#N/A</v>
      </c>
      <c r="DM34" t="e">
        <v>#N/A</v>
      </c>
      <c r="DN34" t="e">
        <v>#N/A</v>
      </c>
      <c r="DO34" t="e">
        <v>#N/A</v>
      </c>
      <c r="DP34" t="e">
        <v>#N/A</v>
      </c>
      <c r="DQ34" t="e">
        <v>#N/A</v>
      </c>
      <c r="DR34" t="e">
        <v>#N/A</v>
      </c>
      <c r="DS34" t="e">
        <v>#N/A</v>
      </c>
      <c r="DT34" t="e">
        <v>#N/A</v>
      </c>
      <c r="DU34" t="e">
        <v>#N/A</v>
      </c>
      <c r="DV34" t="e">
        <v>#N/A</v>
      </c>
      <c r="DW34" t="e">
        <v>#N/A</v>
      </c>
      <c r="DX34" t="e">
        <v>#N/A</v>
      </c>
      <c r="DY34" t="e">
        <v>#N/A</v>
      </c>
    </row>
    <row r="35" spans="1:129" x14ac:dyDescent="0.25">
      <c r="A35" t="str">
        <v/>
      </c>
      <c r="D35" s="20"/>
      <c r="E35" s="21"/>
      <c r="F35" s="21"/>
      <c r="G35" s="22"/>
      <c r="H35" s="22"/>
      <c r="I35" s="55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AA35" t="str">
        <v/>
      </c>
      <c r="AB35" t="str">
        <v/>
      </c>
      <c r="BL35" t="str">
        <v/>
      </c>
      <c r="BM35" t="str">
        <v/>
      </c>
      <c r="BN35" t="str">
        <v/>
      </c>
      <c r="BO35" t="str">
        <v/>
      </c>
      <c r="CE35" t="str">
        <v/>
      </c>
      <c r="CF35" t="e">
        <v>#N/A</v>
      </c>
      <c r="CG35" t="e">
        <v>#N/A</v>
      </c>
      <c r="CH35" t="e">
        <v>#N/A</v>
      </c>
      <c r="CI35" t="e">
        <v>#N/A</v>
      </c>
      <c r="CJ35" t="e">
        <v>#N/A</v>
      </c>
      <c r="CK35" t="e">
        <v>#N/A</v>
      </c>
      <c r="CL35" t="e">
        <v>#N/A</v>
      </c>
      <c r="CM35" t="e">
        <v>#N/A</v>
      </c>
      <c r="CN35" t="e">
        <v>#N/A</v>
      </c>
      <c r="CO35" t="e">
        <v>#N/A</v>
      </c>
      <c r="CP35" t="e">
        <v>#N/A</v>
      </c>
      <c r="CQ35" t="e">
        <v>#N/A</v>
      </c>
      <c r="CR35" t="e">
        <v>#N/A</v>
      </c>
      <c r="CS35" t="e">
        <v>#N/A</v>
      </c>
      <c r="CT35" t="e">
        <v>#N/A</v>
      </c>
      <c r="CU35" t="e">
        <v>#N/A</v>
      </c>
      <c r="CV35" t="e">
        <v>#N/A</v>
      </c>
      <c r="CW35" t="e">
        <v>#N/A</v>
      </c>
      <c r="CX35" t="e">
        <v>#N/A</v>
      </c>
      <c r="CY35" t="e">
        <v>#N/A</v>
      </c>
      <c r="CZ35" t="e">
        <v>#N/A</v>
      </c>
      <c r="DA35" t="e">
        <v>#N/A</v>
      </c>
      <c r="DB35" t="e">
        <v>#N/A</v>
      </c>
      <c r="DC35" t="e">
        <v>#N/A</v>
      </c>
      <c r="DD35" t="e">
        <v>#N/A</v>
      </c>
      <c r="DE35" t="e">
        <v>#N/A</v>
      </c>
      <c r="DF35" t="e">
        <v>#N/A</v>
      </c>
      <c r="DG35" t="e">
        <v>#N/A</v>
      </c>
      <c r="DH35" t="e">
        <v>#N/A</v>
      </c>
      <c r="DI35" t="e">
        <v>#N/A</v>
      </c>
      <c r="DJ35" t="e">
        <v>#N/A</v>
      </c>
      <c r="DK35" t="e">
        <v>#N/A</v>
      </c>
      <c r="DL35" t="e">
        <v>#N/A</v>
      </c>
      <c r="DM35" t="e">
        <v>#N/A</v>
      </c>
      <c r="DN35" t="e">
        <v>#N/A</v>
      </c>
      <c r="DO35" t="e">
        <v>#N/A</v>
      </c>
      <c r="DP35" t="e">
        <v>#N/A</v>
      </c>
      <c r="DQ35" t="e">
        <v>#N/A</v>
      </c>
      <c r="DR35" t="e">
        <v>#N/A</v>
      </c>
      <c r="DS35" t="e">
        <v>#N/A</v>
      </c>
      <c r="DT35" t="e">
        <v>#N/A</v>
      </c>
      <c r="DU35" t="e">
        <v>#N/A</v>
      </c>
      <c r="DV35" t="e">
        <v>#N/A</v>
      </c>
      <c r="DW35" t="e">
        <v>#N/A</v>
      </c>
      <c r="DX35" t="e">
        <v>#N/A</v>
      </c>
      <c r="DY35" t="e">
        <v>#N/A</v>
      </c>
    </row>
    <row r="36" spans="1:129" x14ac:dyDescent="0.25">
      <c r="A36" t="str">
        <v/>
      </c>
      <c r="D36" s="20"/>
      <c r="E36" s="21"/>
      <c r="F36" s="21"/>
      <c r="G36" s="22"/>
      <c r="H36" s="22"/>
      <c r="I36" s="55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AA36" t="str">
        <v/>
      </c>
      <c r="AB36" t="str">
        <v/>
      </c>
      <c r="BL36" t="str">
        <v/>
      </c>
      <c r="BM36" t="str">
        <v/>
      </c>
      <c r="BN36" t="str">
        <v/>
      </c>
      <c r="BO36" t="str">
        <v/>
      </c>
      <c r="CE36" t="str">
        <v/>
      </c>
      <c r="CF36" t="e">
        <v>#N/A</v>
      </c>
      <c r="CG36" t="e">
        <v>#N/A</v>
      </c>
      <c r="CH36" t="e">
        <v>#N/A</v>
      </c>
      <c r="CI36" t="e">
        <v>#N/A</v>
      </c>
      <c r="CJ36" t="e">
        <v>#N/A</v>
      </c>
      <c r="CK36" t="e">
        <v>#N/A</v>
      </c>
      <c r="CL36" t="e">
        <v>#N/A</v>
      </c>
      <c r="CM36" t="e">
        <v>#N/A</v>
      </c>
      <c r="CN36" t="e">
        <v>#N/A</v>
      </c>
      <c r="CO36" t="e">
        <v>#N/A</v>
      </c>
      <c r="CP36" t="e">
        <v>#N/A</v>
      </c>
      <c r="CQ36" t="e">
        <v>#N/A</v>
      </c>
      <c r="CR36" t="e">
        <v>#N/A</v>
      </c>
      <c r="CS36" t="e">
        <v>#N/A</v>
      </c>
      <c r="CT36" t="e">
        <v>#N/A</v>
      </c>
      <c r="CU36" t="e">
        <v>#N/A</v>
      </c>
      <c r="CV36" t="e">
        <v>#N/A</v>
      </c>
      <c r="CW36" t="e">
        <v>#N/A</v>
      </c>
      <c r="CX36" t="e">
        <v>#N/A</v>
      </c>
      <c r="CY36" t="e">
        <v>#N/A</v>
      </c>
      <c r="CZ36" t="e">
        <v>#N/A</v>
      </c>
      <c r="DA36" t="e">
        <v>#N/A</v>
      </c>
      <c r="DB36" t="e">
        <v>#N/A</v>
      </c>
      <c r="DC36" t="e">
        <v>#N/A</v>
      </c>
      <c r="DD36" t="e">
        <v>#N/A</v>
      </c>
      <c r="DE36" t="e">
        <v>#N/A</v>
      </c>
      <c r="DF36" t="e">
        <v>#N/A</v>
      </c>
      <c r="DG36" t="e">
        <v>#N/A</v>
      </c>
      <c r="DH36" t="e">
        <v>#N/A</v>
      </c>
      <c r="DI36" t="e">
        <v>#N/A</v>
      </c>
      <c r="DJ36" t="e">
        <v>#N/A</v>
      </c>
      <c r="DK36" t="e">
        <v>#N/A</v>
      </c>
      <c r="DL36" t="e">
        <v>#N/A</v>
      </c>
      <c r="DM36" t="e">
        <v>#N/A</v>
      </c>
      <c r="DN36" t="e">
        <v>#N/A</v>
      </c>
      <c r="DO36" t="e">
        <v>#N/A</v>
      </c>
      <c r="DP36" t="e">
        <v>#N/A</v>
      </c>
      <c r="DQ36" t="e">
        <v>#N/A</v>
      </c>
      <c r="DR36" t="e">
        <v>#N/A</v>
      </c>
      <c r="DS36" t="e">
        <v>#N/A</v>
      </c>
      <c r="DT36" t="e">
        <v>#N/A</v>
      </c>
      <c r="DU36" t="e">
        <v>#N/A</v>
      </c>
      <c r="DV36" t="e">
        <v>#N/A</v>
      </c>
      <c r="DW36" t="e">
        <v>#N/A</v>
      </c>
      <c r="DX36" t="e">
        <v>#N/A</v>
      </c>
      <c r="DY36" t="e">
        <v>#N/A</v>
      </c>
    </row>
    <row r="37" spans="1:129" x14ac:dyDescent="0.25">
      <c r="A37" t="str">
        <v/>
      </c>
      <c r="D37" s="20"/>
      <c r="E37" s="21"/>
      <c r="F37" s="21"/>
      <c r="G37" s="22"/>
      <c r="H37" s="22"/>
      <c r="I37" s="55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AA37" t="str">
        <v/>
      </c>
      <c r="AB37" t="str">
        <v/>
      </c>
      <c r="BL37" t="str">
        <v/>
      </c>
      <c r="BM37" t="str">
        <v/>
      </c>
      <c r="BN37" t="str">
        <v/>
      </c>
      <c r="BO37" t="str">
        <v/>
      </c>
      <c r="CE37" t="str">
        <v/>
      </c>
      <c r="CF37" t="e">
        <v>#N/A</v>
      </c>
      <c r="CG37" t="e">
        <v>#N/A</v>
      </c>
      <c r="CH37" t="e">
        <v>#N/A</v>
      </c>
      <c r="CI37" t="e">
        <v>#N/A</v>
      </c>
      <c r="CJ37" t="e">
        <v>#N/A</v>
      </c>
      <c r="CK37" t="e">
        <v>#N/A</v>
      </c>
      <c r="CL37" t="e">
        <v>#N/A</v>
      </c>
      <c r="CM37" t="e">
        <v>#N/A</v>
      </c>
      <c r="CN37" t="e">
        <v>#N/A</v>
      </c>
      <c r="CO37" t="e">
        <v>#N/A</v>
      </c>
      <c r="CP37" t="e">
        <v>#N/A</v>
      </c>
      <c r="CQ37" t="e">
        <v>#N/A</v>
      </c>
      <c r="CR37" t="e">
        <v>#N/A</v>
      </c>
      <c r="CS37" t="e">
        <v>#N/A</v>
      </c>
      <c r="CT37" t="e">
        <v>#N/A</v>
      </c>
      <c r="CU37" t="e">
        <v>#N/A</v>
      </c>
      <c r="CV37" t="e">
        <v>#N/A</v>
      </c>
      <c r="CW37" t="e">
        <v>#N/A</v>
      </c>
      <c r="CX37" t="e">
        <v>#N/A</v>
      </c>
      <c r="CY37" t="e">
        <v>#N/A</v>
      </c>
      <c r="CZ37" t="e">
        <v>#N/A</v>
      </c>
      <c r="DA37" t="e">
        <v>#N/A</v>
      </c>
      <c r="DB37" t="e">
        <v>#N/A</v>
      </c>
      <c r="DC37" t="e">
        <v>#N/A</v>
      </c>
      <c r="DD37" t="e">
        <v>#N/A</v>
      </c>
      <c r="DE37" t="e">
        <v>#N/A</v>
      </c>
      <c r="DF37" t="e">
        <v>#N/A</v>
      </c>
      <c r="DG37" t="e">
        <v>#N/A</v>
      </c>
      <c r="DH37" t="e">
        <v>#N/A</v>
      </c>
      <c r="DI37" t="e">
        <v>#N/A</v>
      </c>
      <c r="DJ37" t="e">
        <v>#N/A</v>
      </c>
      <c r="DK37" t="e">
        <v>#N/A</v>
      </c>
      <c r="DL37" t="e">
        <v>#N/A</v>
      </c>
      <c r="DM37" t="e">
        <v>#N/A</v>
      </c>
      <c r="DN37" t="e">
        <v>#N/A</v>
      </c>
      <c r="DO37" t="e">
        <v>#N/A</v>
      </c>
      <c r="DP37" t="e">
        <v>#N/A</v>
      </c>
      <c r="DQ37" t="e">
        <v>#N/A</v>
      </c>
      <c r="DR37" t="e">
        <v>#N/A</v>
      </c>
      <c r="DS37" t="e">
        <v>#N/A</v>
      </c>
      <c r="DT37" t="e">
        <v>#N/A</v>
      </c>
      <c r="DU37" t="e">
        <v>#N/A</v>
      </c>
      <c r="DV37" t="e">
        <v>#N/A</v>
      </c>
      <c r="DW37" t="e">
        <v>#N/A</v>
      </c>
      <c r="DX37" t="e">
        <v>#N/A</v>
      </c>
      <c r="DY37" t="e">
        <v>#N/A</v>
      </c>
    </row>
    <row r="38" spans="1:129" x14ac:dyDescent="0.25">
      <c r="A38" t="str">
        <v/>
      </c>
      <c r="D38" s="20"/>
      <c r="E38" s="21"/>
      <c r="F38" s="21"/>
      <c r="G38" s="22"/>
      <c r="H38" s="22"/>
      <c r="I38" s="55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AA38" t="str">
        <v/>
      </c>
      <c r="AB38" t="str">
        <v/>
      </c>
      <c r="BL38" t="str">
        <v/>
      </c>
      <c r="BM38" t="str">
        <v/>
      </c>
      <c r="BN38" t="str">
        <v/>
      </c>
      <c r="BO38" t="str">
        <v/>
      </c>
      <c r="CE38" t="str">
        <v/>
      </c>
      <c r="CF38" t="e">
        <v>#N/A</v>
      </c>
      <c r="CG38" t="e">
        <v>#N/A</v>
      </c>
      <c r="CH38" t="e">
        <v>#N/A</v>
      </c>
      <c r="CI38" t="e">
        <v>#N/A</v>
      </c>
      <c r="CJ38" t="e">
        <v>#N/A</v>
      </c>
      <c r="CK38" t="e">
        <v>#N/A</v>
      </c>
      <c r="CL38" t="e">
        <v>#N/A</v>
      </c>
      <c r="CM38" t="e">
        <v>#N/A</v>
      </c>
      <c r="CN38" t="e">
        <v>#N/A</v>
      </c>
      <c r="CO38" t="e">
        <v>#N/A</v>
      </c>
      <c r="CP38" t="e">
        <v>#N/A</v>
      </c>
      <c r="CQ38" t="e">
        <v>#N/A</v>
      </c>
      <c r="CR38" t="e">
        <v>#N/A</v>
      </c>
      <c r="CS38" t="e">
        <v>#N/A</v>
      </c>
      <c r="CT38" t="e">
        <v>#N/A</v>
      </c>
      <c r="CU38" t="e">
        <v>#N/A</v>
      </c>
      <c r="CV38" t="e">
        <v>#N/A</v>
      </c>
      <c r="CW38" t="e">
        <v>#N/A</v>
      </c>
      <c r="CX38" t="e">
        <v>#N/A</v>
      </c>
      <c r="CY38" t="e">
        <v>#N/A</v>
      </c>
      <c r="CZ38" t="e">
        <v>#N/A</v>
      </c>
      <c r="DA38" t="e">
        <v>#N/A</v>
      </c>
      <c r="DB38" t="e">
        <v>#N/A</v>
      </c>
      <c r="DC38" t="e">
        <v>#N/A</v>
      </c>
      <c r="DD38" t="e">
        <v>#N/A</v>
      </c>
      <c r="DE38" t="e">
        <v>#N/A</v>
      </c>
      <c r="DF38" t="e">
        <v>#N/A</v>
      </c>
      <c r="DG38" t="e">
        <v>#N/A</v>
      </c>
      <c r="DH38" t="e">
        <v>#N/A</v>
      </c>
      <c r="DI38" t="e">
        <v>#N/A</v>
      </c>
      <c r="DJ38" t="e">
        <v>#N/A</v>
      </c>
      <c r="DK38" t="e">
        <v>#N/A</v>
      </c>
      <c r="DL38" t="e">
        <v>#N/A</v>
      </c>
      <c r="DM38" t="e">
        <v>#N/A</v>
      </c>
      <c r="DN38" t="e">
        <v>#N/A</v>
      </c>
      <c r="DO38" t="e">
        <v>#N/A</v>
      </c>
      <c r="DP38" t="e">
        <v>#N/A</v>
      </c>
      <c r="DQ38" t="e">
        <v>#N/A</v>
      </c>
      <c r="DR38" t="e">
        <v>#N/A</v>
      </c>
      <c r="DS38" t="e">
        <v>#N/A</v>
      </c>
      <c r="DT38" t="e">
        <v>#N/A</v>
      </c>
      <c r="DU38" t="e">
        <v>#N/A</v>
      </c>
      <c r="DV38" t="e">
        <v>#N/A</v>
      </c>
      <c r="DW38" t="e">
        <v>#N/A</v>
      </c>
      <c r="DX38" t="e">
        <v>#N/A</v>
      </c>
      <c r="DY38" t="e">
        <v>#N/A</v>
      </c>
    </row>
    <row r="39" spans="1:129" x14ac:dyDescent="0.25">
      <c r="A39" t="str">
        <v/>
      </c>
      <c r="D39" s="20"/>
      <c r="E39" s="21"/>
      <c r="F39" s="21"/>
      <c r="G39" s="22"/>
      <c r="H39" s="22"/>
      <c r="I39" s="55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AA39" t="str">
        <v/>
      </c>
      <c r="AB39" t="str">
        <v/>
      </c>
      <c r="BL39" t="str">
        <v/>
      </c>
      <c r="BM39" t="str">
        <v/>
      </c>
      <c r="BN39" t="str">
        <v/>
      </c>
      <c r="BO39" t="str">
        <v/>
      </c>
      <c r="CE39" t="str">
        <v/>
      </c>
      <c r="CF39" t="e">
        <v>#N/A</v>
      </c>
      <c r="CG39" t="e">
        <v>#N/A</v>
      </c>
      <c r="CH39" t="e">
        <v>#N/A</v>
      </c>
      <c r="CI39" t="e">
        <v>#N/A</v>
      </c>
      <c r="CJ39" t="e">
        <v>#N/A</v>
      </c>
      <c r="CK39" t="e">
        <v>#N/A</v>
      </c>
      <c r="CL39" t="e">
        <v>#N/A</v>
      </c>
      <c r="CM39" t="e">
        <v>#N/A</v>
      </c>
      <c r="CN39" t="e">
        <v>#N/A</v>
      </c>
      <c r="CO39" t="e">
        <v>#N/A</v>
      </c>
      <c r="CP39" t="e">
        <v>#N/A</v>
      </c>
      <c r="CQ39" t="e">
        <v>#N/A</v>
      </c>
      <c r="CR39" t="e">
        <v>#N/A</v>
      </c>
      <c r="CS39" t="e">
        <v>#N/A</v>
      </c>
      <c r="CT39" t="e">
        <v>#N/A</v>
      </c>
      <c r="CU39" t="e">
        <v>#N/A</v>
      </c>
      <c r="CV39" t="e">
        <v>#N/A</v>
      </c>
      <c r="CW39" t="e">
        <v>#N/A</v>
      </c>
      <c r="CX39" t="e">
        <v>#N/A</v>
      </c>
      <c r="CY39" t="e">
        <v>#N/A</v>
      </c>
      <c r="CZ39" t="e">
        <v>#N/A</v>
      </c>
      <c r="DA39" t="e">
        <v>#N/A</v>
      </c>
      <c r="DB39" t="e">
        <v>#N/A</v>
      </c>
      <c r="DC39" t="e">
        <v>#N/A</v>
      </c>
      <c r="DD39" t="e">
        <v>#N/A</v>
      </c>
      <c r="DE39" t="e">
        <v>#N/A</v>
      </c>
      <c r="DF39" t="e">
        <v>#N/A</v>
      </c>
      <c r="DG39" t="e">
        <v>#N/A</v>
      </c>
      <c r="DH39" t="e">
        <v>#N/A</v>
      </c>
      <c r="DI39" t="e">
        <v>#N/A</v>
      </c>
      <c r="DJ39" t="e">
        <v>#N/A</v>
      </c>
      <c r="DK39" t="e">
        <v>#N/A</v>
      </c>
      <c r="DL39" t="e">
        <v>#N/A</v>
      </c>
      <c r="DM39" t="e">
        <v>#N/A</v>
      </c>
      <c r="DN39" t="e">
        <v>#N/A</v>
      </c>
      <c r="DO39" t="e">
        <v>#N/A</v>
      </c>
      <c r="DP39" t="e">
        <v>#N/A</v>
      </c>
      <c r="DQ39" t="e">
        <v>#N/A</v>
      </c>
      <c r="DR39" t="e">
        <v>#N/A</v>
      </c>
      <c r="DS39" t="e">
        <v>#N/A</v>
      </c>
      <c r="DT39" t="e">
        <v>#N/A</v>
      </c>
      <c r="DU39" t="e">
        <v>#N/A</v>
      </c>
      <c r="DV39" t="e">
        <v>#N/A</v>
      </c>
      <c r="DW39" t="e">
        <v>#N/A</v>
      </c>
      <c r="DX39" t="e">
        <v>#N/A</v>
      </c>
      <c r="DY39" t="e">
        <v>#N/A</v>
      </c>
    </row>
    <row r="40" spans="1:129" x14ac:dyDescent="0.25">
      <c r="A40" t="str">
        <v/>
      </c>
      <c r="D40" s="20"/>
      <c r="E40" s="21"/>
      <c r="F40" s="21"/>
      <c r="G40" s="22"/>
      <c r="H40" s="22"/>
      <c r="I40" s="55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AA40" t="str">
        <v/>
      </c>
      <c r="AB40" t="str">
        <v/>
      </c>
      <c r="BL40" t="str">
        <v/>
      </c>
      <c r="BM40" t="str">
        <v/>
      </c>
      <c r="BN40" t="str">
        <v/>
      </c>
      <c r="BO40" t="str">
        <v/>
      </c>
      <c r="CE40" t="str">
        <v/>
      </c>
      <c r="CF40" t="e">
        <v>#N/A</v>
      </c>
      <c r="CG40" t="e">
        <v>#N/A</v>
      </c>
      <c r="CH40" t="e">
        <v>#N/A</v>
      </c>
      <c r="CI40" t="e">
        <v>#N/A</v>
      </c>
      <c r="CJ40" t="e">
        <v>#N/A</v>
      </c>
      <c r="CK40" t="e">
        <v>#N/A</v>
      </c>
      <c r="CL40" t="e">
        <v>#N/A</v>
      </c>
      <c r="CM40" t="e">
        <v>#N/A</v>
      </c>
      <c r="CN40" t="e">
        <v>#N/A</v>
      </c>
      <c r="CO40" t="e">
        <v>#N/A</v>
      </c>
      <c r="CP40" t="e">
        <v>#N/A</v>
      </c>
      <c r="CQ40" t="e">
        <v>#N/A</v>
      </c>
      <c r="CR40" t="e">
        <v>#N/A</v>
      </c>
      <c r="CS40" t="e">
        <v>#N/A</v>
      </c>
      <c r="CT40" t="e">
        <v>#N/A</v>
      </c>
      <c r="CU40" t="e">
        <v>#N/A</v>
      </c>
      <c r="CV40" t="e">
        <v>#N/A</v>
      </c>
      <c r="CW40" t="e">
        <v>#N/A</v>
      </c>
      <c r="CX40" t="e">
        <v>#N/A</v>
      </c>
      <c r="CY40" t="e">
        <v>#N/A</v>
      </c>
      <c r="CZ40" t="e">
        <v>#N/A</v>
      </c>
      <c r="DA40" t="e">
        <v>#N/A</v>
      </c>
      <c r="DB40" t="e">
        <v>#N/A</v>
      </c>
      <c r="DC40" t="e">
        <v>#N/A</v>
      </c>
      <c r="DD40" t="e">
        <v>#N/A</v>
      </c>
      <c r="DE40" t="e">
        <v>#N/A</v>
      </c>
      <c r="DF40" t="e">
        <v>#N/A</v>
      </c>
      <c r="DG40" t="e">
        <v>#N/A</v>
      </c>
      <c r="DH40" t="e">
        <v>#N/A</v>
      </c>
      <c r="DI40" t="e">
        <v>#N/A</v>
      </c>
      <c r="DJ40" t="e">
        <v>#N/A</v>
      </c>
      <c r="DK40" t="e">
        <v>#N/A</v>
      </c>
      <c r="DL40" t="e">
        <v>#N/A</v>
      </c>
      <c r="DM40" t="e">
        <v>#N/A</v>
      </c>
      <c r="DN40" t="e">
        <v>#N/A</v>
      </c>
      <c r="DO40" t="e">
        <v>#N/A</v>
      </c>
      <c r="DP40" t="e">
        <v>#N/A</v>
      </c>
      <c r="DQ40" t="e">
        <v>#N/A</v>
      </c>
      <c r="DR40" t="e">
        <v>#N/A</v>
      </c>
      <c r="DS40" t="e">
        <v>#N/A</v>
      </c>
      <c r="DT40" t="e">
        <v>#N/A</v>
      </c>
      <c r="DU40" t="e">
        <v>#N/A</v>
      </c>
      <c r="DV40" t="e">
        <v>#N/A</v>
      </c>
      <c r="DW40" t="e">
        <v>#N/A</v>
      </c>
      <c r="DX40" t="e">
        <v>#N/A</v>
      </c>
      <c r="DY40" t="e">
        <v>#N/A</v>
      </c>
    </row>
    <row r="41" spans="1:129" x14ac:dyDescent="0.25">
      <c r="A41" t="str">
        <v/>
      </c>
      <c r="D41" s="20"/>
      <c r="E41" s="21"/>
      <c r="F41" s="21"/>
      <c r="G41" s="22"/>
      <c r="H41" s="22"/>
      <c r="I41" s="55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AA41" t="str">
        <v/>
      </c>
      <c r="AB41" t="str">
        <v/>
      </c>
      <c r="BL41" t="str">
        <v/>
      </c>
      <c r="BM41" t="str">
        <v/>
      </c>
      <c r="BN41" t="str">
        <v/>
      </c>
      <c r="BO41" t="str">
        <v/>
      </c>
      <c r="CE41" t="str">
        <v/>
      </c>
      <c r="CF41" t="e">
        <v>#N/A</v>
      </c>
      <c r="CG41" t="e">
        <v>#N/A</v>
      </c>
      <c r="CH41" t="e">
        <v>#N/A</v>
      </c>
      <c r="CI41" t="e">
        <v>#N/A</v>
      </c>
      <c r="CJ41" t="e">
        <v>#N/A</v>
      </c>
      <c r="CK41" t="e">
        <v>#N/A</v>
      </c>
      <c r="CL41" t="e">
        <v>#N/A</v>
      </c>
      <c r="CM41" t="e">
        <v>#N/A</v>
      </c>
      <c r="CN41" t="e">
        <v>#N/A</v>
      </c>
      <c r="CO41" t="e">
        <v>#N/A</v>
      </c>
      <c r="CP41" t="e">
        <v>#N/A</v>
      </c>
      <c r="CQ41" t="e">
        <v>#N/A</v>
      </c>
      <c r="CR41" t="e">
        <v>#N/A</v>
      </c>
      <c r="CS41" t="e">
        <v>#N/A</v>
      </c>
      <c r="CT41" t="e">
        <v>#N/A</v>
      </c>
      <c r="CU41" t="e">
        <v>#N/A</v>
      </c>
      <c r="CV41" t="e">
        <v>#N/A</v>
      </c>
      <c r="CW41" t="e">
        <v>#N/A</v>
      </c>
      <c r="CX41" t="e">
        <v>#N/A</v>
      </c>
      <c r="CY41" t="e">
        <v>#N/A</v>
      </c>
      <c r="CZ41" t="e">
        <v>#N/A</v>
      </c>
      <c r="DA41" t="e">
        <v>#N/A</v>
      </c>
      <c r="DB41" t="e">
        <v>#N/A</v>
      </c>
      <c r="DC41" t="e">
        <v>#N/A</v>
      </c>
      <c r="DD41" t="e">
        <v>#N/A</v>
      </c>
      <c r="DE41" t="e">
        <v>#N/A</v>
      </c>
      <c r="DF41" t="e">
        <v>#N/A</v>
      </c>
      <c r="DG41" t="e">
        <v>#N/A</v>
      </c>
      <c r="DH41" t="e">
        <v>#N/A</v>
      </c>
      <c r="DI41" t="e">
        <v>#N/A</v>
      </c>
      <c r="DJ41" t="e">
        <v>#N/A</v>
      </c>
      <c r="DK41" t="e">
        <v>#N/A</v>
      </c>
      <c r="DL41" t="e">
        <v>#N/A</v>
      </c>
      <c r="DM41" t="e">
        <v>#N/A</v>
      </c>
      <c r="DN41" t="e">
        <v>#N/A</v>
      </c>
      <c r="DO41" t="e">
        <v>#N/A</v>
      </c>
      <c r="DP41" t="e">
        <v>#N/A</v>
      </c>
      <c r="DQ41" t="e">
        <v>#N/A</v>
      </c>
      <c r="DR41" t="e">
        <v>#N/A</v>
      </c>
      <c r="DS41" t="e">
        <v>#N/A</v>
      </c>
      <c r="DT41" t="e">
        <v>#N/A</v>
      </c>
      <c r="DU41" t="e">
        <v>#N/A</v>
      </c>
      <c r="DV41" t="e">
        <v>#N/A</v>
      </c>
      <c r="DW41" t="e">
        <v>#N/A</v>
      </c>
      <c r="DX41" t="e">
        <v>#N/A</v>
      </c>
      <c r="DY41" t="e">
        <v>#N/A</v>
      </c>
    </row>
    <row r="42" spans="1:129" x14ac:dyDescent="0.25">
      <c r="A42" t="str">
        <v/>
      </c>
      <c r="D42" s="20"/>
      <c r="E42" s="21"/>
      <c r="F42" s="21"/>
      <c r="G42" s="22"/>
      <c r="H42" s="22"/>
      <c r="I42" s="55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AA42" t="str">
        <v/>
      </c>
      <c r="AB42" t="str">
        <v/>
      </c>
      <c r="BL42" t="str">
        <v/>
      </c>
      <c r="BM42" t="str">
        <v/>
      </c>
      <c r="BN42" t="str">
        <v/>
      </c>
      <c r="BO42" t="str">
        <v/>
      </c>
      <c r="CE42" t="str">
        <v/>
      </c>
      <c r="CF42" t="e">
        <v>#N/A</v>
      </c>
      <c r="CG42" t="e">
        <v>#N/A</v>
      </c>
      <c r="CH42" t="e">
        <v>#N/A</v>
      </c>
      <c r="CI42" t="e">
        <v>#N/A</v>
      </c>
      <c r="CJ42" t="e">
        <v>#N/A</v>
      </c>
      <c r="CK42" t="e">
        <v>#N/A</v>
      </c>
      <c r="CL42" t="e">
        <v>#N/A</v>
      </c>
      <c r="CM42" t="e">
        <v>#N/A</v>
      </c>
      <c r="CN42" t="e">
        <v>#N/A</v>
      </c>
      <c r="CO42" t="e">
        <v>#N/A</v>
      </c>
      <c r="CP42" t="e">
        <v>#N/A</v>
      </c>
      <c r="CQ42" t="e">
        <v>#N/A</v>
      </c>
      <c r="CR42" t="e">
        <v>#N/A</v>
      </c>
      <c r="CS42" t="e">
        <v>#N/A</v>
      </c>
      <c r="CT42" t="e">
        <v>#N/A</v>
      </c>
      <c r="CU42" t="e">
        <v>#N/A</v>
      </c>
      <c r="CV42" t="e">
        <v>#N/A</v>
      </c>
      <c r="CW42" t="e">
        <v>#N/A</v>
      </c>
      <c r="CX42" t="e">
        <v>#N/A</v>
      </c>
      <c r="CY42" t="e">
        <v>#N/A</v>
      </c>
      <c r="CZ42" t="e">
        <v>#N/A</v>
      </c>
      <c r="DA42" t="e">
        <v>#N/A</v>
      </c>
      <c r="DB42" t="e">
        <v>#N/A</v>
      </c>
      <c r="DC42" t="e">
        <v>#N/A</v>
      </c>
      <c r="DD42" t="e">
        <v>#N/A</v>
      </c>
      <c r="DE42" t="e">
        <v>#N/A</v>
      </c>
      <c r="DF42" t="e">
        <v>#N/A</v>
      </c>
      <c r="DG42" t="e">
        <v>#N/A</v>
      </c>
      <c r="DH42" t="e">
        <v>#N/A</v>
      </c>
      <c r="DI42" t="e">
        <v>#N/A</v>
      </c>
      <c r="DJ42" t="e">
        <v>#N/A</v>
      </c>
      <c r="DK42" t="e">
        <v>#N/A</v>
      </c>
      <c r="DL42" t="e">
        <v>#N/A</v>
      </c>
      <c r="DM42" t="e">
        <v>#N/A</v>
      </c>
      <c r="DN42" t="e">
        <v>#N/A</v>
      </c>
      <c r="DO42" t="e">
        <v>#N/A</v>
      </c>
      <c r="DP42" t="e">
        <v>#N/A</v>
      </c>
      <c r="DQ42" t="e">
        <v>#N/A</v>
      </c>
      <c r="DR42" t="e">
        <v>#N/A</v>
      </c>
      <c r="DS42" t="e">
        <v>#N/A</v>
      </c>
      <c r="DT42" t="e">
        <v>#N/A</v>
      </c>
      <c r="DU42" t="e">
        <v>#N/A</v>
      </c>
      <c r="DV42" t="e">
        <v>#N/A</v>
      </c>
      <c r="DW42" t="e">
        <v>#N/A</v>
      </c>
      <c r="DX42" t="e">
        <v>#N/A</v>
      </c>
      <c r="DY42" t="e">
        <v>#N/A</v>
      </c>
    </row>
    <row r="43" spans="1:129" x14ac:dyDescent="0.25">
      <c r="A43" t="str">
        <v/>
      </c>
      <c r="D43" s="20"/>
      <c r="E43" s="21"/>
      <c r="F43" s="21"/>
      <c r="G43" s="22"/>
      <c r="H43" s="22"/>
      <c r="I43" s="55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AA43" t="str">
        <v/>
      </c>
      <c r="AB43" t="str">
        <v/>
      </c>
      <c r="BL43" t="str">
        <v/>
      </c>
      <c r="BM43" t="str">
        <v/>
      </c>
      <c r="BN43" t="str">
        <v/>
      </c>
      <c r="BO43" t="str">
        <v/>
      </c>
      <c r="CE43" t="str">
        <v/>
      </c>
      <c r="CF43" t="e">
        <v>#N/A</v>
      </c>
      <c r="CG43" t="e">
        <v>#N/A</v>
      </c>
      <c r="CH43" t="e">
        <v>#N/A</v>
      </c>
      <c r="CI43" t="e">
        <v>#N/A</v>
      </c>
      <c r="CJ43" t="e">
        <v>#N/A</v>
      </c>
      <c r="CK43" t="e">
        <v>#N/A</v>
      </c>
      <c r="CL43" t="e">
        <v>#N/A</v>
      </c>
      <c r="CM43" t="e">
        <v>#N/A</v>
      </c>
      <c r="CN43" t="e">
        <v>#N/A</v>
      </c>
      <c r="CO43" t="e">
        <v>#N/A</v>
      </c>
      <c r="CP43" t="e">
        <v>#N/A</v>
      </c>
      <c r="CQ43" t="e">
        <v>#N/A</v>
      </c>
      <c r="CR43" t="e">
        <v>#N/A</v>
      </c>
      <c r="CS43" t="e">
        <v>#N/A</v>
      </c>
      <c r="CT43" t="e">
        <v>#N/A</v>
      </c>
      <c r="CU43" t="e">
        <v>#N/A</v>
      </c>
      <c r="CV43" t="e">
        <v>#N/A</v>
      </c>
      <c r="CW43" t="e">
        <v>#N/A</v>
      </c>
      <c r="CX43" t="e">
        <v>#N/A</v>
      </c>
      <c r="CY43" t="e">
        <v>#N/A</v>
      </c>
      <c r="CZ43" t="e">
        <v>#N/A</v>
      </c>
      <c r="DA43" t="e">
        <v>#N/A</v>
      </c>
      <c r="DB43" t="e">
        <v>#N/A</v>
      </c>
      <c r="DC43" t="e">
        <v>#N/A</v>
      </c>
      <c r="DD43" t="e">
        <v>#N/A</v>
      </c>
      <c r="DE43" t="e">
        <v>#N/A</v>
      </c>
      <c r="DF43" t="e">
        <v>#N/A</v>
      </c>
      <c r="DG43" t="e">
        <v>#N/A</v>
      </c>
      <c r="DH43" t="e">
        <v>#N/A</v>
      </c>
      <c r="DI43" t="e">
        <v>#N/A</v>
      </c>
      <c r="DJ43" t="e">
        <v>#N/A</v>
      </c>
      <c r="DK43" t="e">
        <v>#N/A</v>
      </c>
      <c r="DL43" t="e">
        <v>#N/A</v>
      </c>
      <c r="DM43" t="e">
        <v>#N/A</v>
      </c>
      <c r="DN43" t="e">
        <v>#N/A</v>
      </c>
      <c r="DO43" t="e">
        <v>#N/A</v>
      </c>
      <c r="DP43" t="e">
        <v>#N/A</v>
      </c>
      <c r="DQ43" t="e">
        <v>#N/A</v>
      </c>
      <c r="DR43" t="e">
        <v>#N/A</v>
      </c>
      <c r="DS43" t="e">
        <v>#N/A</v>
      </c>
      <c r="DT43" t="e">
        <v>#N/A</v>
      </c>
      <c r="DU43" t="e">
        <v>#N/A</v>
      </c>
      <c r="DV43" t="e">
        <v>#N/A</v>
      </c>
      <c r="DW43" t="e">
        <v>#N/A</v>
      </c>
      <c r="DX43" t="e">
        <v>#N/A</v>
      </c>
      <c r="DY43" t="e">
        <v>#N/A</v>
      </c>
    </row>
    <row r="44" spans="1:129" x14ac:dyDescent="0.25">
      <c r="A44" t="str">
        <v/>
      </c>
      <c r="D44" s="20"/>
      <c r="E44" s="21"/>
      <c r="F44" s="21"/>
      <c r="G44" s="22"/>
      <c r="H44" s="22"/>
      <c r="I44" s="55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AA44" t="str">
        <v/>
      </c>
      <c r="AB44" t="str">
        <v/>
      </c>
      <c r="BL44" t="str">
        <v/>
      </c>
      <c r="BM44" t="str">
        <v/>
      </c>
      <c r="BN44" t="str">
        <v/>
      </c>
      <c r="BO44" t="str">
        <v/>
      </c>
      <c r="CE44" t="str">
        <v/>
      </c>
      <c r="CF44" t="e">
        <v>#N/A</v>
      </c>
      <c r="CG44" t="e">
        <v>#N/A</v>
      </c>
      <c r="CH44" t="e">
        <v>#N/A</v>
      </c>
      <c r="CI44" t="e">
        <v>#N/A</v>
      </c>
      <c r="CJ44" t="e">
        <v>#N/A</v>
      </c>
      <c r="CK44" t="e">
        <v>#N/A</v>
      </c>
      <c r="CL44" t="e">
        <v>#N/A</v>
      </c>
      <c r="CM44" t="e">
        <v>#N/A</v>
      </c>
      <c r="CN44" t="e">
        <v>#N/A</v>
      </c>
      <c r="CO44" t="e">
        <v>#N/A</v>
      </c>
      <c r="CP44" t="e">
        <v>#N/A</v>
      </c>
      <c r="CQ44" t="e">
        <v>#N/A</v>
      </c>
      <c r="CR44" t="e">
        <v>#N/A</v>
      </c>
      <c r="CS44" t="e">
        <v>#N/A</v>
      </c>
      <c r="CT44" t="e">
        <v>#N/A</v>
      </c>
      <c r="CU44" t="e">
        <v>#N/A</v>
      </c>
      <c r="CV44" t="e">
        <v>#N/A</v>
      </c>
      <c r="CW44" t="e">
        <v>#N/A</v>
      </c>
      <c r="CX44" t="e">
        <v>#N/A</v>
      </c>
      <c r="CY44" t="e">
        <v>#N/A</v>
      </c>
      <c r="CZ44" t="e">
        <v>#N/A</v>
      </c>
      <c r="DA44" t="e">
        <v>#N/A</v>
      </c>
      <c r="DB44" t="e">
        <v>#N/A</v>
      </c>
      <c r="DC44" t="e">
        <v>#N/A</v>
      </c>
      <c r="DD44" t="e">
        <v>#N/A</v>
      </c>
      <c r="DE44" t="e">
        <v>#N/A</v>
      </c>
      <c r="DF44" t="e">
        <v>#N/A</v>
      </c>
      <c r="DG44" t="e">
        <v>#N/A</v>
      </c>
      <c r="DH44" t="e">
        <v>#N/A</v>
      </c>
      <c r="DI44" t="e">
        <v>#N/A</v>
      </c>
      <c r="DJ44" t="e">
        <v>#N/A</v>
      </c>
      <c r="DK44" t="e">
        <v>#N/A</v>
      </c>
      <c r="DL44" t="e">
        <v>#N/A</v>
      </c>
      <c r="DM44" t="e">
        <v>#N/A</v>
      </c>
      <c r="DN44" t="e">
        <v>#N/A</v>
      </c>
      <c r="DO44" t="e">
        <v>#N/A</v>
      </c>
      <c r="DP44" t="e">
        <v>#N/A</v>
      </c>
      <c r="DQ44" t="e">
        <v>#N/A</v>
      </c>
      <c r="DR44" t="e">
        <v>#N/A</v>
      </c>
      <c r="DS44" t="e">
        <v>#N/A</v>
      </c>
      <c r="DT44" t="e">
        <v>#N/A</v>
      </c>
      <c r="DU44" t="e">
        <v>#N/A</v>
      </c>
      <c r="DV44" t="e">
        <v>#N/A</v>
      </c>
      <c r="DW44" t="e">
        <v>#N/A</v>
      </c>
      <c r="DX44" t="e">
        <v>#N/A</v>
      </c>
      <c r="DY44" t="e">
        <v>#N/A</v>
      </c>
    </row>
    <row r="45" spans="1:129" x14ac:dyDescent="0.25">
      <c r="A45" t="str">
        <v/>
      </c>
      <c r="D45" s="20"/>
      <c r="E45" s="21"/>
      <c r="F45" s="21"/>
      <c r="G45" s="22"/>
      <c r="H45" s="22"/>
      <c r="I45" s="55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AA45" t="str">
        <v/>
      </c>
      <c r="AB45" t="str">
        <v/>
      </c>
      <c r="BL45" t="str">
        <v/>
      </c>
      <c r="BM45" t="str">
        <v/>
      </c>
      <c r="BN45" t="str">
        <v/>
      </c>
      <c r="BO45" t="str">
        <v/>
      </c>
      <c r="CE45" t="str">
        <v/>
      </c>
      <c r="CF45" t="e">
        <v>#N/A</v>
      </c>
      <c r="CG45" t="e">
        <v>#N/A</v>
      </c>
      <c r="CH45" t="e">
        <v>#N/A</v>
      </c>
      <c r="CI45" t="e">
        <v>#N/A</v>
      </c>
      <c r="CJ45" t="e">
        <v>#N/A</v>
      </c>
      <c r="CK45" t="e">
        <v>#N/A</v>
      </c>
      <c r="CL45" t="e">
        <v>#N/A</v>
      </c>
      <c r="CM45" t="e">
        <v>#N/A</v>
      </c>
      <c r="CN45" t="e">
        <v>#N/A</v>
      </c>
      <c r="CO45" t="e">
        <v>#N/A</v>
      </c>
      <c r="CP45" t="e">
        <v>#N/A</v>
      </c>
      <c r="CQ45" t="e">
        <v>#N/A</v>
      </c>
      <c r="CR45" t="e">
        <v>#N/A</v>
      </c>
      <c r="CS45" t="e">
        <v>#N/A</v>
      </c>
      <c r="CT45" t="e">
        <v>#N/A</v>
      </c>
      <c r="CU45" t="e">
        <v>#N/A</v>
      </c>
      <c r="CV45" t="e">
        <v>#N/A</v>
      </c>
      <c r="CW45" t="e">
        <v>#N/A</v>
      </c>
      <c r="CX45" t="e">
        <v>#N/A</v>
      </c>
      <c r="CY45" t="e">
        <v>#N/A</v>
      </c>
      <c r="CZ45" t="e">
        <v>#N/A</v>
      </c>
      <c r="DA45" t="e">
        <v>#N/A</v>
      </c>
      <c r="DB45" t="e">
        <v>#N/A</v>
      </c>
      <c r="DC45" t="e">
        <v>#N/A</v>
      </c>
      <c r="DD45" t="e">
        <v>#N/A</v>
      </c>
      <c r="DE45" t="e">
        <v>#N/A</v>
      </c>
      <c r="DF45" t="e">
        <v>#N/A</v>
      </c>
      <c r="DG45" t="e">
        <v>#N/A</v>
      </c>
      <c r="DH45" t="e">
        <v>#N/A</v>
      </c>
      <c r="DI45" t="e">
        <v>#N/A</v>
      </c>
      <c r="DJ45" t="e">
        <v>#N/A</v>
      </c>
      <c r="DK45" t="e">
        <v>#N/A</v>
      </c>
      <c r="DL45" t="e">
        <v>#N/A</v>
      </c>
      <c r="DM45" t="e">
        <v>#N/A</v>
      </c>
      <c r="DN45" t="e">
        <v>#N/A</v>
      </c>
      <c r="DO45" t="e">
        <v>#N/A</v>
      </c>
      <c r="DP45" t="e">
        <v>#N/A</v>
      </c>
      <c r="DQ45" t="e">
        <v>#N/A</v>
      </c>
      <c r="DR45" t="e">
        <v>#N/A</v>
      </c>
      <c r="DS45" t="e">
        <v>#N/A</v>
      </c>
      <c r="DT45" t="e">
        <v>#N/A</v>
      </c>
      <c r="DU45" t="e">
        <v>#N/A</v>
      </c>
      <c r="DV45" t="e">
        <v>#N/A</v>
      </c>
      <c r="DW45" t="e">
        <v>#N/A</v>
      </c>
      <c r="DX45" t="e">
        <v>#N/A</v>
      </c>
      <c r="DY45" t="e">
        <v>#N/A</v>
      </c>
    </row>
    <row r="46" spans="1:129" x14ac:dyDescent="0.25">
      <c r="A46" t="str">
        <v/>
      </c>
      <c r="D46" s="20"/>
      <c r="E46" s="21"/>
      <c r="F46" s="21"/>
      <c r="G46" s="22"/>
      <c r="H46" s="22"/>
      <c r="I46" s="55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AA46" t="str">
        <v/>
      </c>
      <c r="AB46" t="str">
        <v/>
      </c>
      <c r="BL46" t="str">
        <v/>
      </c>
      <c r="BM46" t="str">
        <v/>
      </c>
      <c r="BN46" t="str">
        <v/>
      </c>
      <c r="BO46" t="str">
        <v/>
      </c>
      <c r="CE46" t="str">
        <v/>
      </c>
      <c r="CF46" t="e">
        <v>#N/A</v>
      </c>
      <c r="CG46" t="e">
        <v>#N/A</v>
      </c>
      <c r="CH46" t="e">
        <v>#N/A</v>
      </c>
      <c r="CI46" t="e">
        <v>#N/A</v>
      </c>
      <c r="CJ46" t="e">
        <v>#N/A</v>
      </c>
      <c r="CK46" t="e">
        <v>#N/A</v>
      </c>
      <c r="CL46" t="e">
        <v>#N/A</v>
      </c>
      <c r="CM46" t="e">
        <v>#N/A</v>
      </c>
      <c r="CN46" t="e">
        <v>#N/A</v>
      </c>
      <c r="CO46" t="e">
        <v>#N/A</v>
      </c>
      <c r="CP46" t="e">
        <v>#N/A</v>
      </c>
      <c r="CQ46" t="e">
        <v>#N/A</v>
      </c>
      <c r="CR46" t="e">
        <v>#N/A</v>
      </c>
      <c r="CS46" t="e">
        <v>#N/A</v>
      </c>
      <c r="CT46" t="e">
        <v>#N/A</v>
      </c>
      <c r="CU46" t="e">
        <v>#N/A</v>
      </c>
      <c r="CV46" t="e">
        <v>#N/A</v>
      </c>
      <c r="CW46" t="e">
        <v>#N/A</v>
      </c>
      <c r="CX46" t="e">
        <v>#N/A</v>
      </c>
      <c r="CY46" t="e">
        <v>#N/A</v>
      </c>
      <c r="CZ46" t="e">
        <v>#N/A</v>
      </c>
      <c r="DA46" t="e">
        <v>#N/A</v>
      </c>
      <c r="DB46" t="e">
        <v>#N/A</v>
      </c>
      <c r="DC46" t="e">
        <v>#N/A</v>
      </c>
      <c r="DD46" t="e">
        <v>#N/A</v>
      </c>
      <c r="DE46" t="e">
        <v>#N/A</v>
      </c>
      <c r="DF46" t="e">
        <v>#N/A</v>
      </c>
      <c r="DG46" t="e">
        <v>#N/A</v>
      </c>
      <c r="DH46" t="e">
        <v>#N/A</v>
      </c>
      <c r="DI46" t="e">
        <v>#N/A</v>
      </c>
      <c r="DJ46" t="e">
        <v>#N/A</v>
      </c>
      <c r="DK46" t="e">
        <v>#N/A</v>
      </c>
      <c r="DL46" t="e">
        <v>#N/A</v>
      </c>
      <c r="DM46" t="e">
        <v>#N/A</v>
      </c>
      <c r="DN46" t="e">
        <v>#N/A</v>
      </c>
      <c r="DO46" t="e">
        <v>#N/A</v>
      </c>
      <c r="DP46" t="e">
        <v>#N/A</v>
      </c>
      <c r="DQ46" t="e">
        <v>#N/A</v>
      </c>
      <c r="DR46" t="e">
        <v>#N/A</v>
      </c>
      <c r="DS46" t="e">
        <v>#N/A</v>
      </c>
      <c r="DT46" t="e">
        <v>#N/A</v>
      </c>
      <c r="DU46" t="e">
        <v>#N/A</v>
      </c>
      <c r="DV46" t="e">
        <v>#N/A</v>
      </c>
      <c r="DW46" t="e">
        <v>#N/A</v>
      </c>
      <c r="DX46" t="e">
        <v>#N/A</v>
      </c>
      <c r="DY46" t="e">
        <v>#N/A</v>
      </c>
    </row>
    <row r="47" spans="1:129" x14ac:dyDescent="0.25">
      <c r="A47" t="str">
        <v/>
      </c>
      <c r="D47" s="20"/>
      <c r="E47" s="21"/>
      <c r="F47" s="21"/>
      <c r="G47" s="22"/>
      <c r="H47" s="22"/>
      <c r="I47" s="55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AA47" t="str">
        <v/>
      </c>
      <c r="AB47" t="str">
        <v/>
      </c>
      <c r="BL47" t="str">
        <v/>
      </c>
      <c r="BM47" t="str">
        <v/>
      </c>
      <c r="BN47" t="str">
        <v/>
      </c>
      <c r="BO47" t="str">
        <v/>
      </c>
      <c r="CE47" t="str">
        <v/>
      </c>
      <c r="CF47" t="e">
        <v>#N/A</v>
      </c>
      <c r="CG47" t="e">
        <v>#N/A</v>
      </c>
      <c r="CH47" t="e">
        <v>#N/A</v>
      </c>
      <c r="CI47" t="e">
        <v>#N/A</v>
      </c>
      <c r="CJ47" t="e">
        <v>#N/A</v>
      </c>
      <c r="CK47" t="e">
        <v>#N/A</v>
      </c>
      <c r="CL47" t="e">
        <v>#N/A</v>
      </c>
      <c r="CM47" t="e">
        <v>#N/A</v>
      </c>
      <c r="CN47" t="e">
        <v>#N/A</v>
      </c>
      <c r="CO47" t="e">
        <v>#N/A</v>
      </c>
      <c r="CP47" t="e">
        <v>#N/A</v>
      </c>
      <c r="CQ47" t="e">
        <v>#N/A</v>
      </c>
      <c r="CR47" t="e">
        <v>#N/A</v>
      </c>
      <c r="CS47" t="e">
        <v>#N/A</v>
      </c>
      <c r="CT47" t="e">
        <v>#N/A</v>
      </c>
      <c r="CU47" t="e">
        <v>#N/A</v>
      </c>
      <c r="CV47" t="e">
        <v>#N/A</v>
      </c>
      <c r="CW47" t="e">
        <v>#N/A</v>
      </c>
      <c r="CX47" t="e">
        <v>#N/A</v>
      </c>
      <c r="CY47" t="e">
        <v>#N/A</v>
      </c>
      <c r="CZ47" t="e">
        <v>#N/A</v>
      </c>
      <c r="DA47" t="e">
        <v>#N/A</v>
      </c>
      <c r="DB47" t="e">
        <v>#N/A</v>
      </c>
      <c r="DC47" t="e">
        <v>#N/A</v>
      </c>
      <c r="DD47" t="e">
        <v>#N/A</v>
      </c>
      <c r="DE47" t="e">
        <v>#N/A</v>
      </c>
      <c r="DF47" t="e">
        <v>#N/A</v>
      </c>
      <c r="DG47" t="e">
        <v>#N/A</v>
      </c>
      <c r="DH47" t="e">
        <v>#N/A</v>
      </c>
      <c r="DI47" t="e">
        <v>#N/A</v>
      </c>
      <c r="DJ47" t="e">
        <v>#N/A</v>
      </c>
      <c r="DK47" t="e">
        <v>#N/A</v>
      </c>
      <c r="DL47" t="e">
        <v>#N/A</v>
      </c>
      <c r="DM47" t="e">
        <v>#N/A</v>
      </c>
      <c r="DN47" t="e">
        <v>#N/A</v>
      </c>
      <c r="DO47" t="e">
        <v>#N/A</v>
      </c>
      <c r="DP47" t="e">
        <v>#N/A</v>
      </c>
      <c r="DQ47" t="e">
        <v>#N/A</v>
      </c>
      <c r="DR47" t="e">
        <v>#N/A</v>
      </c>
      <c r="DS47" t="e">
        <v>#N/A</v>
      </c>
      <c r="DT47" t="e">
        <v>#N/A</v>
      </c>
      <c r="DU47" t="e">
        <v>#N/A</v>
      </c>
      <c r="DV47" t="e">
        <v>#N/A</v>
      </c>
      <c r="DW47" t="e">
        <v>#N/A</v>
      </c>
      <c r="DX47" t="e">
        <v>#N/A</v>
      </c>
      <c r="DY47" t="e">
        <v>#N/A</v>
      </c>
    </row>
    <row r="48" spans="1:129" x14ac:dyDescent="0.25">
      <c r="A48" t="str">
        <v/>
      </c>
      <c r="D48" s="20"/>
      <c r="E48" s="21"/>
      <c r="F48" s="21"/>
      <c r="G48" s="22"/>
      <c r="H48" s="22"/>
      <c r="I48" s="55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AA48" t="str">
        <v/>
      </c>
      <c r="AB48" t="str">
        <v/>
      </c>
      <c r="BL48" t="str">
        <v/>
      </c>
      <c r="BM48" t="str">
        <v/>
      </c>
      <c r="BN48" t="str">
        <v/>
      </c>
      <c r="BO48" t="str">
        <v/>
      </c>
      <c r="CE48" t="str">
        <v/>
      </c>
      <c r="CF48" t="e">
        <v>#N/A</v>
      </c>
      <c r="CG48" t="e">
        <v>#N/A</v>
      </c>
      <c r="CH48" t="e">
        <v>#N/A</v>
      </c>
      <c r="CI48" t="e">
        <v>#N/A</v>
      </c>
      <c r="CJ48" t="e">
        <v>#N/A</v>
      </c>
      <c r="CK48" t="e">
        <v>#N/A</v>
      </c>
      <c r="CL48" t="e">
        <v>#N/A</v>
      </c>
      <c r="CM48" t="e">
        <v>#N/A</v>
      </c>
      <c r="CN48" t="e">
        <v>#N/A</v>
      </c>
      <c r="CO48" t="e">
        <v>#N/A</v>
      </c>
      <c r="CP48" t="e">
        <v>#N/A</v>
      </c>
      <c r="CQ48" t="e">
        <v>#N/A</v>
      </c>
      <c r="CR48" t="e">
        <v>#N/A</v>
      </c>
      <c r="CS48" t="e">
        <v>#N/A</v>
      </c>
      <c r="CT48" t="e">
        <v>#N/A</v>
      </c>
      <c r="CU48" t="e">
        <v>#N/A</v>
      </c>
      <c r="CV48" t="e">
        <v>#N/A</v>
      </c>
      <c r="CW48" t="e">
        <v>#N/A</v>
      </c>
      <c r="CX48" t="e">
        <v>#N/A</v>
      </c>
      <c r="CY48" t="e">
        <v>#N/A</v>
      </c>
      <c r="CZ48" t="e">
        <v>#N/A</v>
      </c>
      <c r="DA48" t="e">
        <v>#N/A</v>
      </c>
      <c r="DB48" t="e">
        <v>#N/A</v>
      </c>
      <c r="DC48" t="e">
        <v>#N/A</v>
      </c>
      <c r="DD48" t="e">
        <v>#N/A</v>
      </c>
      <c r="DE48" t="e">
        <v>#N/A</v>
      </c>
      <c r="DF48" t="e">
        <v>#N/A</v>
      </c>
      <c r="DG48" t="e">
        <v>#N/A</v>
      </c>
      <c r="DH48" t="e">
        <v>#N/A</v>
      </c>
      <c r="DI48" t="e">
        <v>#N/A</v>
      </c>
      <c r="DJ48" t="e">
        <v>#N/A</v>
      </c>
      <c r="DK48" t="e">
        <v>#N/A</v>
      </c>
      <c r="DL48" t="e">
        <v>#N/A</v>
      </c>
      <c r="DM48" t="e">
        <v>#N/A</v>
      </c>
      <c r="DN48" t="e">
        <v>#N/A</v>
      </c>
      <c r="DO48" t="e">
        <v>#N/A</v>
      </c>
      <c r="DP48" t="e">
        <v>#N/A</v>
      </c>
      <c r="DQ48" t="e">
        <v>#N/A</v>
      </c>
      <c r="DR48" t="e">
        <v>#N/A</v>
      </c>
      <c r="DS48" t="e">
        <v>#N/A</v>
      </c>
      <c r="DT48" t="e">
        <v>#N/A</v>
      </c>
      <c r="DU48" t="e">
        <v>#N/A</v>
      </c>
      <c r="DV48" t="e">
        <v>#N/A</v>
      </c>
      <c r="DW48" t="e">
        <v>#N/A</v>
      </c>
      <c r="DX48" t="e">
        <v>#N/A</v>
      </c>
      <c r="DY48" t="e">
        <v>#N/A</v>
      </c>
    </row>
    <row r="49" spans="1:129" x14ac:dyDescent="0.25">
      <c r="A49" t="str">
        <v/>
      </c>
      <c r="D49" s="20"/>
      <c r="E49" s="21"/>
      <c r="F49" s="21"/>
      <c r="G49" s="22"/>
      <c r="H49" s="22"/>
      <c r="I49" s="55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AA49" t="str">
        <v/>
      </c>
      <c r="AB49" t="str">
        <v/>
      </c>
      <c r="BL49" t="str">
        <v/>
      </c>
      <c r="BM49" t="str">
        <v/>
      </c>
      <c r="BN49" t="str">
        <v/>
      </c>
      <c r="BO49" t="str">
        <v/>
      </c>
      <c r="CE49" t="str">
        <v/>
      </c>
      <c r="CF49" t="e">
        <v>#N/A</v>
      </c>
      <c r="CG49" t="e">
        <v>#N/A</v>
      </c>
      <c r="CH49" t="e">
        <v>#N/A</v>
      </c>
      <c r="CI49" t="e">
        <v>#N/A</v>
      </c>
      <c r="CJ49" t="e">
        <v>#N/A</v>
      </c>
      <c r="CK49" t="e">
        <v>#N/A</v>
      </c>
      <c r="CL49" t="e">
        <v>#N/A</v>
      </c>
      <c r="CM49" t="e">
        <v>#N/A</v>
      </c>
      <c r="CN49" t="e">
        <v>#N/A</v>
      </c>
      <c r="CO49" t="e">
        <v>#N/A</v>
      </c>
      <c r="CP49" t="e">
        <v>#N/A</v>
      </c>
      <c r="CQ49" t="e">
        <v>#N/A</v>
      </c>
      <c r="CR49" t="e">
        <v>#N/A</v>
      </c>
      <c r="CS49" t="e">
        <v>#N/A</v>
      </c>
      <c r="CT49" t="e">
        <v>#N/A</v>
      </c>
      <c r="CU49" t="e">
        <v>#N/A</v>
      </c>
      <c r="CV49" t="e">
        <v>#N/A</v>
      </c>
      <c r="CW49" t="e">
        <v>#N/A</v>
      </c>
      <c r="CX49" t="e">
        <v>#N/A</v>
      </c>
      <c r="CY49" t="e">
        <v>#N/A</v>
      </c>
      <c r="CZ49" t="e">
        <v>#N/A</v>
      </c>
      <c r="DA49" t="e">
        <v>#N/A</v>
      </c>
      <c r="DB49" t="e">
        <v>#N/A</v>
      </c>
      <c r="DC49" t="e">
        <v>#N/A</v>
      </c>
      <c r="DD49" t="e">
        <v>#N/A</v>
      </c>
      <c r="DE49" t="e">
        <v>#N/A</v>
      </c>
      <c r="DF49" t="e">
        <v>#N/A</v>
      </c>
      <c r="DG49" t="e">
        <v>#N/A</v>
      </c>
      <c r="DH49" t="e">
        <v>#N/A</v>
      </c>
      <c r="DI49" t="e">
        <v>#N/A</v>
      </c>
      <c r="DJ49" t="e">
        <v>#N/A</v>
      </c>
      <c r="DK49" t="e">
        <v>#N/A</v>
      </c>
      <c r="DL49" t="e">
        <v>#N/A</v>
      </c>
      <c r="DM49" t="e">
        <v>#N/A</v>
      </c>
      <c r="DN49" t="e">
        <v>#N/A</v>
      </c>
      <c r="DO49" t="e">
        <v>#N/A</v>
      </c>
      <c r="DP49" t="e">
        <v>#N/A</v>
      </c>
      <c r="DQ49" t="e">
        <v>#N/A</v>
      </c>
      <c r="DR49" t="e">
        <v>#N/A</v>
      </c>
      <c r="DS49" t="e">
        <v>#N/A</v>
      </c>
      <c r="DT49" t="e">
        <v>#N/A</v>
      </c>
      <c r="DU49" t="e">
        <v>#N/A</v>
      </c>
      <c r="DV49" t="e">
        <v>#N/A</v>
      </c>
      <c r="DW49" t="e">
        <v>#N/A</v>
      </c>
      <c r="DX49" t="e">
        <v>#N/A</v>
      </c>
      <c r="DY49" t="e">
        <v>#N/A</v>
      </c>
    </row>
    <row r="50" spans="1:129" x14ac:dyDescent="0.25">
      <c r="A50" t="str">
        <v/>
      </c>
      <c r="D50" s="20"/>
      <c r="E50" s="21"/>
      <c r="F50" s="21"/>
      <c r="G50" s="22"/>
      <c r="H50" s="22"/>
      <c r="I50" s="55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AA50" t="str">
        <v/>
      </c>
      <c r="AB50" t="str">
        <v/>
      </c>
      <c r="BL50" t="str">
        <v/>
      </c>
      <c r="BM50" t="str">
        <v/>
      </c>
      <c r="BN50" t="str">
        <v/>
      </c>
      <c r="BO50" t="str">
        <v/>
      </c>
      <c r="CE50" t="str">
        <v/>
      </c>
      <c r="CF50" t="e">
        <v>#N/A</v>
      </c>
      <c r="CG50" t="e">
        <v>#N/A</v>
      </c>
      <c r="CH50" t="e">
        <v>#N/A</v>
      </c>
      <c r="CI50" t="e">
        <v>#N/A</v>
      </c>
      <c r="CJ50" t="e">
        <v>#N/A</v>
      </c>
      <c r="CK50" t="e">
        <v>#N/A</v>
      </c>
      <c r="CL50" t="e">
        <v>#N/A</v>
      </c>
      <c r="CM50" t="e">
        <v>#N/A</v>
      </c>
      <c r="CN50" t="e">
        <v>#N/A</v>
      </c>
      <c r="CO50" t="e">
        <v>#N/A</v>
      </c>
      <c r="CP50" t="e">
        <v>#N/A</v>
      </c>
      <c r="CQ50" t="e">
        <v>#N/A</v>
      </c>
      <c r="CR50" t="e">
        <v>#N/A</v>
      </c>
      <c r="CS50" t="e">
        <v>#N/A</v>
      </c>
      <c r="CT50" t="e">
        <v>#N/A</v>
      </c>
      <c r="CU50" t="e">
        <v>#N/A</v>
      </c>
      <c r="CV50" t="e">
        <v>#N/A</v>
      </c>
      <c r="CW50" t="e">
        <v>#N/A</v>
      </c>
      <c r="CX50" t="e">
        <v>#N/A</v>
      </c>
      <c r="CY50" t="e">
        <v>#N/A</v>
      </c>
      <c r="CZ50" t="e">
        <v>#N/A</v>
      </c>
      <c r="DA50" t="e">
        <v>#N/A</v>
      </c>
      <c r="DB50" t="e">
        <v>#N/A</v>
      </c>
      <c r="DC50" t="e">
        <v>#N/A</v>
      </c>
      <c r="DD50" t="e">
        <v>#N/A</v>
      </c>
      <c r="DE50" t="e">
        <v>#N/A</v>
      </c>
      <c r="DF50" t="e">
        <v>#N/A</v>
      </c>
      <c r="DG50" t="e">
        <v>#N/A</v>
      </c>
      <c r="DH50" t="e">
        <v>#N/A</v>
      </c>
      <c r="DI50" t="e">
        <v>#N/A</v>
      </c>
      <c r="DJ50" t="e">
        <v>#N/A</v>
      </c>
      <c r="DK50" t="e">
        <v>#N/A</v>
      </c>
      <c r="DL50" t="e">
        <v>#N/A</v>
      </c>
      <c r="DM50" t="e">
        <v>#N/A</v>
      </c>
      <c r="DN50" t="e">
        <v>#N/A</v>
      </c>
      <c r="DO50" t="e">
        <v>#N/A</v>
      </c>
      <c r="DP50" t="e">
        <v>#N/A</v>
      </c>
      <c r="DQ50" t="e">
        <v>#N/A</v>
      </c>
      <c r="DR50" t="e">
        <v>#N/A</v>
      </c>
      <c r="DS50" t="e">
        <v>#N/A</v>
      </c>
      <c r="DT50" t="e">
        <v>#N/A</v>
      </c>
      <c r="DU50" t="e">
        <v>#N/A</v>
      </c>
      <c r="DV50" t="e">
        <v>#N/A</v>
      </c>
      <c r="DW50" t="e">
        <v>#N/A</v>
      </c>
      <c r="DX50" t="e">
        <v>#N/A</v>
      </c>
      <c r="DY50" t="e">
        <v>#N/A</v>
      </c>
    </row>
    <row r="51" spans="1:129" x14ac:dyDescent="0.25">
      <c r="A51" t="str">
        <v/>
      </c>
      <c r="D51" s="20"/>
      <c r="E51" s="21"/>
      <c r="F51" s="21"/>
      <c r="G51" s="22"/>
      <c r="H51" s="22"/>
      <c r="I51" s="55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AA51" t="str">
        <v/>
      </c>
      <c r="AB51" t="str">
        <v/>
      </c>
      <c r="BL51" t="str">
        <v/>
      </c>
      <c r="BM51" t="str">
        <v/>
      </c>
      <c r="BN51" t="str">
        <v/>
      </c>
      <c r="BO51" t="str">
        <v/>
      </c>
      <c r="CE51" t="str">
        <v/>
      </c>
      <c r="CF51" t="e">
        <v>#N/A</v>
      </c>
      <c r="CG51" t="e">
        <v>#N/A</v>
      </c>
      <c r="CH51" t="e">
        <v>#N/A</v>
      </c>
      <c r="CI51" t="e">
        <v>#N/A</v>
      </c>
      <c r="CJ51" t="e">
        <v>#N/A</v>
      </c>
      <c r="CK51" t="e">
        <v>#N/A</v>
      </c>
      <c r="CL51" t="e">
        <v>#N/A</v>
      </c>
      <c r="CM51" t="e">
        <v>#N/A</v>
      </c>
      <c r="CN51" t="e">
        <v>#N/A</v>
      </c>
      <c r="CO51" t="e">
        <v>#N/A</v>
      </c>
      <c r="CP51" t="e">
        <v>#N/A</v>
      </c>
      <c r="CQ51" t="e">
        <v>#N/A</v>
      </c>
      <c r="CR51" t="e">
        <v>#N/A</v>
      </c>
      <c r="CS51" t="e">
        <v>#N/A</v>
      </c>
      <c r="CT51" t="e">
        <v>#N/A</v>
      </c>
      <c r="CU51" t="e">
        <v>#N/A</v>
      </c>
      <c r="CV51" t="e">
        <v>#N/A</v>
      </c>
      <c r="CW51" t="e">
        <v>#N/A</v>
      </c>
      <c r="CX51" t="e">
        <v>#N/A</v>
      </c>
      <c r="CY51" t="e">
        <v>#N/A</v>
      </c>
      <c r="CZ51" t="e">
        <v>#N/A</v>
      </c>
      <c r="DA51" t="e">
        <v>#N/A</v>
      </c>
      <c r="DB51" t="e">
        <v>#N/A</v>
      </c>
      <c r="DC51" t="e">
        <v>#N/A</v>
      </c>
      <c r="DD51" t="e">
        <v>#N/A</v>
      </c>
      <c r="DE51" t="e">
        <v>#N/A</v>
      </c>
      <c r="DF51" t="e">
        <v>#N/A</v>
      </c>
      <c r="DG51" t="e">
        <v>#N/A</v>
      </c>
      <c r="DH51" t="e">
        <v>#N/A</v>
      </c>
      <c r="DI51" t="e">
        <v>#N/A</v>
      </c>
      <c r="DJ51" t="e">
        <v>#N/A</v>
      </c>
      <c r="DK51" t="e">
        <v>#N/A</v>
      </c>
      <c r="DL51" t="e">
        <v>#N/A</v>
      </c>
      <c r="DM51" t="e">
        <v>#N/A</v>
      </c>
      <c r="DN51" t="e">
        <v>#N/A</v>
      </c>
      <c r="DO51" t="e">
        <v>#N/A</v>
      </c>
      <c r="DP51" t="e">
        <v>#N/A</v>
      </c>
      <c r="DQ51" t="e">
        <v>#N/A</v>
      </c>
      <c r="DR51" t="e">
        <v>#N/A</v>
      </c>
      <c r="DS51" t="e">
        <v>#N/A</v>
      </c>
      <c r="DT51" t="e">
        <v>#N/A</v>
      </c>
      <c r="DU51" t="e">
        <v>#N/A</v>
      </c>
      <c r="DV51" t="e">
        <v>#N/A</v>
      </c>
      <c r="DW51" t="e">
        <v>#N/A</v>
      </c>
      <c r="DX51" t="e">
        <v>#N/A</v>
      </c>
      <c r="DY51" t="e">
        <v>#N/A</v>
      </c>
    </row>
    <row r="52" spans="1:129" x14ac:dyDescent="0.25">
      <c r="A52" t="str">
        <v/>
      </c>
      <c r="D52" s="20"/>
      <c r="E52" s="21"/>
      <c r="F52" s="21"/>
      <c r="G52" s="22"/>
      <c r="H52" s="22"/>
      <c r="I52" s="55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AA52" t="str">
        <v/>
      </c>
      <c r="AB52" t="str">
        <v/>
      </c>
      <c r="BL52" t="str">
        <v/>
      </c>
      <c r="BM52" t="str">
        <v/>
      </c>
      <c r="BN52" t="str">
        <v/>
      </c>
      <c r="BO52" t="str">
        <v/>
      </c>
      <c r="CE52" t="str">
        <v/>
      </c>
      <c r="CF52" t="e">
        <v>#N/A</v>
      </c>
      <c r="CG52" t="e">
        <v>#N/A</v>
      </c>
      <c r="CH52" t="e">
        <v>#N/A</v>
      </c>
      <c r="CI52" t="e">
        <v>#N/A</v>
      </c>
      <c r="CJ52" t="e">
        <v>#N/A</v>
      </c>
      <c r="CK52" t="e">
        <v>#N/A</v>
      </c>
      <c r="CL52" t="e">
        <v>#N/A</v>
      </c>
      <c r="CM52" t="e">
        <v>#N/A</v>
      </c>
      <c r="CN52" t="e">
        <v>#N/A</v>
      </c>
      <c r="CO52" t="e">
        <v>#N/A</v>
      </c>
      <c r="CP52" t="e">
        <v>#N/A</v>
      </c>
      <c r="CQ52" t="e">
        <v>#N/A</v>
      </c>
      <c r="CR52" t="e">
        <v>#N/A</v>
      </c>
      <c r="CS52" t="e">
        <v>#N/A</v>
      </c>
      <c r="CT52" t="e">
        <v>#N/A</v>
      </c>
      <c r="CU52" t="e">
        <v>#N/A</v>
      </c>
      <c r="CV52" t="e">
        <v>#N/A</v>
      </c>
      <c r="CW52" t="e">
        <v>#N/A</v>
      </c>
      <c r="CX52" t="e">
        <v>#N/A</v>
      </c>
      <c r="CY52" t="e">
        <v>#N/A</v>
      </c>
      <c r="CZ52" t="e">
        <v>#N/A</v>
      </c>
      <c r="DA52" t="e">
        <v>#N/A</v>
      </c>
      <c r="DB52" t="e">
        <v>#N/A</v>
      </c>
      <c r="DC52" t="e">
        <v>#N/A</v>
      </c>
      <c r="DD52" t="e">
        <v>#N/A</v>
      </c>
      <c r="DE52" t="e">
        <v>#N/A</v>
      </c>
      <c r="DF52" t="e">
        <v>#N/A</v>
      </c>
      <c r="DG52" t="e">
        <v>#N/A</v>
      </c>
      <c r="DH52" t="e">
        <v>#N/A</v>
      </c>
      <c r="DI52" t="e">
        <v>#N/A</v>
      </c>
      <c r="DJ52" t="e">
        <v>#N/A</v>
      </c>
      <c r="DK52" t="e">
        <v>#N/A</v>
      </c>
      <c r="DL52" t="e">
        <v>#N/A</v>
      </c>
      <c r="DM52" t="e">
        <v>#N/A</v>
      </c>
      <c r="DN52" t="e">
        <v>#N/A</v>
      </c>
      <c r="DO52" t="e">
        <v>#N/A</v>
      </c>
      <c r="DP52" t="e">
        <v>#N/A</v>
      </c>
      <c r="DQ52" t="e">
        <v>#N/A</v>
      </c>
      <c r="DR52" t="e">
        <v>#N/A</v>
      </c>
      <c r="DS52" t="e">
        <v>#N/A</v>
      </c>
      <c r="DT52" t="e">
        <v>#N/A</v>
      </c>
      <c r="DU52" t="e">
        <v>#N/A</v>
      </c>
      <c r="DV52" t="e">
        <v>#N/A</v>
      </c>
      <c r="DW52" t="e">
        <v>#N/A</v>
      </c>
      <c r="DX52" t="e">
        <v>#N/A</v>
      </c>
      <c r="DY52" t="e">
        <v>#N/A</v>
      </c>
    </row>
    <row r="53" spans="1:129" x14ac:dyDescent="0.25">
      <c r="A53" t="str">
        <v/>
      </c>
      <c r="D53" s="20"/>
      <c r="E53" s="21"/>
      <c r="F53" s="21"/>
      <c r="G53" s="22"/>
      <c r="H53" s="22"/>
      <c r="I53" s="55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AA53" t="str">
        <v/>
      </c>
      <c r="AB53" t="str">
        <v/>
      </c>
      <c r="BL53" t="str">
        <v/>
      </c>
      <c r="BM53" t="str">
        <v/>
      </c>
      <c r="BN53" t="str">
        <v/>
      </c>
      <c r="BO53" t="str">
        <v/>
      </c>
      <c r="CE53" t="str">
        <v/>
      </c>
      <c r="CF53" t="e">
        <v>#N/A</v>
      </c>
      <c r="CG53" t="e">
        <v>#N/A</v>
      </c>
      <c r="CH53" t="e">
        <v>#N/A</v>
      </c>
      <c r="CI53" t="e">
        <v>#N/A</v>
      </c>
      <c r="CJ53" t="e">
        <v>#N/A</v>
      </c>
      <c r="CK53" t="e">
        <v>#N/A</v>
      </c>
      <c r="CL53" t="e">
        <v>#N/A</v>
      </c>
      <c r="CM53" t="e">
        <v>#N/A</v>
      </c>
      <c r="CN53" t="e">
        <v>#N/A</v>
      </c>
      <c r="CO53" t="e">
        <v>#N/A</v>
      </c>
      <c r="CP53" t="e">
        <v>#N/A</v>
      </c>
      <c r="CQ53" t="e">
        <v>#N/A</v>
      </c>
      <c r="CR53" t="e">
        <v>#N/A</v>
      </c>
      <c r="CS53" t="e">
        <v>#N/A</v>
      </c>
      <c r="CT53" t="e">
        <v>#N/A</v>
      </c>
      <c r="CU53" t="e">
        <v>#N/A</v>
      </c>
      <c r="CV53" t="e">
        <v>#N/A</v>
      </c>
      <c r="CW53" t="e">
        <v>#N/A</v>
      </c>
      <c r="CX53" t="e">
        <v>#N/A</v>
      </c>
      <c r="CY53" t="e">
        <v>#N/A</v>
      </c>
      <c r="CZ53" t="e">
        <v>#N/A</v>
      </c>
      <c r="DA53" t="e">
        <v>#N/A</v>
      </c>
      <c r="DB53" t="e">
        <v>#N/A</v>
      </c>
      <c r="DC53" t="e">
        <v>#N/A</v>
      </c>
      <c r="DD53" t="e">
        <v>#N/A</v>
      </c>
      <c r="DE53" t="e">
        <v>#N/A</v>
      </c>
      <c r="DF53" t="e">
        <v>#N/A</v>
      </c>
      <c r="DG53" t="e">
        <v>#N/A</v>
      </c>
      <c r="DH53" t="e">
        <v>#N/A</v>
      </c>
      <c r="DI53" t="e">
        <v>#N/A</v>
      </c>
      <c r="DJ53" t="e">
        <v>#N/A</v>
      </c>
      <c r="DK53" t="e">
        <v>#N/A</v>
      </c>
      <c r="DL53" t="e">
        <v>#N/A</v>
      </c>
      <c r="DM53" t="e">
        <v>#N/A</v>
      </c>
      <c r="DN53" t="e">
        <v>#N/A</v>
      </c>
      <c r="DO53" t="e">
        <v>#N/A</v>
      </c>
      <c r="DP53" t="e">
        <v>#N/A</v>
      </c>
      <c r="DQ53" t="e">
        <v>#N/A</v>
      </c>
      <c r="DR53" t="e">
        <v>#N/A</v>
      </c>
      <c r="DS53" t="e">
        <v>#N/A</v>
      </c>
      <c r="DT53" t="e">
        <v>#N/A</v>
      </c>
      <c r="DU53" t="e">
        <v>#N/A</v>
      </c>
      <c r="DV53" t="e">
        <v>#N/A</v>
      </c>
      <c r="DW53" t="e">
        <v>#N/A</v>
      </c>
      <c r="DX53" t="e">
        <v>#N/A</v>
      </c>
      <c r="DY53" t="e">
        <v>#N/A</v>
      </c>
    </row>
    <row r="54" spans="1:129" x14ac:dyDescent="0.25">
      <c r="A54" t="str">
        <v/>
      </c>
      <c r="D54" s="20"/>
      <c r="E54" s="21"/>
      <c r="F54" s="21"/>
      <c r="G54" s="22"/>
      <c r="H54" s="22"/>
      <c r="I54" s="55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AA54" t="str">
        <v/>
      </c>
      <c r="AB54" t="str">
        <v/>
      </c>
      <c r="BL54" t="str">
        <v/>
      </c>
      <c r="BM54" t="str">
        <v/>
      </c>
      <c r="BN54" t="str">
        <v/>
      </c>
      <c r="BO54" t="str">
        <v/>
      </c>
      <c r="CE54" t="str">
        <v/>
      </c>
      <c r="CF54" t="e">
        <v>#N/A</v>
      </c>
      <c r="CG54" t="e">
        <v>#N/A</v>
      </c>
      <c r="CH54" t="e">
        <v>#N/A</v>
      </c>
      <c r="CI54" t="e">
        <v>#N/A</v>
      </c>
      <c r="CJ54" t="e">
        <v>#N/A</v>
      </c>
      <c r="CK54" t="e">
        <v>#N/A</v>
      </c>
      <c r="CL54" t="e">
        <v>#N/A</v>
      </c>
      <c r="CM54" t="e">
        <v>#N/A</v>
      </c>
      <c r="CN54" t="e">
        <v>#N/A</v>
      </c>
      <c r="CO54" t="e">
        <v>#N/A</v>
      </c>
      <c r="CP54" t="e">
        <v>#N/A</v>
      </c>
      <c r="CQ54" t="e">
        <v>#N/A</v>
      </c>
      <c r="CR54" t="e">
        <v>#N/A</v>
      </c>
      <c r="CS54" t="e">
        <v>#N/A</v>
      </c>
      <c r="CT54" t="e">
        <v>#N/A</v>
      </c>
      <c r="CU54" t="e">
        <v>#N/A</v>
      </c>
      <c r="CV54" t="e">
        <v>#N/A</v>
      </c>
      <c r="CW54" t="e">
        <v>#N/A</v>
      </c>
      <c r="CX54" t="e">
        <v>#N/A</v>
      </c>
      <c r="CY54" t="e">
        <v>#N/A</v>
      </c>
      <c r="CZ54" t="e">
        <v>#N/A</v>
      </c>
      <c r="DA54" t="e">
        <v>#N/A</v>
      </c>
      <c r="DB54" t="e">
        <v>#N/A</v>
      </c>
      <c r="DC54" t="e">
        <v>#N/A</v>
      </c>
      <c r="DD54" t="e">
        <v>#N/A</v>
      </c>
      <c r="DE54" t="e">
        <v>#N/A</v>
      </c>
      <c r="DF54" t="e">
        <v>#N/A</v>
      </c>
      <c r="DG54" t="e">
        <v>#N/A</v>
      </c>
      <c r="DH54" t="e">
        <v>#N/A</v>
      </c>
      <c r="DI54" t="e">
        <v>#N/A</v>
      </c>
      <c r="DJ54" t="e">
        <v>#N/A</v>
      </c>
      <c r="DK54" t="e">
        <v>#N/A</v>
      </c>
      <c r="DL54" t="e">
        <v>#N/A</v>
      </c>
      <c r="DM54" t="e">
        <v>#N/A</v>
      </c>
      <c r="DN54" t="e">
        <v>#N/A</v>
      </c>
      <c r="DO54" t="e">
        <v>#N/A</v>
      </c>
      <c r="DP54" t="e">
        <v>#N/A</v>
      </c>
      <c r="DQ54" t="e">
        <v>#N/A</v>
      </c>
      <c r="DR54" t="e">
        <v>#N/A</v>
      </c>
      <c r="DS54" t="e">
        <v>#N/A</v>
      </c>
      <c r="DT54" t="e">
        <v>#N/A</v>
      </c>
      <c r="DU54" t="e">
        <v>#N/A</v>
      </c>
      <c r="DV54" t="e">
        <v>#N/A</v>
      </c>
      <c r="DW54" t="e">
        <v>#N/A</v>
      </c>
      <c r="DX54" t="e">
        <v>#N/A</v>
      </c>
      <c r="DY54" t="e">
        <v>#N/A</v>
      </c>
    </row>
    <row r="55" spans="1:129" x14ac:dyDescent="0.25">
      <c r="A55" t="str">
        <v/>
      </c>
      <c r="D55" s="20"/>
      <c r="E55" s="21"/>
      <c r="F55" s="21"/>
      <c r="G55" s="22"/>
      <c r="H55" s="22"/>
      <c r="I55" s="55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AA55" t="str">
        <v/>
      </c>
      <c r="AB55" t="str">
        <v/>
      </c>
      <c r="BL55" t="str">
        <v/>
      </c>
      <c r="BM55" t="str">
        <v/>
      </c>
      <c r="BN55" t="str">
        <v/>
      </c>
      <c r="BO55" t="str">
        <v/>
      </c>
      <c r="CE55" t="str">
        <v/>
      </c>
      <c r="CF55" t="e">
        <v>#N/A</v>
      </c>
      <c r="CG55" t="e">
        <v>#N/A</v>
      </c>
      <c r="CH55" t="e">
        <v>#N/A</v>
      </c>
      <c r="CI55" t="e">
        <v>#N/A</v>
      </c>
      <c r="CJ55" t="e">
        <v>#N/A</v>
      </c>
      <c r="CK55" t="e">
        <v>#N/A</v>
      </c>
      <c r="CL55" t="e">
        <v>#N/A</v>
      </c>
      <c r="CM55" t="e">
        <v>#N/A</v>
      </c>
      <c r="CN55" t="e">
        <v>#N/A</v>
      </c>
      <c r="CO55" t="e">
        <v>#N/A</v>
      </c>
      <c r="CP55" t="e">
        <v>#N/A</v>
      </c>
      <c r="CQ55" t="e">
        <v>#N/A</v>
      </c>
      <c r="CR55" t="e">
        <v>#N/A</v>
      </c>
      <c r="CS55" t="e">
        <v>#N/A</v>
      </c>
      <c r="CT55" t="e">
        <v>#N/A</v>
      </c>
      <c r="CU55" t="e">
        <v>#N/A</v>
      </c>
      <c r="CV55" t="e">
        <v>#N/A</v>
      </c>
      <c r="CW55" t="e">
        <v>#N/A</v>
      </c>
      <c r="CX55" t="e">
        <v>#N/A</v>
      </c>
      <c r="CY55" t="e">
        <v>#N/A</v>
      </c>
      <c r="CZ55" t="e">
        <v>#N/A</v>
      </c>
      <c r="DA55" t="e">
        <v>#N/A</v>
      </c>
      <c r="DB55" t="e">
        <v>#N/A</v>
      </c>
      <c r="DC55" t="e">
        <v>#N/A</v>
      </c>
      <c r="DD55" t="e">
        <v>#N/A</v>
      </c>
      <c r="DE55" t="e">
        <v>#N/A</v>
      </c>
      <c r="DF55" t="e">
        <v>#N/A</v>
      </c>
      <c r="DG55" t="e">
        <v>#N/A</v>
      </c>
      <c r="DH55" t="e">
        <v>#N/A</v>
      </c>
      <c r="DI55" t="e">
        <v>#N/A</v>
      </c>
      <c r="DJ55" t="e">
        <v>#N/A</v>
      </c>
      <c r="DK55" t="e">
        <v>#N/A</v>
      </c>
      <c r="DL55" t="e">
        <v>#N/A</v>
      </c>
      <c r="DM55" t="e">
        <v>#N/A</v>
      </c>
      <c r="DN55" t="e">
        <v>#N/A</v>
      </c>
      <c r="DO55" t="e">
        <v>#N/A</v>
      </c>
      <c r="DP55" t="e">
        <v>#N/A</v>
      </c>
      <c r="DQ55" t="e">
        <v>#N/A</v>
      </c>
      <c r="DR55" t="e">
        <v>#N/A</v>
      </c>
      <c r="DS55" t="e">
        <v>#N/A</v>
      </c>
      <c r="DT55" t="e">
        <v>#N/A</v>
      </c>
      <c r="DU55" t="e">
        <v>#N/A</v>
      </c>
      <c r="DV55" t="e">
        <v>#N/A</v>
      </c>
      <c r="DW55" t="e">
        <v>#N/A</v>
      </c>
      <c r="DX55" t="e">
        <v>#N/A</v>
      </c>
      <c r="DY55" t="e">
        <v>#N/A</v>
      </c>
    </row>
    <row r="56" spans="1:129" x14ac:dyDescent="0.25">
      <c r="A56" t="str">
        <v/>
      </c>
      <c r="D56" s="20"/>
      <c r="E56" s="21"/>
      <c r="F56" s="21"/>
      <c r="G56" s="22"/>
      <c r="H56" s="22"/>
      <c r="I56" s="55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AA56" t="str">
        <v/>
      </c>
      <c r="AB56" t="str">
        <v/>
      </c>
      <c r="BL56" t="str">
        <v/>
      </c>
      <c r="BM56" t="str">
        <v/>
      </c>
      <c r="BN56" t="str">
        <v/>
      </c>
      <c r="BO56" t="str">
        <v/>
      </c>
      <c r="CE56" t="str">
        <v/>
      </c>
      <c r="CF56" t="e">
        <v>#N/A</v>
      </c>
      <c r="CG56" t="e">
        <v>#N/A</v>
      </c>
      <c r="CH56" t="e">
        <v>#N/A</v>
      </c>
      <c r="CI56" t="e">
        <v>#N/A</v>
      </c>
      <c r="CJ56" t="e">
        <v>#N/A</v>
      </c>
      <c r="CK56" t="e">
        <v>#N/A</v>
      </c>
      <c r="CL56" t="e">
        <v>#N/A</v>
      </c>
      <c r="CM56" t="e">
        <v>#N/A</v>
      </c>
      <c r="CN56" t="e">
        <v>#N/A</v>
      </c>
      <c r="CO56" t="e">
        <v>#N/A</v>
      </c>
      <c r="CP56" t="e">
        <v>#N/A</v>
      </c>
      <c r="CQ56" t="e">
        <v>#N/A</v>
      </c>
      <c r="CR56" t="e">
        <v>#N/A</v>
      </c>
      <c r="CS56" t="e">
        <v>#N/A</v>
      </c>
      <c r="CT56" t="e">
        <v>#N/A</v>
      </c>
      <c r="CU56" t="e">
        <v>#N/A</v>
      </c>
      <c r="CV56" t="e">
        <v>#N/A</v>
      </c>
      <c r="CW56" t="e">
        <v>#N/A</v>
      </c>
      <c r="CX56" t="e">
        <v>#N/A</v>
      </c>
      <c r="CY56" t="e">
        <v>#N/A</v>
      </c>
      <c r="CZ56" t="e">
        <v>#N/A</v>
      </c>
      <c r="DA56" t="e">
        <v>#N/A</v>
      </c>
      <c r="DB56" t="e">
        <v>#N/A</v>
      </c>
      <c r="DC56" t="e">
        <v>#N/A</v>
      </c>
      <c r="DD56" t="e">
        <v>#N/A</v>
      </c>
      <c r="DE56" t="e">
        <v>#N/A</v>
      </c>
      <c r="DF56" t="e">
        <v>#N/A</v>
      </c>
      <c r="DG56" t="e">
        <v>#N/A</v>
      </c>
      <c r="DH56" t="e">
        <v>#N/A</v>
      </c>
      <c r="DI56" t="e">
        <v>#N/A</v>
      </c>
      <c r="DJ56" t="e">
        <v>#N/A</v>
      </c>
      <c r="DK56" t="e">
        <v>#N/A</v>
      </c>
      <c r="DL56" t="e">
        <v>#N/A</v>
      </c>
      <c r="DM56" t="e">
        <v>#N/A</v>
      </c>
      <c r="DN56" t="e">
        <v>#N/A</v>
      </c>
      <c r="DO56" t="e">
        <v>#N/A</v>
      </c>
      <c r="DP56" t="e">
        <v>#N/A</v>
      </c>
      <c r="DQ56" t="e">
        <v>#N/A</v>
      </c>
      <c r="DR56" t="e">
        <v>#N/A</v>
      </c>
      <c r="DS56" t="e">
        <v>#N/A</v>
      </c>
      <c r="DT56" t="e">
        <v>#N/A</v>
      </c>
      <c r="DU56" t="e">
        <v>#N/A</v>
      </c>
      <c r="DV56" t="e">
        <v>#N/A</v>
      </c>
      <c r="DW56" t="e">
        <v>#N/A</v>
      </c>
      <c r="DX56" t="e">
        <v>#N/A</v>
      </c>
      <c r="DY56" t="e">
        <v>#N/A</v>
      </c>
    </row>
    <row r="57" spans="1:129" x14ac:dyDescent="0.25">
      <c r="A57" t="str">
        <v/>
      </c>
      <c r="D57" s="20"/>
      <c r="E57" s="21"/>
      <c r="F57" s="21"/>
      <c r="G57" s="22"/>
      <c r="H57" s="22"/>
      <c r="I57" s="55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AA57" t="str">
        <v/>
      </c>
      <c r="AB57" t="str">
        <v/>
      </c>
      <c r="BL57" t="str">
        <v/>
      </c>
      <c r="BM57" t="str">
        <v/>
      </c>
      <c r="BN57" t="str">
        <v/>
      </c>
      <c r="BO57" t="str">
        <v/>
      </c>
      <c r="CE57" t="str">
        <v/>
      </c>
      <c r="CF57" t="e">
        <v>#N/A</v>
      </c>
      <c r="CG57" t="e">
        <v>#N/A</v>
      </c>
      <c r="CH57" t="e">
        <v>#N/A</v>
      </c>
      <c r="CI57" t="e">
        <v>#N/A</v>
      </c>
      <c r="CJ57" t="e">
        <v>#N/A</v>
      </c>
      <c r="CK57" t="e">
        <v>#N/A</v>
      </c>
      <c r="CL57" t="e">
        <v>#N/A</v>
      </c>
      <c r="CM57" t="e">
        <v>#N/A</v>
      </c>
      <c r="CN57" t="e">
        <v>#N/A</v>
      </c>
      <c r="CO57" t="e">
        <v>#N/A</v>
      </c>
      <c r="CP57" t="e">
        <v>#N/A</v>
      </c>
      <c r="CQ57" t="e">
        <v>#N/A</v>
      </c>
      <c r="CR57" t="e">
        <v>#N/A</v>
      </c>
      <c r="CS57" t="e">
        <v>#N/A</v>
      </c>
      <c r="CT57" t="e">
        <v>#N/A</v>
      </c>
      <c r="CU57" t="e">
        <v>#N/A</v>
      </c>
      <c r="CV57" t="e">
        <v>#N/A</v>
      </c>
      <c r="CW57" t="e">
        <v>#N/A</v>
      </c>
      <c r="CX57" t="e">
        <v>#N/A</v>
      </c>
      <c r="CY57" t="e">
        <v>#N/A</v>
      </c>
      <c r="CZ57" t="e">
        <v>#N/A</v>
      </c>
      <c r="DA57" t="e">
        <v>#N/A</v>
      </c>
      <c r="DB57" t="e">
        <v>#N/A</v>
      </c>
      <c r="DC57" t="e">
        <v>#N/A</v>
      </c>
      <c r="DD57" t="e">
        <v>#N/A</v>
      </c>
      <c r="DE57" t="e">
        <v>#N/A</v>
      </c>
      <c r="DF57" t="e">
        <v>#N/A</v>
      </c>
      <c r="DG57" t="e">
        <v>#N/A</v>
      </c>
      <c r="DH57" t="e">
        <v>#N/A</v>
      </c>
      <c r="DI57" t="e">
        <v>#N/A</v>
      </c>
      <c r="DJ57" t="e">
        <v>#N/A</v>
      </c>
      <c r="DK57" t="e">
        <v>#N/A</v>
      </c>
      <c r="DL57" t="e">
        <v>#N/A</v>
      </c>
      <c r="DM57" t="e">
        <v>#N/A</v>
      </c>
      <c r="DN57" t="e">
        <v>#N/A</v>
      </c>
      <c r="DO57" t="e">
        <v>#N/A</v>
      </c>
      <c r="DP57" t="e">
        <v>#N/A</v>
      </c>
      <c r="DQ57" t="e">
        <v>#N/A</v>
      </c>
      <c r="DR57" t="e">
        <v>#N/A</v>
      </c>
      <c r="DS57" t="e">
        <v>#N/A</v>
      </c>
      <c r="DT57" t="e">
        <v>#N/A</v>
      </c>
      <c r="DU57" t="e">
        <v>#N/A</v>
      </c>
      <c r="DV57" t="e">
        <v>#N/A</v>
      </c>
      <c r="DW57" t="e">
        <v>#N/A</v>
      </c>
      <c r="DX57" t="e">
        <v>#N/A</v>
      </c>
      <c r="DY57" t="e">
        <v>#N/A</v>
      </c>
    </row>
    <row r="58" spans="1:129" x14ac:dyDescent="0.25">
      <c r="A58" t="str">
        <v/>
      </c>
      <c r="D58" s="20"/>
      <c r="E58" s="21"/>
      <c r="F58" s="21"/>
      <c r="G58" s="22"/>
      <c r="H58" s="22"/>
      <c r="I58" s="55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AA58" t="str">
        <v/>
      </c>
      <c r="AB58" t="str">
        <v/>
      </c>
      <c r="BL58" t="str">
        <v/>
      </c>
      <c r="BM58" t="str">
        <v/>
      </c>
      <c r="BN58" t="str">
        <v/>
      </c>
      <c r="BO58" t="str">
        <v/>
      </c>
      <c r="CE58" t="str">
        <v/>
      </c>
      <c r="CF58" t="e">
        <v>#N/A</v>
      </c>
      <c r="CG58" t="e">
        <v>#N/A</v>
      </c>
      <c r="CH58" t="e">
        <v>#N/A</v>
      </c>
      <c r="CI58" t="e">
        <v>#N/A</v>
      </c>
      <c r="CJ58" t="e">
        <v>#N/A</v>
      </c>
      <c r="CK58" t="e">
        <v>#N/A</v>
      </c>
      <c r="CL58" t="e">
        <v>#N/A</v>
      </c>
      <c r="CM58" t="e">
        <v>#N/A</v>
      </c>
      <c r="CN58" t="e">
        <v>#N/A</v>
      </c>
      <c r="CO58" t="e">
        <v>#N/A</v>
      </c>
      <c r="CP58" t="e">
        <v>#N/A</v>
      </c>
      <c r="CQ58" t="e">
        <v>#N/A</v>
      </c>
      <c r="CR58" t="e">
        <v>#N/A</v>
      </c>
      <c r="CS58" t="e">
        <v>#N/A</v>
      </c>
      <c r="CT58" t="e">
        <v>#N/A</v>
      </c>
      <c r="CU58" t="e">
        <v>#N/A</v>
      </c>
      <c r="CV58" t="e">
        <v>#N/A</v>
      </c>
      <c r="CW58" t="e">
        <v>#N/A</v>
      </c>
      <c r="CX58" t="e">
        <v>#N/A</v>
      </c>
      <c r="CY58" t="e">
        <v>#N/A</v>
      </c>
      <c r="CZ58" t="e">
        <v>#N/A</v>
      </c>
      <c r="DA58" t="e">
        <v>#N/A</v>
      </c>
      <c r="DB58" t="e">
        <v>#N/A</v>
      </c>
      <c r="DC58" t="e">
        <v>#N/A</v>
      </c>
      <c r="DD58" t="e">
        <v>#N/A</v>
      </c>
      <c r="DE58" t="e">
        <v>#N/A</v>
      </c>
      <c r="DF58" t="e">
        <v>#N/A</v>
      </c>
      <c r="DG58" t="e">
        <v>#N/A</v>
      </c>
      <c r="DH58" t="e">
        <v>#N/A</v>
      </c>
      <c r="DI58" t="e">
        <v>#N/A</v>
      </c>
      <c r="DJ58" t="e">
        <v>#N/A</v>
      </c>
      <c r="DK58" t="e">
        <v>#N/A</v>
      </c>
      <c r="DL58" t="e">
        <v>#N/A</v>
      </c>
      <c r="DM58" t="e">
        <v>#N/A</v>
      </c>
      <c r="DN58" t="e">
        <v>#N/A</v>
      </c>
      <c r="DO58" t="e">
        <v>#N/A</v>
      </c>
      <c r="DP58" t="e">
        <v>#N/A</v>
      </c>
      <c r="DQ58" t="e">
        <v>#N/A</v>
      </c>
      <c r="DR58" t="e">
        <v>#N/A</v>
      </c>
      <c r="DS58" t="e">
        <v>#N/A</v>
      </c>
      <c r="DT58" t="e">
        <v>#N/A</v>
      </c>
      <c r="DU58" t="e">
        <v>#N/A</v>
      </c>
      <c r="DV58" t="e">
        <v>#N/A</v>
      </c>
      <c r="DW58" t="e">
        <v>#N/A</v>
      </c>
      <c r="DX58" t="e">
        <v>#N/A</v>
      </c>
      <c r="DY58" t="e">
        <v>#N/A</v>
      </c>
    </row>
    <row r="59" spans="1:129" x14ac:dyDescent="0.25">
      <c r="A59" t="str">
        <v/>
      </c>
      <c r="D59" s="20"/>
      <c r="E59" s="21"/>
      <c r="F59" s="21"/>
      <c r="G59" s="22"/>
      <c r="H59" s="22"/>
      <c r="I59" s="55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AA59" t="str">
        <v/>
      </c>
      <c r="AB59" t="str">
        <v/>
      </c>
      <c r="BL59" t="str">
        <v/>
      </c>
      <c r="BM59" t="str">
        <v/>
      </c>
      <c r="BN59" t="str">
        <v/>
      </c>
      <c r="BO59" t="str">
        <v/>
      </c>
      <c r="CE59" t="str">
        <v/>
      </c>
      <c r="CF59" t="e">
        <v>#N/A</v>
      </c>
      <c r="CG59" t="e">
        <v>#N/A</v>
      </c>
      <c r="CH59" t="e">
        <v>#N/A</v>
      </c>
      <c r="CI59" t="e">
        <v>#N/A</v>
      </c>
      <c r="CJ59" t="e">
        <v>#N/A</v>
      </c>
      <c r="CK59" t="e">
        <v>#N/A</v>
      </c>
      <c r="CL59" t="e">
        <v>#N/A</v>
      </c>
      <c r="CM59" t="e">
        <v>#N/A</v>
      </c>
      <c r="CN59" t="e">
        <v>#N/A</v>
      </c>
      <c r="CO59" t="e">
        <v>#N/A</v>
      </c>
      <c r="CP59" t="e">
        <v>#N/A</v>
      </c>
      <c r="CQ59" t="e">
        <v>#N/A</v>
      </c>
      <c r="CR59" t="e">
        <v>#N/A</v>
      </c>
      <c r="CS59" t="e">
        <v>#N/A</v>
      </c>
      <c r="CT59" t="e">
        <v>#N/A</v>
      </c>
      <c r="CU59" t="e">
        <v>#N/A</v>
      </c>
      <c r="CV59" t="e">
        <v>#N/A</v>
      </c>
      <c r="CW59" t="e">
        <v>#N/A</v>
      </c>
      <c r="CX59" t="e">
        <v>#N/A</v>
      </c>
      <c r="CY59" t="e">
        <v>#N/A</v>
      </c>
      <c r="CZ59" t="e">
        <v>#N/A</v>
      </c>
      <c r="DA59" t="e">
        <v>#N/A</v>
      </c>
      <c r="DB59" t="e">
        <v>#N/A</v>
      </c>
      <c r="DC59" t="e">
        <v>#N/A</v>
      </c>
      <c r="DD59" t="e">
        <v>#N/A</v>
      </c>
      <c r="DE59" t="e">
        <v>#N/A</v>
      </c>
      <c r="DF59" t="e">
        <v>#N/A</v>
      </c>
      <c r="DG59" t="e">
        <v>#N/A</v>
      </c>
      <c r="DH59" t="e">
        <v>#N/A</v>
      </c>
      <c r="DI59" t="e">
        <v>#N/A</v>
      </c>
      <c r="DJ59" t="e">
        <v>#N/A</v>
      </c>
      <c r="DK59" t="e">
        <v>#N/A</v>
      </c>
      <c r="DL59" t="e">
        <v>#N/A</v>
      </c>
      <c r="DM59" t="e">
        <v>#N/A</v>
      </c>
      <c r="DN59" t="e">
        <v>#N/A</v>
      </c>
      <c r="DO59" t="e">
        <v>#N/A</v>
      </c>
      <c r="DP59" t="e">
        <v>#N/A</v>
      </c>
      <c r="DQ59" t="e">
        <v>#N/A</v>
      </c>
      <c r="DR59" t="e">
        <v>#N/A</v>
      </c>
      <c r="DS59" t="e">
        <v>#N/A</v>
      </c>
      <c r="DT59" t="e">
        <v>#N/A</v>
      </c>
      <c r="DU59" t="e">
        <v>#N/A</v>
      </c>
      <c r="DV59" t="e">
        <v>#N/A</v>
      </c>
      <c r="DW59" t="e">
        <v>#N/A</v>
      </c>
      <c r="DX59" t="e">
        <v>#N/A</v>
      </c>
      <c r="DY59" t="e">
        <v>#N/A</v>
      </c>
    </row>
    <row r="60" spans="1:129" x14ac:dyDescent="0.25">
      <c r="A60" t="str">
        <v/>
      </c>
      <c r="D60" s="20"/>
      <c r="E60" s="21"/>
      <c r="F60" s="21"/>
      <c r="G60" s="22"/>
      <c r="H60" s="22"/>
      <c r="I60" s="55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AA60" t="str">
        <v/>
      </c>
      <c r="AB60" t="str">
        <v/>
      </c>
      <c r="BL60" t="str">
        <v/>
      </c>
      <c r="BM60" t="str">
        <v/>
      </c>
      <c r="BN60" t="str">
        <v/>
      </c>
      <c r="BO60" t="str">
        <v/>
      </c>
      <c r="CE60" t="str">
        <v/>
      </c>
      <c r="CF60" t="e">
        <v>#N/A</v>
      </c>
      <c r="CG60" t="e">
        <v>#N/A</v>
      </c>
      <c r="CH60" t="e">
        <v>#N/A</v>
      </c>
      <c r="CI60" t="e">
        <v>#N/A</v>
      </c>
      <c r="CJ60" t="e">
        <v>#N/A</v>
      </c>
      <c r="CK60" t="e">
        <v>#N/A</v>
      </c>
      <c r="CL60" t="e">
        <v>#N/A</v>
      </c>
      <c r="CM60" t="e">
        <v>#N/A</v>
      </c>
      <c r="CN60" t="e">
        <v>#N/A</v>
      </c>
      <c r="CO60" t="e">
        <v>#N/A</v>
      </c>
      <c r="CP60" t="e">
        <v>#N/A</v>
      </c>
      <c r="CQ60" t="e">
        <v>#N/A</v>
      </c>
      <c r="CR60" t="e">
        <v>#N/A</v>
      </c>
      <c r="CS60" t="e">
        <v>#N/A</v>
      </c>
      <c r="CT60" t="e">
        <v>#N/A</v>
      </c>
      <c r="CU60" t="e">
        <v>#N/A</v>
      </c>
      <c r="CV60" t="e">
        <v>#N/A</v>
      </c>
      <c r="CW60" t="e">
        <v>#N/A</v>
      </c>
      <c r="CX60" t="e">
        <v>#N/A</v>
      </c>
      <c r="CY60" t="e">
        <v>#N/A</v>
      </c>
      <c r="CZ60" t="e">
        <v>#N/A</v>
      </c>
      <c r="DA60" t="e">
        <v>#N/A</v>
      </c>
      <c r="DB60" t="e">
        <v>#N/A</v>
      </c>
      <c r="DC60" t="e">
        <v>#N/A</v>
      </c>
      <c r="DD60" t="e">
        <v>#N/A</v>
      </c>
      <c r="DE60" t="e">
        <v>#N/A</v>
      </c>
      <c r="DF60" t="e">
        <v>#N/A</v>
      </c>
      <c r="DG60" t="e">
        <v>#N/A</v>
      </c>
      <c r="DH60" t="e">
        <v>#N/A</v>
      </c>
      <c r="DI60" t="e">
        <v>#N/A</v>
      </c>
      <c r="DJ60" t="e">
        <v>#N/A</v>
      </c>
      <c r="DK60" t="e">
        <v>#N/A</v>
      </c>
      <c r="DL60" t="e">
        <v>#N/A</v>
      </c>
      <c r="DM60" t="e">
        <v>#N/A</v>
      </c>
      <c r="DN60" t="e">
        <v>#N/A</v>
      </c>
      <c r="DO60" t="e">
        <v>#N/A</v>
      </c>
      <c r="DP60" t="e">
        <v>#N/A</v>
      </c>
      <c r="DQ60" t="e">
        <v>#N/A</v>
      </c>
      <c r="DR60" t="e">
        <v>#N/A</v>
      </c>
      <c r="DS60" t="e">
        <v>#N/A</v>
      </c>
      <c r="DT60" t="e">
        <v>#N/A</v>
      </c>
      <c r="DU60" t="e">
        <v>#N/A</v>
      </c>
      <c r="DV60" t="e">
        <v>#N/A</v>
      </c>
      <c r="DW60" t="e">
        <v>#N/A</v>
      </c>
      <c r="DX60" t="e">
        <v>#N/A</v>
      </c>
      <c r="DY60" t="e">
        <v>#N/A</v>
      </c>
    </row>
    <row r="61" spans="1:129" x14ac:dyDescent="0.25">
      <c r="A61" t="str">
        <v/>
      </c>
      <c r="D61" s="20"/>
      <c r="E61" s="21"/>
      <c r="F61" s="21"/>
      <c r="G61" s="22"/>
      <c r="H61" s="22"/>
      <c r="I61" s="55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AA61" t="str">
        <v/>
      </c>
      <c r="AB61" t="str">
        <v/>
      </c>
      <c r="BL61" t="str">
        <v/>
      </c>
      <c r="BM61" t="str">
        <v/>
      </c>
      <c r="BN61" t="str">
        <v/>
      </c>
      <c r="BO61" t="str">
        <v/>
      </c>
      <c r="CE61" t="str">
        <v/>
      </c>
      <c r="CF61" t="e">
        <v>#N/A</v>
      </c>
      <c r="CG61" t="e">
        <v>#N/A</v>
      </c>
      <c r="CH61" t="e">
        <v>#N/A</v>
      </c>
      <c r="CI61" t="e">
        <v>#N/A</v>
      </c>
      <c r="CJ61" t="e">
        <v>#N/A</v>
      </c>
      <c r="CK61" t="e">
        <v>#N/A</v>
      </c>
      <c r="CL61" t="e">
        <v>#N/A</v>
      </c>
      <c r="CM61" t="e">
        <v>#N/A</v>
      </c>
      <c r="CN61" t="e">
        <v>#N/A</v>
      </c>
      <c r="CO61" t="e">
        <v>#N/A</v>
      </c>
      <c r="CP61" t="e">
        <v>#N/A</v>
      </c>
      <c r="CQ61" t="e">
        <v>#N/A</v>
      </c>
      <c r="CR61" t="e">
        <v>#N/A</v>
      </c>
      <c r="CS61" t="e">
        <v>#N/A</v>
      </c>
      <c r="CT61" t="e">
        <v>#N/A</v>
      </c>
      <c r="CU61" t="e">
        <v>#N/A</v>
      </c>
      <c r="CV61" t="e">
        <v>#N/A</v>
      </c>
      <c r="CW61" t="e">
        <v>#N/A</v>
      </c>
      <c r="CX61" t="e">
        <v>#N/A</v>
      </c>
      <c r="CY61" t="e">
        <v>#N/A</v>
      </c>
      <c r="CZ61" t="e">
        <v>#N/A</v>
      </c>
      <c r="DA61" t="e">
        <v>#N/A</v>
      </c>
      <c r="DB61" t="e">
        <v>#N/A</v>
      </c>
      <c r="DC61" t="e">
        <v>#N/A</v>
      </c>
      <c r="DD61" t="e">
        <v>#N/A</v>
      </c>
      <c r="DE61" t="e">
        <v>#N/A</v>
      </c>
      <c r="DF61" t="e">
        <v>#N/A</v>
      </c>
      <c r="DG61" t="e">
        <v>#N/A</v>
      </c>
      <c r="DH61" t="e">
        <v>#N/A</v>
      </c>
      <c r="DI61" t="e">
        <v>#N/A</v>
      </c>
      <c r="DJ61" t="e">
        <v>#N/A</v>
      </c>
      <c r="DK61" t="e">
        <v>#N/A</v>
      </c>
      <c r="DL61" t="e">
        <v>#N/A</v>
      </c>
      <c r="DM61" t="e">
        <v>#N/A</v>
      </c>
      <c r="DN61" t="e">
        <v>#N/A</v>
      </c>
      <c r="DO61" t="e">
        <v>#N/A</v>
      </c>
      <c r="DP61" t="e">
        <v>#N/A</v>
      </c>
      <c r="DQ61" t="e">
        <v>#N/A</v>
      </c>
      <c r="DR61" t="e">
        <v>#N/A</v>
      </c>
      <c r="DS61" t="e">
        <v>#N/A</v>
      </c>
      <c r="DT61" t="e">
        <v>#N/A</v>
      </c>
      <c r="DU61" t="e">
        <v>#N/A</v>
      </c>
      <c r="DV61" t="e">
        <v>#N/A</v>
      </c>
      <c r="DW61" t="e">
        <v>#N/A</v>
      </c>
      <c r="DX61" t="e">
        <v>#N/A</v>
      </c>
      <c r="DY61" t="e">
        <v>#N/A</v>
      </c>
    </row>
    <row r="62" spans="1:129" x14ac:dyDescent="0.25">
      <c r="A62" t="str">
        <v/>
      </c>
      <c r="D62" s="20"/>
      <c r="E62" s="21"/>
      <c r="F62" s="21"/>
      <c r="G62" s="22"/>
      <c r="H62" s="22"/>
      <c r="I62" s="55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AA62" t="str">
        <v/>
      </c>
      <c r="AB62" t="str">
        <v/>
      </c>
      <c r="BL62" t="str">
        <v/>
      </c>
      <c r="BM62" t="str">
        <v/>
      </c>
      <c r="BN62" t="str">
        <v/>
      </c>
      <c r="BO62" t="str">
        <v/>
      </c>
      <c r="CE62" t="str">
        <v/>
      </c>
      <c r="CF62" t="e">
        <v>#N/A</v>
      </c>
      <c r="CG62" t="e">
        <v>#N/A</v>
      </c>
      <c r="CH62" t="e">
        <v>#N/A</v>
      </c>
      <c r="CI62" t="e">
        <v>#N/A</v>
      </c>
      <c r="CJ62" t="e">
        <v>#N/A</v>
      </c>
      <c r="CK62" t="e">
        <v>#N/A</v>
      </c>
      <c r="CL62" t="e">
        <v>#N/A</v>
      </c>
      <c r="CM62" t="e">
        <v>#N/A</v>
      </c>
      <c r="CN62" t="e">
        <v>#N/A</v>
      </c>
      <c r="CO62" t="e">
        <v>#N/A</v>
      </c>
      <c r="CP62" t="e">
        <v>#N/A</v>
      </c>
      <c r="CQ62" t="e">
        <v>#N/A</v>
      </c>
      <c r="CR62" t="e">
        <v>#N/A</v>
      </c>
      <c r="CS62" t="e">
        <v>#N/A</v>
      </c>
      <c r="CT62" t="e">
        <v>#N/A</v>
      </c>
      <c r="CU62" t="e">
        <v>#N/A</v>
      </c>
      <c r="CV62" t="e">
        <v>#N/A</v>
      </c>
      <c r="CW62" t="e">
        <v>#N/A</v>
      </c>
      <c r="CX62" t="e">
        <v>#N/A</v>
      </c>
      <c r="CY62" t="e">
        <v>#N/A</v>
      </c>
      <c r="CZ62" t="e">
        <v>#N/A</v>
      </c>
      <c r="DA62" t="e">
        <v>#N/A</v>
      </c>
      <c r="DB62" t="e">
        <v>#N/A</v>
      </c>
      <c r="DC62" t="e">
        <v>#N/A</v>
      </c>
      <c r="DD62" t="e">
        <v>#N/A</v>
      </c>
      <c r="DE62" t="e">
        <v>#N/A</v>
      </c>
      <c r="DF62" t="e">
        <v>#N/A</v>
      </c>
      <c r="DG62" t="e">
        <v>#N/A</v>
      </c>
      <c r="DH62" t="e">
        <v>#N/A</v>
      </c>
      <c r="DI62" t="e">
        <v>#N/A</v>
      </c>
      <c r="DJ62" t="e">
        <v>#N/A</v>
      </c>
      <c r="DK62" t="e">
        <v>#N/A</v>
      </c>
      <c r="DL62" t="e">
        <v>#N/A</v>
      </c>
      <c r="DM62" t="e">
        <v>#N/A</v>
      </c>
      <c r="DN62" t="e">
        <v>#N/A</v>
      </c>
      <c r="DO62" t="e">
        <v>#N/A</v>
      </c>
      <c r="DP62" t="e">
        <v>#N/A</v>
      </c>
      <c r="DQ62" t="e">
        <v>#N/A</v>
      </c>
      <c r="DR62" t="e">
        <v>#N/A</v>
      </c>
      <c r="DS62" t="e">
        <v>#N/A</v>
      </c>
      <c r="DT62" t="e">
        <v>#N/A</v>
      </c>
      <c r="DU62" t="e">
        <v>#N/A</v>
      </c>
      <c r="DV62" t="e">
        <v>#N/A</v>
      </c>
      <c r="DW62" t="e">
        <v>#N/A</v>
      </c>
      <c r="DX62" t="e">
        <v>#N/A</v>
      </c>
      <c r="DY62" t="e">
        <v>#N/A</v>
      </c>
    </row>
    <row r="63" spans="1:129" x14ac:dyDescent="0.25">
      <c r="A63" t="str">
        <v/>
      </c>
      <c r="D63" s="20"/>
      <c r="E63" s="21"/>
      <c r="F63" s="21"/>
      <c r="G63" s="22"/>
      <c r="H63" s="22"/>
      <c r="I63" s="55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AA63" t="str">
        <v/>
      </c>
      <c r="AB63" t="str">
        <v/>
      </c>
      <c r="BL63" t="str">
        <v/>
      </c>
      <c r="BM63" t="str">
        <v/>
      </c>
      <c r="BN63" t="str">
        <v/>
      </c>
      <c r="BO63" t="str">
        <v/>
      </c>
      <c r="CE63" t="str">
        <v/>
      </c>
      <c r="CF63" t="e">
        <v>#N/A</v>
      </c>
      <c r="CG63" t="e">
        <v>#N/A</v>
      </c>
      <c r="CH63" t="e">
        <v>#N/A</v>
      </c>
      <c r="CI63" t="e">
        <v>#N/A</v>
      </c>
      <c r="CJ63" t="e">
        <v>#N/A</v>
      </c>
      <c r="CK63" t="e">
        <v>#N/A</v>
      </c>
      <c r="CL63" t="e">
        <v>#N/A</v>
      </c>
      <c r="CM63" t="e">
        <v>#N/A</v>
      </c>
      <c r="CN63" t="e">
        <v>#N/A</v>
      </c>
      <c r="CO63" t="e">
        <v>#N/A</v>
      </c>
      <c r="CP63" t="e">
        <v>#N/A</v>
      </c>
      <c r="CQ63" t="e">
        <v>#N/A</v>
      </c>
      <c r="CR63" t="e">
        <v>#N/A</v>
      </c>
      <c r="CS63" t="e">
        <v>#N/A</v>
      </c>
      <c r="CT63" t="e">
        <v>#N/A</v>
      </c>
      <c r="CU63" t="e">
        <v>#N/A</v>
      </c>
      <c r="CV63" t="e">
        <v>#N/A</v>
      </c>
      <c r="CW63" t="e">
        <v>#N/A</v>
      </c>
      <c r="CX63" t="e">
        <v>#N/A</v>
      </c>
      <c r="CY63" t="e">
        <v>#N/A</v>
      </c>
      <c r="CZ63" t="e">
        <v>#N/A</v>
      </c>
      <c r="DA63" t="e">
        <v>#N/A</v>
      </c>
      <c r="DB63" t="e">
        <v>#N/A</v>
      </c>
      <c r="DC63" t="e">
        <v>#N/A</v>
      </c>
      <c r="DD63" t="e">
        <v>#N/A</v>
      </c>
      <c r="DE63" t="e">
        <v>#N/A</v>
      </c>
      <c r="DF63" t="e">
        <v>#N/A</v>
      </c>
      <c r="DG63" t="e">
        <v>#N/A</v>
      </c>
      <c r="DH63" t="e">
        <v>#N/A</v>
      </c>
      <c r="DI63" t="e">
        <v>#N/A</v>
      </c>
      <c r="DJ63" t="e">
        <v>#N/A</v>
      </c>
      <c r="DK63" t="e">
        <v>#N/A</v>
      </c>
      <c r="DL63" t="e">
        <v>#N/A</v>
      </c>
      <c r="DM63" t="e">
        <v>#N/A</v>
      </c>
      <c r="DN63" t="e">
        <v>#N/A</v>
      </c>
      <c r="DO63" t="e">
        <v>#N/A</v>
      </c>
      <c r="DP63" t="e">
        <v>#N/A</v>
      </c>
      <c r="DQ63" t="e">
        <v>#N/A</v>
      </c>
      <c r="DR63" t="e">
        <v>#N/A</v>
      </c>
      <c r="DS63" t="e">
        <v>#N/A</v>
      </c>
      <c r="DT63" t="e">
        <v>#N/A</v>
      </c>
      <c r="DU63" t="e">
        <v>#N/A</v>
      </c>
      <c r="DV63" t="e">
        <v>#N/A</v>
      </c>
      <c r="DW63" t="e">
        <v>#N/A</v>
      </c>
      <c r="DX63" t="e">
        <v>#N/A</v>
      </c>
      <c r="DY63" t="e">
        <v>#N/A</v>
      </c>
    </row>
    <row r="64" spans="1:129" x14ac:dyDescent="0.25">
      <c r="A64" t="str">
        <v/>
      </c>
      <c r="D64" s="20"/>
      <c r="E64" s="21"/>
      <c r="F64" s="21"/>
      <c r="G64" s="22"/>
      <c r="H64" s="22"/>
      <c r="I64" s="55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AA64" t="str">
        <v/>
      </c>
      <c r="AB64" t="str">
        <v/>
      </c>
      <c r="BL64" t="str">
        <v/>
      </c>
      <c r="BM64" t="str">
        <v/>
      </c>
      <c r="BN64" t="str">
        <v/>
      </c>
      <c r="BO64" t="str">
        <v/>
      </c>
      <c r="CE64" t="str">
        <v/>
      </c>
      <c r="CF64" t="e">
        <v>#N/A</v>
      </c>
      <c r="CG64" t="e">
        <v>#N/A</v>
      </c>
      <c r="CH64" t="e">
        <v>#N/A</v>
      </c>
      <c r="CI64" t="e">
        <v>#N/A</v>
      </c>
      <c r="CJ64" t="e">
        <v>#N/A</v>
      </c>
      <c r="CK64" t="e">
        <v>#N/A</v>
      </c>
      <c r="CL64" t="e">
        <v>#N/A</v>
      </c>
      <c r="CM64" t="e">
        <v>#N/A</v>
      </c>
      <c r="CN64" t="e">
        <v>#N/A</v>
      </c>
      <c r="CO64" t="e">
        <v>#N/A</v>
      </c>
      <c r="CP64" t="e">
        <v>#N/A</v>
      </c>
      <c r="CQ64" t="e">
        <v>#N/A</v>
      </c>
      <c r="CR64" t="e">
        <v>#N/A</v>
      </c>
      <c r="CS64" t="e">
        <v>#N/A</v>
      </c>
      <c r="CT64" t="e">
        <v>#N/A</v>
      </c>
      <c r="CU64" t="e">
        <v>#N/A</v>
      </c>
      <c r="CV64" t="e">
        <v>#N/A</v>
      </c>
      <c r="CW64" t="e">
        <v>#N/A</v>
      </c>
      <c r="CX64" t="e">
        <v>#N/A</v>
      </c>
      <c r="CY64" t="e">
        <v>#N/A</v>
      </c>
      <c r="CZ64" t="e">
        <v>#N/A</v>
      </c>
      <c r="DA64" t="e">
        <v>#N/A</v>
      </c>
      <c r="DB64" t="e">
        <v>#N/A</v>
      </c>
      <c r="DC64" t="e">
        <v>#N/A</v>
      </c>
      <c r="DD64" t="e">
        <v>#N/A</v>
      </c>
      <c r="DE64" t="e">
        <v>#N/A</v>
      </c>
      <c r="DF64" t="e">
        <v>#N/A</v>
      </c>
      <c r="DG64" t="e">
        <v>#N/A</v>
      </c>
      <c r="DH64" t="e">
        <v>#N/A</v>
      </c>
      <c r="DI64" t="e">
        <v>#N/A</v>
      </c>
      <c r="DJ64" t="e">
        <v>#N/A</v>
      </c>
      <c r="DK64" t="e">
        <v>#N/A</v>
      </c>
      <c r="DL64" t="e">
        <v>#N/A</v>
      </c>
      <c r="DM64" t="e">
        <v>#N/A</v>
      </c>
      <c r="DN64" t="e">
        <v>#N/A</v>
      </c>
      <c r="DO64" t="e">
        <v>#N/A</v>
      </c>
      <c r="DP64" t="e">
        <v>#N/A</v>
      </c>
      <c r="DQ64" t="e">
        <v>#N/A</v>
      </c>
      <c r="DR64" t="e">
        <v>#N/A</v>
      </c>
      <c r="DS64" t="e">
        <v>#N/A</v>
      </c>
      <c r="DT64" t="e">
        <v>#N/A</v>
      </c>
      <c r="DU64" t="e">
        <v>#N/A</v>
      </c>
      <c r="DV64" t="e">
        <v>#N/A</v>
      </c>
      <c r="DW64" t="e">
        <v>#N/A</v>
      </c>
      <c r="DX64" t="e">
        <v>#N/A</v>
      </c>
      <c r="DY64" t="e">
        <v>#N/A</v>
      </c>
    </row>
    <row r="65" spans="1:129" x14ac:dyDescent="0.25">
      <c r="A65" t="str">
        <v/>
      </c>
      <c r="D65" s="20"/>
      <c r="E65" s="21"/>
      <c r="F65" s="21"/>
      <c r="G65" s="22"/>
      <c r="H65" s="22"/>
      <c r="I65" s="55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AA65" t="str">
        <v/>
      </c>
      <c r="AB65" t="str">
        <v/>
      </c>
      <c r="BL65" t="str">
        <v/>
      </c>
      <c r="BM65" t="str">
        <v/>
      </c>
      <c r="BN65" t="str">
        <v/>
      </c>
      <c r="BO65" t="str">
        <v/>
      </c>
      <c r="CE65" t="str">
        <v/>
      </c>
      <c r="CF65" t="e">
        <v>#N/A</v>
      </c>
      <c r="CG65" t="e">
        <v>#N/A</v>
      </c>
      <c r="CH65" t="e">
        <v>#N/A</v>
      </c>
      <c r="CI65" t="e">
        <v>#N/A</v>
      </c>
      <c r="CJ65" t="e">
        <v>#N/A</v>
      </c>
      <c r="CK65" t="e">
        <v>#N/A</v>
      </c>
      <c r="CL65" t="e">
        <v>#N/A</v>
      </c>
      <c r="CM65" t="e">
        <v>#N/A</v>
      </c>
      <c r="CN65" t="e">
        <v>#N/A</v>
      </c>
      <c r="CO65" t="e">
        <v>#N/A</v>
      </c>
      <c r="CP65" t="e">
        <v>#N/A</v>
      </c>
      <c r="CQ65" t="e">
        <v>#N/A</v>
      </c>
      <c r="CR65" t="e">
        <v>#N/A</v>
      </c>
      <c r="CS65" t="e">
        <v>#N/A</v>
      </c>
      <c r="CT65" t="e">
        <v>#N/A</v>
      </c>
      <c r="CU65" t="e">
        <v>#N/A</v>
      </c>
      <c r="CV65" t="e">
        <v>#N/A</v>
      </c>
      <c r="CW65" t="e">
        <v>#N/A</v>
      </c>
      <c r="CX65" t="e">
        <v>#N/A</v>
      </c>
      <c r="CY65" t="e">
        <v>#N/A</v>
      </c>
      <c r="CZ65" t="e">
        <v>#N/A</v>
      </c>
      <c r="DA65" t="e">
        <v>#N/A</v>
      </c>
      <c r="DB65" t="e">
        <v>#N/A</v>
      </c>
      <c r="DC65" t="e">
        <v>#N/A</v>
      </c>
      <c r="DD65" t="e">
        <v>#N/A</v>
      </c>
      <c r="DE65" t="e">
        <v>#N/A</v>
      </c>
      <c r="DF65" t="e">
        <v>#N/A</v>
      </c>
      <c r="DG65" t="e">
        <v>#N/A</v>
      </c>
      <c r="DH65" t="e">
        <v>#N/A</v>
      </c>
      <c r="DI65" t="e">
        <v>#N/A</v>
      </c>
      <c r="DJ65" t="e">
        <v>#N/A</v>
      </c>
      <c r="DK65" t="e">
        <v>#N/A</v>
      </c>
      <c r="DL65" t="e">
        <v>#N/A</v>
      </c>
      <c r="DM65" t="e">
        <v>#N/A</v>
      </c>
      <c r="DN65" t="e">
        <v>#N/A</v>
      </c>
      <c r="DO65" t="e">
        <v>#N/A</v>
      </c>
      <c r="DP65" t="e">
        <v>#N/A</v>
      </c>
      <c r="DQ65" t="e">
        <v>#N/A</v>
      </c>
      <c r="DR65" t="e">
        <v>#N/A</v>
      </c>
      <c r="DS65" t="e">
        <v>#N/A</v>
      </c>
      <c r="DT65" t="e">
        <v>#N/A</v>
      </c>
      <c r="DU65" t="e">
        <v>#N/A</v>
      </c>
      <c r="DV65" t="e">
        <v>#N/A</v>
      </c>
      <c r="DW65" t="e">
        <v>#N/A</v>
      </c>
      <c r="DX65" t="e">
        <v>#N/A</v>
      </c>
      <c r="DY65" t="e">
        <v>#N/A</v>
      </c>
    </row>
    <row r="66" spans="1:129" x14ac:dyDescent="0.25">
      <c r="A66" t="str">
        <v/>
      </c>
      <c r="D66" s="20"/>
      <c r="E66" s="21"/>
      <c r="F66" s="21"/>
      <c r="G66" s="22"/>
      <c r="H66" s="22"/>
      <c r="I66" s="55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AA66" t="str">
        <v/>
      </c>
      <c r="AB66" t="str">
        <v/>
      </c>
      <c r="BL66" t="str">
        <v/>
      </c>
      <c r="BM66" t="str">
        <v/>
      </c>
      <c r="BN66" t="str">
        <v/>
      </c>
      <c r="BO66" t="str">
        <v/>
      </c>
      <c r="CE66" t="str">
        <v/>
      </c>
      <c r="CF66" t="e">
        <v>#N/A</v>
      </c>
      <c r="CG66" t="e">
        <v>#N/A</v>
      </c>
      <c r="CH66" t="e">
        <v>#N/A</v>
      </c>
      <c r="CI66" t="e">
        <v>#N/A</v>
      </c>
      <c r="CJ66" t="e">
        <v>#N/A</v>
      </c>
      <c r="CK66" t="e">
        <v>#N/A</v>
      </c>
      <c r="CL66" t="e">
        <v>#N/A</v>
      </c>
      <c r="CM66" t="e">
        <v>#N/A</v>
      </c>
      <c r="CN66" t="e">
        <v>#N/A</v>
      </c>
      <c r="CO66" t="e">
        <v>#N/A</v>
      </c>
      <c r="CP66" t="e">
        <v>#N/A</v>
      </c>
      <c r="CQ66" t="e">
        <v>#N/A</v>
      </c>
      <c r="CR66" t="e">
        <v>#N/A</v>
      </c>
      <c r="CS66" t="e">
        <v>#N/A</v>
      </c>
      <c r="CT66" t="e">
        <v>#N/A</v>
      </c>
      <c r="CU66" t="e">
        <v>#N/A</v>
      </c>
      <c r="CV66" t="e">
        <v>#N/A</v>
      </c>
      <c r="CW66" t="e">
        <v>#N/A</v>
      </c>
      <c r="CX66" t="e">
        <v>#N/A</v>
      </c>
      <c r="CY66" t="e">
        <v>#N/A</v>
      </c>
      <c r="CZ66" t="e">
        <v>#N/A</v>
      </c>
      <c r="DA66" t="e">
        <v>#N/A</v>
      </c>
      <c r="DB66" t="e">
        <v>#N/A</v>
      </c>
      <c r="DC66" t="e">
        <v>#N/A</v>
      </c>
      <c r="DD66" t="e">
        <v>#N/A</v>
      </c>
      <c r="DE66" t="e">
        <v>#N/A</v>
      </c>
      <c r="DF66" t="e">
        <v>#N/A</v>
      </c>
      <c r="DG66" t="e">
        <v>#N/A</v>
      </c>
      <c r="DH66" t="e">
        <v>#N/A</v>
      </c>
      <c r="DI66" t="e">
        <v>#N/A</v>
      </c>
      <c r="DJ66" t="e">
        <v>#N/A</v>
      </c>
      <c r="DK66" t="e">
        <v>#N/A</v>
      </c>
      <c r="DL66" t="e">
        <v>#N/A</v>
      </c>
      <c r="DM66" t="e">
        <v>#N/A</v>
      </c>
      <c r="DN66" t="e">
        <v>#N/A</v>
      </c>
      <c r="DO66" t="e">
        <v>#N/A</v>
      </c>
      <c r="DP66" t="e">
        <v>#N/A</v>
      </c>
      <c r="DQ66" t="e">
        <v>#N/A</v>
      </c>
      <c r="DR66" t="e">
        <v>#N/A</v>
      </c>
      <c r="DS66" t="e">
        <v>#N/A</v>
      </c>
      <c r="DT66" t="e">
        <v>#N/A</v>
      </c>
      <c r="DU66" t="e">
        <v>#N/A</v>
      </c>
      <c r="DV66" t="e">
        <v>#N/A</v>
      </c>
      <c r="DW66" t="e">
        <v>#N/A</v>
      </c>
      <c r="DX66" t="e">
        <v>#N/A</v>
      </c>
      <c r="DY66" t="e">
        <v>#N/A</v>
      </c>
    </row>
    <row r="67" spans="1:129" x14ac:dyDescent="0.25">
      <c r="A67" t="str">
        <v/>
      </c>
      <c r="D67" s="20"/>
      <c r="E67" s="21"/>
      <c r="F67" s="21"/>
      <c r="G67" s="22"/>
      <c r="H67" s="22"/>
      <c r="I67" s="55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AA67" t="str">
        <v/>
      </c>
      <c r="AB67" t="str">
        <v/>
      </c>
      <c r="BL67" t="str">
        <v/>
      </c>
      <c r="BM67" t="str">
        <v/>
      </c>
      <c r="BN67" t="str">
        <v/>
      </c>
      <c r="BO67" t="str">
        <v/>
      </c>
      <c r="CE67" t="str">
        <v/>
      </c>
      <c r="CF67" t="e">
        <v>#N/A</v>
      </c>
      <c r="CG67" t="e">
        <v>#N/A</v>
      </c>
      <c r="CH67" t="e">
        <v>#N/A</v>
      </c>
      <c r="CI67" t="e">
        <v>#N/A</v>
      </c>
      <c r="CJ67" t="e">
        <v>#N/A</v>
      </c>
      <c r="CK67" t="e">
        <v>#N/A</v>
      </c>
      <c r="CL67" t="e">
        <v>#N/A</v>
      </c>
      <c r="CM67" t="e">
        <v>#N/A</v>
      </c>
      <c r="CN67" t="e">
        <v>#N/A</v>
      </c>
      <c r="CO67" t="e">
        <v>#N/A</v>
      </c>
      <c r="CP67" t="e">
        <v>#N/A</v>
      </c>
      <c r="CQ67" t="e">
        <v>#N/A</v>
      </c>
      <c r="CR67" t="e">
        <v>#N/A</v>
      </c>
      <c r="CS67" t="e">
        <v>#N/A</v>
      </c>
      <c r="CT67" t="e">
        <v>#N/A</v>
      </c>
      <c r="CU67" t="e">
        <v>#N/A</v>
      </c>
      <c r="CV67" t="e">
        <v>#N/A</v>
      </c>
      <c r="CW67" t="e">
        <v>#N/A</v>
      </c>
      <c r="CX67" t="e">
        <v>#N/A</v>
      </c>
      <c r="CY67" t="e">
        <v>#N/A</v>
      </c>
      <c r="CZ67" t="e">
        <v>#N/A</v>
      </c>
      <c r="DA67" t="e">
        <v>#N/A</v>
      </c>
      <c r="DB67" t="e">
        <v>#N/A</v>
      </c>
      <c r="DC67" t="e">
        <v>#N/A</v>
      </c>
      <c r="DD67" t="e">
        <v>#N/A</v>
      </c>
      <c r="DE67" t="e">
        <v>#N/A</v>
      </c>
      <c r="DF67" t="e">
        <v>#N/A</v>
      </c>
      <c r="DG67" t="e">
        <v>#N/A</v>
      </c>
      <c r="DH67" t="e">
        <v>#N/A</v>
      </c>
      <c r="DI67" t="e">
        <v>#N/A</v>
      </c>
      <c r="DJ67" t="e">
        <v>#N/A</v>
      </c>
      <c r="DK67" t="e">
        <v>#N/A</v>
      </c>
      <c r="DL67" t="e">
        <v>#N/A</v>
      </c>
      <c r="DM67" t="e">
        <v>#N/A</v>
      </c>
      <c r="DN67" t="e">
        <v>#N/A</v>
      </c>
      <c r="DO67" t="e">
        <v>#N/A</v>
      </c>
      <c r="DP67" t="e">
        <v>#N/A</v>
      </c>
      <c r="DQ67" t="e">
        <v>#N/A</v>
      </c>
      <c r="DR67" t="e">
        <v>#N/A</v>
      </c>
      <c r="DS67" t="e">
        <v>#N/A</v>
      </c>
      <c r="DT67" t="e">
        <v>#N/A</v>
      </c>
      <c r="DU67" t="e">
        <v>#N/A</v>
      </c>
      <c r="DV67" t="e">
        <v>#N/A</v>
      </c>
      <c r="DW67" t="e">
        <v>#N/A</v>
      </c>
      <c r="DX67" t="e">
        <v>#N/A</v>
      </c>
      <c r="DY67" t="e">
        <v>#N/A</v>
      </c>
    </row>
    <row r="68" spans="1:129" x14ac:dyDescent="0.25">
      <c r="A68" t="str">
        <v/>
      </c>
      <c r="D68" s="20"/>
      <c r="E68" s="21"/>
      <c r="F68" s="21"/>
      <c r="G68" s="22"/>
      <c r="H68" s="22"/>
      <c r="I68" s="55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AA68" t="str">
        <v/>
      </c>
      <c r="AB68" t="str">
        <v/>
      </c>
      <c r="BL68" t="str">
        <v/>
      </c>
      <c r="BM68" t="str">
        <v/>
      </c>
      <c r="BN68" t="str">
        <v/>
      </c>
      <c r="BO68" t="str">
        <v/>
      </c>
      <c r="CE68" t="str">
        <v/>
      </c>
      <c r="CF68" t="e">
        <v>#N/A</v>
      </c>
      <c r="CG68" t="e">
        <v>#N/A</v>
      </c>
      <c r="CH68" t="e">
        <v>#N/A</v>
      </c>
      <c r="CI68" t="e">
        <v>#N/A</v>
      </c>
      <c r="CJ68" t="e">
        <v>#N/A</v>
      </c>
      <c r="CK68" t="e">
        <v>#N/A</v>
      </c>
      <c r="CL68" t="e">
        <v>#N/A</v>
      </c>
      <c r="CM68" t="e">
        <v>#N/A</v>
      </c>
      <c r="CN68" t="e">
        <v>#N/A</v>
      </c>
      <c r="CO68" t="e">
        <v>#N/A</v>
      </c>
      <c r="CP68" t="e">
        <v>#N/A</v>
      </c>
      <c r="CQ68" t="e">
        <v>#N/A</v>
      </c>
      <c r="CR68" t="e">
        <v>#N/A</v>
      </c>
      <c r="CS68" t="e">
        <v>#N/A</v>
      </c>
      <c r="CT68" t="e">
        <v>#N/A</v>
      </c>
      <c r="CU68" t="e">
        <v>#N/A</v>
      </c>
      <c r="CV68" t="e">
        <v>#N/A</v>
      </c>
      <c r="CW68" t="e">
        <v>#N/A</v>
      </c>
      <c r="CX68" t="e">
        <v>#N/A</v>
      </c>
      <c r="CY68" t="e">
        <v>#N/A</v>
      </c>
      <c r="CZ68" t="e">
        <v>#N/A</v>
      </c>
      <c r="DA68" t="e">
        <v>#N/A</v>
      </c>
      <c r="DB68" t="e">
        <v>#N/A</v>
      </c>
      <c r="DC68" t="e">
        <v>#N/A</v>
      </c>
      <c r="DD68" t="e">
        <v>#N/A</v>
      </c>
      <c r="DE68" t="e">
        <v>#N/A</v>
      </c>
      <c r="DF68" t="e">
        <v>#N/A</v>
      </c>
      <c r="DG68" t="e">
        <v>#N/A</v>
      </c>
      <c r="DH68" t="e">
        <v>#N/A</v>
      </c>
      <c r="DI68" t="e">
        <v>#N/A</v>
      </c>
      <c r="DJ68" t="e">
        <v>#N/A</v>
      </c>
      <c r="DK68" t="e">
        <v>#N/A</v>
      </c>
      <c r="DL68" t="e">
        <v>#N/A</v>
      </c>
      <c r="DM68" t="e">
        <v>#N/A</v>
      </c>
      <c r="DN68" t="e">
        <v>#N/A</v>
      </c>
      <c r="DO68" t="e">
        <v>#N/A</v>
      </c>
      <c r="DP68" t="e">
        <v>#N/A</v>
      </c>
      <c r="DQ68" t="e">
        <v>#N/A</v>
      </c>
      <c r="DR68" t="e">
        <v>#N/A</v>
      </c>
      <c r="DS68" t="e">
        <v>#N/A</v>
      </c>
      <c r="DT68" t="e">
        <v>#N/A</v>
      </c>
      <c r="DU68" t="e">
        <v>#N/A</v>
      </c>
      <c r="DV68" t="e">
        <v>#N/A</v>
      </c>
      <c r="DW68" t="e">
        <v>#N/A</v>
      </c>
      <c r="DX68" t="e">
        <v>#N/A</v>
      </c>
      <c r="DY68" t="e">
        <v>#N/A</v>
      </c>
    </row>
    <row r="69" spans="1:129" x14ac:dyDescent="0.25">
      <c r="A69" t="str">
        <v/>
      </c>
      <c r="D69" s="20"/>
      <c r="E69" s="21"/>
      <c r="F69" s="21"/>
      <c r="G69" s="22"/>
      <c r="H69" s="22"/>
      <c r="I69" s="55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AA69" t="str">
        <v/>
      </c>
      <c r="AB69" t="str">
        <v/>
      </c>
      <c r="BL69" t="str">
        <v/>
      </c>
      <c r="BM69" t="str">
        <v/>
      </c>
      <c r="BN69" t="str">
        <v/>
      </c>
      <c r="BO69" t="str">
        <v/>
      </c>
      <c r="CE69" t="str">
        <v/>
      </c>
      <c r="CF69" t="e">
        <v>#N/A</v>
      </c>
      <c r="CG69" t="e">
        <v>#N/A</v>
      </c>
      <c r="CH69" t="e">
        <v>#N/A</v>
      </c>
      <c r="CI69" t="e">
        <v>#N/A</v>
      </c>
      <c r="CJ69" t="e">
        <v>#N/A</v>
      </c>
      <c r="CK69" t="e">
        <v>#N/A</v>
      </c>
      <c r="CL69" t="e">
        <v>#N/A</v>
      </c>
      <c r="CM69" t="e">
        <v>#N/A</v>
      </c>
      <c r="CN69" t="e">
        <v>#N/A</v>
      </c>
      <c r="CO69" t="e">
        <v>#N/A</v>
      </c>
      <c r="CP69" t="e">
        <v>#N/A</v>
      </c>
      <c r="CQ69" t="e">
        <v>#N/A</v>
      </c>
      <c r="CR69" t="e">
        <v>#N/A</v>
      </c>
      <c r="CS69" t="e">
        <v>#N/A</v>
      </c>
      <c r="CT69" t="e">
        <v>#N/A</v>
      </c>
      <c r="CU69" t="e">
        <v>#N/A</v>
      </c>
      <c r="CV69" t="e">
        <v>#N/A</v>
      </c>
      <c r="CW69" t="e">
        <v>#N/A</v>
      </c>
      <c r="CX69" t="e">
        <v>#N/A</v>
      </c>
      <c r="CY69" t="e">
        <v>#N/A</v>
      </c>
      <c r="CZ69" t="e">
        <v>#N/A</v>
      </c>
      <c r="DA69" t="e">
        <v>#N/A</v>
      </c>
      <c r="DB69" t="e">
        <v>#N/A</v>
      </c>
      <c r="DC69" t="e">
        <v>#N/A</v>
      </c>
      <c r="DD69" t="e">
        <v>#N/A</v>
      </c>
      <c r="DE69" t="e">
        <v>#N/A</v>
      </c>
      <c r="DF69" t="e">
        <v>#N/A</v>
      </c>
      <c r="DG69" t="e">
        <v>#N/A</v>
      </c>
      <c r="DH69" t="e">
        <v>#N/A</v>
      </c>
      <c r="DI69" t="e">
        <v>#N/A</v>
      </c>
      <c r="DJ69" t="e">
        <v>#N/A</v>
      </c>
      <c r="DK69" t="e">
        <v>#N/A</v>
      </c>
      <c r="DL69" t="e">
        <v>#N/A</v>
      </c>
      <c r="DM69" t="e">
        <v>#N/A</v>
      </c>
      <c r="DN69" t="e">
        <v>#N/A</v>
      </c>
      <c r="DO69" t="e">
        <v>#N/A</v>
      </c>
      <c r="DP69" t="e">
        <v>#N/A</v>
      </c>
      <c r="DQ69" t="e">
        <v>#N/A</v>
      </c>
      <c r="DR69" t="e">
        <v>#N/A</v>
      </c>
      <c r="DS69" t="e">
        <v>#N/A</v>
      </c>
      <c r="DT69" t="e">
        <v>#N/A</v>
      </c>
      <c r="DU69" t="e">
        <v>#N/A</v>
      </c>
      <c r="DV69" t="e">
        <v>#N/A</v>
      </c>
      <c r="DW69" t="e">
        <v>#N/A</v>
      </c>
      <c r="DX69" t="e">
        <v>#N/A</v>
      </c>
      <c r="DY69" t="e">
        <v>#N/A</v>
      </c>
    </row>
    <row r="70" spans="1:129" x14ac:dyDescent="0.25">
      <c r="A70" t="str">
        <v/>
      </c>
      <c r="D70" s="20"/>
      <c r="E70" s="21"/>
      <c r="F70" s="21"/>
      <c r="G70" s="22"/>
      <c r="H70" s="22"/>
      <c r="I70" s="55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AA70" t="str">
        <v/>
      </c>
      <c r="AB70" t="str">
        <v/>
      </c>
      <c r="BL70" t="str">
        <v/>
      </c>
      <c r="BM70" t="str">
        <v/>
      </c>
      <c r="BN70" t="str">
        <v/>
      </c>
      <c r="BO70" t="str">
        <v/>
      </c>
      <c r="CE70" t="str">
        <v/>
      </c>
      <c r="CF70" t="e">
        <v>#N/A</v>
      </c>
      <c r="CG70" t="e">
        <v>#N/A</v>
      </c>
      <c r="CH70" t="e">
        <v>#N/A</v>
      </c>
      <c r="CI70" t="e">
        <v>#N/A</v>
      </c>
      <c r="CJ70" t="e">
        <v>#N/A</v>
      </c>
      <c r="CK70" t="e">
        <v>#N/A</v>
      </c>
      <c r="CL70" t="e">
        <v>#N/A</v>
      </c>
      <c r="CM70" t="e">
        <v>#N/A</v>
      </c>
      <c r="CN70" t="e">
        <v>#N/A</v>
      </c>
      <c r="CO70" t="e">
        <v>#N/A</v>
      </c>
      <c r="CP70" t="e">
        <v>#N/A</v>
      </c>
      <c r="CQ70" t="e">
        <v>#N/A</v>
      </c>
      <c r="CR70" t="e">
        <v>#N/A</v>
      </c>
      <c r="CS70" t="e">
        <v>#N/A</v>
      </c>
      <c r="CT70" t="e">
        <v>#N/A</v>
      </c>
      <c r="CU70" t="e">
        <v>#N/A</v>
      </c>
      <c r="CV70" t="e">
        <v>#N/A</v>
      </c>
      <c r="CW70" t="e">
        <v>#N/A</v>
      </c>
      <c r="CX70" t="e">
        <v>#N/A</v>
      </c>
      <c r="CY70" t="e">
        <v>#N/A</v>
      </c>
      <c r="CZ70" t="e">
        <v>#N/A</v>
      </c>
      <c r="DA70" t="e">
        <v>#N/A</v>
      </c>
      <c r="DB70" t="e">
        <v>#N/A</v>
      </c>
      <c r="DC70" t="e">
        <v>#N/A</v>
      </c>
      <c r="DD70" t="e">
        <v>#N/A</v>
      </c>
      <c r="DE70" t="e">
        <v>#N/A</v>
      </c>
      <c r="DF70" t="e">
        <v>#N/A</v>
      </c>
      <c r="DG70" t="e">
        <v>#N/A</v>
      </c>
      <c r="DH70" t="e">
        <v>#N/A</v>
      </c>
      <c r="DI70" t="e">
        <v>#N/A</v>
      </c>
      <c r="DJ70" t="e">
        <v>#N/A</v>
      </c>
      <c r="DK70" t="e">
        <v>#N/A</v>
      </c>
      <c r="DL70" t="e">
        <v>#N/A</v>
      </c>
      <c r="DM70" t="e">
        <v>#N/A</v>
      </c>
      <c r="DN70" t="e">
        <v>#N/A</v>
      </c>
      <c r="DO70" t="e">
        <v>#N/A</v>
      </c>
      <c r="DP70" t="e">
        <v>#N/A</v>
      </c>
      <c r="DQ70" t="e">
        <v>#N/A</v>
      </c>
      <c r="DR70" t="e">
        <v>#N/A</v>
      </c>
      <c r="DS70" t="e">
        <v>#N/A</v>
      </c>
      <c r="DT70" t="e">
        <v>#N/A</v>
      </c>
      <c r="DU70" t="e">
        <v>#N/A</v>
      </c>
      <c r="DV70" t="e">
        <v>#N/A</v>
      </c>
      <c r="DW70" t="e">
        <v>#N/A</v>
      </c>
      <c r="DX70" t="e">
        <v>#N/A</v>
      </c>
      <c r="DY70" t="e">
        <v>#N/A</v>
      </c>
    </row>
    <row r="71" spans="1:129" x14ac:dyDescent="0.25">
      <c r="A71" t="str">
        <v/>
      </c>
      <c r="D71" s="20"/>
      <c r="E71" s="21"/>
      <c r="F71" s="21"/>
      <c r="G71" s="22"/>
      <c r="H71" s="22"/>
      <c r="I71" s="55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AA71" t="str">
        <v/>
      </c>
      <c r="AB71" t="str">
        <v/>
      </c>
      <c r="BL71" t="str">
        <v/>
      </c>
      <c r="BM71" t="str">
        <v/>
      </c>
      <c r="BN71" t="str">
        <v/>
      </c>
      <c r="BO71" t="str">
        <v/>
      </c>
      <c r="CE71" t="str">
        <v/>
      </c>
      <c r="CF71" t="e">
        <v>#N/A</v>
      </c>
      <c r="CG71" t="e">
        <v>#N/A</v>
      </c>
      <c r="CH71" t="e">
        <v>#N/A</v>
      </c>
      <c r="CI71" t="e">
        <v>#N/A</v>
      </c>
      <c r="CJ71" t="e">
        <v>#N/A</v>
      </c>
      <c r="CK71" t="e">
        <v>#N/A</v>
      </c>
      <c r="CL71" t="e">
        <v>#N/A</v>
      </c>
      <c r="CM71" t="e">
        <v>#N/A</v>
      </c>
      <c r="CN71" t="e">
        <v>#N/A</v>
      </c>
      <c r="CO71" t="e">
        <v>#N/A</v>
      </c>
      <c r="CP71" t="e">
        <v>#N/A</v>
      </c>
      <c r="CQ71" t="e">
        <v>#N/A</v>
      </c>
      <c r="CR71" t="e">
        <v>#N/A</v>
      </c>
      <c r="CS71" t="e">
        <v>#N/A</v>
      </c>
      <c r="CT71" t="e">
        <v>#N/A</v>
      </c>
      <c r="CU71" t="e">
        <v>#N/A</v>
      </c>
      <c r="CV71" t="e">
        <v>#N/A</v>
      </c>
      <c r="CW71" t="e">
        <v>#N/A</v>
      </c>
      <c r="CX71" t="e">
        <v>#N/A</v>
      </c>
      <c r="CY71" t="e">
        <v>#N/A</v>
      </c>
      <c r="CZ71" t="e">
        <v>#N/A</v>
      </c>
      <c r="DA71" t="e">
        <v>#N/A</v>
      </c>
      <c r="DB71" t="e">
        <v>#N/A</v>
      </c>
      <c r="DC71" t="e">
        <v>#N/A</v>
      </c>
      <c r="DD71" t="e">
        <v>#N/A</v>
      </c>
      <c r="DE71" t="e">
        <v>#N/A</v>
      </c>
      <c r="DF71" t="e">
        <v>#N/A</v>
      </c>
      <c r="DG71" t="e">
        <v>#N/A</v>
      </c>
      <c r="DH71" t="e">
        <v>#N/A</v>
      </c>
      <c r="DI71" t="e">
        <v>#N/A</v>
      </c>
      <c r="DJ71" t="e">
        <v>#N/A</v>
      </c>
      <c r="DK71" t="e">
        <v>#N/A</v>
      </c>
      <c r="DL71" t="e">
        <v>#N/A</v>
      </c>
      <c r="DM71" t="e">
        <v>#N/A</v>
      </c>
      <c r="DN71" t="e">
        <v>#N/A</v>
      </c>
      <c r="DO71" t="e">
        <v>#N/A</v>
      </c>
      <c r="DP71" t="e">
        <v>#N/A</v>
      </c>
      <c r="DQ71" t="e">
        <v>#N/A</v>
      </c>
      <c r="DR71" t="e">
        <v>#N/A</v>
      </c>
      <c r="DS71" t="e">
        <v>#N/A</v>
      </c>
      <c r="DT71" t="e">
        <v>#N/A</v>
      </c>
      <c r="DU71" t="e">
        <v>#N/A</v>
      </c>
      <c r="DV71" t="e">
        <v>#N/A</v>
      </c>
      <c r="DW71" t="e">
        <v>#N/A</v>
      </c>
      <c r="DX71" t="e">
        <v>#N/A</v>
      </c>
      <c r="DY71" t="e">
        <v>#N/A</v>
      </c>
    </row>
    <row r="72" spans="1:129" x14ac:dyDescent="0.25">
      <c r="A72" t="str">
        <v/>
      </c>
      <c r="D72" s="20"/>
      <c r="E72" s="21"/>
      <c r="F72" s="21"/>
      <c r="G72" s="22"/>
      <c r="H72" s="22"/>
      <c r="I72" s="55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AA72" t="str">
        <v/>
      </c>
      <c r="AB72" t="str">
        <v/>
      </c>
      <c r="BL72" t="str">
        <v/>
      </c>
      <c r="BM72" t="str">
        <v/>
      </c>
      <c r="BN72" t="str">
        <v/>
      </c>
      <c r="BO72" t="str">
        <v/>
      </c>
      <c r="CE72" t="str">
        <v/>
      </c>
      <c r="CF72" t="e">
        <v>#N/A</v>
      </c>
      <c r="CG72" t="e">
        <v>#N/A</v>
      </c>
      <c r="CH72" t="e">
        <v>#N/A</v>
      </c>
      <c r="CI72" t="e">
        <v>#N/A</v>
      </c>
      <c r="CJ72" t="e">
        <v>#N/A</v>
      </c>
      <c r="CK72" t="e">
        <v>#N/A</v>
      </c>
      <c r="CL72" t="e">
        <v>#N/A</v>
      </c>
      <c r="CM72" t="e">
        <v>#N/A</v>
      </c>
      <c r="CN72" t="e">
        <v>#N/A</v>
      </c>
      <c r="CO72" t="e">
        <v>#N/A</v>
      </c>
      <c r="CP72" t="e">
        <v>#N/A</v>
      </c>
      <c r="CQ72" t="e">
        <v>#N/A</v>
      </c>
      <c r="CR72" t="e">
        <v>#N/A</v>
      </c>
      <c r="CS72" t="e">
        <v>#N/A</v>
      </c>
      <c r="CT72" t="e">
        <v>#N/A</v>
      </c>
      <c r="CU72" t="e">
        <v>#N/A</v>
      </c>
      <c r="CV72" t="e">
        <v>#N/A</v>
      </c>
      <c r="CW72" t="e">
        <v>#N/A</v>
      </c>
      <c r="CX72" t="e">
        <v>#N/A</v>
      </c>
      <c r="CY72" t="e">
        <v>#N/A</v>
      </c>
      <c r="CZ72" t="e">
        <v>#N/A</v>
      </c>
      <c r="DA72" t="e">
        <v>#N/A</v>
      </c>
      <c r="DB72" t="e">
        <v>#N/A</v>
      </c>
      <c r="DC72" t="e">
        <v>#N/A</v>
      </c>
      <c r="DD72" t="e">
        <v>#N/A</v>
      </c>
      <c r="DE72" t="e">
        <v>#N/A</v>
      </c>
      <c r="DF72" t="e">
        <v>#N/A</v>
      </c>
      <c r="DG72" t="e">
        <v>#N/A</v>
      </c>
      <c r="DH72" t="e">
        <v>#N/A</v>
      </c>
      <c r="DI72" t="e">
        <v>#N/A</v>
      </c>
      <c r="DJ72" t="e">
        <v>#N/A</v>
      </c>
      <c r="DK72" t="e">
        <v>#N/A</v>
      </c>
      <c r="DL72" t="e">
        <v>#N/A</v>
      </c>
      <c r="DM72" t="e">
        <v>#N/A</v>
      </c>
      <c r="DN72" t="e">
        <v>#N/A</v>
      </c>
      <c r="DO72" t="e">
        <v>#N/A</v>
      </c>
      <c r="DP72" t="e">
        <v>#N/A</v>
      </c>
      <c r="DQ72" t="e">
        <v>#N/A</v>
      </c>
      <c r="DR72" t="e">
        <v>#N/A</v>
      </c>
      <c r="DS72" t="e">
        <v>#N/A</v>
      </c>
      <c r="DT72" t="e">
        <v>#N/A</v>
      </c>
      <c r="DU72" t="e">
        <v>#N/A</v>
      </c>
      <c r="DV72" t="e">
        <v>#N/A</v>
      </c>
      <c r="DW72" t="e">
        <v>#N/A</v>
      </c>
      <c r="DX72" t="e">
        <v>#N/A</v>
      </c>
      <c r="DY72" t="e">
        <v>#N/A</v>
      </c>
    </row>
    <row r="73" spans="1:129" x14ac:dyDescent="0.25">
      <c r="A73" t="str">
        <v/>
      </c>
      <c r="D73" s="20"/>
      <c r="E73" s="21"/>
      <c r="F73" s="21"/>
      <c r="G73" s="22"/>
      <c r="H73" s="22"/>
      <c r="I73" s="55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AA73" t="str">
        <v/>
      </c>
      <c r="AB73" t="str">
        <v/>
      </c>
      <c r="BL73" t="str">
        <v/>
      </c>
      <c r="BM73" t="str">
        <v/>
      </c>
      <c r="BN73" t="str">
        <v/>
      </c>
      <c r="BO73" t="str">
        <v/>
      </c>
      <c r="CE73" t="str">
        <v/>
      </c>
      <c r="CF73" t="e">
        <v>#N/A</v>
      </c>
      <c r="CG73" t="e">
        <v>#N/A</v>
      </c>
      <c r="CH73" t="e">
        <v>#N/A</v>
      </c>
      <c r="CI73" t="e">
        <v>#N/A</v>
      </c>
      <c r="CJ73" t="e">
        <v>#N/A</v>
      </c>
      <c r="CK73" t="e">
        <v>#N/A</v>
      </c>
      <c r="CL73" t="e">
        <v>#N/A</v>
      </c>
      <c r="CM73" t="e">
        <v>#N/A</v>
      </c>
      <c r="CN73" t="e">
        <v>#N/A</v>
      </c>
      <c r="CO73" t="e">
        <v>#N/A</v>
      </c>
      <c r="CP73" t="e">
        <v>#N/A</v>
      </c>
      <c r="CQ73" t="e">
        <v>#N/A</v>
      </c>
      <c r="CR73" t="e">
        <v>#N/A</v>
      </c>
      <c r="CS73" t="e">
        <v>#N/A</v>
      </c>
      <c r="CT73" t="e">
        <v>#N/A</v>
      </c>
      <c r="CU73" t="e">
        <v>#N/A</v>
      </c>
      <c r="CV73" t="e">
        <v>#N/A</v>
      </c>
      <c r="CW73" t="e">
        <v>#N/A</v>
      </c>
      <c r="CX73" t="e">
        <v>#N/A</v>
      </c>
      <c r="CY73" t="e">
        <v>#N/A</v>
      </c>
      <c r="CZ73" t="e">
        <v>#N/A</v>
      </c>
      <c r="DA73" t="e">
        <v>#N/A</v>
      </c>
      <c r="DB73" t="e">
        <v>#N/A</v>
      </c>
      <c r="DC73" t="e">
        <v>#N/A</v>
      </c>
      <c r="DD73" t="e">
        <v>#N/A</v>
      </c>
      <c r="DE73" t="e">
        <v>#N/A</v>
      </c>
      <c r="DF73" t="e">
        <v>#N/A</v>
      </c>
      <c r="DG73" t="e">
        <v>#N/A</v>
      </c>
      <c r="DH73" t="e">
        <v>#N/A</v>
      </c>
      <c r="DI73" t="e">
        <v>#N/A</v>
      </c>
      <c r="DJ73" t="e">
        <v>#N/A</v>
      </c>
      <c r="DK73" t="e">
        <v>#N/A</v>
      </c>
      <c r="DL73" t="e">
        <v>#N/A</v>
      </c>
      <c r="DM73" t="e">
        <v>#N/A</v>
      </c>
      <c r="DN73" t="e">
        <v>#N/A</v>
      </c>
      <c r="DO73" t="e">
        <v>#N/A</v>
      </c>
      <c r="DP73" t="e">
        <v>#N/A</v>
      </c>
      <c r="DQ73" t="e">
        <v>#N/A</v>
      </c>
      <c r="DR73" t="e">
        <v>#N/A</v>
      </c>
      <c r="DS73" t="e">
        <v>#N/A</v>
      </c>
      <c r="DT73" t="e">
        <v>#N/A</v>
      </c>
      <c r="DU73" t="e">
        <v>#N/A</v>
      </c>
      <c r="DV73" t="e">
        <v>#N/A</v>
      </c>
      <c r="DW73" t="e">
        <v>#N/A</v>
      </c>
      <c r="DX73" t="e">
        <v>#N/A</v>
      </c>
      <c r="DY73" t="e">
        <v>#N/A</v>
      </c>
    </row>
    <row r="74" spans="1:129" x14ac:dyDescent="0.25">
      <c r="A74" t="str">
        <v/>
      </c>
      <c r="D74" s="20"/>
      <c r="E74" s="21"/>
      <c r="F74" s="21"/>
      <c r="G74" s="22"/>
      <c r="H74" s="22"/>
      <c r="I74" s="55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AA74" t="str">
        <v/>
      </c>
      <c r="AB74" t="str">
        <v/>
      </c>
      <c r="BL74" t="str">
        <v/>
      </c>
      <c r="BM74" t="str">
        <v/>
      </c>
      <c r="BN74" t="str">
        <v/>
      </c>
      <c r="BO74" t="str">
        <v/>
      </c>
      <c r="CE74" t="str">
        <v/>
      </c>
      <c r="CF74" t="e">
        <v>#N/A</v>
      </c>
      <c r="CG74" t="e">
        <v>#N/A</v>
      </c>
      <c r="CH74" t="e">
        <v>#N/A</v>
      </c>
      <c r="CI74" t="e">
        <v>#N/A</v>
      </c>
      <c r="CJ74" t="e">
        <v>#N/A</v>
      </c>
      <c r="CK74" t="e">
        <v>#N/A</v>
      </c>
      <c r="CL74" t="e">
        <v>#N/A</v>
      </c>
      <c r="CM74" t="e">
        <v>#N/A</v>
      </c>
      <c r="CN74" t="e">
        <v>#N/A</v>
      </c>
      <c r="CO74" t="e">
        <v>#N/A</v>
      </c>
      <c r="CP74" t="e">
        <v>#N/A</v>
      </c>
      <c r="CQ74" t="e">
        <v>#N/A</v>
      </c>
      <c r="CR74" t="e">
        <v>#N/A</v>
      </c>
      <c r="CS74" t="e">
        <v>#N/A</v>
      </c>
      <c r="CT74" t="e">
        <v>#N/A</v>
      </c>
      <c r="CU74" t="e">
        <v>#N/A</v>
      </c>
      <c r="CV74" t="e">
        <v>#N/A</v>
      </c>
      <c r="CW74" t="e">
        <v>#N/A</v>
      </c>
      <c r="CX74" t="e">
        <v>#N/A</v>
      </c>
      <c r="CY74" t="e">
        <v>#N/A</v>
      </c>
      <c r="CZ74" t="e">
        <v>#N/A</v>
      </c>
      <c r="DA74" t="e">
        <v>#N/A</v>
      </c>
      <c r="DB74" t="e">
        <v>#N/A</v>
      </c>
      <c r="DC74" t="e">
        <v>#N/A</v>
      </c>
      <c r="DD74" t="e">
        <v>#N/A</v>
      </c>
      <c r="DE74" t="e">
        <v>#N/A</v>
      </c>
      <c r="DF74" t="e">
        <v>#N/A</v>
      </c>
      <c r="DG74" t="e">
        <v>#N/A</v>
      </c>
      <c r="DH74" t="e">
        <v>#N/A</v>
      </c>
      <c r="DI74" t="e">
        <v>#N/A</v>
      </c>
      <c r="DJ74" t="e">
        <v>#N/A</v>
      </c>
      <c r="DK74" t="e">
        <v>#N/A</v>
      </c>
      <c r="DL74" t="e">
        <v>#N/A</v>
      </c>
      <c r="DM74" t="e">
        <v>#N/A</v>
      </c>
      <c r="DN74" t="e">
        <v>#N/A</v>
      </c>
      <c r="DO74" t="e">
        <v>#N/A</v>
      </c>
      <c r="DP74" t="e">
        <v>#N/A</v>
      </c>
      <c r="DQ74" t="e">
        <v>#N/A</v>
      </c>
      <c r="DR74" t="e">
        <v>#N/A</v>
      </c>
      <c r="DS74" t="e">
        <v>#N/A</v>
      </c>
      <c r="DT74" t="e">
        <v>#N/A</v>
      </c>
      <c r="DU74" t="e">
        <v>#N/A</v>
      </c>
      <c r="DV74" t="e">
        <v>#N/A</v>
      </c>
      <c r="DW74" t="e">
        <v>#N/A</v>
      </c>
      <c r="DX74" t="e">
        <v>#N/A</v>
      </c>
      <c r="DY74" t="e">
        <v>#N/A</v>
      </c>
    </row>
    <row r="75" spans="1:129" x14ac:dyDescent="0.25">
      <c r="A75" t="str">
        <v/>
      </c>
      <c r="D75" s="20"/>
      <c r="E75" s="21"/>
      <c r="F75" s="21"/>
      <c r="G75" s="22"/>
      <c r="H75" s="22"/>
      <c r="I75" s="55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AA75" t="str">
        <v/>
      </c>
      <c r="AB75" t="str">
        <v/>
      </c>
      <c r="BL75" t="str">
        <v/>
      </c>
      <c r="BM75" t="str">
        <v/>
      </c>
      <c r="BN75" t="str">
        <v/>
      </c>
      <c r="BO75" t="str">
        <v/>
      </c>
      <c r="CE75" t="str">
        <v/>
      </c>
      <c r="CF75" t="e">
        <v>#N/A</v>
      </c>
      <c r="CG75" t="e">
        <v>#N/A</v>
      </c>
      <c r="CH75" t="e">
        <v>#N/A</v>
      </c>
      <c r="CI75" t="e">
        <v>#N/A</v>
      </c>
      <c r="CJ75" t="e">
        <v>#N/A</v>
      </c>
      <c r="CK75" t="e">
        <v>#N/A</v>
      </c>
      <c r="CL75" t="e">
        <v>#N/A</v>
      </c>
      <c r="CM75" t="e">
        <v>#N/A</v>
      </c>
      <c r="CN75" t="e">
        <v>#N/A</v>
      </c>
      <c r="CO75" t="e">
        <v>#N/A</v>
      </c>
      <c r="CP75" t="e">
        <v>#N/A</v>
      </c>
      <c r="CQ75" t="e">
        <v>#N/A</v>
      </c>
      <c r="CR75" t="e">
        <v>#N/A</v>
      </c>
      <c r="CS75" t="e">
        <v>#N/A</v>
      </c>
      <c r="CT75" t="e">
        <v>#N/A</v>
      </c>
      <c r="CU75" t="e">
        <v>#N/A</v>
      </c>
      <c r="CV75" t="e">
        <v>#N/A</v>
      </c>
      <c r="CW75" t="e">
        <v>#N/A</v>
      </c>
      <c r="CX75" t="e">
        <v>#N/A</v>
      </c>
      <c r="CY75" t="e">
        <v>#N/A</v>
      </c>
      <c r="CZ75" t="e">
        <v>#N/A</v>
      </c>
      <c r="DA75" t="e">
        <v>#N/A</v>
      </c>
      <c r="DB75" t="e">
        <v>#N/A</v>
      </c>
      <c r="DC75" t="e">
        <v>#N/A</v>
      </c>
      <c r="DD75" t="e">
        <v>#N/A</v>
      </c>
      <c r="DE75" t="e">
        <v>#N/A</v>
      </c>
      <c r="DF75" t="e">
        <v>#N/A</v>
      </c>
      <c r="DG75" t="e">
        <v>#N/A</v>
      </c>
      <c r="DH75" t="e">
        <v>#N/A</v>
      </c>
      <c r="DI75" t="e">
        <v>#N/A</v>
      </c>
      <c r="DJ75" t="e">
        <v>#N/A</v>
      </c>
      <c r="DK75" t="e">
        <v>#N/A</v>
      </c>
      <c r="DL75" t="e">
        <v>#N/A</v>
      </c>
      <c r="DM75" t="e">
        <v>#N/A</v>
      </c>
      <c r="DN75" t="e">
        <v>#N/A</v>
      </c>
      <c r="DO75" t="e">
        <v>#N/A</v>
      </c>
      <c r="DP75" t="e">
        <v>#N/A</v>
      </c>
      <c r="DQ75" t="e">
        <v>#N/A</v>
      </c>
      <c r="DR75" t="e">
        <v>#N/A</v>
      </c>
      <c r="DS75" t="e">
        <v>#N/A</v>
      </c>
      <c r="DT75" t="e">
        <v>#N/A</v>
      </c>
      <c r="DU75" t="e">
        <v>#N/A</v>
      </c>
      <c r="DV75" t="e">
        <v>#N/A</v>
      </c>
      <c r="DW75" t="e">
        <v>#N/A</v>
      </c>
      <c r="DX75" t="e">
        <v>#N/A</v>
      </c>
      <c r="DY75" t="e">
        <v>#N/A</v>
      </c>
    </row>
    <row r="76" spans="1:129" x14ac:dyDescent="0.25">
      <c r="A76" t="str">
        <v/>
      </c>
      <c r="D76" s="20"/>
      <c r="E76" s="21"/>
      <c r="F76" s="21"/>
      <c r="G76" s="22"/>
      <c r="H76" s="22"/>
      <c r="I76" s="55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AA76" t="str">
        <v/>
      </c>
      <c r="AB76" t="str">
        <v/>
      </c>
      <c r="BL76" t="str">
        <v/>
      </c>
      <c r="BM76" t="str">
        <v/>
      </c>
      <c r="BN76" t="str">
        <v/>
      </c>
      <c r="BO76" t="str">
        <v/>
      </c>
      <c r="CE76" t="str">
        <v/>
      </c>
      <c r="CF76" t="e">
        <v>#N/A</v>
      </c>
      <c r="CG76" t="e">
        <v>#N/A</v>
      </c>
      <c r="CH76" t="e">
        <v>#N/A</v>
      </c>
      <c r="CI76" t="e">
        <v>#N/A</v>
      </c>
      <c r="CJ76" t="e">
        <v>#N/A</v>
      </c>
      <c r="CK76" t="e">
        <v>#N/A</v>
      </c>
      <c r="CL76" t="e">
        <v>#N/A</v>
      </c>
      <c r="CM76" t="e">
        <v>#N/A</v>
      </c>
      <c r="CN76" t="e">
        <v>#N/A</v>
      </c>
      <c r="CO76" t="e">
        <v>#N/A</v>
      </c>
      <c r="CP76" t="e">
        <v>#N/A</v>
      </c>
      <c r="CQ76" t="e">
        <v>#N/A</v>
      </c>
      <c r="CR76" t="e">
        <v>#N/A</v>
      </c>
      <c r="CS76" t="e">
        <v>#N/A</v>
      </c>
      <c r="CT76" t="e">
        <v>#N/A</v>
      </c>
      <c r="CU76" t="e">
        <v>#N/A</v>
      </c>
      <c r="CV76" t="e">
        <v>#N/A</v>
      </c>
      <c r="CW76" t="e">
        <v>#N/A</v>
      </c>
      <c r="CX76" t="e">
        <v>#N/A</v>
      </c>
      <c r="CY76" t="e">
        <v>#N/A</v>
      </c>
      <c r="CZ76" t="e">
        <v>#N/A</v>
      </c>
      <c r="DA76" t="e">
        <v>#N/A</v>
      </c>
      <c r="DB76" t="e">
        <v>#N/A</v>
      </c>
      <c r="DC76" t="e">
        <v>#N/A</v>
      </c>
      <c r="DD76" t="e">
        <v>#N/A</v>
      </c>
      <c r="DE76" t="e">
        <v>#N/A</v>
      </c>
      <c r="DF76" t="e">
        <v>#N/A</v>
      </c>
      <c r="DG76" t="e">
        <v>#N/A</v>
      </c>
      <c r="DH76" t="e">
        <v>#N/A</v>
      </c>
      <c r="DI76" t="e">
        <v>#N/A</v>
      </c>
      <c r="DJ76" t="e">
        <v>#N/A</v>
      </c>
      <c r="DK76" t="e">
        <v>#N/A</v>
      </c>
      <c r="DL76" t="e">
        <v>#N/A</v>
      </c>
      <c r="DM76" t="e">
        <v>#N/A</v>
      </c>
      <c r="DN76" t="e">
        <v>#N/A</v>
      </c>
      <c r="DO76" t="e">
        <v>#N/A</v>
      </c>
      <c r="DP76" t="e">
        <v>#N/A</v>
      </c>
      <c r="DQ76" t="e">
        <v>#N/A</v>
      </c>
      <c r="DR76" t="e">
        <v>#N/A</v>
      </c>
      <c r="DS76" t="e">
        <v>#N/A</v>
      </c>
      <c r="DT76" t="e">
        <v>#N/A</v>
      </c>
      <c r="DU76" t="e">
        <v>#N/A</v>
      </c>
      <c r="DV76" t="e">
        <v>#N/A</v>
      </c>
      <c r="DW76" t="e">
        <v>#N/A</v>
      </c>
      <c r="DX76" t="e">
        <v>#N/A</v>
      </c>
      <c r="DY76" t="e">
        <v>#N/A</v>
      </c>
    </row>
    <row r="77" spans="1:129" x14ac:dyDescent="0.25">
      <c r="A77" t="str">
        <v/>
      </c>
      <c r="D77" s="20"/>
      <c r="E77" s="21"/>
      <c r="F77" s="21"/>
      <c r="G77" s="22"/>
      <c r="H77" s="22"/>
      <c r="I77" s="55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AA77" t="str">
        <v/>
      </c>
      <c r="AB77" t="str">
        <v/>
      </c>
      <c r="BL77" t="str">
        <v/>
      </c>
      <c r="BM77" t="str">
        <v/>
      </c>
      <c r="BN77" t="str">
        <v/>
      </c>
      <c r="BO77" t="str">
        <v/>
      </c>
      <c r="CE77" t="str">
        <v/>
      </c>
      <c r="CF77" t="e">
        <v>#N/A</v>
      </c>
      <c r="CG77" t="e">
        <v>#N/A</v>
      </c>
      <c r="CH77" t="e">
        <v>#N/A</v>
      </c>
      <c r="CI77" t="e">
        <v>#N/A</v>
      </c>
      <c r="CJ77" t="e">
        <v>#N/A</v>
      </c>
      <c r="CK77" t="e">
        <v>#N/A</v>
      </c>
      <c r="CL77" t="e">
        <v>#N/A</v>
      </c>
      <c r="CM77" t="e">
        <v>#N/A</v>
      </c>
      <c r="CN77" t="e">
        <v>#N/A</v>
      </c>
      <c r="CO77" t="e">
        <v>#N/A</v>
      </c>
      <c r="CP77" t="e">
        <v>#N/A</v>
      </c>
      <c r="CQ77" t="e">
        <v>#N/A</v>
      </c>
      <c r="CR77" t="e">
        <v>#N/A</v>
      </c>
      <c r="CS77" t="e">
        <v>#N/A</v>
      </c>
      <c r="CT77" t="e">
        <v>#N/A</v>
      </c>
      <c r="CU77" t="e">
        <v>#N/A</v>
      </c>
      <c r="CV77" t="e">
        <v>#N/A</v>
      </c>
      <c r="CW77" t="e">
        <v>#N/A</v>
      </c>
      <c r="CX77" t="e">
        <v>#N/A</v>
      </c>
      <c r="CY77" t="e">
        <v>#N/A</v>
      </c>
      <c r="CZ77" t="e">
        <v>#N/A</v>
      </c>
      <c r="DA77" t="e">
        <v>#N/A</v>
      </c>
      <c r="DB77" t="e">
        <v>#N/A</v>
      </c>
      <c r="DC77" t="e">
        <v>#N/A</v>
      </c>
      <c r="DD77" t="e">
        <v>#N/A</v>
      </c>
      <c r="DE77" t="e">
        <v>#N/A</v>
      </c>
      <c r="DF77" t="e">
        <v>#N/A</v>
      </c>
      <c r="DG77" t="e">
        <v>#N/A</v>
      </c>
      <c r="DH77" t="e">
        <v>#N/A</v>
      </c>
      <c r="DI77" t="e">
        <v>#N/A</v>
      </c>
      <c r="DJ77" t="e">
        <v>#N/A</v>
      </c>
      <c r="DK77" t="e">
        <v>#N/A</v>
      </c>
      <c r="DL77" t="e">
        <v>#N/A</v>
      </c>
      <c r="DM77" t="e">
        <v>#N/A</v>
      </c>
      <c r="DN77" t="e">
        <v>#N/A</v>
      </c>
      <c r="DO77" t="e">
        <v>#N/A</v>
      </c>
      <c r="DP77" t="e">
        <v>#N/A</v>
      </c>
      <c r="DQ77" t="e">
        <v>#N/A</v>
      </c>
      <c r="DR77" t="e">
        <v>#N/A</v>
      </c>
      <c r="DS77" t="e">
        <v>#N/A</v>
      </c>
      <c r="DT77" t="e">
        <v>#N/A</v>
      </c>
      <c r="DU77" t="e">
        <v>#N/A</v>
      </c>
      <c r="DV77" t="e">
        <v>#N/A</v>
      </c>
      <c r="DW77" t="e">
        <v>#N/A</v>
      </c>
      <c r="DX77" t="e">
        <v>#N/A</v>
      </c>
      <c r="DY77" t="e">
        <v>#N/A</v>
      </c>
    </row>
    <row r="78" spans="1:129" x14ac:dyDescent="0.25">
      <c r="A78" t="str">
        <v/>
      </c>
      <c r="D78" s="20"/>
      <c r="E78" s="21"/>
      <c r="F78" s="21"/>
      <c r="G78" s="22"/>
      <c r="H78" s="22"/>
      <c r="I78" s="55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AA78" t="str">
        <v/>
      </c>
      <c r="AB78" t="str">
        <v/>
      </c>
      <c r="BL78" t="str">
        <v/>
      </c>
      <c r="BM78" t="str">
        <v/>
      </c>
      <c r="BN78" t="str">
        <v/>
      </c>
      <c r="BO78" t="str">
        <v/>
      </c>
      <c r="CE78" t="str">
        <v/>
      </c>
      <c r="CF78" t="e">
        <v>#N/A</v>
      </c>
      <c r="CG78" t="e">
        <v>#N/A</v>
      </c>
      <c r="CH78" t="e">
        <v>#N/A</v>
      </c>
      <c r="CI78" t="e">
        <v>#N/A</v>
      </c>
      <c r="CJ78" t="e">
        <v>#N/A</v>
      </c>
      <c r="CK78" t="e">
        <v>#N/A</v>
      </c>
      <c r="CL78" t="e">
        <v>#N/A</v>
      </c>
      <c r="CM78" t="e">
        <v>#N/A</v>
      </c>
      <c r="CN78" t="e">
        <v>#N/A</v>
      </c>
      <c r="CO78" t="e">
        <v>#N/A</v>
      </c>
      <c r="CP78" t="e">
        <v>#N/A</v>
      </c>
      <c r="CQ78" t="e">
        <v>#N/A</v>
      </c>
      <c r="CR78" t="e">
        <v>#N/A</v>
      </c>
      <c r="CS78" t="e">
        <v>#N/A</v>
      </c>
      <c r="CT78" t="e">
        <v>#N/A</v>
      </c>
      <c r="CU78" t="e">
        <v>#N/A</v>
      </c>
      <c r="CV78" t="e">
        <v>#N/A</v>
      </c>
      <c r="CW78" t="e">
        <v>#N/A</v>
      </c>
      <c r="CX78" t="e">
        <v>#N/A</v>
      </c>
      <c r="CY78" t="e">
        <v>#N/A</v>
      </c>
      <c r="CZ78" t="e">
        <v>#N/A</v>
      </c>
      <c r="DA78" t="e">
        <v>#N/A</v>
      </c>
      <c r="DB78" t="e">
        <v>#N/A</v>
      </c>
      <c r="DC78" t="e">
        <v>#N/A</v>
      </c>
      <c r="DD78" t="e">
        <v>#N/A</v>
      </c>
      <c r="DE78" t="e">
        <v>#N/A</v>
      </c>
      <c r="DF78" t="e">
        <v>#N/A</v>
      </c>
      <c r="DG78" t="e">
        <v>#N/A</v>
      </c>
      <c r="DH78" t="e">
        <v>#N/A</v>
      </c>
      <c r="DI78" t="e">
        <v>#N/A</v>
      </c>
      <c r="DJ78" t="e">
        <v>#N/A</v>
      </c>
      <c r="DK78" t="e">
        <v>#N/A</v>
      </c>
      <c r="DL78" t="e">
        <v>#N/A</v>
      </c>
      <c r="DM78" t="e">
        <v>#N/A</v>
      </c>
      <c r="DN78" t="e">
        <v>#N/A</v>
      </c>
      <c r="DO78" t="e">
        <v>#N/A</v>
      </c>
      <c r="DP78" t="e">
        <v>#N/A</v>
      </c>
      <c r="DQ78" t="e">
        <v>#N/A</v>
      </c>
      <c r="DR78" t="e">
        <v>#N/A</v>
      </c>
      <c r="DS78" t="e">
        <v>#N/A</v>
      </c>
      <c r="DT78" t="e">
        <v>#N/A</v>
      </c>
      <c r="DU78" t="e">
        <v>#N/A</v>
      </c>
      <c r="DV78" t="e">
        <v>#N/A</v>
      </c>
      <c r="DW78" t="e">
        <v>#N/A</v>
      </c>
      <c r="DX78" t="e">
        <v>#N/A</v>
      </c>
      <c r="DY78" t="e">
        <v>#N/A</v>
      </c>
    </row>
    <row r="79" spans="1:129" x14ac:dyDescent="0.25">
      <c r="A79" t="str">
        <v/>
      </c>
      <c r="D79" s="20"/>
      <c r="E79" s="21"/>
      <c r="F79" s="21"/>
      <c r="G79" s="22"/>
      <c r="H79" s="22"/>
      <c r="I79" s="55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AA79" t="str">
        <v/>
      </c>
      <c r="AB79" t="str">
        <v/>
      </c>
      <c r="BL79" t="str">
        <v/>
      </c>
      <c r="BM79" t="str">
        <v/>
      </c>
      <c r="BN79" t="str">
        <v/>
      </c>
      <c r="BO79" t="str">
        <v/>
      </c>
      <c r="CE79" t="str">
        <v/>
      </c>
      <c r="CF79" t="e">
        <v>#N/A</v>
      </c>
      <c r="CG79" t="e">
        <v>#N/A</v>
      </c>
      <c r="CH79" t="e">
        <v>#N/A</v>
      </c>
      <c r="CI79" t="e">
        <v>#N/A</v>
      </c>
      <c r="CJ79" t="e">
        <v>#N/A</v>
      </c>
      <c r="CK79" t="e">
        <v>#N/A</v>
      </c>
      <c r="CL79" t="e">
        <v>#N/A</v>
      </c>
      <c r="CM79" t="e">
        <v>#N/A</v>
      </c>
      <c r="CN79" t="e">
        <v>#N/A</v>
      </c>
      <c r="CO79" t="e">
        <v>#N/A</v>
      </c>
      <c r="CP79" t="e">
        <v>#N/A</v>
      </c>
      <c r="CQ79" t="e">
        <v>#N/A</v>
      </c>
      <c r="CR79" t="e">
        <v>#N/A</v>
      </c>
      <c r="CS79" t="e">
        <v>#N/A</v>
      </c>
      <c r="CT79" t="e">
        <v>#N/A</v>
      </c>
      <c r="CU79" t="e">
        <v>#N/A</v>
      </c>
      <c r="CV79" t="e">
        <v>#N/A</v>
      </c>
      <c r="CW79" t="e">
        <v>#N/A</v>
      </c>
      <c r="CX79" t="e">
        <v>#N/A</v>
      </c>
      <c r="CY79" t="e">
        <v>#N/A</v>
      </c>
      <c r="CZ79" t="e">
        <v>#N/A</v>
      </c>
      <c r="DA79" t="e">
        <v>#N/A</v>
      </c>
      <c r="DB79" t="e">
        <v>#N/A</v>
      </c>
      <c r="DC79" t="e">
        <v>#N/A</v>
      </c>
      <c r="DD79" t="e">
        <v>#N/A</v>
      </c>
      <c r="DE79" t="e">
        <v>#N/A</v>
      </c>
      <c r="DF79" t="e">
        <v>#N/A</v>
      </c>
      <c r="DG79" t="e">
        <v>#N/A</v>
      </c>
      <c r="DH79" t="e">
        <v>#N/A</v>
      </c>
      <c r="DI79" t="e">
        <v>#N/A</v>
      </c>
      <c r="DJ79" t="e">
        <v>#N/A</v>
      </c>
      <c r="DK79" t="e">
        <v>#N/A</v>
      </c>
      <c r="DL79" t="e">
        <v>#N/A</v>
      </c>
      <c r="DM79" t="e">
        <v>#N/A</v>
      </c>
      <c r="DN79" t="e">
        <v>#N/A</v>
      </c>
      <c r="DO79" t="e">
        <v>#N/A</v>
      </c>
      <c r="DP79" t="e">
        <v>#N/A</v>
      </c>
      <c r="DQ79" t="e">
        <v>#N/A</v>
      </c>
      <c r="DR79" t="e">
        <v>#N/A</v>
      </c>
      <c r="DS79" t="e">
        <v>#N/A</v>
      </c>
      <c r="DT79" t="e">
        <v>#N/A</v>
      </c>
      <c r="DU79" t="e">
        <v>#N/A</v>
      </c>
      <c r="DV79" t="e">
        <v>#N/A</v>
      </c>
      <c r="DW79" t="e">
        <v>#N/A</v>
      </c>
      <c r="DX79" t="e">
        <v>#N/A</v>
      </c>
      <c r="DY79" t="e">
        <v>#N/A</v>
      </c>
    </row>
    <row r="80" spans="1:129" x14ac:dyDescent="0.25">
      <c r="A80" t="str">
        <v/>
      </c>
      <c r="D80" s="20"/>
      <c r="E80" s="21"/>
      <c r="F80" s="21"/>
      <c r="G80" s="22"/>
      <c r="H80" s="22"/>
      <c r="I80" s="55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AA80" t="str">
        <v/>
      </c>
      <c r="AB80" t="str">
        <v/>
      </c>
      <c r="BL80" t="str">
        <v/>
      </c>
      <c r="BM80" t="str">
        <v/>
      </c>
      <c r="BN80" t="str">
        <v/>
      </c>
      <c r="BO80" t="str">
        <v/>
      </c>
      <c r="CE80" t="str">
        <v/>
      </c>
      <c r="CF80" t="e">
        <v>#N/A</v>
      </c>
      <c r="CG80" t="e">
        <v>#N/A</v>
      </c>
      <c r="CH80" t="e">
        <v>#N/A</v>
      </c>
      <c r="CI80" t="e">
        <v>#N/A</v>
      </c>
      <c r="CJ80" t="e">
        <v>#N/A</v>
      </c>
      <c r="CK80" t="e">
        <v>#N/A</v>
      </c>
      <c r="CL80" t="e">
        <v>#N/A</v>
      </c>
      <c r="CM80" t="e">
        <v>#N/A</v>
      </c>
      <c r="CN80" t="e">
        <v>#N/A</v>
      </c>
      <c r="CO80" t="e">
        <v>#N/A</v>
      </c>
      <c r="CP80" t="e">
        <v>#N/A</v>
      </c>
      <c r="CQ80" t="e">
        <v>#N/A</v>
      </c>
      <c r="CR80" t="e">
        <v>#N/A</v>
      </c>
      <c r="CS80" t="e">
        <v>#N/A</v>
      </c>
      <c r="CT80" t="e">
        <v>#N/A</v>
      </c>
      <c r="CU80" t="e">
        <v>#N/A</v>
      </c>
      <c r="CV80" t="e">
        <v>#N/A</v>
      </c>
      <c r="CW80" t="e">
        <v>#N/A</v>
      </c>
      <c r="CX80" t="e">
        <v>#N/A</v>
      </c>
      <c r="CY80" t="e">
        <v>#N/A</v>
      </c>
      <c r="CZ80" t="e">
        <v>#N/A</v>
      </c>
      <c r="DA80" t="e">
        <v>#N/A</v>
      </c>
      <c r="DB80" t="e">
        <v>#N/A</v>
      </c>
      <c r="DC80" t="e">
        <v>#N/A</v>
      </c>
      <c r="DD80" t="e">
        <v>#N/A</v>
      </c>
      <c r="DE80" t="e">
        <v>#N/A</v>
      </c>
      <c r="DF80" t="e">
        <v>#N/A</v>
      </c>
      <c r="DG80" t="e">
        <v>#N/A</v>
      </c>
      <c r="DH80" t="e">
        <v>#N/A</v>
      </c>
      <c r="DI80" t="e">
        <v>#N/A</v>
      </c>
      <c r="DJ80" t="e">
        <v>#N/A</v>
      </c>
      <c r="DK80" t="e">
        <v>#N/A</v>
      </c>
      <c r="DL80" t="e">
        <v>#N/A</v>
      </c>
      <c r="DM80" t="e">
        <v>#N/A</v>
      </c>
      <c r="DN80" t="e">
        <v>#N/A</v>
      </c>
      <c r="DO80" t="e">
        <v>#N/A</v>
      </c>
      <c r="DP80" t="e">
        <v>#N/A</v>
      </c>
      <c r="DQ80" t="e">
        <v>#N/A</v>
      </c>
      <c r="DR80" t="e">
        <v>#N/A</v>
      </c>
      <c r="DS80" t="e">
        <v>#N/A</v>
      </c>
      <c r="DT80" t="e">
        <v>#N/A</v>
      </c>
      <c r="DU80" t="e">
        <v>#N/A</v>
      </c>
      <c r="DV80" t="e">
        <v>#N/A</v>
      </c>
      <c r="DW80" t="e">
        <v>#N/A</v>
      </c>
      <c r="DX80" t="e">
        <v>#N/A</v>
      </c>
      <c r="DY80" t="e">
        <v>#N/A</v>
      </c>
    </row>
    <row r="81" spans="1:129" x14ac:dyDescent="0.25">
      <c r="A81" t="str">
        <v/>
      </c>
      <c r="D81" s="20"/>
      <c r="E81" s="21"/>
      <c r="F81" s="21"/>
      <c r="G81" s="22"/>
      <c r="H81" s="22"/>
      <c r="I81" s="55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AA81" t="str">
        <v/>
      </c>
      <c r="AB81" t="str">
        <v/>
      </c>
      <c r="BL81" t="str">
        <v/>
      </c>
      <c r="BM81" t="str">
        <v/>
      </c>
      <c r="BN81" t="str">
        <v/>
      </c>
      <c r="BO81" t="str">
        <v/>
      </c>
      <c r="CE81" t="str">
        <v/>
      </c>
      <c r="CF81" t="e">
        <v>#N/A</v>
      </c>
      <c r="CG81" t="e">
        <v>#N/A</v>
      </c>
      <c r="CH81" t="e">
        <v>#N/A</v>
      </c>
      <c r="CI81" t="e">
        <v>#N/A</v>
      </c>
      <c r="CJ81" t="e">
        <v>#N/A</v>
      </c>
      <c r="CK81" t="e">
        <v>#N/A</v>
      </c>
      <c r="CL81" t="e">
        <v>#N/A</v>
      </c>
      <c r="CM81" t="e">
        <v>#N/A</v>
      </c>
      <c r="CN81" t="e">
        <v>#N/A</v>
      </c>
      <c r="CO81" t="e">
        <v>#N/A</v>
      </c>
      <c r="CP81" t="e">
        <v>#N/A</v>
      </c>
      <c r="CQ81" t="e">
        <v>#N/A</v>
      </c>
      <c r="CR81" t="e">
        <v>#N/A</v>
      </c>
      <c r="CS81" t="e">
        <v>#N/A</v>
      </c>
      <c r="CT81" t="e">
        <v>#N/A</v>
      </c>
      <c r="CU81" t="e">
        <v>#N/A</v>
      </c>
      <c r="CV81" t="e">
        <v>#N/A</v>
      </c>
      <c r="CW81" t="e">
        <v>#N/A</v>
      </c>
      <c r="CX81" t="e">
        <v>#N/A</v>
      </c>
      <c r="CY81" t="e">
        <v>#N/A</v>
      </c>
      <c r="CZ81" t="e">
        <v>#N/A</v>
      </c>
      <c r="DA81" t="e">
        <v>#N/A</v>
      </c>
      <c r="DB81" t="e">
        <v>#N/A</v>
      </c>
      <c r="DC81" t="e">
        <v>#N/A</v>
      </c>
      <c r="DD81" t="e">
        <v>#N/A</v>
      </c>
      <c r="DE81" t="e">
        <v>#N/A</v>
      </c>
      <c r="DF81" t="e">
        <v>#N/A</v>
      </c>
      <c r="DG81" t="e">
        <v>#N/A</v>
      </c>
      <c r="DH81" t="e">
        <v>#N/A</v>
      </c>
      <c r="DI81" t="e">
        <v>#N/A</v>
      </c>
      <c r="DJ81" t="e">
        <v>#N/A</v>
      </c>
      <c r="DK81" t="e">
        <v>#N/A</v>
      </c>
      <c r="DL81" t="e">
        <v>#N/A</v>
      </c>
      <c r="DM81" t="e">
        <v>#N/A</v>
      </c>
      <c r="DN81" t="e">
        <v>#N/A</v>
      </c>
      <c r="DO81" t="e">
        <v>#N/A</v>
      </c>
      <c r="DP81" t="e">
        <v>#N/A</v>
      </c>
      <c r="DQ81" t="e">
        <v>#N/A</v>
      </c>
      <c r="DR81" t="e">
        <v>#N/A</v>
      </c>
      <c r="DS81" t="e">
        <v>#N/A</v>
      </c>
      <c r="DT81" t="e">
        <v>#N/A</v>
      </c>
      <c r="DU81" t="e">
        <v>#N/A</v>
      </c>
      <c r="DV81" t="e">
        <v>#N/A</v>
      </c>
      <c r="DW81" t="e">
        <v>#N/A</v>
      </c>
      <c r="DX81" t="e">
        <v>#N/A</v>
      </c>
      <c r="DY81" t="e">
        <v>#N/A</v>
      </c>
    </row>
    <row r="82" spans="1:129" x14ac:dyDescent="0.25">
      <c r="A82" t="str">
        <v/>
      </c>
      <c r="D82" s="20"/>
      <c r="E82" s="21"/>
      <c r="F82" s="21"/>
      <c r="G82" s="22"/>
      <c r="H82" s="22"/>
      <c r="I82" s="55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AA82" t="str">
        <v/>
      </c>
      <c r="AB82" t="str">
        <v/>
      </c>
      <c r="BL82" t="str">
        <v/>
      </c>
      <c r="BM82" t="str">
        <v/>
      </c>
      <c r="BN82" t="str">
        <v/>
      </c>
      <c r="BO82" t="str">
        <v/>
      </c>
      <c r="CE82" t="str">
        <v/>
      </c>
      <c r="CF82" t="e">
        <v>#N/A</v>
      </c>
      <c r="CG82" t="e">
        <v>#N/A</v>
      </c>
      <c r="CH82" t="e">
        <v>#N/A</v>
      </c>
      <c r="CI82" t="e">
        <v>#N/A</v>
      </c>
      <c r="CJ82" t="e">
        <v>#N/A</v>
      </c>
      <c r="CK82" t="e">
        <v>#N/A</v>
      </c>
      <c r="CL82" t="e">
        <v>#N/A</v>
      </c>
      <c r="CM82" t="e">
        <v>#N/A</v>
      </c>
      <c r="CN82" t="e">
        <v>#N/A</v>
      </c>
      <c r="CO82" t="e">
        <v>#N/A</v>
      </c>
      <c r="CP82" t="e">
        <v>#N/A</v>
      </c>
      <c r="CQ82" t="e">
        <v>#N/A</v>
      </c>
      <c r="CR82" t="e">
        <v>#N/A</v>
      </c>
      <c r="CS82" t="e">
        <v>#N/A</v>
      </c>
      <c r="CT82" t="e">
        <v>#N/A</v>
      </c>
      <c r="CU82" t="e">
        <v>#N/A</v>
      </c>
      <c r="CV82" t="e">
        <v>#N/A</v>
      </c>
      <c r="CW82" t="e">
        <v>#N/A</v>
      </c>
      <c r="CX82" t="e">
        <v>#N/A</v>
      </c>
      <c r="CY82" t="e">
        <v>#N/A</v>
      </c>
      <c r="CZ82" t="e">
        <v>#N/A</v>
      </c>
      <c r="DA82" t="e">
        <v>#N/A</v>
      </c>
      <c r="DB82" t="e">
        <v>#N/A</v>
      </c>
      <c r="DC82" t="e">
        <v>#N/A</v>
      </c>
      <c r="DD82" t="e">
        <v>#N/A</v>
      </c>
      <c r="DE82" t="e">
        <v>#N/A</v>
      </c>
      <c r="DF82" t="e">
        <v>#N/A</v>
      </c>
      <c r="DG82" t="e">
        <v>#N/A</v>
      </c>
      <c r="DH82" t="e">
        <v>#N/A</v>
      </c>
      <c r="DI82" t="e">
        <v>#N/A</v>
      </c>
      <c r="DJ82" t="e">
        <v>#N/A</v>
      </c>
      <c r="DK82" t="e">
        <v>#N/A</v>
      </c>
      <c r="DL82" t="e">
        <v>#N/A</v>
      </c>
      <c r="DM82" t="e">
        <v>#N/A</v>
      </c>
      <c r="DN82" t="e">
        <v>#N/A</v>
      </c>
      <c r="DO82" t="e">
        <v>#N/A</v>
      </c>
      <c r="DP82" t="e">
        <v>#N/A</v>
      </c>
      <c r="DQ82" t="e">
        <v>#N/A</v>
      </c>
      <c r="DR82" t="e">
        <v>#N/A</v>
      </c>
      <c r="DS82" t="e">
        <v>#N/A</v>
      </c>
      <c r="DT82" t="e">
        <v>#N/A</v>
      </c>
      <c r="DU82" t="e">
        <v>#N/A</v>
      </c>
      <c r="DV82" t="e">
        <v>#N/A</v>
      </c>
      <c r="DW82" t="e">
        <v>#N/A</v>
      </c>
      <c r="DX82" t="e">
        <v>#N/A</v>
      </c>
      <c r="DY82" t="e">
        <v>#N/A</v>
      </c>
    </row>
    <row r="83" spans="1:129" x14ac:dyDescent="0.25">
      <c r="A83" t="str">
        <v/>
      </c>
      <c r="D83" s="20"/>
      <c r="E83" s="21"/>
      <c r="F83" s="21"/>
      <c r="G83" s="22"/>
      <c r="H83" s="22"/>
      <c r="I83" s="55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AA83" t="str">
        <v/>
      </c>
      <c r="AB83" t="str">
        <v/>
      </c>
      <c r="BL83" t="str">
        <v/>
      </c>
      <c r="BM83" t="str">
        <v/>
      </c>
      <c r="BN83" t="str">
        <v/>
      </c>
      <c r="BO83" t="str">
        <v/>
      </c>
      <c r="CE83" t="str">
        <v/>
      </c>
      <c r="CF83" t="e">
        <v>#N/A</v>
      </c>
      <c r="CG83" t="e">
        <v>#N/A</v>
      </c>
      <c r="CH83" t="e">
        <v>#N/A</v>
      </c>
      <c r="CI83" t="e">
        <v>#N/A</v>
      </c>
      <c r="CJ83" t="e">
        <v>#N/A</v>
      </c>
      <c r="CK83" t="e">
        <v>#N/A</v>
      </c>
      <c r="CL83" t="e">
        <v>#N/A</v>
      </c>
      <c r="CM83" t="e">
        <v>#N/A</v>
      </c>
      <c r="CN83" t="e">
        <v>#N/A</v>
      </c>
      <c r="CO83" t="e">
        <v>#N/A</v>
      </c>
      <c r="CP83" t="e">
        <v>#N/A</v>
      </c>
      <c r="CQ83" t="e">
        <v>#N/A</v>
      </c>
      <c r="CR83" t="e">
        <v>#N/A</v>
      </c>
      <c r="CS83" t="e">
        <v>#N/A</v>
      </c>
      <c r="CT83" t="e">
        <v>#N/A</v>
      </c>
      <c r="CU83" t="e">
        <v>#N/A</v>
      </c>
      <c r="CV83" t="e">
        <v>#N/A</v>
      </c>
      <c r="CW83" t="e">
        <v>#N/A</v>
      </c>
      <c r="CX83" t="e">
        <v>#N/A</v>
      </c>
      <c r="CY83" t="e">
        <v>#N/A</v>
      </c>
      <c r="CZ83" t="e">
        <v>#N/A</v>
      </c>
      <c r="DA83" t="e">
        <v>#N/A</v>
      </c>
      <c r="DB83" t="e">
        <v>#N/A</v>
      </c>
      <c r="DC83" t="e">
        <v>#N/A</v>
      </c>
      <c r="DD83" t="e">
        <v>#N/A</v>
      </c>
      <c r="DE83" t="e">
        <v>#N/A</v>
      </c>
      <c r="DF83" t="e">
        <v>#N/A</v>
      </c>
      <c r="DG83" t="e">
        <v>#N/A</v>
      </c>
      <c r="DH83" t="e">
        <v>#N/A</v>
      </c>
      <c r="DI83" t="e">
        <v>#N/A</v>
      </c>
      <c r="DJ83" t="e">
        <v>#N/A</v>
      </c>
      <c r="DK83" t="e">
        <v>#N/A</v>
      </c>
      <c r="DL83" t="e">
        <v>#N/A</v>
      </c>
      <c r="DM83" t="e">
        <v>#N/A</v>
      </c>
      <c r="DN83" t="e">
        <v>#N/A</v>
      </c>
      <c r="DO83" t="e">
        <v>#N/A</v>
      </c>
      <c r="DP83" t="e">
        <v>#N/A</v>
      </c>
      <c r="DQ83" t="e">
        <v>#N/A</v>
      </c>
      <c r="DR83" t="e">
        <v>#N/A</v>
      </c>
      <c r="DS83" t="e">
        <v>#N/A</v>
      </c>
      <c r="DT83" t="e">
        <v>#N/A</v>
      </c>
      <c r="DU83" t="e">
        <v>#N/A</v>
      </c>
      <c r="DV83" t="e">
        <v>#N/A</v>
      </c>
      <c r="DW83" t="e">
        <v>#N/A</v>
      </c>
      <c r="DX83" t="e">
        <v>#N/A</v>
      </c>
      <c r="DY83" t="e">
        <v>#N/A</v>
      </c>
    </row>
  </sheetData>
  <sheetProtection sheet="1" objects="1" scenarios="1"/>
  <mergeCells count="1">
    <mergeCell ref="D1:H1"/>
  </mergeCells>
  <phoneticPr fontId="1" type="noConversion"/>
  <conditionalFormatting sqref="D4:E83">
    <cfRule type="expression" dxfId="87" priority="5">
      <formula>COUNTIFS($D$4:$D$83,$D4,$E$4:$E$83,$E4)&gt;1</formula>
    </cfRule>
  </conditionalFormatting>
  <conditionalFormatting sqref="D4:G83">
    <cfRule type="expression" dxfId="86" priority="2">
      <formula>MOD(MATCH($D4,_xlfn.ANCHORARRAY($B$4),0),2)=0</formula>
    </cfRule>
  </conditionalFormatting>
  <conditionalFormatting sqref="D4:H83">
    <cfRule type="expression" dxfId="85" priority="4">
      <formula>AND(ISNUMBER($CW4),$CW4&gt;1)</formula>
    </cfRule>
  </conditionalFormatting>
  <conditionalFormatting sqref="H4:H83">
    <cfRule type="notContainsBlanks" dxfId="83" priority="7">
      <formula>LEN(TRIM(H4))&gt;0</formula>
    </cfRule>
  </conditionalFormatting>
  <conditionalFormatting sqref="I4:W83">
    <cfRule type="expression" dxfId="82" priority="3">
      <formula>AND(I4&gt;0,COUNTIF($I4:$W4,I4)&gt;1)</formula>
    </cfRule>
    <cfRule type="expression" dxfId="81" priority="8">
      <formula>AND(I4&gt;0,ISNA(MATCH(I4,Input_Fleet_Truck,0)))</formula>
    </cfRule>
    <cfRule type="expression" dxfId="80" priority="9">
      <formula>AND(I4&gt;0, $H4&gt;0,ISNA(MATCH(I4, _xlfn.TEXTSPLIT(INDEX(List_Unit_Fleet,MATCH($H4,List_Front,0)),,"|"),0)))</formula>
    </cfRule>
    <cfRule type="expression" dxfId="79" priority="91">
      <formula>AND(I4&gt;0, $H4&gt;0,ISNUMBER(MATCH(I4, _xlfn.TEXTSPLIT(INDEX(List_Unit_Fleet,MATCH($H4,List_Front,0)),,"|"),0)))</formula>
    </cfRule>
  </conditionalFormatting>
  <dataValidations count="3">
    <dataValidation type="whole" operator="greaterThan" allowBlank="1" showInputMessage="1" showErrorMessage="1" sqref="E4:E83" xr:uid="{12FD8A44-9107-419D-93E6-ACCEF7AEB71E}">
      <formula1>0</formula1>
    </dataValidation>
    <dataValidation type="list" allowBlank="1" showInputMessage="1" showErrorMessage="1" sqref="I4:W83" xr:uid="{C1DBDB86-6CC5-4EA3-ACD1-A8E82A9D66D3}">
      <formula1>Input_Fleet_Truck</formula1>
    </dataValidation>
    <dataValidation type="list" allowBlank="1" showInputMessage="1" showErrorMessage="1" sqref="H4:H83" xr:uid="{C7F90812-217E-44FC-92C2-33A6BC56ADA7}">
      <formula1>Input_Fleet_Identic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E6F41D0-02D3-4F20-BA43-39F25D5E0C93}">
            <xm:f>AND($G4&gt;0,ISNA(MATCH($G4,Regist!$N$8:$N$35,0)))</xm:f>
            <x14:dxf>
              <fill>
                <patternFill>
                  <bgColor rgb="FFFF0000"/>
                </patternFill>
              </fill>
            </x14:dxf>
          </x14:cfRule>
          <xm:sqref>G4:G83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1D0AA46-7728-4668-A8CF-735B15F98822}">
          <x14:formula1>
            <xm:f>Regist!$N$8:$N$35</xm:f>
          </x14:formula1>
          <xm:sqref>G4:G83</xm:sqref>
        </x14:dataValidation>
        <x14:dataValidation type="list" allowBlank="1" showInputMessage="1" showErrorMessage="1" xr:uid="{F1E114C4-F8BA-4DEB-96FD-370A66C9BCD9}">
          <x14:formula1>
            <xm:f>Truck!$K$2:$K$16</xm:f>
          </x14:formula1>
          <xm:sqref>F4:F83</xm:sqref>
        </x14:dataValidation>
        <x14:dataValidation type="list" allowBlank="1" showInputMessage="1" showErrorMessage="1" xr:uid="{C89E285C-26D0-488B-ABEA-E1F0A3F98D32}">
          <x14:formula1>
            <xm:f>Rules!$I$2:$I$17</xm:f>
          </x14:formula1>
          <xm:sqref>D4:D83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F19A-CF17-423A-8E80-3ED3BDFE598F}">
  <sheetPr codeName="Sheet5">
    <tabColor rgb="FF00FFCC"/>
  </sheetPr>
  <dimension ref="A1:DU673"/>
  <sheetViews>
    <sheetView showGridLines="0" zoomScale="140" zoomScaleNormal="140" zoomScaleSheetLayoutView="100" workbookViewId="0">
      <pane xSplit="11" ySplit="4" topLeftCell="L5" activePane="bottomRight" state="frozen"/>
      <selection activeCell="K27" sqref="K27"/>
      <selection pane="topRight" activeCell="K27" sqref="K27"/>
      <selection pane="bottomLeft" activeCell="K27" sqref="K27"/>
      <selection pane="bottomRight" activeCell="S1" sqref="S1:T1"/>
    </sheetView>
  </sheetViews>
  <sheetFormatPr defaultRowHeight="15" x14ac:dyDescent="0.25"/>
  <cols>
    <col min="1" max="2" width="7.42578125" hidden="1" customWidth="1"/>
    <col min="3" max="3" width="3.140625" hidden="1" customWidth="1"/>
    <col min="4" max="4" width="5.28515625" style="3" hidden="1" customWidth="1"/>
    <col min="5" max="5" width="3" hidden="1" customWidth="1"/>
    <col min="6" max="6" width="9.42578125" hidden="1" customWidth="1"/>
    <col min="7" max="7" width="4.85546875" hidden="1" customWidth="1"/>
    <col min="8" max="8" width="5.140625" hidden="1" customWidth="1"/>
    <col min="9" max="9" width="13.42578125" customWidth="1"/>
    <col min="10" max="10" width="11.42578125" bestFit="1" customWidth="1"/>
    <col min="11" max="11" width="15.85546875" customWidth="1"/>
    <col min="12" max="12" width="14.85546875" customWidth="1"/>
    <col min="13" max="13" width="10.28515625" style="86" hidden="1" customWidth="1"/>
    <col min="14" max="14" width="9.28515625" style="86" hidden="1" customWidth="1"/>
    <col min="15" max="16" width="9.7109375" style="86" hidden="1" customWidth="1"/>
    <col min="17" max="17" width="4.85546875" style="86" hidden="1" customWidth="1"/>
    <col min="18" max="18" width="7.7109375" style="86" hidden="1" customWidth="1"/>
    <col min="19" max="19" width="6.42578125" style="99" bestFit="1" customWidth="1"/>
    <col min="20" max="20" width="4.85546875" style="99" customWidth="1"/>
    <col min="21" max="21" width="2.140625" style="99" hidden="1" customWidth="1"/>
    <col min="22" max="23" width="14.28515625" style="96" customWidth="1"/>
    <col min="24" max="24" width="12.7109375" style="86" customWidth="1"/>
    <col min="25" max="25" width="7.7109375" hidden="1" customWidth="1"/>
    <col min="26" max="26" width="18.140625" hidden="1" customWidth="1"/>
    <col min="27" max="27" width="12.7109375" hidden="1" customWidth="1"/>
    <col min="28" max="28" width="9" hidden="1" customWidth="1"/>
    <col min="29" max="29" width="11.7109375" hidden="1" customWidth="1"/>
    <col min="30" max="30" width="9.5703125" hidden="1" customWidth="1"/>
    <col min="31" max="31" width="8.5703125" hidden="1" customWidth="1"/>
    <col min="32" max="32" width="7.5703125" hidden="1" customWidth="1"/>
    <col min="33" max="33" width="8.140625" hidden="1" customWidth="1"/>
    <col min="34" max="34" width="9.5703125" hidden="1" customWidth="1"/>
    <col min="35" max="35" width="7.7109375" hidden="1" customWidth="1"/>
    <col min="36" max="36" width="7.28515625" hidden="1" customWidth="1"/>
    <col min="37" max="38" width="9.28515625" hidden="1" customWidth="1"/>
    <col min="39" max="39" width="4.28515625" hidden="1" customWidth="1"/>
    <col min="40" max="40" width="7.28515625" hidden="1" customWidth="1"/>
    <col min="41" max="41" width="4" hidden="1" customWidth="1"/>
    <col min="42" max="58" width="13.42578125" hidden="1" customWidth="1"/>
    <col min="59" max="65" width="13.85546875" hidden="1" customWidth="1"/>
    <col min="66" max="66" width="13.42578125" hidden="1" customWidth="1"/>
    <col min="67" max="113" width="13.85546875" hidden="1" customWidth="1"/>
    <col min="114" max="125" width="9.140625" hidden="1" customWidth="1"/>
    <col min="126" max="176" width="9.140625" customWidth="1"/>
  </cols>
  <sheetData>
    <row r="1" spans="1:125" ht="17.25" customHeight="1" x14ac:dyDescent="0.25">
      <c r="A1" t="str" cm="1">
        <f t="array" ref="A1:A8">_xlfn.UNIQUE(_xlfn._xlws.SORT(_xlfn._xlws.FILTER(Sample_Pending[Pile_ID],(Sample_Pending[Status]="Cont")*(Sample_Pending[Pile_ID]&gt;0)*(ISNUMBER(MATCH(Sample_Pending[Pile_ID],Pile_area[pile_id],0))))))</f>
        <v>BR-C12_L12</v>
      </c>
      <c r="B1" t="str" cm="1">
        <f t="array" ref="B1:B4">_xlfn._xlws.FILTER(List_Front,(Front_Des[Dest]=$I$2)*(List_Front&lt;&gt;""))</f>
        <v>BR1/01</v>
      </c>
      <c r="F1" s="29" t="s">
        <v>101</v>
      </c>
      <c r="G1" s="28" t="s">
        <v>2473</v>
      </c>
      <c r="I1" s="29" t="s">
        <v>2450</v>
      </c>
      <c r="J1" s="65" t="str" cm="1">
        <f t="array" ref="J1:L3">_xlfn.LET(_xlpm.skp, COUNTIF(_xlfn.ANCHORARRAY($D$5),"Skipped"),
     _xlpm.fltr,(Sample_Pending[Pile_ID]=$I$2)*(Sample_Pending[Rit]&gt;0)*(Sample_Pending[Status]="Cont"),
     _xlpm.list,_xlfn._xlws.SORT(_xlfn._xlws.FILTER(TEXT(Sample_Pending[Batch],"000")&amp;" / "&amp;TEXT(Sample_Pending[Rit],"00"),_xlpm.fltr)),
     _xlpm.drp,2,
     _xlpm.trnd, TRANSPOSE(_xlfn.SEQUENCE(_xlpm.drp,3,_xlpm.drp+1)),
     _xlpm.pndng, _xlfn.IFNA(IF(SUM(--_xlpm.fltr)&gt;0,
             _xlfn.HSTACK(_xlfn.VSTACK(SUM(--_xlpm.fltr)&amp;" PENDING",_xlfn.TAKE(_xlpm.list,_xlpm.drp)),
                    IFERROR(INDEX(_xlpm.list,_xlpm.trnd),0)),0),0),
     _xlpm.skipped, _xlfn.LET( _xlpm.lst, _xlfn._xlws.FILTER(HLG_01[Incriment], ISNA(_xlfn.ANCHORARRAY($D$5)) + IFERROR(_xlfn.ANCHORARRAY($D$5)="Skipped", 0)),
                        _xlfn.IFNA(_xlfn.HSTACK(_xlfn.VSTACK( _xlpm.skp &amp; " Skipped", _xlfn.TAKE(_xlpm.lst,_xlpm.drp)),
                               IFERROR(INDEX(_xlpm.lst, _xlpm.trnd),0)),0)),
     _xlpm.rslt, IF(_xlpm.skp&gt;0, _xlpm.skipped, _xlpm.pndng),
     _xlpm.rslt)</f>
        <v>4 PENDING</v>
      </c>
      <c r="K1" s="65" t="str">
        <v>031 / 18</v>
      </c>
      <c r="L1" s="65">
        <v>0</v>
      </c>
      <c r="M1" s="85"/>
      <c r="N1" s="85"/>
      <c r="O1" s="102"/>
      <c r="P1" s="103"/>
      <c r="Q1" s="102"/>
      <c r="R1" s="89"/>
      <c r="S1" s="111" t="str">
        <f>IF(COUNTBLANK(_xlfn.ANCHORARRAY(O3))=7,0,"Undeliver Samples")</f>
        <v>Undeliver Samples</v>
      </c>
      <c r="T1" s="111"/>
      <c r="V1" s="89"/>
      <c r="W1" s="89"/>
      <c r="X1" s="85" t="s">
        <v>2552</v>
      </c>
      <c r="Y1" t="s">
        <v>2552</v>
      </c>
      <c r="Z1" t="s">
        <v>2551</v>
      </c>
      <c r="AA1" t="s">
        <v>2477</v>
      </c>
      <c r="AB1" t="s">
        <v>2461</v>
      </c>
      <c r="AC1" t="s">
        <v>101</v>
      </c>
      <c r="AD1" t="s">
        <v>2450</v>
      </c>
      <c r="AE1" t="s">
        <v>2451</v>
      </c>
      <c r="AF1" t="s">
        <v>2594</v>
      </c>
      <c r="AG1" t="s">
        <v>2550</v>
      </c>
      <c r="AH1" t="s">
        <v>2584</v>
      </c>
      <c r="DU1" t="s">
        <v>2489</v>
      </c>
    </row>
    <row r="2" spans="1:125" ht="21" x14ac:dyDescent="0.25">
      <c r="A2" t="str">
        <v>BR-C3_L10</v>
      </c>
      <c r="B2" t="str">
        <v>BR1/02</v>
      </c>
      <c r="F2" s="57" t="str">
        <f>_xlfn.XLOOKUP(Pile_01!$I$2,Pile_area[pile_id],Pile_area[stockpile])</f>
        <v>LS_18</v>
      </c>
      <c r="G2" s="54" t="str">
        <f>_xlfn.XLOOKUP($I$2,Pile_area[pile_id],Pile_area[Ore])</f>
        <v>SAP</v>
      </c>
      <c r="I2" s="62" t="s">
        <v>2599</v>
      </c>
      <c r="J2" s="65" t="str">
        <v>024 / 10</v>
      </c>
      <c r="K2" s="65" t="str">
        <v>032 / 14</v>
      </c>
      <c r="L2" s="65">
        <v>0</v>
      </c>
      <c r="M2" s="85"/>
      <c r="N2" s="85"/>
      <c r="O2" s="102"/>
      <c r="P2" s="103"/>
      <c r="Q2" s="102"/>
      <c r="R2" s="102"/>
      <c r="S2" s="102" t="str" cm="1">
        <f t="array" ref="S2:T2">IF(COUNTBLANK(_xlfn.ANCHORARRAY(O3))=7,0,{"Batch","Rit"})</f>
        <v>Batch</v>
      </c>
      <c r="T2" s="102" t="str">
        <v>Rit</v>
      </c>
      <c r="U2" s="97" t="s">
        <v>2593</v>
      </c>
      <c r="V2" s="95"/>
      <c r="W2" s="95"/>
      <c r="X2" s="85"/>
      <c r="Z2" t="str" cm="1">
        <f t="array" ref="Z2:AH215">_xlfn.LET(
    _xlpm.note,_xlfn.ANCHORARRAY( Pile_01!$D$5),
    _xlpm.data, HLG_01[],
    _xlpm.IsErr, _xlfn.IFS(ISNUMBER(_xlpm.note), "", ISERROR(_xlpm.note), "TRUCK SALAH", _xlpm.note="Skipped", "TERLEWAT", TRUE, ""),
    _xlpm.src, IF(_xlpm.IsErr="TERLEWAT", "TERLEWAT", INDEX(_xlpm.data,,5)),
    _xlpm.hlr, IF(_xlpm.IsErr="TERLEWAT", _xlpm.IsErr, INDEX(_xlpm.data,,6)),
    _xlpm.id, Regist!$H$1 &amp; "/" &amp; Regist!$I$1 &amp; "|" &amp; _xlpm.src,
    _xlpm.pile, IF(_xlpm.src&lt;&gt;"", $I$2, ""),
    _xlpm.ore, _xlfn.XLOOKUP(_xlpm.pile, Pile_area[pile_id], Pile_area[Ore]),
    _xlpm.stp, _xlfn.XLOOKUP(_xlpm.pile, Pile_area[pile_id], Pile_area[stockpile]),
    _xlpm.field, _xlfn.HSTACK(
        _xlpm.id,
        _xlpm.hlr,
        _xlpm.ore,
        _xlpm.stp,
        _xlpm.pile,
        INDEX(_xlpm.data,,4),
        PROPER(INDEX(_xlpm.data,,3)),
        IF(INDEX(_xlpm.data,,5) = _xlfn.XLOOKUP(_xlpm.ore, Int_Sample[Ore], Int_Sample[Batch]), "Complete", ""),
        _xlfn.BYROW(_xlfn.HSTACK(INDEX(_xlpm.data,,7), _xlpm.IsErr), _xlfn.LAMBDA(_xlpm.x, _xlfn.TEXTJOIN("|", TRUE, _xlpm.x)))
    ),
    _xlpm.rslt, _xlfn.UNIQUE(_xlfn._xlws.FILTER(_xlfn.HSTACK(_xlpm.field), _xlpm.src&gt;0)),
     IF(ISERR(_xlfn.SINGLE(_xlpm.rslt)),"",_xlpm.rslt))</f>
        <v>46211/D|BR1/01</v>
      </c>
      <c r="AA2" t="str">
        <v>STM-A40_0121</v>
      </c>
      <c r="AB2" t="str">
        <v>SAP</v>
      </c>
      <c r="AC2" t="str">
        <v>LS_18</v>
      </c>
      <c r="AD2" t="str">
        <v>L18_S09</v>
      </c>
      <c r="AE2" t="str">
        <v>024 / 011</v>
      </c>
      <c r="AF2" t="str">
        <v>No</v>
      </c>
      <c r="AG2" t="str">
        <v/>
      </c>
      <c r="AH2" t="str">
        <v/>
      </c>
      <c r="AJ2" t="str" cm="1">
        <f t="array" aca="1" ref="AJ2:AJ215" ca="1">_xlfn.LET( _xlpm.name, _xlfn.TEXTBEFORE(_xlfn.TEXTAFTER(_xlfn.FORMULATEXT($F$2),"("),"!"),
      _xlpm.ref, _xlfn.TAKE(_xlfn.ANCHORARRAY($Z$2),,1),
      IF(_xlpm.ref&gt;0,_xlpm.name))</f>
        <v>Pile_01</v>
      </c>
    </row>
    <row r="3" spans="1:125" ht="15.75" x14ac:dyDescent="0.25">
      <c r="A3" t="str">
        <v>BR-C6_S10</v>
      </c>
      <c r="B3" t="str">
        <v>BR1/04</v>
      </c>
      <c r="I3" s="66"/>
      <c r="J3" s="65" t="str">
        <v>025 / 03</v>
      </c>
      <c r="K3" s="65">
        <v>0</v>
      </c>
      <c r="L3" s="65">
        <v>0</v>
      </c>
      <c r="M3" s="85"/>
      <c r="N3" s="85"/>
      <c r="O3" s="85" t="str" cm="1">
        <f t="array" ref="O3:U3">_xlfn.LET( _xlpm.db,HLG_01[],
      _xlpm.btch, INDEX(_xlpm.db,,1),
      _xlpm.rit,  INDEX(_xlpm.db,,2),
      _xlpm.smpl, INDEX(_xlpm.db,,3),
      _xlpm.frnt, INDEX(_xlpm.db,,5),
      _xlpm.carry,ISNA(MATCH($I$2&amp; _xlpm.btch &amp; _xlpm.rit,_xlfn.BYROW(_xlfn.CHOOSECOLS(_xlfn.ANCHORARRAY(Sample_Pos!$V$3),4,5,6), _xleta.CONCAT), 0)),
      _xlpm.no,   (--(_xlpm.smpl="YES")*(_xlpm.frnt&gt;0)*_xlpm.carry)&gt;0,
      _xlpm.bag, IF(_xlpm.no, _xlfn.BYROW(INDEX(_xlfn.HSTACK(Int_Sample[Inc],Int_Sample[Packing]), MATCH($G$2,Int_Sample[Ore],0)), _xlfn.LAMBDA(_xlpm.x, INDEX(_xlpm.x,,1)/INDEX(_xlpm.x,,2))),""),
      _xlpm.note, IF(_xlpm.no,_xlfn.HSTACK({"Unknown","Unknown"},$G$2,$I$2),""),
      _xlpm.rslt, _xlfn._xlws.FILTER(_xlfn.HSTACK(_xlpm.note,_xlpm.btch,_xlpm.rit,_xlpm.bag), _xlpm.no, {"","","","","","",""}),
      _xlpm.rslt)</f>
        <v>Unknown</v>
      </c>
      <c r="P3" s="85" t="str">
        <v>Unknown</v>
      </c>
      <c r="Q3" s="85" t="str">
        <v>SAP</v>
      </c>
      <c r="R3" s="85" t="str">
        <v>L18_S09</v>
      </c>
      <c r="S3" s="100">
        <v>25</v>
      </c>
      <c r="T3" s="100">
        <v>4</v>
      </c>
      <c r="U3" s="98">
        <v>1</v>
      </c>
      <c r="V3" s="95"/>
      <c r="W3" s="95"/>
      <c r="X3" s="85"/>
      <c r="Z3" t="str">
        <v>46211/D|BR1/01</v>
      </c>
      <c r="AA3" t="str">
        <v>STM-A40_0119</v>
      </c>
      <c r="AB3" t="str">
        <v>SAP</v>
      </c>
      <c r="AC3" t="str">
        <v>LS_18</v>
      </c>
      <c r="AD3" t="str">
        <v>L18_S09</v>
      </c>
      <c r="AE3" t="str">
        <v>024 / 012</v>
      </c>
      <c r="AF3" t="str">
        <v>Yes</v>
      </c>
      <c r="AG3" t="str">
        <v/>
      </c>
      <c r="AH3" t="str">
        <v/>
      </c>
      <c r="AJ3" t="str">
        <f ca="1"/>
        <v>Pile_01</v>
      </c>
    </row>
    <row r="4" spans="1:125" x14ac:dyDescent="0.25">
      <c r="A4" t="str">
        <v>L18_S09</v>
      </c>
      <c r="B4" t="str">
        <v>BR1/05</v>
      </c>
      <c r="F4" t="s">
        <v>2451</v>
      </c>
      <c r="G4" t="s">
        <v>2474</v>
      </c>
      <c r="H4" s="14" t="s">
        <v>2549</v>
      </c>
      <c r="I4" s="14" t="s">
        <v>2567</v>
      </c>
      <c r="J4" s="14" t="s">
        <v>115</v>
      </c>
      <c r="K4" s="14" t="s">
        <v>2477</v>
      </c>
      <c r="L4" s="14" t="s">
        <v>2452</v>
      </c>
      <c r="M4" s="85"/>
      <c r="N4" s="85"/>
      <c r="O4" s="85"/>
      <c r="P4" s="85"/>
      <c r="Q4" s="85"/>
      <c r="R4" s="85"/>
      <c r="S4" s="100"/>
      <c r="T4" s="100"/>
      <c r="U4" s="85"/>
      <c r="V4" s="85"/>
      <c r="W4" s="85"/>
      <c r="X4" s="85"/>
      <c r="Z4" t="str">
        <v>46211/D|BR1/01</v>
      </c>
      <c r="AA4" t="str">
        <v>STM-A40_0107</v>
      </c>
      <c r="AB4" t="str">
        <v>SAP</v>
      </c>
      <c r="AC4" t="str">
        <v>LS_18</v>
      </c>
      <c r="AD4" t="str">
        <v>L18_S09</v>
      </c>
      <c r="AE4" t="str">
        <v>024 / 013</v>
      </c>
      <c r="AF4" t="str">
        <v>No</v>
      </c>
      <c r="AG4" t="str">
        <v/>
      </c>
      <c r="AH4" t="str">
        <v/>
      </c>
      <c r="AJ4" t="str">
        <f ca="1"/>
        <v>Pile_01</v>
      </c>
    </row>
    <row r="5" spans="1:125" ht="15.75" x14ac:dyDescent="0.25">
      <c r="A5" t="str">
        <v>L9_26</v>
      </c>
      <c r="D5" s="3" cm="1">
        <f t="array" ref="D5:D638">_xlfn.LET( _xlpm.Batch,HLG_01[Batch],
      _xlpm.rit, HLG_01[Rit],
      _xlpm.front,HLG_01[Front_ID],
      _xlpm.truck, HLG_01[Truck_ID],
      _xlpm.Unik, _xlfn.UNIQUE(_xlfn._xlws.FILTER(_xlpm.Batch, _xlpm.Batch&lt;&gt;"")),
      _xlpm.seqBtch, _xlfn.MAP(_xlpm.Batch,_xlfn.LAMBDA(_xlpm.b,IF(_xlpm.b="","",MATCH(_xlpm.b, _xlpm.Unik,0)))),
      _xlpm.r, ROWS(_xlpm.truck),
      _xlpm.vld,_xlfn.MAP(_xlfn.SEQUENCE(_xlpm.r),_xlfn.LAMBDA(_xlpm.idx,MATCH(INDEX(_xlpm.truck,_xlpm.idx),INDEX(_xlfn.ANCHORARRAY($AP$5),_xlpm.idx,0),0))),
      _xlpm.isSkip, IF(_xlpm.front&gt;0,"",_xlfn.MAP(_xlpm.Batch, _xlpm.rit, _xlfn.LAMBDA(_xlpm.bx,_xlpm.rx,
        IFERROR(IF(_xlfn.XMATCH(1, --(_xlpm.Batch=_xlpm.bx) * (_xlpm.rit&gt;_xlpm.rx) * (_xlpm.front&gt;0), 0), "Skipped"), "")))),
      _xlpm.rslt, IF(_xlpm.isSkip="",IF((--(ISNA(_xlpm.vld)*(_xlpm.truck&gt;0))+((_xlpm.front&gt;0)*(_xlpm.truck=0)))&gt;0,_xlpm.vld,_xlpm.seqBtch),_xlpm.isSkip),
      _xlpm.rslt)</f>
        <v>1</v>
      </c>
      <c r="F5" s="16" cm="1">
        <f t="array" ref="F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24</v>
      </c>
      <c r="G5" s="31" cm="1">
        <f t="array" ref="G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5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" s="32" t="str">
        <f>TEXT(HLG_01[[#This Row],[Batch]],"000")&amp; " / " &amp; TEXT(HLG_01[[#This Row],[Rit]],"000")</f>
        <v>024 / 011</v>
      </c>
      <c r="J5" s="34" t="s">
        <v>2620</v>
      </c>
      <c r="K5" s="38" t="s">
        <v>2602</v>
      </c>
      <c r="L5" s="35"/>
      <c r="M5" s="85"/>
      <c r="N5" s="85"/>
      <c r="O5" s="85"/>
      <c r="P5" s="85"/>
      <c r="Q5" s="85"/>
      <c r="R5" s="85"/>
      <c r="S5" s="100"/>
      <c r="T5" s="100"/>
      <c r="U5" s="85"/>
      <c r="V5" s="85"/>
      <c r="W5" s="85"/>
      <c r="X5" s="85"/>
      <c r="Z5" t="str">
        <v>46211/D|BR1/01</v>
      </c>
      <c r="AA5" t="str">
        <v>STM-A40_0105</v>
      </c>
      <c r="AB5" t="str">
        <v>SAP</v>
      </c>
      <c r="AC5" t="str">
        <v>LS_18</v>
      </c>
      <c r="AD5" t="str">
        <v>L18_S09</v>
      </c>
      <c r="AE5" t="str">
        <v>024 / 014</v>
      </c>
      <c r="AF5" t="str">
        <v>Yes</v>
      </c>
      <c r="AG5" t="str">
        <v/>
      </c>
      <c r="AH5" t="str">
        <v/>
      </c>
      <c r="AJ5" t="str">
        <f ca="1"/>
        <v>Pile_01</v>
      </c>
      <c r="AP5" t="str" cm="1">
        <f t="array" ref="AP5:AW638">_xlfn.IFNA(_xlfn.DROP(
    _xlfn.REDUCE("", HLG_01[Front_ID],
        _xlfn.LAMBDA(_xlpm.matriks,_xlpm.p,
            _xlfn.VSTACK(_xlpm.matriks,
                IFERROR(
                    _xlfn.LET(
                        _xlpm.baris_idx, MATCH(_xlpm.p, List_Front, 0),
                        _xlpm.truk_valid, INDEX(_xlfn.ANCHORARRAY(Fleet_Det!$CE$4), _xlpm.baris_idx, ),
                        _xlpm.fleet_str, INDEX(List_Unit_Fleet, _xlpm.baris_idx),
                        _xlpm.daftar_truk, IFERROR(_xlfn.TEXTSPLIT(_xlpm.fleet_str, "|"), ""),
                        _xlpm.daftar_truk_vec, _xlfn.TOCOL(_xlpm.daftar_truk, 1),
                        _xlpm.hasil, _xlfn._xlws.FILTER(_xlpm.daftar_truk_vec, ISNUMBER(MATCH(_xlpm.daftar_truk_vec, _xlpm.truk_valid, 0))),
                        _xlfn.TOROW(_xlfn._xlws.SORT(_xlfn.UNIQUE(_xlpm.hasil)))
                    ),
                    ""
                )
            )
        )
    ),
    1
),"")</f>
        <v>STM-A40_0098</v>
      </c>
      <c r="AQ5" t="str">
        <v>STM-A40_0105</v>
      </c>
      <c r="AR5" t="str">
        <v>STM-A40_0106</v>
      </c>
      <c r="AS5" t="str">
        <v>STM-A40_0107</v>
      </c>
      <c r="AT5" t="str">
        <v>STM-A40_0119</v>
      </c>
      <c r="AU5" t="str">
        <v>STM-A40_0121</v>
      </c>
      <c r="AV5" t="str">
        <v>STM-A40_0136</v>
      </c>
      <c r="AW5" t="str">
        <v/>
      </c>
    </row>
    <row r="6" spans="1:125" ht="15.75" x14ac:dyDescent="0.25">
      <c r="A6" t="str">
        <v>S5_77</v>
      </c>
      <c r="D6" s="3">
        <v>1</v>
      </c>
      <c r="F6" s="16" cm="1">
        <f t="array" ref="F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24</v>
      </c>
      <c r="G6" s="31" cm="1">
        <f t="array" ref="G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6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" s="32" t="str">
        <f>TEXT(HLG_01[[#This Row],[Batch]],"000")&amp; " / " &amp; TEXT(HLG_01[[#This Row],[Rit]],"000")</f>
        <v>024 / 012</v>
      </c>
      <c r="J6" s="34" t="s">
        <v>2620</v>
      </c>
      <c r="K6" s="38" t="s">
        <v>2595</v>
      </c>
      <c r="L6" s="35"/>
      <c r="M6" s="85"/>
      <c r="N6" s="85"/>
      <c r="O6" s="85"/>
      <c r="P6" s="85"/>
      <c r="Q6" s="85"/>
      <c r="R6" s="85"/>
      <c r="S6" s="100"/>
      <c r="T6" s="100"/>
      <c r="U6" s="85"/>
      <c r="V6" s="85"/>
      <c r="W6" s="85"/>
      <c r="X6" s="85"/>
      <c r="Z6" t="str">
        <v>46211/D|BR1/01</v>
      </c>
      <c r="AA6" t="str">
        <v>STM-A40_0136</v>
      </c>
      <c r="AB6" t="str">
        <v>SAP</v>
      </c>
      <c r="AC6" t="str">
        <v>LS_18</v>
      </c>
      <c r="AD6" t="str">
        <v>L18_S09</v>
      </c>
      <c r="AE6" t="str">
        <v>024 / 015</v>
      </c>
      <c r="AF6" t="str">
        <v>No</v>
      </c>
      <c r="AG6" t="str">
        <v/>
      </c>
      <c r="AH6" t="str">
        <v/>
      </c>
      <c r="AJ6" t="str">
        <f ca="1"/>
        <v>Pile_01</v>
      </c>
      <c r="AP6" t="str">
        <v>STM-A40_0098</v>
      </c>
      <c r="AQ6" t="str">
        <v>STM-A40_0105</v>
      </c>
      <c r="AR6" t="str">
        <v>STM-A40_0106</v>
      </c>
      <c r="AS6" t="str">
        <v>STM-A40_0107</v>
      </c>
      <c r="AT6" t="str">
        <v>STM-A40_0119</v>
      </c>
      <c r="AU6" t="str">
        <v>STM-A40_0121</v>
      </c>
      <c r="AV6" t="str">
        <v>STM-A40_0136</v>
      </c>
      <c r="AW6" t="str">
        <v/>
      </c>
    </row>
    <row r="7" spans="1:125" ht="15.75" x14ac:dyDescent="0.25">
      <c r="A7" t="str">
        <v>S5_88</v>
      </c>
      <c r="D7" s="3">
        <v>1</v>
      </c>
      <c r="F7" s="16" cm="1">
        <f t="array" ref="F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24</v>
      </c>
      <c r="G7" s="31" cm="1">
        <f t="array" ref="G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7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7" s="32" t="str">
        <f>TEXT(HLG_01[[#This Row],[Batch]],"000")&amp; " / " &amp; TEXT(HLG_01[[#This Row],[Rit]],"000")</f>
        <v>024 / 013</v>
      </c>
      <c r="J7" s="34" t="s">
        <v>2620</v>
      </c>
      <c r="K7" s="38" t="s">
        <v>2603</v>
      </c>
      <c r="L7" s="35"/>
      <c r="M7" s="85"/>
      <c r="N7" s="85"/>
      <c r="O7" s="85"/>
      <c r="P7" s="85"/>
      <c r="Q7" s="85"/>
      <c r="R7" s="85"/>
      <c r="S7" s="100"/>
      <c r="T7" s="100"/>
      <c r="U7" s="85"/>
      <c r="V7" s="85"/>
      <c r="W7" s="85"/>
      <c r="X7" s="85"/>
      <c r="Z7" t="str">
        <v>46211/D|BR1/01</v>
      </c>
      <c r="AA7" t="str">
        <v>STM-A40_0106</v>
      </c>
      <c r="AB7" t="str">
        <v>SAP</v>
      </c>
      <c r="AC7" t="str">
        <v>LS_18</v>
      </c>
      <c r="AD7" t="str">
        <v>L18_S09</v>
      </c>
      <c r="AE7" t="str">
        <v>024 / 016</v>
      </c>
      <c r="AF7" t="str">
        <v>Yes</v>
      </c>
      <c r="AG7" t="str">
        <v/>
      </c>
      <c r="AH7" t="str">
        <v/>
      </c>
      <c r="AJ7" t="str">
        <f ca="1"/>
        <v>Pile_01</v>
      </c>
      <c r="AP7" t="str">
        <v>STM-A40_0098</v>
      </c>
      <c r="AQ7" t="str">
        <v>STM-A40_0105</v>
      </c>
      <c r="AR7" t="str">
        <v>STM-A40_0106</v>
      </c>
      <c r="AS7" t="str">
        <v>STM-A40_0107</v>
      </c>
      <c r="AT7" t="str">
        <v>STM-A40_0119</v>
      </c>
      <c r="AU7" t="str">
        <v>STM-A40_0121</v>
      </c>
      <c r="AV7" t="str">
        <v>STM-A40_0136</v>
      </c>
      <c r="AW7" t="str">
        <v/>
      </c>
    </row>
    <row r="8" spans="1:125" ht="15.75" x14ac:dyDescent="0.25">
      <c r="A8" t="str">
        <v>S5_93</v>
      </c>
      <c r="D8" s="3">
        <v>1</v>
      </c>
      <c r="F8" s="16" cm="1">
        <f t="array" ref="F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24</v>
      </c>
      <c r="G8" s="31" cm="1">
        <f t="array" ref="G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8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8" s="32" t="str">
        <f>TEXT(HLG_01[[#This Row],[Batch]],"000")&amp; " / " &amp; TEXT(HLG_01[[#This Row],[Rit]],"000")</f>
        <v>024 / 014</v>
      </c>
      <c r="J8" s="34" t="s">
        <v>2620</v>
      </c>
      <c r="K8" s="38" t="s">
        <v>2604</v>
      </c>
      <c r="L8" s="35"/>
      <c r="M8" s="85"/>
      <c r="N8" s="85"/>
      <c r="O8" s="85"/>
      <c r="P8" s="85"/>
      <c r="Q8" s="85"/>
      <c r="R8" s="85"/>
      <c r="S8" s="100"/>
      <c r="T8" s="100"/>
      <c r="U8" s="85"/>
      <c r="V8" s="85"/>
      <c r="W8" s="85"/>
      <c r="X8" s="85"/>
      <c r="Z8" t="str">
        <v>46211/D|BR1/01</v>
      </c>
      <c r="AA8" t="str">
        <v>STM-A40_0121</v>
      </c>
      <c r="AB8" t="str">
        <v>SAP</v>
      </c>
      <c r="AC8" t="str">
        <v>LS_18</v>
      </c>
      <c r="AD8" t="str">
        <v>L18_S09</v>
      </c>
      <c r="AE8" t="str">
        <v>024 / 017</v>
      </c>
      <c r="AF8" t="str">
        <v>No</v>
      </c>
      <c r="AG8" t="str">
        <v/>
      </c>
      <c r="AH8" t="str">
        <v/>
      </c>
      <c r="AJ8" t="str">
        <f ca="1"/>
        <v>Pile_01</v>
      </c>
      <c r="AP8" t="str">
        <v>STM-A40_0098</v>
      </c>
      <c r="AQ8" t="str">
        <v>STM-A40_0105</v>
      </c>
      <c r="AR8" t="str">
        <v>STM-A40_0106</v>
      </c>
      <c r="AS8" t="str">
        <v>STM-A40_0107</v>
      </c>
      <c r="AT8" t="str">
        <v>STM-A40_0119</v>
      </c>
      <c r="AU8" t="str">
        <v>STM-A40_0121</v>
      </c>
      <c r="AV8" t="str">
        <v>STM-A40_0136</v>
      </c>
      <c r="AW8" t="str">
        <v/>
      </c>
    </row>
    <row r="9" spans="1:125" ht="15.75" x14ac:dyDescent="0.25">
      <c r="D9" s="3">
        <v>1</v>
      </c>
      <c r="F9" s="16" cm="1">
        <f t="array" ref="F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24</v>
      </c>
      <c r="G9" s="31" cm="1">
        <f t="array" ref="G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9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9" s="32" t="str">
        <f>TEXT(HLG_01[[#This Row],[Batch]],"000")&amp; " / " &amp; TEXT(HLG_01[[#This Row],[Rit]],"000")</f>
        <v>024 / 015</v>
      </c>
      <c r="J9" s="34" t="s">
        <v>2620</v>
      </c>
      <c r="K9" s="38" t="s">
        <v>2605</v>
      </c>
      <c r="L9" s="35"/>
      <c r="M9" s="85"/>
      <c r="N9" s="85"/>
      <c r="O9" s="85"/>
      <c r="P9" s="85"/>
      <c r="Q9" s="85"/>
      <c r="R9" s="85"/>
      <c r="S9" s="100"/>
      <c r="T9" s="100"/>
      <c r="U9" s="85"/>
      <c r="V9" s="85"/>
      <c r="W9" s="85"/>
      <c r="X9" s="85"/>
      <c r="Z9" t="str">
        <v>46211/D|BR1/01</v>
      </c>
      <c r="AA9" t="str">
        <v>STM-A40_0119</v>
      </c>
      <c r="AB9" t="str">
        <v>SAP</v>
      </c>
      <c r="AC9" t="str">
        <v>LS_18</v>
      </c>
      <c r="AD9" t="str">
        <v>L18_S09</v>
      </c>
      <c r="AE9" t="str">
        <v>024 / 018</v>
      </c>
      <c r="AF9" t="str">
        <v>Yes</v>
      </c>
      <c r="AG9" t="str">
        <v/>
      </c>
      <c r="AH9" t="str">
        <v/>
      </c>
      <c r="AJ9" t="str">
        <f ca="1"/>
        <v>Pile_01</v>
      </c>
      <c r="AP9" t="str">
        <v>STM-A40_0098</v>
      </c>
      <c r="AQ9" t="str">
        <v>STM-A40_0105</v>
      </c>
      <c r="AR9" t="str">
        <v>STM-A40_0106</v>
      </c>
      <c r="AS9" t="str">
        <v>STM-A40_0107</v>
      </c>
      <c r="AT9" t="str">
        <v>STM-A40_0119</v>
      </c>
      <c r="AU9" t="str">
        <v>STM-A40_0121</v>
      </c>
      <c r="AV9" t="str">
        <v>STM-A40_0136</v>
      </c>
      <c r="AW9" t="str">
        <v/>
      </c>
    </row>
    <row r="10" spans="1:125" ht="15.75" x14ac:dyDescent="0.25">
      <c r="D10" s="3">
        <v>1</v>
      </c>
      <c r="F10" s="16" cm="1">
        <f t="array" ref="F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24</v>
      </c>
      <c r="G10" s="31" cm="1">
        <f t="array" ref="G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10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0" s="32" t="str">
        <f>TEXT(HLG_01[[#This Row],[Batch]],"000")&amp; " / " &amp; TEXT(HLG_01[[#This Row],[Rit]],"000")</f>
        <v>024 / 016</v>
      </c>
      <c r="J10" s="34" t="s">
        <v>2620</v>
      </c>
      <c r="K10" s="38" t="s">
        <v>2606</v>
      </c>
      <c r="L10" s="35"/>
      <c r="M10" s="85"/>
      <c r="N10" s="85"/>
      <c r="O10" s="85"/>
      <c r="P10" s="85"/>
      <c r="Q10" s="85"/>
      <c r="R10" s="85"/>
      <c r="S10" s="100"/>
      <c r="T10" s="100"/>
      <c r="U10" s="85"/>
      <c r="V10" s="85"/>
      <c r="W10" s="85"/>
      <c r="X10" s="85"/>
      <c r="Z10" t="str">
        <v>46211/D|BR1/01</v>
      </c>
      <c r="AA10" t="str">
        <v>STM-A40_0107</v>
      </c>
      <c r="AB10" t="str">
        <v>SAP</v>
      </c>
      <c r="AC10" t="str">
        <v>LS_18</v>
      </c>
      <c r="AD10" t="str">
        <v>L18_S09</v>
      </c>
      <c r="AE10" t="str">
        <v>024 / 019</v>
      </c>
      <c r="AF10" t="str">
        <v>No</v>
      </c>
      <c r="AG10" t="str">
        <v/>
      </c>
      <c r="AH10" t="str">
        <v/>
      </c>
      <c r="AJ10" t="str">
        <f ca="1"/>
        <v>Pile_01</v>
      </c>
      <c r="AP10" t="str">
        <v>STM-A40_0098</v>
      </c>
      <c r="AQ10" t="str">
        <v>STM-A40_0105</v>
      </c>
      <c r="AR10" t="str">
        <v>STM-A40_0106</v>
      </c>
      <c r="AS10" t="str">
        <v>STM-A40_0107</v>
      </c>
      <c r="AT10" t="str">
        <v>STM-A40_0119</v>
      </c>
      <c r="AU10" t="str">
        <v>STM-A40_0121</v>
      </c>
      <c r="AV10" t="str">
        <v>STM-A40_0136</v>
      </c>
      <c r="AW10" t="str">
        <v/>
      </c>
    </row>
    <row r="11" spans="1:125" ht="15.75" x14ac:dyDescent="0.25">
      <c r="D11" s="3">
        <v>1</v>
      </c>
      <c r="F11" s="16" cm="1">
        <f t="array" ref="F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24</v>
      </c>
      <c r="G11" s="31" cm="1">
        <f t="array" ref="G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11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1" s="32" t="str">
        <f>TEXT(HLG_01[[#This Row],[Batch]],"000")&amp; " / " &amp; TEXT(HLG_01[[#This Row],[Rit]],"000")</f>
        <v>024 / 017</v>
      </c>
      <c r="J11" s="34" t="s">
        <v>2620</v>
      </c>
      <c r="K11" s="38" t="s">
        <v>2602</v>
      </c>
      <c r="L11" s="35"/>
      <c r="M11" s="85"/>
      <c r="N11" s="85"/>
      <c r="O11" s="85"/>
      <c r="P11" s="85"/>
      <c r="Q11" s="85"/>
      <c r="R11" s="85"/>
      <c r="S11" s="100"/>
      <c r="T11" s="100"/>
      <c r="U11" s="85"/>
      <c r="V11" s="85"/>
      <c r="W11" s="85"/>
      <c r="X11" s="85"/>
      <c r="Z11" t="str">
        <v>46211/D|BR1/01</v>
      </c>
      <c r="AA11" t="str">
        <v>STM-A40_0105</v>
      </c>
      <c r="AB11" t="str">
        <v>SAP</v>
      </c>
      <c r="AC11" t="str">
        <v>LS_18</v>
      </c>
      <c r="AD11" t="str">
        <v>L18_S09</v>
      </c>
      <c r="AE11" t="str">
        <v>024 / 020</v>
      </c>
      <c r="AF11" t="str">
        <v>Yes</v>
      </c>
      <c r="AG11" t="str">
        <v/>
      </c>
      <c r="AH11" t="str">
        <v/>
      </c>
      <c r="AJ11" t="str">
        <f ca="1"/>
        <v>Pile_01</v>
      </c>
      <c r="AP11" t="str">
        <v>STM-A40_0098</v>
      </c>
      <c r="AQ11" t="str">
        <v>STM-A40_0105</v>
      </c>
      <c r="AR11" t="str">
        <v>STM-A40_0106</v>
      </c>
      <c r="AS11" t="str">
        <v>STM-A40_0107</v>
      </c>
      <c r="AT11" t="str">
        <v>STM-A40_0119</v>
      </c>
      <c r="AU11" t="str">
        <v>STM-A40_0121</v>
      </c>
      <c r="AV11" t="str">
        <v>STM-A40_0136</v>
      </c>
      <c r="AW11" t="str">
        <v/>
      </c>
    </row>
    <row r="12" spans="1:125" ht="15.75" x14ac:dyDescent="0.25">
      <c r="D12" s="3">
        <v>1</v>
      </c>
      <c r="F12" s="16" cm="1">
        <f t="array" ref="F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24</v>
      </c>
      <c r="G12" s="31" cm="1">
        <f t="array" ref="G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12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2" s="32" t="str">
        <f>TEXT(HLG_01[[#This Row],[Batch]],"000")&amp; " / " &amp; TEXT(HLG_01[[#This Row],[Rit]],"000")</f>
        <v>024 / 018</v>
      </c>
      <c r="J12" s="34" t="s">
        <v>2620</v>
      </c>
      <c r="K12" s="38" t="s">
        <v>2595</v>
      </c>
      <c r="L12" s="35"/>
      <c r="M12" s="85"/>
      <c r="N12" s="85"/>
      <c r="O12" s="85"/>
      <c r="P12" s="85"/>
      <c r="Q12" s="85"/>
      <c r="R12" s="85"/>
      <c r="S12" s="100"/>
      <c r="T12" s="100"/>
      <c r="U12" s="85"/>
      <c r="V12" s="85"/>
      <c r="W12" s="85"/>
      <c r="X12" s="85"/>
      <c r="Z12" t="str">
        <v>46211/D|BR1/04</v>
      </c>
      <c r="AA12">
        <v>0</v>
      </c>
      <c r="AB12" t="str">
        <v>SAP</v>
      </c>
      <c r="AC12" t="str">
        <v>LS_18</v>
      </c>
      <c r="AD12" t="str">
        <v>L18_S09</v>
      </c>
      <c r="AE12" t="str">
        <v>025 / 004</v>
      </c>
      <c r="AF12" t="str">
        <v>Yes</v>
      </c>
      <c r="AG12" t="str">
        <v/>
      </c>
      <c r="AH12" t="str">
        <v>TRUCK SALAH</v>
      </c>
      <c r="AJ12" t="str">
        <f ca="1"/>
        <v>Pile_01</v>
      </c>
      <c r="AP12" t="str">
        <v>STM-A40_0098</v>
      </c>
      <c r="AQ12" t="str">
        <v>STM-A40_0105</v>
      </c>
      <c r="AR12" t="str">
        <v>STM-A40_0106</v>
      </c>
      <c r="AS12" t="str">
        <v>STM-A40_0107</v>
      </c>
      <c r="AT12" t="str">
        <v>STM-A40_0119</v>
      </c>
      <c r="AU12" t="str">
        <v>STM-A40_0121</v>
      </c>
      <c r="AV12" t="str">
        <v>STM-A40_0136</v>
      </c>
      <c r="AW12" t="str">
        <v/>
      </c>
    </row>
    <row r="13" spans="1:125" ht="15.75" x14ac:dyDescent="0.25">
      <c r="D13" s="3">
        <v>1</v>
      </c>
      <c r="F13" s="16" cm="1">
        <f t="array" ref="F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24</v>
      </c>
      <c r="G13" s="31" cm="1">
        <f t="array" ref="G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13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3" s="32" t="str">
        <f>TEXT(HLG_01[[#This Row],[Batch]],"000")&amp; " / " &amp; TEXT(HLG_01[[#This Row],[Rit]],"000")</f>
        <v>024 / 019</v>
      </c>
      <c r="J13" s="34" t="s">
        <v>2620</v>
      </c>
      <c r="K13" s="38" t="s">
        <v>2603</v>
      </c>
      <c r="L13" s="35"/>
      <c r="M13" s="85"/>
      <c r="N13" s="85"/>
      <c r="O13" s="85"/>
      <c r="P13" s="85"/>
      <c r="Q13" s="85"/>
      <c r="R13" s="85"/>
      <c r="S13" s="100"/>
      <c r="T13" s="100"/>
      <c r="U13" s="85"/>
      <c r="V13" s="85"/>
      <c r="W13" s="85"/>
      <c r="X13" s="85"/>
      <c r="Z13" t="str">
        <v>46211/D|BR1/02</v>
      </c>
      <c r="AA13" t="str">
        <v>STM-A40_0087</v>
      </c>
      <c r="AB13" t="str">
        <v>SAP</v>
      </c>
      <c r="AC13" t="str">
        <v>LS_18</v>
      </c>
      <c r="AD13" t="str">
        <v>L18_S09</v>
      </c>
      <c r="AE13" t="str">
        <v>031 / 019</v>
      </c>
      <c r="AF13" t="str">
        <v>No</v>
      </c>
      <c r="AG13" t="str">
        <v/>
      </c>
      <c r="AH13" t="str">
        <v/>
      </c>
      <c r="AJ13" t="str">
        <f ca="1"/>
        <v>Pile_01</v>
      </c>
      <c r="AP13" t="str">
        <v>STM-A40_0098</v>
      </c>
      <c r="AQ13" t="str">
        <v>STM-A40_0105</v>
      </c>
      <c r="AR13" t="str">
        <v>STM-A40_0106</v>
      </c>
      <c r="AS13" t="str">
        <v>STM-A40_0107</v>
      </c>
      <c r="AT13" t="str">
        <v>STM-A40_0119</v>
      </c>
      <c r="AU13" t="str">
        <v>STM-A40_0121</v>
      </c>
      <c r="AV13" t="str">
        <v>STM-A40_0136</v>
      </c>
      <c r="AW13" t="str">
        <v/>
      </c>
    </row>
    <row r="14" spans="1:125" ht="15.75" x14ac:dyDescent="0.25">
      <c r="D14" s="3">
        <v>1</v>
      </c>
      <c r="F14" s="16" cm="1">
        <f t="array" ref="F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24</v>
      </c>
      <c r="G14" s="31" cm="1">
        <f t="array" ref="G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14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4" s="32" t="str">
        <f>TEXT(HLG_01[[#This Row],[Batch]],"000")&amp; " / " &amp; TEXT(HLG_01[[#This Row],[Rit]],"000")</f>
        <v>024 / 020</v>
      </c>
      <c r="J14" s="34" t="s">
        <v>2620</v>
      </c>
      <c r="K14" s="38" t="s">
        <v>2604</v>
      </c>
      <c r="L14" s="35"/>
      <c r="M14" s="85"/>
      <c r="N14" s="85"/>
      <c r="O14" s="85"/>
      <c r="P14" s="85"/>
      <c r="Q14" s="85"/>
      <c r="R14" s="85"/>
      <c r="S14" s="100"/>
      <c r="T14" s="100"/>
      <c r="U14" s="85"/>
      <c r="V14" s="85"/>
      <c r="W14" s="85"/>
      <c r="X14" s="85"/>
      <c r="Z14" t="str">
        <v>46211/D|BR1/02</v>
      </c>
      <c r="AA14" t="str">
        <v>STM-A40_0133</v>
      </c>
      <c r="AB14" t="str">
        <v>SAP</v>
      </c>
      <c r="AC14" t="str">
        <v>LS_18</v>
      </c>
      <c r="AD14" t="str">
        <v>L18_S09</v>
      </c>
      <c r="AE14" t="str">
        <v>031 / 020</v>
      </c>
      <c r="AF14" t="str">
        <v>Yes</v>
      </c>
      <c r="AG14" t="str">
        <v/>
      </c>
      <c r="AH14" t="str">
        <v/>
      </c>
      <c r="AJ14" t="str">
        <f ca="1"/>
        <v>Pile_01</v>
      </c>
      <c r="AP14" t="str">
        <v>STM-A40_0098</v>
      </c>
      <c r="AQ14" t="str">
        <v>STM-A40_0105</v>
      </c>
      <c r="AR14" t="str">
        <v>STM-A40_0106</v>
      </c>
      <c r="AS14" t="str">
        <v>STM-A40_0107</v>
      </c>
      <c r="AT14" t="str">
        <v>STM-A40_0119</v>
      </c>
      <c r="AU14" t="str">
        <v>STM-A40_0121</v>
      </c>
      <c r="AV14" t="str">
        <v>STM-A40_0136</v>
      </c>
      <c r="AW14" t="str">
        <v/>
      </c>
    </row>
    <row r="15" spans="1:125" ht="15.75" x14ac:dyDescent="0.25">
      <c r="D15" s="3" t="e">
        <v>#N/A</v>
      </c>
      <c r="F15" s="16" cm="1">
        <f t="array" ref="F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25</v>
      </c>
      <c r="G15" s="31" cm="1">
        <f t="array" ref="G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1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5" s="32" t="str">
        <f>TEXT(HLG_01[[#This Row],[Batch]],"000")&amp; " / " &amp; TEXT(HLG_01[[#This Row],[Rit]],"000")</f>
        <v>025 / 004</v>
      </c>
      <c r="J15" s="34" t="s">
        <v>2622</v>
      </c>
      <c r="K15" s="38"/>
      <c r="L15" s="35"/>
      <c r="M15" s="85"/>
      <c r="N15" s="85"/>
      <c r="O15" s="85"/>
      <c r="P15" s="85"/>
      <c r="Q15" s="85"/>
      <c r="R15" s="85"/>
      <c r="S15" s="100"/>
      <c r="T15" s="100"/>
      <c r="U15" s="85"/>
      <c r="V15" s="85"/>
      <c r="W15" s="85"/>
      <c r="X15" s="85"/>
      <c r="Z15" t="str">
        <v>46211/D|BR1/04</v>
      </c>
      <c r="AA15" t="str">
        <v>STM-A40_0121</v>
      </c>
      <c r="AB15" t="str">
        <v>SAP</v>
      </c>
      <c r="AC15" t="str">
        <v>LS_18</v>
      </c>
      <c r="AD15" t="str">
        <v>L18_S09</v>
      </c>
      <c r="AE15" t="str">
        <v>032 / 015</v>
      </c>
      <c r="AF15" t="str">
        <v>No</v>
      </c>
      <c r="AG15" t="str">
        <v/>
      </c>
      <c r="AH15" t="str">
        <v>TRUCK SALAH</v>
      </c>
      <c r="AJ15" t="str">
        <f ca="1"/>
        <v>Pile_01</v>
      </c>
      <c r="AP15" t="str">
        <v>STM-A40_0067</v>
      </c>
      <c r="AQ15" t="str">
        <v>STM-A40_0088</v>
      </c>
      <c r="AR15" t="str">
        <v>STM-A40_0098</v>
      </c>
      <c r="AS15" t="str">
        <v>STM-A40_0105</v>
      </c>
      <c r="AT15" t="str">
        <v>STM-A40_0106</v>
      </c>
      <c r="AU15" t="str">
        <v>STM-A40_0107</v>
      </c>
      <c r="AV15" t="str">
        <v>STM-A40_0119</v>
      </c>
      <c r="AW15" t="str">
        <v>STM-A40_0136</v>
      </c>
    </row>
    <row r="16" spans="1:125" ht="15.75" x14ac:dyDescent="0.25">
      <c r="D16" s="3">
        <v>2</v>
      </c>
      <c r="F16" s="16" cm="1">
        <f t="array" ref="F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25</v>
      </c>
      <c r="G16" s="31" cm="1">
        <f t="array" ref="G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1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6" s="32" t="str">
        <f>TEXT(HLG_01[[#This Row],[Batch]],"000")&amp; " / " &amp; TEXT(HLG_01[[#This Row],[Rit]],"000")</f>
        <v>025 / 005</v>
      </c>
      <c r="J16" s="34"/>
      <c r="K16" s="38"/>
      <c r="L16" s="35"/>
      <c r="M16" s="85"/>
      <c r="N16" s="85"/>
      <c r="O16" s="85"/>
      <c r="P16" s="85"/>
      <c r="Q16" s="85"/>
      <c r="R16" s="85"/>
      <c r="S16" s="100"/>
      <c r="T16" s="100"/>
      <c r="U16" s="85"/>
      <c r="V16" s="85"/>
      <c r="W16" s="85"/>
      <c r="X16" s="85"/>
      <c r="Z16" t="str">
        <v>46211/D|BR1/04</v>
      </c>
      <c r="AA16" t="str">
        <v>STM-A40_0107</v>
      </c>
      <c r="AB16" t="str">
        <v>SAP</v>
      </c>
      <c r="AC16" t="str">
        <v>LS_18</v>
      </c>
      <c r="AD16" t="str">
        <v>L18_S09</v>
      </c>
      <c r="AE16" t="str">
        <v>032 / 016</v>
      </c>
      <c r="AF16" t="str">
        <v>Yes</v>
      </c>
      <c r="AG16" t="str">
        <v/>
      </c>
      <c r="AH16" t="str">
        <v/>
      </c>
      <c r="AJ16" t="str">
        <f ca="1"/>
        <v>Pile_01</v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</row>
    <row r="17" spans="4:49" ht="15.75" x14ac:dyDescent="0.25">
      <c r="D17" s="3">
        <v>2</v>
      </c>
      <c r="F17" s="16" cm="1">
        <f t="array" ref="F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25</v>
      </c>
      <c r="G17" s="31" cm="1">
        <f t="array" ref="G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1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7" s="32" t="str">
        <f>TEXT(HLG_01[[#This Row],[Batch]],"000")&amp; " / " &amp; TEXT(HLG_01[[#This Row],[Rit]],"000")</f>
        <v>025 / 006</v>
      </c>
      <c r="J17" s="34"/>
      <c r="K17" s="38"/>
      <c r="L17" s="35"/>
      <c r="M17" s="85"/>
      <c r="N17" s="85"/>
      <c r="O17" s="85"/>
      <c r="P17" s="85"/>
      <c r="Q17" s="85"/>
      <c r="R17" s="85"/>
      <c r="S17" s="100"/>
      <c r="T17" s="100"/>
      <c r="U17" s="85"/>
      <c r="V17" s="85"/>
      <c r="W17" s="85"/>
      <c r="X17" s="85"/>
      <c r="Z17" t="str">
        <v>46211/D|BR1/04</v>
      </c>
      <c r="AA17" t="str">
        <v>STM-A40_0106</v>
      </c>
      <c r="AB17" t="str">
        <v>SAP</v>
      </c>
      <c r="AC17" t="str">
        <v>LS_18</v>
      </c>
      <c r="AD17" t="str">
        <v>L18_S09</v>
      </c>
      <c r="AE17" t="str">
        <v>032 / 017</v>
      </c>
      <c r="AF17" t="str">
        <v>No</v>
      </c>
      <c r="AG17" t="str">
        <v/>
      </c>
      <c r="AH17" t="str">
        <v/>
      </c>
      <c r="AJ17" t="str">
        <f ca="1"/>
        <v>Pile_01</v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</row>
    <row r="18" spans="4:49" ht="15.75" x14ac:dyDescent="0.25">
      <c r="D18" s="3">
        <v>2</v>
      </c>
      <c r="F18" s="16" cm="1">
        <f t="array" ref="F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25</v>
      </c>
      <c r="G18" s="31" cm="1">
        <f t="array" ref="G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1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8" s="32" t="str">
        <f>TEXT(HLG_01[[#This Row],[Batch]],"000")&amp; " / " &amp; TEXT(HLG_01[[#This Row],[Rit]],"000")</f>
        <v>025 / 007</v>
      </c>
      <c r="J18" s="34"/>
      <c r="K18" s="38"/>
      <c r="L18" s="35"/>
      <c r="M18" s="85"/>
      <c r="N18" s="85"/>
      <c r="O18" s="85"/>
      <c r="P18" s="85"/>
      <c r="Q18" s="85"/>
      <c r="R18" s="85"/>
      <c r="S18" s="100"/>
      <c r="T18" s="100"/>
      <c r="U18" s="85"/>
      <c r="V18" s="85"/>
      <c r="W18" s="85"/>
      <c r="X18" s="85"/>
      <c r="Z18" t="str">
        <v>46211/D|BR1/04</v>
      </c>
      <c r="AA18" t="str">
        <v>STM-A40_0119</v>
      </c>
      <c r="AB18" t="str">
        <v>SAP</v>
      </c>
      <c r="AC18" t="str">
        <v>LS_18</v>
      </c>
      <c r="AD18" t="str">
        <v>L18_S09</v>
      </c>
      <c r="AE18" t="str">
        <v>032 / 018</v>
      </c>
      <c r="AF18" t="str">
        <v>Yes</v>
      </c>
      <c r="AG18" t="str">
        <v/>
      </c>
      <c r="AH18" t="str">
        <v/>
      </c>
      <c r="AJ18" t="str">
        <f ca="1"/>
        <v>Pile_01</v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</row>
    <row r="19" spans="4:49" ht="15.75" x14ac:dyDescent="0.25">
      <c r="D19" s="3">
        <v>2</v>
      </c>
      <c r="F19" s="16" cm="1">
        <f t="array" ref="F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25</v>
      </c>
      <c r="G19" s="31" cm="1">
        <f t="array" ref="G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1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9" s="32" t="str">
        <f>TEXT(HLG_01[[#This Row],[Batch]],"000")&amp; " / " &amp; TEXT(HLG_01[[#This Row],[Rit]],"000")</f>
        <v>025 / 008</v>
      </c>
      <c r="J19" s="34"/>
      <c r="K19" s="38"/>
      <c r="L19" s="35"/>
      <c r="M19" s="85"/>
      <c r="N19" s="85"/>
      <c r="O19" s="85"/>
      <c r="P19" s="85"/>
      <c r="Q19" s="85"/>
      <c r="R19" s="85"/>
      <c r="S19" s="100"/>
      <c r="T19" s="100"/>
      <c r="U19" s="85"/>
      <c r="V19" s="85"/>
      <c r="W19" s="85"/>
      <c r="X19" s="85"/>
      <c r="Z19" t="str">
        <v>46211/D|BR1/04</v>
      </c>
      <c r="AA19" t="str">
        <v>STM-A40_0105</v>
      </c>
      <c r="AB19" t="str">
        <v>SAP</v>
      </c>
      <c r="AC19" t="str">
        <v>LS_18</v>
      </c>
      <c r="AD19" t="str">
        <v>L18_S09</v>
      </c>
      <c r="AE19" t="str">
        <v>032 / 019</v>
      </c>
      <c r="AF19" t="str">
        <v>No</v>
      </c>
      <c r="AG19" t="str">
        <v/>
      </c>
      <c r="AH19" t="str">
        <v/>
      </c>
      <c r="AJ19" t="str">
        <f ca="1"/>
        <v>Pile_01</v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</row>
    <row r="20" spans="4:49" ht="15.75" x14ac:dyDescent="0.25">
      <c r="D20" s="3">
        <v>2</v>
      </c>
      <c r="F20" s="16" cm="1">
        <f t="array" ref="F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25</v>
      </c>
      <c r="G20" s="31" cm="1">
        <f t="array" ref="G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2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0" s="32" t="str">
        <f>TEXT(HLG_01[[#This Row],[Batch]],"000")&amp; " / " &amp; TEXT(HLG_01[[#This Row],[Rit]],"000")</f>
        <v>025 / 009</v>
      </c>
      <c r="J20" s="34"/>
      <c r="K20" s="38"/>
      <c r="L20" s="35"/>
      <c r="M20" s="85"/>
      <c r="N20" s="85"/>
      <c r="O20" s="85"/>
      <c r="P20" s="85"/>
      <c r="Q20" s="85"/>
      <c r="R20" s="85"/>
      <c r="S20" s="100"/>
      <c r="T20" s="100"/>
      <c r="U20" s="85"/>
      <c r="V20" s="85"/>
      <c r="W20" s="85"/>
      <c r="X20" s="85"/>
      <c r="Z20" t="str">
        <v>46211/D|BR1/04</v>
      </c>
      <c r="AA20" t="str">
        <v>STM-A40_0121</v>
      </c>
      <c r="AB20" t="str">
        <v>SAP</v>
      </c>
      <c r="AC20" t="str">
        <v>LS_18</v>
      </c>
      <c r="AD20" t="str">
        <v>L18_S09</v>
      </c>
      <c r="AE20" t="str">
        <v>032 / 020</v>
      </c>
      <c r="AF20" t="str">
        <v>Yes</v>
      </c>
      <c r="AG20" t="str">
        <v/>
      </c>
      <c r="AH20" t="str">
        <v>TRUCK SALAH</v>
      </c>
      <c r="AJ20" t="str">
        <f ca="1"/>
        <v>Pile_01</v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</row>
    <row r="21" spans="4:49" ht="15.75" x14ac:dyDescent="0.25">
      <c r="D21" s="3">
        <v>2</v>
      </c>
      <c r="F21" s="16" cm="1">
        <f t="array" ref="F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25</v>
      </c>
      <c r="G21" s="31" cm="1">
        <f t="array" ref="G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2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1" s="32" t="str">
        <f>TEXT(HLG_01[[#This Row],[Batch]],"000")&amp; " / " &amp; TEXT(HLG_01[[#This Row],[Rit]],"000")</f>
        <v>025 / 010</v>
      </c>
      <c r="J21" s="34"/>
      <c r="K21" s="38"/>
      <c r="L21" s="35"/>
      <c r="M21" s="85"/>
      <c r="N21" s="85"/>
      <c r="O21" s="85"/>
      <c r="P21" s="85"/>
      <c r="Q21" s="85"/>
      <c r="R21" s="85"/>
      <c r="S21" s="100"/>
      <c r="T21" s="100"/>
      <c r="U21" s="85"/>
      <c r="V21" s="85"/>
      <c r="W21" s="85"/>
      <c r="X21" s="85"/>
      <c r="Z21" t="str">
        <v>46211/D|BR1/02</v>
      </c>
      <c r="AA21" t="str">
        <v>STM-A40_0132</v>
      </c>
      <c r="AB21" t="str">
        <v>SAP</v>
      </c>
      <c r="AC21" t="str">
        <v>LS_18</v>
      </c>
      <c r="AD21" t="str">
        <v>L18_S09</v>
      </c>
      <c r="AE21" t="str">
        <v>033 / 001</v>
      </c>
      <c r="AF21" t="str">
        <v>No</v>
      </c>
      <c r="AG21" t="str">
        <v/>
      </c>
      <c r="AH21" t="str">
        <v/>
      </c>
      <c r="AJ21" t="str">
        <f ca="1"/>
        <v>Pile_01</v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</row>
    <row r="22" spans="4:49" ht="15.75" x14ac:dyDescent="0.25">
      <c r="D22" s="3">
        <v>2</v>
      </c>
      <c r="F22" s="16" cm="1">
        <f t="array" ref="F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25</v>
      </c>
      <c r="G22" s="31" cm="1">
        <f t="array" ref="G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2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2" s="32" t="str">
        <f>TEXT(HLG_01[[#This Row],[Batch]],"000")&amp; " / " &amp; TEXT(HLG_01[[#This Row],[Rit]],"000")</f>
        <v>025 / 011</v>
      </c>
      <c r="J22" s="34"/>
      <c r="K22" s="38"/>
      <c r="L22" s="35"/>
      <c r="M22" s="85"/>
      <c r="N22" s="85"/>
      <c r="O22" s="85"/>
      <c r="P22" s="85"/>
      <c r="Q22" s="85"/>
      <c r="R22" s="85"/>
      <c r="S22" s="100"/>
      <c r="T22" s="100"/>
      <c r="U22" s="85"/>
      <c r="V22" s="85"/>
      <c r="W22" s="85"/>
      <c r="X22" s="85"/>
      <c r="Z22" t="str">
        <v>46211/D|BR1/02</v>
      </c>
      <c r="AA22" t="str">
        <v>STM-A40_0097</v>
      </c>
      <c r="AB22" t="str">
        <v>SAP</v>
      </c>
      <c r="AC22" t="str">
        <v>LS_18</v>
      </c>
      <c r="AD22" t="str">
        <v>L18_S09</v>
      </c>
      <c r="AE22" t="str">
        <v>033 / 002</v>
      </c>
      <c r="AF22" t="str">
        <v>Yes</v>
      </c>
      <c r="AG22" t="str">
        <v/>
      </c>
      <c r="AH22" t="str">
        <v/>
      </c>
      <c r="AJ22" t="str">
        <f ca="1"/>
        <v>Pile_01</v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</row>
    <row r="23" spans="4:49" ht="15.75" x14ac:dyDescent="0.25">
      <c r="D23" s="3">
        <v>2</v>
      </c>
      <c r="F23" s="16" cm="1">
        <f t="array" ref="F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25</v>
      </c>
      <c r="G23" s="31" cm="1">
        <f t="array" ref="G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2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3" s="32" t="str">
        <f>TEXT(HLG_01[[#This Row],[Batch]],"000")&amp; " / " &amp; TEXT(HLG_01[[#This Row],[Rit]],"000")</f>
        <v>025 / 012</v>
      </c>
      <c r="J23" s="34"/>
      <c r="K23" s="38"/>
      <c r="L23" s="35"/>
      <c r="M23" s="85"/>
      <c r="N23" s="85"/>
      <c r="O23" s="85"/>
      <c r="P23" s="85"/>
      <c r="Q23" s="85"/>
      <c r="R23" s="85"/>
      <c r="S23" s="100"/>
      <c r="T23" s="100"/>
      <c r="U23" s="85"/>
      <c r="V23" s="85"/>
      <c r="W23" s="85"/>
      <c r="X23" s="85"/>
      <c r="Z23" t="str">
        <v>46211/D|BR1/02</v>
      </c>
      <c r="AA23" t="str">
        <v>STM-A40_0068</v>
      </c>
      <c r="AB23" t="str">
        <v>SAP</v>
      </c>
      <c r="AC23" t="str">
        <v>LS_18</v>
      </c>
      <c r="AD23" t="str">
        <v>L18_S09</v>
      </c>
      <c r="AE23" t="str">
        <v>033 / 003</v>
      </c>
      <c r="AF23" t="str">
        <v>No</v>
      </c>
      <c r="AG23" t="str">
        <v/>
      </c>
      <c r="AH23" t="str">
        <v/>
      </c>
      <c r="AJ23" t="str">
        <f ca="1"/>
        <v>Pile_01</v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</row>
    <row r="24" spans="4:49" ht="15.75" x14ac:dyDescent="0.25">
      <c r="D24" s="3">
        <v>2</v>
      </c>
      <c r="F24" s="16" cm="1">
        <f t="array" ref="F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25</v>
      </c>
      <c r="G24" s="31" cm="1">
        <f t="array" ref="G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2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4" s="32" t="str">
        <f>TEXT(HLG_01[[#This Row],[Batch]],"000")&amp; " / " &amp; TEXT(HLG_01[[#This Row],[Rit]],"000")</f>
        <v>025 / 013</v>
      </c>
      <c r="J24" s="34"/>
      <c r="K24" s="38"/>
      <c r="L24" s="35"/>
      <c r="M24" s="85"/>
      <c r="N24" s="85"/>
      <c r="O24" s="85"/>
      <c r="P24" s="85"/>
      <c r="Q24" s="85"/>
      <c r="R24" s="85"/>
      <c r="S24" s="100"/>
      <c r="T24" s="100"/>
      <c r="U24" s="85"/>
      <c r="V24" s="85"/>
      <c r="W24" s="85"/>
      <c r="X24" s="85"/>
      <c r="Z24" t="str">
        <v>46211/D|BR1/02</v>
      </c>
      <c r="AA24" t="str">
        <v>STM-A40_0087</v>
      </c>
      <c r="AB24" t="str">
        <v>SAP</v>
      </c>
      <c r="AC24" t="str">
        <v>LS_18</v>
      </c>
      <c r="AD24" t="str">
        <v>L18_S09</v>
      </c>
      <c r="AE24" t="str">
        <v>033 / 004</v>
      </c>
      <c r="AF24" t="str">
        <v>Yes</v>
      </c>
      <c r="AG24" t="str">
        <v/>
      </c>
      <c r="AH24" t="str">
        <v/>
      </c>
      <c r="AJ24" t="str">
        <f ca="1"/>
        <v>Pile_01</v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</row>
    <row r="25" spans="4:49" ht="15.75" x14ac:dyDescent="0.25">
      <c r="D25" s="3">
        <v>2</v>
      </c>
      <c r="F25" s="16" cm="1">
        <f t="array" ref="F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25</v>
      </c>
      <c r="G25" s="31" cm="1">
        <f t="array" ref="G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2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5" s="32" t="str">
        <f>TEXT(HLG_01[[#This Row],[Batch]],"000")&amp; " / " &amp; TEXT(HLG_01[[#This Row],[Rit]],"000")</f>
        <v>025 / 014</v>
      </c>
      <c r="J25" s="34"/>
      <c r="K25" s="38"/>
      <c r="L25" s="35"/>
      <c r="M25" s="85"/>
      <c r="N25" s="85"/>
      <c r="O25" s="85"/>
      <c r="P25" s="85"/>
      <c r="Q25" s="85"/>
      <c r="R25" s="85"/>
      <c r="S25" s="100"/>
      <c r="T25" s="100"/>
      <c r="U25" s="85"/>
      <c r="V25" s="85"/>
      <c r="W25" s="85"/>
      <c r="X25" s="85"/>
      <c r="Z25" t="str">
        <v>46211/D|BR1/02</v>
      </c>
      <c r="AA25" t="str">
        <v>STM-A40_0136</v>
      </c>
      <c r="AB25" t="str">
        <v>SAP</v>
      </c>
      <c r="AC25" t="str">
        <v>LS_18</v>
      </c>
      <c r="AD25" t="str">
        <v>L18_S09</v>
      </c>
      <c r="AE25" t="str">
        <v>033 / 005</v>
      </c>
      <c r="AF25" t="str">
        <v>No</v>
      </c>
      <c r="AG25" t="str">
        <v/>
      </c>
      <c r="AH25" t="str">
        <v/>
      </c>
      <c r="AJ25" t="str">
        <f ca="1"/>
        <v>Pile_01</v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</row>
    <row r="26" spans="4:49" ht="15.75" x14ac:dyDescent="0.25">
      <c r="D26" s="3">
        <v>2</v>
      </c>
      <c r="F26" s="16" cm="1">
        <f t="array" ref="F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25</v>
      </c>
      <c r="G26" s="31" cm="1">
        <f t="array" ref="G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2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6" s="32" t="str">
        <f>TEXT(HLG_01[[#This Row],[Batch]],"000")&amp; " / " &amp; TEXT(HLG_01[[#This Row],[Rit]],"000")</f>
        <v>025 / 015</v>
      </c>
      <c r="J26" s="34"/>
      <c r="K26" s="38"/>
      <c r="L26" s="35"/>
      <c r="M26" s="85"/>
      <c r="N26" s="85"/>
      <c r="O26" s="85"/>
      <c r="P26" s="85"/>
      <c r="Q26" s="85"/>
      <c r="R26" s="85"/>
      <c r="S26" s="100"/>
      <c r="T26" s="100"/>
      <c r="U26" s="85"/>
      <c r="V26" s="85"/>
      <c r="W26" s="85"/>
      <c r="X26" s="85"/>
      <c r="Z26" t="str">
        <v>46211/D|BR1/02</v>
      </c>
      <c r="AA26" t="str">
        <v>STM-A40_0133</v>
      </c>
      <c r="AB26" t="str">
        <v>SAP</v>
      </c>
      <c r="AC26" t="str">
        <v>LS_18</v>
      </c>
      <c r="AD26" t="str">
        <v>L18_S09</v>
      </c>
      <c r="AE26" t="str">
        <v>033 / 006</v>
      </c>
      <c r="AF26" t="str">
        <v>Yes</v>
      </c>
      <c r="AG26" t="str">
        <v/>
      </c>
      <c r="AH26" t="str">
        <v/>
      </c>
      <c r="AJ26" t="str">
        <f ca="1"/>
        <v>Pile_01</v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</row>
    <row r="27" spans="4:49" ht="15.75" x14ac:dyDescent="0.25">
      <c r="D27" s="3">
        <v>2</v>
      </c>
      <c r="F27" s="16" cm="1">
        <f t="array" ref="F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25</v>
      </c>
      <c r="G27" s="31" cm="1">
        <f t="array" ref="G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2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7" s="32" t="str">
        <f>TEXT(HLG_01[[#This Row],[Batch]],"000")&amp; " / " &amp; TEXT(HLG_01[[#This Row],[Rit]],"000")</f>
        <v>025 / 016</v>
      </c>
      <c r="J27" s="34"/>
      <c r="K27" s="38"/>
      <c r="L27" s="35"/>
      <c r="M27" s="85"/>
      <c r="N27" s="85"/>
      <c r="O27" s="85"/>
      <c r="P27" s="85"/>
      <c r="Q27" s="85"/>
      <c r="R27" s="85"/>
      <c r="S27" s="100"/>
      <c r="T27" s="100"/>
      <c r="U27" s="85"/>
      <c r="V27" s="85"/>
      <c r="W27" s="85"/>
      <c r="X27" s="85"/>
      <c r="Z27" t="str">
        <v>46211/D|BR1/02</v>
      </c>
      <c r="AA27" t="str">
        <v>STM-A40_0132</v>
      </c>
      <c r="AB27" t="str">
        <v>SAP</v>
      </c>
      <c r="AC27" t="str">
        <v>LS_18</v>
      </c>
      <c r="AD27" t="str">
        <v>L18_S09</v>
      </c>
      <c r="AE27" t="str">
        <v>033 / 007</v>
      </c>
      <c r="AF27" t="str">
        <v>No</v>
      </c>
      <c r="AG27" t="str">
        <v/>
      </c>
      <c r="AH27" t="str">
        <v/>
      </c>
      <c r="AJ27" t="str">
        <f ca="1"/>
        <v>Pile_01</v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</row>
    <row r="28" spans="4:49" ht="15.75" x14ac:dyDescent="0.25">
      <c r="D28" s="3">
        <v>2</v>
      </c>
      <c r="F28" s="16" cm="1">
        <f t="array" ref="F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25</v>
      </c>
      <c r="G28" s="31" cm="1">
        <f t="array" ref="G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2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8" s="32" t="str">
        <f>TEXT(HLG_01[[#This Row],[Batch]],"000")&amp; " / " &amp; TEXT(HLG_01[[#This Row],[Rit]],"000")</f>
        <v>025 / 017</v>
      </c>
      <c r="J28" s="34"/>
      <c r="K28" s="38"/>
      <c r="L28" s="35"/>
      <c r="M28" s="85"/>
      <c r="N28" s="85"/>
      <c r="O28" s="85"/>
      <c r="P28" s="85"/>
      <c r="Q28" s="85"/>
      <c r="R28" s="85"/>
      <c r="S28" s="100"/>
      <c r="T28" s="100"/>
      <c r="U28" s="85"/>
      <c r="V28" s="85"/>
      <c r="W28" s="85"/>
      <c r="X28" s="85"/>
      <c r="Z28" t="str">
        <v>46211/D|BR1/02</v>
      </c>
      <c r="AA28" t="str">
        <v>STM-A40_0097</v>
      </c>
      <c r="AB28" t="str">
        <v>SAP</v>
      </c>
      <c r="AC28" t="str">
        <v>LS_18</v>
      </c>
      <c r="AD28" t="str">
        <v>L18_S09</v>
      </c>
      <c r="AE28" t="str">
        <v>033 / 008</v>
      </c>
      <c r="AF28" t="str">
        <v>Yes</v>
      </c>
      <c r="AG28" t="str">
        <v/>
      </c>
      <c r="AH28" t="str">
        <v/>
      </c>
      <c r="AJ28" t="str">
        <f ca="1"/>
        <v>Pile_01</v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</row>
    <row r="29" spans="4:49" ht="15.75" x14ac:dyDescent="0.25">
      <c r="D29" s="3">
        <v>2</v>
      </c>
      <c r="F29" s="16" cm="1">
        <f t="array" ref="F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25</v>
      </c>
      <c r="G29" s="31" cm="1">
        <f t="array" ref="G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2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9" s="32" t="str">
        <f>TEXT(HLG_01[[#This Row],[Batch]],"000")&amp; " / " &amp; TEXT(HLG_01[[#This Row],[Rit]],"000")</f>
        <v>025 / 018</v>
      </c>
      <c r="J29" s="34"/>
      <c r="K29" s="38"/>
      <c r="L29" s="35"/>
      <c r="M29" s="85"/>
      <c r="N29" s="85"/>
      <c r="O29" s="85"/>
      <c r="P29" s="85"/>
      <c r="Q29" s="85"/>
      <c r="R29" s="85"/>
      <c r="S29" s="100"/>
      <c r="T29" s="100"/>
      <c r="U29" s="85"/>
      <c r="V29" s="85"/>
      <c r="W29" s="85"/>
      <c r="X29" s="85"/>
      <c r="Z29" t="str">
        <v>46211/D|BR1/02</v>
      </c>
      <c r="AA29" t="str">
        <v>STM-A40_0087</v>
      </c>
      <c r="AB29" t="str">
        <v>SAP</v>
      </c>
      <c r="AC29" t="str">
        <v>LS_18</v>
      </c>
      <c r="AD29" t="str">
        <v>L18_S09</v>
      </c>
      <c r="AE29" t="str">
        <v>033 / 009</v>
      </c>
      <c r="AF29" t="str">
        <v>No</v>
      </c>
      <c r="AG29" t="str">
        <v/>
      </c>
      <c r="AH29" t="str">
        <v/>
      </c>
      <c r="AJ29" t="str">
        <f ca="1"/>
        <v>Pile_01</v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</row>
    <row r="30" spans="4:49" ht="15.75" x14ac:dyDescent="0.25">
      <c r="D30" s="3">
        <v>2</v>
      </c>
      <c r="F30" s="16" cm="1">
        <f t="array" ref="F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25</v>
      </c>
      <c r="G30" s="31" cm="1">
        <f t="array" ref="G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3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0" s="32" t="str">
        <f>TEXT(HLG_01[[#This Row],[Batch]],"000")&amp; " / " &amp; TEXT(HLG_01[[#This Row],[Rit]],"000")</f>
        <v>025 / 019</v>
      </c>
      <c r="J30" s="34"/>
      <c r="K30" s="38"/>
      <c r="L30" s="35"/>
      <c r="M30" s="85"/>
      <c r="N30" s="85"/>
      <c r="O30" s="85"/>
      <c r="P30" s="85"/>
      <c r="Q30" s="85"/>
      <c r="R30" s="85"/>
      <c r="S30" s="100"/>
      <c r="T30" s="100"/>
      <c r="U30" s="85"/>
      <c r="V30" s="85"/>
      <c r="W30" s="85"/>
      <c r="X30" s="85"/>
      <c r="Z30" t="str">
        <v>46211/D|BR1/02</v>
      </c>
      <c r="AA30" t="str">
        <v>STM-A40_0069</v>
      </c>
      <c r="AB30" t="str">
        <v>SAP</v>
      </c>
      <c r="AC30" t="str">
        <v>LS_18</v>
      </c>
      <c r="AD30" t="str">
        <v>L18_S09</v>
      </c>
      <c r="AE30" t="str">
        <v>033 / 010</v>
      </c>
      <c r="AF30" t="str">
        <v>Yes</v>
      </c>
      <c r="AG30" t="str">
        <v/>
      </c>
      <c r="AH30" t="str">
        <v/>
      </c>
      <c r="AJ30" t="str">
        <f ca="1"/>
        <v>Pile_01</v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</row>
    <row r="31" spans="4:49" ht="15.75" x14ac:dyDescent="0.25">
      <c r="D31" s="3">
        <v>2</v>
      </c>
      <c r="F31" s="16" cm="1">
        <f t="array" ref="F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25</v>
      </c>
      <c r="G31" s="31" cm="1">
        <f t="array" ref="G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3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1" s="32" t="str">
        <f>TEXT(HLG_01[[#This Row],[Batch]],"000")&amp; " / " &amp; TEXT(HLG_01[[#This Row],[Rit]],"000")</f>
        <v>025 / 020</v>
      </c>
      <c r="J31" s="34"/>
      <c r="K31" s="38"/>
      <c r="L31" s="35"/>
      <c r="M31" s="85"/>
      <c r="N31" s="85"/>
      <c r="O31" s="85"/>
      <c r="P31" s="85"/>
      <c r="Q31" s="85"/>
      <c r="R31" s="85"/>
      <c r="S31" s="100"/>
      <c r="T31" s="100"/>
      <c r="U31" s="85"/>
      <c r="V31" s="85"/>
      <c r="W31" s="85"/>
      <c r="X31" s="85"/>
      <c r="Z31" t="str">
        <v>46211/D|BR1/02</v>
      </c>
      <c r="AA31" t="str">
        <v>STM-A40_0133</v>
      </c>
      <c r="AB31" t="str">
        <v>SAP</v>
      </c>
      <c r="AC31" t="str">
        <v>LS_18</v>
      </c>
      <c r="AD31" t="str">
        <v>L18_S09</v>
      </c>
      <c r="AE31" t="str">
        <v>033 / 011</v>
      </c>
      <c r="AF31" t="str">
        <v>No</v>
      </c>
      <c r="AG31" t="str">
        <v/>
      </c>
      <c r="AH31" t="str">
        <v/>
      </c>
      <c r="AJ31" t="str">
        <f ca="1"/>
        <v>Pile_01</v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</row>
    <row r="32" spans="4:49" ht="15.75" x14ac:dyDescent="0.25">
      <c r="D32" s="3">
        <v>3</v>
      </c>
      <c r="F32" s="16" cm="1">
        <f t="array" ref="F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31</v>
      </c>
      <c r="G32" s="31" cm="1">
        <f t="array" ref="G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3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2" s="32" t="str">
        <f>TEXT(HLG_01[[#This Row],[Batch]],"000")&amp; " / " &amp; TEXT(HLG_01[[#This Row],[Rit]],"000")</f>
        <v>031 / 019</v>
      </c>
      <c r="J32" s="34" t="s">
        <v>2621</v>
      </c>
      <c r="K32" s="38" t="s">
        <v>2608</v>
      </c>
      <c r="L32" s="35"/>
      <c r="M32" s="85"/>
      <c r="N32" s="85"/>
      <c r="O32" s="85"/>
      <c r="P32" s="85"/>
      <c r="Q32" s="85"/>
      <c r="R32" s="85"/>
      <c r="S32" s="100"/>
      <c r="T32" s="100"/>
      <c r="U32" s="85"/>
      <c r="V32" s="85"/>
      <c r="W32" s="85"/>
      <c r="X32" s="85"/>
      <c r="Z32" t="str">
        <v>46211/D|BR1/02</v>
      </c>
      <c r="AA32" t="str">
        <v>STM-A40_0136</v>
      </c>
      <c r="AB32" t="str">
        <v>SAP</v>
      </c>
      <c r="AC32" t="str">
        <v>LS_18</v>
      </c>
      <c r="AD32" t="str">
        <v>L18_S09</v>
      </c>
      <c r="AE32" t="str">
        <v>033 / 012</v>
      </c>
      <c r="AF32" t="str">
        <v>Yes</v>
      </c>
      <c r="AG32" t="str">
        <v/>
      </c>
      <c r="AH32" t="str">
        <v/>
      </c>
      <c r="AJ32" t="str">
        <f ca="1"/>
        <v>Pile_01</v>
      </c>
      <c r="AP32" t="str">
        <v>STM-A40_0068</v>
      </c>
      <c r="AQ32" t="str">
        <v>STM-A40_0069</v>
      </c>
      <c r="AR32" t="str">
        <v>STM-A40_0087</v>
      </c>
      <c r="AS32" t="str">
        <v>STM-A40_0097</v>
      </c>
      <c r="AT32" t="str">
        <v>STM-A40_0132</v>
      </c>
      <c r="AU32" t="str">
        <v>STM-A40_0133</v>
      </c>
      <c r="AV32" t="str">
        <v>STM-A40_0136</v>
      </c>
      <c r="AW32" t="str">
        <v/>
      </c>
    </row>
    <row r="33" spans="4:49" ht="15.75" x14ac:dyDescent="0.25">
      <c r="D33" s="3">
        <v>3</v>
      </c>
      <c r="F33" s="16" cm="1">
        <f t="array" ref="F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31</v>
      </c>
      <c r="G33" s="31" cm="1">
        <f t="array" ref="G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3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3" s="32" t="str">
        <f>TEXT(HLG_01[[#This Row],[Batch]],"000")&amp; " / " &amp; TEXT(HLG_01[[#This Row],[Rit]],"000")</f>
        <v>031 / 020</v>
      </c>
      <c r="J33" s="34" t="s">
        <v>2621</v>
      </c>
      <c r="K33" s="38" t="s">
        <v>2609</v>
      </c>
      <c r="L33" s="35"/>
      <c r="M33" s="85"/>
      <c r="N33" s="85"/>
      <c r="O33" s="85"/>
      <c r="P33" s="85"/>
      <c r="Q33" s="85"/>
      <c r="R33" s="85"/>
      <c r="S33" s="100"/>
      <c r="T33" s="100"/>
      <c r="U33" s="85"/>
      <c r="V33" s="85"/>
      <c r="W33" s="85"/>
      <c r="X33" s="85"/>
      <c r="Z33" t="str">
        <v>46211/D|BR1/02</v>
      </c>
      <c r="AA33" t="str">
        <v>STM-A40_0132</v>
      </c>
      <c r="AB33" t="str">
        <v>SAP</v>
      </c>
      <c r="AC33" t="str">
        <v>LS_18</v>
      </c>
      <c r="AD33" t="str">
        <v>L18_S09</v>
      </c>
      <c r="AE33" t="str">
        <v>033 / 013</v>
      </c>
      <c r="AF33" t="str">
        <v>No</v>
      </c>
      <c r="AG33" t="str">
        <v/>
      </c>
      <c r="AH33" t="str">
        <v/>
      </c>
      <c r="AJ33" t="str">
        <f ca="1"/>
        <v>Pile_01</v>
      </c>
      <c r="AP33" t="str">
        <v>STM-A40_0068</v>
      </c>
      <c r="AQ33" t="str">
        <v>STM-A40_0069</v>
      </c>
      <c r="AR33" t="str">
        <v>STM-A40_0087</v>
      </c>
      <c r="AS33" t="str">
        <v>STM-A40_0097</v>
      </c>
      <c r="AT33" t="str">
        <v>STM-A40_0132</v>
      </c>
      <c r="AU33" t="str">
        <v>STM-A40_0133</v>
      </c>
      <c r="AV33" t="str">
        <v>STM-A40_0136</v>
      </c>
      <c r="AW33" t="str">
        <v/>
      </c>
    </row>
    <row r="34" spans="4:49" ht="15.75" x14ac:dyDescent="0.25">
      <c r="D34" s="3" t="e">
        <v>#N/A</v>
      </c>
      <c r="F34" s="16" cm="1">
        <f t="array" ref="F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32</v>
      </c>
      <c r="G34" s="31" cm="1">
        <f t="array" ref="G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3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4" s="32" t="str">
        <f>TEXT(HLG_01[[#This Row],[Batch]],"000")&amp; " / " &amp; TEXT(HLG_01[[#This Row],[Rit]],"000")</f>
        <v>032 / 015</v>
      </c>
      <c r="J34" s="34" t="s">
        <v>2622</v>
      </c>
      <c r="K34" s="38" t="s">
        <v>2602</v>
      </c>
      <c r="L34" s="35"/>
      <c r="M34" s="85"/>
      <c r="N34" s="85"/>
      <c r="O34" s="85"/>
      <c r="P34" s="85"/>
      <c r="Q34" s="85"/>
      <c r="R34" s="85"/>
      <c r="S34" s="100"/>
      <c r="T34" s="100"/>
      <c r="U34" s="85"/>
      <c r="V34" s="85"/>
      <c r="W34" s="85"/>
      <c r="X34" s="85"/>
      <c r="Z34" t="str">
        <v>46211/D|BR1/02</v>
      </c>
      <c r="AA34" t="str">
        <v>STM-A40_0097</v>
      </c>
      <c r="AB34" t="str">
        <v>SAP</v>
      </c>
      <c r="AC34" t="str">
        <v>LS_18</v>
      </c>
      <c r="AD34" t="str">
        <v>L18_S09</v>
      </c>
      <c r="AE34" t="str">
        <v>033 / 014</v>
      </c>
      <c r="AF34" t="str">
        <v>Yes</v>
      </c>
      <c r="AG34" t="str">
        <v/>
      </c>
      <c r="AH34" t="str">
        <v/>
      </c>
      <c r="AJ34" t="str">
        <f ca="1"/>
        <v>Pile_01</v>
      </c>
      <c r="AP34" t="str">
        <v>STM-A40_0067</v>
      </c>
      <c r="AQ34" t="str">
        <v>STM-A40_0088</v>
      </c>
      <c r="AR34" t="str">
        <v>STM-A40_0098</v>
      </c>
      <c r="AS34" t="str">
        <v>STM-A40_0105</v>
      </c>
      <c r="AT34" t="str">
        <v>STM-A40_0106</v>
      </c>
      <c r="AU34" t="str">
        <v>STM-A40_0107</v>
      </c>
      <c r="AV34" t="str">
        <v>STM-A40_0119</v>
      </c>
      <c r="AW34" t="str">
        <v>STM-A40_0136</v>
      </c>
    </row>
    <row r="35" spans="4:49" ht="15.75" x14ac:dyDescent="0.25">
      <c r="D35" s="3">
        <v>4</v>
      </c>
      <c r="F35" s="16" cm="1">
        <f t="array" ref="F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32</v>
      </c>
      <c r="G35" s="31" cm="1">
        <f t="array" ref="G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3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5" s="32" t="str">
        <f>TEXT(HLG_01[[#This Row],[Batch]],"000")&amp; " / " &amp; TEXT(HLG_01[[#This Row],[Rit]],"000")</f>
        <v>032 / 016</v>
      </c>
      <c r="J35" s="34" t="s">
        <v>2622</v>
      </c>
      <c r="K35" s="38" t="s">
        <v>2603</v>
      </c>
      <c r="L35" s="35"/>
      <c r="M35" s="85"/>
      <c r="N35" s="85"/>
      <c r="O35" s="85"/>
      <c r="P35" s="85"/>
      <c r="Q35" s="85"/>
      <c r="R35" s="85"/>
      <c r="S35" s="100"/>
      <c r="T35" s="100"/>
      <c r="U35" s="85"/>
      <c r="V35" s="85"/>
      <c r="W35" s="85"/>
      <c r="X35" s="85"/>
      <c r="Z35" t="str">
        <v>46211/D|BR1/02</v>
      </c>
      <c r="AA35" t="str">
        <v>STM-A40_0087</v>
      </c>
      <c r="AB35" t="str">
        <v>SAP</v>
      </c>
      <c r="AC35" t="str">
        <v>LS_18</v>
      </c>
      <c r="AD35" t="str">
        <v>L18_S09</v>
      </c>
      <c r="AE35" t="str">
        <v>033 / 015</v>
      </c>
      <c r="AF35" t="str">
        <v>No</v>
      </c>
      <c r="AG35" t="str">
        <v/>
      </c>
      <c r="AH35" t="str">
        <v/>
      </c>
      <c r="AJ35" t="str">
        <f ca="1"/>
        <v>Pile_01</v>
      </c>
      <c r="AP35" t="str">
        <v>STM-A40_0067</v>
      </c>
      <c r="AQ35" t="str">
        <v>STM-A40_0088</v>
      </c>
      <c r="AR35" t="str">
        <v>STM-A40_0098</v>
      </c>
      <c r="AS35" t="str">
        <v>STM-A40_0105</v>
      </c>
      <c r="AT35" t="str">
        <v>STM-A40_0106</v>
      </c>
      <c r="AU35" t="str">
        <v>STM-A40_0107</v>
      </c>
      <c r="AV35" t="str">
        <v>STM-A40_0119</v>
      </c>
      <c r="AW35" t="str">
        <v>STM-A40_0136</v>
      </c>
    </row>
    <row r="36" spans="4:49" ht="15.75" x14ac:dyDescent="0.25">
      <c r="D36" s="3">
        <v>4</v>
      </c>
      <c r="F36" s="16" cm="1">
        <f t="array" ref="F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32</v>
      </c>
      <c r="G36" s="31" cm="1">
        <f t="array" ref="G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3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6" s="32" t="str">
        <f>TEXT(HLG_01[[#This Row],[Batch]],"000")&amp; " / " &amp; TEXT(HLG_01[[#This Row],[Rit]],"000")</f>
        <v>032 / 017</v>
      </c>
      <c r="J36" s="34" t="s">
        <v>2622</v>
      </c>
      <c r="K36" s="38" t="s">
        <v>2606</v>
      </c>
      <c r="L36" s="35"/>
      <c r="M36" s="85"/>
      <c r="N36" s="85"/>
      <c r="O36" s="85"/>
      <c r="P36" s="85"/>
      <c r="Q36" s="85"/>
      <c r="R36" s="85"/>
      <c r="S36" s="100"/>
      <c r="T36" s="100"/>
      <c r="U36" s="85"/>
      <c r="V36" s="85"/>
      <c r="W36" s="85"/>
      <c r="X36" s="85"/>
      <c r="Z36" t="str">
        <v>46211/D|BR1/02</v>
      </c>
      <c r="AA36" t="str">
        <v>STM-A40_0069</v>
      </c>
      <c r="AB36" t="str">
        <v>SAP</v>
      </c>
      <c r="AC36" t="str">
        <v>LS_18</v>
      </c>
      <c r="AD36" t="str">
        <v>L18_S09</v>
      </c>
      <c r="AE36" t="str">
        <v>033 / 016</v>
      </c>
      <c r="AF36" t="str">
        <v>Yes</v>
      </c>
      <c r="AG36" t="str">
        <v/>
      </c>
      <c r="AH36" t="str">
        <v/>
      </c>
      <c r="AJ36" t="str">
        <f ca="1"/>
        <v>Pile_01</v>
      </c>
      <c r="AP36" t="str">
        <v>STM-A40_0067</v>
      </c>
      <c r="AQ36" t="str">
        <v>STM-A40_0088</v>
      </c>
      <c r="AR36" t="str">
        <v>STM-A40_0098</v>
      </c>
      <c r="AS36" t="str">
        <v>STM-A40_0105</v>
      </c>
      <c r="AT36" t="str">
        <v>STM-A40_0106</v>
      </c>
      <c r="AU36" t="str">
        <v>STM-A40_0107</v>
      </c>
      <c r="AV36" t="str">
        <v>STM-A40_0119</v>
      </c>
      <c r="AW36" t="str">
        <v>STM-A40_0136</v>
      </c>
    </row>
    <row r="37" spans="4:49" ht="15.75" x14ac:dyDescent="0.25">
      <c r="D37" s="3">
        <v>4</v>
      </c>
      <c r="F37" s="16" cm="1">
        <f t="array" ref="F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32</v>
      </c>
      <c r="G37" s="31" cm="1">
        <f t="array" ref="G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3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7" s="32" t="str">
        <f>TEXT(HLG_01[[#This Row],[Batch]],"000")&amp; " / " &amp; TEXT(HLG_01[[#This Row],[Rit]],"000")</f>
        <v>032 / 018</v>
      </c>
      <c r="J37" s="34" t="s">
        <v>2622</v>
      </c>
      <c r="K37" s="38" t="s">
        <v>2595</v>
      </c>
      <c r="L37" s="35"/>
      <c r="M37" s="85"/>
      <c r="N37" s="85"/>
      <c r="O37" s="85"/>
      <c r="P37" s="85"/>
      <c r="Q37" s="85"/>
      <c r="R37" s="85"/>
      <c r="S37" s="100"/>
      <c r="T37" s="100"/>
      <c r="U37" s="85"/>
      <c r="V37" s="85"/>
      <c r="W37" s="85"/>
      <c r="X37" s="85"/>
      <c r="Z37" t="str">
        <v>46211/D|BR1/02</v>
      </c>
      <c r="AA37" t="str">
        <v>STM-A40_0133</v>
      </c>
      <c r="AB37" t="str">
        <v>SAP</v>
      </c>
      <c r="AC37" t="str">
        <v>LS_18</v>
      </c>
      <c r="AD37" t="str">
        <v>L18_S09</v>
      </c>
      <c r="AE37" t="str">
        <v>033 / 017</v>
      </c>
      <c r="AF37" t="str">
        <v>No</v>
      </c>
      <c r="AG37" t="str">
        <v/>
      </c>
      <c r="AH37" t="str">
        <v/>
      </c>
      <c r="AJ37" t="str">
        <f ca="1"/>
        <v>Pile_01</v>
      </c>
      <c r="AP37" t="str">
        <v>STM-A40_0067</v>
      </c>
      <c r="AQ37" t="str">
        <v>STM-A40_0088</v>
      </c>
      <c r="AR37" t="str">
        <v>STM-A40_0098</v>
      </c>
      <c r="AS37" t="str">
        <v>STM-A40_0105</v>
      </c>
      <c r="AT37" t="str">
        <v>STM-A40_0106</v>
      </c>
      <c r="AU37" t="str">
        <v>STM-A40_0107</v>
      </c>
      <c r="AV37" t="str">
        <v>STM-A40_0119</v>
      </c>
      <c r="AW37" t="str">
        <v>STM-A40_0136</v>
      </c>
    </row>
    <row r="38" spans="4:49" ht="15.75" x14ac:dyDescent="0.25">
      <c r="D38" s="3">
        <v>4</v>
      </c>
      <c r="F38" s="16" cm="1">
        <f t="array" ref="F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32</v>
      </c>
      <c r="G38" s="31" cm="1">
        <f t="array" ref="G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3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8" s="32" t="str">
        <f>TEXT(HLG_01[[#This Row],[Batch]],"000")&amp; " / " &amp; TEXT(HLG_01[[#This Row],[Rit]],"000")</f>
        <v>032 / 019</v>
      </c>
      <c r="J38" s="34" t="s">
        <v>2622</v>
      </c>
      <c r="K38" s="38" t="s">
        <v>2604</v>
      </c>
      <c r="L38" s="35"/>
      <c r="M38" s="85"/>
      <c r="N38" s="85"/>
      <c r="O38" s="85"/>
      <c r="P38" s="85"/>
      <c r="Q38" s="85"/>
      <c r="R38" s="85"/>
      <c r="S38" s="100"/>
      <c r="T38" s="100"/>
      <c r="U38" s="85"/>
      <c r="V38" s="85"/>
      <c r="W38" s="85"/>
      <c r="X38" s="85"/>
      <c r="Z38" t="str">
        <v>46211/D|BR1/02</v>
      </c>
      <c r="AA38" t="str">
        <v>STM-A40_0136</v>
      </c>
      <c r="AB38" t="str">
        <v>SAP</v>
      </c>
      <c r="AC38" t="str">
        <v>LS_18</v>
      </c>
      <c r="AD38" t="str">
        <v>L18_S09</v>
      </c>
      <c r="AE38" t="str">
        <v>033 / 018</v>
      </c>
      <c r="AF38" t="str">
        <v>Yes</v>
      </c>
      <c r="AG38" t="str">
        <v/>
      </c>
      <c r="AH38" t="str">
        <v/>
      </c>
      <c r="AJ38" t="str">
        <f ca="1"/>
        <v>Pile_01</v>
      </c>
      <c r="AP38" t="str">
        <v>STM-A40_0067</v>
      </c>
      <c r="AQ38" t="str">
        <v>STM-A40_0088</v>
      </c>
      <c r="AR38" t="str">
        <v>STM-A40_0098</v>
      </c>
      <c r="AS38" t="str">
        <v>STM-A40_0105</v>
      </c>
      <c r="AT38" t="str">
        <v>STM-A40_0106</v>
      </c>
      <c r="AU38" t="str">
        <v>STM-A40_0107</v>
      </c>
      <c r="AV38" t="str">
        <v>STM-A40_0119</v>
      </c>
      <c r="AW38" t="str">
        <v>STM-A40_0136</v>
      </c>
    </row>
    <row r="39" spans="4:49" ht="15.75" x14ac:dyDescent="0.25">
      <c r="D39" s="3" t="e">
        <v>#N/A</v>
      </c>
      <c r="F39" s="16" cm="1">
        <f t="array" ref="F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32</v>
      </c>
      <c r="G39" s="31" cm="1">
        <f t="array" ref="G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3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9" s="32" t="str">
        <f>TEXT(HLG_01[[#This Row],[Batch]],"000")&amp; " / " &amp; TEXT(HLG_01[[#This Row],[Rit]],"000")</f>
        <v>032 / 020</v>
      </c>
      <c r="J39" s="34" t="s">
        <v>2622</v>
      </c>
      <c r="K39" s="38" t="s">
        <v>2602</v>
      </c>
      <c r="L39" s="35"/>
      <c r="M39" s="85"/>
      <c r="N39" s="85"/>
      <c r="O39" s="85"/>
      <c r="P39" s="85"/>
      <c r="Q39" s="85"/>
      <c r="R39" s="85"/>
      <c r="S39" s="100"/>
      <c r="T39" s="100"/>
      <c r="U39" s="85"/>
      <c r="V39" s="85"/>
      <c r="W39" s="85"/>
      <c r="X39" s="85"/>
      <c r="Z39" t="str">
        <v>46211/D|BR1/02</v>
      </c>
      <c r="AA39" t="str">
        <v>STM-A40_0097</v>
      </c>
      <c r="AB39" t="str">
        <v>SAP</v>
      </c>
      <c r="AC39" t="str">
        <v>LS_18</v>
      </c>
      <c r="AD39" t="str">
        <v>L18_S09</v>
      </c>
      <c r="AE39" t="str">
        <v>033 / 019</v>
      </c>
      <c r="AF39" t="str">
        <v>No</v>
      </c>
      <c r="AG39" t="str">
        <v/>
      </c>
      <c r="AH39" t="str">
        <v/>
      </c>
      <c r="AJ39" t="str">
        <f ca="1"/>
        <v>Pile_01</v>
      </c>
      <c r="AP39" t="str">
        <v>STM-A40_0067</v>
      </c>
      <c r="AQ39" t="str">
        <v>STM-A40_0088</v>
      </c>
      <c r="AR39" t="str">
        <v>STM-A40_0098</v>
      </c>
      <c r="AS39" t="str">
        <v>STM-A40_0105</v>
      </c>
      <c r="AT39" t="str">
        <v>STM-A40_0106</v>
      </c>
      <c r="AU39" t="str">
        <v>STM-A40_0107</v>
      </c>
      <c r="AV39" t="str">
        <v>STM-A40_0119</v>
      </c>
      <c r="AW39" t="str">
        <v>STM-A40_0136</v>
      </c>
    </row>
    <row r="40" spans="4:49" ht="15.75" x14ac:dyDescent="0.25">
      <c r="D40" s="3">
        <v>5</v>
      </c>
      <c r="F40" s="16" cm="1">
        <f t="array" ref="F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40" s="31" cm="1">
        <f t="array" ref="G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4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0" s="32" t="str">
        <f>TEXT(HLG_01[[#This Row],[Batch]],"000")&amp; " / " &amp; TEXT(HLG_01[[#This Row],[Rit]],"000")</f>
        <v>033 / 001</v>
      </c>
      <c r="J40" s="34" t="s">
        <v>2621</v>
      </c>
      <c r="K40" s="38" t="s">
        <v>2610</v>
      </c>
      <c r="L40" s="35"/>
      <c r="M40" s="85"/>
      <c r="N40" s="85"/>
      <c r="O40" s="85"/>
      <c r="P40" s="85"/>
      <c r="Q40" s="85"/>
      <c r="R40" s="85"/>
      <c r="S40" s="100"/>
      <c r="T40" s="100"/>
      <c r="U40" s="85"/>
      <c r="V40" s="85"/>
      <c r="W40" s="85"/>
      <c r="X40" s="85"/>
      <c r="Z40" t="str">
        <v>46211/D|BR1/02</v>
      </c>
      <c r="AA40" t="str">
        <v>STM-A40_0132</v>
      </c>
      <c r="AB40" t="str">
        <v>SAP</v>
      </c>
      <c r="AC40" t="str">
        <v>LS_18</v>
      </c>
      <c r="AD40" t="str">
        <v>L18_S09</v>
      </c>
      <c r="AE40" t="str">
        <v>033 / 020</v>
      </c>
      <c r="AF40" t="str">
        <v>Yes</v>
      </c>
      <c r="AG40" t="str">
        <v/>
      </c>
      <c r="AH40" t="str">
        <v/>
      </c>
      <c r="AJ40" t="str">
        <f ca="1"/>
        <v>Pile_01</v>
      </c>
      <c r="AP40" t="str">
        <v>STM-A40_0068</v>
      </c>
      <c r="AQ40" t="str">
        <v>STM-A40_0069</v>
      </c>
      <c r="AR40" t="str">
        <v>STM-A40_0087</v>
      </c>
      <c r="AS40" t="str">
        <v>STM-A40_0097</v>
      </c>
      <c r="AT40" t="str">
        <v>STM-A40_0132</v>
      </c>
      <c r="AU40" t="str">
        <v>STM-A40_0133</v>
      </c>
      <c r="AV40" t="str">
        <v>STM-A40_0136</v>
      </c>
      <c r="AW40" t="str">
        <v/>
      </c>
    </row>
    <row r="41" spans="4:49" ht="15.75" x14ac:dyDescent="0.25">
      <c r="D41" s="3">
        <v>5</v>
      </c>
      <c r="F41" s="16" cm="1">
        <f t="array" ref="F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41" s="31" cm="1">
        <f t="array" ref="G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4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1" s="32" t="str">
        <f>TEXT(HLG_01[[#This Row],[Batch]],"000")&amp; " / " &amp; TEXT(HLG_01[[#This Row],[Rit]],"000")</f>
        <v>033 / 002</v>
      </c>
      <c r="J41" s="34" t="s">
        <v>2621</v>
      </c>
      <c r="K41" s="38" t="s">
        <v>2611</v>
      </c>
      <c r="L41" s="35"/>
      <c r="M41" s="85"/>
      <c r="N41" s="85"/>
      <c r="O41" s="85"/>
      <c r="P41" s="85"/>
      <c r="Q41" s="85"/>
      <c r="R41" s="85"/>
      <c r="S41" s="100"/>
      <c r="T41" s="100"/>
      <c r="U41" s="85"/>
      <c r="V41" s="85"/>
      <c r="W41" s="85"/>
      <c r="X41" s="85"/>
      <c r="Z41" t="str">
        <v>46211/D|BR1/01</v>
      </c>
      <c r="AA41" t="str">
        <v>STM-A40_0106</v>
      </c>
      <c r="AB41" t="str">
        <v>SAP</v>
      </c>
      <c r="AC41" t="str">
        <v>LS_18</v>
      </c>
      <c r="AD41" t="str">
        <v>L18_S09</v>
      </c>
      <c r="AE41" t="str">
        <v>034 / 001</v>
      </c>
      <c r="AF41" t="str">
        <v>No</v>
      </c>
      <c r="AG41" t="str">
        <v/>
      </c>
      <c r="AH41" t="str">
        <v/>
      </c>
      <c r="AJ41" t="str">
        <f ca="1"/>
        <v>Pile_01</v>
      </c>
      <c r="AP41" t="str">
        <v>STM-A40_0068</v>
      </c>
      <c r="AQ41" t="str">
        <v>STM-A40_0069</v>
      </c>
      <c r="AR41" t="str">
        <v>STM-A40_0087</v>
      </c>
      <c r="AS41" t="str">
        <v>STM-A40_0097</v>
      </c>
      <c r="AT41" t="str">
        <v>STM-A40_0132</v>
      </c>
      <c r="AU41" t="str">
        <v>STM-A40_0133</v>
      </c>
      <c r="AV41" t="str">
        <v>STM-A40_0136</v>
      </c>
      <c r="AW41" t="str">
        <v/>
      </c>
    </row>
    <row r="42" spans="4:49" ht="15.75" x14ac:dyDescent="0.25">
      <c r="D42" s="3">
        <v>5</v>
      </c>
      <c r="F42" s="16" cm="1">
        <f t="array" ref="F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42" s="31" cm="1">
        <f t="array" ref="G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4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2" s="32" t="str">
        <f>TEXT(HLG_01[[#This Row],[Batch]],"000")&amp; " / " &amp; TEXT(HLG_01[[#This Row],[Rit]],"000")</f>
        <v>033 / 003</v>
      </c>
      <c r="J42" s="34" t="s">
        <v>2621</v>
      </c>
      <c r="K42" s="38" t="s">
        <v>2612</v>
      </c>
      <c r="L42" s="35"/>
      <c r="M42" s="85"/>
      <c r="N42" s="85"/>
      <c r="O42" s="85"/>
      <c r="P42" s="85"/>
      <c r="Q42" s="85"/>
      <c r="R42" s="85"/>
      <c r="S42" s="100"/>
      <c r="T42" s="100"/>
      <c r="U42" s="85"/>
      <c r="V42" s="85"/>
      <c r="W42" s="85"/>
      <c r="X42" s="85"/>
      <c r="Z42" t="str">
        <v>46211/D|BR1/01</v>
      </c>
      <c r="AA42" t="str">
        <v>STM-A40_0121</v>
      </c>
      <c r="AB42" t="str">
        <v>SAP</v>
      </c>
      <c r="AC42" t="str">
        <v>LS_18</v>
      </c>
      <c r="AD42" t="str">
        <v>L18_S09</v>
      </c>
      <c r="AE42" t="str">
        <v>034 / 002</v>
      </c>
      <c r="AF42" t="str">
        <v>Yes</v>
      </c>
      <c r="AG42" t="str">
        <v/>
      </c>
      <c r="AH42" t="str">
        <v/>
      </c>
      <c r="AJ42" t="str">
        <f ca="1"/>
        <v>Pile_01</v>
      </c>
      <c r="AP42" t="str">
        <v>STM-A40_0068</v>
      </c>
      <c r="AQ42" t="str">
        <v>STM-A40_0069</v>
      </c>
      <c r="AR42" t="str">
        <v>STM-A40_0087</v>
      </c>
      <c r="AS42" t="str">
        <v>STM-A40_0097</v>
      </c>
      <c r="AT42" t="str">
        <v>STM-A40_0132</v>
      </c>
      <c r="AU42" t="str">
        <v>STM-A40_0133</v>
      </c>
      <c r="AV42" t="str">
        <v>STM-A40_0136</v>
      </c>
      <c r="AW42" t="str">
        <v/>
      </c>
    </row>
    <row r="43" spans="4:49" ht="15.75" x14ac:dyDescent="0.25">
      <c r="D43" s="3">
        <v>5</v>
      </c>
      <c r="F43" s="16" cm="1">
        <f t="array" ref="F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43" s="31" cm="1">
        <f t="array" ref="G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4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3" s="32" t="str">
        <f>TEXT(HLG_01[[#This Row],[Batch]],"000")&amp; " / " &amp; TEXT(HLG_01[[#This Row],[Rit]],"000")</f>
        <v>033 / 004</v>
      </c>
      <c r="J43" s="34" t="s">
        <v>2621</v>
      </c>
      <c r="K43" s="38" t="s">
        <v>2608</v>
      </c>
      <c r="L43" s="35"/>
      <c r="M43" s="85"/>
      <c r="N43" s="85"/>
      <c r="O43" s="85"/>
      <c r="P43" s="85"/>
      <c r="Q43" s="85"/>
      <c r="R43" s="85"/>
      <c r="S43" s="100"/>
      <c r="T43" s="100"/>
      <c r="U43" s="85"/>
      <c r="V43" s="85"/>
      <c r="W43" s="85"/>
      <c r="X43" s="85"/>
      <c r="Z43" t="str">
        <v>46211/D|BR1/01</v>
      </c>
      <c r="AA43" t="str">
        <v>STM-A40_0107</v>
      </c>
      <c r="AB43" t="str">
        <v>SAP</v>
      </c>
      <c r="AC43" t="str">
        <v>LS_18</v>
      </c>
      <c r="AD43" t="str">
        <v>L18_S09</v>
      </c>
      <c r="AE43" t="str">
        <v>034 / 003</v>
      </c>
      <c r="AF43" t="str">
        <v>No</v>
      </c>
      <c r="AG43" t="str">
        <v/>
      </c>
      <c r="AH43" t="str">
        <v/>
      </c>
      <c r="AJ43" t="str">
        <f ca="1"/>
        <v>Pile_01</v>
      </c>
      <c r="AP43" t="str">
        <v>STM-A40_0068</v>
      </c>
      <c r="AQ43" t="str">
        <v>STM-A40_0069</v>
      </c>
      <c r="AR43" t="str">
        <v>STM-A40_0087</v>
      </c>
      <c r="AS43" t="str">
        <v>STM-A40_0097</v>
      </c>
      <c r="AT43" t="str">
        <v>STM-A40_0132</v>
      </c>
      <c r="AU43" t="str">
        <v>STM-A40_0133</v>
      </c>
      <c r="AV43" t="str">
        <v>STM-A40_0136</v>
      </c>
      <c r="AW43" t="str">
        <v/>
      </c>
    </row>
    <row r="44" spans="4:49" ht="15.75" x14ac:dyDescent="0.25">
      <c r="D44" s="3">
        <v>5</v>
      </c>
      <c r="F44" s="16" cm="1">
        <f t="array" ref="F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44" s="31" cm="1">
        <f t="array" ref="G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4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4" s="32" t="str">
        <f>TEXT(HLG_01[[#This Row],[Batch]],"000")&amp; " / " &amp; TEXT(HLG_01[[#This Row],[Rit]],"000")</f>
        <v>033 / 005</v>
      </c>
      <c r="J44" s="34" t="s">
        <v>2621</v>
      </c>
      <c r="K44" s="38" t="s">
        <v>2605</v>
      </c>
      <c r="L44" s="35"/>
      <c r="M44" s="85"/>
      <c r="N44" s="85"/>
      <c r="O44" s="85"/>
      <c r="P44" s="85"/>
      <c r="Q44" s="85"/>
      <c r="R44" s="85"/>
      <c r="S44" s="100"/>
      <c r="T44" s="100"/>
      <c r="U44" s="85"/>
      <c r="V44" s="85"/>
      <c r="W44" s="85"/>
      <c r="X44" s="85"/>
      <c r="Z44" t="str">
        <v>46211/D|BR1/01</v>
      </c>
      <c r="AA44" t="str">
        <v>STM-A40_0119</v>
      </c>
      <c r="AB44" t="str">
        <v>SAP</v>
      </c>
      <c r="AC44" t="str">
        <v>LS_18</v>
      </c>
      <c r="AD44" t="str">
        <v>L18_S09</v>
      </c>
      <c r="AE44" t="str">
        <v>034 / 004</v>
      </c>
      <c r="AF44" t="str">
        <v>Yes</v>
      </c>
      <c r="AG44" t="str">
        <v/>
      </c>
      <c r="AH44" t="str">
        <v/>
      </c>
      <c r="AJ44" t="str">
        <f ca="1"/>
        <v>Pile_01</v>
      </c>
      <c r="AP44" t="str">
        <v>STM-A40_0068</v>
      </c>
      <c r="AQ44" t="str">
        <v>STM-A40_0069</v>
      </c>
      <c r="AR44" t="str">
        <v>STM-A40_0087</v>
      </c>
      <c r="AS44" t="str">
        <v>STM-A40_0097</v>
      </c>
      <c r="AT44" t="str">
        <v>STM-A40_0132</v>
      </c>
      <c r="AU44" t="str">
        <v>STM-A40_0133</v>
      </c>
      <c r="AV44" t="str">
        <v>STM-A40_0136</v>
      </c>
      <c r="AW44" t="str">
        <v/>
      </c>
    </row>
    <row r="45" spans="4:49" ht="15.75" x14ac:dyDescent="0.25">
      <c r="D45" s="3">
        <v>5</v>
      </c>
      <c r="F45" s="16" cm="1">
        <f t="array" ref="F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45" s="31" cm="1">
        <f t="array" ref="G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4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5" s="32" t="str">
        <f>TEXT(HLG_01[[#This Row],[Batch]],"000")&amp; " / " &amp; TEXT(HLG_01[[#This Row],[Rit]],"000")</f>
        <v>033 / 006</v>
      </c>
      <c r="J45" s="34" t="s">
        <v>2621</v>
      </c>
      <c r="K45" s="38" t="s">
        <v>2609</v>
      </c>
      <c r="L45" s="35"/>
      <c r="M45" s="85"/>
      <c r="N45" s="85"/>
      <c r="O45" s="85"/>
      <c r="P45" s="85"/>
      <c r="Q45" s="85"/>
      <c r="R45" s="85"/>
      <c r="S45" s="100"/>
      <c r="T45" s="100"/>
      <c r="U45" s="85"/>
      <c r="V45" s="85"/>
      <c r="W45" s="85"/>
      <c r="X45" s="85"/>
      <c r="Z45" t="str">
        <v>46211/D|BR1/01</v>
      </c>
      <c r="AA45" t="str">
        <v>STM-A40_0105</v>
      </c>
      <c r="AB45" t="str">
        <v>SAP</v>
      </c>
      <c r="AC45" t="str">
        <v>LS_18</v>
      </c>
      <c r="AD45" t="str">
        <v>L18_S09</v>
      </c>
      <c r="AE45" t="str">
        <v>034 / 005</v>
      </c>
      <c r="AF45" t="str">
        <v>No</v>
      </c>
      <c r="AG45" t="str">
        <v/>
      </c>
      <c r="AH45" t="str">
        <v/>
      </c>
      <c r="AJ45" t="str">
        <f ca="1"/>
        <v>Pile_01</v>
      </c>
      <c r="AP45" t="str">
        <v>STM-A40_0068</v>
      </c>
      <c r="AQ45" t="str">
        <v>STM-A40_0069</v>
      </c>
      <c r="AR45" t="str">
        <v>STM-A40_0087</v>
      </c>
      <c r="AS45" t="str">
        <v>STM-A40_0097</v>
      </c>
      <c r="AT45" t="str">
        <v>STM-A40_0132</v>
      </c>
      <c r="AU45" t="str">
        <v>STM-A40_0133</v>
      </c>
      <c r="AV45" t="str">
        <v>STM-A40_0136</v>
      </c>
      <c r="AW45" t="str">
        <v/>
      </c>
    </row>
    <row r="46" spans="4:49" ht="15.75" x14ac:dyDescent="0.25">
      <c r="D46" s="3">
        <v>5</v>
      </c>
      <c r="F46" s="16" cm="1">
        <f t="array" ref="F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46" s="31" cm="1">
        <f t="array" ref="G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4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6" s="32" t="str">
        <f>TEXT(HLG_01[[#This Row],[Batch]],"000")&amp; " / " &amp; TEXT(HLG_01[[#This Row],[Rit]],"000")</f>
        <v>033 / 007</v>
      </c>
      <c r="J46" s="34" t="s">
        <v>2621</v>
      </c>
      <c r="K46" s="38" t="s">
        <v>2610</v>
      </c>
      <c r="L46" s="35"/>
      <c r="M46" s="85"/>
      <c r="N46" s="85"/>
      <c r="O46" s="85"/>
      <c r="P46" s="85"/>
      <c r="Q46" s="85"/>
      <c r="R46" s="85"/>
      <c r="S46" s="100"/>
      <c r="T46" s="100"/>
      <c r="U46" s="85"/>
      <c r="V46" s="85"/>
      <c r="W46" s="85"/>
      <c r="X46" s="85"/>
      <c r="Z46" t="str">
        <v>46211/D|BR1/01</v>
      </c>
      <c r="AA46" t="str">
        <v>STM-A40_0121</v>
      </c>
      <c r="AB46" t="str">
        <v>SAP</v>
      </c>
      <c r="AC46" t="str">
        <v>LS_18</v>
      </c>
      <c r="AD46" t="str">
        <v>L18_S09</v>
      </c>
      <c r="AE46" t="str">
        <v>034 / 006</v>
      </c>
      <c r="AF46" t="str">
        <v>Yes</v>
      </c>
      <c r="AG46" t="str">
        <v/>
      </c>
      <c r="AH46" t="str">
        <v/>
      </c>
      <c r="AJ46" t="str">
        <f ca="1"/>
        <v>Pile_01</v>
      </c>
      <c r="AP46" t="str">
        <v>STM-A40_0068</v>
      </c>
      <c r="AQ46" t="str">
        <v>STM-A40_0069</v>
      </c>
      <c r="AR46" t="str">
        <v>STM-A40_0087</v>
      </c>
      <c r="AS46" t="str">
        <v>STM-A40_0097</v>
      </c>
      <c r="AT46" t="str">
        <v>STM-A40_0132</v>
      </c>
      <c r="AU46" t="str">
        <v>STM-A40_0133</v>
      </c>
      <c r="AV46" t="str">
        <v>STM-A40_0136</v>
      </c>
      <c r="AW46" t="str">
        <v/>
      </c>
    </row>
    <row r="47" spans="4:49" ht="15.75" x14ac:dyDescent="0.25">
      <c r="D47" s="3">
        <v>5</v>
      </c>
      <c r="F47" s="16" cm="1">
        <f t="array" ref="F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47" s="31" cm="1">
        <f t="array" ref="G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4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7" s="32" t="str">
        <f>TEXT(HLG_01[[#This Row],[Batch]],"000")&amp; " / " &amp; TEXT(HLG_01[[#This Row],[Rit]],"000")</f>
        <v>033 / 008</v>
      </c>
      <c r="J47" s="34" t="s">
        <v>2621</v>
      </c>
      <c r="K47" s="38" t="s">
        <v>2611</v>
      </c>
      <c r="L47" s="35"/>
      <c r="M47" s="85"/>
      <c r="N47" s="85"/>
      <c r="O47" s="85"/>
      <c r="P47" s="85"/>
      <c r="Q47" s="85"/>
      <c r="R47" s="85"/>
      <c r="S47" s="100"/>
      <c r="T47" s="100"/>
      <c r="U47" s="85"/>
      <c r="V47" s="85"/>
      <c r="W47" s="85"/>
      <c r="X47" s="85"/>
      <c r="Z47" t="str">
        <v>46211/D|BR1/01</v>
      </c>
      <c r="AA47" t="str">
        <v>STM-A40_0106</v>
      </c>
      <c r="AB47" t="str">
        <v>SAP</v>
      </c>
      <c r="AC47" t="str">
        <v>LS_18</v>
      </c>
      <c r="AD47" t="str">
        <v>L18_S09</v>
      </c>
      <c r="AE47" t="str">
        <v>034 / 007</v>
      </c>
      <c r="AF47" t="str">
        <v>No</v>
      </c>
      <c r="AG47" t="str">
        <v/>
      </c>
      <c r="AH47" t="str">
        <v/>
      </c>
      <c r="AJ47" t="str">
        <f ca="1"/>
        <v>Pile_01</v>
      </c>
      <c r="AP47" t="str">
        <v>STM-A40_0068</v>
      </c>
      <c r="AQ47" t="str">
        <v>STM-A40_0069</v>
      </c>
      <c r="AR47" t="str">
        <v>STM-A40_0087</v>
      </c>
      <c r="AS47" t="str">
        <v>STM-A40_0097</v>
      </c>
      <c r="AT47" t="str">
        <v>STM-A40_0132</v>
      </c>
      <c r="AU47" t="str">
        <v>STM-A40_0133</v>
      </c>
      <c r="AV47" t="str">
        <v>STM-A40_0136</v>
      </c>
      <c r="AW47" t="str">
        <v/>
      </c>
    </row>
    <row r="48" spans="4:49" ht="15.75" x14ac:dyDescent="0.25">
      <c r="D48" s="3">
        <v>5</v>
      </c>
      <c r="F48" s="16" cm="1">
        <f t="array" ref="F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48" s="31" cm="1">
        <f t="array" ref="G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4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8" s="32" t="str">
        <f>TEXT(HLG_01[[#This Row],[Batch]],"000")&amp; " / " &amp; TEXT(HLG_01[[#This Row],[Rit]],"000")</f>
        <v>033 / 009</v>
      </c>
      <c r="J48" s="34" t="s">
        <v>2621</v>
      </c>
      <c r="K48" s="38" t="s">
        <v>2608</v>
      </c>
      <c r="L48" s="35"/>
      <c r="M48" s="85"/>
      <c r="N48" s="85"/>
      <c r="O48" s="85"/>
      <c r="P48" s="85"/>
      <c r="Q48" s="85"/>
      <c r="R48" s="85"/>
      <c r="S48" s="100"/>
      <c r="T48" s="100"/>
      <c r="U48" s="85"/>
      <c r="V48" s="85"/>
      <c r="W48" s="85"/>
      <c r="X48" s="85"/>
      <c r="Z48" t="str">
        <v>46211/D|BR1/01</v>
      </c>
      <c r="AA48" t="str">
        <v>STM-A40_0107</v>
      </c>
      <c r="AB48" t="str">
        <v>SAP</v>
      </c>
      <c r="AC48" t="str">
        <v>LS_18</v>
      </c>
      <c r="AD48" t="str">
        <v>L18_S09</v>
      </c>
      <c r="AE48" t="str">
        <v>034 / 008</v>
      </c>
      <c r="AF48" t="str">
        <v>Yes</v>
      </c>
      <c r="AG48" t="str">
        <v/>
      </c>
      <c r="AH48" t="str">
        <v/>
      </c>
      <c r="AJ48" t="str">
        <f ca="1"/>
        <v>Pile_01</v>
      </c>
      <c r="AP48" t="str">
        <v>STM-A40_0068</v>
      </c>
      <c r="AQ48" t="str">
        <v>STM-A40_0069</v>
      </c>
      <c r="AR48" t="str">
        <v>STM-A40_0087</v>
      </c>
      <c r="AS48" t="str">
        <v>STM-A40_0097</v>
      </c>
      <c r="AT48" t="str">
        <v>STM-A40_0132</v>
      </c>
      <c r="AU48" t="str">
        <v>STM-A40_0133</v>
      </c>
      <c r="AV48" t="str">
        <v>STM-A40_0136</v>
      </c>
      <c r="AW48" t="str">
        <v/>
      </c>
    </row>
    <row r="49" spans="4:49" ht="15.75" x14ac:dyDescent="0.25">
      <c r="D49" s="3">
        <v>5</v>
      </c>
      <c r="F49" s="16" cm="1">
        <f t="array" ref="F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49" s="31" cm="1">
        <f t="array" ref="G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4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9" s="32" t="str">
        <f>TEXT(HLG_01[[#This Row],[Batch]],"000")&amp; " / " &amp; TEXT(HLG_01[[#This Row],[Rit]],"000")</f>
        <v>033 / 010</v>
      </c>
      <c r="J49" s="34" t="s">
        <v>2621</v>
      </c>
      <c r="K49" s="38" t="s">
        <v>2613</v>
      </c>
      <c r="L49" s="35"/>
      <c r="M49" s="85"/>
      <c r="N49" s="85"/>
      <c r="O49" s="85"/>
      <c r="P49" s="85"/>
      <c r="Q49" s="85"/>
      <c r="R49" s="85"/>
      <c r="S49" s="100"/>
      <c r="T49" s="100"/>
      <c r="U49" s="85"/>
      <c r="V49" s="85"/>
      <c r="W49" s="85"/>
      <c r="X49" s="85"/>
      <c r="Z49" t="str">
        <v>46211/D|BR1/01</v>
      </c>
      <c r="AA49" t="str">
        <v>STM-A40_0119</v>
      </c>
      <c r="AB49" t="str">
        <v>SAP</v>
      </c>
      <c r="AC49" t="str">
        <v>LS_18</v>
      </c>
      <c r="AD49" t="str">
        <v>L18_S09</v>
      </c>
      <c r="AE49" t="str">
        <v>034 / 009</v>
      </c>
      <c r="AF49" t="str">
        <v>No</v>
      </c>
      <c r="AG49" t="str">
        <v/>
      </c>
      <c r="AH49" t="str">
        <v/>
      </c>
      <c r="AJ49" t="str">
        <f ca="1"/>
        <v>Pile_01</v>
      </c>
      <c r="AP49" t="str">
        <v>STM-A40_0068</v>
      </c>
      <c r="AQ49" t="str">
        <v>STM-A40_0069</v>
      </c>
      <c r="AR49" t="str">
        <v>STM-A40_0087</v>
      </c>
      <c r="AS49" t="str">
        <v>STM-A40_0097</v>
      </c>
      <c r="AT49" t="str">
        <v>STM-A40_0132</v>
      </c>
      <c r="AU49" t="str">
        <v>STM-A40_0133</v>
      </c>
      <c r="AV49" t="str">
        <v>STM-A40_0136</v>
      </c>
      <c r="AW49" t="str">
        <v/>
      </c>
    </row>
    <row r="50" spans="4:49" ht="15.75" x14ac:dyDescent="0.25">
      <c r="D50" s="3">
        <v>5</v>
      </c>
      <c r="F50" s="16" cm="1">
        <f t="array" ref="F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50" s="31" cm="1">
        <f t="array" ref="G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5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0" s="32" t="str">
        <f>TEXT(HLG_01[[#This Row],[Batch]],"000")&amp; " / " &amp; TEXT(HLG_01[[#This Row],[Rit]],"000")</f>
        <v>033 / 011</v>
      </c>
      <c r="J50" s="34" t="s">
        <v>2621</v>
      </c>
      <c r="K50" s="38" t="s">
        <v>2609</v>
      </c>
      <c r="L50" s="35"/>
      <c r="M50" s="85"/>
      <c r="N50" s="85"/>
      <c r="O50" s="85"/>
      <c r="P50" s="85"/>
      <c r="Q50" s="85"/>
      <c r="R50" s="85"/>
      <c r="S50" s="100"/>
      <c r="T50" s="100"/>
      <c r="U50" s="85"/>
      <c r="V50" s="85"/>
      <c r="W50" s="85"/>
      <c r="X50" s="85"/>
      <c r="Z50" t="str">
        <v>46211/D|BR1/01</v>
      </c>
      <c r="AA50" t="str">
        <v>STM-A40_0105</v>
      </c>
      <c r="AB50" t="str">
        <v>SAP</v>
      </c>
      <c r="AC50" t="str">
        <v>LS_18</v>
      </c>
      <c r="AD50" t="str">
        <v>L18_S09</v>
      </c>
      <c r="AE50" t="str">
        <v>034 / 010</v>
      </c>
      <c r="AF50" t="str">
        <v>Yes</v>
      </c>
      <c r="AG50" t="str">
        <v/>
      </c>
      <c r="AH50" t="str">
        <v/>
      </c>
      <c r="AJ50" t="str">
        <f ca="1"/>
        <v>Pile_01</v>
      </c>
      <c r="AP50" t="str">
        <v>STM-A40_0068</v>
      </c>
      <c r="AQ50" t="str">
        <v>STM-A40_0069</v>
      </c>
      <c r="AR50" t="str">
        <v>STM-A40_0087</v>
      </c>
      <c r="AS50" t="str">
        <v>STM-A40_0097</v>
      </c>
      <c r="AT50" t="str">
        <v>STM-A40_0132</v>
      </c>
      <c r="AU50" t="str">
        <v>STM-A40_0133</v>
      </c>
      <c r="AV50" t="str">
        <v>STM-A40_0136</v>
      </c>
      <c r="AW50" t="str">
        <v/>
      </c>
    </row>
    <row r="51" spans="4:49" ht="15.75" x14ac:dyDescent="0.25">
      <c r="D51" s="3">
        <v>5</v>
      </c>
      <c r="F51" s="16" cm="1">
        <f t="array" ref="F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51" s="31" cm="1">
        <f t="array" ref="G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5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1" s="32" t="str">
        <f>TEXT(HLG_01[[#This Row],[Batch]],"000")&amp; " / " &amp; TEXT(HLG_01[[#This Row],[Rit]],"000")</f>
        <v>033 / 012</v>
      </c>
      <c r="J51" s="34" t="s">
        <v>2621</v>
      </c>
      <c r="K51" s="38" t="s">
        <v>2605</v>
      </c>
      <c r="L51" s="35"/>
      <c r="M51" s="85"/>
      <c r="N51" s="85"/>
      <c r="O51" s="85"/>
      <c r="P51" s="85"/>
      <c r="Q51" s="85"/>
      <c r="R51" s="85"/>
      <c r="S51" s="100"/>
      <c r="T51" s="100"/>
      <c r="U51" s="85"/>
      <c r="V51" s="85"/>
      <c r="W51" s="85"/>
      <c r="X51" s="85"/>
      <c r="Z51" t="str">
        <v>46211/D|BR1/01</v>
      </c>
      <c r="AA51" t="str">
        <v>STM-A40_0106</v>
      </c>
      <c r="AB51" t="str">
        <v>SAP</v>
      </c>
      <c r="AC51" t="str">
        <v>LS_18</v>
      </c>
      <c r="AD51" t="str">
        <v>L18_S09</v>
      </c>
      <c r="AE51" t="str">
        <v>034 / 011</v>
      </c>
      <c r="AF51" t="str">
        <v>No</v>
      </c>
      <c r="AG51" t="str">
        <v/>
      </c>
      <c r="AH51" t="str">
        <v/>
      </c>
      <c r="AJ51" t="str">
        <f ca="1"/>
        <v>Pile_01</v>
      </c>
      <c r="AP51" t="str">
        <v>STM-A40_0068</v>
      </c>
      <c r="AQ51" t="str">
        <v>STM-A40_0069</v>
      </c>
      <c r="AR51" t="str">
        <v>STM-A40_0087</v>
      </c>
      <c r="AS51" t="str">
        <v>STM-A40_0097</v>
      </c>
      <c r="AT51" t="str">
        <v>STM-A40_0132</v>
      </c>
      <c r="AU51" t="str">
        <v>STM-A40_0133</v>
      </c>
      <c r="AV51" t="str">
        <v>STM-A40_0136</v>
      </c>
      <c r="AW51" t="str">
        <v/>
      </c>
    </row>
    <row r="52" spans="4:49" ht="15.75" x14ac:dyDescent="0.25">
      <c r="D52" s="3">
        <v>5</v>
      </c>
      <c r="F52" s="16" cm="1">
        <f t="array" ref="F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52" s="31" cm="1">
        <f t="array" ref="G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5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2" s="32" t="str">
        <f>TEXT(HLG_01[[#This Row],[Batch]],"000")&amp; " / " &amp; TEXT(HLG_01[[#This Row],[Rit]],"000")</f>
        <v>033 / 013</v>
      </c>
      <c r="J52" s="34" t="s">
        <v>2621</v>
      </c>
      <c r="K52" s="38" t="s">
        <v>2610</v>
      </c>
      <c r="L52" s="35"/>
      <c r="M52" s="85"/>
      <c r="N52" s="85"/>
      <c r="O52" s="85"/>
      <c r="P52" s="85"/>
      <c r="Q52" s="85"/>
      <c r="R52" s="85"/>
      <c r="S52" s="100"/>
      <c r="T52" s="100"/>
      <c r="U52" s="85"/>
      <c r="V52" s="85"/>
      <c r="W52" s="85"/>
      <c r="X52" s="85"/>
      <c r="Z52" t="str">
        <v>46211/D|BR1/01</v>
      </c>
      <c r="AA52" t="str">
        <v>STM-A40_0121</v>
      </c>
      <c r="AB52" t="str">
        <v>SAP</v>
      </c>
      <c r="AC52" t="str">
        <v>LS_18</v>
      </c>
      <c r="AD52" t="str">
        <v>L18_S09</v>
      </c>
      <c r="AE52" t="str">
        <v>034 / 012</v>
      </c>
      <c r="AF52" t="str">
        <v>Yes</v>
      </c>
      <c r="AG52" t="str">
        <v/>
      </c>
      <c r="AH52" t="str">
        <v/>
      </c>
      <c r="AJ52" t="str">
        <f ca="1"/>
        <v>Pile_01</v>
      </c>
      <c r="AP52" t="str">
        <v>STM-A40_0068</v>
      </c>
      <c r="AQ52" t="str">
        <v>STM-A40_0069</v>
      </c>
      <c r="AR52" t="str">
        <v>STM-A40_0087</v>
      </c>
      <c r="AS52" t="str">
        <v>STM-A40_0097</v>
      </c>
      <c r="AT52" t="str">
        <v>STM-A40_0132</v>
      </c>
      <c r="AU52" t="str">
        <v>STM-A40_0133</v>
      </c>
      <c r="AV52" t="str">
        <v>STM-A40_0136</v>
      </c>
      <c r="AW52" t="str">
        <v/>
      </c>
    </row>
    <row r="53" spans="4:49" ht="15.75" x14ac:dyDescent="0.25">
      <c r="D53" s="3">
        <v>5</v>
      </c>
      <c r="F53" s="16" cm="1">
        <f t="array" ref="F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53" s="31" cm="1">
        <f t="array" ref="G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5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3" s="32" t="str">
        <f>TEXT(HLG_01[[#This Row],[Batch]],"000")&amp; " / " &amp; TEXT(HLG_01[[#This Row],[Rit]],"000")</f>
        <v>033 / 014</v>
      </c>
      <c r="J53" s="34" t="s">
        <v>2621</v>
      </c>
      <c r="K53" s="38" t="s">
        <v>2611</v>
      </c>
      <c r="L53" s="35"/>
      <c r="M53" s="85"/>
      <c r="N53" s="85"/>
      <c r="O53" s="85"/>
      <c r="P53" s="85"/>
      <c r="Q53" s="85"/>
      <c r="R53" s="85"/>
      <c r="S53" s="100"/>
      <c r="T53" s="100"/>
      <c r="U53" s="85"/>
      <c r="V53" s="85"/>
      <c r="W53" s="85"/>
      <c r="X53" s="85"/>
      <c r="Z53" t="str">
        <v>46211/D|BR1/01</v>
      </c>
      <c r="AA53" t="str">
        <v>STM-A40_0107</v>
      </c>
      <c r="AB53" t="str">
        <v>SAP</v>
      </c>
      <c r="AC53" t="str">
        <v>LS_18</v>
      </c>
      <c r="AD53" t="str">
        <v>L18_S09</v>
      </c>
      <c r="AE53" t="str">
        <v>034 / 013</v>
      </c>
      <c r="AF53" t="str">
        <v>No</v>
      </c>
      <c r="AG53" t="str">
        <v/>
      </c>
      <c r="AH53" t="str">
        <v/>
      </c>
      <c r="AJ53" t="str">
        <f ca="1"/>
        <v>Pile_01</v>
      </c>
      <c r="AP53" t="str">
        <v>STM-A40_0068</v>
      </c>
      <c r="AQ53" t="str">
        <v>STM-A40_0069</v>
      </c>
      <c r="AR53" t="str">
        <v>STM-A40_0087</v>
      </c>
      <c r="AS53" t="str">
        <v>STM-A40_0097</v>
      </c>
      <c r="AT53" t="str">
        <v>STM-A40_0132</v>
      </c>
      <c r="AU53" t="str">
        <v>STM-A40_0133</v>
      </c>
      <c r="AV53" t="str">
        <v>STM-A40_0136</v>
      </c>
      <c r="AW53" t="str">
        <v/>
      </c>
    </row>
    <row r="54" spans="4:49" ht="15.75" x14ac:dyDescent="0.25">
      <c r="D54" s="3">
        <v>5</v>
      </c>
      <c r="F54" s="16" cm="1">
        <f t="array" ref="F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54" s="31" cm="1">
        <f t="array" ref="G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5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4" s="32" t="str">
        <f>TEXT(HLG_01[[#This Row],[Batch]],"000")&amp; " / " &amp; TEXT(HLG_01[[#This Row],[Rit]],"000")</f>
        <v>033 / 015</v>
      </c>
      <c r="J54" s="34" t="s">
        <v>2621</v>
      </c>
      <c r="K54" s="38" t="s">
        <v>2608</v>
      </c>
      <c r="L54" s="35"/>
      <c r="M54" s="85"/>
      <c r="N54" s="85"/>
      <c r="O54" s="85"/>
      <c r="P54" s="85"/>
      <c r="Q54" s="85"/>
      <c r="R54" s="85"/>
      <c r="S54" s="100"/>
      <c r="T54" s="100"/>
      <c r="U54" s="85"/>
      <c r="V54" s="85"/>
      <c r="W54" s="85"/>
      <c r="X54" s="85"/>
      <c r="Z54" t="str">
        <v>46211/D|BR1/01</v>
      </c>
      <c r="AA54" t="str">
        <v>STM-A40_0119</v>
      </c>
      <c r="AB54" t="str">
        <v>SAP</v>
      </c>
      <c r="AC54" t="str">
        <v>LS_18</v>
      </c>
      <c r="AD54" t="str">
        <v>L18_S09</v>
      </c>
      <c r="AE54" t="str">
        <v>034 / 014</v>
      </c>
      <c r="AF54" t="str">
        <v>Yes</v>
      </c>
      <c r="AG54" t="str">
        <v/>
      </c>
      <c r="AH54" t="str">
        <v/>
      </c>
      <c r="AJ54" t="str">
        <f ca="1"/>
        <v>Pile_01</v>
      </c>
      <c r="AP54" t="str">
        <v>STM-A40_0068</v>
      </c>
      <c r="AQ54" t="str">
        <v>STM-A40_0069</v>
      </c>
      <c r="AR54" t="str">
        <v>STM-A40_0087</v>
      </c>
      <c r="AS54" t="str">
        <v>STM-A40_0097</v>
      </c>
      <c r="AT54" t="str">
        <v>STM-A40_0132</v>
      </c>
      <c r="AU54" t="str">
        <v>STM-A40_0133</v>
      </c>
      <c r="AV54" t="str">
        <v>STM-A40_0136</v>
      </c>
      <c r="AW54" t="str">
        <v/>
      </c>
    </row>
    <row r="55" spans="4:49" ht="15.75" x14ac:dyDescent="0.25">
      <c r="D55" s="3">
        <v>5</v>
      </c>
      <c r="F55" s="16" cm="1">
        <f t="array" ref="F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55" s="31" cm="1">
        <f t="array" ref="G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5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5" s="32" t="str">
        <f>TEXT(HLG_01[[#This Row],[Batch]],"000")&amp; " / " &amp; TEXT(HLG_01[[#This Row],[Rit]],"000")</f>
        <v>033 / 016</v>
      </c>
      <c r="J55" s="34" t="s">
        <v>2621</v>
      </c>
      <c r="K55" s="38" t="s">
        <v>2613</v>
      </c>
      <c r="L55" s="35"/>
      <c r="M55" s="85"/>
      <c r="N55" s="85"/>
      <c r="O55" s="85"/>
      <c r="P55" s="85"/>
      <c r="Q55" s="85"/>
      <c r="R55" s="85"/>
      <c r="S55" s="100"/>
      <c r="T55" s="100"/>
      <c r="U55" s="85"/>
      <c r="V55" s="85"/>
      <c r="W55" s="85"/>
      <c r="X55" s="85"/>
      <c r="Z55" t="str">
        <v>46211/D|BR1/01</v>
      </c>
      <c r="AA55" t="str">
        <v>STM-A40_0106</v>
      </c>
      <c r="AB55" t="str">
        <v>SAP</v>
      </c>
      <c r="AC55" t="str">
        <v>LS_18</v>
      </c>
      <c r="AD55" t="str">
        <v>L18_S09</v>
      </c>
      <c r="AE55" t="str">
        <v>034 / 015</v>
      </c>
      <c r="AF55" t="str">
        <v>No</v>
      </c>
      <c r="AG55" t="str">
        <v/>
      </c>
      <c r="AH55" t="str">
        <v/>
      </c>
      <c r="AJ55" t="str">
        <f ca="1"/>
        <v>Pile_01</v>
      </c>
      <c r="AP55" t="str">
        <v>STM-A40_0068</v>
      </c>
      <c r="AQ55" t="str">
        <v>STM-A40_0069</v>
      </c>
      <c r="AR55" t="str">
        <v>STM-A40_0087</v>
      </c>
      <c r="AS55" t="str">
        <v>STM-A40_0097</v>
      </c>
      <c r="AT55" t="str">
        <v>STM-A40_0132</v>
      </c>
      <c r="AU55" t="str">
        <v>STM-A40_0133</v>
      </c>
      <c r="AV55" t="str">
        <v>STM-A40_0136</v>
      </c>
      <c r="AW55" t="str">
        <v/>
      </c>
    </row>
    <row r="56" spans="4:49" ht="15.75" x14ac:dyDescent="0.25">
      <c r="D56" s="3">
        <v>5</v>
      </c>
      <c r="F56" s="16" cm="1">
        <f t="array" ref="F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56" s="31" cm="1">
        <f t="array" ref="G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5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6" s="32" t="str">
        <f>TEXT(HLG_01[[#This Row],[Batch]],"000")&amp; " / " &amp; TEXT(HLG_01[[#This Row],[Rit]],"000")</f>
        <v>033 / 017</v>
      </c>
      <c r="J56" s="34" t="s">
        <v>2621</v>
      </c>
      <c r="K56" s="38" t="s">
        <v>2609</v>
      </c>
      <c r="L56" s="35"/>
      <c r="M56" s="85"/>
      <c r="N56" s="85"/>
      <c r="O56" s="85"/>
      <c r="P56" s="85"/>
      <c r="Q56" s="85"/>
      <c r="R56" s="85"/>
      <c r="S56" s="100"/>
      <c r="T56" s="100"/>
      <c r="U56" s="85"/>
      <c r="V56" s="85"/>
      <c r="W56" s="85"/>
      <c r="X56" s="85"/>
      <c r="Z56" t="str">
        <v>46211/D|BR1/05</v>
      </c>
      <c r="AA56" t="str">
        <v>STM-A40_0106</v>
      </c>
      <c r="AB56" t="str">
        <v>SAP</v>
      </c>
      <c r="AC56" t="str">
        <v>LS_18</v>
      </c>
      <c r="AD56" t="str">
        <v>L18_S09</v>
      </c>
      <c r="AE56" t="str">
        <v>034 / 016</v>
      </c>
      <c r="AF56" t="str">
        <v>Yes</v>
      </c>
      <c r="AG56" t="str">
        <v/>
      </c>
      <c r="AH56" t="str">
        <v/>
      </c>
      <c r="AJ56" t="str">
        <f ca="1"/>
        <v>Pile_01</v>
      </c>
      <c r="AP56" t="str">
        <v>STM-A40_0068</v>
      </c>
      <c r="AQ56" t="str">
        <v>STM-A40_0069</v>
      </c>
      <c r="AR56" t="str">
        <v>STM-A40_0087</v>
      </c>
      <c r="AS56" t="str">
        <v>STM-A40_0097</v>
      </c>
      <c r="AT56" t="str">
        <v>STM-A40_0132</v>
      </c>
      <c r="AU56" t="str">
        <v>STM-A40_0133</v>
      </c>
      <c r="AV56" t="str">
        <v>STM-A40_0136</v>
      </c>
      <c r="AW56" t="str">
        <v/>
      </c>
    </row>
    <row r="57" spans="4:49" ht="15.75" x14ac:dyDescent="0.25">
      <c r="D57" s="3">
        <v>5</v>
      </c>
      <c r="F57" s="16" cm="1">
        <f t="array" ref="F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57" s="31" cm="1">
        <f t="array" ref="G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5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7" s="32" t="str">
        <f>TEXT(HLG_01[[#This Row],[Batch]],"000")&amp; " / " &amp; TEXT(HLG_01[[#This Row],[Rit]],"000")</f>
        <v>033 / 018</v>
      </c>
      <c r="J57" s="34" t="s">
        <v>2621</v>
      </c>
      <c r="K57" s="38" t="s">
        <v>2605</v>
      </c>
      <c r="L57" s="35"/>
      <c r="M57" s="85"/>
      <c r="N57" s="85"/>
      <c r="O57" s="85"/>
      <c r="P57" s="85"/>
      <c r="Q57" s="85"/>
      <c r="R57" s="85"/>
      <c r="S57" s="100"/>
      <c r="T57" s="100"/>
      <c r="U57" s="85"/>
      <c r="V57" s="85"/>
      <c r="W57" s="85"/>
      <c r="X57" s="85"/>
      <c r="Z57" t="str">
        <v>46211/D|BR1/05</v>
      </c>
      <c r="AA57" t="str">
        <v>STM-A40_0098</v>
      </c>
      <c r="AB57" t="str">
        <v>SAP</v>
      </c>
      <c r="AC57" t="str">
        <v>LS_18</v>
      </c>
      <c r="AD57" t="str">
        <v>L18_S09</v>
      </c>
      <c r="AE57" t="str">
        <v>034 / 017</v>
      </c>
      <c r="AF57" t="str">
        <v>No</v>
      </c>
      <c r="AG57" t="str">
        <v/>
      </c>
      <c r="AH57" t="str">
        <v/>
      </c>
      <c r="AJ57" t="str">
        <f ca="1"/>
        <v>Pile_01</v>
      </c>
      <c r="AP57" t="str">
        <v>STM-A40_0068</v>
      </c>
      <c r="AQ57" t="str">
        <v>STM-A40_0069</v>
      </c>
      <c r="AR57" t="str">
        <v>STM-A40_0087</v>
      </c>
      <c r="AS57" t="str">
        <v>STM-A40_0097</v>
      </c>
      <c r="AT57" t="str">
        <v>STM-A40_0132</v>
      </c>
      <c r="AU57" t="str">
        <v>STM-A40_0133</v>
      </c>
      <c r="AV57" t="str">
        <v>STM-A40_0136</v>
      </c>
      <c r="AW57" t="str">
        <v/>
      </c>
    </row>
    <row r="58" spans="4:49" ht="15.75" x14ac:dyDescent="0.25">
      <c r="D58" s="3">
        <v>5</v>
      </c>
      <c r="F58" s="16" cm="1">
        <f t="array" ref="F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58" s="31" cm="1">
        <f t="array" ref="G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5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8" s="32" t="str">
        <f>TEXT(HLG_01[[#This Row],[Batch]],"000")&amp; " / " &amp; TEXT(HLG_01[[#This Row],[Rit]],"000")</f>
        <v>033 / 019</v>
      </c>
      <c r="J58" s="34" t="s">
        <v>2621</v>
      </c>
      <c r="K58" s="38" t="s">
        <v>2611</v>
      </c>
      <c r="L58" s="35"/>
      <c r="M58" s="85"/>
      <c r="N58" s="85"/>
      <c r="O58" s="85"/>
      <c r="P58" s="85"/>
      <c r="Q58" s="85"/>
      <c r="R58" s="85"/>
      <c r="S58" s="100"/>
      <c r="T58" s="100"/>
      <c r="U58" s="85"/>
      <c r="V58" s="85"/>
      <c r="W58" s="85"/>
      <c r="X58" s="85"/>
      <c r="Z58" t="str">
        <v>46211/D|BR1/05</v>
      </c>
      <c r="AA58" t="str">
        <v>STM-A40_0106</v>
      </c>
      <c r="AB58" t="str">
        <v>SAP</v>
      </c>
      <c r="AC58" t="str">
        <v>LS_18</v>
      </c>
      <c r="AD58" t="str">
        <v>L18_S09</v>
      </c>
      <c r="AE58" t="str">
        <v>034 / 018</v>
      </c>
      <c r="AF58" t="str">
        <v>Yes</v>
      </c>
      <c r="AG58" t="str">
        <v/>
      </c>
      <c r="AH58" t="str">
        <v/>
      </c>
      <c r="AJ58" t="str">
        <f ca="1"/>
        <v>Pile_01</v>
      </c>
      <c r="AP58" t="str">
        <v>STM-A40_0068</v>
      </c>
      <c r="AQ58" t="str">
        <v>STM-A40_0069</v>
      </c>
      <c r="AR58" t="str">
        <v>STM-A40_0087</v>
      </c>
      <c r="AS58" t="str">
        <v>STM-A40_0097</v>
      </c>
      <c r="AT58" t="str">
        <v>STM-A40_0132</v>
      </c>
      <c r="AU58" t="str">
        <v>STM-A40_0133</v>
      </c>
      <c r="AV58" t="str">
        <v>STM-A40_0136</v>
      </c>
      <c r="AW58" t="str">
        <v/>
      </c>
    </row>
    <row r="59" spans="4:49" ht="15.75" x14ac:dyDescent="0.25">
      <c r="D59" s="3">
        <v>5</v>
      </c>
      <c r="F59" s="16" cm="1">
        <f t="array" ref="F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33</v>
      </c>
      <c r="G59" s="31" cm="1">
        <f t="array" ref="G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5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9" s="32" t="str">
        <f>TEXT(HLG_01[[#This Row],[Batch]],"000")&amp; " / " &amp; TEXT(HLG_01[[#This Row],[Rit]],"000")</f>
        <v>033 / 020</v>
      </c>
      <c r="J59" s="34" t="s">
        <v>2621</v>
      </c>
      <c r="K59" s="38" t="s">
        <v>2610</v>
      </c>
      <c r="L59" s="35"/>
      <c r="M59" s="85"/>
      <c r="N59" s="85"/>
      <c r="O59" s="85"/>
      <c r="P59" s="85"/>
      <c r="Q59" s="85"/>
      <c r="R59" s="85"/>
      <c r="S59" s="100"/>
      <c r="T59" s="100"/>
      <c r="U59" s="85"/>
      <c r="V59" s="85"/>
      <c r="W59" s="85"/>
      <c r="X59" s="85"/>
      <c r="Z59" t="str">
        <v>46211/D|BR1/05</v>
      </c>
      <c r="AA59" t="str">
        <v>STM-A40_0121</v>
      </c>
      <c r="AB59" t="str">
        <v>SAP</v>
      </c>
      <c r="AC59" t="str">
        <v>LS_18</v>
      </c>
      <c r="AD59" t="str">
        <v>L18_S09</v>
      </c>
      <c r="AE59" t="str">
        <v>034 / 019</v>
      </c>
      <c r="AF59" t="str">
        <v>No</v>
      </c>
      <c r="AG59" t="str">
        <v/>
      </c>
      <c r="AH59" t="str">
        <v>TRUCK SALAH</v>
      </c>
      <c r="AJ59" t="str">
        <f ca="1"/>
        <v>Pile_01</v>
      </c>
      <c r="AP59" t="str">
        <v>STM-A40_0068</v>
      </c>
      <c r="AQ59" t="str">
        <v>STM-A40_0069</v>
      </c>
      <c r="AR59" t="str">
        <v>STM-A40_0087</v>
      </c>
      <c r="AS59" t="str">
        <v>STM-A40_0097</v>
      </c>
      <c r="AT59" t="str">
        <v>STM-A40_0132</v>
      </c>
      <c r="AU59" t="str">
        <v>STM-A40_0133</v>
      </c>
      <c r="AV59" t="str">
        <v>STM-A40_0136</v>
      </c>
      <c r="AW59" t="str">
        <v/>
      </c>
    </row>
    <row r="60" spans="4:49" ht="15.75" x14ac:dyDescent="0.25">
      <c r="D60" s="3">
        <v>6</v>
      </c>
      <c r="F60" s="16" cm="1">
        <f t="array" ref="F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60" s="31" cm="1">
        <f t="array" ref="G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6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0" s="32" t="str">
        <f>TEXT(HLG_01[[#This Row],[Batch]],"000")&amp; " / " &amp; TEXT(HLG_01[[#This Row],[Rit]],"000")</f>
        <v>034 / 001</v>
      </c>
      <c r="J60" s="34" t="s">
        <v>2620</v>
      </c>
      <c r="K60" s="38" t="s">
        <v>2606</v>
      </c>
      <c r="L60" s="35"/>
      <c r="M60" s="85"/>
      <c r="N60" s="85"/>
      <c r="O60" s="85"/>
      <c r="P60" s="85"/>
      <c r="Q60" s="85"/>
      <c r="R60" s="85"/>
      <c r="S60" s="100"/>
      <c r="T60" s="100"/>
      <c r="U60" s="85"/>
      <c r="V60" s="85"/>
      <c r="W60" s="85"/>
      <c r="X60" s="85"/>
      <c r="Z60" t="str">
        <v>46211/D|BR1/05</v>
      </c>
      <c r="AA60" t="str">
        <v>STM-A40_0105</v>
      </c>
      <c r="AB60" t="str">
        <v>SAP</v>
      </c>
      <c r="AC60" t="str">
        <v>LS_18</v>
      </c>
      <c r="AD60" t="str">
        <v>L18_S09</v>
      </c>
      <c r="AE60" t="str">
        <v>034 / 020</v>
      </c>
      <c r="AF60" t="str">
        <v>Yes</v>
      </c>
      <c r="AG60" t="str">
        <v/>
      </c>
      <c r="AH60" t="str">
        <v/>
      </c>
      <c r="AJ60" t="str">
        <f ca="1"/>
        <v>Pile_01</v>
      </c>
      <c r="AP60" t="str">
        <v>STM-A40_0098</v>
      </c>
      <c r="AQ60" t="str">
        <v>STM-A40_0105</v>
      </c>
      <c r="AR60" t="str">
        <v>STM-A40_0106</v>
      </c>
      <c r="AS60" t="str">
        <v>STM-A40_0107</v>
      </c>
      <c r="AT60" t="str">
        <v>STM-A40_0119</v>
      </c>
      <c r="AU60" t="str">
        <v>STM-A40_0121</v>
      </c>
      <c r="AV60" t="str">
        <v>STM-A40_0136</v>
      </c>
      <c r="AW60" t="str">
        <v/>
      </c>
    </row>
    <row r="61" spans="4:49" ht="15.75" x14ac:dyDescent="0.25">
      <c r="D61" s="3">
        <v>6</v>
      </c>
      <c r="F61" s="16" cm="1">
        <f t="array" ref="F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61" s="31" cm="1">
        <f t="array" ref="G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6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1" s="32" t="str">
        <f>TEXT(HLG_01[[#This Row],[Batch]],"000")&amp; " / " &amp; TEXT(HLG_01[[#This Row],[Rit]],"000")</f>
        <v>034 / 002</v>
      </c>
      <c r="J61" s="34" t="s">
        <v>2620</v>
      </c>
      <c r="K61" s="38" t="s">
        <v>2602</v>
      </c>
      <c r="L61" s="35"/>
      <c r="M61" s="85"/>
      <c r="N61" s="85"/>
      <c r="O61" s="85"/>
      <c r="P61" s="85"/>
      <c r="Q61" s="85"/>
      <c r="R61" s="85"/>
      <c r="S61" s="100"/>
      <c r="T61" s="100"/>
      <c r="U61" s="85"/>
      <c r="V61" s="85"/>
      <c r="W61" s="85"/>
      <c r="X61" s="85"/>
      <c r="Z61" t="str">
        <v>46211/D|BR1/02</v>
      </c>
      <c r="AA61" t="str">
        <v>STM-A40_0087</v>
      </c>
      <c r="AB61" t="str">
        <v>SAP</v>
      </c>
      <c r="AC61" t="str">
        <v>LS_18</v>
      </c>
      <c r="AD61" t="str">
        <v>L18_S09</v>
      </c>
      <c r="AE61" t="str">
        <v>035 / 001</v>
      </c>
      <c r="AF61" t="str">
        <v>No</v>
      </c>
      <c r="AG61" t="str">
        <v/>
      </c>
      <c r="AH61" t="str">
        <v/>
      </c>
      <c r="AJ61" t="str">
        <f ca="1"/>
        <v>Pile_01</v>
      </c>
      <c r="AP61" t="str">
        <v>STM-A40_0098</v>
      </c>
      <c r="AQ61" t="str">
        <v>STM-A40_0105</v>
      </c>
      <c r="AR61" t="str">
        <v>STM-A40_0106</v>
      </c>
      <c r="AS61" t="str">
        <v>STM-A40_0107</v>
      </c>
      <c r="AT61" t="str">
        <v>STM-A40_0119</v>
      </c>
      <c r="AU61" t="str">
        <v>STM-A40_0121</v>
      </c>
      <c r="AV61" t="str">
        <v>STM-A40_0136</v>
      </c>
      <c r="AW61" t="str">
        <v/>
      </c>
    </row>
    <row r="62" spans="4:49" ht="15.75" x14ac:dyDescent="0.25">
      <c r="D62" s="3">
        <v>6</v>
      </c>
      <c r="F62" s="16" cm="1">
        <f t="array" ref="F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62" s="31" cm="1">
        <f t="array" ref="G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6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2" s="32" t="str">
        <f>TEXT(HLG_01[[#This Row],[Batch]],"000")&amp; " / " &amp; TEXT(HLG_01[[#This Row],[Rit]],"000")</f>
        <v>034 / 003</v>
      </c>
      <c r="J62" s="34" t="s">
        <v>2620</v>
      </c>
      <c r="K62" s="38" t="s">
        <v>2603</v>
      </c>
      <c r="L62" s="35"/>
      <c r="M62" s="85"/>
      <c r="N62" s="85"/>
      <c r="O62" s="85"/>
      <c r="P62" s="85"/>
      <c r="Q62" s="85"/>
      <c r="R62" s="85"/>
      <c r="S62" s="100"/>
      <c r="T62" s="100"/>
      <c r="U62" s="85"/>
      <c r="V62" s="85"/>
      <c r="W62" s="85"/>
      <c r="X62" s="85"/>
      <c r="Z62" t="str">
        <v>46211/D|BR1/02</v>
      </c>
      <c r="AA62" t="str">
        <v>STM-A40_0069</v>
      </c>
      <c r="AB62" t="str">
        <v>SAP</v>
      </c>
      <c r="AC62" t="str">
        <v>LS_18</v>
      </c>
      <c r="AD62" t="str">
        <v>L18_S09</v>
      </c>
      <c r="AE62" t="str">
        <v>035 / 002</v>
      </c>
      <c r="AF62" t="str">
        <v>Yes</v>
      </c>
      <c r="AG62" t="str">
        <v/>
      </c>
      <c r="AH62" t="str">
        <v/>
      </c>
      <c r="AJ62" t="str">
        <f ca="1"/>
        <v>Pile_01</v>
      </c>
      <c r="AP62" t="str">
        <v>STM-A40_0098</v>
      </c>
      <c r="AQ62" t="str">
        <v>STM-A40_0105</v>
      </c>
      <c r="AR62" t="str">
        <v>STM-A40_0106</v>
      </c>
      <c r="AS62" t="str">
        <v>STM-A40_0107</v>
      </c>
      <c r="AT62" t="str">
        <v>STM-A40_0119</v>
      </c>
      <c r="AU62" t="str">
        <v>STM-A40_0121</v>
      </c>
      <c r="AV62" t="str">
        <v>STM-A40_0136</v>
      </c>
      <c r="AW62" t="str">
        <v/>
      </c>
    </row>
    <row r="63" spans="4:49" ht="15.75" x14ac:dyDescent="0.25">
      <c r="D63" s="3">
        <v>6</v>
      </c>
      <c r="F63" s="16" cm="1">
        <f t="array" ref="F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63" s="31" cm="1">
        <f t="array" ref="G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6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3" s="32" t="str">
        <f>TEXT(HLG_01[[#This Row],[Batch]],"000")&amp; " / " &amp; TEXT(HLG_01[[#This Row],[Rit]],"000")</f>
        <v>034 / 004</v>
      </c>
      <c r="J63" s="34" t="s">
        <v>2620</v>
      </c>
      <c r="K63" s="38" t="s">
        <v>2595</v>
      </c>
      <c r="L63" s="35"/>
      <c r="M63" s="85"/>
      <c r="N63" s="85"/>
      <c r="O63" s="85"/>
      <c r="P63" s="85"/>
      <c r="Q63" s="85"/>
      <c r="R63" s="85"/>
      <c r="S63" s="100"/>
      <c r="T63" s="100"/>
      <c r="U63" s="85"/>
      <c r="V63" s="85"/>
      <c r="W63" s="85"/>
      <c r="X63" s="85"/>
      <c r="Z63" t="str">
        <v>46211/D|BR1/02</v>
      </c>
      <c r="AA63" t="str">
        <v>STM-A40_0133</v>
      </c>
      <c r="AB63" t="str">
        <v>SAP</v>
      </c>
      <c r="AC63" t="str">
        <v>LS_18</v>
      </c>
      <c r="AD63" t="str">
        <v>L18_S09</v>
      </c>
      <c r="AE63" t="str">
        <v>035 / 003</v>
      </c>
      <c r="AF63" t="str">
        <v>No</v>
      </c>
      <c r="AG63" t="str">
        <v/>
      </c>
      <c r="AH63" t="str">
        <v/>
      </c>
      <c r="AJ63" t="str">
        <f ca="1"/>
        <v>Pile_01</v>
      </c>
      <c r="AP63" t="str">
        <v>STM-A40_0098</v>
      </c>
      <c r="AQ63" t="str">
        <v>STM-A40_0105</v>
      </c>
      <c r="AR63" t="str">
        <v>STM-A40_0106</v>
      </c>
      <c r="AS63" t="str">
        <v>STM-A40_0107</v>
      </c>
      <c r="AT63" t="str">
        <v>STM-A40_0119</v>
      </c>
      <c r="AU63" t="str">
        <v>STM-A40_0121</v>
      </c>
      <c r="AV63" t="str">
        <v>STM-A40_0136</v>
      </c>
      <c r="AW63" t="str">
        <v/>
      </c>
    </row>
    <row r="64" spans="4:49" ht="15.75" x14ac:dyDescent="0.25">
      <c r="D64" s="3">
        <v>6</v>
      </c>
      <c r="F64" s="16" cm="1">
        <f t="array" ref="F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64" s="31" cm="1">
        <f t="array" ref="G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6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4" s="32" t="str">
        <f>TEXT(HLG_01[[#This Row],[Batch]],"000")&amp; " / " &amp; TEXT(HLG_01[[#This Row],[Rit]],"000")</f>
        <v>034 / 005</v>
      </c>
      <c r="J64" s="34" t="s">
        <v>2620</v>
      </c>
      <c r="K64" s="38" t="s">
        <v>2604</v>
      </c>
      <c r="L64" s="35"/>
      <c r="M64" s="85"/>
      <c r="N64" s="85"/>
      <c r="O64" s="85"/>
      <c r="P64" s="85"/>
      <c r="Q64" s="85"/>
      <c r="R64" s="85"/>
      <c r="S64" s="100"/>
      <c r="T64" s="100"/>
      <c r="U64" s="85"/>
      <c r="V64" s="85"/>
      <c r="W64" s="85"/>
      <c r="X64" s="85"/>
      <c r="Z64" t="str">
        <v>46211/D|BR1/02</v>
      </c>
      <c r="AA64" t="str">
        <v>STM-A40_0097</v>
      </c>
      <c r="AB64" t="str">
        <v>SAP</v>
      </c>
      <c r="AC64" t="str">
        <v>LS_18</v>
      </c>
      <c r="AD64" t="str">
        <v>L18_S09</v>
      </c>
      <c r="AE64" t="str">
        <v>035 / 004</v>
      </c>
      <c r="AF64" t="str">
        <v>Yes</v>
      </c>
      <c r="AG64" t="str">
        <v/>
      </c>
      <c r="AH64" t="str">
        <v/>
      </c>
      <c r="AJ64" t="str">
        <f ca="1"/>
        <v>Pile_01</v>
      </c>
      <c r="AP64" t="str">
        <v>STM-A40_0098</v>
      </c>
      <c r="AQ64" t="str">
        <v>STM-A40_0105</v>
      </c>
      <c r="AR64" t="str">
        <v>STM-A40_0106</v>
      </c>
      <c r="AS64" t="str">
        <v>STM-A40_0107</v>
      </c>
      <c r="AT64" t="str">
        <v>STM-A40_0119</v>
      </c>
      <c r="AU64" t="str">
        <v>STM-A40_0121</v>
      </c>
      <c r="AV64" t="str">
        <v>STM-A40_0136</v>
      </c>
      <c r="AW64" t="str">
        <v/>
      </c>
    </row>
    <row r="65" spans="4:49" ht="15.75" x14ac:dyDescent="0.25">
      <c r="D65" s="3">
        <v>6</v>
      </c>
      <c r="F65" s="16" cm="1">
        <f t="array" ref="F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65" s="31" cm="1">
        <f t="array" ref="G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6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5" s="32" t="str">
        <f>TEXT(HLG_01[[#This Row],[Batch]],"000")&amp; " / " &amp; TEXT(HLG_01[[#This Row],[Rit]],"000")</f>
        <v>034 / 006</v>
      </c>
      <c r="J65" s="34" t="s">
        <v>2620</v>
      </c>
      <c r="K65" s="38" t="s">
        <v>2602</v>
      </c>
      <c r="L65" s="35"/>
      <c r="M65" s="85"/>
      <c r="N65" s="85"/>
      <c r="O65" s="85"/>
      <c r="P65" s="85"/>
      <c r="Q65" s="85"/>
      <c r="R65" s="85"/>
      <c r="S65" s="100"/>
      <c r="T65" s="100"/>
      <c r="U65" s="85"/>
      <c r="V65" s="85"/>
      <c r="W65" s="85"/>
      <c r="X65" s="85"/>
      <c r="Z65" t="str">
        <v>46211/D|BR1/02</v>
      </c>
      <c r="AA65" t="str">
        <v>STM-A40_0136</v>
      </c>
      <c r="AB65" t="str">
        <v>SAP</v>
      </c>
      <c r="AC65" t="str">
        <v>LS_18</v>
      </c>
      <c r="AD65" t="str">
        <v>L18_S09</v>
      </c>
      <c r="AE65" t="str">
        <v>035 / 005</v>
      </c>
      <c r="AF65" t="str">
        <v>No</v>
      </c>
      <c r="AG65" t="str">
        <v/>
      </c>
      <c r="AH65" t="str">
        <v/>
      </c>
      <c r="AJ65" t="str">
        <f ca="1"/>
        <v>Pile_01</v>
      </c>
      <c r="AP65" t="str">
        <v>STM-A40_0098</v>
      </c>
      <c r="AQ65" t="str">
        <v>STM-A40_0105</v>
      </c>
      <c r="AR65" t="str">
        <v>STM-A40_0106</v>
      </c>
      <c r="AS65" t="str">
        <v>STM-A40_0107</v>
      </c>
      <c r="AT65" t="str">
        <v>STM-A40_0119</v>
      </c>
      <c r="AU65" t="str">
        <v>STM-A40_0121</v>
      </c>
      <c r="AV65" t="str">
        <v>STM-A40_0136</v>
      </c>
      <c r="AW65" t="str">
        <v/>
      </c>
    </row>
    <row r="66" spans="4:49" ht="15.75" x14ac:dyDescent="0.25">
      <c r="D66" s="3">
        <v>6</v>
      </c>
      <c r="F66" s="16" cm="1">
        <f t="array" ref="F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66" s="31" cm="1">
        <f t="array" ref="G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6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6" s="32" t="str">
        <f>TEXT(HLG_01[[#This Row],[Batch]],"000")&amp; " / " &amp; TEXT(HLG_01[[#This Row],[Rit]],"000")</f>
        <v>034 / 007</v>
      </c>
      <c r="J66" s="34" t="s">
        <v>2620</v>
      </c>
      <c r="K66" s="38" t="s">
        <v>2606</v>
      </c>
      <c r="L66" s="35"/>
      <c r="M66" s="85"/>
      <c r="N66" s="85"/>
      <c r="O66" s="85"/>
      <c r="P66" s="85"/>
      <c r="Q66" s="85"/>
      <c r="R66" s="85"/>
      <c r="S66" s="100"/>
      <c r="T66" s="100"/>
      <c r="U66" s="85"/>
      <c r="V66" s="85"/>
      <c r="W66" s="85"/>
      <c r="X66" s="85"/>
      <c r="Z66" t="str">
        <v>46211/D|BR1/02</v>
      </c>
      <c r="AA66" t="str">
        <v>STM-A40_0087</v>
      </c>
      <c r="AB66" t="str">
        <v>SAP</v>
      </c>
      <c r="AC66" t="str">
        <v>LS_18</v>
      </c>
      <c r="AD66" t="str">
        <v>L18_S09</v>
      </c>
      <c r="AE66" t="str">
        <v>035 / 006</v>
      </c>
      <c r="AF66" t="str">
        <v>Yes</v>
      </c>
      <c r="AG66" t="str">
        <v/>
      </c>
      <c r="AH66" t="str">
        <v/>
      </c>
      <c r="AJ66" t="str">
        <f ca="1"/>
        <v>Pile_01</v>
      </c>
      <c r="AP66" t="str">
        <v>STM-A40_0098</v>
      </c>
      <c r="AQ66" t="str">
        <v>STM-A40_0105</v>
      </c>
      <c r="AR66" t="str">
        <v>STM-A40_0106</v>
      </c>
      <c r="AS66" t="str">
        <v>STM-A40_0107</v>
      </c>
      <c r="AT66" t="str">
        <v>STM-A40_0119</v>
      </c>
      <c r="AU66" t="str">
        <v>STM-A40_0121</v>
      </c>
      <c r="AV66" t="str">
        <v>STM-A40_0136</v>
      </c>
      <c r="AW66" t="str">
        <v/>
      </c>
    </row>
    <row r="67" spans="4:49" ht="15.75" x14ac:dyDescent="0.25">
      <c r="D67" s="3">
        <v>6</v>
      </c>
      <c r="F67" s="16" cm="1">
        <f t="array" ref="F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67" s="31" cm="1">
        <f t="array" ref="G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6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7" s="32" t="str">
        <f>TEXT(HLG_01[[#This Row],[Batch]],"000")&amp; " / " &amp; TEXT(HLG_01[[#This Row],[Rit]],"000")</f>
        <v>034 / 008</v>
      </c>
      <c r="J67" s="34" t="s">
        <v>2620</v>
      </c>
      <c r="K67" s="38" t="s">
        <v>2603</v>
      </c>
      <c r="L67" s="35"/>
      <c r="M67" s="85"/>
      <c r="N67" s="85"/>
      <c r="O67" s="85"/>
      <c r="P67" s="85"/>
      <c r="Q67" s="85"/>
      <c r="R67" s="85"/>
      <c r="S67" s="100"/>
      <c r="T67" s="100"/>
      <c r="U67" s="85"/>
      <c r="V67" s="85"/>
      <c r="W67" s="85"/>
      <c r="X67" s="85"/>
      <c r="Z67" t="str">
        <v>46211/D|BR1/02</v>
      </c>
      <c r="AA67" t="str">
        <v>STM-A40_0069</v>
      </c>
      <c r="AB67" t="str">
        <v>SAP</v>
      </c>
      <c r="AC67" t="str">
        <v>LS_18</v>
      </c>
      <c r="AD67" t="str">
        <v>L18_S09</v>
      </c>
      <c r="AE67" t="str">
        <v>035 / 007</v>
      </c>
      <c r="AF67" t="str">
        <v>No</v>
      </c>
      <c r="AG67" t="str">
        <v/>
      </c>
      <c r="AH67" t="str">
        <v/>
      </c>
      <c r="AJ67" t="str">
        <f ca="1"/>
        <v>Pile_01</v>
      </c>
      <c r="AP67" t="str">
        <v>STM-A40_0098</v>
      </c>
      <c r="AQ67" t="str">
        <v>STM-A40_0105</v>
      </c>
      <c r="AR67" t="str">
        <v>STM-A40_0106</v>
      </c>
      <c r="AS67" t="str">
        <v>STM-A40_0107</v>
      </c>
      <c r="AT67" t="str">
        <v>STM-A40_0119</v>
      </c>
      <c r="AU67" t="str">
        <v>STM-A40_0121</v>
      </c>
      <c r="AV67" t="str">
        <v>STM-A40_0136</v>
      </c>
      <c r="AW67" t="str">
        <v/>
      </c>
    </row>
    <row r="68" spans="4:49" ht="15.75" x14ac:dyDescent="0.25">
      <c r="D68" s="3">
        <v>6</v>
      </c>
      <c r="F68" s="16" cm="1">
        <f t="array" ref="F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68" s="31" cm="1">
        <f t="array" ref="G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6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8" s="32" t="str">
        <f>TEXT(HLG_01[[#This Row],[Batch]],"000")&amp; " / " &amp; TEXT(HLG_01[[#This Row],[Rit]],"000")</f>
        <v>034 / 009</v>
      </c>
      <c r="J68" s="34" t="s">
        <v>2620</v>
      </c>
      <c r="K68" s="38" t="s">
        <v>2595</v>
      </c>
      <c r="L68" s="35"/>
      <c r="M68" s="85"/>
      <c r="N68" s="85"/>
      <c r="O68" s="85"/>
      <c r="P68" s="85"/>
      <c r="Q68" s="85"/>
      <c r="R68" s="85"/>
      <c r="S68" s="100"/>
      <c r="T68" s="100"/>
      <c r="U68" s="85"/>
      <c r="V68" s="85"/>
      <c r="W68" s="85"/>
      <c r="X68" s="85"/>
      <c r="Z68" t="str">
        <v>46211/D|BR1/02</v>
      </c>
      <c r="AA68" t="str">
        <v>STM-A40_0097</v>
      </c>
      <c r="AB68" t="str">
        <v>SAP</v>
      </c>
      <c r="AC68" t="str">
        <v>LS_18</v>
      </c>
      <c r="AD68" t="str">
        <v>L18_S09</v>
      </c>
      <c r="AE68" t="str">
        <v>035 / 008</v>
      </c>
      <c r="AF68" t="str">
        <v>Yes</v>
      </c>
      <c r="AG68" t="str">
        <v/>
      </c>
      <c r="AH68" t="str">
        <v/>
      </c>
      <c r="AJ68" t="str">
        <f ca="1"/>
        <v>Pile_01</v>
      </c>
      <c r="AP68" t="str">
        <v>STM-A40_0098</v>
      </c>
      <c r="AQ68" t="str">
        <v>STM-A40_0105</v>
      </c>
      <c r="AR68" t="str">
        <v>STM-A40_0106</v>
      </c>
      <c r="AS68" t="str">
        <v>STM-A40_0107</v>
      </c>
      <c r="AT68" t="str">
        <v>STM-A40_0119</v>
      </c>
      <c r="AU68" t="str">
        <v>STM-A40_0121</v>
      </c>
      <c r="AV68" t="str">
        <v>STM-A40_0136</v>
      </c>
      <c r="AW68" t="str">
        <v/>
      </c>
    </row>
    <row r="69" spans="4:49" ht="15.75" x14ac:dyDescent="0.25">
      <c r="D69" s="3">
        <v>6</v>
      </c>
      <c r="F69" s="16" cm="1">
        <f t="array" ref="F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69" s="31" cm="1">
        <f t="array" ref="G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6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9" s="32" t="str">
        <f>TEXT(HLG_01[[#This Row],[Batch]],"000")&amp; " / " &amp; TEXT(HLG_01[[#This Row],[Rit]],"000")</f>
        <v>034 / 010</v>
      </c>
      <c r="J69" s="34" t="s">
        <v>2620</v>
      </c>
      <c r="K69" s="38" t="s">
        <v>2604</v>
      </c>
      <c r="L69" s="35"/>
      <c r="M69" s="85"/>
      <c r="N69" s="85"/>
      <c r="O69" s="85"/>
      <c r="P69" s="85"/>
      <c r="Q69" s="85"/>
      <c r="R69" s="85"/>
      <c r="S69" s="100"/>
      <c r="T69" s="100"/>
      <c r="U69" s="85"/>
      <c r="V69" s="85"/>
      <c r="W69" s="85"/>
      <c r="X69" s="85"/>
      <c r="Z69" t="str">
        <v>46211/D|BR1/02</v>
      </c>
      <c r="AA69" t="str">
        <v>STM-A40_0132</v>
      </c>
      <c r="AB69" t="str">
        <v>SAP</v>
      </c>
      <c r="AC69" t="str">
        <v>LS_18</v>
      </c>
      <c r="AD69" t="str">
        <v>L18_S09</v>
      </c>
      <c r="AE69" t="str">
        <v>035 / 009</v>
      </c>
      <c r="AF69" t="str">
        <v>No</v>
      </c>
      <c r="AG69" t="str">
        <v/>
      </c>
      <c r="AH69" t="str">
        <v/>
      </c>
      <c r="AJ69" t="str">
        <f ca="1"/>
        <v>Pile_01</v>
      </c>
      <c r="AP69" t="str">
        <v>STM-A40_0098</v>
      </c>
      <c r="AQ69" t="str">
        <v>STM-A40_0105</v>
      </c>
      <c r="AR69" t="str">
        <v>STM-A40_0106</v>
      </c>
      <c r="AS69" t="str">
        <v>STM-A40_0107</v>
      </c>
      <c r="AT69" t="str">
        <v>STM-A40_0119</v>
      </c>
      <c r="AU69" t="str">
        <v>STM-A40_0121</v>
      </c>
      <c r="AV69" t="str">
        <v>STM-A40_0136</v>
      </c>
      <c r="AW69" t="str">
        <v/>
      </c>
    </row>
    <row r="70" spans="4:49" ht="15.75" x14ac:dyDescent="0.25">
      <c r="D70" s="3">
        <v>6</v>
      </c>
      <c r="F70" s="16" cm="1">
        <f t="array" ref="F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70" s="31" cm="1">
        <f t="array" ref="G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7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70" s="32" t="str">
        <f>TEXT(HLG_01[[#This Row],[Batch]],"000")&amp; " / " &amp; TEXT(HLG_01[[#This Row],[Rit]],"000")</f>
        <v>034 / 011</v>
      </c>
      <c r="J70" s="34" t="s">
        <v>2620</v>
      </c>
      <c r="K70" s="38" t="s">
        <v>2606</v>
      </c>
      <c r="L70" s="35"/>
      <c r="M70" s="85"/>
      <c r="N70" s="85"/>
      <c r="O70" s="85"/>
      <c r="P70" s="85"/>
      <c r="Q70" s="85"/>
      <c r="R70" s="85"/>
      <c r="S70" s="100"/>
      <c r="T70" s="100"/>
      <c r="U70" s="85"/>
      <c r="V70" s="85"/>
      <c r="W70" s="85"/>
      <c r="X70" s="85"/>
      <c r="Z70" t="str">
        <v>46211/D|BR1/02</v>
      </c>
      <c r="AA70" t="str">
        <v>STM-A40_0133</v>
      </c>
      <c r="AB70" t="str">
        <v>SAP</v>
      </c>
      <c r="AC70" t="str">
        <v>LS_18</v>
      </c>
      <c r="AD70" t="str">
        <v>L18_S09</v>
      </c>
      <c r="AE70" t="str">
        <v>035 / 010</v>
      </c>
      <c r="AF70" t="str">
        <v>Yes</v>
      </c>
      <c r="AG70" t="str">
        <v/>
      </c>
      <c r="AH70" t="str">
        <v/>
      </c>
      <c r="AJ70" t="str">
        <f ca="1"/>
        <v>Pile_01</v>
      </c>
      <c r="AP70" t="str">
        <v>STM-A40_0098</v>
      </c>
      <c r="AQ70" t="str">
        <v>STM-A40_0105</v>
      </c>
      <c r="AR70" t="str">
        <v>STM-A40_0106</v>
      </c>
      <c r="AS70" t="str">
        <v>STM-A40_0107</v>
      </c>
      <c r="AT70" t="str">
        <v>STM-A40_0119</v>
      </c>
      <c r="AU70" t="str">
        <v>STM-A40_0121</v>
      </c>
      <c r="AV70" t="str">
        <v>STM-A40_0136</v>
      </c>
      <c r="AW70" t="str">
        <v/>
      </c>
    </row>
    <row r="71" spans="4:49" ht="15.75" x14ac:dyDescent="0.25">
      <c r="D71" s="3">
        <v>6</v>
      </c>
      <c r="F71" s="16" cm="1">
        <f t="array" ref="F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71" s="31" cm="1">
        <f t="array" ref="G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7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71" s="32" t="str">
        <f>TEXT(HLG_01[[#This Row],[Batch]],"000")&amp; " / " &amp; TEXT(HLG_01[[#This Row],[Rit]],"000")</f>
        <v>034 / 012</v>
      </c>
      <c r="J71" s="34" t="s">
        <v>2620</v>
      </c>
      <c r="K71" s="38" t="s">
        <v>2602</v>
      </c>
      <c r="L71" s="35"/>
      <c r="M71" s="85"/>
      <c r="N71" s="85"/>
      <c r="O71" s="85"/>
      <c r="P71" s="85"/>
      <c r="Q71" s="85"/>
      <c r="R71" s="85"/>
      <c r="S71" s="100"/>
      <c r="T71" s="100"/>
      <c r="U71" s="85"/>
      <c r="V71" s="85"/>
      <c r="W71" s="85"/>
      <c r="X71" s="85"/>
      <c r="Z71" t="str">
        <v>46211/D|BR1/02</v>
      </c>
      <c r="AA71" t="str">
        <v>STM-A40_0136</v>
      </c>
      <c r="AB71" t="str">
        <v>SAP</v>
      </c>
      <c r="AC71" t="str">
        <v>LS_18</v>
      </c>
      <c r="AD71" t="str">
        <v>L18_S09</v>
      </c>
      <c r="AE71" t="str">
        <v>035 / 011</v>
      </c>
      <c r="AF71" t="str">
        <v>No</v>
      </c>
      <c r="AG71" t="str">
        <v/>
      </c>
      <c r="AH71" t="str">
        <v/>
      </c>
      <c r="AJ71" t="str">
        <f ca="1"/>
        <v>Pile_01</v>
      </c>
      <c r="AP71" t="str">
        <v>STM-A40_0098</v>
      </c>
      <c r="AQ71" t="str">
        <v>STM-A40_0105</v>
      </c>
      <c r="AR71" t="str">
        <v>STM-A40_0106</v>
      </c>
      <c r="AS71" t="str">
        <v>STM-A40_0107</v>
      </c>
      <c r="AT71" t="str">
        <v>STM-A40_0119</v>
      </c>
      <c r="AU71" t="str">
        <v>STM-A40_0121</v>
      </c>
      <c r="AV71" t="str">
        <v>STM-A40_0136</v>
      </c>
      <c r="AW71" t="str">
        <v/>
      </c>
    </row>
    <row r="72" spans="4:49" ht="15.75" x14ac:dyDescent="0.25">
      <c r="D72" s="3">
        <v>6</v>
      </c>
      <c r="F72" s="16" cm="1">
        <f t="array" ref="F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72" s="31" cm="1">
        <f t="array" ref="G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7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72" s="32" t="str">
        <f>TEXT(HLG_01[[#This Row],[Batch]],"000")&amp; " / " &amp; TEXT(HLG_01[[#This Row],[Rit]],"000")</f>
        <v>034 / 013</v>
      </c>
      <c r="J72" s="34" t="s">
        <v>2620</v>
      </c>
      <c r="K72" s="38" t="s">
        <v>2603</v>
      </c>
      <c r="L72" s="35"/>
      <c r="M72" s="85"/>
      <c r="N72" s="85"/>
      <c r="O72" s="85"/>
      <c r="P72" s="85"/>
      <c r="Q72" s="85"/>
      <c r="R72" s="85"/>
      <c r="S72" s="100"/>
      <c r="T72" s="100"/>
      <c r="U72" s="85"/>
      <c r="V72" s="85"/>
      <c r="W72" s="85"/>
      <c r="X72" s="85"/>
      <c r="Z72" t="str">
        <v>46211/D|BR1/02</v>
      </c>
      <c r="AA72" t="str">
        <v>STM-A40_0069</v>
      </c>
      <c r="AB72" t="str">
        <v>SAP</v>
      </c>
      <c r="AC72" t="str">
        <v>LS_18</v>
      </c>
      <c r="AD72" t="str">
        <v>L18_S09</v>
      </c>
      <c r="AE72" t="str">
        <v>035 / 012</v>
      </c>
      <c r="AF72" t="str">
        <v>Yes</v>
      </c>
      <c r="AG72" t="str">
        <v/>
      </c>
      <c r="AH72" t="str">
        <v/>
      </c>
      <c r="AJ72" t="str">
        <f ca="1"/>
        <v>Pile_01</v>
      </c>
      <c r="AP72" t="str">
        <v>STM-A40_0098</v>
      </c>
      <c r="AQ72" t="str">
        <v>STM-A40_0105</v>
      </c>
      <c r="AR72" t="str">
        <v>STM-A40_0106</v>
      </c>
      <c r="AS72" t="str">
        <v>STM-A40_0107</v>
      </c>
      <c r="AT72" t="str">
        <v>STM-A40_0119</v>
      </c>
      <c r="AU72" t="str">
        <v>STM-A40_0121</v>
      </c>
      <c r="AV72" t="str">
        <v>STM-A40_0136</v>
      </c>
      <c r="AW72" t="str">
        <v/>
      </c>
    </row>
    <row r="73" spans="4:49" ht="15.75" x14ac:dyDescent="0.25">
      <c r="D73" s="3">
        <v>6</v>
      </c>
      <c r="F73" s="16" cm="1">
        <f t="array" ref="F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73" s="31" cm="1">
        <f t="array" ref="G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7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73" s="32" t="str">
        <f>TEXT(HLG_01[[#This Row],[Batch]],"000")&amp; " / " &amp; TEXT(HLG_01[[#This Row],[Rit]],"000")</f>
        <v>034 / 014</v>
      </c>
      <c r="J73" s="34" t="s">
        <v>2620</v>
      </c>
      <c r="K73" s="38" t="s">
        <v>2595</v>
      </c>
      <c r="L73" s="35"/>
      <c r="M73" s="85"/>
      <c r="N73" s="85"/>
      <c r="O73" s="85"/>
      <c r="P73" s="85"/>
      <c r="Q73" s="85"/>
      <c r="R73" s="85"/>
      <c r="S73" s="100"/>
      <c r="T73" s="100"/>
      <c r="U73" s="85"/>
      <c r="V73" s="85"/>
      <c r="W73" s="85"/>
      <c r="X73" s="85"/>
      <c r="Z73" t="str">
        <v>46211/D|BR1/02</v>
      </c>
      <c r="AA73" t="str">
        <v>STM-A40_0087</v>
      </c>
      <c r="AB73" t="str">
        <v>SAP</v>
      </c>
      <c r="AC73" t="str">
        <v>LS_18</v>
      </c>
      <c r="AD73" t="str">
        <v>L18_S09</v>
      </c>
      <c r="AE73" t="str">
        <v>035 / 013</v>
      </c>
      <c r="AF73" t="str">
        <v>No</v>
      </c>
      <c r="AG73" t="str">
        <v/>
      </c>
      <c r="AH73" t="str">
        <v/>
      </c>
      <c r="AJ73" t="str">
        <f ca="1"/>
        <v>Pile_01</v>
      </c>
      <c r="AP73" t="str">
        <v>STM-A40_0098</v>
      </c>
      <c r="AQ73" t="str">
        <v>STM-A40_0105</v>
      </c>
      <c r="AR73" t="str">
        <v>STM-A40_0106</v>
      </c>
      <c r="AS73" t="str">
        <v>STM-A40_0107</v>
      </c>
      <c r="AT73" t="str">
        <v>STM-A40_0119</v>
      </c>
      <c r="AU73" t="str">
        <v>STM-A40_0121</v>
      </c>
      <c r="AV73" t="str">
        <v>STM-A40_0136</v>
      </c>
      <c r="AW73" t="str">
        <v/>
      </c>
    </row>
    <row r="74" spans="4:49" ht="15.75" x14ac:dyDescent="0.25">
      <c r="D74" s="3">
        <v>6</v>
      </c>
      <c r="F74" s="16" cm="1">
        <f t="array" ref="F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74" s="31" cm="1">
        <f t="array" ref="G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7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74" s="32" t="str">
        <f>TEXT(HLG_01[[#This Row],[Batch]],"000")&amp; " / " &amp; TEXT(HLG_01[[#This Row],[Rit]],"000")</f>
        <v>034 / 015</v>
      </c>
      <c r="J74" s="34" t="s">
        <v>2620</v>
      </c>
      <c r="K74" s="38" t="s">
        <v>2606</v>
      </c>
      <c r="L74" s="35"/>
      <c r="M74" s="85"/>
      <c r="N74" s="85"/>
      <c r="O74" s="85"/>
      <c r="P74" s="85"/>
      <c r="Q74" s="85"/>
      <c r="R74" s="85"/>
      <c r="S74" s="100"/>
      <c r="T74" s="100"/>
      <c r="U74" s="85"/>
      <c r="V74" s="85"/>
      <c r="W74" s="85"/>
      <c r="X74" s="85"/>
      <c r="Z74" t="str">
        <v>46211/D|BR1/02</v>
      </c>
      <c r="AA74" t="str">
        <v>STM-A40_0132</v>
      </c>
      <c r="AB74" t="str">
        <v>SAP</v>
      </c>
      <c r="AC74" t="str">
        <v>LS_18</v>
      </c>
      <c r="AD74" t="str">
        <v>L18_S09</v>
      </c>
      <c r="AE74" t="str">
        <v>035 / 014</v>
      </c>
      <c r="AF74" t="str">
        <v>Yes</v>
      </c>
      <c r="AG74" t="str">
        <v/>
      </c>
      <c r="AH74" t="str">
        <v/>
      </c>
      <c r="AJ74" t="str">
        <f ca="1"/>
        <v>Pile_01</v>
      </c>
      <c r="AP74" t="str">
        <v>STM-A40_0098</v>
      </c>
      <c r="AQ74" t="str">
        <v>STM-A40_0105</v>
      </c>
      <c r="AR74" t="str">
        <v>STM-A40_0106</v>
      </c>
      <c r="AS74" t="str">
        <v>STM-A40_0107</v>
      </c>
      <c r="AT74" t="str">
        <v>STM-A40_0119</v>
      </c>
      <c r="AU74" t="str">
        <v>STM-A40_0121</v>
      </c>
      <c r="AV74" t="str">
        <v>STM-A40_0136</v>
      </c>
      <c r="AW74" t="str">
        <v/>
      </c>
    </row>
    <row r="75" spans="4:49" ht="15.75" x14ac:dyDescent="0.25">
      <c r="D75" s="3">
        <v>6</v>
      </c>
      <c r="F75" s="16" cm="1">
        <f t="array" ref="F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75" s="31" cm="1">
        <f t="array" ref="G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7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75" s="32" t="str">
        <f>TEXT(HLG_01[[#This Row],[Batch]],"000")&amp; " / " &amp; TEXT(HLG_01[[#This Row],[Rit]],"000")</f>
        <v>034 / 016</v>
      </c>
      <c r="J75" s="34" t="s">
        <v>2623</v>
      </c>
      <c r="K75" s="38" t="s">
        <v>2606</v>
      </c>
      <c r="L75" s="35"/>
      <c r="M75" s="85"/>
      <c r="N75" s="85"/>
      <c r="O75" s="85"/>
      <c r="P75" s="85"/>
      <c r="Q75" s="85"/>
      <c r="R75" s="85"/>
      <c r="S75" s="100"/>
      <c r="T75" s="100"/>
      <c r="U75" s="85"/>
      <c r="V75" s="85"/>
      <c r="W75" s="85"/>
      <c r="X75" s="85"/>
      <c r="Z75" t="str">
        <v>46211/D|BR1/02</v>
      </c>
      <c r="AA75" t="str">
        <v>STM-A40_0097</v>
      </c>
      <c r="AB75" t="str">
        <v>SAP</v>
      </c>
      <c r="AC75" t="str">
        <v>LS_18</v>
      </c>
      <c r="AD75" t="str">
        <v>L18_S09</v>
      </c>
      <c r="AE75" t="str">
        <v>035 / 015</v>
      </c>
      <c r="AF75" t="str">
        <v>No</v>
      </c>
      <c r="AG75" t="str">
        <v/>
      </c>
      <c r="AH75" t="str">
        <v/>
      </c>
      <c r="AJ75" t="str">
        <f ca="1"/>
        <v>Pile_01</v>
      </c>
      <c r="AP75" t="str">
        <v>STM-A40_0098</v>
      </c>
      <c r="AQ75" t="str">
        <v>STM-A40_0105</v>
      </c>
      <c r="AR75" t="str">
        <v>STM-A40_0106</v>
      </c>
      <c r="AS75" t="str">
        <v>STM-A40_0107</v>
      </c>
      <c r="AT75" t="str">
        <v>STM-A40_0119</v>
      </c>
      <c r="AU75" t="str">
        <v>STM-A40_0136</v>
      </c>
      <c r="AV75" t="str">
        <v/>
      </c>
      <c r="AW75" t="str">
        <v/>
      </c>
    </row>
    <row r="76" spans="4:49" ht="15.75" x14ac:dyDescent="0.25">
      <c r="D76" s="3">
        <v>6</v>
      </c>
      <c r="F76" s="16" cm="1">
        <f t="array" ref="F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76" s="31" cm="1">
        <f t="array" ref="G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7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76" s="32" t="str">
        <f>TEXT(HLG_01[[#This Row],[Batch]],"000")&amp; " / " &amp; TEXT(HLG_01[[#This Row],[Rit]],"000")</f>
        <v>034 / 017</v>
      </c>
      <c r="J76" s="34" t="s">
        <v>2623</v>
      </c>
      <c r="K76" s="38" t="s">
        <v>2607</v>
      </c>
      <c r="L76" s="35"/>
      <c r="M76" s="85"/>
      <c r="N76" s="85"/>
      <c r="O76" s="85"/>
      <c r="P76" s="85"/>
      <c r="Q76" s="85"/>
      <c r="R76" s="85"/>
      <c r="S76" s="100"/>
      <c r="T76" s="100"/>
      <c r="U76" s="85"/>
      <c r="V76" s="85"/>
      <c r="W76" s="85"/>
      <c r="X76" s="85"/>
      <c r="Z76" t="str">
        <v>46211/D|BR1/02</v>
      </c>
      <c r="AA76" t="str">
        <v>STM-A40_0133</v>
      </c>
      <c r="AB76" t="str">
        <v>SAP</v>
      </c>
      <c r="AC76" t="str">
        <v>LS_18</v>
      </c>
      <c r="AD76" t="str">
        <v>L18_S09</v>
      </c>
      <c r="AE76" t="str">
        <v>035 / 016</v>
      </c>
      <c r="AF76" t="str">
        <v>Yes</v>
      </c>
      <c r="AG76" t="str">
        <v/>
      </c>
      <c r="AH76" t="str">
        <v/>
      </c>
      <c r="AJ76" t="str">
        <f ca="1"/>
        <v>Pile_01</v>
      </c>
      <c r="AP76" t="str">
        <v>STM-A40_0098</v>
      </c>
      <c r="AQ76" t="str">
        <v>STM-A40_0105</v>
      </c>
      <c r="AR76" t="str">
        <v>STM-A40_0106</v>
      </c>
      <c r="AS76" t="str">
        <v>STM-A40_0107</v>
      </c>
      <c r="AT76" t="str">
        <v>STM-A40_0119</v>
      </c>
      <c r="AU76" t="str">
        <v>STM-A40_0136</v>
      </c>
      <c r="AV76" t="str">
        <v/>
      </c>
      <c r="AW76" t="str">
        <v/>
      </c>
    </row>
    <row r="77" spans="4:49" ht="15.75" x14ac:dyDescent="0.25">
      <c r="D77" s="3">
        <v>6</v>
      </c>
      <c r="F77" s="16" cm="1">
        <f t="array" ref="F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77" s="31" cm="1">
        <f t="array" ref="G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7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77" s="32" t="str">
        <f>TEXT(HLG_01[[#This Row],[Batch]],"000")&amp; " / " &amp; TEXT(HLG_01[[#This Row],[Rit]],"000")</f>
        <v>034 / 018</v>
      </c>
      <c r="J77" s="34" t="s">
        <v>2623</v>
      </c>
      <c r="K77" s="38" t="s">
        <v>2606</v>
      </c>
      <c r="L77" s="35"/>
      <c r="M77" s="85"/>
      <c r="N77" s="85"/>
      <c r="O77" s="85"/>
      <c r="P77" s="85"/>
      <c r="Q77" s="85"/>
      <c r="R77" s="85"/>
      <c r="S77" s="100"/>
      <c r="T77" s="100"/>
      <c r="U77" s="85"/>
      <c r="V77" s="85"/>
      <c r="W77" s="85"/>
      <c r="X77" s="85"/>
      <c r="Z77" t="str">
        <v>46211/D|BR1/02</v>
      </c>
      <c r="AA77" t="str">
        <v>STM-A40_0136</v>
      </c>
      <c r="AB77" t="str">
        <v>SAP</v>
      </c>
      <c r="AC77" t="str">
        <v>LS_18</v>
      </c>
      <c r="AD77" t="str">
        <v>L18_S09</v>
      </c>
      <c r="AE77" t="str">
        <v>035 / 017</v>
      </c>
      <c r="AF77" t="str">
        <v>No</v>
      </c>
      <c r="AG77" t="str">
        <v/>
      </c>
      <c r="AH77" t="str">
        <v/>
      </c>
      <c r="AJ77" t="str">
        <f ca="1"/>
        <v>Pile_01</v>
      </c>
      <c r="AP77" t="str">
        <v>STM-A40_0098</v>
      </c>
      <c r="AQ77" t="str">
        <v>STM-A40_0105</v>
      </c>
      <c r="AR77" t="str">
        <v>STM-A40_0106</v>
      </c>
      <c r="AS77" t="str">
        <v>STM-A40_0107</v>
      </c>
      <c r="AT77" t="str">
        <v>STM-A40_0119</v>
      </c>
      <c r="AU77" t="str">
        <v>STM-A40_0136</v>
      </c>
      <c r="AV77" t="str">
        <v/>
      </c>
      <c r="AW77" t="str">
        <v/>
      </c>
    </row>
    <row r="78" spans="4:49" ht="15.75" x14ac:dyDescent="0.25">
      <c r="D78" s="3" t="e">
        <v>#N/A</v>
      </c>
      <c r="F78" s="16" cm="1">
        <f t="array" ref="F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78" s="31" cm="1">
        <f t="array" ref="G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7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78" s="32" t="str">
        <f>TEXT(HLG_01[[#This Row],[Batch]],"000")&amp; " / " &amp; TEXT(HLG_01[[#This Row],[Rit]],"000")</f>
        <v>034 / 019</v>
      </c>
      <c r="J78" s="34" t="s">
        <v>2623</v>
      </c>
      <c r="K78" s="38" t="s">
        <v>2602</v>
      </c>
      <c r="L78" s="35"/>
      <c r="M78" s="85"/>
      <c r="N78" s="85"/>
      <c r="O78" s="85"/>
      <c r="P78" s="85"/>
      <c r="Q78" s="85"/>
      <c r="R78" s="85"/>
      <c r="S78" s="100"/>
      <c r="T78" s="100"/>
      <c r="U78" s="85"/>
      <c r="V78" s="85"/>
      <c r="W78" s="85"/>
      <c r="X78" s="85"/>
      <c r="Z78" t="str">
        <v>46211/D|BR1/02</v>
      </c>
      <c r="AA78" t="str">
        <v>STM-A40_0087</v>
      </c>
      <c r="AB78" t="str">
        <v>SAP</v>
      </c>
      <c r="AC78" t="str">
        <v>LS_18</v>
      </c>
      <c r="AD78" t="str">
        <v>L18_S09</v>
      </c>
      <c r="AE78" t="str">
        <v>035 / 018</v>
      </c>
      <c r="AF78" t="str">
        <v>Yes</v>
      </c>
      <c r="AG78" t="str">
        <v/>
      </c>
      <c r="AH78" t="str">
        <v/>
      </c>
      <c r="AJ78" t="str">
        <f ca="1"/>
        <v>Pile_01</v>
      </c>
      <c r="AP78" t="str">
        <v>STM-A40_0098</v>
      </c>
      <c r="AQ78" t="str">
        <v>STM-A40_0105</v>
      </c>
      <c r="AR78" t="str">
        <v>STM-A40_0106</v>
      </c>
      <c r="AS78" t="str">
        <v>STM-A40_0107</v>
      </c>
      <c r="AT78" t="str">
        <v>STM-A40_0119</v>
      </c>
      <c r="AU78" t="str">
        <v>STM-A40_0136</v>
      </c>
      <c r="AV78" t="str">
        <v/>
      </c>
      <c r="AW78" t="str">
        <v/>
      </c>
    </row>
    <row r="79" spans="4:49" ht="15.75" x14ac:dyDescent="0.25">
      <c r="D79" s="3">
        <v>6</v>
      </c>
      <c r="F79" s="16" cm="1">
        <f t="array" ref="F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34</v>
      </c>
      <c r="G79" s="31" cm="1">
        <f t="array" ref="G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7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79" s="32" t="str">
        <f>TEXT(HLG_01[[#This Row],[Batch]],"000")&amp; " / " &amp; TEXT(HLG_01[[#This Row],[Rit]],"000")</f>
        <v>034 / 020</v>
      </c>
      <c r="J79" s="34" t="s">
        <v>2623</v>
      </c>
      <c r="K79" s="38" t="s">
        <v>2604</v>
      </c>
      <c r="L79" s="35"/>
      <c r="M79" s="85"/>
      <c r="N79" s="85"/>
      <c r="O79" s="85"/>
      <c r="P79" s="85"/>
      <c r="Q79" s="85"/>
      <c r="R79" s="85"/>
      <c r="S79" s="100"/>
      <c r="T79" s="100"/>
      <c r="U79" s="85"/>
      <c r="V79" s="85"/>
      <c r="W79" s="85"/>
      <c r="X79" s="85"/>
      <c r="Z79" t="str">
        <v>46211/D|BR1/02</v>
      </c>
      <c r="AA79" t="str">
        <v>STM-A40_0069</v>
      </c>
      <c r="AB79" t="str">
        <v>SAP</v>
      </c>
      <c r="AC79" t="str">
        <v>LS_18</v>
      </c>
      <c r="AD79" t="str">
        <v>L18_S09</v>
      </c>
      <c r="AE79" t="str">
        <v>035 / 019</v>
      </c>
      <c r="AF79" t="str">
        <v>No</v>
      </c>
      <c r="AG79" t="str">
        <v/>
      </c>
      <c r="AH79" t="str">
        <v/>
      </c>
      <c r="AJ79" t="str">
        <f ca="1"/>
        <v>Pile_01</v>
      </c>
      <c r="AP79" t="str">
        <v>STM-A40_0098</v>
      </c>
      <c r="AQ79" t="str">
        <v>STM-A40_0105</v>
      </c>
      <c r="AR79" t="str">
        <v>STM-A40_0106</v>
      </c>
      <c r="AS79" t="str">
        <v>STM-A40_0107</v>
      </c>
      <c r="AT79" t="str">
        <v>STM-A40_0119</v>
      </c>
      <c r="AU79" t="str">
        <v>STM-A40_0136</v>
      </c>
      <c r="AV79" t="str">
        <v/>
      </c>
      <c r="AW79" t="str">
        <v/>
      </c>
    </row>
    <row r="80" spans="4:49" ht="15.75" x14ac:dyDescent="0.25">
      <c r="D80" s="3">
        <v>7</v>
      </c>
      <c r="F80" s="16" cm="1">
        <f t="array" ref="F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80" s="31" cm="1">
        <f t="array" ref="G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8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80" s="32" t="str">
        <f>TEXT(HLG_01[[#This Row],[Batch]],"000")&amp; " / " &amp; TEXT(HLG_01[[#This Row],[Rit]],"000")</f>
        <v>035 / 001</v>
      </c>
      <c r="J80" s="34" t="s">
        <v>2621</v>
      </c>
      <c r="K80" s="38" t="s">
        <v>2608</v>
      </c>
      <c r="L80" s="35"/>
      <c r="M80" s="85"/>
      <c r="N80" s="85"/>
      <c r="O80" s="85"/>
      <c r="P80" s="85"/>
      <c r="Q80" s="85"/>
      <c r="R80" s="85"/>
      <c r="S80" s="100"/>
      <c r="T80" s="100"/>
      <c r="U80" s="85"/>
      <c r="V80" s="85"/>
      <c r="W80" s="85"/>
      <c r="X80" s="85"/>
      <c r="Z80" t="str">
        <v>46211/D|BR1/02</v>
      </c>
      <c r="AA80" t="str">
        <v>STM-A40_0132</v>
      </c>
      <c r="AB80" t="str">
        <v>SAP</v>
      </c>
      <c r="AC80" t="str">
        <v>LS_18</v>
      </c>
      <c r="AD80" t="str">
        <v>L18_S09</v>
      </c>
      <c r="AE80" t="str">
        <v>035 / 020</v>
      </c>
      <c r="AF80" t="str">
        <v>Yes</v>
      </c>
      <c r="AG80" t="str">
        <v/>
      </c>
      <c r="AH80" t="str">
        <v/>
      </c>
      <c r="AJ80" t="str">
        <f ca="1"/>
        <v>Pile_01</v>
      </c>
      <c r="AP80" t="str">
        <v>STM-A40_0068</v>
      </c>
      <c r="AQ80" t="str">
        <v>STM-A40_0069</v>
      </c>
      <c r="AR80" t="str">
        <v>STM-A40_0087</v>
      </c>
      <c r="AS80" t="str">
        <v>STM-A40_0097</v>
      </c>
      <c r="AT80" t="str">
        <v>STM-A40_0132</v>
      </c>
      <c r="AU80" t="str">
        <v>STM-A40_0133</v>
      </c>
      <c r="AV80" t="str">
        <v>STM-A40_0136</v>
      </c>
      <c r="AW80" t="str">
        <v/>
      </c>
    </row>
    <row r="81" spans="4:49" ht="15.75" x14ac:dyDescent="0.25">
      <c r="D81" s="3">
        <v>7</v>
      </c>
      <c r="F81" s="16" cm="1">
        <f t="array" ref="F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81" s="31" cm="1">
        <f t="array" ref="G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8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81" s="32" t="str">
        <f>TEXT(HLG_01[[#This Row],[Batch]],"000")&amp; " / " &amp; TEXT(HLG_01[[#This Row],[Rit]],"000")</f>
        <v>035 / 002</v>
      </c>
      <c r="J81" s="34" t="s">
        <v>2621</v>
      </c>
      <c r="K81" s="38" t="s">
        <v>2613</v>
      </c>
      <c r="L81" s="35"/>
      <c r="M81" s="85"/>
      <c r="N81" s="85"/>
      <c r="O81" s="85"/>
      <c r="P81" s="85"/>
      <c r="Q81" s="85"/>
      <c r="R81" s="85"/>
      <c r="S81" s="100"/>
      <c r="T81" s="100"/>
      <c r="U81" s="85"/>
      <c r="V81" s="85"/>
      <c r="W81" s="85"/>
      <c r="X81" s="85"/>
      <c r="Z81" t="str">
        <v>46211/D|BR1/01</v>
      </c>
      <c r="AA81" t="str">
        <v>STM-A40_0119</v>
      </c>
      <c r="AB81" t="str">
        <v>SAP</v>
      </c>
      <c r="AC81" t="str">
        <v>LS_18</v>
      </c>
      <c r="AD81" t="str">
        <v>L18_S09</v>
      </c>
      <c r="AE81" t="str">
        <v>036 / 001</v>
      </c>
      <c r="AF81" t="str">
        <v>No</v>
      </c>
      <c r="AG81" t="str">
        <v/>
      </c>
      <c r="AH81" t="str">
        <v/>
      </c>
      <c r="AJ81" t="str">
        <f ca="1"/>
        <v>Pile_01</v>
      </c>
      <c r="AP81" t="str">
        <v>STM-A40_0068</v>
      </c>
      <c r="AQ81" t="str">
        <v>STM-A40_0069</v>
      </c>
      <c r="AR81" t="str">
        <v>STM-A40_0087</v>
      </c>
      <c r="AS81" t="str">
        <v>STM-A40_0097</v>
      </c>
      <c r="AT81" t="str">
        <v>STM-A40_0132</v>
      </c>
      <c r="AU81" t="str">
        <v>STM-A40_0133</v>
      </c>
      <c r="AV81" t="str">
        <v>STM-A40_0136</v>
      </c>
      <c r="AW81" t="str">
        <v/>
      </c>
    </row>
    <row r="82" spans="4:49" ht="15.75" x14ac:dyDescent="0.25">
      <c r="D82" s="3">
        <v>7</v>
      </c>
      <c r="F82" s="16" cm="1">
        <f t="array" ref="F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82" s="31" cm="1">
        <f t="array" ref="G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8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82" s="32" t="str">
        <f>TEXT(HLG_01[[#This Row],[Batch]],"000")&amp; " / " &amp; TEXT(HLG_01[[#This Row],[Rit]],"000")</f>
        <v>035 / 003</v>
      </c>
      <c r="J82" s="34" t="s">
        <v>2621</v>
      </c>
      <c r="K82" s="38" t="s">
        <v>2609</v>
      </c>
      <c r="L82" s="35"/>
      <c r="M82" s="85"/>
      <c r="N82" s="85"/>
      <c r="O82" s="85"/>
      <c r="P82" s="85"/>
      <c r="Q82" s="85"/>
      <c r="R82" s="85"/>
      <c r="S82" s="100"/>
      <c r="T82" s="100"/>
      <c r="U82" s="85"/>
      <c r="V82" s="85"/>
      <c r="W82" s="85"/>
      <c r="X82" s="85"/>
      <c r="Z82" t="str">
        <v>46211/D|BR1/04</v>
      </c>
      <c r="AA82" t="str">
        <v>STM-A40_0121</v>
      </c>
      <c r="AB82" t="str">
        <v>SAP</v>
      </c>
      <c r="AC82" t="str">
        <v>LS_18</v>
      </c>
      <c r="AD82" t="str">
        <v>L18_S09</v>
      </c>
      <c r="AE82" t="str">
        <v>036 / 002</v>
      </c>
      <c r="AF82" t="str">
        <v>Yes</v>
      </c>
      <c r="AG82" t="str">
        <v/>
      </c>
      <c r="AH82" t="str">
        <v>TRUCK SALAH</v>
      </c>
      <c r="AJ82" t="str">
        <f ca="1"/>
        <v>Pile_01</v>
      </c>
      <c r="AP82" t="str">
        <v>STM-A40_0068</v>
      </c>
      <c r="AQ82" t="str">
        <v>STM-A40_0069</v>
      </c>
      <c r="AR82" t="str">
        <v>STM-A40_0087</v>
      </c>
      <c r="AS82" t="str">
        <v>STM-A40_0097</v>
      </c>
      <c r="AT82" t="str">
        <v>STM-A40_0132</v>
      </c>
      <c r="AU82" t="str">
        <v>STM-A40_0133</v>
      </c>
      <c r="AV82" t="str">
        <v>STM-A40_0136</v>
      </c>
      <c r="AW82" t="str">
        <v/>
      </c>
    </row>
    <row r="83" spans="4:49" ht="15.75" x14ac:dyDescent="0.25">
      <c r="D83" s="3">
        <v>7</v>
      </c>
      <c r="F83" s="16" cm="1">
        <f t="array" ref="F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83" s="31" cm="1">
        <f t="array" ref="G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8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83" s="32" t="str">
        <f>TEXT(HLG_01[[#This Row],[Batch]],"000")&amp; " / " &amp; TEXT(HLG_01[[#This Row],[Rit]],"000")</f>
        <v>035 / 004</v>
      </c>
      <c r="J83" s="34" t="s">
        <v>2621</v>
      </c>
      <c r="K83" s="38" t="s">
        <v>2611</v>
      </c>
      <c r="L83" s="35"/>
      <c r="M83" s="85"/>
      <c r="N83" s="85"/>
      <c r="O83" s="85"/>
      <c r="P83" s="85"/>
      <c r="Q83" s="85"/>
      <c r="R83" s="85"/>
      <c r="S83" s="100"/>
      <c r="T83" s="100"/>
      <c r="U83" s="85"/>
      <c r="V83" s="85"/>
      <c r="W83" s="85"/>
      <c r="X83" s="85"/>
      <c r="Z83" t="str">
        <v>46211/D|BR1/04</v>
      </c>
      <c r="AA83" t="str">
        <v>STM-A40_0105</v>
      </c>
      <c r="AB83" t="str">
        <v>SAP</v>
      </c>
      <c r="AC83" t="str">
        <v>LS_18</v>
      </c>
      <c r="AD83" t="str">
        <v>L18_S09</v>
      </c>
      <c r="AE83" t="str">
        <v>036 / 003</v>
      </c>
      <c r="AF83" t="str">
        <v>No</v>
      </c>
      <c r="AG83" t="str">
        <v/>
      </c>
      <c r="AH83" t="str">
        <v/>
      </c>
      <c r="AJ83" t="str">
        <f ca="1"/>
        <v>Pile_01</v>
      </c>
      <c r="AP83" t="str">
        <v>STM-A40_0068</v>
      </c>
      <c r="AQ83" t="str">
        <v>STM-A40_0069</v>
      </c>
      <c r="AR83" t="str">
        <v>STM-A40_0087</v>
      </c>
      <c r="AS83" t="str">
        <v>STM-A40_0097</v>
      </c>
      <c r="AT83" t="str">
        <v>STM-A40_0132</v>
      </c>
      <c r="AU83" t="str">
        <v>STM-A40_0133</v>
      </c>
      <c r="AV83" t="str">
        <v>STM-A40_0136</v>
      </c>
      <c r="AW83" t="str">
        <v/>
      </c>
    </row>
    <row r="84" spans="4:49" ht="15.75" x14ac:dyDescent="0.25">
      <c r="D84" s="3">
        <v>7</v>
      </c>
      <c r="F84" s="16" cm="1">
        <f t="array" ref="F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84" s="31" cm="1">
        <f t="array" ref="G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8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84" s="32" t="str">
        <f>TEXT(HLG_01[[#This Row],[Batch]],"000")&amp; " / " &amp; TEXT(HLG_01[[#This Row],[Rit]],"000")</f>
        <v>035 / 005</v>
      </c>
      <c r="J84" s="34" t="s">
        <v>2621</v>
      </c>
      <c r="K84" s="38" t="s">
        <v>2605</v>
      </c>
      <c r="L84" s="35"/>
      <c r="M84" s="85"/>
      <c r="N84" s="85"/>
      <c r="O84" s="85"/>
      <c r="P84" s="85"/>
      <c r="Q84" s="85"/>
      <c r="R84" s="85"/>
      <c r="S84" s="100"/>
      <c r="T84" s="100"/>
      <c r="U84" s="85"/>
      <c r="V84" s="85"/>
      <c r="W84" s="85"/>
      <c r="X84" s="85"/>
      <c r="Z84" t="str">
        <v>46211/D|BR1/04</v>
      </c>
      <c r="AA84" t="str">
        <v>STM-A40_0106</v>
      </c>
      <c r="AB84" t="str">
        <v>SAP</v>
      </c>
      <c r="AC84" t="str">
        <v>LS_18</v>
      </c>
      <c r="AD84" t="str">
        <v>L18_S09</v>
      </c>
      <c r="AE84" t="str">
        <v>036 / 004</v>
      </c>
      <c r="AF84" t="str">
        <v>Yes</v>
      </c>
      <c r="AG84" t="str">
        <v/>
      </c>
      <c r="AH84" t="str">
        <v/>
      </c>
      <c r="AJ84" t="str">
        <f ca="1"/>
        <v>Pile_01</v>
      </c>
      <c r="AP84" t="str">
        <v>STM-A40_0068</v>
      </c>
      <c r="AQ84" t="str">
        <v>STM-A40_0069</v>
      </c>
      <c r="AR84" t="str">
        <v>STM-A40_0087</v>
      </c>
      <c r="AS84" t="str">
        <v>STM-A40_0097</v>
      </c>
      <c r="AT84" t="str">
        <v>STM-A40_0132</v>
      </c>
      <c r="AU84" t="str">
        <v>STM-A40_0133</v>
      </c>
      <c r="AV84" t="str">
        <v>STM-A40_0136</v>
      </c>
      <c r="AW84" t="str">
        <v/>
      </c>
    </row>
    <row r="85" spans="4:49" ht="15.75" x14ac:dyDescent="0.25">
      <c r="D85" s="3">
        <v>7</v>
      </c>
      <c r="F85" s="16" cm="1">
        <f t="array" ref="F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85" s="31" cm="1">
        <f t="array" ref="G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8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85" s="32" t="str">
        <f>TEXT(HLG_01[[#This Row],[Batch]],"000")&amp; " / " &amp; TEXT(HLG_01[[#This Row],[Rit]],"000")</f>
        <v>035 / 006</v>
      </c>
      <c r="J85" s="34" t="s">
        <v>2621</v>
      </c>
      <c r="K85" s="38" t="s">
        <v>2608</v>
      </c>
      <c r="L85" s="35"/>
      <c r="M85" s="85"/>
      <c r="N85" s="85"/>
      <c r="O85" s="85"/>
      <c r="P85" s="85"/>
      <c r="Q85" s="85"/>
      <c r="R85" s="85"/>
      <c r="S85" s="100"/>
      <c r="T85" s="100"/>
      <c r="U85" s="85"/>
      <c r="V85" s="85"/>
      <c r="W85" s="85"/>
      <c r="X85" s="85"/>
      <c r="Z85" t="str">
        <v>46211/D|BR1/04</v>
      </c>
      <c r="AA85" t="str">
        <v>STM-A40_0098</v>
      </c>
      <c r="AB85" t="str">
        <v>SAP</v>
      </c>
      <c r="AC85" t="str">
        <v>LS_18</v>
      </c>
      <c r="AD85" t="str">
        <v>L18_S09</v>
      </c>
      <c r="AE85" t="str">
        <v>036 / 005</v>
      </c>
      <c r="AF85" t="str">
        <v>No</v>
      </c>
      <c r="AG85" t="str">
        <v/>
      </c>
      <c r="AH85" t="str">
        <v/>
      </c>
      <c r="AJ85" t="str">
        <f ca="1"/>
        <v>Pile_01</v>
      </c>
      <c r="AP85" t="str">
        <v>STM-A40_0068</v>
      </c>
      <c r="AQ85" t="str">
        <v>STM-A40_0069</v>
      </c>
      <c r="AR85" t="str">
        <v>STM-A40_0087</v>
      </c>
      <c r="AS85" t="str">
        <v>STM-A40_0097</v>
      </c>
      <c r="AT85" t="str">
        <v>STM-A40_0132</v>
      </c>
      <c r="AU85" t="str">
        <v>STM-A40_0133</v>
      </c>
      <c r="AV85" t="str">
        <v>STM-A40_0136</v>
      </c>
      <c r="AW85" t="str">
        <v/>
      </c>
    </row>
    <row r="86" spans="4:49" ht="15.75" x14ac:dyDescent="0.25">
      <c r="D86" s="3">
        <v>7</v>
      </c>
      <c r="F86" s="16" cm="1">
        <f t="array" ref="F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86" s="31" cm="1">
        <f t="array" ref="G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8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86" s="32" t="str">
        <f>TEXT(HLG_01[[#This Row],[Batch]],"000")&amp; " / " &amp; TEXT(HLG_01[[#This Row],[Rit]],"000")</f>
        <v>035 / 007</v>
      </c>
      <c r="J86" s="34" t="s">
        <v>2621</v>
      </c>
      <c r="K86" s="38" t="s">
        <v>2613</v>
      </c>
      <c r="L86" s="35"/>
      <c r="M86" s="85"/>
      <c r="N86" s="85"/>
      <c r="O86" s="85"/>
      <c r="P86" s="85"/>
      <c r="Q86" s="85"/>
      <c r="R86" s="85"/>
      <c r="S86" s="100"/>
      <c r="T86" s="100"/>
      <c r="U86" s="85"/>
      <c r="V86" s="85"/>
      <c r="W86" s="85"/>
      <c r="X86" s="85"/>
      <c r="Z86" t="str">
        <v>46211/D|BR1/04</v>
      </c>
      <c r="AA86" t="str">
        <v>STM-A40_0136</v>
      </c>
      <c r="AB86" t="str">
        <v>SAP</v>
      </c>
      <c r="AC86" t="str">
        <v>LS_18</v>
      </c>
      <c r="AD86" t="str">
        <v>L18_S09</v>
      </c>
      <c r="AE86" t="str">
        <v>036 / 006</v>
      </c>
      <c r="AF86" t="str">
        <v>Yes</v>
      </c>
      <c r="AG86" t="str">
        <v/>
      </c>
      <c r="AH86" t="str">
        <v/>
      </c>
      <c r="AJ86" t="str">
        <f ca="1"/>
        <v>Pile_01</v>
      </c>
      <c r="AP86" t="str">
        <v>STM-A40_0068</v>
      </c>
      <c r="AQ86" t="str">
        <v>STM-A40_0069</v>
      </c>
      <c r="AR86" t="str">
        <v>STM-A40_0087</v>
      </c>
      <c r="AS86" t="str">
        <v>STM-A40_0097</v>
      </c>
      <c r="AT86" t="str">
        <v>STM-A40_0132</v>
      </c>
      <c r="AU86" t="str">
        <v>STM-A40_0133</v>
      </c>
      <c r="AV86" t="str">
        <v>STM-A40_0136</v>
      </c>
      <c r="AW86" t="str">
        <v/>
      </c>
    </row>
    <row r="87" spans="4:49" ht="15.75" x14ac:dyDescent="0.25">
      <c r="D87" s="3">
        <v>7</v>
      </c>
      <c r="F87" s="16" cm="1">
        <f t="array" ref="F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87" s="31" cm="1">
        <f t="array" ref="G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8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87" s="32" t="str">
        <f>TEXT(HLG_01[[#This Row],[Batch]],"000")&amp; " / " &amp; TEXT(HLG_01[[#This Row],[Rit]],"000")</f>
        <v>035 / 008</v>
      </c>
      <c r="J87" s="34" t="s">
        <v>2621</v>
      </c>
      <c r="K87" s="38" t="s">
        <v>2611</v>
      </c>
      <c r="L87" s="35"/>
      <c r="M87" s="85"/>
      <c r="N87" s="85"/>
      <c r="O87" s="85"/>
      <c r="P87" s="85"/>
      <c r="Q87" s="85"/>
      <c r="R87" s="85"/>
      <c r="S87" s="100"/>
      <c r="T87" s="100"/>
      <c r="U87" s="85"/>
      <c r="V87" s="85"/>
      <c r="W87" s="85"/>
      <c r="X87" s="85"/>
      <c r="Z87" t="str">
        <v>46211/D|BR1/04</v>
      </c>
      <c r="AA87" t="str">
        <v>STM-A40_0107</v>
      </c>
      <c r="AB87" t="str">
        <v>SAP</v>
      </c>
      <c r="AC87" t="str">
        <v>LS_18</v>
      </c>
      <c r="AD87" t="str">
        <v>L18_S09</v>
      </c>
      <c r="AE87" t="str">
        <v>036 / 007</v>
      </c>
      <c r="AF87" t="str">
        <v>No</v>
      </c>
      <c r="AG87" t="str">
        <v/>
      </c>
      <c r="AH87" t="str">
        <v/>
      </c>
      <c r="AJ87" t="str">
        <f ca="1"/>
        <v>Pile_01</v>
      </c>
      <c r="AP87" t="str">
        <v>STM-A40_0068</v>
      </c>
      <c r="AQ87" t="str">
        <v>STM-A40_0069</v>
      </c>
      <c r="AR87" t="str">
        <v>STM-A40_0087</v>
      </c>
      <c r="AS87" t="str">
        <v>STM-A40_0097</v>
      </c>
      <c r="AT87" t="str">
        <v>STM-A40_0132</v>
      </c>
      <c r="AU87" t="str">
        <v>STM-A40_0133</v>
      </c>
      <c r="AV87" t="str">
        <v>STM-A40_0136</v>
      </c>
      <c r="AW87" t="str">
        <v/>
      </c>
    </row>
    <row r="88" spans="4:49" ht="15.75" x14ac:dyDescent="0.25">
      <c r="D88" s="3">
        <v>7</v>
      </c>
      <c r="F88" s="16" cm="1">
        <f t="array" ref="F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88" s="31" cm="1">
        <f t="array" ref="G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8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88" s="32" t="str">
        <f>TEXT(HLG_01[[#This Row],[Batch]],"000")&amp; " / " &amp; TEXT(HLG_01[[#This Row],[Rit]],"000")</f>
        <v>035 / 009</v>
      </c>
      <c r="J88" s="34" t="s">
        <v>2621</v>
      </c>
      <c r="K88" s="38" t="s">
        <v>2610</v>
      </c>
      <c r="L88" s="35"/>
      <c r="M88" s="85"/>
      <c r="N88" s="85"/>
      <c r="O88" s="85"/>
      <c r="P88" s="85"/>
      <c r="Q88" s="85"/>
      <c r="R88" s="85"/>
      <c r="S88" s="100"/>
      <c r="T88" s="100"/>
      <c r="U88" s="85"/>
      <c r="V88" s="85"/>
      <c r="W88" s="85"/>
      <c r="X88" s="85"/>
      <c r="Z88" t="str">
        <v>46211/D|BR1/04</v>
      </c>
      <c r="AA88" t="str">
        <v>STM-A40_0121</v>
      </c>
      <c r="AB88" t="str">
        <v>SAP</v>
      </c>
      <c r="AC88" t="str">
        <v>LS_18</v>
      </c>
      <c r="AD88" t="str">
        <v>L18_S09</v>
      </c>
      <c r="AE88" t="str">
        <v>036 / 008</v>
      </c>
      <c r="AF88" t="str">
        <v>Yes</v>
      </c>
      <c r="AG88" t="str">
        <v/>
      </c>
      <c r="AH88" t="str">
        <v>TRUCK SALAH</v>
      </c>
      <c r="AJ88" t="str">
        <f ca="1"/>
        <v>Pile_01</v>
      </c>
      <c r="AP88" t="str">
        <v>STM-A40_0068</v>
      </c>
      <c r="AQ88" t="str">
        <v>STM-A40_0069</v>
      </c>
      <c r="AR88" t="str">
        <v>STM-A40_0087</v>
      </c>
      <c r="AS88" t="str">
        <v>STM-A40_0097</v>
      </c>
      <c r="AT88" t="str">
        <v>STM-A40_0132</v>
      </c>
      <c r="AU88" t="str">
        <v>STM-A40_0133</v>
      </c>
      <c r="AV88" t="str">
        <v>STM-A40_0136</v>
      </c>
      <c r="AW88" t="str">
        <v/>
      </c>
    </row>
    <row r="89" spans="4:49" ht="15.75" x14ac:dyDescent="0.25">
      <c r="D89" s="3">
        <v>7</v>
      </c>
      <c r="F89" s="16" cm="1">
        <f t="array" ref="F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89" s="31" cm="1">
        <f t="array" ref="G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8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89" s="32" t="str">
        <f>TEXT(HLG_01[[#This Row],[Batch]],"000")&amp; " / " &amp; TEXT(HLG_01[[#This Row],[Rit]],"000")</f>
        <v>035 / 010</v>
      </c>
      <c r="J89" s="34" t="s">
        <v>2621</v>
      </c>
      <c r="K89" s="38" t="s">
        <v>2609</v>
      </c>
      <c r="L89" s="35"/>
      <c r="M89" s="85"/>
      <c r="N89" s="85"/>
      <c r="O89" s="85"/>
      <c r="P89" s="85"/>
      <c r="Q89" s="85"/>
      <c r="R89" s="85"/>
      <c r="S89" s="100"/>
      <c r="T89" s="100"/>
      <c r="U89" s="85"/>
      <c r="V89" s="85"/>
      <c r="W89" s="85"/>
      <c r="X89" s="85"/>
      <c r="Z89" t="str">
        <v>46211/D|BR1/04</v>
      </c>
      <c r="AA89" t="str">
        <v>STM-A40_0119</v>
      </c>
      <c r="AB89" t="str">
        <v>SAP</v>
      </c>
      <c r="AC89" t="str">
        <v>LS_18</v>
      </c>
      <c r="AD89" t="str">
        <v>L18_S09</v>
      </c>
      <c r="AE89" t="str">
        <v>036 / 009</v>
      </c>
      <c r="AF89" t="str">
        <v>No</v>
      </c>
      <c r="AG89" t="str">
        <v/>
      </c>
      <c r="AH89" t="str">
        <v/>
      </c>
      <c r="AJ89" t="str">
        <f ca="1"/>
        <v>Pile_01</v>
      </c>
      <c r="AP89" t="str">
        <v>STM-A40_0068</v>
      </c>
      <c r="AQ89" t="str">
        <v>STM-A40_0069</v>
      </c>
      <c r="AR89" t="str">
        <v>STM-A40_0087</v>
      </c>
      <c r="AS89" t="str">
        <v>STM-A40_0097</v>
      </c>
      <c r="AT89" t="str">
        <v>STM-A40_0132</v>
      </c>
      <c r="AU89" t="str">
        <v>STM-A40_0133</v>
      </c>
      <c r="AV89" t="str">
        <v>STM-A40_0136</v>
      </c>
      <c r="AW89" t="str">
        <v/>
      </c>
    </row>
    <row r="90" spans="4:49" ht="15.75" x14ac:dyDescent="0.25">
      <c r="D90" s="3">
        <v>7</v>
      </c>
      <c r="F90" s="16" cm="1">
        <f t="array" ref="F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90" s="31" cm="1">
        <f t="array" ref="G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9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90" s="32" t="str">
        <f>TEXT(HLG_01[[#This Row],[Batch]],"000")&amp; " / " &amp; TEXT(HLG_01[[#This Row],[Rit]],"000")</f>
        <v>035 / 011</v>
      </c>
      <c r="J90" s="34" t="s">
        <v>2621</v>
      </c>
      <c r="K90" s="38" t="s">
        <v>2605</v>
      </c>
      <c r="L90" s="35"/>
      <c r="M90" s="85"/>
      <c r="N90" s="85"/>
      <c r="O90" s="85"/>
      <c r="P90" s="85"/>
      <c r="Q90" s="85"/>
      <c r="R90" s="85"/>
      <c r="S90" s="100"/>
      <c r="T90" s="100"/>
      <c r="U90" s="85"/>
      <c r="V90" s="85"/>
      <c r="W90" s="85"/>
      <c r="X90" s="85"/>
      <c r="Z90" t="str">
        <v>46211/D|BR1/04</v>
      </c>
      <c r="AA90" t="str">
        <v>STM-A40_0105</v>
      </c>
      <c r="AB90" t="str">
        <v>SAP</v>
      </c>
      <c r="AC90" t="str">
        <v>LS_18</v>
      </c>
      <c r="AD90" t="str">
        <v>L18_S09</v>
      </c>
      <c r="AE90" t="str">
        <v>036 / 010</v>
      </c>
      <c r="AF90" t="str">
        <v>Yes</v>
      </c>
      <c r="AG90" t="str">
        <v/>
      </c>
      <c r="AH90" t="str">
        <v/>
      </c>
      <c r="AJ90" t="str">
        <f ca="1"/>
        <v>Pile_01</v>
      </c>
      <c r="AP90" t="str">
        <v>STM-A40_0068</v>
      </c>
      <c r="AQ90" t="str">
        <v>STM-A40_0069</v>
      </c>
      <c r="AR90" t="str">
        <v>STM-A40_0087</v>
      </c>
      <c r="AS90" t="str">
        <v>STM-A40_0097</v>
      </c>
      <c r="AT90" t="str">
        <v>STM-A40_0132</v>
      </c>
      <c r="AU90" t="str">
        <v>STM-A40_0133</v>
      </c>
      <c r="AV90" t="str">
        <v>STM-A40_0136</v>
      </c>
      <c r="AW90" t="str">
        <v/>
      </c>
    </row>
    <row r="91" spans="4:49" ht="15.75" x14ac:dyDescent="0.25">
      <c r="D91" s="3">
        <v>7</v>
      </c>
      <c r="F91" s="16" cm="1">
        <f t="array" ref="F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91" s="31" cm="1">
        <f t="array" ref="G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9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91" s="32" t="str">
        <f>TEXT(HLG_01[[#This Row],[Batch]],"000")&amp; " / " &amp; TEXT(HLG_01[[#This Row],[Rit]],"000")</f>
        <v>035 / 012</v>
      </c>
      <c r="J91" s="34" t="s">
        <v>2621</v>
      </c>
      <c r="K91" s="38" t="s">
        <v>2613</v>
      </c>
      <c r="L91" s="35"/>
      <c r="M91" s="85"/>
      <c r="N91" s="85"/>
      <c r="O91" s="85"/>
      <c r="P91" s="85"/>
      <c r="Q91" s="85"/>
      <c r="R91" s="85"/>
      <c r="S91" s="100"/>
      <c r="T91" s="100"/>
      <c r="U91" s="85"/>
      <c r="V91" s="85"/>
      <c r="W91" s="85"/>
      <c r="X91" s="85"/>
      <c r="Z91" t="str">
        <v>46211/D|BR1/04</v>
      </c>
      <c r="AA91" t="str">
        <v>STM-A40_0106</v>
      </c>
      <c r="AB91" t="str">
        <v>SAP</v>
      </c>
      <c r="AC91" t="str">
        <v>LS_18</v>
      </c>
      <c r="AD91" t="str">
        <v>L18_S09</v>
      </c>
      <c r="AE91" t="str">
        <v>036 / 011</v>
      </c>
      <c r="AF91" t="str">
        <v>No</v>
      </c>
      <c r="AG91" t="str">
        <v/>
      </c>
      <c r="AH91" t="str">
        <v/>
      </c>
      <c r="AJ91" t="str">
        <f ca="1"/>
        <v>Pile_01</v>
      </c>
      <c r="AP91" t="str">
        <v>STM-A40_0068</v>
      </c>
      <c r="AQ91" t="str">
        <v>STM-A40_0069</v>
      </c>
      <c r="AR91" t="str">
        <v>STM-A40_0087</v>
      </c>
      <c r="AS91" t="str">
        <v>STM-A40_0097</v>
      </c>
      <c r="AT91" t="str">
        <v>STM-A40_0132</v>
      </c>
      <c r="AU91" t="str">
        <v>STM-A40_0133</v>
      </c>
      <c r="AV91" t="str">
        <v>STM-A40_0136</v>
      </c>
      <c r="AW91" t="str">
        <v/>
      </c>
    </row>
    <row r="92" spans="4:49" ht="15.75" x14ac:dyDescent="0.25">
      <c r="D92" s="3">
        <v>7</v>
      </c>
      <c r="F92" s="16" cm="1">
        <f t="array" ref="F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92" s="31" cm="1">
        <f t="array" ref="G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9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92" s="32" t="str">
        <f>TEXT(HLG_01[[#This Row],[Batch]],"000")&amp; " / " &amp; TEXT(HLG_01[[#This Row],[Rit]],"000")</f>
        <v>035 / 013</v>
      </c>
      <c r="J92" s="34" t="s">
        <v>2621</v>
      </c>
      <c r="K92" s="38" t="s">
        <v>2608</v>
      </c>
      <c r="L92" s="35"/>
      <c r="M92" s="85"/>
      <c r="N92" s="85"/>
      <c r="O92" s="85"/>
      <c r="P92" s="85"/>
      <c r="Q92" s="85"/>
      <c r="R92" s="85"/>
      <c r="S92" s="100"/>
      <c r="T92" s="100"/>
      <c r="U92" s="85"/>
      <c r="V92" s="85"/>
      <c r="W92" s="85"/>
      <c r="X92" s="85"/>
      <c r="Z92" t="str">
        <v>46211/D|BR1/04</v>
      </c>
      <c r="AA92" t="str">
        <v>STM-A40_0098</v>
      </c>
      <c r="AB92" t="str">
        <v>SAP</v>
      </c>
      <c r="AC92" t="str">
        <v>LS_18</v>
      </c>
      <c r="AD92" t="str">
        <v>L18_S09</v>
      </c>
      <c r="AE92" t="str">
        <v>036 / 012</v>
      </c>
      <c r="AF92" t="str">
        <v>Yes</v>
      </c>
      <c r="AG92" t="str">
        <v/>
      </c>
      <c r="AH92" t="str">
        <v/>
      </c>
      <c r="AJ92" t="str">
        <f ca="1"/>
        <v>Pile_01</v>
      </c>
      <c r="AP92" t="str">
        <v>STM-A40_0068</v>
      </c>
      <c r="AQ92" t="str">
        <v>STM-A40_0069</v>
      </c>
      <c r="AR92" t="str">
        <v>STM-A40_0087</v>
      </c>
      <c r="AS92" t="str">
        <v>STM-A40_0097</v>
      </c>
      <c r="AT92" t="str">
        <v>STM-A40_0132</v>
      </c>
      <c r="AU92" t="str">
        <v>STM-A40_0133</v>
      </c>
      <c r="AV92" t="str">
        <v>STM-A40_0136</v>
      </c>
      <c r="AW92" t="str">
        <v/>
      </c>
    </row>
    <row r="93" spans="4:49" ht="15.75" x14ac:dyDescent="0.25">
      <c r="D93" s="3">
        <v>7</v>
      </c>
      <c r="F93" s="16" cm="1">
        <f t="array" ref="F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93" s="31" cm="1">
        <f t="array" ref="G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9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93" s="32" t="str">
        <f>TEXT(HLG_01[[#This Row],[Batch]],"000")&amp; " / " &amp; TEXT(HLG_01[[#This Row],[Rit]],"000")</f>
        <v>035 / 014</v>
      </c>
      <c r="J93" s="34" t="s">
        <v>2621</v>
      </c>
      <c r="K93" s="38" t="s">
        <v>2610</v>
      </c>
      <c r="L93" s="35"/>
      <c r="M93" s="85"/>
      <c r="N93" s="85"/>
      <c r="O93" s="85"/>
      <c r="P93" s="85"/>
      <c r="Q93" s="85"/>
      <c r="R93" s="85"/>
      <c r="S93" s="100"/>
      <c r="T93" s="100"/>
      <c r="U93" s="85"/>
      <c r="V93" s="85"/>
      <c r="W93" s="85"/>
      <c r="X93" s="85"/>
      <c r="Z93" t="str">
        <v>46211/D|BR1/04</v>
      </c>
      <c r="AA93" t="str">
        <v>STM-A40_0121</v>
      </c>
      <c r="AB93" t="str">
        <v>SAP</v>
      </c>
      <c r="AC93" t="str">
        <v>LS_18</v>
      </c>
      <c r="AD93" t="str">
        <v>L18_S09</v>
      </c>
      <c r="AE93" t="str">
        <v>036 / 013</v>
      </c>
      <c r="AF93" t="str">
        <v>No</v>
      </c>
      <c r="AG93" t="str">
        <v/>
      </c>
      <c r="AH93" t="str">
        <v>TRUCK SALAH</v>
      </c>
      <c r="AJ93" t="str">
        <f ca="1"/>
        <v>Pile_01</v>
      </c>
      <c r="AP93" t="str">
        <v>STM-A40_0068</v>
      </c>
      <c r="AQ93" t="str">
        <v>STM-A40_0069</v>
      </c>
      <c r="AR93" t="str">
        <v>STM-A40_0087</v>
      </c>
      <c r="AS93" t="str">
        <v>STM-A40_0097</v>
      </c>
      <c r="AT93" t="str">
        <v>STM-A40_0132</v>
      </c>
      <c r="AU93" t="str">
        <v>STM-A40_0133</v>
      </c>
      <c r="AV93" t="str">
        <v>STM-A40_0136</v>
      </c>
      <c r="AW93" t="str">
        <v/>
      </c>
    </row>
    <row r="94" spans="4:49" ht="15.75" x14ac:dyDescent="0.25">
      <c r="D94" s="3">
        <v>7</v>
      </c>
      <c r="F94" s="16" cm="1">
        <f t="array" ref="F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94" s="31" cm="1">
        <f t="array" ref="G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9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94" s="32" t="str">
        <f>TEXT(HLG_01[[#This Row],[Batch]],"000")&amp; " / " &amp; TEXT(HLG_01[[#This Row],[Rit]],"000")</f>
        <v>035 / 015</v>
      </c>
      <c r="J94" s="34" t="s">
        <v>2621</v>
      </c>
      <c r="K94" s="38" t="s">
        <v>2611</v>
      </c>
      <c r="L94" s="35"/>
      <c r="M94" s="85"/>
      <c r="N94" s="85"/>
      <c r="O94" s="85"/>
      <c r="P94" s="85"/>
      <c r="Q94" s="85"/>
      <c r="R94" s="85"/>
      <c r="S94" s="100"/>
      <c r="T94" s="100"/>
      <c r="U94" s="85"/>
      <c r="V94" s="85"/>
      <c r="W94" s="85"/>
      <c r="X94" s="85"/>
      <c r="Z94" t="str">
        <v>46211/D|BR1/04</v>
      </c>
      <c r="AA94" t="str">
        <v>STM-A40_0119</v>
      </c>
      <c r="AB94" t="str">
        <v>SAP</v>
      </c>
      <c r="AC94" t="str">
        <v>LS_18</v>
      </c>
      <c r="AD94" t="str">
        <v>L18_S09</v>
      </c>
      <c r="AE94" t="str">
        <v>036 / 014</v>
      </c>
      <c r="AF94" t="str">
        <v>Yes</v>
      </c>
      <c r="AG94" t="str">
        <v/>
      </c>
      <c r="AH94" t="str">
        <v/>
      </c>
      <c r="AJ94" t="str">
        <f ca="1"/>
        <v>Pile_01</v>
      </c>
      <c r="AP94" t="str">
        <v>STM-A40_0068</v>
      </c>
      <c r="AQ94" t="str">
        <v>STM-A40_0069</v>
      </c>
      <c r="AR94" t="str">
        <v>STM-A40_0087</v>
      </c>
      <c r="AS94" t="str">
        <v>STM-A40_0097</v>
      </c>
      <c r="AT94" t="str">
        <v>STM-A40_0132</v>
      </c>
      <c r="AU94" t="str">
        <v>STM-A40_0133</v>
      </c>
      <c r="AV94" t="str">
        <v>STM-A40_0136</v>
      </c>
      <c r="AW94" t="str">
        <v/>
      </c>
    </row>
    <row r="95" spans="4:49" ht="15.75" x14ac:dyDescent="0.25">
      <c r="D95" s="3">
        <v>7</v>
      </c>
      <c r="F95" s="16" cm="1">
        <f t="array" ref="F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95" s="31" cm="1">
        <f t="array" ref="G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9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95" s="32" t="str">
        <f>TEXT(HLG_01[[#This Row],[Batch]],"000")&amp; " / " &amp; TEXT(HLG_01[[#This Row],[Rit]],"000")</f>
        <v>035 / 016</v>
      </c>
      <c r="J95" s="34" t="s">
        <v>2621</v>
      </c>
      <c r="K95" s="38" t="s">
        <v>2609</v>
      </c>
      <c r="L95" s="35"/>
      <c r="M95" s="85"/>
      <c r="N95" s="85"/>
      <c r="O95" s="85"/>
      <c r="P95" s="85"/>
      <c r="Q95" s="85"/>
      <c r="R95" s="85"/>
      <c r="S95" s="100"/>
      <c r="T95" s="100"/>
      <c r="U95" s="85"/>
      <c r="V95" s="85"/>
      <c r="W95" s="85"/>
      <c r="X95" s="85"/>
      <c r="Z95" t="str">
        <v>46211/D|BR1/04</v>
      </c>
      <c r="AA95" t="str">
        <v>STM-A40_0098</v>
      </c>
      <c r="AB95" t="str">
        <v>SAP</v>
      </c>
      <c r="AC95" t="str">
        <v>LS_18</v>
      </c>
      <c r="AD95" t="str">
        <v>L18_S09</v>
      </c>
      <c r="AE95" t="str">
        <v>036 / 015</v>
      </c>
      <c r="AF95" t="str">
        <v>No</v>
      </c>
      <c r="AG95" t="str">
        <v/>
      </c>
      <c r="AH95" t="str">
        <v/>
      </c>
      <c r="AJ95" t="str">
        <f ca="1"/>
        <v>Pile_01</v>
      </c>
      <c r="AP95" t="str">
        <v>STM-A40_0068</v>
      </c>
      <c r="AQ95" t="str">
        <v>STM-A40_0069</v>
      </c>
      <c r="AR95" t="str">
        <v>STM-A40_0087</v>
      </c>
      <c r="AS95" t="str">
        <v>STM-A40_0097</v>
      </c>
      <c r="AT95" t="str">
        <v>STM-A40_0132</v>
      </c>
      <c r="AU95" t="str">
        <v>STM-A40_0133</v>
      </c>
      <c r="AV95" t="str">
        <v>STM-A40_0136</v>
      </c>
      <c r="AW95" t="str">
        <v/>
      </c>
    </row>
    <row r="96" spans="4:49" ht="15.75" x14ac:dyDescent="0.25">
      <c r="D96" s="3">
        <v>7</v>
      </c>
      <c r="F96" s="16" cm="1">
        <f t="array" ref="F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96" s="31" cm="1">
        <f t="array" ref="G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9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96" s="32" t="str">
        <f>TEXT(HLG_01[[#This Row],[Batch]],"000")&amp; " / " &amp; TEXT(HLG_01[[#This Row],[Rit]],"000")</f>
        <v>035 / 017</v>
      </c>
      <c r="J96" s="34" t="s">
        <v>2621</v>
      </c>
      <c r="K96" s="38" t="s">
        <v>2605</v>
      </c>
      <c r="L96" s="35"/>
      <c r="M96" s="85"/>
      <c r="N96" s="85"/>
      <c r="O96" s="85"/>
      <c r="P96" s="85"/>
      <c r="Q96" s="85"/>
      <c r="R96" s="85"/>
      <c r="S96" s="100"/>
      <c r="T96" s="100"/>
      <c r="U96" s="85"/>
      <c r="V96" s="85"/>
      <c r="W96" s="85"/>
      <c r="X96" s="85"/>
      <c r="Z96" t="str">
        <v>46211/D|BR1/04</v>
      </c>
      <c r="AA96" t="str">
        <v>STM-A40_0106</v>
      </c>
      <c r="AB96" t="str">
        <v>SAP</v>
      </c>
      <c r="AC96" t="str">
        <v>LS_18</v>
      </c>
      <c r="AD96" t="str">
        <v>L18_S09</v>
      </c>
      <c r="AE96" t="str">
        <v>036 / 016</v>
      </c>
      <c r="AF96" t="str">
        <v>Yes</v>
      </c>
      <c r="AG96" t="str">
        <v/>
      </c>
      <c r="AH96" t="str">
        <v/>
      </c>
      <c r="AJ96" t="str">
        <f ca="1"/>
        <v>Pile_01</v>
      </c>
      <c r="AP96" t="str">
        <v>STM-A40_0068</v>
      </c>
      <c r="AQ96" t="str">
        <v>STM-A40_0069</v>
      </c>
      <c r="AR96" t="str">
        <v>STM-A40_0087</v>
      </c>
      <c r="AS96" t="str">
        <v>STM-A40_0097</v>
      </c>
      <c r="AT96" t="str">
        <v>STM-A40_0132</v>
      </c>
      <c r="AU96" t="str">
        <v>STM-A40_0133</v>
      </c>
      <c r="AV96" t="str">
        <v>STM-A40_0136</v>
      </c>
      <c r="AW96" t="str">
        <v/>
      </c>
    </row>
    <row r="97" spans="4:49" ht="15.75" x14ac:dyDescent="0.25">
      <c r="D97" s="3">
        <v>7</v>
      </c>
      <c r="F97" s="16" cm="1">
        <f t="array" ref="F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97" s="31" cm="1">
        <f t="array" ref="G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9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97" s="32" t="str">
        <f>TEXT(HLG_01[[#This Row],[Batch]],"000")&amp; " / " &amp; TEXT(HLG_01[[#This Row],[Rit]],"000")</f>
        <v>035 / 018</v>
      </c>
      <c r="J97" s="34" t="s">
        <v>2621</v>
      </c>
      <c r="K97" s="38" t="s">
        <v>2608</v>
      </c>
      <c r="L97" s="35"/>
      <c r="M97" s="85"/>
      <c r="N97" s="85"/>
      <c r="O97" s="85"/>
      <c r="P97" s="85"/>
      <c r="Q97" s="85"/>
      <c r="R97" s="85"/>
      <c r="S97" s="100"/>
      <c r="T97" s="100"/>
      <c r="U97" s="85"/>
      <c r="V97" s="85"/>
      <c r="W97" s="85"/>
      <c r="X97" s="85"/>
      <c r="Z97" t="str">
        <v>46211/D|BR1/04</v>
      </c>
      <c r="AA97" t="str">
        <v>STM-A40_0105</v>
      </c>
      <c r="AB97" t="str">
        <v>SAP</v>
      </c>
      <c r="AC97" t="str">
        <v>LS_18</v>
      </c>
      <c r="AD97" t="str">
        <v>L18_S09</v>
      </c>
      <c r="AE97" t="str">
        <v>036 / 017</v>
      </c>
      <c r="AF97" t="str">
        <v>No</v>
      </c>
      <c r="AG97" t="str">
        <v/>
      </c>
      <c r="AH97" t="str">
        <v/>
      </c>
      <c r="AJ97" t="str">
        <f ca="1"/>
        <v>Pile_01</v>
      </c>
      <c r="AP97" t="str">
        <v>STM-A40_0068</v>
      </c>
      <c r="AQ97" t="str">
        <v>STM-A40_0069</v>
      </c>
      <c r="AR97" t="str">
        <v>STM-A40_0087</v>
      </c>
      <c r="AS97" t="str">
        <v>STM-A40_0097</v>
      </c>
      <c r="AT97" t="str">
        <v>STM-A40_0132</v>
      </c>
      <c r="AU97" t="str">
        <v>STM-A40_0133</v>
      </c>
      <c r="AV97" t="str">
        <v>STM-A40_0136</v>
      </c>
      <c r="AW97" t="str">
        <v/>
      </c>
    </row>
    <row r="98" spans="4:49" ht="15.75" x14ac:dyDescent="0.25">
      <c r="D98" s="3">
        <v>7</v>
      </c>
      <c r="F98" s="16" cm="1">
        <f t="array" ref="F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98" s="31" cm="1">
        <f t="array" ref="G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9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98" s="32" t="str">
        <f>TEXT(HLG_01[[#This Row],[Batch]],"000")&amp; " / " &amp; TEXT(HLG_01[[#This Row],[Rit]],"000")</f>
        <v>035 / 019</v>
      </c>
      <c r="J98" s="34" t="s">
        <v>2621</v>
      </c>
      <c r="K98" s="38" t="s">
        <v>2613</v>
      </c>
      <c r="L98" s="35"/>
      <c r="M98" s="85"/>
      <c r="N98" s="85"/>
      <c r="O98" s="85"/>
      <c r="P98" s="85"/>
      <c r="Q98" s="85"/>
      <c r="R98" s="85"/>
      <c r="S98" s="100"/>
      <c r="T98" s="100"/>
      <c r="U98" s="85"/>
      <c r="V98" s="85"/>
      <c r="W98" s="85"/>
      <c r="X98" s="85"/>
      <c r="Z98" t="str">
        <v>46211/D|BR1/04</v>
      </c>
      <c r="AA98" t="str">
        <v>STM-A40_0107</v>
      </c>
      <c r="AB98" t="str">
        <v>SAP</v>
      </c>
      <c r="AC98" t="str">
        <v>LS_18</v>
      </c>
      <c r="AD98" t="str">
        <v>L18_S09</v>
      </c>
      <c r="AE98" t="str">
        <v>036 / 018</v>
      </c>
      <c r="AF98" t="str">
        <v>Yes</v>
      </c>
      <c r="AG98" t="str">
        <v/>
      </c>
      <c r="AH98" t="str">
        <v/>
      </c>
      <c r="AJ98" t="str">
        <f ca="1"/>
        <v>Pile_01</v>
      </c>
      <c r="AP98" t="str">
        <v>STM-A40_0068</v>
      </c>
      <c r="AQ98" t="str">
        <v>STM-A40_0069</v>
      </c>
      <c r="AR98" t="str">
        <v>STM-A40_0087</v>
      </c>
      <c r="AS98" t="str">
        <v>STM-A40_0097</v>
      </c>
      <c r="AT98" t="str">
        <v>STM-A40_0132</v>
      </c>
      <c r="AU98" t="str">
        <v>STM-A40_0133</v>
      </c>
      <c r="AV98" t="str">
        <v>STM-A40_0136</v>
      </c>
      <c r="AW98" t="str">
        <v/>
      </c>
    </row>
    <row r="99" spans="4:49" ht="15.75" x14ac:dyDescent="0.25">
      <c r="D99" s="3">
        <v>7</v>
      </c>
      <c r="F99" s="16" cm="1">
        <f t="array" ref="F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35</v>
      </c>
      <c r="G99" s="31" cm="1">
        <f t="array" ref="G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9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99" s="32" t="str">
        <f>TEXT(HLG_01[[#This Row],[Batch]],"000")&amp; " / " &amp; TEXT(HLG_01[[#This Row],[Rit]],"000")</f>
        <v>035 / 020</v>
      </c>
      <c r="J99" s="34" t="s">
        <v>2621</v>
      </c>
      <c r="K99" s="38" t="s">
        <v>2610</v>
      </c>
      <c r="L99" s="35"/>
      <c r="M99" s="85"/>
      <c r="N99" s="85"/>
      <c r="O99" s="85"/>
      <c r="P99" s="85"/>
      <c r="Q99" s="85"/>
      <c r="R99" s="85"/>
      <c r="S99" s="100"/>
      <c r="T99" s="100"/>
      <c r="U99" s="85"/>
      <c r="V99" s="85"/>
      <c r="W99" s="85"/>
      <c r="X99" s="85"/>
      <c r="Z99" t="str">
        <v>46211/D|BR1/04</v>
      </c>
      <c r="AA99" t="str">
        <v>STM-A40_0136</v>
      </c>
      <c r="AB99" t="str">
        <v>SAP</v>
      </c>
      <c r="AC99" t="str">
        <v>LS_18</v>
      </c>
      <c r="AD99" t="str">
        <v>L18_S09</v>
      </c>
      <c r="AE99" t="str">
        <v>036 / 019</v>
      </c>
      <c r="AF99" t="str">
        <v>No</v>
      </c>
      <c r="AG99" t="str">
        <v/>
      </c>
      <c r="AH99" t="str">
        <v/>
      </c>
      <c r="AJ99" t="str">
        <f ca="1"/>
        <v>Pile_01</v>
      </c>
      <c r="AP99" t="str">
        <v>STM-A40_0068</v>
      </c>
      <c r="AQ99" t="str">
        <v>STM-A40_0069</v>
      </c>
      <c r="AR99" t="str">
        <v>STM-A40_0087</v>
      </c>
      <c r="AS99" t="str">
        <v>STM-A40_0097</v>
      </c>
      <c r="AT99" t="str">
        <v>STM-A40_0132</v>
      </c>
      <c r="AU99" t="str">
        <v>STM-A40_0133</v>
      </c>
      <c r="AV99" t="str">
        <v>STM-A40_0136</v>
      </c>
      <c r="AW99" t="str">
        <v/>
      </c>
    </row>
    <row r="100" spans="4:49" ht="15.75" x14ac:dyDescent="0.25">
      <c r="D100" s="3">
        <v>8</v>
      </c>
      <c r="F100" s="16" cm="1">
        <f t="array" ref="F1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00" s="31" cm="1">
        <f t="array" ref="G1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10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00" s="32" t="str">
        <f>TEXT(HLG_01[[#This Row],[Batch]],"000")&amp; " / " &amp; TEXT(HLG_01[[#This Row],[Rit]],"000")</f>
        <v>036 / 001</v>
      </c>
      <c r="J100" s="34" t="s">
        <v>2620</v>
      </c>
      <c r="K100" s="38" t="s">
        <v>2595</v>
      </c>
      <c r="L100" s="35"/>
      <c r="M100" s="85"/>
      <c r="N100" s="85"/>
      <c r="O100" s="85"/>
      <c r="P100" s="85"/>
      <c r="Q100" s="85"/>
      <c r="R100" s="85"/>
      <c r="S100" s="100"/>
      <c r="T100" s="100"/>
      <c r="U100" s="85"/>
      <c r="V100" s="85"/>
      <c r="W100" s="85"/>
      <c r="X100" s="85"/>
      <c r="Z100" t="str">
        <v>46211/D|BR1/04</v>
      </c>
      <c r="AA100" t="str">
        <v>STM-A40_0106</v>
      </c>
      <c r="AB100" t="str">
        <v>SAP</v>
      </c>
      <c r="AC100" t="str">
        <v>LS_18</v>
      </c>
      <c r="AD100" t="str">
        <v>L18_S09</v>
      </c>
      <c r="AE100" t="str">
        <v>036 / 020</v>
      </c>
      <c r="AF100" t="str">
        <v>Yes</v>
      </c>
      <c r="AG100" t="str">
        <v/>
      </c>
      <c r="AH100" t="str">
        <v/>
      </c>
      <c r="AJ100" t="str">
        <f ca="1"/>
        <v>Pile_01</v>
      </c>
      <c r="AP100" t="str">
        <v>STM-A40_0098</v>
      </c>
      <c r="AQ100" t="str">
        <v>STM-A40_0105</v>
      </c>
      <c r="AR100" t="str">
        <v>STM-A40_0106</v>
      </c>
      <c r="AS100" t="str">
        <v>STM-A40_0107</v>
      </c>
      <c r="AT100" t="str">
        <v>STM-A40_0119</v>
      </c>
      <c r="AU100" t="str">
        <v>STM-A40_0121</v>
      </c>
      <c r="AV100" t="str">
        <v>STM-A40_0136</v>
      </c>
      <c r="AW100" t="str">
        <v/>
      </c>
    </row>
    <row r="101" spans="4:49" ht="15.75" x14ac:dyDescent="0.25">
      <c r="D101" s="3" t="e">
        <v>#N/A</v>
      </c>
      <c r="F101" s="16" cm="1">
        <f t="array" ref="F1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01" s="31" cm="1">
        <f t="array" ref="G1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10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01" s="32" t="str">
        <f>TEXT(HLG_01[[#This Row],[Batch]],"000")&amp; " / " &amp; TEXT(HLG_01[[#This Row],[Rit]],"000")</f>
        <v>036 / 002</v>
      </c>
      <c r="J101" s="34" t="s">
        <v>2622</v>
      </c>
      <c r="K101" s="38" t="s">
        <v>2602</v>
      </c>
      <c r="L101" s="35"/>
      <c r="M101" s="85"/>
      <c r="N101" s="85"/>
      <c r="O101" s="85"/>
      <c r="P101" s="85"/>
      <c r="Q101" s="85"/>
      <c r="R101" s="85"/>
      <c r="S101" s="100"/>
      <c r="T101" s="100"/>
      <c r="U101" s="98"/>
      <c r="V101" s="95"/>
      <c r="W101" s="95"/>
      <c r="X101" s="85"/>
      <c r="Z101" t="str">
        <v>46211/D|BR1/04</v>
      </c>
      <c r="AA101" t="str">
        <v>STM-A40_0098</v>
      </c>
      <c r="AB101" t="str">
        <v>SAP</v>
      </c>
      <c r="AC101" t="str">
        <v>LS_18</v>
      </c>
      <c r="AD101" t="str">
        <v>L18_S09</v>
      </c>
      <c r="AE101" t="str">
        <v>037 / 001</v>
      </c>
      <c r="AF101" t="str">
        <v>No</v>
      </c>
      <c r="AG101" t="str">
        <v/>
      </c>
      <c r="AH101" t="str">
        <v/>
      </c>
      <c r="AJ101" t="str">
        <f ca="1"/>
        <v>Pile_01</v>
      </c>
      <c r="AP101" t="str">
        <v>STM-A40_0067</v>
      </c>
      <c r="AQ101" t="str">
        <v>STM-A40_0088</v>
      </c>
      <c r="AR101" t="str">
        <v>STM-A40_0098</v>
      </c>
      <c r="AS101" t="str">
        <v>STM-A40_0105</v>
      </c>
      <c r="AT101" t="str">
        <v>STM-A40_0106</v>
      </c>
      <c r="AU101" t="str">
        <v>STM-A40_0107</v>
      </c>
      <c r="AV101" t="str">
        <v>STM-A40_0119</v>
      </c>
      <c r="AW101" t="str">
        <v>STM-A40_0136</v>
      </c>
    </row>
    <row r="102" spans="4:49" ht="15.75" x14ac:dyDescent="0.25">
      <c r="D102" s="3">
        <v>8</v>
      </c>
      <c r="F102" s="16" cm="1">
        <f t="array" ref="F1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02" s="31" cm="1">
        <f t="array" ref="G1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10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02" s="32" t="str">
        <f>TEXT(HLG_01[[#This Row],[Batch]],"000")&amp; " / " &amp; TEXT(HLG_01[[#This Row],[Rit]],"000")</f>
        <v>036 / 003</v>
      </c>
      <c r="J102" s="34" t="s">
        <v>2622</v>
      </c>
      <c r="K102" s="38" t="s">
        <v>2604</v>
      </c>
      <c r="L102" s="35"/>
      <c r="M102" s="85"/>
      <c r="N102" s="85"/>
      <c r="O102" s="85"/>
      <c r="P102" s="85"/>
      <c r="Q102" s="85"/>
      <c r="R102" s="85"/>
      <c r="S102" s="100"/>
      <c r="T102" s="100"/>
      <c r="U102" s="98"/>
      <c r="V102" s="95"/>
      <c r="W102" s="95"/>
      <c r="X102" s="85"/>
      <c r="Z102" t="str">
        <v>46211/D|BR1/04</v>
      </c>
      <c r="AA102" t="str">
        <v>STM-A40_0106</v>
      </c>
      <c r="AB102" t="str">
        <v>SAP</v>
      </c>
      <c r="AC102" t="str">
        <v>LS_18</v>
      </c>
      <c r="AD102" t="str">
        <v>L18_S09</v>
      </c>
      <c r="AE102" t="str">
        <v>037 / 002</v>
      </c>
      <c r="AF102" t="str">
        <v>Yes</v>
      </c>
      <c r="AG102" t="str">
        <v/>
      </c>
      <c r="AH102" t="str">
        <v/>
      </c>
      <c r="AJ102" t="str">
        <f ca="1"/>
        <v>Pile_01</v>
      </c>
      <c r="AP102" t="str">
        <v>STM-A40_0067</v>
      </c>
      <c r="AQ102" t="str">
        <v>STM-A40_0088</v>
      </c>
      <c r="AR102" t="str">
        <v>STM-A40_0098</v>
      </c>
      <c r="AS102" t="str">
        <v>STM-A40_0105</v>
      </c>
      <c r="AT102" t="str">
        <v>STM-A40_0106</v>
      </c>
      <c r="AU102" t="str">
        <v>STM-A40_0107</v>
      </c>
      <c r="AV102" t="str">
        <v>STM-A40_0119</v>
      </c>
      <c r="AW102" t="str">
        <v>STM-A40_0136</v>
      </c>
    </row>
    <row r="103" spans="4:49" ht="15.75" x14ac:dyDescent="0.25">
      <c r="D103" s="3">
        <v>8</v>
      </c>
      <c r="F103" s="16" cm="1">
        <f t="array" ref="F1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03" s="31" cm="1">
        <f t="array" ref="G1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10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03" s="32" t="str">
        <f>TEXT(HLG_01[[#This Row],[Batch]],"000")&amp; " / " &amp; TEXT(HLG_01[[#This Row],[Rit]],"000")</f>
        <v>036 / 004</v>
      </c>
      <c r="J103" s="34" t="s">
        <v>2622</v>
      </c>
      <c r="K103" s="38" t="s">
        <v>2606</v>
      </c>
      <c r="L103" s="35"/>
      <c r="M103" s="85"/>
      <c r="N103" s="85"/>
      <c r="O103" s="85"/>
      <c r="P103" s="85"/>
      <c r="Q103" s="85"/>
      <c r="R103" s="85"/>
      <c r="S103" s="100"/>
      <c r="T103" s="100"/>
      <c r="U103" s="98"/>
      <c r="V103" s="95"/>
      <c r="W103" s="95"/>
      <c r="X103" s="85"/>
      <c r="Z103" t="str">
        <v>46211/D|BR1/04</v>
      </c>
      <c r="AA103" t="str">
        <v>STM-A40_0107</v>
      </c>
      <c r="AB103" t="str">
        <v>SAP</v>
      </c>
      <c r="AC103" t="str">
        <v>LS_18</v>
      </c>
      <c r="AD103" t="str">
        <v>L18_S09</v>
      </c>
      <c r="AE103" t="str">
        <v>037 / 003</v>
      </c>
      <c r="AF103" t="str">
        <v>No</v>
      </c>
      <c r="AG103" t="str">
        <v/>
      </c>
      <c r="AH103" t="str">
        <v/>
      </c>
      <c r="AJ103" t="str">
        <f ca="1"/>
        <v>Pile_01</v>
      </c>
      <c r="AP103" t="str">
        <v>STM-A40_0067</v>
      </c>
      <c r="AQ103" t="str">
        <v>STM-A40_0088</v>
      </c>
      <c r="AR103" t="str">
        <v>STM-A40_0098</v>
      </c>
      <c r="AS103" t="str">
        <v>STM-A40_0105</v>
      </c>
      <c r="AT103" t="str">
        <v>STM-A40_0106</v>
      </c>
      <c r="AU103" t="str">
        <v>STM-A40_0107</v>
      </c>
      <c r="AV103" t="str">
        <v>STM-A40_0119</v>
      </c>
      <c r="AW103" t="str">
        <v>STM-A40_0136</v>
      </c>
    </row>
    <row r="104" spans="4:49" ht="15.75" x14ac:dyDescent="0.25">
      <c r="D104" s="3">
        <v>8</v>
      </c>
      <c r="F104" s="16" cm="1">
        <f t="array" ref="F1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04" s="31" cm="1">
        <f t="array" ref="G1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10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04" s="32" t="str">
        <f>TEXT(HLG_01[[#This Row],[Batch]],"000")&amp; " / " &amp; TEXT(HLG_01[[#This Row],[Rit]],"000")</f>
        <v>036 / 005</v>
      </c>
      <c r="J104" s="34" t="s">
        <v>2622</v>
      </c>
      <c r="K104" s="38" t="s">
        <v>2607</v>
      </c>
      <c r="L104" s="35"/>
      <c r="M104" s="85"/>
      <c r="N104" s="85"/>
      <c r="O104" s="85"/>
      <c r="P104" s="85"/>
      <c r="Q104" s="85"/>
      <c r="R104" s="85"/>
      <c r="S104" s="100"/>
      <c r="T104" s="100"/>
      <c r="U104" s="98"/>
      <c r="V104" s="95"/>
      <c r="W104" s="95"/>
      <c r="X104" s="85"/>
      <c r="Z104" t="str">
        <v>46211/D|BR1/04</v>
      </c>
      <c r="AA104" t="str">
        <v>STM-A40_0105</v>
      </c>
      <c r="AB104" t="str">
        <v>SAP</v>
      </c>
      <c r="AC104" t="str">
        <v>LS_18</v>
      </c>
      <c r="AD104" t="str">
        <v>L18_S09</v>
      </c>
      <c r="AE104" t="str">
        <v>037 / 004</v>
      </c>
      <c r="AF104" t="str">
        <v>Yes</v>
      </c>
      <c r="AG104" t="str">
        <v/>
      </c>
      <c r="AH104" t="str">
        <v/>
      </c>
      <c r="AJ104" t="str">
        <f ca="1"/>
        <v>Pile_01</v>
      </c>
      <c r="AP104" t="str">
        <v>STM-A40_0067</v>
      </c>
      <c r="AQ104" t="str">
        <v>STM-A40_0088</v>
      </c>
      <c r="AR104" t="str">
        <v>STM-A40_0098</v>
      </c>
      <c r="AS104" t="str">
        <v>STM-A40_0105</v>
      </c>
      <c r="AT104" t="str">
        <v>STM-A40_0106</v>
      </c>
      <c r="AU104" t="str">
        <v>STM-A40_0107</v>
      </c>
      <c r="AV104" t="str">
        <v>STM-A40_0119</v>
      </c>
      <c r="AW104" t="str">
        <v>STM-A40_0136</v>
      </c>
    </row>
    <row r="105" spans="4:49" ht="15.75" x14ac:dyDescent="0.25">
      <c r="D105" s="3">
        <v>8</v>
      </c>
      <c r="F105" s="16" cm="1">
        <f t="array" ref="F1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05" s="31" cm="1">
        <f t="array" ref="G1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10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05" s="32" t="str">
        <f>TEXT(HLG_01[[#This Row],[Batch]],"000")&amp; " / " &amp; TEXT(HLG_01[[#This Row],[Rit]],"000")</f>
        <v>036 / 006</v>
      </c>
      <c r="J105" s="34" t="s">
        <v>2622</v>
      </c>
      <c r="K105" s="38" t="s">
        <v>2605</v>
      </c>
      <c r="L105" s="35"/>
      <c r="M105" s="85"/>
      <c r="N105" s="85"/>
      <c r="O105" s="85"/>
      <c r="P105" s="85"/>
      <c r="Q105" s="85"/>
      <c r="R105" s="85"/>
      <c r="S105" s="100"/>
      <c r="T105" s="100"/>
      <c r="U105" s="98"/>
      <c r="V105" s="95"/>
      <c r="W105" s="95"/>
      <c r="X105" s="85"/>
      <c r="Z105" t="str">
        <v>46211/D|BR1/04</v>
      </c>
      <c r="AA105" t="str">
        <v>STM-A40_0107</v>
      </c>
      <c r="AB105" t="str">
        <v>SAP</v>
      </c>
      <c r="AC105" t="str">
        <v>LS_18</v>
      </c>
      <c r="AD105" t="str">
        <v>L18_S09</v>
      </c>
      <c r="AE105" t="str">
        <v>037 / 005</v>
      </c>
      <c r="AF105" t="str">
        <v>No</v>
      </c>
      <c r="AG105" t="str">
        <v/>
      </c>
      <c r="AH105" t="str">
        <v/>
      </c>
      <c r="AJ105" t="str">
        <f ca="1"/>
        <v>Pile_01</v>
      </c>
      <c r="AP105" t="str">
        <v>STM-A40_0067</v>
      </c>
      <c r="AQ105" t="str">
        <v>STM-A40_0088</v>
      </c>
      <c r="AR105" t="str">
        <v>STM-A40_0098</v>
      </c>
      <c r="AS105" t="str">
        <v>STM-A40_0105</v>
      </c>
      <c r="AT105" t="str">
        <v>STM-A40_0106</v>
      </c>
      <c r="AU105" t="str">
        <v>STM-A40_0107</v>
      </c>
      <c r="AV105" t="str">
        <v>STM-A40_0119</v>
      </c>
      <c r="AW105" t="str">
        <v>STM-A40_0136</v>
      </c>
    </row>
    <row r="106" spans="4:49" ht="15.75" x14ac:dyDescent="0.25">
      <c r="D106" s="3">
        <v>8</v>
      </c>
      <c r="F106" s="16" cm="1">
        <f t="array" ref="F1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06" s="31" cm="1">
        <f t="array" ref="G1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10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06" s="32" t="str">
        <f>TEXT(HLG_01[[#This Row],[Batch]],"000")&amp; " / " &amp; TEXT(HLG_01[[#This Row],[Rit]],"000")</f>
        <v>036 / 007</v>
      </c>
      <c r="J106" s="34" t="s">
        <v>2622</v>
      </c>
      <c r="K106" s="38" t="s">
        <v>2603</v>
      </c>
      <c r="L106" s="35"/>
      <c r="M106" s="85"/>
      <c r="N106" s="85"/>
      <c r="O106" s="85"/>
      <c r="P106" s="85"/>
      <c r="Q106" s="85"/>
      <c r="R106" s="85"/>
      <c r="S106" s="100"/>
      <c r="T106" s="100"/>
      <c r="U106" s="98"/>
      <c r="V106" s="95"/>
      <c r="W106" s="95"/>
      <c r="X106" s="85"/>
      <c r="Z106" t="str">
        <v>46211/D|BR1/04</v>
      </c>
      <c r="AA106" t="str">
        <v>STM-A40_0136</v>
      </c>
      <c r="AB106" t="str">
        <v>SAP</v>
      </c>
      <c r="AC106" t="str">
        <v>LS_18</v>
      </c>
      <c r="AD106" t="str">
        <v>L18_S09</v>
      </c>
      <c r="AE106" t="str">
        <v>037 / 006</v>
      </c>
      <c r="AF106" t="str">
        <v>Yes</v>
      </c>
      <c r="AG106" t="str">
        <v/>
      </c>
      <c r="AH106" t="str">
        <v/>
      </c>
      <c r="AJ106" t="str">
        <f ca="1"/>
        <v>Pile_01</v>
      </c>
      <c r="AP106" t="str">
        <v>STM-A40_0067</v>
      </c>
      <c r="AQ106" t="str">
        <v>STM-A40_0088</v>
      </c>
      <c r="AR106" t="str">
        <v>STM-A40_0098</v>
      </c>
      <c r="AS106" t="str">
        <v>STM-A40_0105</v>
      </c>
      <c r="AT106" t="str">
        <v>STM-A40_0106</v>
      </c>
      <c r="AU106" t="str">
        <v>STM-A40_0107</v>
      </c>
      <c r="AV106" t="str">
        <v>STM-A40_0119</v>
      </c>
      <c r="AW106" t="str">
        <v>STM-A40_0136</v>
      </c>
    </row>
    <row r="107" spans="4:49" ht="15.75" x14ac:dyDescent="0.25">
      <c r="D107" s="3" t="e">
        <v>#N/A</v>
      </c>
      <c r="F107" s="16" cm="1">
        <f t="array" ref="F1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07" s="31" cm="1">
        <f t="array" ref="G1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10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07" s="32" t="str">
        <f>TEXT(HLG_01[[#This Row],[Batch]],"000")&amp; " / " &amp; TEXT(HLG_01[[#This Row],[Rit]],"000")</f>
        <v>036 / 008</v>
      </c>
      <c r="J107" s="34" t="s">
        <v>2622</v>
      </c>
      <c r="K107" s="38" t="s">
        <v>2602</v>
      </c>
      <c r="L107" s="35"/>
      <c r="M107" s="85"/>
      <c r="N107" s="85"/>
      <c r="O107" s="85"/>
      <c r="P107" s="85"/>
      <c r="Q107" s="85"/>
      <c r="R107" s="85"/>
      <c r="S107" s="100"/>
      <c r="T107" s="100"/>
      <c r="U107" s="98"/>
      <c r="V107" s="95"/>
      <c r="W107" s="95"/>
      <c r="X107" s="85"/>
      <c r="Z107" t="str">
        <v>46211/D|BR1/04</v>
      </c>
      <c r="AA107" t="str">
        <v>STM-A40_0106</v>
      </c>
      <c r="AB107" t="str">
        <v>SAP</v>
      </c>
      <c r="AC107" t="str">
        <v>LS_18</v>
      </c>
      <c r="AD107" t="str">
        <v>L18_S09</v>
      </c>
      <c r="AE107" t="str">
        <v>037 / 007</v>
      </c>
      <c r="AF107" t="str">
        <v>No</v>
      </c>
      <c r="AG107" t="str">
        <v/>
      </c>
      <c r="AH107" t="str">
        <v/>
      </c>
      <c r="AJ107" t="str">
        <f ca="1"/>
        <v>Pile_01</v>
      </c>
      <c r="AP107" t="str">
        <v>STM-A40_0067</v>
      </c>
      <c r="AQ107" t="str">
        <v>STM-A40_0088</v>
      </c>
      <c r="AR107" t="str">
        <v>STM-A40_0098</v>
      </c>
      <c r="AS107" t="str">
        <v>STM-A40_0105</v>
      </c>
      <c r="AT107" t="str">
        <v>STM-A40_0106</v>
      </c>
      <c r="AU107" t="str">
        <v>STM-A40_0107</v>
      </c>
      <c r="AV107" t="str">
        <v>STM-A40_0119</v>
      </c>
      <c r="AW107" t="str">
        <v>STM-A40_0136</v>
      </c>
    </row>
    <row r="108" spans="4:49" ht="15.75" x14ac:dyDescent="0.25">
      <c r="D108" s="3">
        <v>8</v>
      </c>
      <c r="F108" s="16" cm="1">
        <f t="array" ref="F1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08" s="31" cm="1">
        <f t="array" ref="G1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10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08" s="32" t="str">
        <f>TEXT(HLG_01[[#This Row],[Batch]],"000")&amp; " / " &amp; TEXT(HLG_01[[#This Row],[Rit]],"000")</f>
        <v>036 / 009</v>
      </c>
      <c r="J108" s="34" t="s">
        <v>2622</v>
      </c>
      <c r="K108" s="38" t="s">
        <v>2595</v>
      </c>
      <c r="L108" s="35"/>
      <c r="M108" s="85"/>
      <c r="N108" s="85"/>
      <c r="O108" s="85"/>
      <c r="P108" s="85"/>
      <c r="Q108" s="85"/>
      <c r="R108" s="85"/>
      <c r="S108" s="100"/>
      <c r="T108" s="100"/>
      <c r="U108" s="98"/>
      <c r="V108" s="95"/>
      <c r="W108" s="95"/>
      <c r="X108" s="85"/>
      <c r="Z108" t="str">
        <v>46211/D|BR1/04</v>
      </c>
      <c r="AA108" t="str">
        <v>STM-A40_0098</v>
      </c>
      <c r="AB108" t="str">
        <v>SAP</v>
      </c>
      <c r="AC108" t="str">
        <v>LS_18</v>
      </c>
      <c r="AD108" t="str">
        <v>L18_S09</v>
      </c>
      <c r="AE108" t="str">
        <v>037 / 008</v>
      </c>
      <c r="AF108" t="str">
        <v>Yes</v>
      </c>
      <c r="AG108" t="str">
        <v/>
      </c>
      <c r="AH108" t="str">
        <v/>
      </c>
      <c r="AJ108" t="str">
        <f ca="1"/>
        <v>Pile_01</v>
      </c>
      <c r="AP108" t="str">
        <v>STM-A40_0067</v>
      </c>
      <c r="AQ108" t="str">
        <v>STM-A40_0088</v>
      </c>
      <c r="AR108" t="str">
        <v>STM-A40_0098</v>
      </c>
      <c r="AS108" t="str">
        <v>STM-A40_0105</v>
      </c>
      <c r="AT108" t="str">
        <v>STM-A40_0106</v>
      </c>
      <c r="AU108" t="str">
        <v>STM-A40_0107</v>
      </c>
      <c r="AV108" t="str">
        <v>STM-A40_0119</v>
      </c>
      <c r="AW108" t="str">
        <v>STM-A40_0136</v>
      </c>
    </row>
    <row r="109" spans="4:49" ht="15.75" x14ac:dyDescent="0.25">
      <c r="D109" s="3">
        <v>8</v>
      </c>
      <c r="F109" s="16" cm="1">
        <f t="array" ref="F1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09" s="31" cm="1">
        <f t="array" ref="G1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10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09" s="32" t="str">
        <f>TEXT(HLG_01[[#This Row],[Batch]],"000")&amp; " / " &amp; TEXT(HLG_01[[#This Row],[Rit]],"000")</f>
        <v>036 / 010</v>
      </c>
      <c r="J109" s="34" t="s">
        <v>2622</v>
      </c>
      <c r="K109" s="38" t="s">
        <v>2604</v>
      </c>
      <c r="L109" s="35"/>
      <c r="M109" s="85"/>
      <c r="N109" s="85"/>
      <c r="O109" s="85"/>
      <c r="P109" s="85"/>
      <c r="Q109" s="85"/>
      <c r="R109" s="85"/>
      <c r="S109" s="100"/>
      <c r="T109" s="100"/>
      <c r="U109" s="98"/>
      <c r="V109" s="95"/>
      <c r="W109" s="95"/>
      <c r="X109" s="85"/>
      <c r="Z109" t="str">
        <v>46211/D|BR1/04</v>
      </c>
      <c r="AA109" t="str">
        <v>STM-A40_0121</v>
      </c>
      <c r="AB109" t="str">
        <v>SAP</v>
      </c>
      <c r="AC109" t="str">
        <v>LS_18</v>
      </c>
      <c r="AD109" t="str">
        <v>L18_S09</v>
      </c>
      <c r="AE109" t="str">
        <v>037 / 009</v>
      </c>
      <c r="AF109" t="str">
        <v>No</v>
      </c>
      <c r="AG109" t="str">
        <v/>
      </c>
      <c r="AH109" t="str">
        <v>TRUCK SALAH</v>
      </c>
      <c r="AJ109" t="str">
        <f ca="1"/>
        <v>Pile_01</v>
      </c>
      <c r="AP109" t="str">
        <v>STM-A40_0067</v>
      </c>
      <c r="AQ109" t="str">
        <v>STM-A40_0088</v>
      </c>
      <c r="AR109" t="str">
        <v>STM-A40_0098</v>
      </c>
      <c r="AS109" t="str">
        <v>STM-A40_0105</v>
      </c>
      <c r="AT109" t="str">
        <v>STM-A40_0106</v>
      </c>
      <c r="AU109" t="str">
        <v>STM-A40_0107</v>
      </c>
      <c r="AV109" t="str">
        <v>STM-A40_0119</v>
      </c>
      <c r="AW109" t="str">
        <v>STM-A40_0136</v>
      </c>
    </row>
    <row r="110" spans="4:49" ht="15.75" x14ac:dyDescent="0.25">
      <c r="D110" s="3">
        <v>8</v>
      </c>
      <c r="F110" s="16" cm="1">
        <f t="array" ref="F1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10" s="31" cm="1">
        <f t="array" ref="G1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11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10" s="32" t="str">
        <f>TEXT(HLG_01[[#This Row],[Batch]],"000")&amp; " / " &amp; TEXT(HLG_01[[#This Row],[Rit]],"000")</f>
        <v>036 / 011</v>
      </c>
      <c r="J110" s="34" t="s">
        <v>2622</v>
      </c>
      <c r="K110" s="38" t="s">
        <v>2606</v>
      </c>
      <c r="L110" s="35"/>
      <c r="M110" s="85"/>
      <c r="N110" s="85"/>
      <c r="O110" s="85"/>
      <c r="P110" s="85"/>
      <c r="Q110" s="85"/>
      <c r="R110" s="85"/>
      <c r="S110" s="100"/>
      <c r="T110" s="100"/>
      <c r="U110" s="98"/>
      <c r="V110" s="95"/>
      <c r="W110" s="95"/>
      <c r="X110" s="85"/>
      <c r="Z110" t="str">
        <v>46211/D|BR1/04</v>
      </c>
      <c r="AA110" t="str">
        <v>STM-A40_0119</v>
      </c>
      <c r="AB110" t="str">
        <v>SAP</v>
      </c>
      <c r="AC110" t="str">
        <v>LS_18</v>
      </c>
      <c r="AD110" t="str">
        <v>L18_S09</v>
      </c>
      <c r="AE110" t="str">
        <v>037 / 010</v>
      </c>
      <c r="AF110" t="str">
        <v>Yes</v>
      </c>
      <c r="AG110" t="str">
        <v/>
      </c>
      <c r="AH110" t="str">
        <v/>
      </c>
      <c r="AJ110" t="str">
        <f ca="1"/>
        <v>Pile_01</v>
      </c>
      <c r="AP110" t="str">
        <v>STM-A40_0067</v>
      </c>
      <c r="AQ110" t="str">
        <v>STM-A40_0088</v>
      </c>
      <c r="AR110" t="str">
        <v>STM-A40_0098</v>
      </c>
      <c r="AS110" t="str">
        <v>STM-A40_0105</v>
      </c>
      <c r="AT110" t="str">
        <v>STM-A40_0106</v>
      </c>
      <c r="AU110" t="str">
        <v>STM-A40_0107</v>
      </c>
      <c r="AV110" t="str">
        <v>STM-A40_0119</v>
      </c>
      <c r="AW110" t="str">
        <v>STM-A40_0136</v>
      </c>
    </row>
    <row r="111" spans="4:49" ht="15.75" x14ac:dyDescent="0.25">
      <c r="D111" s="3">
        <v>8</v>
      </c>
      <c r="F111" s="16" cm="1">
        <f t="array" ref="F1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11" s="31" cm="1">
        <f t="array" ref="G1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11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11" s="32" t="str">
        <f>TEXT(HLG_01[[#This Row],[Batch]],"000")&amp; " / " &amp; TEXT(HLG_01[[#This Row],[Rit]],"000")</f>
        <v>036 / 012</v>
      </c>
      <c r="J111" s="34" t="s">
        <v>2622</v>
      </c>
      <c r="K111" s="38" t="s">
        <v>2607</v>
      </c>
      <c r="L111" s="35"/>
      <c r="M111" s="85"/>
      <c r="N111" s="85"/>
      <c r="O111" s="85"/>
      <c r="P111" s="85"/>
      <c r="Q111" s="85"/>
      <c r="R111" s="85"/>
      <c r="S111" s="100"/>
      <c r="T111" s="100"/>
      <c r="U111" s="98"/>
      <c r="V111" s="95"/>
      <c r="W111" s="95"/>
      <c r="X111" s="85"/>
      <c r="Z111" t="str">
        <v>46211/D|BR1/04</v>
      </c>
      <c r="AA111" t="str">
        <v>STM-A40_0105</v>
      </c>
      <c r="AB111" t="str">
        <v>SAP</v>
      </c>
      <c r="AC111" t="str">
        <v>LS_18</v>
      </c>
      <c r="AD111" t="str">
        <v>L18_S09</v>
      </c>
      <c r="AE111" t="str">
        <v>037 / 011</v>
      </c>
      <c r="AF111" t="str">
        <v>No</v>
      </c>
      <c r="AG111" t="str">
        <v/>
      </c>
      <c r="AH111" t="str">
        <v/>
      </c>
      <c r="AJ111" t="str">
        <f ca="1"/>
        <v>Pile_01</v>
      </c>
      <c r="AP111" t="str">
        <v>STM-A40_0067</v>
      </c>
      <c r="AQ111" t="str">
        <v>STM-A40_0088</v>
      </c>
      <c r="AR111" t="str">
        <v>STM-A40_0098</v>
      </c>
      <c r="AS111" t="str">
        <v>STM-A40_0105</v>
      </c>
      <c r="AT111" t="str">
        <v>STM-A40_0106</v>
      </c>
      <c r="AU111" t="str">
        <v>STM-A40_0107</v>
      </c>
      <c r="AV111" t="str">
        <v>STM-A40_0119</v>
      </c>
      <c r="AW111" t="str">
        <v>STM-A40_0136</v>
      </c>
    </row>
    <row r="112" spans="4:49" ht="15.75" x14ac:dyDescent="0.25">
      <c r="D112" s="3" t="e">
        <v>#N/A</v>
      </c>
      <c r="F112" s="16" cm="1">
        <f t="array" ref="F1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12" s="31" cm="1">
        <f t="array" ref="G1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11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12" s="32" t="str">
        <f>TEXT(HLG_01[[#This Row],[Batch]],"000")&amp; " / " &amp; TEXT(HLG_01[[#This Row],[Rit]],"000")</f>
        <v>036 / 013</v>
      </c>
      <c r="J112" s="34" t="s">
        <v>2622</v>
      </c>
      <c r="K112" s="38" t="s">
        <v>2602</v>
      </c>
      <c r="L112" s="35"/>
      <c r="M112" s="85"/>
      <c r="N112" s="85"/>
      <c r="O112" s="85"/>
      <c r="P112" s="85"/>
      <c r="Q112" s="85"/>
      <c r="R112" s="85"/>
      <c r="S112" s="100"/>
      <c r="T112" s="100"/>
      <c r="U112" s="98"/>
      <c r="V112" s="95"/>
      <c r="W112" s="95"/>
      <c r="X112" s="85"/>
      <c r="Z112" t="str">
        <v>46211/D|BR1/04</v>
      </c>
      <c r="AA112" t="str">
        <v>STM-A40_0106</v>
      </c>
      <c r="AB112" t="str">
        <v>SAP</v>
      </c>
      <c r="AC112" t="str">
        <v>LS_18</v>
      </c>
      <c r="AD112" t="str">
        <v>L18_S09</v>
      </c>
      <c r="AE112" t="str">
        <v>037 / 012</v>
      </c>
      <c r="AF112" t="str">
        <v>Yes</v>
      </c>
      <c r="AG112" t="str">
        <v/>
      </c>
      <c r="AH112" t="str">
        <v/>
      </c>
      <c r="AJ112" t="str">
        <f ca="1"/>
        <v>Pile_01</v>
      </c>
      <c r="AP112" t="str">
        <v>STM-A40_0067</v>
      </c>
      <c r="AQ112" t="str">
        <v>STM-A40_0088</v>
      </c>
      <c r="AR112" t="str">
        <v>STM-A40_0098</v>
      </c>
      <c r="AS112" t="str">
        <v>STM-A40_0105</v>
      </c>
      <c r="AT112" t="str">
        <v>STM-A40_0106</v>
      </c>
      <c r="AU112" t="str">
        <v>STM-A40_0107</v>
      </c>
      <c r="AV112" t="str">
        <v>STM-A40_0119</v>
      </c>
      <c r="AW112" t="str">
        <v>STM-A40_0136</v>
      </c>
    </row>
    <row r="113" spans="4:49" ht="15.75" x14ac:dyDescent="0.25">
      <c r="D113" s="3">
        <v>8</v>
      </c>
      <c r="F113" s="16" cm="1">
        <f t="array" ref="F1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13" s="31" cm="1">
        <f t="array" ref="G1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11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13" s="32" t="str">
        <f>TEXT(HLG_01[[#This Row],[Batch]],"000")&amp; " / " &amp; TEXT(HLG_01[[#This Row],[Rit]],"000")</f>
        <v>036 / 014</v>
      </c>
      <c r="J113" s="34" t="s">
        <v>2622</v>
      </c>
      <c r="K113" s="38" t="s">
        <v>2595</v>
      </c>
      <c r="L113" s="35"/>
      <c r="M113" s="85"/>
      <c r="N113" s="85"/>
      <c r="O113" s="85"/>
      <c r="P113" s="85"/>
      <c r="Q113" s="85"/>
      <c r="R113" s="85"/>
      <c r="S113" s="100"/>
      <c r="T113" s="100"/>
      <c r="U113" s="98"/>
      <c r="V113" s="95"/>
      <c r="W113" s="95"/>
      <c r="X113" s="85"/>
      <c r="Z113" t="str">
        <v>46211/D|BR1/04</v>
      </c>
      <c r="AA113" t="str">
        <v>STM-A40_0098</v>
      </c>
      <c r="AB113" t="str">
        <v>SAP</v>
      </c>
      <c r="AC113" t="str">
        <v>LS_18</v>
      </c>
      <c r="AD113" t="str">
        <v>L18_S09</v>
      </c>
      <c r="AE113" t="str">
        <v>037 / 013</v>
      </c>
      <c r="AF113" t="str">
        <v>No</v>
      </c>
      <c r="AG113" t="str">
        <v/>
      </c>
      <c r="AH113" t="str">
        <v/>
      </c>
      <c r="AJ113" t="str">
        <f ca="1"/>
        <v>Pile_01</v>
      </c>
      <c r="AP113" t="str">
        <v>STM-A40_0067</v>
      </c>
      <c r="AQ113" t="str">
        <v>STM-A40_0088</v>
      </c>
      <c r="AR113" t="str">
        <v>STM-A40_0098</v>
      </c>
      <c r="AS113" t="str">
        <v>STM-A40_0105</v>
      </c>
      <c r="AT113" t="str">
        <v>STM-A40_0106</v>
      </c>
      <c r="AU113" t="str">
        <v>STM-A40_0107</v>
      </c>
      <c r="AV113" t="str">
        <v>STM-A40_0119</v>
      </c>
      <c r="AW113" t="str">
        <v>STM-A40_0136</v>
      </c>
    </row>
    <row r="114" spans="4:49" ht="15.75" x14ac:dyDescent="0.25">
      <c r="D114" s="3">
        <v>8</v>
      </c>
      <c r="F114" s="16" cm="1">
        <f t="array" ref="F1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14" s="31" cm="1">
        <f t="array" ref="G1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11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14" s="32" t="str">
        <f>TEXT(HLG_01[[#This Row],[Batch]],"000")&amp; " / " &amp; TEXT(HLG_01[[#This Row],[Rit]],"000")</f>
        <v>036 / 015</v>
      </c>
      <c r="J114" s="34" t="s">
        <v>2622</v>
      </c>
      <c r="K114" s="38" t="s">
        <v>2607</v>
      </c>
      <c r="L114" s="35"/>
      <c r="M114" s="85"/>
      <c r="N114" s="85"/>
      <c r="O114" s="85"/>
      <c r="P114" s="85"/>
      <c r="Q114" s="85"/>
      <c r="R114" s="85"/>
      <c r="S114" s="100"/>
      <c r="T114" s="100"/>
      <c r="U114" s="98"/>
      <c r="V114" s="95"/>
      <c r="W114" s="95"/>
      <c r="X114" s="85"/>
      <c r="Z114" t="str">
        <v>46211/D|BR1/04</v>
      </c>
      <c r="AA114" t="str">
        <v>STM-A40_0119</v>
      </c>
      <c r="AB114" t="str">
        <v>SAP</v>
      </c>
      <c r="AC114" t="str">
        <v>LS_18</v>
      </c>
      <c r="AD114" t="str">
        <v>L18_S09</v>
      </c>
      <c r="AE114" t="str">
        <v>037 / 014</v>
      </c>
      <c r="AF114" t="str">
        <v>Yes</v>
      </c>
      <c r="AG114" t="str">
        <v/>
      </c>
      <c r="AH114" t="str">
        <v/>
      </c>
      <c r="AJ114" t="str">
        <f ca="1"/>
        <v>Pile_01</v>
      </c>
      <c r="AP114" t="str">
        <v>STM-A40_0067</v>
      </c>
      <c r="AQ114" t="str">
        <v>STM-A40_0088</v>
      </c>
      <c r="AR114" t="str">
        <v>STM-A40_0098</v>
      </c>
      <c r="AS114" t="str">
        <v>STM-A40_0105</v>
      </c>
      <c r="AT114" t="str">
        <v>STM-A40_0106</v>
      </c>
      <c r="AU114" t="str">
        <v>STM-A40_0107</v>
      </c>
      <c r="AV114" t="str">
        <v>STM-A40_0119</v>
      </c>
      <c r="AW114" t="str">
        <v>STM-A40_0136</v>
      </c>
    </row>
    <row r="115" spans="4:49" ht="15.75" x14ac:dyDescent="0.25">
      <c r="D115" s="3">
        <v>8</v>
      </c>
      <c r="F115" s="16" cm="1">
        <f t="array" ref="F1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15" s="31" cm="1">
        <f t="array" ref="G1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11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15" s="32" t="str">
        <f>TEXT(HLG_01[[#This Row],[Batch]],"000")&amp; " / " &amp; TEXT(HLG_01[[#This Row],[Rit]],"000")</f>
        <v>036 / 016</v>
      </c>
      <c r="J115" s="34" t="s">
        <v>2622</v>
      </c>
      <c r="K115" s="38" t="s">
        <v>2606</v>
      </c>
      <c r="L115" s="35"/>
      <c r="M115" s="85"/>
      <c r="N115" s="85"/>
      <c r="O115" s="85"/>
      <c r="P115" s="85"/>
      <c r="Q115" s="85"/>
      <c r="R115" s="85"/>
      <c r="S115" s="100"/>
      <c r="T115" s="100"/>
      <c r="U115" s="98"/>
      <c r="V115" s="95"/>
      <c r="W115" s="95"/>
      <c r="X115" s="85"/>
      <c r="Z115" t="str">
        <v>46211/D|BR1/04</v>
      </c>
      <c r="AA115" t="str">
        <v>STM-A40_0106</v>
      </c>
      <c r="AB115" t="str">
        <v>SAP</v>
      </c>
      <c r="AC115" t="str">
        <v>LS_18</v>
      </c>
      <c r="AD115" t="str">
        <v>L18_S09</v>
      </c>
      <c r="AE115" t="str">
        <v>037 / 015</v>
      </c>
      <c r="AF115" t="str">
        <v>No</v>
      </c>
      <c r="AG115" t="str">
        <v/>
      </c>
      <c r="AH115" t="str">
        <v/>
      </c>
      <c r="AJ115" t="str">
        <f ca="1"/>
        <v>Pile_01</v>
      </c>
      <c r="AP115" t="str">
        <v>STM-A40_0067</v>
      </c>
      <c r="AQ115" t="str">
        <v>STM-A40_0088</v>
      </c>
      <c r="AR115" t="str">
        <v>STM-A40_0098</v>
      </c>
      <c r="AS115" t="str">
        <v>STM-A40_0105</v>
      </c>
      <c r="AT115" t="str">
        <v>STM-A40_0106</v>
      </c>
      <c r="AU115" t="str">
        <v>STM-A40_0107</v>
      </c>
      <c r="AV115" t="str">
        <v>STM-A40_0119</v>
      </c>
      <c r="AW115" t="str">
        <v>STM-A40_0136</v>
      </c>
    </row>
    <row r="116" spans="4:49" ht="15.75" x14ac:dyDescent="0.25">
      <c r="D116" s="3">
        <v>8</v>
      </c>
      <c r="F116" s="16" cm="1">
        <f t="array" ref="F1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16" s="31" cm="1">
        <f t="array" ref="G1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11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16" s="32" t="str">
        <f>TEXT(HLG_01[[#This Row],[Batch]],"000")&amp; " / " &amp; TEXT(HLG_01[[#This Row],[Rit]],"000")</f>
        <v>036 / 017</v>
      </c>
      <c r="J116" s="34" t="s">
        <v>2622</v>
      </c>
      <c r="K116" s="38" t="s">
        <v>2604</v>
      </c>
      <c r="L116" s="35"/>
      <c r="M116" s="85"/>
      <c r="N116" s="85"/>
      <c r="O116" s="85"/>
      <c r="P116" s="85"/>
      <c r="Q116" s="85"/>
      <c r="R116" s="85"/>
      <c r="S116" s="100"/>
      <c r="T116" s="100"/>
      <c r="U116" s="98"/>
      <c r="V116" s="95"/>
      <c r="W116" s="95"/>
      <c r="X116" s="85"/>
      <c r="Z116" t="str">
        <v>46211/D|BR1/04</v>
      </c>
      <c r="AA116" t="str">
        <v>STM-A40_0121</v>
      </c>
      <c r="AB116" t="str">
        <v>SAP</v>
      </c>
      <c r="AC116" t="str">
        <v>LS_18</v>
      </c>
      <c r="AD116" t="str">
        <v>L18_S09</v>
      </c>
      <c r="AE116" t="str">
        <v>037 / 016</v>
      </c>
      <c r="AF116" t="str">
        <v>Yes</v>
      </c>
      <c r="AG116" t="str">
        <v/>
      </c>
      <c r="AH116" t="str">
        <v>TRUCK SALAH</v>
      </c>
      <c r="AJ116" t="str">
        <f ca="1"/>
        <v>Pile_01</v>
      </c>
      <c r="AP116" t="str">
        <v>STM-A40_0067</v>
      </c>
      <c r="AQ116" t="str">
        <v>STM-A40_0088</v>
      </c>
      <c r="AR116" t="str">
        <v>STM-A40_0098</v>
      </c>
      <c r="AS116" t="str">
        <v>STM-A40_0105</v>
      </c>
      <c r="AT116" t="str">
        <v>STM-A40_0106</v>
      </c>
      <c r="AU116" t="str">
        <v>STM-A40_0107</v>
      </c>
      <c r="AV116" t="str">
        <v>STM-A40_0119</v>
      </c>
      <c r="AW116" t="str">
        <v>STM-A40_0136</v>
      </c>
    </row>
    <row r="117" spans="4:49" ht="15.75" x14ac:dyDescent="0.25">
      <c r="D117" s="3">
        <v>8</v>
      </c>
      <c r="F117" s="16" cm="1">
        <f t="array" ref="F1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17" s="31" cm="1">
        <f t="array" ref="G1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11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17" s="32" t="str">
        <f>TEXT(HLG_01[[#This Row],[Batch]],"000")&amp; " / " &amp; TEXT(HLG_01[[#This Row],[Rit]],"000")</f>
        <v>036 / 018</v>
      </c>
      <c r="J117" s="34" t="s">
        <v>2622</v>
      </c>
      <c r="K117" s="38" t="s">
        <v>2603</v>
      </c>
      <c r="L117" s="35"/>
      <c r="M117" s="85"/>
      <c r="N117" s="85"/>
      <c r="O117" s="85"/>
      <c r="P117" s="85"/>
      <c r="Q117" s="85"/>
      <c r="R117" s="85"/>
      <c r="S117" s="100"/>
      <c r="T117" s="100"/>
      <c r="U117" s="98"/>
      <c r="V117" s="95"/>
      <c r="W117" s="95"/>
      <c r="X117" s="85"/>
      <c r="Z117" t="str">
        <v>46211/D|BR1/04</v>
      </c>
      <c r="AA117" t="str">
        <v>STM-A40_0119</v>
      </c>
      <c r="AB117" t="str">
        <v>SAP</v>
      </c>
      <c r="AC117" t="str">
        <v>LS_18</v>
      </c>
      <c r="AD117" t="str">
        <v>L18_S09</v>
      </c>
      <c r="AE117" t="str">
        <v>037 / 017</v>
      </c>
      <c r="AF117" t="str">
        <v>No</v>
      </c>
      <c r="AG117" t="str">
        <v/>
      </c>
      <c r="AH117" t="str">
        <v/>
      </c>
      <c r="AJ117" t="str">
        <f ca="1"/>
        <v>Pile_01</v>
      </c>
      <c r="AP117" t="str">
        <v>STM-A40_0067</v>
      </c>
      <c r="AQ117" t="str">
        <v>STM-A40_0088</v>
      </c>
      <c r="AR117" t="str">
        <v>STM-A40_0098</v>
      </c>
      <c r="AS117" t="str">
        <v>STM-A40_0105</v>
      </c>
      <c r="AT117" t="str">
        <v>STM-A40_0106</v>
      </c>
      <c r="AU117" t="str">
        <v>STM-A40_0107</v>
      </c>
      <c r="AV117" t="str">
        <v>STM-A40_0119</v>
      </c>
      <c r="AW117" t="str">
        <v>STM-A40_0136</v>
      </c>
    </row>
    <row r="118" spans="4:49" ht="15.75" x14ac:dyDescent="0.25">
      <c r="D118" s="3">
        <v>8</v>
      </c>
      <c r="F118" s="16" cm="1">
        <f t="array" ref="F1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18" s="31" cm="1">
        <f t="array" ref="G1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11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18" s="32" t="str">
        <f>TEXT(HLG_01[[#This Row],[Batch]],"000")&amp; " / " &amp; TEXT(HLG_01[[#This Row],[Rit]],"000")</f>
        <v>036 / 019</v>
      </c>
      <c r="J118" s="34" t="s">
        <v>2622</v>
      </c>
      <c r="K118" s="38" t="s">
        <v>2605</v>
      </c>
      <c r="L118" s="35"/>
      <c r="M118" s="85"/>
      <c r="N118" s="85"/>
      <c r="O118" s="85"/>
      <c r="P118" s="85"/>
      <c r="Q118" s="85"/>
      <c r="R118" s="85"/>
      <c r="S118" s="100"/>
      <c r="T118" s="100"/>
      <c r="U118" s="98"/>
      <c r="V118" s="95"/>
      <c r="W118" s="95"/>
      <c r="X118" s="85"/>
      <c r="Z118" t="str">
        <v>46211/D|BR1/04</v>
      </c>
      <c r="AA118" t="str">
        <v>STM-A40_0105</v>
      </c>
      <c r="AB118" t="str">
        <v>SAP</v>
      </c>
      <c r="AC118" t="str">
        <v>LS_18</v>
      </c>
      <c r="AD118" t="str">
        <v>L18_S09</v>
      </c>
      <c r="AE118" t="str">
        <v>037 / 018</v>
      </c>
      <c r="AF118" t="str">
        <v>Yes</v>
      </c>
      <c r="AG118" t="str">
        <v/>
      </c>
      <c r="AH118" t="str">
        <v/>
      </c>
      <c r="AJ118" t="str">
        <f ca="1"/>
        <v>Pile_01</v>
      </c>
      <c r="AP118" t="str">
        <v>STM-A40_0067</v>
      </c>
      <c r="AQ118" t="str">
        <v>STM-A40_0088</v>
      </c>
      <c r="AR118" t="str">
        <v>STM-A40_0098</v>
      </c>
      <c r="AS118" t="str">
        <v>STM-A40_0105</v>
      </c>
      <c r="AT118" t="str">
        <v>STM-A40_0106</v>
      </c>
      <c r="AU118" t="str">
        <v>STM-A40_0107</v>
      </c>
      <c r="AV118" t="str">
        <v>STM-A40_0119</v>
      </c>
      <c r="AW118" t="str">
        <v>STM-A40_0136</v>
      </c>
    </row>
    <row r="119" spans="4:49" ht="15.75" x14ac:dyDescent="0.25">
      <c r="D119" s="3">
        <v>8</v>
      </c>
      <c r="F119" s="16" cm="1">
        <f t="array" ref="F1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36</v>
      </c>
      <c r="G119" s="31" cm="1">
        <f t="array" ref="G1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11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19" s="32" t="str">
        <f>TEXT(HLG_01[[#This Row],[Batch]],"000")&amp; " / " &amp; TEXT(HLG_01[[#This Row],[Rit]],"000")</f>
        <v>036 / 020</v>
      </c>
      <c r="J119" s="34" t="s">
        <v>2622</v>
      </c>
      <c r="K119" s="38" t="s">
        <v>2606</v>
      </c>
      <c r="L119" s="35"/>
      <c r="M119" s="85"/>
      <c r="N119" s="85"/>
      <c r="O119" s="85"/>
      <c r="P119" s="85"/>
      <c r="Q119" s="85"/>
      <c r="R119" s="85"/>
      <c r="S119" s="100"/>
      <c r="T119" s="100"/>
      <c r="U119" s="98"/>
      <c r="V119" s="95"/>
      <c r="W119" s="95"/>
      <c r="X119" s="85"/>
      <c r="Z119" t="str">
        <v>46211/D|BR1/04</v>
      </c>
      <c r="AA119" t="str">
        <v>STM-A40_0106</v>
      </c>
      <c r="AB119" t="str">
        <v>SAP</v>
      </c>
      <c r="AC119" t="str">
        <v>LS_18</v>
      </c>
      <c r="AD119" t="str">
        <v>L18_S09</v>
      </c>
      <c r="AE119" t="str">
        <v>037 / 019</v>
      </c>
      <c r="AF119" t="str">
        <v>No</v>
      </c>
      <c r="AG119" t="str">
        <v/>
      </c>
      <c r="AH119" t="str">
        <v/>
      </c>
      <c r="AJ119" t="str">
        <f ca="1"/>
        <v>Pile_01</v>
      </c>
      <c r="AP119" t="str">
        <v>STM-A40_0067</v>
      </c>
      <c r="AQ119" t="str">
        <v>STM-A40_0088</v>
      </c>
      <c r="AR119" t="str">
        <v>STM-A40_0098</v>
      </c>
      <c r="AS119" t="str">
        <v>STM-A40_0105</v>
      </c>
      <c r="AT119" t="str">
        <v>STM-A40_0106</v>
      </c>
      <c r="AU119" t="str">
        <v>STM-A40_0107</v>
      </c>
      <c r="AV119" t="str">
        <v>STM-A40_0119</v>
      </c>
      <c r="AW119" t="str">
        <v>STM-A40_0136</v>
      </c>
    </row>
    <row r="120" spans="4:49" ht="15.75" x14ac:dyDescent="0.25">
      <c r="D120" s="3">
        <v>9</v>
      </c>
      <c r="F120" s="16" cm="1">
        <f t="array" ref="F1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20" s="31" cm="1">
        <f t="array" ref="G1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12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20" s="32" t="str">
        <f>TEXT(HLG_01[[#This Row],[Batch]],"000")&amp; " / " &amp; TEXT(HLG_01[[#This Row],[Rit]],"000")</f>
        <v>037 / 001</v>
      </c>
      <c r="J120" s="34" t="s">
        <v>2622</v>
      </c>
      <c r="K120" s="38" t="s">
        <v>2607</v>
      </c>
      <c r="L120" s="35"/>
      <c r="M120" s="85"/>
      <c r="N120" s="85"/>
      <c r="O120" s="85"/>
      <c r="P120" s="85"/>
      <c r="Q120" s="85"/>
      <c r="R120" s="85"/>
      <c r="S120" s="100"/>
      <c r="T120" s="100"/>
      <c r="U120" s="98"/>
      <c r="V120" s="95"/>
      <c r="W120" s="95"/>
      <c r="X120" s="85"/>
      <c r="Z120" t="str">
        <v>46211/D|BR1/04</v>
      </c>
      <c r="AA120" t="str">
        <v>STM-A40_0107</v>
      </c>
      <c r="AB120" t="str">
        <v>SAP</v>
      </c>
      <c r="AC120" t="str">
        <v>LS_18</v>
      </c>
      <c r="AD120" t="str">
        <v>L18_S09</v>
      </c>
      <c r="AE120" t="str">
        <v>037 / 020</v>
      </c>
      <c r="AF120" t="str">
        <v>Yes</v>
      </c>
      <c r="AG120" t="str">
        <v/>
      </c>
      <c r="AH120" t="str">
        <v/>
      </c>
      <c r="AJ120" t="str">
        <f ca="1"/>
        <v>Pile_01</v>
      </c>
      <c r="AP120" t="str">
        <v>STM-A40_0067</v>
      </c>
      <c r="AQ120" t="str">
        <v>STM-A40_0088</v>
      </c>
      <c r="AR120" t="str">
        <v>STM-A40_0098</v>
      </c>
      <c r="AS120" t="str">
        <v>STM-A40_0105</v>
      </c>
      <c r="AT120" t="str">
        <v>STM-A40_0106</v>
      </c>
      <c r="AU120" t="str">
        <v>STM-A40_0107</v>
      </c>
      <c r="AV120" t="str">
        <v>STM-A40_0119</v>
      </c>
      <c r="AW120" t="str">
        <v>STM-A40_0136</v>
      </c>
    </row>
    <row r="121" spans="4:49" ht="15.75" x14ac:dyDescent="0.25">
      <c r="D121" s="3">
        <v>9</v>
      </c>
      <c r="F121" s="16" cm="1">
        <f t="array" ref="F1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21" s="31" cm="1">
        <f t="array" ref="G1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12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21" s="32" t="str">
        <f>TEXT(HLG_01[[#This Row],[Batch]],"000")&amp; " / " &amp; TEXT(HLG_01[[#This Row],[Rit]],"000")</f>
        <v>037 / 002</v>
      </c>
      <c r="J121" s="34" t="s">
        <v>2622</v>
      </c>
      <c r="K121" s="38" t="s">
        <v>2606</v>
      </c>
      <c r="L121" s="35"/>
      <c r="M121" s="85"/>
      <c r="N121" s="85"/>
      <c r="O121" s="85"/>
      <c r="P121" s="85"/>
      <c r="Q121" s="85"/>
      <c r="R121" s="85"/>
      <c r="S121" s="100"/>
      <c r="T121" s="100"/>
      <c r="U121" s="98"/>
      <c r="V121" s="95"/>
      <c r="W121" s="95"/>
      <c r="X121" s="85"/>
      <c r="Z121" t="str">
        <v>46211/D|BR1/02</v>
      </c>
      <c r="AA121" t="str">
        <v>STM-A40_0097</v>
      </c>
      <c r="AB121" t="str">
        <v>SAP</v>
      </c>
      <c r="AC121" t="str">
        <v>LS_18</v>
      </c>
      <c r="AD121" t="str">
        <v>L18_S09</v>
      </c>
      <c r="AE121" t="str">
        <v>038 / 001</v>
      </c>
      <c r="AF121" t="str">
        <v>No</v>
      </c>
      <c r="AG121" t="str">
        <v/>
      </c>
      <c r="AH121" t="str">
        <v/>
      </c>
      <c r="AJ121" t="str">
        <f ca="1"/>
        <v>Pile_01</v>
      </c>
      <c r="AP121" t="str">
        <v>STM-A40_0067</v>
      </c>
      <c r="AQ121" t="str">
        <v>STM-A40_0088</v>
      </c>
      <c r="AR121" t="str">
        <v>STM-A40_0098</v>
      </c>
      <c r="AS121" t="str">
        <v>STM-A40_0105</v>
      </c>
      <c r="AT121" t="str">
        <v>STM-A40_0106</v>
      </c>
      <c r="AU121" t="str">
        <v>STM-A40_0107</v>
      </c>
      <c r="AV121" t="str">
        <v>STM-A40_0119</v>
      </c>
      <c r="AW121" t="str">
        <v>STM-A40_0136</v>
      </c>
    </row>
    <row r="122" spans="4:49" ht="15.75" x14ac:dyDescent="0.25">
      <c r="D122" s="3">
        <v>9</v>
      </c>
      <c r="F122" s="16" cm="1">
        <f t="array" ref="F1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22" s="31" cm="1">
        <f t="array" ref="G1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12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22" s="32" t="str">
        <f>TEXT(HLG_01[[#This Row],[Batch]],"000")&amp; " / " &amp; TEXT(HLG_01[[#This Row],[Rit]],"000")</f>
        <v>037 / 003</v>
      </c>
      <c r="J122" s="34" t="s">
        <v>2622</v>
      </c>
      <c r="K122" s="38" t="s">
        <v>2603</v>
      </c>
      <c r="L122" s="35"/>
      <c r="M122" s="85"/>
      <c r="N122" s="85"/>
      <c r="O122" s="85"/>
      <c r="P122" s="85"/>
      <c r="Q122" s="85"/>
      <c r="R122" s="85"/>
      <c r="S122" s="100"/>
      <c r="T122" s="100"/>
      <c r="U122" s="98"/>
      <c r="V122" s="95"/>
      <c r="W122" s="95"/>
      <c r="X122" s="85"/>
      <c r="Z122" t="str">
        <v>46211/D|BR1/02</v>
      </c>
      <c r="AA122" t="str">
        <v>STM-A40_0136</v>
      </c>
      <c r="AB122" t="str">
        <v>SAP</v>
      </c>
      <c r="AC122" t="str">
        <v>LS_18</v>
      </c>
      <c r="AD122" t="str">
        <v>L18_S09</v>
      </c>
      <c r="AE122" t="str">
        <v>038 / 002</v>
      </c>
      <c r="AF122" t="str">
        <v>Yes</v>
      </c>
      <c r="AG122" t="str">
        <v/>
      </c>
      <c r="AH122" t="str">
        <v/>
      </c>
      <c r="AJ122" t="str">
        <f ca="1"/>
        <v>Pile_01</v>
      </c>
      <c r="AP122" t="str">
        <v>STM-A40_0067</v>
      </c>
      <c r="AQ122" t="str">
        <v>STM-A40_0088</v>
      </c>
      <c r="AR122" t="str">
        <v>STM-A40_0098</v>
      </c>
      <c r="AS122" t="str">
        <v>STM-A40_0105</v>
      </c>
      <c r="AT122" t="str">
        <v>STM-A40_0106</v>
      </c>
      <c r="AU122" t="str">
        <v>STM-A40_0107</v>
      </c>
      <c r="AV122" t="str">
        <v>STM-A40_0119</v>
      </c>
      <c r="AW122" t="str">
        <v>STM-A40_0136</v>
      </c>
    </row>
    <row r="123" spans="4:49" ht="15.75" x14ac:dyDescent="0.25">
      <c r="D123" s="3">
        <v>9</v>
      </c>
      <c r="F123" s="16" cm="1">
        <f t="array" ref="F1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23" s="31" cm="1">
        <f t="array" ref="G1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12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23" s="32" t="str">
        <f>TEXT(HLG_01[[#This Row],[Batch]],"000")&amp; " / " &amp; TEXT(HLG_01[[#This Row],[Rit]],"000")</f>
        <v>037 / 004</v>
      </c>
      <c r="J123" s="34" t="s">
        <v>2622</v>
      </c>
      <c r="K123" s="38" t="s">
        <v>2604</v>
      </c>
      <c r="L123" s="35"/>
      <c r="M123" s="85"/>
      <c r="N123" s="85"/>
      <c r="O123" s="85"/>
      <c r="P123" s="85"/>
      <c r="Q123" s="85"/>
      <c r="R123" s="85"/>
      <c r="S123" s="100"/>
      <c r="T123" s="100"/>
      <c r="U123" s="98"/>
      <c r="V123" s="95"/>
      <c r="W123" s="95"/>
      <c r="X123" s="85"/>
      <c r="Z123" t="str">
        <v>46211/D|BR1/02</v>
      </c>
      <c r="AA123" t="str">
        <v>STM-A40_0087</v>
      </c>
      <c r="AB123" t="str">
        <v>SAP</v>
      </c>
      <c r="AC123" t="str">
        <v>LS_18</v>
      </c>
      <c r="AD123" t="str">
        <v>L18_S09</v>
      </c>
      <c r="AE123" t="str">
        <v>038 / 003</v>
      </c>
      <c r="AF123" t="str">
        <v>No</v>
      </c>
      <c r="AG123" t="str">
        <v/>
      </c>
      <c r="AH123" t="str">
        <v/>
      </c>
      <c r="AJ123" t="str">
        <f ca="1"/>
        <v>Pile_01</v>
      </c>
      <c r="AP123" t="str">
        <v>STM-A40_0067</v>
      </c>
      <c r="AQ123" t="str">
        <v>STM-A40_0088</v>
      </c>
      <c r="AR123" t="str">
        <v>STM-A40_0098</v>
      </c>
      <c r="AS123" t="str">
        <v>STM-A40_0105</v>
      </c>
      <c r="AT123" t="str">
        <v>STM-A40_0106</v>
      </c>
      <c r="AU123" t="str">
        <v>STM-A40_0107</v>
      </c>
      <c r="AV123" t="str">
        <v>STM-A40_0119</v>
      </c>
      <c r="AW123" t="str">
        <v>STM-A40_0136</v>
      </c>
    </row>
    <row r="124" spans="4:49" ht="15.75" x14ac:dyDescent="0.25">
      <c r="D124" s="3">
        <v>9</v>
      </c>
      <c r="F124" s="16" cm="1">
        <f t="array" ref="F1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24" s="31" cm="1">
        <f t="array" ref="G1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12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24" s="32" t="str">
        <f>TEXT(HLG_01[[#This Row],[Batch]],"000")&amp; " / " &amp; TEXT(HLG_01[[#This Row],[Rit]],"000")</f>
        <v>037 / 005</v>
      </c>
      <c r="J124" s="34" t="s">
        <v>2622</v>
      </c>
      <c r="K124" s="38" t="s">
        <v>2603</v>
      </c>
      <c r="L124" s="35"/>
      <c r="M124" s="85"/>
      <c r="N124" s="85"/>
      <c r="O124" s="85"/>
      <c r="P124" s="85"/>
      <c r="Q124" s="85"/>
      <c r="R124" s="85"/>
      <c r="S124" s="100"/>
      <c r="T124" s="100"/>
      <c r="U124" s="98"/>
      <c r="V124" s="95"/>
      <c r="W124" s="95"/>
      <c r="X124" s="85"/>
      <c r="Z124" t="str">
        <v>46211/D|BR1/02</v>
      </c>
      <c r="AA124" t="str">
        <v>STM-A40_0069</v>
      </c>
      <c r="AB124" t="str">
        <v>SAP</v>
      </c>
      <c r="AC124" t="str">
        <v>LS_18</v>
      </c>
      <c r="AD124" t="str">
        <v>L18_S09</v>
      </c>
      <c r="AE124" t="str">
        <v>038 / 004</v>
      </c>
      <c r="AF124" t="str">
        <v>Yes</v>
      </c>
      <c r="AG124" t="str">
        <v/>
      </c>
      <c r="AH124" t="str">
        <v/>
      </c>
      <c r="AJ124" t="str">
        <f ca="1"/>
        <v>Pile_01</v>
      </c>
      <c r="AP124" t="str">
        <v>STM-A40_0067</v>
      </c>
      <c r="AQ124" t="str">
        <v>STM-A40_0088</v>
      </c>
      <c r="AR124" t="str">
        <v>STM-A40_0098</v>
      </c>
      <c r="AS124" t="str">
        <v>STM-A40_0105</v>
      </c>
      <c r="AT124" t="str">
        <v>STM-A40_0106</v>
      </c>
      <c r="AU124" t="str">
        <v>STM-A40_0107</v>
      </c>
      <c r="AV124" t="str">
        <v>STM-A40_0119</v>
      </c>
      <c r="AW124" t="str">
        <v>STM-A40_0136</v>
      </c>
    </row>
    <row r="125" spans="4:49" ht="15.75" x14ac:dyDescent="0.25">
      <c r="D125" s="3">
        <v>9</v>
      </c>
      <c r="F125" s="16" cm="1">
        <f t="array" ref="F1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25" s="31" cm="1">
        <f t="array" ref="G1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12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25" s="32" t="str">
        <f>TEXT(HLG_01[[#This Row],[Batch]],"000")&amp; " / " &amp; TEXT(HLG_01[[#This Row],[Rit]],"000")</f>
        <v>037 / 006</v>
      </c>
      <c r="J125" s="34" t="s">
        <v>2622</v>
      </c>
      <c r="K125" s="38" t="s">
        <v>2605</v>
      </c>
      <c r="L125" s="35"/>
      <c r="M125" s="85"/>
      <c r="N125" s="85"/>
      <c r="O125" s="85"/>
      <c r="P125" s="85"/>
      <c r="Q125" s="85"/>
      <c r="R125" s="85"/>
      <c r="S125" s="100"/>
      <c r="T125" s="100"/>
      <c r="U125" s="98"/>
      <c r="V125" s="95"/>
      <c r="W125" s="95"/>
      <c r="X125" s="85"/>
      <c r="Z125" t="str">
        <v>46211/D|BR1/02</v>
      </c>
      <c r="AA125" t="str">
        <v>STM-A40_0132</v>
      </c>
      <c r="AB125" t="str">
        <v>SAP</v>
      </c>
      <c r="AC125" t="str">
        <v>LS_18</v>
      </c>
      <c r="AD125" t="str">
        <v>L18_S09</v>
      </c>
      <c r="AE125" t="str">
        <v>038 / 005</v>
      </c>
      <c r="AF125" t="str">
        <v>No</v>
      </c>
      <c r="AG125" t="str">
        <v/>
      </c>
      <c r="AH125" t="str">
        <v/>
      </c>
      <c r="AJ125" t="str">
        <f ca="1"/>
        <v>Pile_01</v>
      </c>
      <c r="AP125" t="str">
        <v>STM-A40_0067</v>
      </c>
      <c r="AQ125" t="str">
        <v>STM-A40_0088</v>
      </c>
      <c r="AR125" t="str">
        <v>STM-A40_0098</v>
      </c>
      <c r="AS125" t="str">
        <v>STM-A40_0105</v>
      </c>
      <c r="AT125" t="str">
        <v>STM-A40_0106</v>
      </c>
      <c r="AU125" t="str">
        <v>STM-A40_0107</v>
      </c>
      <c r="AV125" t="str">
        <v>STM-A40_0119</v>
      </c>
      <c r="AW125" t="str">
        <v>STM-A40_0136</v>
      </c>
    </row>
    <row r="126" spans="4:49" ht="15.75" x14ac:dyDescent="0.25">
      <c r="D126" s="3">
        <v>9</v>
      </c>
      <c r="F126" s="16" cm="1">
        <f t="array" ref="F1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26" s="31" cm="1">
        <f t="array" ref="G1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12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26" s="32" t="str">
        <f>TEXT(HLG_01[[#This Row],[Batch]],"000")&amp; " / " &amp; TEXT(HLG_01[[#This Row],[Rit]],"000")</f>
        <v>037 / 007</v>
      </c>
      <c r="J126" s="34" t="s">
        <v>2622</v>
      </c>
      <c r="K126" s="38" t="s">
        <v>2606</v>
      </c>
      <c r="L126" s="35"/>
      <c r="M126" s="85"/>
      <c r="N126" s="85"/>
      <c r="O126" s="85"/>
      <c r="P126" s="85"/>
      <c r="Q126" s="85"/>
      <c r="R126" s="85"/>
      <c r="S126" s="100"/>
      <c r="T126" s="100"/>
      <c r="U126" s="98"/>
      <c r="V126" s="95"/>
      <c r="W126" s="95"/>
      <c r="X126" s="85"/>
      <c r="Z126" t="str">
        <v>46211/D|BR1/02</v>
      </c>
      <c r="AA126" t="str">
        <v>STM-A40_0097</v>
      </c>
      <c r="AB126" t="str">
        <v>SAP</v>
      </c>
      <c r="AC126" t="str">
        <v>LS_18</v>
      </c>
      <c r="AD126" t="str">
        <v>L18_S09</v>
      </c>
      <c r="AE126" t="str">
        <v>038 / 006</v>
      </c>
      <c r="AF126" t="str">
        <v>Yes</v>
      </c>
      <c r="AG126" t="str">
        <v/>
      </c>
      <c r="AH126" t="str">
        <v/>
      </c>
      <c r="AJ126" t="str">
        <f ca="1"/>
        <v>Pile_01</v>
      </c>
      <c r="AP126" t="str">
        <v>STM-A40_0067</v>
      </c>
      <c r="AQ126" t="str">
        <v>STM-A40_0088</v>
      </c>
      <c r="AR126" t="str">
        <v>STM-A40_0098</v>
      </c>
      <c r="AS126" t="str">
        <v>STM-A40_0105</v>
      </c>
      <c r="AT126" t="str">
        <v>STM-A40_0106</v>
      </c>
      <c r="AU126" t="str">
        <v>STM-A40_0107</v>
      </c>
      <c r="AV126" t="str">
        <v>STM-A40_0119</v>
      </c>
      <c r="AW126" t="str">
        <v>STM-A40_0136</v>
      </c>
    </row>
    <row r="127" spans="4:49" ht="15.75" x14ac:dyDescent="0.25">
      <c r="D127" s="3">
        <v>9</v>
      </c>
      <c r="F127" s="16" cm="1">
        <f t="array" ref="F1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27" s="31" cm="1">
        <f t="array" ref="G1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12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27" s="32" t="str">
        <f>TEXT(HLG_01[[#This Row],[Batch]],"000")&amp; " / " &amp; TEXT(HLG_01[[#This Row],[Rit]],"000")</f>
        <v>037 / 008</v>
      </c>
      <c r="J127" s="34" t="s">
        <v>2622</v>
      </c>
      <c r="K127" s="38" t="s">
        <v>2607</v>
      </c>
      <c r="L127" s="35"/>
      <c r="M127" s="85"/>
      <c r="N127" s="85"/>
      <c r="O127" s="85"/>
      <c r="P127" s="85"/>
      <c r="Q127" s="85"/>
      <c r="R127" s="85"/>
      <c r="S127" s="100"/>
      <c r="T127" s="100"/>
      <c r="U127" s="98"/>
      <c r="V127" s="95"/>
      <c r="W127" s="95"/>
      <c r="X127" s="85"/>
      <c r="Z127" t="str">
        <v>46211/D|BR1/02</v>
      </c>
      <c r="AA127" t="str">
        <v>STM-A40_0133</v>
      </c>
      <c r="AB127" t="str">
        <v>SAP</v>
      </c>
      <c r="AC127" t="str">
        <v>LS_18</v>
      </c>
      <c r="AD127" t="str">
        <v>L18_S09</v>
      </c>
      <c r="AE127" t="str">
        <v>038 / 007</v>
      </c>
      <c r="AF127" t="str">
        <v>No</v>
      </c>
      <c r="AG127" t="str">
        <v/>
      </c>
      <c r="AH127" t="str">
        <v/>
      </c>
      <c r="AJ127" t="str">
        <f ca="1"/>
        <v>Pile_01</v>
      </c>
      <c r="AP127" t="str">
        <v>STM-A40_0067</v>
      </c>
      <c r="AQ127" t="str">
        <v>STM-A40_0088</v>
      </c>
      <c r="AR127" t="str">
        <v>STM-A40_0098</v>
      </c>
      <c r="AS127" t="str">
        <v>STM-A40_0105</v>
      </c>
      <c r="AT127" t="str">
        <v>STM-A40_0106</v>
      </c>
      <c r="AU127" t="str">
        <v>STM-A40_0107</v>
      </c>
      <c r="AV127" t="str">
        <v>STM-A40_0119</v>
      </c>
      <c r="AW127" t="str">
        <v>STM-A40_0136</v>
      </c>
    </row>
    <row r="128" spans="4:49" ht="15.75" x14ac:dyDescent="0.25">
      <c r="D128" s="3" t="e">
        <v>#N/A</v>
      </c>
      <c r="F128" s="16" cm="1">
        <f t="array" ref="F1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28" s="31" cm="1">
        <f t="array" ref="G1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12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28" s="32" t="str">
        <f>TEXT(HLG_01[[#This Row],[Batch]],"000")&amp; " / " &amp; TEXT(HLG_01[[#This Row],[Rit]],"000")</f>
        <v>037 / 009</v>
      </c>
      <c r="J128" s="34" t="s">
        <v>2622</v>
      </c>
      <c r="K128" s="38" t="s">
        <v>2602</v>
      </c>
      <c r="L128" s="35"/>
      <c r="M128" s="85"/>
      <c r="N128" s="85"/>
      <c r="O128" s="85"/>
      <c r="P128" s="85"/>
      <c r="Q128" s="85"/>
      <c r="R128" s="85"/>
      <c r="S128" s="100"/>
      <c r="T128" s="100"/>
      <c r="U128" s="98"/>
      <c r="V128" s="95"/>
      <c r="W128" s="95"/>
      <c r="X128" s="85"/>
      <c r="Z128" t="str">
        <v>46211/D|BR1/02</v>
      </c>
      <c r="AA128" t="str">
        <v>STM-A40_0136</v>
      </c>
      <c r="AB128" t="str">
        <v>SAP</v>
      </c>
      <c r="AC128" t="str">
        <v>LS_18</v>
      </c>
      <c r="AD128" t="str">
        <v>L18_S09</v>
      </c>
      <c r="AE128" t="str">
        <v>038 / 008</v>
      </c>
      <c r="AF128" t="str">
        <v>Yes</v>
      </c>
      <c r="AG128" t="str">
        <v/>
      </c>
      <c r="AH128" t="str">
        <v/>
      </c>
      <c r="AJ128" t="str">
        <f ca="1"/>
        <v>Pile_01</v>
      </c>
      <c r="AP128" t="str">
        <v>STM-A40_0067</v>
      </c>
      <c r="AQ128" t="str">
        <v>STM-A40_0088</v>
      </c>
      <c r="AR128" t="str">
        <v>STM-A40_0098</v>
      </c>
      <c r="AS128" t="str">
        <v>STM-A40_0105</v>
      </c>
      <c r="AT128" t="str">
        <v>STM-A40_0106</v>
      </c>
      <c r="AU128" t="str">
        <v>STM-A40_0107</v>
      </c>
      <c r="AV128" t="str">
        <v>STM-A40_0119</v>
      </c>
      <c r="AW128" t="str">
        <v>STM-A40_0136</v>
      </c>
    </row>
    <row r="129" spans="4:49" ht="15.75" x14ac:dyDescent="0.25">
      <c r="D129" s="3">
        <v>9</v>
      </c>
      <c r="F129" s="16" cm="1">
        <f t="array" ref="F1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29" s="31" cm="1">
        <f t="array" ref="G1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12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29" s="32" t="str">
        <f>TEXT(HLG_01[[#This Row],[Batch]],"000")&amp; " / " &amp; TEXT(HLG_01[[#This Row],[Rit]],"000")</f>
        <v>037 / 010</v>
      </c>
      <c r="J129" s="34" t="s">
        <v>2622</v>
      </c>
      <c r="K129" s="38" t="s">
        <v>2595</v>
      </c>
      <c r="L129" s="35"/>
      <c r="M129" s="85"/>
      <c r="N129" s="85"/>
      <c r="O129" s="85"/>
      <c r="P129" s="85"/>
      <c r="Q129" s="85"/>
      <c r="R129" s="85"/>
      <c r="S129" s="100"/>
      <c r="T129" s="100"/>
      <c r="U129" s="98"/>
      <c r="V129" s="95"/>
      <c r="W129" s="95"/>
      <c r="X129" s="85"/>
      <c r="Z129" t="str">
        <v>46211/D|BR1/02</v>
      </c>
      <c r="AA129" t="str">
        <v>STM-A40_0087</v>
      </c>
      <c r="AB129" t="str">
        <v>SAP</v>
      </c>
      <c r="AC129" t="str">
        <v>LS_18</v>
      </c>
      <c r="AD129" t="str">
        <v>L18_S09</v>
      </c>
      <c r="AE129" t="str">
        <v>038 / 009</v>
      </c>
      <c r="AF129" t="str">
        <v>No</v>
      </c>
      <c r="AG129" t="str">
        <v/>
      </c>
      <c r="AH129" t="str">
        <v/>
      </c>
      <c r="AJ129" t="str">
        <f ca="1"/>
        <v>Pile_01</v>
      </c>
      <c r="AP129" t="str">
        <v>STM-A40_0067</v>
      </c>
      <c r="AQ129" t="str">
        <v>STM-A40_0088</v>
      </c>
      <c r="AR129" t="str">
        <v>STM-A40_0098</v>
      </c>
      <c r="AS129" t="str">
        <v>STM-A40_0105</v>
      </c>
      <c r="AT129" t="str">
        <v>STM-A40_0106</v>
      </c>
      <c r="AU129" t="str">
        <v>STM-A40_0107</v>
      </c>
      <c r="AV129" t="str">
        <v>STM-A40_0119</v>
      </c>
      <c r="AW129" t="str">
        <v>STM-A40_0136</v>
      </c>
    </row>
    <row r="130" spans="4:49" ht="15.75" x14ac:dyDescent="0.25">
      <c r="D130" s="3">
        <v>9</v>
      </c>
      <c r="F130" s="16" cm="1">
        <f t="array" ref="F1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30" s="31" cm="1">
        <f t="array" ref="G1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13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30" s="32" t="str">
        <f>TEXT(HLG_01[[#This Row],[Batch]],"000")&amp; " / " &amp; TEXT(HLG_01[[#This Row],[Rit]],"000")</f>
        <v>037 / 011</v>
      </c>
      <c r="J130" s="34" t="s">
        <v>2622</v>
      </c>
      <c r="K130" s="38" t="s">
        <v>2604</v>
      </c>
      <c r="L130" s="35"/>
      <c r="M130" s="85"/>
      <c r="N130" s="85"/>
      <c r="O130" s="85"/>
      <c r="P130" s="85"/>
      <c r="Q130" s="85"/>
      <c r="R130" s="85"/>
      <c r="S130" s="68"/>
      <c r="T130" s="68"/>
      <c r="U130" s="98"/>
      <c r="V130" s="95"/>
      <c r="W130" s="95"/>
      <c r="X130" s="85"/>
      <c r="Z130" t="str">
        <v>46211/D|BR1/02</v>
      </c>
      <c r="AA130" t="str">
        <v>STM-A40_0069</v>
      </c>
      <c r="AB130" t="str">
        <v>SAP</v>
      </c>
      <c r="AC130" t="str">
        <v>LS_18</v>
      </c>
      <c r="AD130" t="str">
        <v>L18_S09</v>
      </c>
      <c r="AE130" t="str">
        <v>038 / 010</v>
      </c>
      <c r="AF130" t="str">
        <v>Yes</v>
      </c>
      <c r="AG130" t="str">
        <v/>
      </c>
      <c r="AH130" t="str">
        <v/>
      </c>
      <c r="AJ130" t="str">
        <f ca="1"/>
        <v>Pile_01</v>
      </c>
      <c r="AP130" t="str">
        <v>STM-A40_0067</v>
      </c>
      <c r="AQ130" t="str">
        <v>STM-A40_0088</v>
      </c>
      <c r="AR130" t="str">
        <v>STM-A40_0098</v>
      </c>
      <c r="AS130" t="str">
        <v>STM-A40_0105</v>
      </c>
      <c r="AT130" t="str">
        <v>STM-A40_0106</v>
      </c>
      <c r="AU130" t="str">
        <v>STM-A40_0107</v>
      </c>
      <c r="AV130" t="str">
        <v>STM-A40_0119</v>
      </c>
      <c r="AW130" t="str">
        <v>STM-A40_0136</v>
      </c>
    </row>
    <row r="131" spans="4:49" ht="15.75" x14ac:dyDescent="0.25">
      <c r="D131" s="3">
        <v>9</v>
      </c>
      <c r="F131" s="16" cm="1">
        <f t="array" ref="F1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31" s="31" cm="1">
        <f t="array" ref="G1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13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31" s="32" t="str">
        <f>TEXT(HLG_01[[#This Row],[Batch]],"000")&amp; " / " &amp; TEXT(HLG_01[[#This Row],[Rit]],"000")</f>
        <v>037 / 012</v>
      </c>
      <c r="J131" s="34" t="s">
        <v>2622</v>
      </c>
      <c r="K131" s="38" t="s">
        <v>2606</v>
      </c>
      <c r="L131" s="35"/>
      <c r="M131" s="85"/>
      <c r="N131" s="85"/>
      <c r="O131" s="85"/>
      <c r="P131" s="85"/>
      <c r="Q131" s="85"/>
      <c r="R131" s="85"/>
      <c r="S131" s="98"/>
      <c r="T131" s="98"/>
      <c r="U131" s="98"/>
      <c r="V131" s="95"/>
      <c r="W131" s="95"/>
      <c r="X131" s="85"/>
      <c r="Z131" t="str">
        <v>46211/D|BR1/02</v>
      </c>
      <c r="AA131" t="str">
        <v>STM-A40_0132</v>
      </c>
      <c r="AB131" t="str">
        <v>SAP</v>
      </c>
      <c r="AC131" t="str">
        <v>LS_18</v>
      </c>
      <c r="AD131" t="str">
        <v>L18_S09</v>
      </c>
      <c r="AE131" t="str">
        <v>038 / 011</v>
      </c>
      <c r="AF131" t="str">
        <v>No</v>
      </c>
      <c r="AG131" t="str">
        <v/>
      </c>
      <c r="AH131" t="str">
        <v/>
      </c>
      <c r="AJ131" t="str">
        <f ca="1"/>
        <v>Pile_01</v>
      </c>
      <c r="AP131" t="str">
        <v>STM-A40_0067</v>
      </c>
      <c r="AQ131" t="str">
        <v>STM-A40_0088</v>
      </c>
      <c r="AR131" t="str">
        <v>STM-A40_0098</v>
      </c>
      <c r="AS131" t="str">
        <v>STM-A40_0105</v>
      </c>
      <c r="AT131" t="str">
        <v>STM-A40_0106</v>
      </c>
      <c r="AU131" t="str">
        <v>STM-A40_0107</v>
      </c>
      <c r="AV131" t="str">
        <v>STM-A40_0119</v>
      </c>
      <c r="AW131" t="str">
        <v>STM-A40_0136</v>
      </c>
    </row>
    <row r="132" spans="4:49" ht="15.75" x14ac:dyDescent="0.25">
      <c r="D132" s="3">
        <v>9</v>
      </c>
      <c r="F132" s="16" cm="1">
        <f t="array" ref="F1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32" s="31" cm="1">
        <f t="array" ref="G1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13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32" s="32" t="str">
        <f>TEXT(HLG_01[[#This Row],[Batch]],"000")&amp; " / " &amp; TEXT(HLG_01[[#This Row],[Rit]],"000")</f>
        <v>037 / 013</v>
      </c>
      <c r="J132" s="34" t="s">
        <v>2622</v>
      </c>
      <c r="K132" s="38" t="s">
        <v>2607</v>
      </c>
      <c r="L132" s="35"/>
      <c r="M132" s="85"/>
      <c r="N132" s="85"/>
      <c r="O132" s="85"/>
      <c r="P132" s="85"/>
      <c r="Q132" s="85"/>
      <c r="R132" s="85"/>
      <c r="S132" s="98"/>
      <c r="T132" s="98"/>
      <c r="U132" s="98"/>
      <c r="V132" s="95"/>
      <c r="W132" s="95"/>
      <c r="X132" s="85"/>
      <c r="Z132" t="str">
        <v>46211/D|BR1/02</v>
      </c>
      <c r="AA132" t="str">
        <v>STM-A40_0097</v>
      </c>
      <c r="AB132" t="str">
        <v>SAP</v>
      </c>
      <c r="AC132" t="str">
        <v>LS_18</v>
      </c>
      <c r="AD132" t="str">
        <v>L18_S09</v>
      </c>
      <c r="AE132" t="str">
        <v>038 / 012</v>
      </c>
      <c r="AF132" t="str">
        <v>Yes</v>
      </c>
      <c r="AG132" t="str">
        <v/>
      </c>
      <c r="AH132" t="str">
        <v/>
      </c>
      <c r="AJ132" t="str">
        <f ca="1"/>
        <v>Pile_01</v>
      </c>
      <c r="AP132" t="str">
        <v>STM-A40_0067</v>
      </c>
      <c r="AQ132" t="str">
        <v>STM-A40_0088</v>
      </c>
      <c r="AR132" t="str">
        <v>STM-A40_0098</v>
      </c>
      <c r="AS132" t="str">
        <v>STM-A40_0105</v>
      </c>
      <c r="AT132" t="str">
        <v>STM-A40_0106</v>
      </c>
      <c r="AU132" t="str">
        <v>STM-A40_0107</v>
      </c>
      <c r="AV132" t="str">
        <v>STM-A40_0119</v>
      </c>
      <c r="AW132" t="str">
        <v>STM-A40_0136</v>
      </c>
    </row>
    <row r="133" spans="4:49" ht="15.75" x14ac:dyDescent="0.25">
      <c r="D133" s="3">
        <v>9</v>
      </c>
      <c r="F133" s="16" cm="1">
        <f t="array" ref="F1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33" s="31" cm="1">
        <f t="array" ref="G1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13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33" s="32" t="str">
        <f>TEXT(HLG_01[[#This Row],[Batch]],"000")&amp; " / " &amp; TEXT(HLG_01[[#This Row],[Rit]],"000")</f>
        <v>037 / 014</v>
      </c>
      <c r="J133" s="34" t="s">
        <v>2622</v>
      </c>
      <c r="K133" s="38" t="s">
        <v>2595</v>
      </c>
      <c r="L133" s="35"/>
      <c r="M133" s="85"/>
      <c r="N133" s="85"/>
      <c r="O133" s="85"/>
      <c r="P133" s="85"/>
      <c r="Q133" s="85"/>
      <c r="R133" s="85"/>
      <c r="S133" s="98"/>
      <c r="T133" s="98"/>
      <c r="U133" s="98"/>
      <c r="V133" s="95"/>
      <c r="W133" s="95"/>
      <c r="X133" s="85"/>
      <c r="Z133" t="str">
        <v>46211/D|BR1/02</v>
      </c>
      <c r="AA133" t="str">
        <v>STM-A40_0133</v>
      </c>
      <c r="AB133" t="str">
        <v>SAP</v>
      </c>
      <c r="AC133" t="str">
        <v>LS_18</v>
      </c>
      <c r="AD133" t="str">
        <v>L18_S09</v>
      </c>
      <c r="AE133" t="str">
        <v>038 / 013</v>
      </c>
      <c r="AF133" t="str">
        <v>No</v>
      </c>
      <c r="AG133" t="str">
        <v/>
      </c>
      <c r="AH133" t="str">
        <v/>
      </c>
      <c r="AJ133" t="str">
        <f ca="1"/>
        <v>Pile_01</v>
      </c>
      <c r="AP133" t="str">
        <v>STM-A40_0067</v>
      </c>
      <c r="AQ133" t="str">
        <v>STM-A40_0088</v>
      </c>
      <c r="AR133" t="str">
        <v>STM-A40_0098</v>
      </c>
      <c r="AS133" t="str">
        <v>STM-A40_0105</v>
      </c>
      <c r="AT133" t="str">
        <v>STM-A40_0106</v>
      </c>
      <c r="AU133" t="str">
        <v>STM-A40_0107</v>
      </c>
      <c r="AV133" t="str">
        <v>STM-A40_0119</v>
      </c>
      <c r="AW133" t="str">
        <v>STM-A40_0136</v>
      </c>
    </row>
    <row r="134" spans="4:49" ht="15.75" x14ac:dyDescent="0.25">
      <c r="D134" s="3">
        <v>9</v>
      </c>
      <c r="F134" s="16" cm="1">
        <f t="array" ref="F1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34" s="31" cm="1">
        <f t="array" ref="G1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13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34" s="32" t="str">
        <f>TEXT(HLG_01[[#This Row],[Batch]],"000")&amp; " / " &amp; TEXT(HLG_01[[#This Row],[Rit]],"000")</f>
        <v>037 / 015</v>
      </c>
      <c r="J134" s="34" t="s">
        <v>2622</v>
      </c>
      <c r="K134" s="38" t="s">
        <v>2606</v>
      </c>
      <c r="L134" s="35"/>
      <c r="M134" s="85"/>
      <c r="N134" s="85"/>
      <c r="O134" s="85"/>
      <c r="P134" s="85"/>
      <c r="Q134" s="85"/>
      <c r="R134" s="85"/>
      <c r="S134" s="98"/>
      <c r="T134" s="98"/>
      <c r="U134" s="98"/>
      <c r="V134" s="95"/>
      <c r="W134" s="95"/>
      <c r="X134" s="85"/>
      <c r="Z134" t="str">
        <v>46211/D|BR1/02</v>
      </c>
      <c r="AA134" t="str">
        <v>STM-A40_0136</v>
      </c>
      <c r="AB134" t="str">
        <v>SAP</v>
      </c>
      <c r="AC134" t="str">
        <v>LS_18</v>
      </c>
      <c r="AD134" t="str">
        <v>L18_S09</v>
      </c>
      <c r="AE134" t="str">
        <v>038 / 014</v>
      </c>
      <c r="AF134" t="str">
        <v>Yes</v>
      </c>
      <c r="AG134" t="str">
        <v/>
      </c>
      <c r="AH134" t="str">
        <v/>
      </c>
      <c r="AJ134" t="str">
        <f ca="1"/>
        <v>Pile_01</v>
      </c>
      <c r="AP134" t="str">
        <v>STM-A40_0067</v>
      </c>
      <c r="AQ134" t="str">
        <v>STM-A40_0088</v>
      </c>
      <c r="AR134" t="str">
        <v>STM-A40_0098</v>
      </c>
      <c r="AS134" t="str">
        <v>STM-A40_0105</v>
      </c>
      <c r="AT134" t="str">
        <v>STM-A40_0106</v>
      </c>
      <c r="AU134" t="str">
        <v>STM-A40_0107</v>
      </c>
      <c r="AV134" t="str">
        <v>STM-A40_0119</v>
      </c>
      <c r="AW134" t="str">
        <v>STM-A40_0136</v>
      </c>
    </row>
    <row r="135" spans="4:49" ht="15.75" x14ac:dyDescent="0.25">
      <c r="D135" s="3" t="e">
        <v>#N/A</v>
      </c>
      <c r="F135" s="16" cm="1">
        <f t="array" ref="F1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35" s="31" cm="1">
        <f t="array" ref="G1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13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35" s="32" t="str">
        <f>TEXT(HLG_01[[#This Row],[Batch]],"000")&amp; " / " &amp; TEXT(HLG_01[[#This Row],[Rit]],"000")</f>
        <v>037 / 016</v>
      </c>
      <c r="J135" s="34" t="s">
        <v>2622</v>
      </c>
      <c r="K135" s="38" t="s">
        <v>2602</v>
      </c>
      <c r="L135" s="35"/>
      <c r="M135" s="85"/>
      <c r="N135" s="85"/>
      <c r="O135" s="85"/>
      <c r="P135" s="85"/>
      <c r="Q135" s="85"/>
      <c r="R135" s="85"/>
      <c r="S135" s="98"/>
      <c r="T135" s="98"/>
      <c r="U135" s="98"/>
      <c r="V135" s="95"/>
      <c r="W135" s="95"/>
      <c r="X135" s="85"/>
      <c r="Z135" t="str">
        <v>46211/D|BR1/02</v>
      </c>
      <c r="AA135" t="str">
        <v>STM-A40_0132</v>
      </c>
      <c r="AB135" t="str">
        <v>SAP</v>
      </c>
      <c r="AC135" t="str">
        <v>LS_18</v>
      </c>
      <c r="AD135" t="str">
        <v>L18_S09</v>
      </c>
      <c r="AE135" t="str">
        <v>038 / 015</v>
      </c>
      <c r="AF135" t="str">
        <v>No</v>
      </c>
      <c r="AG135" t="str">
        <v/>
      </c>
      <c r="AH135" t="str">
        <v/>
      </c>
      <c r="AJ135" t="str">
        <f ca="1"/>
        <v>Pile_01</v>
      </c>
      <c r="AP135" t="str">
        <v>STM-A40_0067</v>
      </c>
      <c r="AQ135" t="str">
        <v>STM-A40_0088</v>
      </c>
      <c r="AR135" t="str">
        <v>STM-A40_0098</v>
      </c>
      <c r="AS135" t="str">
        <v>STM-A40_0105</v>
      </c>
      <c r="AT135" t="str">
        <v>STM-A40_0106</v>
      </c>
      <c r="AU135" t="str">
        <v>STM-A40_0107</v>
      </c>
      <c r="AV135" t="str">
        <v>STM-A40_0119</v>
      </c>
      <c r="AW135" t="str">
        <v>STM-A40_0136</v>
      </c>
    </row>
    <row r="136" spans="4:49" ht="15.75" x14ac:dyDescent="0.25">
      <c r="D136" s="3">
        <v>9</v>
      </c>
      <c r="F136" s="16" cm="1">
        <f t="array" ref="F1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36" s="31" cm="1">
        <f t="array" ref="G1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13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36" s="32" t="str">
        <f>TEXT(HLG_01[[#This Row],[Batch]],"000")&amp; " / " &amp; TEXT(HLG_01[[#This Row],[Rit]],"000")</f>
        <v>037 / 017</v>
      </c>
      <c r="J136" s="34" t="s">
        <v>2622</v>
      </c>
      <c r="K136" s="38" t="s">
        <v>2595</v>
      </c>
      <c r="L136" s="35"/>
      <c r="M136" s="85"/>
      <c r="N136" s="85"/>
      <c r="O136" s="85"/>
      <c r="P136" s="85"/>
      <c r="Q136" s="85"/>
      <c r="R136" s="85"/>
      <c r="S136" s="98"/>
      <c r="T136" s="98"/>
      <c r="U136" s="98"/>
      <c r="V136" s="95"/>
      <c r="W136" s="95"/>
      <c r="X136" s="85"/>
      <c r="Z136" t="str">
        <v>46211/D|BR1/02</v>
      </c>
      <c r="AA136" t="str">
        <v>STM-A40_0136</v>
      </c>
      <c r="AB136" t="str">
        <v>SAP</v>
      </c>
      <c r="AC136" t="str">
        <v>LS_18</v>
      </c>
      <c r="AD136" t="str">
        <v>L18_S09</v>
      </c>
      <c r="AE136" t="str">
        <v>038 / 016</v>
      </c>
      <c r="AF136" t="str">
        <v>Yes</v>
      </c>
      <c r="AG136" t="str">
        <v/>
      </c>
      <c r="AH136" t="str">
        <v/>
      </c>
      <c r="AJ136" t="str">
        <f ca="1"/>
        <v>Pile_01</v>
      </c>
      <c r="AP136" t="str">
        <v>STM-A40_0067</v>
      </c>
      <c r="AQ136" t="str">
        <v>STM-A40_0088</v>
      </c>
      <c r="AR136" t="str">
        <v>STM-A40_0098</v>
      </c>
      <c r="AS136" t="str">
        <v>STM-A40_0105</v>
      </c>
      <c r="AT136" t="str">
        <v>STM-A40_0106</v>
      </c>
      <c r="AU136" t="str">
        <v>STM-A40_0107</v>
      </c>
      <c r="AV136" t="str">
        <v>STM-A40_0119</v>
      </c>
      <c r="AW136" t="str">
        <v>STM-A40_0136</v>
      </c>
    </row>
    <row r="137" spans="4:49" ht="15.75" x14ac:dyDescent="0.25">
      <c r="D137" s="3">
        <v>9</v>
      </c>
      <c r="F137" s="16" cm="1">
        <f t="array" ref="F1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37" s="31" cm="1">
        <f t="array" ref="G1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13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37" s="32" t="str">
        <f>TEXT(HLG_01[[#This Row],[Batch]],"000")&amp; " / " &amp; TEXT(HLG_01[[#This Row],[Rit]],"000")</f>
        <v>037 / 018</v>
      </c>
      <c r="J137" s="34" t="s">
        <v>2622</v>
      </c>
      <c r="K137" s="38" t="s">
        <v>2604</v>
      </c>
      <c r="L137" s="35"/>
      <c r="M137" s="85"/>
      <c r="N137" s="85"/>
      <c r="O137" s="85"/>
      <c r="P137" s="85"/>
      <c r="Q137" s="85"/>
      <c r="R137" s="85"/>
      <c r="S137" s="98"/>
      <c r="T137" s="98"/>
      <c r="U137" s="98"/>
      <c r="V137" s="95"/>
      <c r="W137" s="95"/>
      <c r="X137" s="85"/>
      <c r="Z137" t="str">
        <v>46211/D|BR1/02</v>
      </c>
      <c r="AA137" t="str">
        <v>STM-A40_0097</v>
      </c>
      <c r="AB137" t="str">
        <v>SAP</v>
      </c>
      <c r="AC137" t="str">
        <v>LS_18</v>
      </c>
      <c r="AD137" t="str">
        <v>L18_S09</v>
      </c>
      <c r="AE137" t="str">
        <v>038 / 017</v>
      </c>
      <c r="AF137" t="str">
        <v>No</v>
      </c>
      <c r="AG137" t="str">
        <v/>
      </c>
      <c r="AH137" t="str">
        <v/>
      </c>
      <c r="AJ137" t="str">
        <f ca="1"/>
        <v>Pile_01</v>
      </c>
      <c r="AP137" t="str">
        <v>STM-A40_0067</v>
      </c>
      <c r="AQ137" t="str">
        <v>STM-A40_0088</v>
      </c>
      <c r="AR137" t="str">
        <v>STM-A40_0098</v>
      </c>
      <c r="AS137" t="str">
        <v>STM-A40_0105</v>
      </c>
      <c r="AT137" t="str">
        <v>STM-A40_0106</v>
      </c>
      <c r="AU137" t="str">
        <v>STM-A40_0107</v>
      </c>
      <c r="AV137" t="str">
        <v>STM-A40_0119</v>
      </c>
      <c r="AW137" t="str">
        <v>STM-A40_0136</v>
      </c>
    </row>
    <row r="138" spans="4:49" ht="15.75" x14ac:dyDescent="0.25">
      <c r="D138" s="3">
        <v>9</v>
      </c>
      <c r="F138" s="16" cm="1">
        <f t="array" ref="F1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38" s="31" cm="1">
        <f t="array" ref="G1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13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38" s="32" t="str">
        <f>TEXT(HLG_01[[#This Row],[Batch]],"000")&amp; " / " &amp; TEXT(HLG_01[[#This Row],[Rit]],"000")</f>
        <v>037 / 019</v>
      </c>
      <c r="J138" s="34" t="s">
        <v>2622</v>
      </c>
      <c r="K138" s="38" t="s">
        <v>2606</v>
      </c>
      <c r="L138" s="35"/>
      <c r="M138" s="85"/>
      <c r="N138" s="85"/>
      <c r="O138" s="85"/>
      <c r="P138" s="85"/>
      <c r="Q138" s="85"/>
      <c r="R138" s="85"/>
      <c r="S138" s="98"/>
      <c r="T138" s="98"/>
      <c r="U138" s="98"/>
      <c r="V138" s="95"/>
      <c r="W138" s="95"/>
      <c r="X138" s="85"/>
      <c r="Z138" t="str">
        <v>46211/D|BR1/02</v>
      </c>
      <c r="AA138" t="str">
        <v>STM-A40_0069</v>
      </c>
      <c r="AB138" t="str">
        <v>SAP</v>
      </c>
      <c r="AC138" t="str">
        <v>LS_18</v>
      </c>
      <c r="AD138" t="str">
        <v>L18_S09</v>
      </c>
      <c r="AE138" t="str">
        <v>038 / 018</v>
      </c>
      <c r="AF138" t="str">
        <v>Yes</v>
      </c>
      <c r="AG138" t="str">
        <v/>
      </c>
      <c r="AH138" t="str">
        <v/>
      </c>
      <c r="AJ138" t="str">
        <f ca="1"/>
        <v>Pile_01</v>
      </c>
      <c r="AP138" t="str">
        <v>STM-A40_0067</v>
      </c>
      <c r="AQ138" t="str">
        <v>STM-A40_0088</v>
      </c>
      <c r="AR138" t="str">
        <v>STM-A40_0098</v>
      </c>
      <c r="AS138" t="str">
        <v>STM-A40_0105</v>
      </c>
      <c r="AT138" t="str">
        <v>STM-A40_0106</v>
      </c>
      <c r="AU138" t="str">
        <v>STM-A40_0107</v>
      </c>
      <c r="AV138" t="str">
        <v>STM-A40_0119</v>
      </c>
      <c r="AW138" t="str">
        <v>STM-A40_0136</v>
      </c>
    </row>
    <row r="139" spans="4:49" ht="15.75" x14ac:dyDescent="0.25">
      <c r="D139" s="3">
        <v>9</v>
      </c>
      <c r="F139" s="16" cm="1">
        <f t="array" ref="F1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37</v>
      </c>
      <c r="G139" s="31" cm="1">
        <f t="array" ref="G1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13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39" s="32" t="str">
        <f>TEXT(HLG_01[[#This Row],[Batch]],"000")&amp; " / " &amp; TEXT(HLG_01[[#This Row],[Rit]],"000")</f>
        <v>037 / 020</v>
      </c>
      <c r="J139" s="34" t="s">
        <v>2622</v>
      </c>
      <c r="K139" s="38" t="s">
        <v>2603</v>
      </c>
      <c r="L139" s="35"/>
      <c r="M139" s="85"/>
      <c r="N139" s="85"/>
      <c r="O139" s="85"/>
      <c r="P139" s="85"/>
      <c r="Q139" s="85"/>
      <c r="R139" s="85"/>
      <c r="S139" s="98"/>
      <c r="T139" s="98"/>
      <c r="U139" s="98"/>
      <c r="V139" s="95"/>
      <c r="W139" s="95"/>
      <c r="X139" s="85"/>
      <c r="Z139" t="str">
        <v>46211/D|BR1/02</v>
      </c>
      <c r="AA139" t="str">
        <v>STM-A40_0087</v>
      </c>
      <c r="AB139" t="str">
        <v>SAP</v>
      </c>
      <c r="AC139" t="str">
        <v>LS_18</v>
      </c>
      <c r="AD139" t="str">
        <v>L18_S09</v>
      </c>
      <c r="AE139" t="str">
        <v>038 / 019</v>
      </c>
      <c r="AF139" t="str">
        <v>No</v>
      </c>
      <c r="AG139" t="str">
        <v/>
      </c>
      <c r="AH139" t="str">
        <v/>
      </c>
      <c r="AJ139" t="str">
        <f ca="1"/>
        <v>Pile_01</v>
      </c>
      <c r="AP139" t="str">
        <v>STM-A40_0067</v>
      </c>
      <c r="AQ139" t="str">
        <v>STM-A40_0088</v>
      </c>
      <c r="AR139" t="str">
        <v>STM-A40_0098</v>
      </c>
      <c r="AS139" t="str">
        <v>STM-A40_0105</v>
      </c>
      <c r="AT139" t="str">
        <v>STM-A40_0106</v>
      </c>
      <c r="AU139" t="str">
        <v>STM-A40_0107</v>
      </c>
      <c r="AV139" t="str">
        <v>STM-A40_0119</v>
      </c>
      <c r="AW139" t="str">
        <v>STM-A40_0136</v>
      </c>
    </row>
    <row r="140" spans="4:49" ht="15.75" x14ac:dyDescent="0.25">
      <c r="D140" s="3">
        <v>10</v>
      </c>
      <c r="F140" s="16" cm="1">
        <f t="array" ref="F1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40" s="31" cm="1">
        <f t="array" ref="G1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14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40" s="32" t="str">
        <f>TEXT(HLG_01[[#This Row],[Batch]],"000")&amp; " / " &amp; TEXT(HLG_01[[#This Row],[Rit]],"000")</f>
        <v>038 / 001</v>
      </c>
      <c r="J140" s="34" t="s">
        <v>2621</v>
      </c>
      <c r="K140" s="38" t="s">
        <v>2611</v>
      </c>
      <c r="L140" s="35"/>
      <c r="M140" s="85"/>
      <c r="N140" s="85"/>
      <c r="O140" s="85"/>
      <c r="P140" s="85"/>
      <c r="Q140" s="85"/>
      <c r="R140" s="85"/>
      <c r="S140" s="98"/>
      <c r="T140" s="98"/>
      <c r="U140" s="98"/>
      <c r="V140" s="95"/>
      <c r="W140" s="95"/>
      <c r="X140" s="85"/>
      <c r="Z140" t="str">
        <v>46211/D|BR1/02</v>
      </c>
      <c r="AA140" t="str">
        <v>STM-A40_0133</v>
      </c>
      <c r="AB140" t="str">
        <v>SAP</v>
      </c>
      <c r="AC140" t="str">
        <v>LS_18</v>
      </c>
      <c r="AD140" t="str">
        <v>L18_S09</v>
      </c>
      <c r="AE140" t="str">
        <v>038 / 020</v>
      </c>
      <c r="AF140" t="str">
        <v>Yes</v>
      </c>
      <c r="AG140" t="str">
        <v/>
      </c>
      <c r="AH140" t="str">
        <v/>
      </c>
      <c r="AJ140" t="str">
        <f ca="1"/>
        <v>Pile_01</v>
      </c>
      <c r="AP140" t="str">
        <v>STM-A40_0068</v>
      </c>
      <c r="AQ140" t="str">
        <v>STM-A40_0069</v>
      </c>
      <c r="AR140" t="str">
        <v>STM-A40_0087</v>
      </c>
      <c r="AS140" t="str">
        <v>STM-A40_0097</v>
      </c>
      <c r="AT140" t="str">
        <v>STM-A40_0132</v>
      </c>
      <c r="AU140" t="str">
        <v>STM-A40_0133</v>
      </c>
      <c r="AV140" t="str">
        <v>STM-A40_0136</v>
      </c>
      <c r="AW140" t="str">
        <v/>
      </c>
    </row>
    <row r="141" spans="4:49" ht="15.75" x14ac:dyDescent="0.25">
      <c r="D141" s="3">
        <v>10</v>
      </c>
      <c r="F141" s="16" cm="1">
        <f t="array" ref="F1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41" s="31" cm="1">
        <f t="array" ref="G1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14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41" s="32" t="str">
        <f>TEXT(HLG_01[[#This Row],[Batch]],"000")&amp; " / " &amp; TEXT(HLG_01[[#This Row],[Rit]],"000")</f>
        <v>038 / 002</v>
      </c>
      <c r="J141" s="34" t="s">
        <v>2621</v>
      </c>
      <c r="K141" s="38" t="s">
        <v>2605</v>
      </c>
      <c r="L141" s="35"/>
      <c r="M141" s="85"/>
      <c r="N141" s="85"/>
      <c r="O141" s="85"/>
      <c r="P141" s="85"/>
      <c r="Q141" s="85"/>
      <c r="R141" s="85"/>
      <c r="S141" s="98"/>
      <c r="T141" s="98"/>
      <c r="U141" s="98"/>
      <c r="V141" s="95"/>
      <c r="W141" s="95"/>
      <c r="X141" s="85"/>
      <c r="Z141" t="str">
        <v>46211/D|BR1/04</v>
      </c>
      <c r="AA141" t="str">
        <v>STM-A40_0098</v>
      </c>
      <c r="AB141" t="str">
        <v>SAP</v>
      </c>
      <c r="AC141" t="str">
        <v>LS_18</v>
      </c>
      <c r="AD141" t="str">
        <v>L18_S09</v>
      </c>
      <c r="AE141" t="str">
        <v>039 / 001</v>
      </c>
      <c r="AF141" t="str">
        <v>No</v>
      </c>
      <c r="AG141" t="str">
        <v/>
      </c>
      <c r="AH141" t="str">
        <v/>
      </c>
      <c r="AJ141" t="str">
        <f ca="1"/>
        <v>Pile_01</v>
      </c>
      <c r="AP141" t="str">
        <v>STM-A40_0068</v>
      </c>
      <c r="AQ141" t="str">
        <v>STM-A40_0069</v>
      </c>
      <c r="AR141" t="str">
        <v>STM-A40_0087</v>
      </c>
      <c r="AS141" t="str">
        <v>STM-A40_0097</v>
      </c>
      <c r="AT141" t="str">
        <v>STM-A40_0132</v>
      </c>
      <c r="AU141" t="str">
        <v>STM-A40_0133</v>
      </c>
      <c r="AV141" t="str">
        <v>STM-A40_0136</v>
      </c>
      <c r="AW141" t="str">
        <v/>
      </c>
    </row>
    <row r="142" spans="4:49" ht="15.75" x14ac:dyDescent="0.25">
      <c r="D142" s="3">
        <v>10</v>
      </c>
      <c r="F142" s="16" cm="1">
        <f t="array" ref="F1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42" s="31" cm="1">
        <f t="array" ref="G1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14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42" s="32" t="str">
        <f>TEXT(HLG_01[[#This Row],[Batch]],"000")&amp; " / " &amp; TEXT(HLG_01[[#This Row],[Rit]],"000")</f>
        <v>038 / 003</v>
      </c>
      <c r="J142" s="34" t="s">
        <v>2621</v>
      </c>
      <c r="K142" s="38" t="s">
        <v>2608</v>
      </c>
      <c r="L142" s="35"/>
      <c r="M142" s="85"/>
      <c r="N142" s="85"/>
      <c r="O142" s="85"/>
      <c r="P142" s="85"/>
      <c r="Q142" s="85"/>
      <c r="R142" s="85"/>
      <c r="S142" s="98"/>
      <c r="T142" s="98"/>
      <c r="U142" s="98"/>
      <c r="V142" s="95"/>
      <c r="W142" s="95"/>
      <c r="X142" s="85"/>
      <c r="Z142" t="str">
        <v>46211/D|BR1/04</v>
      </c>
      <c r="AA142" t="str">
        <v>STM-A40_0105</v>
      </c>
      <c r="AB142" t="str">
        <v>SAP</v>
      </c>
      <c r="AC142" t="str">
        <v>LS_18</v>
      </c>
      <c r="AD142" t="str">
        <v>L18_S09</v>
      </c>
      <c r="AE142" t="str">
        <v>039 / 002</v>
      </c>
      <c r="AF142" t="str">
        <v>Yes</v>
      </c>
      <c r="AG142" t="str">
        <v/>
      </c>
      <c r="AH142" t="str">
        <v/>
      </c>
      <c r="AJ142" t="str">
        <f ca="1"/>
        <v>Pile_01</v>
      </c>
      <c r="AP142" t="str">
        <v>STM-A40_0068</v>
      </c>
      <c r="AQ142" t="str">
        <v>STM-A40_0069</v>
      </c>
      <c r="AR142" t="str">
        <v>STM-A40_0087</v>
      </c>
      <c r="AS142" t="str">
        <v>STM-A40_0097</v>
      </c>
      <c r="AT142" t="str">
        <v>STM-A40_0132</v>
      </c>
      <c r="AU142" t="str">
        <v>STM-A40_0133</v>
      </c>
      <c r="AV142" t="str">
        <v>STM-A40_0136</v>
      </c>
      <c r="AW142" t="str">
        <v/>
      </c>
    </row>
    <row r="143" spans="4:49" ht="15.75" x14ac:dyDescent="0.25">
      <c r="D143" s="3">
        <v>10</v>
      </c>
      <c r="F143" s="16" cm="1">
        <f t="array" ref="F1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43" s="31" cm="1">
        <f t="array" ref="G1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14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43" s="32" t="str">
        <f>TEXT(HLG_01[[#This Row],[Batch]],"000")&amp; " / " &amp; TEXT(HLG_01[[#This Row],[Rit]],"000")</f>
        <v>038 / 004</v>
      </c>
      <c r="J143" s="34" t="s">
        <v>2621</v>
      </c>
      <c r="K143" s="38" t="s">
        <v>2613</v>
      </c>
      <c r="L143" s="35"/>
      <c r="M143" s="85"/>
      <c r="N143" s="85"/>
      <c r="O143" s="85"/>
      <c r="P143" s="85"/>
      <c r="Q143" s="85"/>
      <c r="R143" s="85"/>
      <c r="S143" s="98"/>
      <c r="T143" s="98"/>
      <c r="U143" s="98"/>
      <c r="V143" s="95"/>
      <c r="W143" s="95"/>
      <c r="X143" s="85"/>
      <c r="Z143" t="str">
        <v>46211/D|BR1/04</v>
      </c>
      <c r="AA143" t="str">
        <v>STM-A40_0106</v>
      </c>
      <c r="AB143" t="str">
        <v>SAP</v>
      </c>
      <c r="AC143" t="str">
        <v>LS_18</v>
      </c>
      <c r="AD143" t="str">
        <v>L18_S09</v>
      </c>
      <c r="AE143" t="str">
        <v>039 / 003</v>
      </c>
      <c r="AF143" t="str">
        <v>No</v>
      </c>
      <c r="AG143" t="str">
        <v/>
      </c>
      <c r="AH143" t="str">
        <v/>
      </c>
      <c r="AJ143" t="str">
        <f ca="1"/>
        <v>Pile_01</v>
      </c>
      <c r="AP143" t="str">
        <v>STM-A40_0068</v>
      </c>
      <c r="AQ143" t="str">
        <v>STM-A40_0069</v>
      </c>
      <c r="AR143" t="str">
        <v>STM-A40_0087</v>
      </c>
      <c r="AS143" t="str">
        <v>STM-A40_0097</v>
      </c>
      <c r="AT143" t="str">
        <v>STM-A40_0132</v>
      </c>
      <c r="AU143" t="str">
        <v>STM-A40_0133</v>
      </c>
      <c r="AV143" t="str">
        <v>STM-A40_0136</v>
      </c>
      <c r="AW143" t="str">
        <v/>
      </c>
    </row>
    <row r="144" spans="4:49" ht="15.75" x14ac:dyDescent="0.25">
      <c r="D144" s="3">
        <v>10</v>
      </c>
      <c r="F144" s="16" cm="1">
        <f t="array" ref="F1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44" s="31" cm="1">
        <f t="array" ref="G1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14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44" s="32" t="str">
        <f>TEXT(HLG_01[[#This Row],[Batch]],"000")&amp; " / " &amp; TEXT(HLG_01[[#This Row],[Rit]],"000")</f>
        <v>038 / 005</v>
      </c>
      <c r="J144" s="34" t="s">
        <v>2621</v>
      </c>
      <c r="K144" s="38" t="s">
        <v>2610</v>
      </c>
      <c r="L144" s="35"/>
      <c r="M144" s="85"/>
      <c r="N144" s="85"/>
      <c r="O144" s="85"/>
      <c r="P144" s="85"/>
      <c r="Q144" s="85"/>
      <c r="R144" s="85"/>
      <c r="S144" s="98"/>
      <c r="T144" s="98"/>
      <c r="U144" s="98"/>
      <c r="V144" s="95"/>
      <c r="W144" s="95"/>
      <c r="X144" s="85"/>
      <c r="Z144" t="str">
        <v>46211/D|BR1/04</v>
      </c>
      <c r="AA144" t="str">
        <v>STM-A40_0105</v>
      </c>
      <c r="AB144" t="str">
        <v>SAP</v>
      </c>
      <c r="AC144" t="str">
        <v>LS_18</v>
      </c>
      <c r="AD144" t="str">
        <v>L18_S09</v>
      </c>
      <c r="AE144" t="str">
        <v>039 / 004</v>
      </c>
      <c r="AF144" t="str">
        <v>Yes</v>
      </c>
      <c r="AG144" t="str">
        <v/>
      </c>
      <c r="AH144" t="str">
        <v/>
      </c>
      <c r="AJ144" t="str">
        <f ca="1"/>
        <v>Pile_01</v>
      </c>
      <c r="AP144" t="str">
        <v>STM-A40_0068</v>
      </c>
      <c r="AQ144" t="str">
        <v>STM-A40_0069</v>
      </c>
      <c r="AR144" t="str">
        <v>STM-A40_0087</v>
      </c>
      <c r="AS144" t="str">
        <v>STM-A40_0097</v>
      </c>
      <c r="AT144" t="str">
        <v>STM-A40_0132</v>
      </c>
      <c r="AU144" t="str">
        <v>STM-A40_0133</v>
      </c>
      <c r="AV144" t="str">
        <v>STM-A40_0136</v>
      </c>
      <c r="AW144" t="str">
        <v/>
      </c>
    </row>
    <row r="145" spans="4:49" ht="15.75" x14ac:dyDescent="0.25">
      <c r="D145" s="3">
        <v>10</v>
      </c>
      <c r="F145" s="16" cm="1">
        <f t="array" ref="F1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45" s="31" cm="1">
        <f t="array" ref="G1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14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45" s="32" t="str">
        <f>TEXT(HLG_01[[#This Row],[Batch]],"000")&amp; " / " &amp; TEXT(HLG_01[[#This Row],[Rit]],"000")</f>
        <v>038 / 006</v>
      </c>
      <c r="J145" s="34" t="s">
        <v>2621</v>
      </c>
      <c r="K145" s="38" t="s">
        <v>2611</v>
      </c>
      <c r="L145" s="35"/>
      <c r="M145" s="85"/>
      <c r="N145" s="85"/>
      <c r="O145" s="85"/>
      <c r="P145" s="85"/>
      <c r="Q145" s="85"/>
      <c r="R145" s="85"/>
      <c r="S145" s="98"/>
      <c r="T145" s="98"/>
      <c r="U145" s="98"/>
      <c r="V145" s="95"/>
      <c r="W145" s="95"/>
      <c r="X145" s="85"/>
      <c r="Z145" t="str">
        <v>46211/D|BR1/04</v>
      </c>
      <c r="AA145" t="str">
        <v>STM-A40_0121</v>
      </c>
      <c r="AB145" t="str">
        <v>SAP</v>
      </c>
      <c r="AC145" t="str">
        <v>LS_18</v>
      </c>
      <c r="AD145" t="str">
        <v>L18_S09</v>
      </c>
      <c r="AE145" t="str">
        <v>039 / 005</v>
      </c>
      <c r="AF145" t="str">
        <v>No</v>
      </c>
      <c r="AG145" t="str">
        <v/>
      </c>
      <c r="AH145" t="str">
        <v>TRUCK SALAH</v>
      </c>
      <c r="AJ145" t="str">
        <f ca="1"/>
        <v>Pile_01</v>
      </c>
      <c r="AP145" t="str">
        <v>STM-A40_0068</v>
      </c>
      <c r="AQ145" t="str">
        <v>STM-A40_0069</v>
      </c>
      <c r="AR145" t="str">
        <v>STM-A40_0087</v>
      </c>
      <c r="AS145" t="str">
        <v>STM-A40_0097</v>
      </c>
      <c r="AT145" t="str">
        <v>STM-A40_0132</v>
      </c>
      <c r="AU145" t="str">
        <v>STM-A40_0133</v>
      </c>
      <c r="AV145" t="str">
        <v>STM-A40_0136</v>
      </c>
      <c r="AW145" t="str">
        <v/>
      </c>
    </row>
    <row r="146" spans="4:49" ht="15.75" x14ac:dyDescent="0.25">
      <c r="D146" s="3">
        <v>10</v>
      </c>
      <c r="F146" s="16" cm="1">
        <f t="array" ref="F1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46" s="31" cm="1">
        <f t="array" ref="G1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14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46" s="32" t="str">
        <f>TEXT(HLG_01[[#This Row],[Batch]],"000")&amp; " / " &amp; TEXT(HLG_01[[#This Row],[Rit]],"000")</f>
        <v>038 / 007</v>
      </c>
      <c r="J146" s="34" t="s">
        <v>2621</v>
      </c>
      <c r="K146" s="38" t="s">
        <v>2609</v>
      </c>
      <c r="L146" s="35"/>
      <c r="M146" s="85"/>
      <c r="N146" s="85"/>
      <c r="O146" s="85"/>
      <c r="P146" s="85"/>
      <c r="Q146" s="85"/>
      <c r="R146" s="85"/>
      <c r="S146" s="98"/>
      <c r="T146" s="98"/>
      <c r="U146" s="98"/>
      <c r="V146" s="95"/>
      <c r="W146" s="95"/>
      <c r="X146" s="85"/>
      <c r="Z146" t="str">
        <v>46211/D|BR1/04</v>
      </c>
      <c r="AA146" t="str">
        <v>STM-A40_0106</v>
      </c>
      <c r="AB146" t="str">
        <v>SAP</v>
      </c>
      <c r="AC146" t="str">
        <v>LS_18</v>
      </c>
      <c r="AD146" t="str">
        <v>L18_S09</v>
      </c>
      <c r="AE146" t="str">
        <v>039 / 006</v>
      </c>
      <c r="AF146" t="str">
        <v>Yes</v>
      </c>
      <c r="AG146" t="str">
        <v/>
      </c>
      <c r="AH146" t="str">
        <v/>
      </c>
      <c r="AJ146" t="str">
        <f ca="1"/>
        <v>Pile_01</v>
      </c>
      <c r="AP146" t="str">
        <v>STM-A40_0068</v>
      </c>
      <c r="AQ146" t="str">
        <v>STM-A40_0069</v>
      </c>
      <c r="AR146" t="str">
        <v>STM-A40_0087</v>
      </c>
      <c r="AS146" t="str">
        <v>STM-A40_0097</v>
      </c>
      <c r="AT146" t="str">
        <v>STM-A40_0132</v>
      </c>
      <c r="AU146" t="str">
        <v>STM-A40_0133</v>
      </c>
      <c r="AV146" t="str">
        <v>STM-A40_0136</v>
      </c>
      <c r="AW146" t="str">
        <v/>
      </c>
    </row>
    <row r="147" spans="4:49" ht="15.75" x14ac:dyDescent="0.25">
      <c r="D147" s="3">
        <v>10</v>
      </c>
      <c r="F147" s="16" cm="1">
        <f t="array" ref="F1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47" s="31" cm="1">
        <f t="array" ref="G1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14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47" s="32" t="str">
        <f>TEXT(HLG_01[[#This Row],[Batch]],"000")&amp; " / " &amp; TEXT(HLG_01[[#This Row],[Rit]],"000")</f>
        <v>038 / 008</v>
      </c>
      <c r="J147" s="34" t="s">
        <v>2621</v>
      </c>
      <c r="K147" s="38" t="s">
        <v>2605</v>
      </c>
      <c r="L147" s="35"/>
      <c r="M147" s="85"/>
      <c r="N147" s="85"/>
      <c r="O147" s="85"/>
      <c r="P147" s="85"/>
      <c r="Q147" s="85"/>
      <c r="R147" s="85"/>
      <c r="S147" s="98"/>
      <c r="T147" s="98"/>
      <c r="U147" s="98"/>
      <c r="V147" s="95"/>
      <c r="W147" s="95"/>
      <c r="X147" s="85"/>
      <c r="Z147" t="str">
        <v>46211/D|BR1/04</v>
      </c>
      <c r="AA147" t="str">
        <v>STM-A40_0098</v>
      </c>
      <c r="AB147" t="str">
        <v>SAP</v>
      </c>
      <c r="AC147" t="str">
        <v>LS_18</v>
      </c>
      <c r="AD147" t="str">
        <v>L18_S09</v>
      </c>
      <c r="AE147" t="str">
        <v>039 / 007</v>
      </c>
      <c r="AF147" t="str">
        <v>No</v>
      </c>
      <c r="AG147" t="str">
        <v/>
      </c>
      <c r="AH147" t="str">
        <v/>
      </c>
      <c r="AJ147" t="str">
        <f ca="1"/>
        <v>Pile_01</v>
      </c>
      <c r="AP147" t="str">
        <v>STM-A40_0068</v>
      </c>
      <c r="AQ147" t="str">
        <v>STM-A40_0069</v>
      </c>
      <c r="AR147" t="str">
        <v>STM-A40_0087</v>
      </c>
      <c r="AS147" t="str">
        <v>STM-A40_0097</v>
      </c>
      <c r="AT147" t="str">
        <v>STM-A40_0132</v>
      </c>
      <c r="AU147" t="str">
        <v>STM-A40_0133</v>
      </c>
      <c r="AV147" t="str">
        <v>STM-A40_0136</v>
      </c>
      <c r="AW147" t="str">
        <v/>
      </c>
    </row>
    <row r="148" spans="4:49" ht="15.75" x14ac:dyDescent="0.25">
      <c r="D148" s="3">
        <v>10</v>
      </c>
      <c r="F148" s="16" cm="1">
        <f t="array" ref="F1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48" s="31" cm="1">
        <f t="array" ref="G1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14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48" s="32" t="str">
        <f>TEXT(HLG_01[[#This Row],[Batch]],"000")&amp; " / " &amp; TEXT(HLG_01[[#This Row],[Rit]],"000")</f>
        <v>038 / 009</v>
      </c>
      <c r="J148" s="34" t="s">
        <v>2621</v>
      </c>
      <c r="K148" s="38" t="s">
        <v>2608</v>
      </c>
      <c r="L148" s="35"/>
      <c r="M148" s="85"/>
      <c r="N148" s="85"/>
      <c r="O148" s="85"/>
      <c r="P148" s="85"/>
      <c r="Q148" s="85"/>
      <c r="R148" s="85"/>
      <c r="S148" s="98"/>
      <c r="T148" s="98"/>
      <c r="U148" s="98"/>
      <c r="V148" s="95"/>
      <c r="W148" s="95"/>
      <c r="X148" s="85"/>
      <c r="Z148" t="str">
        <v>46211/D|BR1/04</v>
      </c>
      <c r="AA148" t="str">
        <v>STM-A40_0105</v>
      </c>
      <c r="AB148" t="str">
        <v>SAP</v>
      </c>
      <c r="AC148" t="str">
        <v>LS_18</v>
      </c>
      <c r="AD148" t="str">
        <v>L18_S09</v>
      </c>
      <c r="AE148" t="str">
        <v>039 / 008</v>
      </c>
      <c r="AF148" t="str">
        <v>Yes</v>
      </c>
      <c r="AG148" t="str">
        <v/>
      </c>
      <c r="AH148" t="str">
        <v/>
      </c>
      <c r="AJ148" t="str">
        <f ca="1"/>
        <v>Pile_01</v>
      </c>
      <c r="AP148" t="str">
        <v>STM-A40_0068</v>
      </c>
      <c r="AQ148" t="str">
        <v>STM-A40_0069</v>
      </c>
      <c r="AR148" t="str">
        <v>STM-A40_0087</v>
      </c>
      <c r="AS148" t="str">
        <v>STM-A40_0097</v>
      </c>
      <c r="AT148" t="str">
        <v>STM-A40_0132</v>
      </c>
      <c r="AU148" t="str">
        <v>STM-A40_0133</v>
      </c>
      <c r="AV148" t="str">
        <v>STM-A40_0136</v>
      </c>
      <c r="AW148" t="str">
        <v/>
      </c>
    </row>
    <row r="149" spans="4:49" ht="15.75" x14ac:dyDescent="0.25">
      <c r="D149" s="3">
        <v>10</v>
      </c>
      <c r="F149" s="16" cm="1">
        <f t="array" ref="F1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49" s="31" cm="1">
        <f t="array" ref="G1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14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49" s="32" t="str">
        <f>TEXT(HLG_01[[#This Row],[Batch]],"000")&amp; " / " &amp; TEXT(HLG_01[[#This Row],[Rit]],"000")</f>
        <v>038 / 010</v>
      </c>
      <c r="J149" s="34" t="s">
        <v>2621</v>
      </c>
      <c r="K149" s="38" t="s">
        <v>2613</v>
      </c>
      <c r="L149" s="35"/>
      <c r="M149" s="85"/>
      <c r="N149" s="85"/>
      <c r="O149" s="85"/>
      <c r="P149" s="85"/>
      <c r="Q149" s="85"/>
      <c r="R149" s="85"/>
      <c r="S149" s="98"/>
      <c r="T149" s="98"/>
      <c r="U149" s="98"/>
      <c r="V149" s="95"/>
      <c r="W149" s="95"/>
      <c r="X149" s="85"/>
      <c r="Z149" t="str">
        <v>46211/D|BR1/04</v>
      </c>
      <c r="AA149" t="str">
        <v>STM-A40_0121</v>
      </c>
      <c r="AB149" t="str">
        <v>SAP</v>
      </c>
      <c r="AC149" t="str">
        <v>LS_18</v>
      </c>
      <c r="AD149" t="str">
        <v>L18_S09</v>
      </c>
      <c r="AE149" t="str">
        <v>039 / 009</v>
      </c>
      <c r="AF149" t="str">
        <v>No</v>
      </c>
      <c r="AG149" t="str">
        <v/>
      </c>
      <c r="AH149" t="str">
        <v>TRUCK SALAH</v>
      </c>
      <c r="AJ149" t="str">
        <f ca="1"/>
        <v>Pile_01</v>
      </c>
      <c r="AP149" t="str">
        <v>STM-A40_0068</v>
      </c>
      <c r="AQ149" t="str">
        <v>STM-A40_0069</v>
      </c>
      <c r="AR149" t="str">
        <v>STM-A40_0087</v>
      </c>
      <c r="AS149" t="str">
        <v>STM-A40_0097</v>
      </c>
      <c r="AT149" t="str">
        <v>STM-A40_0132</v>
      </c>
      <c r="AU149" t="str">
        <v>STM-A40_0133</v>
      </c>
      <c r="AV149" t="str">
        <v>STM-A40_0136</v>
      </c>
      <c r="AW149" t="str">
        <v/>
      </c>
    </row>
    <row r="150" spans="4:49" ht="15.75" x14ac:dyDescent="0.25">
      <c r="D150" s="3">
        <v>10</v>
      </c>
      <c r="F150" s="16" cm="1">
        <f t="array" ref="F1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50" s="31" cm="1">
        <f t="array" ref="G1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15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50" s="32" t="str">
        <f>TEXT(HLG_01[[#This Row],[Batch]],"000")&amp; " / " &amp; TEXT(HLG_01[[#This Row],[Rit]],"000")</f>
        <v>038 / 011</v>
      </c>
      <c r="J150" s="34" t="s">
        <v>2621</v>
      </c>
      <c r="K150" s="38" t="s">
        <v>2610</v>
      </c>
      <c r="L150" s="35"/>
      <c r="M150" s="85"/>
      <c r="N150" s="85"/>
      <c r="O150" s="85"/>
      <c r="P150" s="85"/>
      <c r="Q150" s="85"/>
      <c r="R150" s="85"/>
      <c r="S150" s="98"/>
      <c r="T150" s="98"/>
      <c r="U150" s="98"/>
      <c r="V150" s="95"/>
      <c r="W150" s="95"/>
      <c r="X150" s="85"/>
      <c r="Z150" t="str">
        <v>46211/D|BR1/04</v>
      </c>
      <c r="AA150" t="str">
        <v>STM-A40_0106</v>
      </c>
      <c r="AB150" t="str">
        <v>SAP</v>
      </c>
      <c r="AC150" t="str">
        <v>LS_18</v>
      </c>
      <c r="AD150" t="str">
        <v>L18_S09</v>
      </c>
      <c r="AE150" t="str">
        <v>039 / 010</v>
      </c>
      <c r="AF150" t="str">
        <v>Yes</v>
      </c>
      <c r="AG150" t="str">
        <v/>
      </c>
      <c r="AH150" t="str">
        <v/>
      </c>
      <c r="AJ150" t="str">
        <f ca="1"/>
        <v>Pile_01</v>
      </c>
      <c r="AP150" t="str">
        <v>STM-A40_0068</v>
      </c>
      <c r="AQ150" t="str">
        <v>STM-A40_0069</v>
      </c>
      <c r="AR150" t="str">
        <v>STM-A40_0087</v>
      </c>
      <c r="AS150" t="str">
        <v>STM-A40_0097</v>
      </c>
      <c r="AT150" t="str">
        <v>STM-A40_0132</v>
      </c>
      <c r="AU150" t="str">
        <v>STM-A40_0133</v>
      </c>
      <c r="AV150" t="str">
        <v>STM-A40_0136</v>
      </c>
      <c r="AW150" t="str">
        <v/>
      </c>
    </row>
    <row r="151" spans="4:49" ht="15.75" x14ac:dyDescent="0.25">
      <c r="D151" s="3">
        <v>10</v>
      </c>
      <c r="F151" s="16" cm="1">
        <f t="array" ref="F1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51" s="31" cm="1">
        <f t="array" ref="G1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15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51" s="32" t="str">
        <f>TEXT(HLG_01[[#This Row],[Batch]],"000")&amp; " / " &amp; TEXT(HLG_01[[#This Row],[Rit]],"000")</f>
        <v>038 / 012</v>
      </c>
      <c r="J151" s="34" t="s">
        <v>2621</v>
      </c>
      <c r="K151" s="38" t="s">
        <v>2611</v>
      </c>
      <c r="L151" s="35"/>
      <c r="M151" s="85"/>
      <c r="N151" s="85"/>
      <c r="O151" s="85"/>
      <c r="P151" s="85"/>
      <c r="Q151" s="85"/>
      <c r="R151" s="85"/>
      <c r="S151" s="98"/>
      <c r="T151" s="98"/>
      <c r="U151" s="98"/>
      <c r="V151" s="95"/>
      <c r="W151" s="95"/>
      <c r="X151" s="85"/>
      <c r="Z151" t="str">
        <v>46211/D|BR1/04</v>
      </c>
      <c r="AA151" t="str">
        <v>STM-A40_0107</v>
      </c>
      <c r="AB151" t="str">
        <v>SAP</v>
      </c>
      <c r="AC151" t="str">
        <v>LS_18</v>
      </c>
      <c r="AD151" t="str">
        <v>L18_S09</v>
      </c>
      <c r="AE151" t="str">
        <v>039 / 011</v>
      </c>
      <c r="AF151" t="str">
        <v>No</v>
      </c>
      <c r="AG151" t="str">
        <v/>
      </c>
      <c r="AH151" t="str">
        <v/>
      </c>
      <c r="AJ151" t="str">
        <f ca="1"/>
        <v>Pile_01</v>
      </c>
      <c r="AP151" t="str">
        <v>STM-A40_0068</v>
      </c>
      <c r="AQ151" t="str">
        <v>STM-A40_0069</v>
      </c>
      <c r="AR151" t="str">
        <v>STM-A40_0087</v>
      </c>
      <c r="AS151" t="str">
        <v>STM-A40_0097</v>
      </c>
      <c r="AT151" t="str">
        <v>STM-A40_0132</v>
      </c>
      <c r="AU151" t="str">
        <v>STM-A40_0133</v>
      </c>
      <c r="AV151" t="str">
        <v>STM-A40_0136</v>
      </c>
      <c r="AW151" t="str">
        <v/>
      </c>
    </row>
    <row r="152" spans="4:49" ht="15.75" x14ac:dyDescent="0.25">
      <c r="D152" s="3">
        <v>10</v>
      </c>
      <c r="F152" s="16" cm="1">
        <f t="array" ref="F1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52" s="31" cm="1">
        <f t="array" ref="G1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15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52" s="32" t="str">
        <f>TEXT(HLG_01[[#This Row],[Batch]],"000")&amp; " / " &amp; TEXT(HLG_01[[#This Row],[Rit]],"000")</f>
        <v>038 / 013</v>
      </c>
      <c r="J152" s="34" t="s">
        <v>2621</v>
      </c>
      <c r="K152" s="38" t="s">
        <v>2609</v>
      </c>
      <c r="L152" s="35"/>
      <c r="M152" s="85"/>
      <c r="N152" s="85"/>
      <c r="O152" s="85"/>
      <c r="P152" s="85"/>
      <c r="Q152" s="85"/>
      <c r="R152" s="85"/>
      <c r="S152" s="98"/>
      <c r="T152" s="98"/>
      <c r="U152" s="98"/>
      <c r="V152" s="95"/>
      <c r="W152" s="95"/>
      <c r="X152" s="85"/>
      <c r="Z152" t="str">
        <v>46211/D|BR1/04</v>
      </c>
      <c r="AA152" t="str">
        <v>STM-A40_0098</v>
      </c>
      <c r="AB152" t="str">
        <v>SAP</v>
      </c>
      <c r="AC152" t="str">
        <v>LS_18</v>
      </c>
      <c r="AD152" t="str">
        <v>L18_S09</v>
      </c>
      <c r="AE152" t="str">
        <v>039 / 012</v>
      </c>
      <c r="AF152" t="str">
        <v>Yes</v>
      </c>
      <c r="AG152" t="str">
        <v/>
      </c>
      <c r="AH152" t="str">
        <v/>
      </c>
      <c r="AJ152" t="str">
        <f ca="1"/>
        <v>Pile_01</v>
      </c>
      <c r="AP152" t="str">
        <v>STM-A40_0068</v>
      </c>
      <c r="AQ152" t="str">
        <v>STM-A40_0069</v>
      </c>
      <c r="AR152" t="str">
        <v>STM-A40_0087</v>
      </c>
      <c r="AS152" t="str">
        <v>STM-A40_0097</v>
      </c>
      <c r="AT152" t="str">
        <v>STM-A40_0132</v>
      </c>
      <c r="AU152" t="str">
        <v>STM-A40_0133</v>
      </c>
      <c r="AV152" t="str">
        <v>STM-A40_0136</v>
      </c>
      <c r="AW152" t="str">
        <v/>
      </c>
    </row>
    <row r="153" spans="4:49" ht="15.75" x14ac:dyDescent="0.25">
      <c r="D153" s="3">
        <v>10</v>
      </c>
      <c r="F153" s="16" cm="1">
        <f t="array" ref="F1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53" s="31" cm="1">
        <f t="array" ref="G1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15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53" s="32" t="str">
        <f>TEXT(HLG_01[[#This Row],[Batch]],"000")&amp; " / " &amp; TEXT(HLG_01[[#This Row],[Rit]],"000")</f>
        <v>038 / 014</v>
      </c>
      <c r="J153" s="34" t="s">
        <v>2621</v>
      </c>
      <c r="K153" s="38" t="s">
        <v>2605</v>
      </c>
      <c r="L153" s="35"/>
      <c r="M153" s="85"/>
      <c r="N153" s="85"/>
      <c r="O153" s="85"/>
      <c r="P153" s="85"/>
      <c r="Q153" s="85"/>
      <c r="R153" s="85"/>
      <c r="S153" s="98"/>
      <c r="T153" s="98"/>
      <c r="U153" s="98"/>
      <c r="V153" s="95"/>
      <c r="W153" s="95"/>
      <c r="X153" s="85"/>
      <c r="Z153" t="str">
        <v>46211/D|BR1/04</v>
      </c>
      <c r="AA153" t="str">
        <v>STM-A40_0105</v>
      </c>
      <c r="AB153" t="str">
        <v>SAP</v>
      </c>
      <c r="AC153" t="str">
        <v>LS_18</v>
      </c>
      <c r="AD153" t="str">
        <v>L18_S09</v>
      </c>
      <c r="AE153" t="str">
        <v>039 / 013</v>
      </c>
      <c r="AF153" t="str">
        <v>No</v>
      </c>
      <c r="AG153" t="str">
        <v/>
      </c>
      <c r="AH153" t="str">
        <v/>
      </c>
      <c r="AJ153" t="str">
        <f ca="1"/>
        <v>Pile_01</v>
      </c>
      <c r="AP153" t="str">
        <v>STM-A40_0068</v>
      </c>
      <c r="AQ153" t="str">
        <v>STM-A40_0069</v>
      </c>
      <c r="AR153" t="str">
        <v>STM-A40_0087</v>
      </c>
      <c r="AS153" t="str">
        <v>STM-A40_0097</v>
      </c>
      <c r="AT153" t="str">
        <v>STM-A40_0132</v>
      </c>
      <c r="AU153" t="str">
        <v>STM-A40_0133</v>
      </c>
      <c r="AV153" t="str">
        <v>STM-A40_0136</v>
      </c>
      <c r="AW153" t="str">
        <v/>
      </c>
    </row>
    <row r="154" spans="4:49" ht="15.75" x14ac:dyDescent="0.25">
      <c r="D154" s="3">
        <v>10</v>
      </c>
      <c r="F154" s="16" cm="1">
        <f t="array" ref="F1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54" s="31" cm="1">
        <f t="array" ref="G1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15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54" s="32" t="str">
        <f>TEXT(HLG_01[[#This Row],[Batch]],"000")&amp; " / " &amp; TEXT(HLG_01[[#This Row],[Rit]],"000")</f>
        <v>038 / 015</v>
      </c>
      <c r="J154" s="34" t="s">
        <v>2621</v>
      </c>
      <c r="K154" s="38" t="s">
        <v>2610</v>
      </c>
      <c r="L154" s="35"/>
      <c r="M154" s="85"/>
      <c r="N154" s="85"/>
      <c r="O154" s="85"/>
      <c r="P154" s="85"/>
      <c r="Q154" s="85"/>
      <c r="R154" s="85"/>
      <c r="S154" s="98"/>
      <c r="T154" s="98"/>
      <c r="U154" s="98"/>
      <c r="V154" s="95"/>
      <c r="W154" s="95"/>
      <c r="X154" s="85"/>
      <c r="Z154" t="str">
        <v>46211/D|BR1/04</v>
      </c>
      <c r="AA154" t="str">
        <v>STM-A40_0121</v>
      </c>
      <c r="AB154" t="str">
        <v>SAP</v>
      </c>
      <c r="AC154" t="str">
        <v>LS_18</v>
      </c>
      <c r="AD154" t="str">
        <v>L18_S09</v>
      </c>
      <c r="AE154" t="str">
        <v>039 / 014</v>
      </c>
      <c r="AF154" t="str">
        <v>Yes</v>
      </c>
      <c r="AG154" t="str">
        <v/>
      </c>
      <c r="AH154" t="str">
        <v>TRUCK SALAH</v>
      </c>
      <c r="AJ154" t="str">
        <f ca="1"/>
        <v>Pile_01</v>
      </c>
      <c r="AP154" t="str">
        <v>STM-A40_0068</v>
      </c>
      <c r="AQ154" t="str">
        <v>STM-A40_0069</v>
      </c>
      <c r="AR154" t="str">
        <v>STM-A40_0087</v>
      </c>
      <c r="AS154" t="str">
        <v>STM-A40_0097</v>
      </c>
      <c r="AT154" t="str">
        <v>STM-A40_0132</v>
      </c>
      <c r="AU154" t="str">
        <v>STM-A40_0133</v>
      </c>
      <c r="AV154" t="str">
        <v>STM-A40_0136</v>
      </c>
      <c r="AW154" t="str">
        <v/>
      </c>
    </row>
    <row r="155" spans="4:49" ht="15.75" x14ac:dyDescent="0.25">
      <c r="D155" s="3">
        <v>10</v>
      </c>
      <c r="F155" s="16" cm="1">
        <f t="array" ref="F1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55" s="31" cm="1">
        <f t="array" ref="G1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15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55" s="32" t="str">
        <f>TEXT(HLG_01[[#This Row],[Batch]],"000")&amp; " / " &amp; TEXT(HLG_01[[#This Row],[Rit]],"000")</f>
        <v>038 / 016</v>
      </c>
      <c r="J155" s="34" t="s">
        <v>2621</v>
      </c>
      <c r="K155" s="38" t="s">
        <v>2605</v>
      </c>
      <c r="L155" s="35"/>
      <c r="M155" s="85"/>
      <c r="N155" s="85"/>
      <c r="O155" s="85"/>
      <c r="P155" s="85"/>
      <c r="Q155" s="85"/>
      <c r="R155" s="85"/>
      <c r="S155" s="98"/>
      <c r="T155" s="98"/>
      <c r="U155" s="98"/>
      <c r="V155" s="95"/>
      <c r="W155" s="95"/>
      <c r="X155" s="85"/>
      <c r="Z155" t="str">
        <v>46211/D|BR1/04</v>
      </c>
      <c r="AA155" t="str">
        <v>STM-A40_0106</v>
      </c>
      <c r="AB155" t="str">
        <v>SAP</v>
      </c>
      <c r="AC155" t="str">
        <v>LS_18</v>
      </c>
      <c r="AD155" t="str">
        <v>L18_S09</v>
      </c>
      <c r="AE155" t="str">
        <v>039 / 015</v>
      </c>
      <c r="AF155" t="str">
        <v>No</v>
      </c>
      <c r="AG155" t="str">
        <v/>
      </c>
      <c r="AH155" t="str">
        <v/>
      </c>
      <c r="AJ155" t="str">
        <f ca="1"/>
        <v>Pile_01</v>
      </c>
      <c r="AP155" t="str">
        <v>STM-A40_0068</v>
      </c>
      <c r="AQ155" t="str">
        <v>STM-A40_0069</v>
      </c>
      <c r="AR155" t="str">
        <v>STM-A40_0087</v>
      </c>
      <c r="AS155" t="str">
        <v>STM-A40_0097</v>
      </c>
      <c r="AT155" t="str">
        <v>STM-A40_0132</v>
      </c>
      <c r="AU155" t="str">
        <v>STM-A40_0133</v>
      </c>
      <c r="AV155" t="str">
        <v>STM-A40_0136</v>
      </c>
      <c r="AW155" t="str">
        <v/>
      </c>
    </row>
    <row r="156" spans="4:49" ht="15.75" x14ac:dyDescent="0.25">
      <c r="D156" s="3">
        <v>10</v>
      </c>
      <c r="F156" s="16" cm="1">
        <f t="array" ref="F1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56" s="31" cm="1">
        <f t="array" ref="G1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15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56" s="32" t="str">
        <f>TEXT(HLG_01[[#This Row],[Batch]],"000")&amp; " / " &amp; TEXT(HLG_01[[#This Row],[Rit]],"000")</f>
        <v>038 / 017</v>
      </c>
      <c r="J156" s="34" t="s">
        <v>2621</v>
      </c>
      <c r="K156" s="38" t="s">
        <v>2611</v>
      </c>
      <c r="L156" s="35"/>
      <c r="M156" s="85"/>
      <c r="N156" s="85"/>
      <c r="O156" s="85"/>
      <c r="P156" s="85"/>
      <c r="Q156" s="85"/>
      <c r="R156" s="85"/>
      <c r="S156" s="98"/>
      <c r="T156" s="98"/>
      <c r="U156" s="98"/>
      <c r="V156" s="95"/>
      <c r="W156" s="95"/>
      <c r="X156" s="85"/>
      <c r="Z156" t="str">
        <v>46211/D|BR1/04</v>
      </c>
      <c r="AA156" t="str">
        <v>STM-A40_0098</v>
      </c>
      <c r="AB156" t="str">
        <v>SAP</v>
      </c>
      <c r="AC156" t="str">
        <v>LS_18</v>
      </c>
      <c r="AD156" t="str">
        <v>L18_S09</v>
      </c>
      <c r="AE156" t="str">
        <v>039 / 016</v>
      </c>
      <c r="AF156" t="str">
        <v>Yes</v>
      </c>
      <c r="AG156" t="str">
        <v/>
      </c>
      <c r="AH156" t="str">
        <v/>
      </c>
      <c r="AJ156" t="str">
        <f ca="1"/>
        <v>Pile_01</v>
      </c>
      <c r="AP156" t="str">
        <v>STM-A40_0068</v>
      </c>
      <c r="AQ156" t="str">
        <v>STM-A40_0069</v>
      </c>
      <c r="AR156" t="str">
        <v>STM-A40_0087</v>
      </c>
      <c r="AS156" t="str">
        <v>STM-A40_0097</v>
      </c>
      <c r="AT156" t="str">
        <v>STM-A40_0132</v>
      </c>
      <c r="AU156" t="str">
        <v>STM-A40_0133</v>
      </c>
      <c r="AV156" t="str">
        <v>STM-A40_0136</v>
      </c>
      <c r="AW156" t="str">
        <v/>
      </c>
    </row>
    <row r="157" spans="4:49" ht="15.75" x14ac:dyDescent="0.25">
      <c r="D157" s="3">
        <v>10</v>
      </c>
      <c r="F157" s="16" cm="1">
        <f t="array" ref="F1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57" s="31" cm="1">
        <f t="array" ref="G1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15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57" s="32" t="str">
        <f>TEXT(HLG_01[[#This Row],[Batch]],"000")&amp; " / " &amp; TEXT(HLG_01[[#This Row],[Rit]],"000")</f>
        <v>038 / 018</v>
      </c>
      <c r="J157" s="34" t="s">
        <v>2621</v>
      </c>
      <c r="K157" s="38" t="s">
        <v>2613</v>
      </c>
      <c r="L157" s="35"/>
      <c r="M157" s="85"/>
      <c r="N157" s="85"/>
      <c r="O157" s="85"/>
      <c r="P157" s="85"/>
      <c r="Q157" s="85"/>
      <c r="R157" s="85"/>
      <c r="S157" s="98"/>
      <c r="T157" s="98"/>
      <c r="U157" s="98"/>
      <c r="V157" s="95"/>
      <c r="W157" s="95"/>
      <c r="X157" s="85"/>
      <c r="Z157" t="str">
        <v>46211/D|BR1/04</v>
      </c>
      <c r="AA157" t="str">
        <v>STM-A40_0105</v>
      </c>
      <c r="AB157" t="str">
        <v>SAP</v>
      </c>
      <c r="AC157" t="str">
        <v>LS_18</v>
      </c>
      <c r="AD157" t="str">
        <v>L18_S09</v>
      </c>
      <c r="AE157" t="str">
        <v>039 / 017</v>
      </c>
      <c r="AF157" t="str">
        <v>No</v>
      </c>
      <c r="AG157" t="str">
        <v/>
      </c>
      <c r="AH157" t="str">
        <v/>
      </c>
      <c r="AJ157" t="str">
        <f ca="1"/>
        <v>Pile_01</v>
      </c>
      <c r="AP157" t="str">
        <v>STM-A40_0068</v>
      </c>
      <c r="AQ157" t="str">
        <v>STM-A40_0069</v>
      </c>
      <c r="AR157" t="str">
        <v>STM-A40_0087</v>
      </c>
      <c r="AS157" t="str">
        <v>STM-A40_0097</v>
      </c>
      <c r="AT157" t="str">
        <v>STM-A40_0132</v>
      </c>
      <c r="AU157" t="str">
        <v>STM-A40_0133</v>
      </c>
      <c r="AV157" t="str">
        <v>STM-A40_0136</v>
      </c>
      <c r="AW157" t="str">
        <v/>
      </c>
    </row>
    <row r="158" spans="4:49" ht="15.75" x14ac:dyDescent="0.25">
      <c r="D158" s="3">
        <v>10</v>
      </c>
      <c r="F158" s="16" cm="1">
        <f t="array" ref="F1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58" s="31" cm="1">
        <f t="array" ref="G1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15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58" s="32" t="str">
        <f>TEXT(HLG_01[[#This Row],[Batch]],"000")&amp; " / " &amp; TEXT(HLG_01[[#This Row],[Rit]],"000")</f>
        <v>038 / 019</v>
      </c>
      <c r="J158" s="34" t="s">
        <v>2621</v>
      </c>
      <c r="K158" s="38" t="s">
        <v>2608</v>
      </c>
      <c r="L158" s="35"/>
      <c r="M158" s="85"/>
      <c r="N158" s="85"/>
      <c r="O158" s="85"/>
      <c r="P158" s="85"/>
      <c r="Q158" s="85"/>
      <c r="R158" s="85"/>
      <c r="S158" s="98"/>
      <c r="T158" s="98"/>
      <c r="U158" s="98"/>
      <c r="V158" s="95"/>
      <c r="W158" s="95"/>
      <c r="X158" s="85"/>
      <c r="Z158" t="str">
        <v>46211/D|BR1/04</v>
      </c>
      <c r="AA158" t="str">
        <v>STM-A40_0121</v>
      </c>
      <c r="AB158" t="str">
        <v>SAP</v>
      </c>
      <c r="AC158" t="str">
        <v>LS_18</v>
      </c>
      <c r="AD158" t="str">
        <v>L18_S09</v>
      </c>
      <c r="AE158" t="str">
        <v>039 / 018</v>
      </c>
      <c r="AF158" t="str">
        <v>Yes</v>
      </c>
      <c r="AG158" t="str">
        <v/>
      </c>
      <c r="AH158" t="str">
        <v>TRUCK SALAH</v>
      </c>
      <c r="AJ158" t="str">
        <f ca="1"/>
        <v>Pile_01</v>
      </c>
      <c r="AP158" t="str">
        <v>STM-A40_0068</v>
      </c>
      <c r="AQ158" t="str">
        <v>STM-A40_0069</v>
      </c>
      <c r="AR158" t="str">
        <v>STM-A40_0087</v>
      </c>
      <c r="AS158" t="str">
        <v>STM-A40_0097</v>
      </c>
      <c r="AT158" t="str">
        <v>STM-A40_0132</v>
      </c>
      <c r="AU158" t="str">
        <v>STM-A40_0133</v>
      </c>
      <c r="AV158" t="str">
        <v>STM-A40_0136</v>
      </c>
      <c r="AW158" t="str">
        <v/>
      </c>
    </row>
    <row r="159" spans="4:49" ht="15.75" x14ac:dyDescent="0.25">
      <c r="D159" s="3">
        <v>10</v>
      </c>
      <c r="F159" s="16" cm="1">
        <f t="array" ref="F1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38</v>
      </c>
      <c r="G159" s="31" cm="1">
        <f t="array" ref="G1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15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59" s="32" t="str">
        <f>TEXT(HLG_01[[#This Row],[Batch]],"000")&amp; " / " &amp; TEXT(HLG_01[[#This Row],[Rit]],"000")</f>
        <v>038 / 020</v>
      </c>
      <c r="J159" s="34" t="s">
        <v>2621</v>
      </c>
      <c r="K159" s="38" t="s">
        <v>2609</v>
      </c>
      <c r="L159" s="35"/>
      <c r="M159" s="85"/>
      <c r="N159" s="85"/>
      <c r="O159" s="85"/>
      <c r="P159" s="85"/>
      <c r="Q159" s="85"/>
      <c r="R159" s="85"/>
      <c r="S159" s="98"/>
      <c r="T159" s="98"/>
      <c r="U159" s="98"/>
      <c r="V159" s="95"/>
      <c r="W159" s="95"/>
      <c r="X159" s="85"/>
      <c r="Z159" t="str">
        <v>46211/D|BR1/04</v>
      </c>
      <c r="AA159" t="str">
        <v>STM-A40_0106</v>
      </c>
      <c r="AB159" t="str">
        <v>SAP</v>
      </c>
      <c r="AC159" t="str">
        <v>LS_18</v>
      </c>
      <c r="AD159" t="str">
        <v>L18_S09</v>
      </c>
      <c r="AE159" t="str">
        <v>039 / 019</v>
      </c>
      <c r="AF159" t="str">
        <v>No</v>
      </c>
      <c r="AG159" t="str">
        <v/>
      </c>
      <c r="AH159" t="str">
        <v/>
      </c>
      <c r="AJ159" t="str">
        <f ca="1"/>
        <v>Pile_01</v>
      </c>
      <c r="AP159" t="str">
        <v>STM-A40_0068</v>
      </c>
      <c r="AQ159" t="str">
        <v>STM-A40_0069</v>
      </c>
      <c r="AR159" t="str">
        <v>STM-A40_0087</v>
      </c>
      <c r="AS159" t="str">
        <v>STM-A40_0097</v>
      </c>
      <c r="AT159" t="str">
        <v>STM-A40_0132</v>
      </c>
      <c r="AU159" t="str">
        <v>STM-A40_0133</v>
      </c>
      <c r="AV159" t="str">
        <v>STM-A40_0136</v>
      </c>
      <c r="AW159" t="str">
        <v/>
      </c>
    </row>
    <row r="160" spans="4:49" ht="15.75" x14ac:dyDescent="0.25">
      <c r="D160" s="3">
        <v>11</v>
      </c>
      <c r="F160" s="16" cm="1">
        <f t="array" ref="F1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60" s="31" cm="1">
        <f t="array" ref="G1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16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60" s="32" t="str">
        <f>TEXT(HLG_01[[#This Row],[Batch]],"000")&amp; " / " &amp; TEXT(HLG_01[[#This Row],[Rit]],"000")</f>
        <v>039 / 001</v>
      </c>
      <c r="J160" s="34" t="s">
        <v>2622</v>
      </c>
      <c r="K160" s="38" t="s">
        <v>2607</v>
      </c>
      <c r="L160" s="35"/>
      <c r="M160" s="85"/>
      <c r="N160" s="85"/>
      <c r="O160" s="85"/>
      <c r="P160" s="85"/>
      <c r="Q160" s="85"/>
      <c r="R160" s="85"/>
      <c r="S160" s="98"/>
      <c r="T160" s="98"/>
      <c r="U160" s="98"/>
      <c r="V160" s="95"/>
      <c r="W160" s="95"/>
      <c r="X160" s="85"/>
      <c r="Z160" t="str">
        <v>46211/D|BR1/04</v>
      </c>
      <c r="AA160" t="str">
        <v>STM-A40_0098</v>
      </c>
      <c r="AB160" t="str">
        <v>SAP</v>
      </c>
      <c r="AC160" t="str">
        <v>LS_18</v>
      </c>
      <c r="AD160" t="str">
        <v>L18_S09</v>
      </c>
      <c r="AE160" t="str">
        <v>039 / 020</v>
      </c>
      <c r="AF160" t="str">
        <v>Yes</v>
      </c>
      <c r="AG160" t="str">
        <v/>
      </c>
      <c r="AH160" t="str">
        <v/>
      </c>
      <c r="AJ160" t="str">
        <f ca="1"/>
        <v>Pile_01</v>
      </c>
      <c r="AP160" t="str">
        <v>STM-A40_0067</v>
      </c>
      <c r="AQ160" t="str">
        <v>STM-A40_0088</v>
      </c>
      <c r="AR160" t="str">
        <v>STM-A40_0098</v>
      </c>
      <c r="AS160" t="str">
        <v>STM-A40_0105</v>
      </c>
      <c r="AT160" t="str">
        <v>STM-A40_0106</v>
      </c>
      <c r="AU160" t="str">
        <v>STM-A40_0107</v>
      </c>
      <c r="AV160" t="str">
        <v>STM-A40_0119</v>
      </c>
      <c r="AW160" t="str">
        <v>STM-A40_0136</v>
      </c>
    </row>
    <row r="161" spans="4:49" ht="15.75" x14ac:dyDescent="0.25">
      <c r="D161" s="3">
        <v>11</v>
      </c>
      <c r="F161" s="16" cm="1">
        <f t="array" ref="F1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61" s="31" cm="1">
        <f t="array" ref="G1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16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61" s="32" t="str">
        <f>TEXT(HLG_01[[#This Row],[Batch]],"000")&amp; " / " &amp; TEXT(HLG_01[[#This Row],[Rit]],"000")</f>
        <v>039 / 002</v>
      </c>
      <c r="J161" s="34" t="s">
        <v>2622</v>
      </c>
      <c r="K161" s="38" t="s">
        <v>2604</v>
      </c>
      <c r="L161" s="35"/>
      <c r="M161" s="85"/>
      <c r="N161" s="85"/>
      <c r="O161" s="85"/>
      <c r="P161" s="85"/>
      <c r="Q161" s="85"/>
      <c r="R161" s="85"/>
      <c r="S161" s="98"/>
      <c r="T161" s="98"/>
      <c r="U161" s="98"/>
      <c r="V161" s="95"/>
      <c r="W161" s="95"/>
      <c r="X161" s="85"/>
      <c r="Z161" t="str">
        <v>46211/D|BR1/02</v>
      </c>
      <c r="AA161" t="str">
        <v>STM-A40_0136</v>
      </c>
      <c r="AB161" t="str">
        <v>SAP</v>
      </c>
      <c r="AC161" t="str">
        <v>LS_18</v>
      </c>
      <c r="AD161" t="str">
        <v>L18_S09</v>
      </c>
      <c r="AE161" t="str">
        <v>040 / 001</v>
      </c>
      <c r="AF161" t="str">
        <v>No</v>
      </c>
      <c r="AG161" t="str">
        <v/>
      </c>
      <c r="AH161" t="str">
        <v/>
      </c>
      <c r="AJ161" t="str">
        <f ca="1"/>
        <v>Pile_01</v>
      </c>
      <c r="AP161" t="str">
        <v>STM-A40_0067</v>
      </c>
      <c r="AQ161" t="str">
        <v>STM-A40_0088</v>
      </c>
      <c r="AR161" t="str">
        <v>STM-A40_0098</v>
      </c>
      <c r="AS161" t="str">
        <v>STM-A40_0105</v>
      </c>
      <c r="AT161" t="str">
        <v>STM-A40_0106</v>
      </c>
      <c r="AU161" t="str">
        <v>STM-A40_0107</v>
      </c>
      <c r="AV161" t="str">
        <v>STM-A40_0119</v>
      </c>
      <c r="AW161" t="str">
        <v>STM-A40_0136</v>
      </c>
    </row>
    <row r="162" spans="4:49" ht="15.75" x14ac:dyDescent="0.25">
      <c r="D162" s="3">
        <v>11</v>
      </c>
      <c r="F162" s="16" cm="1">
        <f t="array" ref="F1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62" s="31" cm="1">
        <f t="array" ref="G1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16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62" s="32" t="str">
        <f>TEXT(HLG_01[[#This Row],[Batch]],"000")&amp; " / " &amp; TEXT(HLG_01[[#This Row],[Rit]],"000")</f>
        <v>039 / 003</v>
      </c>
      <c r="J162" s="34" t="s">
        <v>2622</v>
      </c>
      <c r="K162" s="38" t="s">
        <v>2606</v>
      </c>
      <c r="L162" s="35"/>
      <c r="M162" s="85"/>
      <c r="N162" s="85"/>
      <c r="O162" s="85"/>
      <c r="P162" s="85"/>
      <c r="Q162" s="85"/>
      <c r="R162" s="85"/>
      <c r="S162" s="98"/>
      <c r="T162" s="98"/>
      <c r="U162" s="98"/>
      <c r="V162" s="95"/>
      <c r="W162" s="95"/>
      <c r="X162" s="85"/>
      <c r="Z162" t="str">
        <v>46211/D|BR1/02</v>
      </c>
      <c r="AA162" t="str">
        <v>STM-A40_0069</v>
      </c>
      <c r="AB162" t="str">
        <v>SAP</v>
      </c>
      <c r="AC162" t="str">
        <v>LS_18</v>
      </c>
      <c r="AD162" t="str">
        <v>L18_S09</v>
      </c>
      <c r="AE162" t="str">
        <v>040 / 002</v>
      </c>
      <c r="AF162" t="str">
        <v>Yes</v>
      </c>
      <c r="AG162" t="str">
        <v/>
      </c>
      <c r="AH162" t="str">
        <v/>
      </c>
      <c r="AJ162" t="str">
        <f ca="1"/>
        <v>Pile_01</v>
      </c>
      <c r="AP162" t="str">
        <v>STM-A40_0067</v>
      </c>
      <c r="AQ162" t="str">
        <v>STM-A40_0088</v>
      </c>
      <c r="AR162" t="str">
        <v>STM-A40_0098</v>
      </c>
      <c r="AS162" t="str">
        <v>STM-A40_0105</v>
      </c>
      <c r="AT162" t="str">
        <v>STM-A40_0106</v>
      </c>
      <c r="AU162" t="str">
        <v>STM-A40_0107</v>
      </c>
      <c r="AV162" t="str">
        <v>STM-A40_0119</v>
      </c>
      <c r="AW162" t="str">
        <v>STM-A40_0136</v>
      </c>
    </row>
    <row r="163" spans="4:49" ht="15.75" x14ac:dyDescent="0.25">
      <c r="D163" s="3">
        <v>11</v>
      </c>
      <c r="F163" s="16" cm="1">
        <f t="array" ref="F1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63" s="31" cm="1">
        <f t="array" ref="G1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16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63" s="32" t="str">
        <f>TEXT(HLG_01[[#This Row],[Batch]],"000")&amp; " / " &amp; TEXT(HLG_01[[#This Row],[Rit]],"000")</f>
        <v>039 / 004</v>
      </c>
      <c r="J163" s="34" t="s">
        <v>2622</v>
      </c>
      <c r="K163" s="38" t="s">
        <v>2604</v>
      </c>
      <c r="L163" s="35"/>
      <c r="M163" s="85"/>
      <c r="N163" s="85"/>
      <c r="O163" s="85"/>
      <c r="P163" s="85"/>
      <c r="Q163" s="85"/>
      <c r="R163" s="85"/>
      <c r="S163" s="98"/>
      <c r="T163" s="98"/>
      <c r="U163" s="98"/>
      <c r="V163" s="95"/>
      <c r="W163" s="95"/>
      <c r="X163" s="85"/>
      <c r="Z163" t="str">
        <v>46211/D|BR1/02</v>
      </c>
      <c r="AA163" t="str">
        <v>STM-A40_0087</v>
      </c>
      <c r="AB163" t="str">
        <v>SAP</v>
      </c>
      <c r="AC163" t="str">
        <v>LS_18</v>
      </c>
      <c r="AD163" t="str">
        <v>L18_S09</v>
      </c>
      <c r="AE163" t="str">
        <v>040 / 003</v>
      </c>
      <c r="AF163" t="str">
        <v>No</v>
      </c>
      <c r="AG163" t="str">
        <v/>
      </c>
      <c r="AH163" t="str">
        <v/>
      </c>
      <c r="AJ163" t="str">
        <f ca="1"/>
        <v>Pile_01</v>
      </c>
      <c r="AP163" t="str">
        <v>STM-A40_0067</v>
      </c>
      <c r="AQ163" t="str">
        <v>STM-A40_0088</v>
      </c>
      <c r="AR163" t="str">
        <v>STM-A40_0098</v>
      </c>
      <c r="AS163" t="str">
        <v>STM-A40_0105</v>
      </c>
      <c r="AT163" t="str">
        <v>STM-A40_0106</v>
      </c>
      <c r="AU163" t="str">
        <v>STM-A40_0107</v>
      </c>
      <c r="AV163" t="str">
        <v>STM-A40_0119</v>
      </c>
      <c r="AW163" t="str">
        <v>STM-A40_0136</v>
      </c>
    </row>
    <row r="164" spans="4:49" ht="15.75" x14ac:dyDescent="0.25">
      <c r="D164" s="3" t="e">
        <v>#N/A</v>
      </c>
      <c r="F164" s="16" cm="1">
        <f t="array" ref="F1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64" s="31" cm="1">
        <f t="array" ref="G1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16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64" s="32" t="str">
        <f>TEXT(HLG_01[[#This Row],[Batch]],"000")&amp; " / " &amp; TEXT(HLG_01[[#This Row],[Rit]],"000")</f>
        <v>039 / 005</v>
      </c>
      <c r="J164" s="34" t="s">
        <v>2622</v>
      </c>
      <c r="K164" s="38" t="s">
        <v>2602</v>
      </c>
      <c r="L164" s="35"/>
      <c r="M164" s="85"/>
      <c r="N164" s="85"/>
      <c r="O164" s="85"/>
      <c r="P164" s="85"/>
      <c r="Q164" s="85"/>
      <c r="R164" s="85"/>
      <c r="S164" s="98"/>
      <c r="T164" s="98"/>
      <c r="U164" s="98"/>
      <c r="V164" s="95"/>
      <c r="W164" s="95"/>
      <c r="X164" s="85"/>
      <c r="Z164" t="str">
        <v>46211/D|BR1/02</v>
      </c>
      <c r="AA164" t="str">
        <v>STM-A40_0136</v>
      </c>
      <c r="AB164" t="str">
        <v>SAP</v>
      </c>
      <c r="AC164" t="str">
        <v>LS_18</v>
      </c>
      <c r="AD164" t="str">
        <v>L18_S09</v>
      </c>
      <c r="AE164" t="str">
        <v>040 / 004</v>
      </c>
      <c r="AF164" t="str">
        <v>Yes</v>
      </c>
      <c r="AG164" t="str">
        <v/>
      </c>
      <c r="AH164" t="str">
        <v/>
      </c>
      <c r="AJ164" t="str">
        <f ca="1"/>
        <v>Pile_01</v>
      </c>
      <c r="AP164" t="str">
        <v>STM-A40_0067</v>
      </c>
      <c r="AQ164" t="str">
        <v>STM-A40_0088</v>
      </c>
      <c r="AR164" t="str">
        <v>STM-A40_0098</v>
      </c>
      <c r="AS164" t="str">
        <v>STM-A40_0105</v>
      </c>
      <c r="AT164" t="str">
        <v>STM-A40_0106</v>
      </c>
      <c r="AU164" t="str">
        <v>STM-A40_0107</v>
      </c>
      <c r="AV164" t="str">
        <v>STM-A40_0119</v>
      </c>
      <c r="AW164" t="str">
        <v>STM-A40_0136</v>
      </c>
    </row>
    <row r="165" spans="4:49" ht="15.75" x14ac:dyDescent="0.25">
      <c r="D165" s="3">
        <v>11</v>
      </c>
      <c r="F165" s="16" cm="1">
        <f t="array" ref="F1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65" s="31" cm="1">
        <f t="array" ref="G1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16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65" s="32" t="str">
        <f>TEXT(HLG_01[[#This Row],[Batch]],"000")&amp; " / " &amp; TEXT(HLG_01[[#This Row],[Rit]],"000")</f>
        <v>039 / 006</v>
      </c>
      <c r="J165" s="34" t="s">
        <v>2622</v>
      </c>
      <c r="K165" s="38" t="s">
        <v>2606</v>
      </c>
      <c r="L165" s="35"/>
      <c r="M165" s="85"/>
      <c r="N165" s="85"/>
      <c r="O165" s="85"/>
      <c r="P165" s="85"/>
      <c r="Q165" s="85"/>
      <c r="R165" s="85"/>
      <c r="S165" s="98"/>
      <c r="T165" s="98"/>
      <c r="U165" s="98"/>
      <c r="V165" s="95"/>
      <c r="W165" s="95"/>
      <c r="X165" s="85"/>
      <c r="Z165" t="str">
        <v>46211/D|BR1/02</v>
      </c>
      <c r="AA165" t="str">
        <v>STM-A40_0132</v>
      </c>
      <c r="AB165" t="str">
        <v>SAP</v>
      </c>
      <c r="AC165" t="str">
        <v>LS_18</v>
      </c>
      <c r="AD165" t="str">
        <v>L18_S09</v>
      </c>
      <c r="AE165" t="str">
        <v>040 / 005</v>
      </c>
      <c r="AF165" t="str">
        <v>No</v>
      </c>
      <c r="AG165" t="str">
        <v/>
      </c>
      <c r="AH165" t="str">
        <v/>
      </c>
      <c r="AJ165" t="str">
        <f ca="1"/>
        <v>Pile_01</v>
      </c>
      <c r="AP165" t="str">
        <v>STM-A40_0067</v>
      </c>
      <c r="AQ165" t="str">
        <v>STM-A40_0088</v>
      </c>
      <c r="AR165" t="str">
        <v>STM-A40_0098</v>
      </c>
      <c r="AS165" t="str">
        <v>STM-A40_0105</v>
      </c>
      <c r="AT165" t="str">
        <v>STM-A40_0106</v>
      </c>
      <c r="AU165" t="str">
        <v>STM-A40_0107</v>
      </c>
      <c r="AV165" t="str">
        <v>STM-A40_0119</v>
      </c>
      <c r="AW165" t="str">
        <v>STM-A40_0136</v>
      </c>
    </row>
    <row r="166" spans="4:49" ht="15.75" x14ac:dyDescent="0.25">
      <c r="D166" s="3">
        <v>11</v>
      </c>
      <c r="F166" s="16" cm="1">
        <f t="array" ref="F1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66" s="31" cm="1">
        <f t="array" ref="G1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16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66" s="32" t="str">
        <f>TEXT(HLG_01[[#This Row],[Batch]],"000")&amp; " / " &amp; TEXT(HLG_01[[#This Row],[Rit]],"000")</f>
        <v>039 / 007</v>
      </c>
      <c r="J166" s="34" t="s">
        <v>2622</v>
      </c>
      <c r="K166" s="38" t="s">
        <v>2607</v>
      </c>
      <c r="L166" s="35"/>
      <c r="M166" s="85"/>
      <c r="N166" s="85"/>
      <c r="O166" s="85"/>
      <c r="P166" s="85"/>
      <c r="Q166" s="85"/>
      <c r="R166" s="85"/>
      <c r="S166" s="98"/>
      <c r="T166" s="98"/>
      <c r="U166" s="98"/>
      <c r="V166" s="95"/>
      <c r="W166" s="95"/>
      <c r="X166" s="85"/>
      <c r="Z166" t="str">
        <v>46211/D|BR1/02</v>
      </c>
      <c r="AA166" t="str">
        <v>STM-A40_0133</v>
      </c>
      <c r="AB166" t="str">
        <v>SAP</v>
      </c>
      <c r="AC166" t="str">
        <v>LS_18</v>
      </c>
      <c r="AD166" t="str">
        <v>L18_S09</v>
      </c>
      <c r="AE166" t="str">
        <v>040 / 006</v>
      </c>
      <c r="AF166" t="str">
        <v>Yes</v>
      </c>
      <c r="AG166" t="str">
        <v/>
      </c>
      <c r="AH166" t="str">
        <v/>
      </c>
      <c r="AJ166" t="str">
        <f ca="1"/>
        <v>Pile_01</v>
      </c>
      <c r="AP166" t="str">
        <v>STM-A40_0067</v>
      </c>
      <c r="AQ166" t="str">
        <v>STM-A40_0088</v>
      </c>
      <c r="AR166" t="str">
        <v>STM-A40_0098</v>
      </c>
      <c r="AS166" t="str">
        <v>STM-A40_0105</v>
      </c>
      <c r="AT166" t="str">
        <v>STM-A40_0106</v>
      </c>
      <c r="AU166" t="str">
        <v>STM-A40_0107</v>
      </c>
      <c r="AV166" t="str">
        <v>STM-A40_0119</v>
      </c>
      <c r="AW166" t="str">
        <v>STM-A40_0136</v>
      </c>
    </row>
    <row r="167" spans="4:49" ht="15.75" x14ac:dyDescent="0.25">
      <c r="D167" s="3">
        <v>11</v>
      </c>
      <c r="F167" s="16" cm="1">
        <f t="array" ref="F1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67" s="31" cm="1">
        <f t="array" ref="G1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16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67" s="32" t="str">
        <f>TEXT(HLG_01[[#This Row],[Batch]],"000")&amp; " / " &amp; TEXT(HLG_01[[#This Row],[Rit]],"000")</f>
        <v>039 / 008</v>
      </c>
      <c r="J167" s="34" t="s">
        <v>2622</v>
      </c>
      <c r="K167" s="38" t="s">
        <v>2604</v>
      </c>
      <c r="L167" s="35"/>
      <c r="M167" s="85"/>
      <c r="N167" s="85"/>
      <c r="O167" s="85"/>
      <c r="P167" s="85"/>
      <c r="Q167" s="85"/>
      <c r="R167" s="85"/>
      <c r="S167" s="98"/>
      <c r="T167" s="98"/>
      <c r="U167" s="98"/>
      <c r="V167" s="95"/>
      <c r="W167" s="95"/>
      <c r="X167" s="85"/>
      <c r="Z167" t="str">
        <v>46211/D|BR1/04</v>
      </c>
      <c r="AA167" t="str">
        <v>STM-A40_0107</v>
      </c>
      <c r="AB167" t="str">
        <v>SAP</v>
      </c>
      <c r="AC167" t="str">
        <v>LS_18</v>
      </c>
      <c r="AD167" t="str">
        <v>L18_S09</v>
      </c>
      <c r="AE167" t="str">
        <v>041 / 001</v>
      </c>
      <c r="AF167" t="str">
        <v>No</v>
      </c>
      <c r="AG167" t="str">
        <v/>
      </c>
      <c r="AH167" t="str">
        <v/>
      </c>
      <c r="AJ167" t="str">
        <f ca="1"/>
        <v>Pile_01</v>
      </c>
      <c r="AP167" t="str">
        <v>STM-A40_0067</v>
      </c>
      <c r="AQ167" t="str">
        <v>STM-A40_0088</v>
      </c>
      <c r="AR167" t="str">
        <v>STM-A40_0098</v>
      </c>
      <c r="AS167" t="str">
        <v>STM-A40_0105</v>
      </c>
      <c r="AT167" t="str">
        <v>STM-A40_0106</v>
      </c>
      <c r="AU167" t="str">
        <v>STM-A40_0107</v>
      </c>
      <c r="AV167" t="str">
        <v>STM-A40_0119</v>
      </c>
      <c r="AW167" t="str">
        <v>STM-A40_0136</v>
      </c>
    </row>
    <row r="168" spans="4:49" ht="15.75" x14ac:dyDescent="0.25">
      <c r="D168" s="3" t="e">
        <v>#N/A</v>
      </c>
      <c r="F168" s="16" cm="1">
        <f t="array" ref="F1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68" s="31" cm="1">
        <f t="array" ref="G1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16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68" s="32" t="str">
        <f>TEXT(HLG_01[[#This Row],[Batch]],"000")&amp; " / " &amp; TEXT(HLG_01[[#This Row],[Rit]],"000")</f>
        <v>039 / 009</v>
      </c>
      <c r="J168" s="34" t="s">
        <v>2622</v>
      </c>
      <c r="K168" s="38" t="s">
        <v>2602</v>
      </c>
      <c r="L168" s="35"/>
      <c r="M168" s="85"/>
      <c r="N168" s="85"/>
      <c r="O168" s="85"/>
      <c r="P168" s="85"/>
      <c r="Q168" s="85"/>
      <c r="R168" s="85"/>
      <c r="S168" s="98"/>
      <c r="T168" s="98"/>
      <c r="U168" s="98"/>
      <c r="V168" s="95"/>
      <c r="W168" s="95"/>
      <c r="X168" s="85"/>
      <c r="Z168" t="str">
        <v>46211/D|BR1/04</v>
      </c>
      <c r="AA168" t="str">
        <v>STM-A40_0105</v>
      </c>
      <c r="AB168" t="str">
        <v>SAP</v>
      </c>
      <c r="AC168" t="str">
        <v>LS_18</v>
      </c>
      <c r="AD168" t="str">
        <v>L18_S09</v>
      </c>
      <c r="AE168" t="str">
        <v>041 / 002</v>
      </c>
      <c r="AF168" t="str">
        <v>Yes</v>
      </c>
      <c r="AG168" t="str">
        <v/>
      </c>
      <c r="AH168" t="str">
        <v/>
      </c>
      <c r="AJ168" t="str">
        <f ca="1"/>
        <v>Pile_01</v>
      </c>
      <c r="AP168" t="str">
        <v>STM-A40_0067</v>
      </c>
      <c r="AQ168" t="str">
        <v>STM-A40_0088</v>
      </c>
      <c r="AR168" t="str">
        <v>STM-A40_0098</v>
      </c>
      <c r="AS168" t="str">
        <v>STM-A40_0105</v>
      </c>
      <c r="AT168" t="str">
        <v>STM-A40_0106</v>
      </c>
      <c r="AU168" t="str">
        <v>STM-A40_0107</v>
      </c>
      <c r="AV168" t="str">
        <v>STM-A40_0119</v>
      </c>
      <c r="AW168" t="str">
        <v>STM-A40_0136</v>
      </c>
    </row>
    <row r="169" spans="4:49" ht="15.75" x14ac:dyDescent="0.25">
      <c r="D169" s="3">
        <v>11</v>
      </c>
      <c r="F169" s="16" cm="1">
        <f t="array" ref="F1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69" s="31" cm="1">
        <f t="array" ref="G1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16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69" s="32" t="str">
        <f>TEXT(HLG_01[[#This Row],[Batch]],"000")&amp; " / " &amp; TEXT(HLG_01[[#This Row],[Rit]],"000")</f>
        <v>039 / 010</v>
      </c>
      <c r="J169" s="34" t="s">
        <v>2622</v>
      </c>
      <c r="K169" s="38" t="s">
        <v>2606</v>
      </c>
      <c r="L169" s="35"/>
      <c r="M169" s="85"/>
      <c r="N169" s="85"/>
      <c r="O169" s="85"/>
      <c r="P169" s="85"/>
      <c r="Q169" s="85"/>
      <c r="R169" s="85"/>
      <c r="S169" s="98"/>
      <c r="T169" s="98"/>
      <c r="U169" s="98"/>
      <c r="V169" s="95"/>
      <c r="W169" s="95"/>
      <c r="X169" s="85"/>
      <c r="Z169" t="str">
        <v>46211/D|BR1/04</v>
      </c>
      <c r="AA169" t="str">
        <v>STM-A40_0106</v>
      </c>
      <c r="AB169" t="str">
        <v>SAP</v>
      </c>
      <c r="AC169" t="str">
        <v>LS_18</v>
      </c>
      <c r="AD169" t="str">
        <v>L18_S09</v>
      </c>
      <c r="AE169" t="str">
        <v>041 / 003</v>
      </c>
      <c r="AF169" t="str">
        <v>No</v>
      </c>
      <c r="AG169" t="str">
        <v/>
      </c>
      <c r="AH169" t="str">
        <v/>
      </c>
      <c r="AJ169" t="str">
        <f ca="1"/>
        <v>Pile_01</v>
      </c>
      <c r="AP169" t="str">
        <v>STM-A40_0067</v>
      </c>
      <c r="AQ169" t="str">
        <v>STM-A40_0088</v>
      </c>
      <c r="AR169" t="str">
        <v>STM-A40_0098</v>
      </c>
      <c r="AS169" t="str">
        <v>STM-A40_0105</v>
      </c>
      <c r="AT169" t="str">
        <v>STM-A40_0106</v>
      </c>
      <c r="AU169" t="str">
        <v>STM-A40_0107</v>
      </c>
      <c r="AV169" t="str">
        <v>STM-A40_0119</v>
      </c>
      <c r="AW169" t="str">
        <v>STM-A40_0136</v>
      </c>
    </row>
    <row r="170" spans="4:49" ht="15.75" x14ac:dyDescent="0.25">
      <c r="D170" s="3">
        <v>11</v>
      </c>
      <c r="F170" s="16" cm="1">
        <f t="array" ref="F1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70" s="31" cm="1">
        <f t="array" ref="G1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17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70" s="32" t="str">
        <f>TEXT(HLG_01[[#This Row],[Batch]],"000")&amp; " / " &amp; TEXT(HLG_01[[#This Row],[Rit]],"000")</f>
        <v>039 / 011</v>
      </c>
      <c r="J170" s="34" t="s">
        <v>2622</v>
      </c>
      <c r="K170" s="38" t="s">
        <v>2603</v>
      </c>
      <c r="L170" s="35"/>
      <c r="M170" s="85"/>
      <c r="N170" s="85"/>
      <c r="O170" s="85"/>
      <c r="P170" s="85"/>
      <c r="Q170" s="85"/>
      <c r="R170" s="85"/>
      <c r="S170" s="98"/>
      <c r="T170" s="98"/>
      <c r="U170" s="98"/>
      <c r="V170" s="95"/>
      <c r="W170" s="95"/>
      <c r="X170" s="85"/>
      <c r="Z170" t="str">
        <v>46211/D|BR1/04</v>
      </c>
      <c r="AA170" t="str">
        <v>STM-A40_0121</v>
      </c>
      <c r="AB170" t="str">
        <v>SAP</v>
      </c>
      <c r="AC170" t="str">
        <v>LS_18</v>
      </c>
      <c r="AD170" t="str">
        <v>L18_S09</v>
      </c>
      <c r="AE170" t="str">
        <v>041 / 004</v>
      </c>
      <c r="AF170" t="str">
        <v>Yes</v>
      </c>
      <c r="AG170" t="str">
        <v/>
      </c>
      <c r="AH170" t="str">
        <v>TRUCK SALAH</v>
      </c>
      <c r="AJ170" t="str">
        <f ca="1"/>
        <v>Pile_01</v>
      </c>
      <c r="AP170" t="str">
        <v>STM-A40_0067</v>
      </c>
      <c r="AQ170" t="str">
        <v>STM-A40_0088</v>
      </c>
      <c r="AR170" t="str">
        <v>STM-A40_0098</v>
      </c>
      <c r="AS170" t="str">
        <v>STM-A40_0105</v>
      </c>
      <c r="AT170" t="str">
        <v>STM-A40_0106</v>
      </c>
      <c r="AU170" t="str">
        <v>STM-A40_0107</v>
      </c>
      <c r="AV170" t="str">
        <v>STM-A40_0119</v>
      </c>
      <c r="AW170" t="str">
        <v>STM-A40_0136</v>
      </c>
    </row>
    <row r="171" spans="4:49" ht="15.75" x14ac:dyDescent="0.25">
      <c r="D171" s="3">
        <v>11</v>
      </c>
      <c r="F171" s="16" cm="1">
        <f t="array" ref="F1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71" s="31" cm="1">
        <f t="array" ref="G1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17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71" s="32" t="str">
        <f>TEXT(HLG_01[[#This Row],[Batch]],"000")&amp; " / " &amp; TEXT(HLG_01[[#This Row],[Rit]],"000")</f>
        <v>039 / 012</v>
      </c>
      <c r="J171" s="34" t="s">
        <v>2622</v>
      </c>
      <c r="K171" s="38" t="s">
        <v>2607</v>
      </c>
      <c r="L171" s="35"/>
      <c r="M171" s="85"/>
      <c r="N171" s="85"/>
      <c r="O171" s="85"/>
      <c r="P171" s="85"/>
      <c r="Q171" s="85"/>
      <c r="R171" s="85"/>
      <c r="S171" s="98"/>
      <c r="T171" s="98"/>
      <c r="U171" s="98"/>
      <c r="V171" s="95"/>
      <c r="W171" s="95"/>
      <c r="X171" s="85"/>
      <c r="Z171" t="str">
        <v>46211/D|BR1/04</v>
      </c>
      <c r="AA171" t="str">
        <v>STM-A40_0107</v>
      </c>
      <c r="AB171" t="str">
        <v>SAP</v>
      </c>
      <c r="AC171" t="str">
        <v>LS_18</v>
      </c>
      <c r="AD171" t="str">
        <v>L18_S09</v>
      </c>
      <c r="AE171" t="str">
        <v>041 / 005</v>
      </c>
      <c r="AF171" t="str">
        <v>No</v>
      </c>
      <c r="AG171" t="str">
        <v/>
      </c>
      <c r="AH171" t="str">
        <v/>
      </c>
      <c r="AJ171" t="str">
        <f ca="1"/>
        <v>Pile_01</v>
      </c>
      <c r="AP171" t="str">
        <v>STM-A40_0067</v>
      </c>
      <c r="AQ171" t="str">
        <v>STM-A40_0088</v>
      </c>
      <c r="AR171" t="str">
        <v>STM-A40_0098</v>
      </c>
      <c r="AS171" t="str">
        <v>STM-A40_0105</v>
      </c>
      <c r="AT171" t="str">
        <v>STM-A40_0106</v>
      </c>
      <c r="AU171" t="str">
        <v>STM-A40_0107</v>
      </c>
      <c r="AV171" t="str">
        <v>STM-A40_0119</v>
      </c>
      <c r="AW171" t="str">
        <v>STM-A40_0136</v>
      </c>
    </row>
    <row r="172" spans="4:49" ht="15.75" x14ac:dyDescent="0.25">
      <c r="D172" s="3">
        <v>11</v>
      </c>
      <c r="F172" s="16" cm="1">
        <f t="array" ref="F1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72" s="31" cm="1">
        <f t="array" ref="G1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17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72" s="32" t="str">
        <f>TEXT(HLG_01[[#This Row],[Batch]],"000")&amp; " / " &amp; TEXT(HLG_01[[#This Row],[Rit]],"000")</f>
        <v>039 / 013</v>
      </c>
      <c r="J172" s="34" t="s">
        <v>2622</v>
      </c>
      <c r="K172" s="38" t="s">
        <v>2604</v>
      </c>
      <c r="L172" s="35"/>
      <c r="M172" s="85"/>
      <c r="N172" s="85"/>
      <c r="O172" s="85"/>
      <c r="P172" s="85"/>
      <c r="Q172" s="85"/>
      <c r="R172" s="85"/>
      <c r="S172" s="98"/>
      <c r="T172" s="98"/>
      <c r="U172" s="98"/>
      <c r="V172" s="95"/>
      <c r="W172" s="95"/>
      <c r="X172" s="85"/>
      <c r="Z172" t="str">
        <v>46211/D|BR1/04</v>
      </c>
      <c r="AA172" t="str">
        <v>STM-A40_0098</v>
      </c>
      <c r="AB172" t="str">
        <v>SAP</v>
      </c>
      <c r="AC172" t="str">
        <v>LS_18</v>
      </c>
      <c r="AD172" t="str">
        <v>L18_S09</v>
      </c>
      <c r="AE172" t="str">
        <v>041 / 006</v>
      </c>
      <c r="AF172" t="str">
        <v>Yes</v>
      </c>
      <c r="AG172" t="str">
        <v/>
      </c>
      <c r="AH172" t="str">
        <v/>
      </c>
      <c r="AJ172" t="str">
        <f ca="1"/>
        <v>Pile_01</v>
      </c>
      <c r="AP172" t="str">
        <v>STM-A40_0067</v>
      </c>
      <c r="AQ172" t="str">
        <v>STM-A40_0088</v>
      </c>
      <c r="AR172" t="str">
        <v>STM-A40_0098</v>
      </c>
      <c r="AS172" t="str">
        <v>STM-A40_0105</v>
      </c>
      <c r="AT172" t="str">
        <v>STM-A40_0106</v>
      </c>
      <c r="AU172" t="str">
        <v>STM-A40_0107</v>
      </c>
      <c r="AV172" t="str">
        <v>STM-A40_0119</v>
      </c>
      <c r="AW172" t="str">
        <v>STM-A40_0136</v>
      </c>
    </row>
    <row r="173" spans="4:49" ht="15.75" x14ac:dyDescent="0.25">
      <c r="D173" s="3" t="e">
        <v>#N/A</v>
      </c>
      <c r="F173" s="16" cm="1">
        <f t="array" ref="F1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73" s="31" cm="1">
        <f t="array" ref="G1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17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73" s="32" t="str">
        <f>TEXT(HLG_01[[#This Row],[Batch]],"000")&amp; " / " &amp; TEXT(HLG_01[[#This Row],[Rit]],"000")</f>
        <v>039 / 014</v>
      </c>
      <c r="J173" s="34" t="s">
        <v>2622</v>
      </c>
      <c r="K173" s="38" t="s">
        <v>2602</v>
      </c>
      <c r="L173" s="35"/>
      <c r="M173" s="85"/>
      <c r="N173" s="85"/>
      <c r="O173" s="85"/>
      <c r="P173" s="85"/>
      <c r="Q173" s="85"/>
      <c r="R173" s="85"/>
      <c r="S173" s="98"/>
      <c r="T173" s="98"/>
      <c r="U173" s="98"/>
      <c r="V173" s="95"/>
      <c r="W173" s="95"/>
      <c r="X173" s="85"/>
      <c r="Z173" t="str">
        <v>46211/D|BR1/05</v>
      </c>
      <c r="AA173" t="str">
        <v>STM-A40_0107</v>
      </c>
      <c r="AB173" t="str">
        <v>SAP</v>
      </c>
      <c r="AC173" t="str">
        <v>LS_18</v>
      </c>
      <c r="AD173" t="str">
        <v>L18_S09</v>
      </c>
      <c r="AE173" t="str">
        <v>042 / 001</v>
      </c>
      <c r="AF173" t="str">
        <v>No</v>
      </c>
      <c r="AG173" t="str">
        <v/>
      </c>
      <c r="AH173" t="str">
        <v/>
      </c>
      <c r="AJ173" t="str">
        <f ca="1"/>
        <v>Pile_01</v>
      </c>
      <c r="AP173" t="str">
        <v>STM-A40_0067</v>
      </c>
      <c r="AQ173" t="str">
        <v>STM-A40_0088</v>
      </c>
      <c r="AR173" t="str">
        <v>STM-A40_0098</v>
      </c>
      <c r="AS173" t="str">
        <v>STM-A40_0105</v>
      </c>
      <c r="AT173" t="str">
        <v>STM-A40_0106</v>
      </c>
      <c r="AU173" t="str">
        <v>STM-A40_0107</v>
      </c>
      <c r="AV173" t="str">
        <v>STM-A40_0119</v>
      </c>
      <c r="AW173" t="str">
        <v>STM-A40_0136</v>
      </c>
    </row>
    <row r="174" spans="4:49" ht="15.75" x14ac:dyDescent="0.25">
      <c r="D174" s="3">
        <v>11</v>
      </c>
      <c r="F174" s="16" cm="1">
        <f t="array" ref="F1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74" s="31" cm="1">
        <f t="array" ref="G1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17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74" s="32" t="str">
        <f>TEXT(HLG_01[[#This Row],[Batch]],"000")&amp; " / " &amp; TEXT(HLG_01[[#This Row],[Rit]],"000")</f>
        <v>039 / 015</v>
      </c>
      <c r="J174" s="34" t="s">
        <v>2622</v>
      </c>
      <c r="K174" s="38" t="s">
        <v>2606</v>
      </c>
      <c r="L174" s="35"/>
      <c r="M174" s="85"/>
      <c r="N174" s="85"/>
      <c r="O174" s="85"/>
      <c r="P174" s="85"/>
      <c r="Q174" s="85"/>
      <c r="R174" s="85"/>
      <c r="S174" s="98"/>
      <c r="T174" s="98"/>
      <c r="U174" s="98"/>
      <c r="V174" s="95"/>
      <c r="W174" s="95"/>
      <c r="X174" s="85"/>
      <c r="Z174" t="str">
        <v>46211/D|BR1/05</v>
      </c>
      <c r="AA174" t="str">
        <v>STM-A40_0098</v>
      </c>
      <c r="AB174" t="str">
        <v>SAP</v>
      </c>
      <c r="AC174" t="str">
        <v>LS_18</v>
      </c>
      <c r="AD174" t="str">
        <v>L18_S09</v>
      </c>
      <c r="AE174" t="str">
        <v>042 / 002</v>
      </c>
      <c r="AF174" t="str">
        <v>Yes</v>
      </c>
      <c r="AG174" t="str">
        <v/>
      </c>
      <c r="AH174" t="str">
        <v/>
      </c>
      <c r="AJ174" t="str">
        <f ca="1"/>
        <v>Pile_01</v>
      </c>
      <c r="AP174" t="str">
        <v>STM-A40_0067</v>
      </c>
      <c r="AQ174" t="str">
        <v>STM-A40_0088</v>
      </c>
      <c r="AR174" t="str">
        <v>STM-A40_0098</v>
      </c>
      <c r="AS174" t="str">
        <v>STM-A40_0105</v>
      </c>
      <c r="AT174" t="str">
        <v>STM-A40_0106</v>
      </c>
      <c r="AU174" t="str">
        <v>STM-A40_0107</v>
      </c>
      <c r="AV174" t="str">
        <v>STM-A40_0119</v>
      </c>
      <c r="AW174" t="str">
        <v>STM-A40_0136</v>
      </c>
    </row>
    <row r="175" spans="4:49" ht="15.75" x14ac:dyDescent="0.25">
      <c r="D175" s="3">
        <v>11</v>
      </c>
      <c r="F175" s="16" cm="1">
        <f t="array" ref="F1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75" s="31" cm="1">
        <f t="array" ref="G1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17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75" s="32" t="str">
        <f>TEXT(HLG_01[[#This Row],[Batch]],"000")&amp; " / " &amp; TEXT(HLG_01[[#This Row],[Rit]],"000")</f>
        <v>039 / 016</v>
      </c>
      <c r="J175" s="34" t="s">
        <v>2622</v>
      </c>
      <c r="K175" s="38" t="s">
        <v>2607</v>
      </c>
      <c r="L175" s="35"/>
      <c r="M175" s="85"/>
      <c r="N175" s="85"/>
      <c r="O175" s="85"/>
      <c r="P175" s="85"/>
      <c r="Q175" s="85"/>
      <c r="R175" s="85"/>
      <c r="S175" s="98"/>
      <c r="T175" s="98"/>
      <c r="U175" s="98"/>
      <c r="V175" s="95"/>
      <c r="W175" s="95"/>
      <c r="X175" s="85"/>
      <c r="Z175" t="str">
        <v>46211/D|BR1/05</v>
      </c>
      <c r="AA175" t="str">
        <v>STM-A40_0121</v>
      </c>
      <c r="AB175" t="str">
        <v>SAP</v>
      </c>
      <c r="AC175" t="str">
        <v>LS_18</v>
      </c>
      <c r="AD175" t="str">
        <v>L18_S09</v>
      </c>
      <c r="AE175" t="str">
        <v>042 / 003</v>
      </c>
      <c r="AF175" t="str">
        <v>No</v>
      </c>
      <c r="AG175" t="str">
        <v/>
      </c>
      <c r="AH175" t="str">
        <v>TRUCK SALAH</v>
      </c>
      <c r="AJ175" t="str">
        <f ca="1"/>
        <v>Pile_01</v>
      </c>
      <c r="AP175" t="str">
        <v>STM-A40_0067</v>
      </c>
      <c r="AQ175" t="str">
        <v>STM-A40_0088</v>
      </c>
      <c r="AR175" t="str">
        <v>STM-A40_0098</v>
      </c>
      <c r="AS175" t="str">
        <v>STM-A40_0105</v>
      </c>
      <c r="AT175" t="str">
        <v>STM-A40_0106</v>
      </c>
      <c r="AU175" t="str">
        <v>STM-A40_0107</v>
      </c>
      <c r="AV175" t="str">
        <v>STM-A40_0119</v>
      </c>
      <c r="AW175" t="str">
        <v>STM-A40_0136</v>
      </c>
    </row>
    <row r="176" spans="4:49" ht="15.75" x14ac:dyDescent="0.25">
      <c r="D176" s="3">
        <v>11</v>
      </c>
      <c r="F176" s="16" cm="1">
        <f t="array" ref="F1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76" s="31" cm="1">
        <f t="array" ref="G1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17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76" s="32" t="str">
        <f>TEXT(HLG_01[[#This Row],[Batch]],"000")&amp; " / " &amp; TEXT(HLG_01[[#This Row],[Rit]],"000")</f>
        <v>039 / 017</v>
      </c>
      <c r="J176" s="34" t="s">
        <v>2622</v>
      </c>
      <c r="K176" s="38" t="s">
        <v>2604</v>
      </c>
      <c r="L176" s="35"/>
      <c r="M176" s="85"/>
      <c r="N176" s="85"/>
      <c r="O176" s="85"/>
      <c r="P176" s="85"/>
      <c r="Q176" s="85"/>
      <c r="R176" s="85"/>
      <c r="S176" s="98"/>
      <c r="T176" s="98"/>
      <c r="U176" s="98"/>
      <c r="V176" s="95"/>
      <c r="W176" s="95"/>
      <c r="X176" s="85"/>
      <c r="Z176" t="str">
        <v>46211/D|BR1/05</v>
      </c>
      <c r="AA176" t="str">
        <v>STM-A40_0106</v>
      </c>
      <c r="AB176" t="str">
        <v>SAP</v>
      </c>
      <c r="AC176" t="str">
        <v>LS_18</v>
      </c>
      <c r="AD176" t="str">
        <v>L18_S09</v>
      </c>
      <c r="AE176" t="str">
        <v>042 / 004</v>
      </c>
      <c r="AF176" t="str">
        <v>Yes</v>
      </c>
      <c r="AG176" t="str">
        <v/>
      </c>
      <c r="AH176" t="str">
        <v/>
      </c>
      <c r="AJ176" t="str">
        <f ca="1"/>
        <v>Pile_01</v>
      </c>
      <c r="AP176" t="str">
        <v>STM-A40_0067</v>
      </c>
      <c r="AQ176" t="str">
        <v>STM-A40_0088</v>
      </c>
      <c r="AR176" t="str">
        <v>STM-A40_0098</v>
      </c>
      <c r="AS176" t="str">
        <v>STM-A40_0105</v>
      </c>
      <c r="AT176" t="str">
        <v>STM-A40_0106</v>
      </c>
      <c r="AU176" t="str">
        <v>STM-A40_0107</v>
      </c>
      <c r="AV176" t="str">
        <v>STM-A40_0119</v>
      </c>
      <c r="AW176" t="str">
        <v>STM-A40_0136</v>
      </c>
    </row>
    <row r="177" spans="4:49" ht="15.75" x14ac:dyDescent="0.25">
      <c r="D177" s="3" t="e">
        <v>#N/A</v>
      </c>
      <c r="F177" s="16" cm="1">
        <f t="array" ref="F1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77" s="31" cm="1">
        <f t="array" ref="G1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17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77" s="32" t="str">
        <f>TEXT(HLG_01[[#This Row],[Batch]],"000")&amp; " / " &amp; TEXT(HLG_01[[#This Row],[Rit]],"000")</f>
        <v>039 / 018</v>
      </c>
      <c r="J177" s="34" t="s">
        <v>2622</v>
      </c>
      <c r="K177" s="38" t="s">
        <v>2602</v>
      </c>
      <c r="L177" s="35"/>
      <c r="M177" s="85"/>
      <c r="N177" s="85"/>
      <c r="O177" s="85"/>
      <c r="P177" s="85"/>
      <c r="Q177" s="85"/>
      <c r="R177" s="85"/>
      <c r="S177" s="98"/>
      <c r="T177" s="98"/>
      <c r="U177" s="98"/>
      <c r="V177" s="95"/>
      <c r="W177" s="95"/>
      <c r="X177" s="85"/>
      <c r="Z177" t="str">
        <v>46211/D|BR1/05</v>
      </c>
      <c r="AA177" t="str">
        <v>STM-A40_0107</v>
      </c>
      <c r="AB177" t="str">
        <v>SAP</v>
      </c>
      <c r="AC177" t="str">
        <v>LS_18</v>
      </c>
      <c r="AD177" t="str">
        <v>L18_S09</v>
      </c>
      <c r="AE177" t="str">
        <v>042 / 005</v>
      </c>
      <c r="AF177" t="str">
        <v>No</v>
      </c>
      <c r="AG177" t="str">
        <v/>
      </c>
      <c r="AH177" t="str">
        <v/>
      </c>
      <c r="AJ177" t="str">
        <f ca="1"/>
        <v>Pile_01</v>
      </c>
      <c r="AP177" t="str">
        <v>STM-A40_0067</v>
      </c>
      <c r="AQ177" t="str">
        <v>STM-A40_0088</v>
      </c>
      <c r="AR177" t="str">
        <v>STM-A40_0098</v>
      </c>
      <c r="AS177" t="str">
        <v>STM-A40_0105</v>
      </c>
      <c r="AT177" t="str">
        <v>STM-A40_0106</v>
      </c>
      <c r="AU177" t="str">
        <v>STM-A40_0107</v>
      </c>
      <c r="AV177" t="str">
        <v>STM-A40_0119</v>
      </c>
      <c r="AW177" t="str">
        <v>STM-A40_0136</v>
      </c>
    </row>
    <row r="178" spans="4:49" ht="15.75" x14ac:dyDescent="0.25">
      <c r="D178" s="3">
        <v>11</v>
      </c>
      <c r="F178" s="16" cm="1">
        <f t="array" ref="F1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78" s="31" cm="1">
        <f t="array" ref="G1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17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78" s="32" t="str">
        <f>TEXT(HLG_01[[#This Row],[Batch]],"000")&amp; " / " &amp; TEXT(HLG_01[[#This Row],[Rit]],"000")</f>
        <v>039 / 019</v>
      </c>
      <c r="J178" s="34" t="s">
        <v>2622</v>
      </c>
      <c r="K178" s="38" t="s">
        <v>2606</v>
      </c>
      <c r="L178" s="35"/>
      <c r="M178" s="85"/>
      <c r="N178" s="85"/>
      <c r="O178" s="85"/>
      <c r="P178" s="85"/>
      <c r="Q178" s="85"/>
      <c r="R178" s="85"/>
      <c r="S178" s="98"/>
      <c r="T178" s="98"/>
      <c r="U178" s="98"/>
      <c r="V178" s="95"/>
      <c r="W178" s="95"/>
      <c r="X178" s="85"/>
      <c r="Z178" t="str">
        <v>46211/D|BR1/05</v>
      </c>
      <c r="AA178" t="str">
        <v>STM-A40_0105</v>
      </c>
      <c r="AB178" t="str">
        <v>SAP</v>
      </c>
      <c r="AC178" t="str">
        <v>LS_18</v>
      </c>
      <c r="AD178" t="str">
        <v>L18_S09</v>
      </c>
      <c r="AE178" t="str">
        <v>042 / 006</v>
      </c>
      <c r="AF178" t="str">
        <v>Yes</v>
      </c>
      <c r="AG178" t="str">
        <v/>
      </c>
      <c r="AH178" t="str">
        <v/>
      </c>
      <c r="AJ178" t="str">
        <f ca="1"/>
        <v>Pile_01</v>
      </c>
      <c r="AP178" t="str">
        <v>STM-A40_0067</v>
      </c>
      <c r="AQ178" t="str">
        <v>STM-A40_0088</v>
      </c>
      <c r="AR178" t="str">
        <v>STM-A40_0098</v>
      </c>
      <c r="AS178" t="str">
        <v>STM-A40_0105</v>
      </c>
      <c r="AT178" t="str">
        <v>STM-A40_0106</v>
      </c>
      <c r="AU178" t="str">
        <v>STM-A40_0107</v>
      </c>
      <c r="AV178" t="str">
        <v>STM-A40_0119</v>
      </c>
      <c r="AW178" t="str">
        <v>STM-A40_0136</v>
      </c>
    </row>
    <row r="179" spans="4:49" ht="15.75" x14ac:dyDescent="0.25">
      <c r="D179" s="3">
        <v>11</v>
      </c>
      <c r="F179" s="16" cm="1">
        <f t="array" ref="F1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39</v>
      </c>
      <c r="G179" s="31" cm="1">
        <f t="array" ref="G1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17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79" s="32" t="str">
        <f>TEXT(HLG_01[[#This Row],[Batch]],"000")&amp; " / " &amp; TEXT(HLG_01[[#This Row],[Rit]],"000")</f>
        <v>039 / 020</v>
      </c>
      <c r="J179" s="34" t="s">
        <v>2622</v>
      </c>
      <c r="K179" s="38" t="s">
        <v>2607</v>
      </c>
      <c r="L179" s="35"/>
      <c r="M179" s="85"/>
      <c r="N179" s="85"/>
      <c r="O179" s="85"/>
      <c r="P179" s="85"/>
      <c r="Q179" s="85"/>
      <c r="R179" s="85"/>
      <c r="S179" s="98"/>
      <c r="T179" s="98"/>
      <c r="U179" s="98"/>
      <c r="V179" s="95"/>
      <c r="W179" s="95"/>
      <c r="X179" s="85"/>
      <c r="Z179" t="str">
        <v>46211/D|BR1/05</v>
      </c>
      <c r="AA179" t="str">
        <v>STM-A40_0106</v>
      </c>
      <c r="AB179" t="str">
        <v>SAP</v>
      </c>
      <c r="AC179" t="str">
        <v>LS_18</v>
      </c>
      <c r="AD179" t="str">
        <v>L18_S09</v>
      </c>
      <c r="AE179" t="str">
        <v>042 / 007</v>
      </c>
      <c r="AF179" t="str">
        <v>No</v>
      </c>
      <c r="AG179" t="str">
        <v/>
      </c>
      <c r="AH179" t="str">
        <v/>
      </c>
      <c r="AJ179" t="str">
        <f ca="1"/>
        <v>Pile_01</v>
      </c>
      <c r="AP179" t="str">
        <v>STM-A40_0067</v>
      </c>
      <c r="AQ179" t="str">
        <v>STM-A40_0088</v>
      </c>
      <c r="AR179" t="str">
        <v>STM-A40_0098</v>
      </c>
      <c r="AS179" t="str">
        <v>STM-A40_0105</v>
      </c>
      <c r="AT179" t="str">
        <v>STM-A40_0106</v>
      </c>
      <c r="AU179" t="str">
        <v>STM-A40_0107</v>
      </c>
      <c r="AV179" t="str">
        <v>STM-A40_0119</v>
      </c>
      <c r="AW179" t="str">
        <v>STM-A40_0136</v>
      </c>
    </row>
    <row r="180" spans="4:49" ht="15.75" x14ac:dyDescent="0.25">
      <c r="D180" s="3">
        <v>12</v>
      </c>
      <c r="F180" s="16" cm="1">
        <f t="array" ref="F1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80" s="31" cm="1">
        <f t="array" ref="G1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18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80" s="32" t="str">
        <f>TEXT(HLG_01[[#This Row],[Batch]],"000")&amp; " / " &amp; TEXT(HLG_01[[#This Row],[Rit]],"000")</f>
        <v>040 / 001</v>
      </c>
      <c r="J180" s="34" t="s">
        <v>2621</v>
      </c>
      <c r="K180" s="38" t="s">
        <v>2605</v>
      </c>
      <c r="L180" s="35"/>
      <c r="M180" s="85"/>
      <c r="N180" s="85"/>
      <c r="O180" s="85"/>
      <c r="P180" s="85"/>
      <c r="Q180" s="85"/>
      <c r="R180" s="85"/>
      <c r="S180" s="98"/>
      <c r="T180" s="98"/>
      <c r="U180" s="98"/>
      <c r="V180" s="95"/>
      <c r="W180" s="95"/>
      <c r="X180" s="85"/>
      <c r="Z180" t="str">
        <v>46211/D|BR1/05</v>
      </c>
      <c r="AA180" t="str">
        <v>STM-A40_0121</v>
      </c>
      <c r="AB180" t="str">
        <v>SAP</v>
      </c>
      <c r="AC180" t="str">
        <v>LS_18</v>
      </c>
      <c r="AD180" t="str">
        <v>L18_S09</v>
      </c>
      <c r="AE180" t="str">
        <v>042 / 008</v>
      </c>
      <c r="AF180" t="str">
        <v>Yes</v>
      </c>
      <c r="AG180" t="str">
        <v/>
      </c>
      <c r="AH180" t="str">
        <v>TRUCK SALAH</v>
      </c>
      <c r="AJ180" t="str">
        <f ca="1"/>
        <v>Pile_01</v>
      </c>
      <c r="AP180" t="str">
        <v>STM-A40_0068</v>
      </c>
      <c r="AQ180" t="str">
        <v>STM-A40_0069</v>
      </c>
      <c r="AR180" t="str">
        <v>STM-A40_0087</v>
      </c>
      <c r="AS180" t="str">
        <v>STM-A40_0097</v>
      </c>
      <c r="AT180" t="str">
        <v>STM-A40_0132</v>
      </c>
      <c r="AU180" t="str">
        <v>STM-A40_0133</v>
      </c>
      <c r="AV180" t="str">
        <v>STM-A40_0136</v>
      </c>
      <c r="AW180" t="str">
        <v/>
      </c>
    </row>
    <row r="181" spans="4:49" ht="15.75" x14ac:dyDescent="0.25">
      <c r="D181" s="3">
        <v>12</v>
      </c>
      <c r="F181" s="16" cm="1">
        <f t="array" ref="F1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81" s="31" cm="1">
        <f t="array" ref="G1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18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81" s="32" t="str">
        <f>TEXT(HLG_01[[#This Row],[Batch]],"000")&amp; " / " &amp; TEXT(HLG_01[[#This Row],[Rit]],"000")</f>
        <v>040 / 002</v>
      </c>
      <c r="J181" s="34" t="s">
        <v>2621</v>
      </c>
      <c r="K181" s="38" t="s">
        <v>2613</v>
      </c>
      <c r="L181" s="35"/>
      <c r="M181" s="85"/>
      <c r="N181" s="85"/>
      <c r="O181" s="85"/>
      <c r="P181" s="85"/>
      <c r="Q181" s="85"/>
      <c r="R181" s="85"/>
      <c r="S181" s="98"/>
      <c r="T181" s="98"/>
      <c r="U181" s="98"/>
      <c r="V181" s="95"/>
      <c r="W181" s="95"/>
      <c r="X181" s="85"/>
      <c r="Z181" t="str">
        <v>46211/D|BR1/05</v>
      </c>
      <c r="AA181" t="str">
        <v>STM-A40_0107</v>
      </c>
      <c r="AB181" t="str">
        <v>SAP</v>
      </c>
      <c r="AC181" t="str">
        <v>LS_18</v>
      </c>
      <c r="AD181" t="str">
        <v>L18_S09</v>
      </c>
      <c r="AE181" t="str">
        <v>042 / 009</v>
      </c>
      <c r="AF181" t="str">
        <v>No</v>
      </c>
      <c r="AG181" t="str">
        <v/>
      </c>
      <c r="AH181" t="str">
        <v/>
      </c>
      <c r="AJ181" t="str">
        <f ca="1"/>
        <v>Pile_01</v>
      </c>
      <c r="AP181" t="str">
        <v>STM-A40_0068</v>
      </c>
      <c r="AQ181" t="str">
        <v>STM-A40_0069</v>
      </c>
      <c r="AR181" t="str">
        <v>STM-A40_0087</v>
      </c>
      <c r="AS181" t="str">
        <v>STM-A40_0097</v>
      </c>
      <c r="AT181" t="str">
        <v>STM-A40_0132</v>
      </c>
      <c r="AU181" t="str">
        <v>STM-A40_0133</v>
      </c>
      <c r="AV181" t="str">
        <v>STM-A40_0136</v>
      </c>
      <c r="AW181" t="str">
        <v/>
      </c>
    </row>
    <row r="182" spans="4:49" ht="15.75" x14ac:dyDescent="0.25">
      <c r="D182" s="3">
        <v>12</v>
      </c>
      <c r="F182" s="16" cm="1">
        <f t="array" ref="F1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82" s="31" cm="1">
        <f t="array" ref="G1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18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82" s="32" t="str">
        <f>TEXT(HLG_01[[#This Row],[Batch]],"000")&amp; " / " &amp; TEXT(HLG_01[[#This Row],[Rit]],"000")</f>
        <v>040 / 003</v>
      </c>
      <c r="J182" s="34" t="s">
        <v>2621</v>
      </c>
      <c r="K182" s="38" t="s">
        <v>2608</v>
      </c>
      <c r="L182" s="35"/>
      <c r="M182" s="85"/>
      <c r="N182" s="85"/>
      <c r="O182" s="85"/>
      <c r="P182" s="85"/>
      <c r="Q182" s="85"/>
      <c r="R182" s="85"/>
      <c r="S182" s="98"/>
      <c r="T182" s="98"/>
      <c r="U182" s="98"/>
      <c r="V182" s="95"/>
      <c r="W182" s="95"/>
      <c r="X182" s="85"/>
      <c r="Z182" t="str">
        <v>46211/D|BR1/05</v>
      </c>
      <c r="AA182" t="str">
        <v>STM-A40_0098</v>
      </c>
      <c r="AB182" t="str">
        <v>SAP</v>
      </c>
      <c r="AC182" t="str">
        <v>LS_18</v>
      </c>
      <c r="AD182" t="str">
        <v>L18_S09</v>
      </c>
      <c r="AE182" t="str">
        <v>042 / 010</v>
      </c>
      <c r="AF182" t="str">
        <v>Yes</v>
      </c>
      <c r="AG182" t="str">
        <v/>
      </c>
      <c r="AH182" t="str">
        <v/>
      </c>
      <c r="AJ182" t="str">
        <f ca="1"/>
        <v>Pile_01</v>
      </c>
      <c r="AP182" t="str">
        <v>STM-A40_0068</v>
      </c>
      <c r="AQ182" t="str">
        <v>STM-A40_0069</v>
      </c>
      <c r="AR182" t="str">
        <v>STM-A40_0087</v>
      </c>
      <c r="AS182" t="str">
        <v>STM-A40_0097</v>
      </c>
      <c r="AT182" t="str">
        <v>STM-A40_0132</v>
      </c>
      <c r="AU182" t="str">
        <v>STM-A40_0133</v>
      </c>
      <c r="AV182" t="str">
        <v>STM-A40_0136</v>
      </c>
      <c r="AW182" t="str">
        <v/>
      </c>
    </row>
    <row r="183" spans="4:49" ht="15.75" x14ac:dyDescent="0.25">
      <c r="D183" s="3">
        <v>12</v>
      </c>
      <c r="F183" s="16" cm="1">
        <f t="array" ref="F1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83" s="31" cm="1">
        <f t="array" ref="G1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18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83" s="32" t="str">
        <f>TEXT(HLG_01[[#This Row],[Batch]],"000")&amp; " / " &amp; TEXT(HLG_01[[#This Row],[Rit]],"000")</f>
        <v>040 / 004</v>
      </c>
      <c r="J183" s="34" t="s">
        <v>2621</v>
      </c>
      <c r="K183" s="38" t="s">
        <v>2605</v>
      </c>
      <c r="L183" s="35"/>
      <c r="M183" s="85"/>
      <c r="N183" s="85"/>
      <c r="O183" s="85"/>
      <c r="P183" s="85"/>
      <c r="Q183" s="85"/>
      <c r="R183" s="85"/>
      <c r="S183" s="98"/>
      <c r="T183" s="98"/>
      <c r="U183" s="98"/>
      <c r="V183" s="95"/>
      <c r="W183" s="95"/>
      <c r="X183" s="85"/>
      <c r="Z183" t="str">
        <v>46211/D|BR1/05</v>
      </c>
      <c r="AA183" t="str">
        <v>STM-A40_0105</v>
      </c>
      <c r="AB183" t="str">
        <v>SAP</v>
      </c>
      <c r="AC183" t="str">
        <v>LS_18</v>
      </c>
      <c r="AD183" t="str">
        <v>L18_S09</v>
      </c>
      <c r="AE183" t="str">
        <v>042 / 011</v>
      </c>
      <c r="AF183" t="str">
        <v>No</v>
      </c>
      <c r="AG183" t="str">
        <v/>
      </c>
      <c r="AH183" t="str">
        <v/>
      </c>
      <c r="AJ183" t="str">
        <f ca="1"/>
        <v>Pile_01</v>
      </c>
      <c r="AP183" t="str">
        <v>STM-A40_0068</v>
      </c>
      <c r="AQ183" t="str">
        <v>STM-A40_0069</v>
      </c>
      <c r="AR183" t="str">
        <v>STM-A40_0087</v>
      </c>
      <c r="AS183" t="str">
        <v>STM-A40_0097</v>
      </c>
      <c r="AT183" t="str">
        <v>STM-A40_0132</v>
      </c>
      <c r="AU183" t="str">
        <v>STM-A40_0133</v>
      </c>
      <c r="AV183" t="str">
        <v>STM-A40_0136</v>
      </c>
      <c r="AW183" t="str">
        <v/>
      </c>
    </row>
    <row r="184" spans="4:49" ht="15.75" x14ac:dyDescent="0.25">
      <c r="D184" s="3">
        <v>12</v>
      </c>
      <c r="F184" s="16" cm="1">
        <f t="array" ref="F1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84" s="31" cm="1">
        <f t="array" ref="G1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18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84" s="32" t="str">
        <f>TEXT(HLG_01[[#This Row],[Batch]],"000")&amp; " / " &amp; TEXT(HLG_01[[#This Row],[Rit]],"000")</f>
        <v>040 / 005</v>
      </c>
      <c r="J184" s="34" t="s">
        <v>2621</v>
      </c>
      <c r="K184" s="38" t="s">
        <v>2610</v>
      </c>
      <c r="L184" s="35"/>
      <c r="M184" s="85"/>
      <c r="N184" s="85"/>
      <c r="O184" s="85"/>
      <c r="P184" s="85"/>
      <c r="Q184" s="85"/>
      <c r="R184" s="85"/>
      <c r="S184" s="98"/>
      <c r="T184" s="98"/>
      <c r="U184" s="98"/>
      <c r="V184" s="95"/>
      <c r="W184" s="95"/>
      <c r="X184" s="85"/>
      <c r="Z184" t="str">
        <v>46211/D|BR1/05</v>
      </c>
      <c r="AA184" t="str">
        <v>STM-A40_0098</v>
      </c>
      <c r="AB184" t="str">
        <v>SAP</v>
      </c>
      <c r="AC184" t="str">
        <v>LS_18</v>
      </c>
      <c r="AD184" t="str">
        <v>L18_S09</v>
      </c>
      <c r="AE184" t="str">
        <v>042 / 012</v>
      </c>
      <c r="AF184" t="str">
        <v>Yes</v>
      </c>
      <c r="AG184" t="str">
        <v/>
      </c>
      <c r="AH184" t="str">
        <v/>
      </c>
      <c r="AJ184" t="str">
        <f ca="1"/>
        <v>Pile_01</v>
      </c>
      <c r="AP184" t="str">
        <v>STM-A40_0068</v>
      </c>
      <c r="AQ184" t="str">
        <v>STM-A40_0069</v>
      </c>
      <c r="AR184" t="str">
        <v>STM-A40_0087</v>
      </c>
      <c r="AS184" t="str">
        <v>STM-A40_0097</v>
      </c>
      <c r="AT184" t="str">
        <v>STM-A40_0132</v>
      </c>
      <c r="AU184" t="str">
        <v>STM-A40_0133</v>
      </c>
      <c r="AV184" t="str">
        <v>STM-A40_0136</v>
      </c>
      <c r="AW184" t="str">
        <v/>
      </c>
    </row>
    <row r="185" spans="4:49" ht="15.75" x14ac:dyDescent="0.25">
      <c r="D185" s="3">
        <v>12</v>
      </c>
      <c r="F185" s="16" cm="1">
        <f t="array" ref="F1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85" s="31" cm="1">
        <f t="array" ref="G1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18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85" s="32" t="str">
        <f>TEXT(HLG_01[[#This Row],[Batch]],"000")&amp; " / " &amp; TEXT(HLG_01[[#This Row],[Rit]],"000")</f>
        <v>040 / 006</v>
      </c>
      <c r="J185" s="34" t="s">
        <v>2621</v>
      </c>
      <c r="K185" s="38" t="s">
        <v>2609</v>
      </c>
      <c r="L185" s="35"/>
      <c r="M185" s="85"/>
      <c r="N185" s="85"/>
      <c r="O185" s="85"/>
      <c r="P185" s="85"/>
      <c r="Q185" s="85"/>
      <c r="R185" s="85"/>
      <c r="S185" s="98"/>
      <c r="T185" s="98"/>
      <c r="U185" s="98"/>
      <c r="V185" s="95"/>
      <c r="W185" s="95"/>
      <c r="X185" s="85"/>
      <c r="Z185" t="str">
        <v>46211/D|BR1/05</v>
      </c>
      <c r="AA185" t="str">
        <v>STM-A40_0121</v>
      </c>
      <c r="AB185" t="str">
        <v>SAP</v>
      </c>
      <c r="AC185" t="str">
        <v>LS_18</v>
      </c>
      <c r="AD185" t="str">
        <v>L18_S09</v>
      </c>
      <c r="AE185" t="str">
        <v>042 / 013</v>
      </c>
      <c r="AF185" t="str">
        <v>No</v>
      </c>
      <c r="AG185" t="str">
        <v/>
      </c>
      <c r="AH185" t="str">
        <v>TRUCK SALAH</v>
      </c>
      <c r="AJ185" t="str">
        <f ca="1"/>
        <v>Pile_01</v>
      </c>
      <c r="AP185" t="str">
        <v>STM-A40_0068</v>
      </c>
      <c r="AQ185" t="str">
        <v>STM-A40_0069</v>
      </c>
      <c r="AR185" t="str">
        <v>STM-A40_0087</v>
      </c>
      <c r="AS185" t="str">
        <v>STM-A40_0097</v>
      </c>
      <c r="AT185" t="str">
        <v>STM-A40_0132</v>
      </c>
      <c r="AU185" t="str">
        <v>STM-A40_0133</v>
      </c>
      <c r="AV185" t="str">
        <v>STM-A40_0136</v>
      </c>
      <c r="AW185" t="str">
        <v/>
      </c>
    </row>
    <row r="186" spans="4:49" ht="15.75" x14ac:dyDescent="0.25">
      <c r="D186" s="3">
        <v>12</v>
      </c>
      <c r="F186" s="16" cm="1">
        <f t="array" ref="F1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86" s="31" cm="1">
        <f t="array" ref="G1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18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86" s="32" t="str">
        <f>TEXT(HLG_01[[#This Row],[Batch]],"000")&amp; " / " &amp; TEXT(HLG_01[[#This Row],[Rit]],"000")</f>
        <v>040 / 007</v>
      </c>
      <c r="J186" s="34"/>
      <c r="K186" s="38"/>
      <c r="L186" s="35"/>
      <c r="M186" s="85"/>
      <c r="N186" s="85"/>
      <c r="O186" s="85"/>
      <c r="P186" s="85"/>
      <c r="Q186" s="85"/>
      <c r="R186" s="85"/>
      <c r="S186" s="98"/>
      <c r="T186" s="98"/>
      <c r="U186" s="98"/>
      <c r="V186" s="95"/>
      <c r="W186" s="95"/>
      <c r="X186" s="85"/>
      <c r="Z186" t="str">
        <v>46211/D|BR1/05</v>
      </c>
      <c r="AA186" t="str">
        <v>STM-A40_0106</v>
      </c>
      <c r="AB186" t="str">
        <v>SAP</v>
      </c>
      <c r="AC186" t="str">
        <v>LS_18</v>
      </c>
      <c r="AD186" t="str">
        <v>L18_S09</v>
      </c>
      <c r="AE186" t="str">
        <v>042 / 014</v>
      </c>
      <c r="AF186" t="str">
        <v>Yes</v>
      </c>
      <c r="AG186" t="str">
        <v/>
      </c>
      <c r="AH186" t="str">
        <v/>
      </c>
      <c r="AJ186" t="str">
        <f ca="1"/>
        <v>Pile_01</v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</row>
    <row r="187" spans="4:49" ht="15.75" x14ac:dyDescent="0.25">
      <c r="D187" s="3">
        <v>12</v>
      </c>
      <c r="F187" s="16" cm="1">
        <f t="array" ref="F1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87" s="31" cm="1">
        <f t="array" ref="G1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18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87" s="32" t="str">
        <f>TEXT(HLG_01[[#This Row],[Batch]],"000")&amp; " / " &amp; TEXT(HLG_01[[#This Row],[Rit]],"000")</f>
        <v>040 / 008</v>
      </c>
      <c r="J187" s="34"/>
      <c r="K187" s="38"/>
      <c r="L187" s="35"/>
      <c r="M187" s="85"/>
      <c r="N187" s="85"/>
      <c r="O187" s="85"/>
      <c r="P187" s="85"/>
      <c r="Q187" s="85"/>
      <c r="R187" s="85"/>
      <c r="S187" s="98"/>
      <c r="T187" s="98"/>
      <c r="U187" s="98"/>
      <c r="V187" s="95"/>
      <c r="W187" s="95"/>
      <c r="X187" s="85"/>
      <c r="Z187" t="str">
        <v>46211/D|BR1/05</v>
      </c>
      <c r="AA187" t="str">
        <v>STM-A40_0107</v>
      </c>
      <c r="AB187" t="str">
        <v>SAP</v>
      </c>
      <c r="AC187" t="str">
        <v>LS_18</v>
      </c>
      <c r="AD187" t="str">
        <v>L18_S09</v>
      </c>
      <c r="AE187" t="str">
        <v>042 / 015</v>
      </c>
      <c r="AF187" t="str">
        <v>No</v>
      </c>
      <c r="AG187" t="str">
        <v/>
      </c>
      <c r="AH187" t="str">
        <v/>
      </c>
      <c r="AJ187" t="str">
        <f ca="1"/>
        <v>Pile_01</v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</row>
    <row r="188" spans="4:49" ht="15.75" x14ac:dyDescent="0.25">
      <c r="D188" s="3">
        <v>12</v>
      </c>
      <c r="F188" s="16" cm="1">
        <f t="array" ref="F1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88" s="31" cm="1">
        <f t="array" ref="G1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18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88" s="32" t="str">
        <f>TEXT(HLG_01[[#This Row],[Batch]],"000")&amp; " / " &amp; TEXT(HLG_01[[#This Row],[Rit]],"000")</f>
        <v>040 / 009</v>
      </c>
      <c r="J188" s="34"/>
      <c r="K188" s="38"/>
      <c r="L188" s="35"/>
      <c r="M188" s="85"/>
      <c r="N188" s="85"/>
      <c r="O188" s="85"/>
      <c r="P188" s="85"/>
      <c r="Q188" s="85"/>
      <c r="R188" s="85"/>
      <c r="S188" s="98"/>
      <c r="T188" s="98"/>
      <c r="U188" s="98"/>
      <c r="V188" s="95"/>
      <c r="W188" s="95"/>
      <c r="X188" s="85"/>
      <c r="Z188" t="str">
        <v>46211/D|BR1/05</v>
      </c>
      <c r="AA188" t="str">
        <v>STM-A40_0121</v>
      </c>
      <c r="AB188" t="str">
        <v>SAP</v>
      </c>
      <c r="AC188" t="str">
        <v>LS_18</v>
      </c>
      <c r="AD188" t="str">
        <v>L18_S09</v>
      </c>
      <c r="AE188" t="str">
        <v>042 / 016</v>
      </c>
      <c r="AF188" t="str">
        <v>Yes</v>
      </c>
      <c r="AG188" t="str">
        <v/>
      </c>
      <c r="AH188" t="str">
        <v>TRUCK SALAH</v>
      </c>
      <c r="AJ188" t="str">
        <f ca="1"/>
        <v>Pile_01</v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</row>
    <row r="189" spans="4:49" ht="15.75" x14ac:dyDescent="0.25">
      <c r="D189" s="3">
        <v>12</v>
      </c>
      <c r="F189" s="16" cm="1">
        <f t="array" ref="F1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89" s="31" cm="1">
        <f t="array" ref="G1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18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89" s="32" t="str">
        <f>TEXT(HLG_01[[#This Row],[Batch]],"000")&amp; " / " &amp; TEXT(HLG_01[[#This Row],[Rit]],"000")</f>
        <v>040 / 010</v>
      </c>
      <c r="J189" s="34"/>
      <c r="K189" s="38"/>
      <c r="L189" s="35"/>
      <c r="M189" s="85"/>
      <c r="N189" s="85"/>
      <c r="O189" s="85"/>
      <c r="P189" s="85"/>
      <c r="Q189" s="85"/>
      <c r="R189" s="85"/>
      <c r="S189" s="98"/>
      <c r="T189" s="98"/>
      <c r="U189" s="98"/>
      <c r="V189" s="95"/>
      <c r="W189" s="95"/>
      <c r="X189" s="85"/>
      <c r="Z189" t="str">
        <v>46211/D|BR1/05</v>
      </c>
      <c r="AA189" t="str">
        <v>STM-A40_0105</v>
      </c>
      <c r="AB189" t="str">
        <v>SAP</v>
      </c>
      <c r="AC189" t="str">
        <v>LS_18</v>
      </c>
      <c r="AD189" t="str">
        <v>L18_S09</v>
      </c>
      <c r="AE189" t="str">
        <v>042 / 017</v>
      </c>
      <c r="AF189" t="str">
        <v>No</v>
      </c>
      <c r="AG189" t="str">
        <v/>
      </c>
      <c r="AH189" t="str">
        <v/>
      </c>
      <c r="AJ189" t="str">
        <f ca="1"/>
        <v>Pile_01</v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</row>
    <row r="190" spans="4:49" ht="15.75" x14ac:dyDescent="0.25">
      <c r="D190" s="3">
        <v>12</v>
      </c>
      <c r="F190" s="16" cm="1">
        <f t="array" ref="F1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90" s="31" cm="1">
        <f t="array" ref="G1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19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90" s="32" t="str">
        <f>TEXT(HLG_01[[#This Row],[Batch]],"000")&amp; " / " &amp; TEXT(HLG_01[[#This Row],[Rit]],"000")</f>
        <v>040 / 011</v>
      </c>
      <c r="J190" s="34"/>
      <c r="K190" s="38"/>
      <c r="L190" s="35"/>
      <c r="M190" s="85"/>
      <c r="N190" s="85"/>
      <c r="O190" s="85"/>
      <c r="P190" s="85"/>
      <c r="Q190" s="85"/>
      <c r="R190" s="85"/>
      <c r="S190" s="98"/>
      <c r="T190" s="98"/>
      <c r="U190" s="98"/>
      <c r="V190" s="95"/>
      <c r="W190" s="95"/>
      <c r="X190" s="85"/>
      <c r="Z190" t="str">
        <v>46211/D|BR1/05</v>
      </c>
      <c r="AA190" t="str">
        <v>STM-A40_0098</v>
      </c>
      <c r="AB190" t="str">
        <v>SAP</v>
      </c>
      <c r="AC190" t="str">
        <v>LS_18</v>
      </c>
      <c r="AD190" t="str">
        <v>L18_S09</v>
      </c>
      <c r="AE190" t="str">
        <v>042 / 018</v>
      </c>
      <c r="AF190" t="str">
        <v>Yes</v>
      </c>
      <c r="AG190" t="str">
        <v/>
      </c>
      <c r="AH190" t="str">
        <v/>
      </c>
      <c r="AJ190" t="str">
        <f ca="1"/>
        <v>Pile_01</v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</row>
    <row r="191" spans="4:49" ht="15.75" x14ac:dyDescent="0.25">
      <c r="D191" s="3">
        <v>12</v>
      </c>
      <c r="F191" s="16" cm="1">
        <f t="array" ref="F1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91" s="31" cm="1">
        <f t="array" ref="G1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19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91" s="32" t="str">
        <f>TEXT(HLG_01[[#This Row],[Batch]],"000")&amp; " / " &amp; TEXT(HLG_01[[#This Row],[Rit]],"000")</f>
        <v>040 / 012</v>
      </c>
      <c r="J191" s="34"/>
      <c r="K191" s="38"/>
      <c r="L191" s="35"/>
      <c r="M191" s="85"/>
      <c r="N191" s="85"/>
      <c r="O191" s="85"/>
      <c r="P191" s="85"/>
      <c r="Q191" s="85"/>
      <c r="R191" s="85"/>
      <c r="S191" s="98"/>
      <c r="T191" s="98"/>
      <c r="U191" s="98"/>
      <c r="V191" s="95"/>
      <c r="W191" s="95"/>
      <c r="X191" s="85"/>
      <c r="Z191" t="str">
        <v>46211/D|BR1/05</v>
      </c>
      <c r="AA191" t="str">
        <v>STM-A40_0106</v>
      </c>
      <c r="AB191" t="str">
        <v>SAP</v>
      </c>
      <c r="AC191" t="str">
        <v>LS_18</v>
      </c>
      <c r="AD191" t="str">
        <v>L18_S09</v>
      </c>
      <c r="AE191" t="str">
        <v>042 / 019</v>
      </c>
      <c r="AF191" t="str">
        <v>No</v>
      </c>
      <c r="AG191" t="str">
        <v/>
      </c>
      <c r="AH191" t="str">
        <v/>
      </c>
      <c r="AJ191" t="str">
        <f ca="1"/>
        <v>Pile_01</v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</row>
    <row r="192" spans="4:49" ht="15.75" x14ac:dyDescent="0.25">
      <c r="D192" s="3">
        <v>12</v>
      </c>
      <c r="F192" s="16" cm="1">
        <f t="array" ref="F1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92" s="31" cm="1">
        <f t="array" ref="G1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19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92" s="32" t="str">
        <f>TEXT(HLG_01[[#This Row],[Batch]],"000")&amp; " / " &amp; TEXT(HLG_01[[#This Row],[Rit]],"000")</f>
        <v>040 / 013</v>
      </c>
      <c r="J192" s="34"/>
      <c r="K192" s="38"/>
      <c r="L192" s="35"/>
      <c r="M192" s="85"/>
      <c r="N192" s="85"/>
      <c r="O192" s="85"/>
      <c r="P192" s="85"/>
      <c r="Q192" s="85"/>
      <c r="R192" s="85"/>
      <c r="S192" s="98"/>
      <c r="T192" s="98"/>
      <c r="U192" s="98"/>
      <c r="V192" s="95"/>
      <c r="W192" s="95"/>
      <c r="X192" s="85"/>
      <c r="Z192" t="str">
        <v>46211/D|BR1/05</v>
      </c>
      <c r="AA192" t="str">
        <v>STM-A40_0107</v>
      </c>
      <c r="AB192" t="str">
        <v>SAP</v>
      </c>
      <c r="AC192" t="str">
        <v>LS_18</v>
      </c>
      <c r="AD192" t="str">
        <v>L18_S09</v>
      </c>
      <c r="AE192" t="str">
        <v>042 / 020</v>
      </c>
      <c r="AF192" t="str">
        <v>Yes</v>
      </c>
      <c r="AG192" t="str">
        <v/>
      </c>
      <c r="AH192" t="str">
        <v/>
      </c>
      <c r="AJ192" t="str">
        <f ca="1"/>
        <v>Pile_01</v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</row>
    <row r="193" spans="4:49" ht="15.75" x14ac:dyDescent="0.25">
      <c r="D193" s="3">
        <v>12</v>
      </c>
      <c r="F193" s="16" cm="1">
        <f t="array" ref="F1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93" s="31" cm="1">
        <f t="array" ref="G1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19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93" s="32" t="str">
        <f>TEXT(HLG_01[[#This Row],[Batch]],"000")&amp; " / " &amp; TEXT(HLG_01[[#This Row],[Rit]],"000")</f>
        <v>040 / 014</v>
      </c>
      <c r="J193" s="34"/>
      <c r="K193" s="38"/>
      <c r="L193" s="35"/>
      <c r="M193" s="85"/>
      <c r="N193" s="85"/>
      <c r="O193" s="85"/>
      <c r="P193" s="85"/>
      <c r="Q193" s="85"/>
      <c r="R193" s="85"/>
      <c r="S193" s="98"/>
      <c r="T193" s="98"/>
      <c r="U193" s="98"/>
      <c r="V193" s="95"/>
      <c r="W193" s="95"/>
      <c r="X193" s="85"/>
      <c r="Z193" t="str">
        <v>46211/D|BR1/05</v>
      </c>
      <c r="AA193" t="str">
        <v>STM-A40_0098</v>
      </c>
      <c r="AB193" t="str">
        <v>SAP</v>
      </c>
      <c r="AC193" t="str">
        <v>LS_18</v>
      </c>
      <c r="AD193" t="str">
        <v>L18_S09</v>
      </c>
      <c r="AE193" t="str">
        <v>043 / 001</v>
      </c>
      <c r="AF193" t="str">
        <v>No</v>
      </c>
      <c r="AG193" t="str">
        <v/>
      </c>
      <c r="AH193" t="str">
        <v/>
      </c>
      <c r="AJ193" t="str">
        <f ca="1"/>
        <v>Pile_01</v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</row>
    <row r="194" spans="4:49" ht="15.75" x14ac:dyDescent="0.25">
      <c r="D194" s="3">
        <v>12</v>
      </c>
      <c r="F194" s="16" cm="1">
        <f t="array" ref="F1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94" s="31" cm="1">
        <f t="array" ref="G1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19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94" s="32" t="str">
        <f>TEXT(HLG_01[[#This Row],[Batch]],"000")&amp; " / " &amp; TEXT(HLG_01[[#This Row],[Rit]],"000")</f>
        <v>040 / 015</v>
      </c>
      <c r="J194" s="34"/>
      <c r="K194" s="38"/>
      <c r="L194" s="35"/>
      <c r="M194" s="85"/>
      <c r="N194" s="85"/>
      <c r="O194" s="85"/>
      <c r="P194" s="85"/>
      <c r="Q194" s="85"/>
      <c r="R194" s="85"/>
      <c r="S194" s="98"/>
      <c r="T194" s="98"/>
      <c r="U194" s="98"/>
      <c r="V194" s="95"/>
      <c r="W194" s="95"/>
      <c r="X194" s="85"/>
      <c r="Z194" t="str">
        <v>46211/D|BR1/05</v>
      </c>
      <c r="AA194" t="str">
        <v>STM-A40_0121</v>
      </c>
      <c r="AB194" t="str">
        <v>SAP</v>
      </c>
      <c r="AC194" t="str">
        <v>LS_18</v>
      </c>
      <c r="AD194" t="str">
        <v>L18_S09</v>
      </c>
      <c r="AE194" t="str">
        <v>043 / 002</v>
      </c>
      <c r="AF194" t="str">
        <v>Yes</v>
      </c>
      <c r="AG194" t="str">
        <v/>
      </c>
      <c r="AH194" t="str">
        <v>TRUCK SALAH</v>
      </c>
      <c r="AJ194" t="str">
        <f ca="1"/>
        <v>Pile_01</v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</row>
    <row r="195" spans="4:49" ht="15.75" x14ac:dyDescent="0.25">
      <c r="D195" s="3">
        <v>12</v>
      </c>
      <c r="F195" s="16" cm="1">
        <f t="array" ref="F1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95" s="31" cm="1">
        <f t="array" ref="G1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19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95" s="32" t="str">
        <f>TEXT(HLG_01[[#This Row],[Batch]],"000")&amp; " / " &amp; TEXT(HLG_01[[#This Row],[Rit]],"000")</f>
        <v>040 / 016</v>
      </c>
      <c r="J195" s="34"/>
      <c r="K195" s="38"/>
      <c r="L195" s="35"/>
      <c r="M195" s="85"/>
      <c r="N195" s="85"/>
      <c r="O195" s="85"/>
      <c r="P195" s="85"/>
      <c r="Q195" s="85"/>
      <c r="R195" s="85"/>
      <c r="S195" s="98"/>
      <c r="T195" s="98"/>
      <c r="U195" s="98"/>
      <c r="V195" s="95"/>
      <c r="W195" s="95"/>
      <c r="X195" s="85"/>
      <c r="Z195" t="str">
        <v>46211/D|BR1/05</v>
      </c>
      <c r="AA195" t="str">
        <v>STM-A40_0106</v>
      </c>
      <c r="AB195" t="str">
        <v>SAP</v>
      </c>
      <c r="AC195" t="str">
        <v>LS_18</v>
      </c>
      <c r="AD195" t="str">
        <v>L18_S09</v>
      </c>
      <c r="AE195" t="str">
        <v>043 / 003</v>
      </c>
      <c r="AF195" t="str">
        <v>No</v>
      </c>
      <c r="AG195" t="str">
        <v/>
      </c>
      <c r="AH195" t="str">
        <v/>
      </c>
      <c r="AJ195" t="str">
        <f ca="1"/>
        <v>Pile_01</v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</row>
    <row r="196" spans="4:49" ht="15.75" x14ac:dyDescent="0.25">
      <c r="D196" s="3">
        <v>12</v>
      </c>
      <c r="F196" s="16" cm="1">
        <f t="array" ref="F1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96" s="31" cm="1">
        <f t="array" ref="G1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19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96" s="32" t="str">
        <f>TEXT(HLG_01[[#This Row],[Batch]],"000")&amp; " / " &amp; TEXT(HLG_01[[#This Row],[Rit]],"000")</f>
        <v>040 / 017</v>
      </c>
      <c r="J196" s="34"/>
      <c r="K196" s="38"/>
      <c r="L196" s="35"/>
      <c r="M196" s="85"/>
      <c r="N196" s="85"/>
      <c r="O196" s="85"/>
      <c r="P196" s="85"/>
      <c r="Q196" s="85"/>
      <c r="R196" s="85"/>
      <c r="S196" s="98"/>
      <c r="T196" s="98"/>
      <c r="U196" s="98"/>
      <c r="V196" s="95"/>
      <c r="W196" s="95"/>
      <c r="X196" s="85"/>
      <c r="Z196" t="str">
        <v>46211/D|BR1/05</v>
      </c>
      <c r="AA196" t="str">
        <v>STM-A40_0107</v>
      </c>
      <c r="AB196" t="str">
        <v>SAP</v>
      </c>
      <c r="AC196" t="str">
        <v>LS_18</v>
      </c>
      <c r="AD196" t="str">
        <v>L18_S09</v>
      </c>
      <c r="AE196" t="str">
        <v>043 / 004</v>
      </c>
      <c r="AF196" t="str">
        <v>Yes</v>
      </c>
      <c r="AG196" t="str">
        <v/>
      </c>
      <c r="AH196" t="str">
        <v/>
      </c>
      <c r="AJ196" t="str">
        <f ca="1"/>
        <v>Pile_01</v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</row>
    <row r="197" spans="4:49" ht="15.75" x14ac:dyDescent="0.25">
      <c r="D197" s="3">
        <v>12</v>
      </c>
      <c r="F197" s="16" cm="1">
        <f t="array" ref="F1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97" s="31" cm="1">
        <f t="array" ref="G1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19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97" s="32" t="str">
        <f>TEXT(HLG_01[[#This Row],[Batch]],"000")&amp; " / " &amp; TEXT(HLG_01[[#This Row],[Rit]],"000")</f>
        <v>040 / 018</v>
      </c>
      <c r="J197" s="34"/>
      <c r="K197" s="38"/>
      <c r="L197" s="35"/>
      <c r="M197" s="85"/>
      <c r="N197" s="85"/>
      <c r="O197" s="85"/>
      <c r="P197" s="85"/>
      <c r="Q197" s="85"/>
      <c r="R197" s="85"/>
      <c r="S197" s="98"/>
      <c r="T197" s="98"/>
      <c r="U197" s="98"/>
      <c r="V197" s="95"/>
      <c r="W197" s="95"/>
      <c r="X197" s="85"/>
      <c r="Z197" t="str">
        <v>46211/D|BR1/05</v>
      </c>
      <c r="AA197" t="str">
        <v>STM-A40_0098</v>
      </c>
      <c r="AB197" t="str">
        <v>SAP</v>
      </c>
      <c r="AC197" t="str">
        <v>LS_18</v>
      </c>
      <c r="AD197" t="str">
        <v>L18_S09</v>
      </c>
      <c r="AE197" t="str">
        <v>043 / 005</v>
      </c>
      <c r="AF197" t="str">
        <v>No</v>
      </c>
      <c r="AG197" t="str">
        <v/>
      </c>
      <c r="AH197" t="str">
        <v/>
      </c>
      <c r="AJ197" t="str">
        <f ca="1"/>
        <v>Pile_01</v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</row>
    <row r="198" spans="4:49" ht="15.75" x14ac:dyDescent="0.25">
      <c r="D198" s="3">
        <v>12</v>
      </c>
      <c r="F198" s="16" cm="1">
        <f t="array" ref="F1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98" s="31" cm="1">
        <f t="array" ref="G1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19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198" s="32" t="str">
        <f>TEXT(HLG_01[[#This Row],[Batch]],"000")&amp; " / " &amp; TEXT(HLG_01[[#This Row],[Rit]],"000")</f>
        <v>040 / 019</v>
      </c>
      <c r="J198" s="34"/>
      <c r="K198" s="38"/>
      <c r="L198" s="35"/>
      <c r="M198" s="85"/>
      <c r="N198" s="85"/>
      <c r="O198" s="85"/>
      <c r="P198" s="85"/>
      <c r="Q198" s="85"/>
      <c r="R198" s="85"/>
      <c r="S198" s="98"/>
      <c r="T198" s="98"/>
      <c r="U198" s="98"/>
      <c r="V198" s="95"/>
      <c r="W198" s="95"/>
      <c r="X198" s="85"/>
      <c r="Z198" t="str">
        <v>46211/D|BR1/05</v>
      </c>
      <c r="AA198" t="str">
        <v>STM-A40_0105</v>
      </c>
      <c r="AB198" t="str">
        <v>SAP</v>
      </c>
      <c r="AC198" t="str">
        <v>LS_18</v>
      </c>
      <c r="AD198" t="str">
        <v>L18_S09</v>
      </c>
      <c r="AE198" t="str">
        <v>043 / 006</v>
      </c>
      <c r="AF198" t="str">
        <v>Yes</v>
      </c>
      <c r="AG198" t="str">
        <v/>
      </c>
      <c r="AH198" t="str">
        <v/>
      </c>
      <c r="AJ198" t="str">
        <f ca="1"/>
        <v>Pile_01</v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</row>
    <row r="199" spans="4:49" ht="15.75" x14ac:dyDescent="0.25">
      <c r="D199" s="3">
        <v>12</v>
      </c>
      <c r="F199" s="16" cm="1">
        <f t="array" ref="F1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40</v>
      </c>
      <c r="G199" s="31" cm="1">
        <f t="array" ref="G1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19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199" s="32" t="str">
        <f>TEXT(HLG_01[[#This Row],[Batch]],"000")&amp; " / " &amp; TEXT(HLG_01[[#This Row],[Rit]],"000")</f>
        <v>040 / 020</v>
      </c>
      <c r="J199" s="34"/>
      <c r="K199" s="38"/>
      <c r="L199" s="35"/>
      <c r="M199" s="85"/>
      <c r="N199" s="85"/>
      <c r="O199" s="85"/>
      <c r="P199" s="85"/>
      <c r="Q199" s="85"/>
      <c r="R199" s="85"/>
      <c r="S199" s="98"/>
      <c r="T199" s="98"/>
      <c r="U199" s="98"/>
      <c r="V199" s="95"/>
      <c r="W199" s="95"/>
      <c r="X199" s="85"/>
      <c r="Z199" t="str">
        <v>46211/D|BR1/05</v>
      </c>
      <c r="AA199" t="str">
        <v>STM-A40_0121</v>
      </c>
      <c r="AB199" t="str">
        <v>SAP</v>
      </c>
      <c r="AC199" t="str">
        <v>LS_18</v>
      </c>
      <c r="AD199" t="str">
        <v>L18_S09</v>
      </c>
      <c r="AE199" t="str">
        <v>043 / 007</v>
      </c>
      <c r="AF199" t="str">
        <v>No</v>
      </c>
      <c r="AG199" t="str">
        <v/>
      </c>
      <c r="AH199" t="str">
        <v>TRUCK SALAH</v>
      </c>
      <c r="AJ199" t="str">
        <f ca="1"/>
        <v>Pile_01</v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</row>
    <row r="200" spans="4:49" ht="15.75" x14ac:dyDescent="0.25">
      <c r="D200" s="3">
        <v>13</v>
      </c>
      <c r="F200" s="16" cm="1">
        <f t="array" ref="F2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00" s="31" cm="1">
        <f t="array" ref="G2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20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00" s="32" t="str">
        <f>TEXT(HLG_01[[#This Row],[Batch]],"000")&amp; " / " &amp; TEXT(HLG_01[[#This Row],[Rit]],"000")</f>
        <v>041 / 001</v>
      </c>
      <c r="J200" s="34" t="s">
        <v>2622</v>
      </c>
      <c r="K200" s="38" t="s">
        <v>2603</v>
      </c>
      <c r="L200" s="35"/>
      <c r="M200" s="85"/>
      <c r="N200" s="85"/>
      <c r="O200" s="85"/>
      <c r="P200" s="85"/>
      <c r="Q200" s="85"/>
      <c r="R200" s="85"/>
      <c r="S200" s="98"/>
      <c r="T200" s="98"/>
      <c r="U200" s="98"/>
      <c r="V200" s="95"/>
      <c r="W200" s="95"/>
      <c r="X200" s="85"/>
      <c r="Z200" t="str">
        <v>46211/D|BR1/05</v>
      </c>
      <c r="AA200" t="str">
        <v>STM-A40_0106</v>
      </c>
      <c r="AB200" t="str">
        <v>SAP</v>
      </c>
      <c r="AC200" t="str">
        <v>LS_18</v>
      </c>
      <c r="AD200" t="str">
        <v>L18_S09</v>
      </c>
      <c r="AE200" t="str">
        <v>043 / 008</v>
      </c>
      <c r="AF200" t="str">
        <v>Yes</v>
      </c>
      <c r="AG200" t="str">
        <v/>
      </c>
      <c r="AH200" t="str">
        <v/>
      </c>
      <c r="AJ200" t="str">
        <f ca="1"/>
        <v>Pile_01</v>
      </c>
      <c r="AP200" t="str">
        <v>STM-A40_0067</v>
      </c>
      <c r="AQ200" t="str">
        <v>STM-A40_0088</v>
      </c>
      <c r="AR200" t="str">
        <v>STM-A40_0098</v>
      </c>
      <c r="AS200" t="str">
        <v>STM-A40_0105</v>
      </c>
      <c r="AT200" t="str">
        <v>STM-A40_0106</v>
      </c>
      <c r="AU200" t="str">
        <v>STM-A40_0107</v>
      </c>
      <c r="AV200" t="str">
        <v>STM-A40_0119</v>
      </c>
      <c r="AW200" t="str">
        <v>STM-A40_0136</v>
      </c>
    </row>
    <row r="201" spans="4:49" ht="15.75" x14ac:dyDescent="0.25">
      <c r="D201" s="3">
        <v>13</v>
      </c>
      <c r="F201" s="16" cm="1">
        <f t="array" ref="F2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01" s="31" cm="1">
        <f t="array" ref="G2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20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01" s="32" t="str">
        <f>TEXT(HLG_01[[#This Row],[Batch]],"000")&amp; " / " &amp; TEXT(HLG_01[[#This Row],[Rit]],"000")</f>
        <v>041 / 002</v>
      </c>
      <c r="J201" s="34" t="s">
        <v>2622</v>
      </c>
      <c r="K201" s="38" t="s">
        <v>2604</v>
      </c>
      <c r="L201" s="35"/>
      <c r="M201" s="85"/>
      <c r="N201" s="85"/>
      <c r="O201" s="85"/>
      <c r="P201" s="85"/>
      <c r="Q201" s="85"/>
      <c r="R201" s="85"/>
      <c r="S201" s="98"/>
      <c r="T201" s="98"/>
      <c r="U201" s="98"/>
      <c r="V201" s="95"/>
      <c r="W201" s="95"/>
      <c r="X201" s="85"/>
      <c r="Z201" t="str">
        <v>46211/D|BR1/05</v>
      </c>
      <c r="AA201" t="str">
        <v>STM-A40_0107</v>
      </c>
      <c r="AB201" t="str">
        <v>SAP</v>
      </c>
      <c r="AC201" t="str">
        <v>LS_18</v>
      </c>
      <c r="AD201" t="str">
        <v>L18_S09</v>
      </c>
      <c r="AE201" t="str">
        <v>043 / 009</v>
      </c>
      <c r="AF201" t="str">
        <v>No</v>
      </c>
      <c r="AG201" t="str">
        <v/>
      </c>
      <c r="AH201" t="str">
        <v/>
      </c>
      <c r="AJ201" t="str">
        <f ca="1"/>
        <v>Pile_01</v>
      </c>
      <c r="AP201" t="str">
        <v>STM-A40_0067</v>
      </c>
      <c r="AQ201" t="str">
        <v>STM-A40_0088</v>
      </c>
      <c r="AR201" t="str">
        <v>STM-A40_0098</v>
      </c>
      <c r="AS201" t="str">
        <v>STM-A40_0105</v>
      </c>
      <c r="AT201" t="str">
        <v>STM-A40_0106</v>
      </c>
      <c r="AU201" t="str">
        <v>STM-A40_0107</v>
      </c>
      <c r="AV201" t="str">
        <v>STM-A40_0119</v>
      </c>
      <c r="AW201" t="str">
        <v>STM-A40_0136</v>
      </c>
    </row>
    <row r="202" spans="4:49" ht="15.75" x14ac:dyDescent="0.25">
      <c r="D202" s="3">
        <v>13</v>
      </c>
      <c r="F202" s="16" cm="1">
        <f t="array" ref="F2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02" s="31" cm="1">
        <f t="array" ref="G2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20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02" s="32" t="str">
        <f>TEXT(HLG_01[[#This Row],[Batch]],"000")&amp; " / " &amp; TEXT(HLG_01[[#This Row],[Rit]],"000")</f>
        <v>041 / 003</v>
      </c>
      <c r="J202" s="34" t="s">
        <v>2622</v>
      </c>
      <c r="K202" s="38" t="s">
        <v>2606</v>
      </c>
      <c r="L202" s="35"/>
      <c r="M202" s="85"/>
      <c r="N202" s="85"/>
      <c r="O202" s="85"/>
      <c r="P202" s="85"/>
      <c r="Q202" s="85"/>
      <c r="R202" s="85"/>
      <c r="S202" s="98"/>
      <c r="T202" s="98"/>
      <c r="U202" s="98"/>
      <c r="V202" s="95"/>
      <c r="W202" s="95"/>
      <c r="X202" s="85"/>
      <c r="Z202" t="str">
        <v>46211/D|BR1/05</v>
      </c>
      <c r="AA202" t="str">
        <v>STM-A40_0098</v>
      </c>
      <c r="AB202" t="str">
        <v>SAP</v>
      </c>
      <c r="AC202" t="str">
        <v>LS_18</v>
      </c>
      <c r="AD202" t="str">
        <v>L18_S09</v>
      </c>
      <c r="AE202" t="str">
        <v>043 / 010</v>
      </c>
      <c r="AF202" t="str">
        <v>Yes</v>
      </c>
      <c r="AG202" t="str">
        <v/>
      </c>
      <c r="AH202" t="str">
        <v/>
      </c>
      <c r="AJ202" t="str">
        <f ca="1"/>
        <v>Pile_01</v>
      </c>
      <c r="AP202" t="str">
        <v>STM-A40_0067</v>
      </c>
      <c r="AQ202" t="str">
        <v>STM-A40_0088</v>
      </c>
      <c r="AR202" t="str">
        <v>STM-A40_0098</v>
      </c>
      <c r="AS202" t="str">
        <v>STM-A40_0105</v>
      </c>
      <c r="AT202" t="str">
        <v>STM-A40_0106</v>
      </c>
      <c r="AU202" t="str">
        <v>STM-A40_0107</v>
      </c>
      <c r="AV202" t="str">
        <v>STM-A40_0119</v>
      </c>
      <c r="AW202" t="str">
        <v>STM-A40_0136</v>
      </c>
    </row>
    <row r="203" spans="4:49" ht="15.75" x14ac:dyDescent="0.25">
      <c r="D203" s="3" t="e">
        <v>#N/A</v>
      </c>
      <c r="F203" s="16" cm="1">
        <f t="array" ref="F2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03" s="31" cm="1">
        <f t="array" ref="G2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20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03" s="32" t="str">
        <f>TEXT(HLG_01[[#This Row],[Batch]],"000")&amp; " / " &amp; TEXT(HLG_01[[#This Row],[Rit]],"000")</f>
        <v>041 / 004</v>
      </c>
      <c r="J203" s="34" t="s">
        <v>2622</v>
      </c>
      <c r="K203" s="38" t="s">
        <v>2602</v>
      </c>
      <c r="L203" s="35"/>
      <c r="M203" s="85"/>
      <c r="N203" s="85"/>
      <c r="O203" s="85"/>
      <c r="P203" s="85"/>
      <c r="Q203" s="85"/>
      <c r="R203" s="85"/>
      <c r="S203" s="98"/>
      <c r="T203" s="98"/>
      <c r="U203" s="98"/>
      <c r="V203" s="95"/>
      <c r="W203" s="95"/>
      <c r="X203" s="85"/>
      <c r="Z203" t="str">
        <v>46211/D|BR1/05</v>
      </c>
      <c r="AA203" t="str">
        <v>STM-A40_0105</v>
      </c>
      <c r="AB203" t="str">
        <v>SAP</v>
      </c>
      <c r="AC203" t="str">
        <v>LS_18</v>
      </c>
      <c r="AD203" t="str">
        <v>L18_S09</v>
      </c>
      <c r="AE203" t="str">
        <v>043 / 011</v>
      </c>
      <c r="AF203" t="str">
        <v>No</v>
      </c>
      <c r="AG203" t="str">
        <v/>
      </c>
      <c r="AH203" t="str">
        <v/>
      </c>
      <c r="AJ203" t="str">
        <f ca="1"/>
        <v>Pile_01</v>
      </c>
      <c r="AP203" t="str">
        <v>STM-A40_0067</v>
      </c>
      <c r="AQ203" t="str">
        <v>STM-A40_0088</v>
      </c>
      <c r="AR203" t="str">
        <v>STM-A40_0098</v>
      </c>
      <c r="AS203" t="str">
        <v>STM-A40_0105</v>
      </c>
      <c r="AT203" t="str">
        <v>STM-A40_0106</v>
      </c>
      <c r="AU203" t="str">
        <v>STM-A40_0107</v>
      </c>
      <c r="AV203" t="str">
        <v>STM-A40_0119</v>
      </c>
      <c r="AW203" t="str">
        <v>STM-A40_0136</v>
      </c>
    </row>
    <row r="204" spans="4:49" ht="15.75" x14ac:dyDescent="0.25">
      <c r="D204" s="3">
        <v>13</v>
      </c>
      <c r="F204" s="16" cm="1">
        <f t="array" ref="F2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04" s="31" cm="1">
        <f t="array" ref="G2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20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04" s="32" t="str">
        <f>TEXT(HLG_01[[#This Row],[Batch]],"000")&amp; " / " &amp; TEXT(HLG_01[[#This Row],[Rit]],"000")</f>
        <v>041 / 005</v>
      </c>
      <c r="J204" s="34" t="s">
        <v>2622</v>
      </c>
      <c r="K204" s="38" t="s">
        <v>2603</v>
      </c>
      <c r="L204" s="35"/>
      <c r="M204" s="85"/>
      <c r="N204" s="85"/>
      <c r="O204" s="85"/>
      <c r="P204" s="85"/>
      <c r="Q204" s="85"/>
      <c r="R204" s="85"/>
      <c r="S204" s="98"/>
      <c r="T204" s="98"/>
      <c r="U204" s="98"/>
      <c r="V204" s="95"/>
      <c r="W204" s="95"/>
      <c r="X204" s="85"/>
      <c r="Z204" t="str">
        <v>46211/D|BR1/05</v>
      </c>
      <c r="AA204" t="str">
        <v>STM-A40_0107</v>
      </c>
      <c r="AB204" t="str">
        <v>SAP</v>
      </c>
      <c r="AC204" t="str">
        <v>LS_18</v>
      </c>
      <c r="AD204" t="str">
        <v>L18_S09</v>
      </c>
      <c r="AE204" t="str">
        <v>043 / 012</v>
      </c>
      <c r="AF204" t="str">
        <v>Yes</v>
      </c>
      <c r="AG204" t="str">
        <v/>
      </c>
      <c r="AH204" t="str">
        <v/>
      </c>
      <c r="AJ204" t="str">
        <f ca="1"/>
        <v>Pile_01</v>
      </c>
      <c r="AP204" t="str">
        <v>STM-A40_0067</v>
      </c>
      <c r="AQ204" t="str">
        <v>STM-A40_0088</v>
      </c>
      <c r="AR204" t="str">
        <v>STM-A40_0098</v>
      </c>
      <c r="AS204" t="str">
        <v>STM-A40_0105</v>
      </c>
      <c r="AT204" t="str">
        <v>STM-A40_0106</v>
      </c>
      <c r="AU204" t="str">
        <v>STM-A40_0107</v>
      </c>
      <c r="AV204" t="str">
        <v>STM-A40_0119</v>
      </c>
      <c r="AW204" t="str">
        <v>STM-A40_0136</v>
      </c>
    </row>
    <row r="205" spans="4:49" ht="15.75" x14ac:dyDescent="0.25">
      <c r="D205" s="3">
        <v>13</v>
      </c>
      <c r="F205" s="16" cm="1">
        <f t="array" ref="F2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05" s="31" cm="1">
        <f t="array" ref="G2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20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05" s="32" t="str">
        <f>TEXT(HLG_01[[#This Row],[Batch]],"000")&amp; " / " &amp; TEXT(HLG_01[[#This Row],[Rit]],"000")</f>
        <v>041 / 006</v>
      </c>
      <c r="J205" s="34" t="s">
        <v>2622</v>
      </c>
      <c r="K205" s="38" t="s">
        <v>2607</v>
      </c>
      <c r="L205" s="35"/>
      <c r="M205" s="85"/>
      <c r="N205" s="85"/>
      <c r="O205" s="85"/>
      <c r="P205" s="85"/>
      <c r="Q205" s="85"/>
      <c r="R205" s="85"/>
      <c r="S205" s="98"/>
      <c r="T205" s="98"/>
      <c r="U205" s="98"/>
      <c r="V205" s="95"/>
      <c r="W205" s="95"/>
      <c r="X205" s="85"/>
      <c r="Z205" t="str">
        <v>46211/D|BR1/05</v>
      </c>
      <c r="AA205" t="str">
        <v>STM-A40_0121</v>
      </c>
      <c r="AB205" t="str">
        <v>SAP</v>
      </c>
      <c r="AC205" t="str">
        <v>LS_18</v>
      </c>
      <c r="AD205" t="str">
        <v>L18_S09</v>
      </c>
      <c r="AE205" t="str">
        <v>043 / 013</v>
      </c>
      <c r="AF205" t="str">
        <v>No</v>
      </c>
      <c r="AG205" t="str">
        <v/>
      </c>
      <c r="AH205" t="str">
        <v>TRUCK SALAH</v>
      </c>
      <c r="AJ205" t="str">
        <f ca="1"/>
        <v>Pile_01</v>
      </c>
      <c r="AP205" t="str">
        <v>STM-A40_0067</v>
      </c>
      <c r="AQ205" t="str">
        <v>STM-A40_0088</v>
      </c>
      <c r="AR205" t="str">
        <v>STM-A40_0098</v>
      </c>
      <c r="AS205" t="str">
        <v>STM-A40_0105</v>
      </c>
      <c r="AT205" t="str">
        <v>STM-A40_0106</v>
      </c>
      <c r="AU205" t="str">
        <v>STM-A40_0107</v>
      </c>
      <c r="AV205" t="str">
        <v>STM-A40_0119</v>
      </c>
      <c r="AW205" t="str">
        <v>STM-A40_0136</v>
      </c>
    </row>
    <row r="206" spans="4:49" ht="15.75" x14ac:dyDescent="0.25">
      <c r="D206" s="3">
        <v>13</v>
      </c>
      <c r="F206" s="16" cm="1">
        <f t="array" ref="F2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06" s="31" cm="1">
        <f t="array" ref="G2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20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06" s="32" t="str">
        <f>TEXT(HLG_01[[#This Row],[Batch]],"000")&amp; " / " &amp; TEXT(HLG_01[[#This Row],[Rit]],"000")</f>
        <v>041 / 007</v>
      </c>
      <c r="J206" s="34"/>
      <c r="K206" s="38"/>
      <c r="L206" s="35"/>
      <c r="M206" s="85"/>
      <c r="N206" s="85"/>
      <c r="O206" s="85"/>
      <c r="P206" s="85"/>
      <c r="Q206" s="85"/>
      <c r="R206" s="85"/>
      <c r="S206" s="98"/>
      <c r="T206" s="98"/>
      <c r="U206" s="98"/>
      <c r="V206" s="95"/>
      <c r="W206" s="95"/>
      <c r="X206" s="85"/>
      <c r="Z206" t="str">
        <v>46211/D|BR1/05</v>
      </c>
      <c r="AA206" t="str">
        <v>STM-A40_0106</v>
      </c>
      <c r="AB206" t="str">
        <v>SAP</v>
      </c>
      <c r="AC206" t="str">
        <v>LS_18</v>
      </c>
      <c r="AD206" t="str">
        <v>L18_S09</v>
      </c>
      <c r="AE206" t="str">
        <v>043 / 014</v>
      </c>
      <c r="AF206" t="str">
        <v>Yes</v>
      </c>
      <c r="AG206" t="str">
        <v/>
      </c>
      <c r="AH206" t="str">
        <v/>
      </c>
      <c r="AJ206" t="str">
        <f ca="1"/>
        <v>Pile_01</v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</row>
    <row r="207" spans="4:49" ht="15.75" x14ac:dyDescent="0.25">
      <c r="D207" s="3">
        <v>13</v>
      </c>
      <c r="F207" s="16" cm="1">
        <f t="array" ref="F2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07" s="31" cm="1">
        <f t="array" ref="G2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20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07" s="32" t="str">
        <f>TEXT(HLG_01[[#This Row],[Batch]],"000")&amp; " / " &amp; TEXT(HLG_01[[#This Row],[Rit]],"000")</f>
        <v>041 / 008</v>
      </c>
      <c r="J207" s="34"/>
      <c r="K207" s="38"/>
      <c r="L207" s="35"/>
      <c r="M207" s="85"/>
      <c r="N207" s="85"/>
      <c r="O207" s="85"/>
      <c r="P207" s="85"/>
      <c r="Q207" s="85"/>
      <c r="R207" s="85"/>
      <c r="S207" s="98"/>
      <c r="T207" s="98"/>
      <c r="U207" s="98"/>
      <c r="V207" s="95"/>
      <c r="W207" s="95"/>
      <c r="X207" s="85"/>
      <c r="Z207" t="str">
        <v>46211/D|BR1/05</v>
      </c>
      <c r="AA207" t="str">
        <v>STM-A40_0098</v>
      </c>
      <c r="AB207" t="str">
        <v>SAP</v>
      </c>
      <c r="AC207" t="str">
        <v>LS_18</v>
      </c>
      <c r="AD207" t="str">
        <v>L18_S09</v>
      </c>
      <c r="AE207" t="str">
        <v>043 / 015</v>
      </c>
      <c r="AF207" t="str">
        <v>No</v>
      </c>
      <c r="AG207" t="str">
        <v/>
      </c>
      <c r="AH207" t="str">
        <v/>
      </c>
      <c r="AJ207" t="str">
        <f ca="1"/>
        <v>Pile_01</v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</row>
    <row r="208" spans="4:49" ht="15.75" x14ac:dyDescent="0.25">
      <c r="D208" s="3">
        <v>13</v>
      </c>
      <c r="F208" s="16" cm="1">
        <f t="array" ref="F2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08" s="31" cm="1">
        <f t="array" ref="G2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20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08" s="32" t="str">
        <f>TEXT(HLG_01[[#This Row],[Batch]],"000")&amp; " / " &amp; TEXT(HLG_01[[#This Row],[Rit]],"000")</f>
        <v>041 / 009</v>
      </c>
      <c r="J208" s="34"/>
      <c r="K208" s="38"/>
      <c r="L208" s="35"/>
      <c r="M208" s="85"/>
      <c r="N208" s="85"/>
      <c r="O208" s="85"/>
      <c r="P208" s="85"/>
      <c r="Q208" s="85"/>
      <c r="R208" s="85"/>
      <c r="S208" s="98"/>
      <c r="T208" s="98"/>
      <c r="U208" s="98"/>
      <c r="V208" s="95"/>
      <c r="W208" s="95"/>
      <c r="X208" s="85"/>
      <c r="Z208" t="str">
        <v>46211/D|BR1/05</v>
      </c>
      <c r="AA208" t="str">
        <v>STM-A40_0121</v>
      </c>
      <c r="AB208" t="str">
        <v>SAP</v>
      </c>
      <c r="AC208" t="str">
        <v>LS_18</v>
      </c>
      <c r="AD208" t="str">
        <v>L18_S09</v>
      </c>
      <c r="AE208" t="str">
        <v>043 / 016</v>
      </c>
      <c r="AF208" t="str">
        <v>Yes</v>
      </c>
      <c r="AG208" t="str">
        <v/>
      </c>
      <c r="AH208" t="str">
        <v>TRUCK SALAH</v>
      </c>
      <c r="AJ208" t="str">
        <f ca="1"/>
        <v>Pile_01</v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</row>
    <row r="209" spans="4:49" ht="15.75" x14ac:dyDescent="0.25">
      <c r="D209" s="3">
        <v>13</v>
      </c>
      <c r="F209" s="16" cm="1">
        <f t="array" ref="F2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09" s="31" cm="1">
        <f t="array" ref="G2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20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09" s="32" t="str">
        <f>TEXT(HLG_01[[#This Row],[Batch]],"000")&amp; " / " &amp; TEXT(HLG_01[[#This Row],[Rit]],"000")</f>
        <v>041 / 010</v>
      </c>
      <c r="J209" s="34"/>
      <c r="K209" s="38"/>
      <c r="L209" s="35"/>
      <c r="M209" s="85"/>
      <c r="N209" s="85"/>
      <c r="O209" s="85"/>
      <c r="P209" s="85"/>
      <c r="Q209" s="85"/>
      <c r="R209" s="85"/>
      <c r="S209" s="98"/>
      <c r="T209" s="98"/>
      <c r="U209" s="98"/>
      <c r="V209" s="95"/>
      <c r="W209" s="95"/>
      <c r="X209" s="85"/>
      <c r="Z209" t="str">
        <v>46211/D|BR1/05</v>
      </c>
      <c r="AA209" t="str">
        <v>STM-A40_0106</v>
      </c>
      <c r="AB209" t="str">
        <v>SAP</v>
      </c>
      <c r="AC209" t="str">
        <v>LS_18</v>
      </c>
      <c r="AD209" t="str">
        <v>L18_S09</v>
      </c>
      <c r="AE209" t="str">
        <v>043 / 017</v>
      </c>
      <c r="AF209" t="str">
        <v>No</v>
      </c>
      <c r="AG209" t="str">
        <v/>
      </c>
      <c r="AH209" t="str">
        <v/>
      </c>
      <c r="AJ209" t="str">
        <f ca="1"/>
        <v>Pile_01</v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</row>
    <row r="210" spans="4:49" ht="15.75" x14ac:dyDescent="0.25">
      <c r="D210" s="3">
        <v>13</v>
      </c>
      <c r="F210" s="16" cm="1">
        <f t="array" ref="F2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10" s="31" cm="1">
        <f t="array" ref="G2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21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10" s="32" t="str">
        <f>TEXT(HLG_01[[#This Row],[Batch]],"000")&amp; " / " &amp; TEXT(HLG_01[[#This Row],[Rit]],"000")</f>
        <v>041 / 011</v>
      </c>
      <c r="J210" s="34"/>
      <c r="K210" s="38"/>
      <c r="L210" s="35"/>
      <c r="M210" s="85"/>
      <c r="N210" s="85"/>
      <c r="O210" s="85"/>
      <c r="P210" s="85"/>
      <c r="Q210" s="85"/>
      <c r="R210" s="85"/>
      <c r="S210" s="98"/>
      <c r="T210" s="98"/>
      <c r="U210" s="98"/>
      <c r="V210" s="95"/>
      <c r="W210" s="95"/>
      <c r="X210" s="85"/>
      <c r="Z210" t="str">
        <v>46211/D|BR1/05</v>
      </c>
      <c r="AA210" t="str">
        <v>STM-A40_0105</v>
      </c>
      <c r="AB210" t="str">
        <v>SAP</v>
      </c>
      <c r="AC210" t="str">
        <v>LS_18</v>
      </c>
      <c r="AD210" t="str">
        <v>L18_S09</v>
      </c>
      <c r="AE210" t="str">
        <v>043 / 018</v>
      </c>
      <c r="AF210" t="str">
        <v>Yes</v>
      </c>
      <c r="AG210" t="str">
        <v/>
      </c>
      <c r="AH210" t="str">
        <v/>
      </c>
      <c r="AJ210" t="str">
        <f ca="1"/>
        <v>Pile_01</v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</row>
    <row r="211" spans="4:49" ht="15.75" x14ac:dyDescent="0.25">
      <c r="D211" s="3">
        <v>13</v>
      </c>
      <c r="F211" s="16" cm="1">
        <f t="array" ref="F2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11" s="31" cm="1">
        <f t="array" ref="G2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21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11" s="32" t="str">
        <f>TEXT(HLG_01[[#This Row],[Batch]],"000")&amp; " / " &amp; TEXT(HLG_01[[#This Row],[Rit]],"000")</f>
        <v>041 / 012</v>
      </c>
      <c r="J211" s="34"/>
      <c r="K211" s="38"/>
      <c r="L211" s="35"/>
      <c r="M211" s="85"/>
      <c r="N211" s="85"/>
      <c r="O211" s="85"/>
      <c r="P211" s="85"/>
      <c r="Q211" s="85"/>
      <c r="R211" s="85"/>
      <c r="S211" s="98"/>
      <c r="T211" s="98"/>
      <c r="U211" s="98"/>
      <c r="V211" s="95"/>
      <c r="W211" s="95"/>
      <c r="X211" s="85"/>
      <c r="Z211" t="str">
        <v>46211/D|BR1/05</v>
      </c>
      <c r="AA211" t="str">
        <v>STM-A40_0098</v>
      </c>
      <c r="AB211" t="str">
        <v>SAP</v>
      </c>
      <c r="AC211" t="str">
        <v>LS_18</v>
      </c>
      <c r="AD211" t="str">
        <v>L18_S09</v>
      </c>
      <c r="AE211" t="str">
        <v>043 / 019</v>
      </c>
      <c r="AF211" t="str">
        <v>No</v>
      </c>
      <c r="AG211" t="str">
        <v/>
      </c>
      <c r="AH211" t="str">
        <v/>
      </c>
      <c r="AJ211" t="str">
        <f ca="1"/>
        <v>Pile_01</v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</row>
    <row r="212" spans="4:49" ht="15.75" x14ac:dyDescent="0.25">
      <c r="D212" s="3">
        <v>13</v>
      </c>
      <c r="F212" s="16" cm="1">
        <f t="array" ref="F2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12" s="31" cm="1">
        <f t="array" ref="G2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21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12" s="32" t="str">
        <f>TEXT(HLG_01[[#This Row],[Batch]],"000")&amp; " / " &amp; TEXT(HLG_01[[#This Row],[Rit]],"000")</f>
        <v>041 / 013</v>
      </c>
      <c r="J212" s="34"/>
      <c r="K212" s="38"/>
      <c r="L212" s="35"/>
      <c r="M212" s="85"/>
      <c r="N212" s="85"/>
      <c r="O212" s="85"/>
      <c r="P212" s="85"/>
      <c r="Q212" s="85"/>
      <c r="R212" s="85"/>
      <c r="S212" s="98"/>
      <c r="T212" s="98"/>
      <c r="U212" s="98"/>
      <c r="V212" s="95"/>
      <c r="W212" s="95"/>
      <c r="X212" s="85"/>
      <c r="Z212" t="str">
        <v>46211/D|BR1/05</v>
      </c>
      <c r="AA212" t="str">
        <v>STM-A40_0121</v>
      </c>
      <c r="AB212" t="str">
        <v>SAP</v>
      </c>
      <c r="AC212" t="str">
        <v>LS_18</v>
      </c>
      <c r="AD212" t="str">
        <v>L18_S09</v>
      </c>
      <c r="AE212" t="str">
        <v>043 / 020</v>
      </c>
      <c r="AF212" t="str">
        <v>Yes</v>
      </c>
      <c r="AG212" t="str">
        <v/>
      </c>
      <c r="AH212" t="str">
        <v>TRUCK SALAH</v>
      </c>
      <c r="AJ212" t="str">
        <f ca="1"/>
        <v>Pile_01</v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</row>
    <row r="213" spans="4:49" ht="15.75" x14ac:dyDescent="0.25">
      <c r="D213" s="3">
        <v>13</v>
      </c>
      <c r="F213" s="16" cm="1">
        <f t="array" ref="F2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13" s="31" cm="1">
        <f t="array" ref="G2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21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13" s="32" t="str">
        <f>TEXT(HLG_01[[#This Row],[Batch]],"000")&amp; " / " &amp; TEXT(HLG_01[[#This Row],[Rit]],"000")</f>
        <v>041 / 014</v>
      </c>
      <c r="J213" s="34"/>
      <c r="K213" s="38"/>
      <c r="L213" s="35"/>
      <c r="M213" s="85"/>
      <c r="N213" s="85"/>
      <c r="O213" s="85"/>
      <c r="P213" s="85"/>
      <c r="Q213" s="85"/>
      <c r="R213" s="85"/>
      <c r="S213" s="98"/>
      <c r="T213" s="98"/>
      <c r="U213" s="98"/>
      <c r="V213" s="95"/>
      <c r="W213" s="95"/>
      <c r="X213" s="85"/>
      <c r="Z213" t="str">
        <v>46211/D|BR1/05</v>
      </c>
      <c r="AA213" t="str">
        <v>STM-A40_0105</v>
      </c>
      <c r="AB213" t="str">
        <v>SAP</v>
      </c>
      <c r="AC213" t="str">
        <v>LS_18</v>
      </c>
      <c r="AD213" t="str">
        <v>L18_S09</v>
      </c>
      <c r="AE213" t="str">
        <v>044 / 001</v>
      </c>
      <c r="AF213" t="str">
        <v>No</v>
      </c>
      <c r="AG213" t="str">
        <v/>
      </c>
      <c r="AH213" t="str">
        <v/>
      </c>
      <c r="AJ213" t="str">
        <f ca="1"/>
        <v>Pile_01</v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</row>
    <row r="214" spans="4:49" ht="15.75" x14ac:dyDescent="0.25">
      <c r="D214" s="3">
        <v>13</v>
      </c>
      <c r="F214" s="16" cm="1">
        <f t="array" ref="F2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14" s="31" cm="1">
        <f t="array" ref="G2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21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14" s="32" t="str">
        <f>TEXT(HLG_01[[#This Row],[Batch]],"000")&amp; " / " &amp; TEXT(HLG_01[[#This Row],[Rit]],"000")</f>
        <v>041 / 015</v>
      </c>
      <c r="J214" s="34"/>
      <c r="K214" s="38"/>
      <c r="L214" s="35"/>
      <c r="M214" s="85"/>
      <c r="N214" s="85"/>
      <c r="O214" s="85"/>
      <c r="P214" s="85"/>
      <c r="Q214" s="85"/>
      <c r="R214" s="85"/>
      <c r="S214" s="98"/>
      <c r="T214" s="98"/>
      <c r="U214" s="98"/>
      <c r="V214" s="95"/>
      <c r="W214" s="95"/>
      <c r="X214" s="85"/>
      <c r="Z214" t="str">
        <v>46211/D|BR1/05</v>
      </c>
      <c r="AA214" t="str">
        <v>STM-A40_0098</v>
      </c>
      <c r="AB214" t="str">
        <v>SAP</v>
      </c>
      <c r="AC214" t="str">
        <v>LS_18</v>
      </c>
      <c r="AD214" t="str">
        <v>L18_S09</v>
      </c>
      <c r="AE214" t="str">
        <v>044 / 002</v>
      </c>
      <c r="AF214" t="str">
        <v>Yes</v>
      </c>
      <c r="AG214" t="str">
        <v/>
      </c>
      <c r="AH214" t="str">
        <v/>
      </c>
      <c r="AJ214" t="str">
        <f ca="1"/>
        <v>Pile_01</v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</row>
    <row r="215" spans="4:49" ht="15.75" x14ac:dyDescent="0.25">
      <c r="D215" s="3">
        <v>13</v>
      </c>
      <c r="F215" s="16" cm="1">
        <f t="array" ref="F2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15" s="31" cm="1">
        <f t="array" ref="G2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21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15" s="32" t="str">
        <f>TEXT(HLG_01[[#This Row],[Batch]],"000")&amp; " / " &amp; TEXT(HLG_01[[#This Row],[Rit]],"000")</f>
        <v>041 / 016</v>
      </c>
      <c r="J215" s="34"/>
      <c r="K215" s="38"/>
      <c r="L215" s="35"/>
      <c r="M215" s="85"/>
      <c r="N215" s="85"/>
      <c r="O215" s="85"/>
      <c r="P215" s="85"/>
      <c r="Q215" s="85"/>
      <c r="R215" s="85"/>
      <c r="S215" s="98"/>
      <c r="T215" s="98"/>
      <c r="U215" s="98"/>
      <c r="V215" s="95"/>
      <c r="W215" s="95"/>
      <c r="X215" s="85"/>
      <c r="Z215" t="str">
        <v>46211/D|BR1/05</v>
      </c>
      <c r="AA215" t="str">
        <v>STM-A40_0106</v>
      </c>
      <c r="AB215" t="str">
        <v>SAP</v>
      </c>
      <c r="AC215" t="str">
        <v>LS_18</v>
      </c>
      <c r="AD215" t="str">
        <v>L18_S09</v>
      </c>
      <c r="AE215" t="str">
        <v>044 / 003</v>
      </c>
      <c r="AF215" t="str">
        <v>No</v>
      </c>
      <c r="AG215" t="str">
        <v/>
      </c>
      <c r="AH215" t="str">
        <v/>
      </c>
      <c r="AJ215" t="str">
        <f ca="1"/>
        <v>Pile_01</v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</row>
    <row r="216" spans="4:49" ht="15.75" x14ac:dyDescent="0.25">
      <c r="D216" s="3">
        <v>13</v>
      </c>
      <c r="F216" s="16" cm="1">
        <f t="array" ref="F2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16" s="31" cm="1">
        <f t="array" ref="G2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21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16" s="32" t="str">
        <f>TEXT(HLG_01[[#This Row],[Batch]],"000")&amp; " / " &amp; TEXT(HLG_01[[#This Row],[Rit]],"000")</f>
        <v>041 / 017</v>
      </c>
      <c r="J216" s="34"/>
      <c r="K216" s="38"/>
      <c r="L216" s="35"/>
      <c r="M216" s="85"/>
      <c r="N216" s="85"/>
      <c r="O216" s="85"/>
      <c r="P216" s="85"/>
      <c r="Q216" s="85"/>
      <c r="R216" s="85"/>
      <c r="S216" s="98"/>
      <c r="T216" s="98"/>
      <c r="U216" s="98"/>
      <c r="V216" s="95"/>
      <c r="W216" s="95"/>
      <c r="X216" s="85"/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</row>
    <row r="217" spans="4:49" ht="15.75" x14ac:dyDescent="0.25">
      <c r="D217" s="3">
        <v>13</v>
      </c>
      <c r="F217" s="16" cm="1">
        <f t="array" ref="F2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17" s="31" cm="1">
        <f t="array" ref="G2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21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17" s="32" t="str">
        <f>TEXT(HLG_01[[#This Row],[Batch]],"000")&amp; " / " &amp; TEXT(HLG_01[[#This Row],[Rit]],"000")</f>
        <v>041 / 018</v>
      </c>
      <c r="J217" s="34"/>
      <c r="K217" s="38"/>
      <c r="L217" s="35"/>
      <c r="M217" s="85"/>
      <c r="N217" s="85"/>
      <c r="O217" s="85"/>
      <c r="P217" s="85"/>
      <c r="Q217" s="85"/>
      <c r="R217" s="85"/>
      <c r="S217" s="98"/>
      <c r="T217" s="98"/>
      <c r="U217" s="98"/>
      <c r="V217" s="95"/>
      <c r="W217" s="95"/>
      <c r="X217" s="85"/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</row>
    <row r="218" spans="4:49" ht="15.75" x14ac:dyDescent="0.25">
      <c r="D218" s="3">
        <v>13</v>
      </c>
      <c r="F218" s="16" cm="1">
        <f t="array" ref="F2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18" s="31" cm="1">
        <f t="array" ref="G2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21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18" s="32" t="str">
        <f>TEXT(HLG_01[[#This Row],[Batch]],"000")&amp; " / " &amp; TEXT(HLG_01[[#This Row],[Rit]],"000")</f>
        <v>041 / 019</v>
      </c>
      <c r="J218" s="34"/>
      <c r="K218" s="38"/>
      <c r="L218" s="35"/>
      <c r="M218" s="85"/>
      <c r="N218" s="85"/>
      <c r="O218" s="85"/>
      <c r="P218" s="85"/>
      <c r="Q218" s="85"/>
      <c r="R218" s="85"/>
      <c r="S218" s="98"/>
      <c r="T218" s="98"/>
      <c r="U218" s="98"/>
      <c r="V218" s="95"/>
      <c r="W218" s="95"/>
      <c r="X218" s="85"/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</row>
    <row r="219" spans="4:49" ht="15.75" x14ac:dyDescent="0.25">
      <c r="D219" s="3">
        <v>13</v>
      </c>
      <c r="F219" s="16" cm="1">
        <f t="array" ref="F2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41</v>
      </c>
      <c r="G219" s="31" cm="1">
        <f t="array" ref="G2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21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19" s="32" t="str">
        <f>TEXT(HLG_01[[#This Row],[Batch]],"000")&amp; " / " &amp; TEXT(HLG_01[[#This Row],[Rit]],"000")</f>
        <v>041 / 020</v>
      </c>
      <c r="J219" s="34"/>
      <c r="K219" s="38"/>
      <c r="L219" s="35"/>
      <c r="M219" s="85"/>
      <c r="N219" s="85"/>
      <c r="O219" s="85"/>
      <c r="P219" s="85"/>
      <c r="Q219" s="85"/>
      <c r="R219" s="85"/>
      <c r="S219" s="98"/>
      <c r="T219" s="98"/>
      <c r="U219" s="98"/>
      <c r="V219" s="95"/>
      <c r="W219" s="95"/>
      <c r="X219" s="85"/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</row>
    <row r="220" spans="4:49" ht="15.75" x14ac:dyDescent="0.25">
      <c r="D220" s="3">
        <v>14</v>
      </c>
      <c r="F220" s="16" cm="1">
        <f t="array" ref="F2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20" s="31" cm="1">
        <f t="array" ref="G2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22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20" s="32" t="str">
        <f>TEXT(HLG_01[[#This Row],[Batch]],"000")&amp; " / " &amp; TEXT(HLG_01[[#This Row],[Rit]],"000")</f>
        <v>042 / 001</v>
      </c>
      <c r="J220" s="34" t="s">
        <v>2623</v>
      </c>
      <c r="K220" s="38" t="s">
        <v>2603</v>
      </c>
      <c r="L220" s="35"/>
      <c r="M220" s="85"/>
      <c r="N220" s="85"/>
      <c r="O220" s="85"/>
      <c r="P220" s="85"/>
      <c r="Q220" s="85"/>
      <c r="R220" s="85"/>
      <c r="S220" s="98"/>
      <c r="T220" s="98"/>
      <c r="U220" s="98"/>
      <c r="V220" s="95"/>
      <c r="W220" s="95"/>
      <c r="X220" s="85"/>
      <c r="AP220" t="str">
        <v>STM-A40_0098</v>
      </c>
      <c r="AQ220" t="str">
        <v>STM-A40_0105</v>
      </c>
      <c r="AR220" t="str">
        <v>STM-A40_0106</v>
      </c>
      <c r="AS220" t="str">
        <v>STM-A40_0107</v>
      </c>
      <c r="AT220" t="str">
        <v>STM-A40_0119</v>
      </c>
      <c r="AU220" t="str">
        <v>STM-A40_0136</v>
      </c>
      <c r="AV220" t="str">
        <v/>
      </c>
      <c r="AW220" t="str">
        <v/>
      </c>
    </row>
    <row r="221" spans="4:49" ht="15.75" x14ac:dyDescent="0.25">
      <c r="D221" s="3">
        <v>14</v>
      </c>
      <c r="F221" s="16" cm="1">
        <f t="array" ref="F2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21" s="31" cm="1">
        <f t="array" ref="G2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22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21" s="32" t="str">
        <f>TEXT(HLG_01[[#This Row],[Batch]],"000")&amp; " / " &amp; TEXT(HLG_01[[#This Row],[Rit]],"000")</f>
        <v>042 / 002</v>
      </c>
      <c r="J221" s="34" t="s">
        <v>2623</v>
      </c>
      <c r="K221" s="38" t="s">
        <v>2607</v>
      </c>
      <c r="L221" s="35"/>
      <c r="M221" s="85"/>
      <c r="N221" s="85"/>
      <c r="O221" s="85"/>
      <c r="P221" s="85"/>
      <c r="Q221" s="85"/>
      <c r="R221" s="85"/>
      <c r="S221" s="98"/>
      <c r="T221" s="98"/>
      <c r="U221" s="98"/>
      <c r="V221" s="95"/>
      <c r="W221" s="95"/>
      <c r="X221" s="85"/>
      <c r="AP221" t="str">
        <v>STM-A40_0098</v>
      </c>
      <c r="AQ221" t="str">
        <v>STM-A40_0105</v>
      </c>
      <c r="AR221" t="str">
        <v>STM-A40_0106</v>
      </c>
      <c r="AS221" t="str">
        <v>STM-A40_0107</v>
      </c>
      <c r="AT221" t="str">
        <v>STM-A40_0119</v>
      </c>
      <c r="AU221" t="str">
        <v>STM-A40_0136</v>
      </c>
      <c r="AV221" t="str">
        <v/>
      </c>
      <c r="AW221" t="str">
        <v/>
      </c>
    </row>
    <row r="222" spans="4:49" ht="15.75" x14ac:dyDescent="0.25">
      <c r="D222" s="3" t="e">
        <v>#N/A</v>
      </c>
      <c r="F222" s="16" cm="1">
        <f t="array" ref="F2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22" s="31" cm="1">
        <f t="array" ref="G2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22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22" s="32" t="str">
        <f>TEXT(HLG_01[[#This Row],[Batch]],"000")&amp; " / " &amp; TEXT(HLG_01[[#This Row],[Rit]],"000")</f>
        <v>042 / 003</v>
      </c>
      <c r="J222" s="34" t="s">
        <v>2623</v>
      </c>
      <c r="K222" s="38" t="s">
        <v>2602</v>
      </c>
      <c r="L222" s="35"/>
      <c r="M222" s="85"/>
      <c r="N222" s="85"/>
      <c r="O222" s="85"/>
      <c r="P222" s="85"/>
      <c r="Q222" s="85"/>
      <c r="R222" s="85"/>
      <c r="S222" s="98"/>
      <c r="T222" s="98"/>
      <c r="U222" s="98"/>
      <c r="V222" s="95"/>
      <c r="W222" s="95"/>
      <c r="X222" s="85"/>
      <c r="AP222" t="str">
        <v>STM-A40_0098</v>
      </c>
      <c r="AQ222" t="str">
        <v>STM-A40_0105</v>
      </c>
      <c r="AR222" t="str">
        <v>STM-A40_0106</v>
      </c>
      <c r="AS222" t="str">
        <v>STM-A40_0107</v>
      </c>
      <c r="AT222" t="str">
        <v>STM-A40_0119</v>
      </c>
      <c r="AU222" t="str">
        <v>STM-A40_0136</v>
      </c>
      <c r="AV222" t="str">
        <v/>
      </c>
      <c r="AW222" t="str">
        <v/>
      </c>
    </row>
    <row r="223" spans="4:49" ht="15.75" x14ac:dyDescent="0.25">
      <c r="D223" s="3">
        <v>14</v>
      </c>
      <c r="F223" s="16" cm="1">
        <f t="array" ref="F2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23" s="31" cm="1">
        <f t="array" ref="G2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22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23" s="32" t="str">
        <f>TEXT(HLG_01[[#This Row],[Batch]],"000")&amp; " / " &amp; TEXT(HLG_01[[#This Row],[Rit]],"000")</f>
        <v>042 / 004</v>
      </c>
      <c r="J223" s="34" t="s">
        <v>2623</v>
      </c>
      <c r="K223" s="38" t="s">
        <v>2606</v>
      </c>
      <c r="L223" s="35"/>
      <c r="M223" s="85"/>
      <c r="N223" s="85"/>
      <c r="O223" s="85"/>
      <c r="P223" s="85"/>
      <c r="Q223" s="85"/>
      <c r="R223" s="85"/>
      <c r="S223" s="98"/>
      <c r="T223" s="98"/>
      <c r="U223" s="98"/>
      <c r="V223" s="95"/>
      <c r="W223" s="95"/>
      <c r="X223" s="85"/>
      <c r="AP223" t="str">
        <v>STM-A40_0098</v>
      </c>
      <c r="AQ223" t="str">
        <v>STM-A40_0105</v>
      </c>
      <c r="AR223" t="str">
        <v>STM-A40_0106</v>
      </c>
      <c r="AS223" t="str">
        <v>STM-A40_0107</v>
      </c>
      <c r="AT223" t="str">
        <v>STM-A40_0119</v>
      </c>
      <c r="AU223" t="str">
        <v>STM-A40_0136</v>
      </c>
      <c r="AV223" t="str">
        <v/>
      </c>
      <c r="AW223" t="str">
        <v/>
      </c>
    </row>
    <row r="224" spans="4:49" ht="15.75" x14ac:dyDescent="0.25">
      <c r="D224" s="3">
        <v>14</v>
      </c>
      <c r="F224" s="16" cm="1">
        <f t="array" ref="F2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24" s="31" cm="1">
        <f t="array" ref="G2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22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24" s="32" t="str">
        <f>TEXT(HLG_01[[#This Row],[Batch]],"000")&amp; " / " &amp; TEXT(HLG_01[[#This Row],[Rit]],"000")</f>
        <v>042 / 005</v>
      </c>
      <c r="J224" s="34" t="s">
        <v>2623</v>
      </c>
      <c r="K224" s="38" t="s">
        <v>2603</v>
      </c>
      <c r="L224" s="35"/>
      <c r="M224" s="85"/>
      <c r="N224" s="85"/>
      <c r="O224" s="85"/>
      <c r="P224" s="85"/>
      <c r="Q224" s="85"/>
      <c r="R224" s="85"/>
      <c r="S224" s="98"/>
      <c r="T224" s="98"/>
      <c r="U224" s="98"/>
      <c r="V224" s="95"/>
      <c r="W224" s="95"/>
      <c r="X224" s="85"/>
      <c r="AP224" t="str">
        <v>STM-A40_0098</v>
      </c>
      <c r="AQ224" t="str">
        <v>STM-A40_0105</v>
      </c>
      <c r="AR224" t="str">
        <v>STM-A40_0106</v>
      </c>
      <c r="AS224" t="str">
        <v>STM-A40_0107</v>
      </c>
      <c r="AT224" t="str">
        <v>STM-A40_0119</v>
      </c>
      <c r="AU224" t="str">
        <v>STM-A40_0136</v>
      </c>
      <c r="AV224" t="str">
        <v/>
      </c>
      <c r="AW224" t="str">
        <v/>
      </c>
    </row>
    <row r="225" spans="4:49" ht="15.75" x14ac:dyDescent="0.25">
      <c r="D225" s="3">
        <v>14</v>
      </c>
      <c r="F225" s="16" cm="1">
        <f t="array" ref="F2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25" s="31" cm="1">
        <f t="array" ref="G2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22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25" s="32" t="str">
        <f>TEXT(HLG_01[[#This Row],[Batch]],"000")&amp; " / " &amp; TEXT(HLG_01[[#This Row],[Rit]],"000")</f>
        <v>042 / 006</v>
      </c>
      <c r="J225" s="34" t="s">
        <v>2623</v>
      </c>
      <c r="K225" s="38" t="s">
        <v>2604</v>
      </c>
      <c r="L225" s="35"/>
      <c r="M225" s="85"/>
      <c r="N225" s="85"/>
      <c r="O225" s="85"/>
      <c r="P225" s="85"/>
      <c r="Q225" s="85"/>
      <c r="R225" s="85"/>
      <c r="S225" s="98"/>
      <c r="T225" s="98"/>
      <c r="U225" s="98"/>
      <c r="V225" s="95"/>
      <c r="W225" s="95"/>
      <c r="X225" s="85"/>
      <c r="AP225" t="str">
        <v>STM-A40_0098</v>
      </c>
      <c r="AQ225" t="str">
        <v>STM-A40_0105</v>
      </c>
      <c r="AR225" t="str">
        <v>STM-A40_0106</v>
      </c>
      <c r="AS225" t="str">
        <v>STM-A40_0107</v>
      </c>
      <c r="AT225" t="str">
        <v>STM-A40_0119</v>
      </c>
      <c r="AU225" t="str">
        <v>STM-A40_0136</v>
      </c>
      <c r="AV225" t="str">
        <v/>
      </c>
      <c r="AW225" t="str">
        <v/>
      </c>
    </row>
    <row r="226" spans="4:49" ht="15.75" x14ac:dyDescent="0.25">
      <c r="D226" s="3">
        <v>14</v>
      </c>
      <c r="F226" s="16" cm="1">
        <f t="array" ref="F2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26" s="31" cm="1">
        <f t="array" ref="G2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22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26" s="32" t="str">
        <f>TEXT(HLG_01[[#This Row],[Batch]],"000")&amp; " / " &amp; TEXT(HLG_01[[#This Row],[Rit]],"000")</f>
        <v>042 / 007</v>
      </c>
      <c r="J226" s="34" t="s">
        <v>2623</v>
      </c>
      <c r="K226" s="38" t="s">
        <v>2606</v>
      </c>
      <c r="L226" s="35"/>
      <c r="M226" s="85"/>
      <c r="N226" s="85"/>
      <c r="O226" s="85"/>
      <c r="P226" s="85"/>
      <c r="Q226" s="85"/>
      <c r="R226" s="85"/>
      <c r="S226" s="98"/>
      <c r="T226" s="98"/>
      <c r="U226" s="98"/>
      <c r="V226" s="95"/>
      <c r="W226" s="95"/>
      <c r="X226" s="85"/>
      <c r="AP226" t="str">
        <v>STM-A40_0098</v>
      </c>
      <c r="AQ226" t="str">
        <v>STM-A40_0105</v>
      </c>
      <c r="AR226" t="str">
        <v>STM-A40_0106</v>
      </c>
      <c r="AS226" t="str">
        <v>STM-A40_0107</v>
      </c>
      <c r="AT226" t="str">
        <v>STM-A40_0119</v>
      </c>
      <c r="AU226" t="str">
        <v>STM-A40_0136</v>
      </c>
      <c r="AV226" t="str">
        <v/>
      </c>
      <c r="AW226" t="str">
        <v/>
      </c>
    </row>
    <row r="227" spans="4:49" ht="15.75" x14ac:dyDescent="0.25">
      <c r="D227" s="3" t="e">
        <v>#N/A</v>
      </c>
      <c r="F227" s="16" cm="1">
        <f t="array" ref="F2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27" s="31" cm="1">
        <f t="array" ref="G2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22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27" s="32" t="str">
        <f>TEXT(HLG_01[[#This Row],[Batch]],"000")&amp; " / " &amp; TEXT(HLG_01[[#This Row],[Rit]],"000")</f>
        <v>042 / 008</v>
      </c>
      <c r="J227" s="34" t="s">
        <v>2623</v>
      </c>
      <c r="K227" s="38" t="s">
        <v>2602</v>
      </c>
      <c r="L227" s="35"/>
      <c r="M227" s="85"/>
      <c r="N227" s="85"/>
      <c r="O227" s="85"/>
      <c r="P227" s="85"/>
      <c r="Q227" s="85"/>
      <c r="R227" s="85"/>
      <c r="S227" s="98"/>
      <c r="T227" s="98"/>
      <c r="U227" s="98"/>
      <c r="V227" s="95"/>
      <c r="W227" s="95"/>
      <c r="X227" s="85"/>
      <c r="AP227" t="str">
        <v>STM-A40_0098</v>
      </c>
      <c r="AQ227" t="str">
        <v>STM-A40_0105</v>
      </c>
      <c r="AR227" t="str">
        <v>STM-A40_0106</v>
      </c>
      <c r="AS227" t="str">
        <v>STM-A40_0107</v>
      </c>
      <c r="AT227" t="str">
        <v>STM-A40_0119</v>
      </c>
      <c r="AU227" t="str">
        <v>STM-A40_0136</v>
      </c>
      <c r="AV227" t="str">
        <v/>
      </c>
      <c r="AW227" t="str">
        <v/>
      </c>
    </row>
    <row r="228" spans="4:49" ht="15.75" x14ac:dyDescent="0.25">
      <c r="D228" s="3">
        <v>14</v>
      </c>
      <c r="F228" s="16" cm="1">
        <f t="array" ref="F2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28" s="31" cm="1">
        <f t="array" ref="G2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22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28" s="32" t="str">
        <f>TEXT(HLG_01[[#This Row],[Batch]],"000")&amp; " / " &amp; TEXT(HLG_01[[#This Row],[Rit]],"000")</f>
        <v>042 / 009</v>
      </c>
      <c r="J228" s="34" t="s">
        <v>2623</v>
      </c>
      <c r="K228" s="38" t="s">
        <v>2603</v>
      </c>
      <c r="L228" s="35"/>
      <c r="M228" s="85"/>
      <c r="N228" s="85"/>
      <c r="O228" s="85"/>
      <c r="P228" s="85"/>
      <c r="Q228" s="85"/>
      <c r="R228" s="85"/>
      <c r="S228" s="98"/>
      <c r="T228" s="98"/>
      <c r="U228" s="98"/>
      <c r="V228" s="95"/>
      <c r="W228" s="95"/>
      <c r="X228" s="85"/>
      <c r="AP228" t="str">
        <v>STM-A40_0098</v>
      </c>
      <c r="AQ228" t="str">
        <v>STM-A40_0105</v>
      </c>
      <c r="AR228" t="str">
        <v>STM-A40_0106</v>
      </c>
      <c r="AS228" t="str">
        <v>STM-A40_0107</v>
      </c>
      <c r="AT228" t="str">
        <v>STM-A40_0119</v>
      </c>
      <c r="AU228" t="str">
        <v>STM-A40_0136</v>
      </c>
      <c r="AV228" t="str">
        <v/>
      </c>
      <c r="AW228" t="str">
        <v/>
      </c>
    </row>
    <row r="229" spans="4:49" ht="15.75" x14ac:dyDescent="0.25">
      <c r="D229" s="3">
        <v>14</v>
      </c>
      <c r="F229" s="16" cm="1">
        <f t="array" ref="F2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29" s="31" cm="1">
        <f t="array" ref="G2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22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29" s="32" t="str">
        <f>TEXT(HLG_01[[#This Row],[Batch]],"000")&amp; " / " &amp; TEXT(HLG_01[[#This Row],[Rit]],"000")</f>
        <v>042 / 010</v>
      </c>
      <c r="J229" s="34" t="s">
        <v>2623</v>
      </c>
      <c r="K229" s="38" t="s">
        <v>2607</v>
      </c>
      <c r="L229" s="35"/>
      <c r="M229" s="85"/>
      <c r="N229" s="85"/>
      <c r="O229" s="85"/>
      <c r="P229" s="85"/>
      <c r="Q229" s="85"/>
      <c r="R229" s="85"/>
      <c r="S229" s="98"/>
      <c r="T229" s="98"/>
      <c r="U229" s="98"/>
      <c r="V229" s="95"/>
      <c r="W229" s="95"/>
      <c r="X229" s="85"/>
      <c r="AP229" t="str">
        <v>STM-A40_0098</v>
      </c>
      <c r="AQ229" t="str">
        <v>STM-A40_0105</v>
      </c>
      <c r="AR229" t="str">
        <v>STM-A40_0106</v>
      </c>
      <c r="AS229" t="str">
        <v>STM-A40_0107</v>
      </c>
      <c r="AT229" t="str">
        <v>STM-A40_0119</v>
      </c>
      <c r="AU229" t="str">
        <v>STM-A40_0136</v>
      </c>
      <c r="AV229" t="str">
        <v/>
      </c>
      <c r="AW229" t="str">
        <v/>
      </c>
    </row>
    <row r="230" spans="4:49" ht="15.75" x14ac:dyDescent="0.25">
      <c r="D230" s="3">
        <v>14</v>
      </c>
      <c r="F230" s="16" cm="1">
        <f t="array" ref="F2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30" s="31" cm="1">
        <f t="array" ref="G2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23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30" s="32" t="str">
        <f>TEXT(HLG_01[[#This Row],[Batch]],"000")&amp; " / " &amp; TEXT(HLG_01[[#This Row],[Rit]],"000")</f>
        <v>042 / 011</v>
      </c>
      <c r="J230" s="34" t="s">
        <v>2623</v>
      </c>
      <c r="K230" s="38" t="s">
        <v>2604</v>
      </c>
      <c r="L230" s="35"/>
      <c r="M230" s="85"/>
      <c r="N230" s="85"/>
      <c r="O230" s="85"/>
      <c r="P230" s="85"/>
      <c r="Q230" s="85"/>
      <c r="R230" s="85"/>
      <c r="S230" s="98"/>
      <c r="T230" s="98"/>
      <c r="U230" s="98"/>
      <c r="V230" s="95"/>
      <c r="W230" s="95"/>
      <c r="X230" s="85"/>
      <c r="AP230" t="str">
        <v>STM-A40_0098</v>
      </c>
      <c r="AQ230" t="str">
        <v>STM-A40_0105</v>
      </c>
      <c r="AR230" t="str">
        <v>STM-A40_0106</v>
      </c>
      <c r="AS230" t="str">
        <v>STM-A40_0107</v>
      </c>
      <c r="AT230" t="str">
        <v>STM-A40_0119</v>
      </c>
      <c r="AU230" t="str">
        <v>STM-A40_0136</v>
      </c>
      <c r="AV230" t="str">
        <v/>
      </c>
      <c r="AW230" t="str">
        <v/>
      </c>
    </row>
    <row r="231" spans="4:49" ht="15.75" x14ac:dyDescent="0.25">
      <c r="D231" s="3">
        <v>14</v>
      </c>
      <c r="F231" s="16" cm="1">
        <f t="array" ref="F2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31" s="31" cm="1">
        <f t="array" ref="G2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23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31" s="32" t="str">
        <f>TEXT(HLG_01[[#This Row],[Batch]],"000")&amp; " / " &amp; TEXT(HLG_01[[#This Row],[Rit]],"000")</f>
        <v>042 / 012</v>
      </c>
      <c r="J231" s="34" t="s">
        <v>2623</v>
      </c>
      <c r="K231" s="38" t="s">
        <v>2607</v>
      </c>
      <c r="L231" s="35"/>
      <c r="M231" s="85"/>
      <c r="N231" s="85"/>
      <c r="O231" s="85"/>
      <c r="P231" s="85"/>
      <c r="Q231" s="85"/>
      <c r="R231" s="85"/>
      <c r="S231" s="98"/>
      <c r="T231" s="98"/>
      <c r="U231" s="98"/>
      <c r="V231" s="95"/>
      <c r="W231" s="95"/>
      <c r="X231" s="85"/>
      <c r="AP231" t="str">
        <v>STM-A40_0098</v>
      </c>
      <c r="AQ231" t="str">
        <v>STM-A40_0105</v>
      </c>
      <c r="AR231" t="str">
        <v>STM-A40_0106</v>
      </c>
      <c r="AS231" t="str">
        <v>STM-A40_0107</v>
      </c>
      <c r="AT231" t="str">
        <v>STM-A40_0119</v>
      </c>
      <c r="AU231" t="str">
        <v>STM-A40_0136</v>
      </c>
      <c r="AV231" t="str">
        <v/>
      </c>
      <c r="AW231" t="str">
        <v/>
      </c>
    </row>
    <row r="232" spans="4:49" ht="15.75" x14ac:dyDescent="0.25">
      <c r="D232" s="3" t="e">
        <v>#N/A</v>
      </c>
      <c r="F232" s="16" cm="1">
        <f t="array" ref="F2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32" s="31" cm="1">
        <f t="array" ref="G2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23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32" s="32" t="str">
        <f>TEXT(HLG_01[[#This Row],[Batch]],"000")&amp; " / " &amp; TEXT(HLG_01[[#This Row],[Rit]],"000")</f>
        <v>042 / 013</v>
      </c>
      <c r="J232" s="34" t="s">
        <v>2623</v>
      </c>
      <c r="K232" s="38" t="s">
        <v>2602</v>
      </c>
      <c r="L232" s="35"/>
      <c r="M232" s="85"/>
      <c r="N232" s="85"/>
      <c r="O232" s="85"/>
      <c r="P232" s="85"/>
      <c r="Q232" s="85"/>
      <c r="R232" s="85"/>
      <c r="S232" s="98"/>
      <c r="T232" s="98"/>
      <c r="U232" s="98"/>
      <c r="V232" s="95"/>
      <c r="W232" s="95"/>
      <c r="X232" s="85"/>
      <c r="AP232" t="str">
        <v>STM-A40_0098</v>
      </c>
      <c r="AQ232" t="str">
        <v>STM-A40_0105</v>
      </c>
      <c r="AR232" t="str">
        <v>STM-A40_0106</v>
      </c>
      <c r="AS232" t="str">
        <v>STM-A40_0107</v>
      </c>
      <c r="AT232" t="str">
        <v>STM-A40_0119</v>
      </c>
      <c r="AU232" t="str">
        <v>STM-A40_0136</v>
      </c>
      <c r="AV232" t="str">
        <v/>
      </c>
      <c r="AW232" t="str">
        <v/>
      </c>
    </row>
    <row r="233" spans="4:49" ht="15.75" x14ac:dyDescent="0.25">
      <c r="D233" s="3">
        <v>14</v>
      </c>
      <c r="F233" s="16" cm="1">
        <f t="array" ref="F2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33" s="31" cm="1">
        <f t="array" ref="G2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23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33" s="32" t="str">
        <f>TEXT(HLG_01[[#This Row],[Batch]],"000")&amp; " / " &amp; TEXT(HLG_01[[#This Row],[Rit]],"000")</f>
        <v>042 / 014</v>
      </c>
      <c r="J233" s="34" t="s">
        <v>2623</v>
      </c>
      <c r="K233" s="38" t="s">
        <v>2606</v>
      </c>
      <c r="L233" s="35"/>
      <c r="M233" s="85"/>
      <c r="N233" s="85"/>
      <c r="O233" s="85"/>
      <c r="P233" s="85"/>
      <c r="Q233" s="85"/>
      <c r="R233" s="85"/>
      <c r="S233" s="98"/>
      <c r="T233" s="98"/>
      <c r="U233" s="98"/>
      <c r="V233" s="95"/>
      <c r="W233" s="95"/>
      <c r="X233" s="85"/>
      <c r="AP233" t="str">
        <v>STM-A40_0098</v>
      </c>
      <c r="AQ233" t="str">
        <v>STM-A40_0105</v>
      </c>
      <c r="AR233" t="str">
        <v>STM-A40_0106</v>
      </c>
      <c r="AS233" t="str">
        <v>STM-A40_0107</v>
      </c>
      <c r="AT233" t="str">
        <v>STM-A40_0119</v>
      </c>
      <c r="AU233" t="str">
        <v>STM-A40_0136</v>
      </c>
      <c r="AV233" t="str">
        <v/>
      </c>
      <c r="AW233" t="str">
        <v/>
      </c>
    </row>
    <row r="234" spans="4:49" ht="15.75" x14ac:dyDescent="0.25">
      <c r="D234" s="3">
        <v>14</v>
      </c>
      <c r="F234" s="16" cm="1">
        <f t="array" ref="F2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34" s="31" cm="1">
        <f t="array" ref="G2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23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34" s="32" t="str">
        <f>TEXT(HLG_01[[#This Row],[Batch]],"000")&amp; " / " &amp; TEXT(HLG_01[[#This Row],[Rit]],"000")</f>
        <v>042 / 015</v>
      </c>
      <c r="J234" s="34" t="s">
        <v>2623</v>
      </c>
      <c r="K234" s="38" t="s">
        <v>2603</v>
      </c>
      <c r="L234" s="35"/>
      <c r="M234" s="85"/>
      <c r="N234" s="85"/>
      <c r="O234" s="85"/>
      <c r="P234" s="85"/>
      <c r="Q234" s="85"/>
      <c r="R234" s="85"/>
      <c r="S234" s="98"/>
      <c r="T234" s="98"/>
      <c r="U234" s="98"/>
      <c r="V234" s="95"/>
      <c r="W234" s="95"/>
      <c r="X234" s="85"/>
      <c r="AP234" t="str">
        <v>STM-A40_0098</v>
      </c>
      <c r="AQ234" t="str">
        <v>STM-A40_0105</v>
      </c>
      <c r="AR234" t="str">
        <v>STM-A40_0106</v>
      </c>
      <c r="AS234" t="str">
        <v>STM-A40_0107</v>
      </c>
      <c r="AT234" t="str">
        <v>STM-A40_0119</v>
      </c>
      <c r="AU234" t="str">
        <v>STM-A40_0136</v>
      </c>
      <c r="AV234" t="str">
        <v/>
      </c>
      <c r="AW234" t="str">
        <v/>
      </c>
    </row>
    <row r="235" spans="4:49" ht="15.75" x14ac:dyDescent="0.25">
      <c r="D235" s="3" t="e">
        <v>#N/A</v>
      </c>
      <c r="F235" s="16" cm="1">
        <f t="array" ref="F2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35" s="31" cm="1">
        <f t="array" ref="G2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23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35" s="32" t="str">
        <f>TEXT(HLG_01[[#This Row],[Batch]],"000")&amp; " / " &amp; TEXT(HLG_01[[#This Row],[Rit]],"000")</f>
        <v>042 / 016</v>
      </c>
      <c r="J235" s="34" t="s">
        <v>2623</v>
      </c>
      <c r="K235" s="38" t="s">
        <v>2602</v>
      </c>
      <c r="L235" s="35"/>
      <c r="M235" s="85"/>
      <c r="N235" s="85"/>
      <c r="O235" s="85"/>
      <c r="P235" s="85"/>
      <c r="Q235" s="85"/>
      <c r="R235" s="85"/>
      <c r="S235" s="98"/>
      <c r="T235" s="98"/>
      <c r="U235" s="98"/>
      <c r="V235" s="95"/>
      <c r="W235" s="95"/>
      <c r="X235" s="85"/>
      <c r="AP235" t="str">
        <v>STM-A40_0098</v>
      </c>
      <c r="AQ235" t="str">
        <v>STM-A40_0105</v>
      </c>
      <c r="AR235" t="str">
        <v>STM-A40_0106</v>
      </c>
      <c r="AS235" t="str">
        <v>STM-A40_0107</v>
      </c>
      <c r="AT235" t="str">
        <v>STM-A40_0119</v>
      </c>
      <c r="AU235" t="str">
        <v>STM-A40_0136</v>
      </c>
      <c r="AV235" t="str">
        <v/>
      </c>
      <c r="AW235" t="str">
        <v/>
      </c>
    </row>
    <row r="236" spans="4:49" ht="15.75" x14ac:dyDescent="0.25">
      <c r="D236" s="3">
        <v>14</v>
      </c>
      <c r="F236" s="16" cm="1">
        <f t="array" ref="F2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36" s="31" cm="1">
        <f t="array" ref="G2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23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36" s="32" t="str">
        <f>TEXT(HLG_01[[#This Row],[Batch]],"000")&amp; " / " &amp; TEXT(HLG_01[[#This Row],[Rit]],"000")</f>
        <v>042 / 017</v>
      </c>
      <c r="J236" s="34" t="s">
        <v>2623</v>
      </c>
      <c r="K236" s="38" t="s">
        <v>2604</v>
      </c>
      <c r="L236" s="35"/>
      <c r="M236" s="85"/>
      <c r="N236" s="85"/>
      <c r="O236" s="85"/>
      <c r="P236" s="85"/>
      <c r="Q236" s="85"/>
      <c r="R236" s="85"/>
      <c r="S236" s="98"/>
      <c r="T236" s="98"/>
      <c r="U236" s="98"/>
      <c r="V236" s="95"/>
      <c r="W236" s="95"/>
      <c r="X236" s="85"/>
      <c r="AP236" t="str">
        <v>STM-A40_0098</v>
      </c>
      <c r="AQ236" t="str">
        <v>STM-A40_0105</v>
      </c>
      <c r="AR236" t="str">
        <v>STM-A40_0106</v>
      </c>
      <c r="AS236" t="str">
        <v>STM-A40_0107</v>
      </c>
      <c r="AT236" t="str">
        <v>STM-A40_0119</v>
      </c>
      <c r="AU236" t="str">
        <v>STM-A40_0136</v>
      </c>
      <c r="AV236" t="str">
        <v/>
      </c>
      <c r="AW236" t="str">
        <v/>
      </c>
    </row>
    <row r="237" spans="4:49" ht="15.75" x14ac:dyDescent="0.25">
      <c r="D237" s="3">
        <v>14</v>
      </c>
      <c r="F237" s="16" cm="1">
        <f t="array" ref="F2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37" s="31" cm="1">
        <f t="array" ref="G2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23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37" s="32" t="str">
        <f>TEXT(HLG_01[[#This Row],[Batch]],"000")&amp; " / " &amp; TEXT(HLG_01[[#This Row],[Rit]],"000")</f>
        <v>042 / 018</v>
      </c>
      <c r="J237" s="34" t="s">
        <v>2623</v>
      </c>
      <c r="K237" s="38" t="s">
        <v>2607</v>
      </c>
      <c r="L237" s="35"/>
      <c r="M237" s="85"/>
      <c r="N237" s="85"/>
      <c r="O237" s="85"/>
      <c r="P237" s="85"/>
      <c r="Q237" s="85"/>
      <c r="R237" s="85"/>
      <c r="S237" s="98"/>
      <c r="T237" s="98"/>
      <c r="U237" s="98"/>
      <c r="V237" s="95"/>
      <c r="W237" s="95"/>
      <c r="X237" s="85"/>
      <c r="AP237" t="str">
        <v>STM-A40_0098</v>
      </c>
      <c r="AQ237" t="str">
        <v>STM-A40_0105</v>
      </c>
      <c r="AR237" t="str">
        <v>STM-A40_0106</v>
      </c>
      <c r="AS237" t="str">
        <v>STM-A40_0107</v>
      </c>
      <c r="AT237" t="str">
        <v>STM-A40_0119</v>
      </c>
      <c r="AU237" t="str">
        <v>STM-A40_0136</v>
      </c>
      <c r="AV237" t="str">
        <v/>
      </c>
      <c r="AW237" t="str">
        <v/>
      </c>
    </row>
    <row r="238" spans="4:49" ht="15.75" x14ac:dyDescent="0.25">
      <c r="D238" s="3">
        <v>14</v>
      </c>
      <c r="F238" s="16" cm="1">
        <f t="array" ref="F2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38" s="31" cm="1">
        <f t="array" ref="G2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23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38" s="32" t="str">
        <f>TEXT(HLG_01[[#This Row],[Batch]],"000")&amp; " / " &amp; TEXT(HLG_01[[#This Row],[Rit]],"000")</f>
        <v>042 / 019</v>
      </c>
      <c r="J238" s="34" t="s">
        <v>2623</v>
      </c>
      <c r="K238" s="38" t="s">
        <v>2606</v>
      </c>
      <c r="L238" s="35"/>
      <c r="M238" s="85"/>
      <c r="N238" s="85"/>
      <c r="O238" s="85"/>
      <c r="P238" s="85"/>
      <c r="Q238" s="85"/>
      <c r="R238" s="85"/>
      <c r="S238" s="98"/>
      <c r="T238" s="98"/>
      <c r="U238" s="98"/>
      <c r="V238" s="95"/>
      <c r="W238" s="95"/>
      <c r="X238" s="85"/>
      <c r="AP238" t="str">
        <v>STM-A40_0098</v>
      </c>
      <c r="AQ238" t="str">
        <v>STM-A40_0105</v>
      </c>
      <c r="AR238" t="str">
        <v>STM-A40_0106</v>
      </c>
      <c r="AS238" t="str">
        <v>STM-A40_0107</v>
      </c>
      <c r="AT238" t="str">
        <v>STM-A40_0119</v>
      </c>
      <c r="AU238" t="str">
        <v>STM-A40_0136</v>
      </c>
      <c r="AV238" t="str">
        <v/>
      </c>
      <c r="AW238" t="str">
        <v/>
      </c>
    </row>
    <row r="239" spans="4:49" ht="15.75" x14ac:dyDescent="0.25">
      <c r="D239" s="3">
        <v>14</v>
      </c>
      <c r="F239" s="16" cm="1">
        <f t="array" ref="F2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42</v>
      </c>
      <c r="G239" s="31" cm="1">
        <f t="array" ref="G2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23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39" s="32" t="str">
        <f>TEXT(HLG_01[[#This Row],[Batch]],"000")&amp; " / " &amp; TEXT(HLG_01[[#This Row],[Rit]],"000")</f>
        <v>042 / 020</v>
      </c>
      <c r="J239" s="34" t="s">
        <v>2623</v>
      </c>
      <c r="K239" s="38" t="s">
        <v>2603</v>
      </c>
      <c r="L239" s="35"/>
      <c r="M239" s="85"/>
      <c r="N239" s="85"/>
      <c r="O239" s="85"/>
      <c r="P239" s="85"/>
      <c r="Q239" s="85"/>
      <c r="R239" s="85"/>
      <c r="S239" s="98"/>
      <c r="T239" s="98"/>
      <c r="U239" s="98"/>
      <c r="V239" s="95"/>
      <c r="W239" s="95"/>
      <c r="X239" s="85"/>
      <c r="AP239" t="str">
        <v>STM-A40_0098</v>
      </c>
      <c r="AQ239" t="str">
        <v>STM-A40_0105</v>
      </c>
      <c r="AR239" t="str">
        <v>STM-A40_0106</v>
      </c>
      <c r="AS239" t="str">
        <v>STM-A40_0107</v>
      </c>
      <c r="AT239" t="str">
        <v>STM-A40_0119</v>
      </c>
      <c r="AU239" t="str">
        <v>STM-A40_0136</v>
      </c>
      <c r="AV239" t="str">
        <v/>
      </c>
      <c r="AW239" t="str">
        <v/>
      </c>
    </row>
    <row r="240" spans="4:49" ht="15.75" x14ac:dyDescent="0.25">
      <c r="D240" s="3">
        <v>15</v>
      </c>
      <c r="F240" s="16" cm="1">
        <f t="array" ref="F2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40" s="31" cm="1">
        <f t="array" ref="G2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24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40" s="32" t="str">
        <f>TEXT(HLG_01[[#This Row],[Batch]],"000")&amp; " / " &amp; TEXT(HLG_01[[#This Row],[Rit]],"000")</f>
        <v>043 / 001</v>
      </c>
      <c r="J240" s="34" t="s">
        <v>2623</v>
      </c>
      <c r="K240" s="38" t="s">
        <v>2607</v>
      </c>
      <c r="L240" s="35"/>
      <c r="M240" s="85"/>
      <c r="N240" s="85"/>
      <c r="O240" s="85"/>
      <c r="P240" s="85"/>
      <c r="Q240" s="85"/>
      <c r="R240" s="85"/>
      <c r="S240" s="98"/>
      <c r="T240" s="98"/>
      <c r="U240" s="98"/>
      <c r="V240" s="95"/>
      <c r="W240" s="95"/>
      <c r="X240" s="85"/>
      <c r="AP240" t="str">
        <v>STM-A40_0098</v>
      </c>
      <c r="AQ240" t="str">
        <v>STM-A40_0105</v>
      </c>
      <c r="AR240" t="str">
        <v>STM-A40_0106</v>
      </c>
      <c r="AS240" t="str">
        <v>STM-A40_0107</v>
      </c>
      <c r="AT240" t="str">
        <v>STM-A40_0119</v>
      </c>
      <c r="AU240" t="str">
        <v>STM-A40_0136</v>
      </c>
      <c r="AV240" t="str">
        <v/>
      </c>
      <c r="AW240" t="str">
        <v/>
      </c>
    </row>
    <row r="241" spans="4:49" ht="15.75" x14ac:dyDescent="0.25">
      <c r="D241" s="3" t="e">
        <v>#N/A</v>
      </c>
      <c r="F241" s="16" cm="1">
        <f t="array" ref="F2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41" s="31" cm="1">
        <f t="array" ref="G2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24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41" s="32" t="str">
        <f>TEXT(HLG_01[[#This Row],[Batch]],"000")&amp; " / " &amp; TEXT(HLG_01[[#This Row],[Rit]],"000")</f>
        <v>043 / 002</v>
      </c>
      <c r="J241" s="34" t="s">
        <v>2623</v>
      </c>
      <c r="K241" s="38" t="s">
        <v>2602</v>
      </c>
      <c r="L241" s="35"/>
      <c r="M241" s="85"/>
      <c r="N241" s="85"/>
      <c r="O241" s="85"/>
      <c r="P241" s="85"/>
      <c r="Q241" s="85"/>
      <c r="R241" s="85"/>
      <c r="S241" s="98"/>
      <c r="T241" s="98"/>
      <c r="U241" s="98"/>
      <c r="V241" s="95"/>
      <c r="W241" s="95"/>
      <c r="X241" s="85"/>
      <c r="AP241" t="str">
        <v>STM-A40_0098</v>
      </c>
      <c r="AQ241" t="str">
        <v>STM-A40_0105</v>
      </c>
      <c r="AR241" t="str">
        <v>STM-A40_0106</v>
      </c>
      <c r="AS241" t="str">
        <v>STM-A40_0107</v>
      </c>
      <c r="AT241" t="str">
        <v>STM-A40_0119</v>
      </c>
      <c r="AU241" t="str">
        <v>STM-A40_0136</v>
      </c>
      <c r="AV241" t="str">
        <v/>
      </c>
      <c r="AW241" t="str">
        <v/>
      </c>
    </row>
    <row r="242" spans="4:49" ht="15.75" x14ac:dyDescent="0.25">
      <c r="D242" s="3">
        <v>15</v>
      </c>
      <c r="F242" s="16" cm="1">
        <f t="array" ref="F2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42" s="31" cm="1">
        <f t="array" ref="G2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24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42" s="32" t="str">
        <f>TEXT(HLG_01[[#This Row],[Batch]],"000")&amp; " / " &amp; TEXT(HLG_01[[#This Row],[Rit]],"000")</f>
        <v>043 / 003</v>
      </c>
      <c r="J242" s="34" t="s">
        <v>2623</v>
      </c>
      <c r="K242" s="38" t="s">
        <v>2606</v>
      </c>
      <c r="L242" s="35"/>
      <c r="M242" s="85"/>
      <c r="N242" s="85"/>
      <c r="O242" s="85"/>
      <c r="P242" s="85"/>
      <c r="Q242" s="85"/>
      <c r="R242" s="85"/>
      <c r="S242" s="98"/>
      <c r="T242" s="98"/>
      <c r="U242" s="98"/>
      <c r="V242" s="95"/>
      <c r="W242" s="95"/>
      <c r="X242" s="85"/>
      <c r="AP242" t="str">
        <v>STM-A40_0098</v>
      </c>
      <c r="AQ242" t="str">
        <v>STM-A40_0105</v>
      </c>
      <c r="AR242" t="str">
        <v>STM-A40_0106</v>
      </c>
      <c r="AS242" t="str">
        <v>STM-A40_0107</v>
      </c>
      <c r="AT242" t="str">
        <v>STM-A40_0119</v>
      </c>
      <c r="AU242" t="str">
        <v>STM-A40_0136</v>
      </c>
      <c r="AV242" t="str">
        <v/>
      </c>
      <c r="AW242" t="str">
        <v/>
      </c>
    </row>
    <row r="243" spans="4:49" ht="15.75" x14ac:dyDescent="0.25">
      <c r="D243" s="3">
        <v>15</v>
      </c>
      <c r="F243" s="16" cm="1">
        <f t="array" ref="F2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43" s="31" cm="1">
        <f t="array" ref="G2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24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43" s="32" t="str">
        <f>TEXT(HLG_01[[#This Row],[Batch]],"000")&amp; " / " &amp; TEXT(HLG_01[[#This Row],[Rit]],"000")</f>
        <v>043 / 004</v>
      </c>
      <c r="J243" s="34" t="s">
        <v>2623</v>
      </c>
      <c r="K243" s="38" t="s">
        <v>2603</v>
      </c>
      <c r="L243" s="35"/>
      <c r="M243" s="85"/>
      <c r="N243" s="85"/>
      <c r="O243" s="85"/>
      <c r="P243" s="85"/>
      <c r="Q243" s="85"/>
      <c r="R243" s="85"/>
      <c r="S243" s="98"/>
      <c r="T243" s="98"/>
      <c r="U243" s="98"/>
      <c r="V243" s="95"/>
      <c r="W243" s="95"/>
      <c r="X243" s="85"/>
      <c r="AP243" t="str">
        <v>STM-A40_0098</v>
      </c>
      <c r="AQ243" t="str">
        <v>STM-A40_0105</v>
      </c>
      <c r="AR243" t="str">
        <v>STM-A40_0106</v>
      </c>
      <c r="AS243" t="str">
        <v>STM-A40_0107</v>
      </c>
      <c r="AT243" t="str">
        <v>STM-A40_0119</v>
      </c>
      <c r="AU243" t="str">
        <v>STM-A40_0136</v>
      </c>
      <c r="AV243" t="str">
        <v/>
      </c>
      <c r="AW243" t="str">
        <v/>
      </c>
    </row>
    <row r="244" spans="4:49" ht="15.75" x14ac:dyDescent="0.25">
      <c r="D244" s="3">
        <v>15</v>
      </c>
      <c r="F244" s="16" cm="1">
        <f t="array" ref="F2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44" s="31" cm="1">
        <f t="array" ref="G2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24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44" s="32" t="str">
        <f>TEXT(HLG_01[[#This Row],[Batch]],"000")&amp; " / " &amp; TEXT(HLG_01[[#This Row],[Rit]],"000")</f>
        <v>043 / 005</v>
      </c>
      <c r="J244" s="34" t="s">
        <v>2623</v>
      </c>
      <c r="K244" s="38" t="s">
        <v>2607</v>
      </c>
      <c r="L244" s="35"/>
      <c r="M244" s="85"/>
      <c r="N244" s="85"/>
      <c r="O244" s="85"/>
      <c r="P244" s="85"/>
      <c r="Q244" s="85"/>
      <c r="R244" s="85"/>
      <c r="S244" s="98"/>
      <c r="T244" s="98"/>
      <c r="U244" s="98"/>
      <c r="V244" s="95"/>
      <c r="W244" s="95"/>
      <c r="X244" s="85"/>
      <c r="AP244" t="str">
        <v>STM-A40_0098</v>
      </c>
      <c r="AQ244" t="str">
        <v>STM-A40_0105</v>
      </c>
      <c r="AR244" t="str">
        <v>STM-A40_0106</v>
      </c>
      <c r="AS244" t="str">
        <v>STM-A40_0107</v>
      </c>
      <c r="AT244" t="str">
        <v>STM-A40_0119</v>
      </c>
      <c r="AU244" t="str">
        <v>STM-A40_0136</v>
      </c>
      <c r="AV244" t="str">
        <v/>
      </c>
      <c r="AW244" t="str">
        <v/>
      </c>
    </row>
    <row r="245" spans="4:49" ht="15.75" x14ac:dyDescent="0.25">
      <c r="D245" s="3">
        <v>15</v>
      </c>
      <c r="F245" s="16" cm="1">
        <f t="array" ref="F2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45" s="31" cm="1">
        <f t="array" ref="G2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24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45" s="32" t="str">
        <f>TEXT(HLG_01[[#This Row],[Batch]],"000")&amp; " / " &amp; TEXT(HLG_01[[#This Row],[Rit]],"000")</f>
        <v>043 / 006</v>
      </c>
      <c r="J245" s="34" t="s">
        <v>2623</v>
      </c>
      <c r="K245" s="38" t="s">
        <v>2604</v>
      </c>
      <c r="L245" s="35"/>
      <c r="M245" s="85"/>
      <c r="N245" s="85"/>
      <c r="O245" s="85"/>
      <c r="P245" s="85"/>
      <c r="Q245" s="85"/>
      <c r="R245" s="85"/>
      <c r="S245" s="98"/>
      <c r="T245" s="98"/>
      <c r="U245" s="98"/>
      <c r="V245" s="95"/>
      <c r="W245" s="95"/>
      <c r="X245" s="85"/>
      <c r="AP245" t="str">
        <v>STM-A40_0098</v>
      </c>
      <c r="AQ245" t="str">
        <v>STM-A40_0105</v>
      </c>
      <c r="AR245" t="str">
        <v>STM-A40_0106</v>
      </c>
      <c r="AS245" t="str">
        <v>STM-A40_0107</v>
      </c>
      <c r="AT245" t="str">
        <v>STM-A40_0119</v>
      </c>
      <c r="AU245" t="str">
        <v>STM-A40_0136</v>
      </c>
      <c r="AV245" t="str">
        <v/>
      </c>
      <c r="AW245" t="str">
        <v/>
      </c>
    </row>
    <row r="246" spans="4:49" ht="15.75" x14ac:dyDescent="0.25">
      <c r="D246" s="3" t="e">
        <v>#N/A</v>
      </c>
      <c r="F246" s="16" cm="1">
        <f t="array" ref="F2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46" s="31" cm="1">
        <f t="array" ref="G2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24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46" s="32" t="str">
        <f>TEXT(HLG_01[[#This Row],[Batch]],"000")&amp; " / " &amp; TEXT(HLG_01[[#This Row],[Rit]],"000")</f>
        <v>043 / 007</v>
      </c>
      <c r="J246" s="34" t="s">
        <v>2623</v>
      </c>
      <c r="K246" s="38" t="s">
        <v>2602</v>
      </c>
      <c r="L246" s="35"/>
      <c r="M246" s="85"/>
      <c r="N246" s="85"/>
      <c r="O246" s="85"/>
      <c r="P246" s="85"/>
      <c r="Q246" s="85"/>
      <c r="R246" s="85"/>
      <c r="S246" s="98"/>
      <c r="T246" s="98"/>
      <c r="U246" s="98"/>
      <c r="V246" s="95"/>
      <c r="W246" s="95"/>
      <c r="X246" s="85"/>
      <c r="AP246" t="str">
        <v>STM-A40_0098</v>
      </c>
      <c r="AQ246" t="str">
        <v>STM-A40_0105</v>
      </c>
      <c r="AR246" t="str">
        <v>STM-A40_0106</v>
      </c>
      <c r="AS246" t="str">
        <v>STM-A40_0107</v>
      </c>
      <c r="AT246" t="str">
        <v>STM-A40_0119</v>
      </c>
      <c r="AU246" t="str">
        <v>STM-A40_0136</v>
      </c>
      <c r="AV246" t="str">
        <v/>
      </c>
      <c r="AW246" t="str">
        <v/>
      </c>
    </row>
    <row r="247" spans="4:49" ht="15.75" x14ac:dyDescent="0.25">
      <c r="D247" s="3">
        <v>15</v>
      </c>
      <c r="F247" s="16" cm="1">
        <f t="array" ref="F2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47" s="31" cm="1">
        <f t="array" ref="G2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24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47" s="32" t="str">
        <f>TEXT(HLG_01[[#This Row],[Batch]],"000")&amp; " / " &amp; TEXT(HLG_01[[#This Row],[Rit]],"000")</f>
        <v>043 / 008</v>
      </c>
      <c r="J247" s="34" t="s">
        <v>2623</v>
      </c>
      <c r="K247" s="38" t="s">
        <v>2606</v>
      </c>
      <c r="L247" s="35"/>
      <c r="M247" s="85"/>
      <c r="N247" s="85"/>
      <c r="O247" s="85"/>
      <c r="P247" s="85"/>
      <c r="Q247" s="85"/>
      <c r="R247" s="85"/>
      <c r="S247" s="98"/>
      <c r="T247" s="98"/>
      <c r="U247" s="98"/>
      <c r="V247" s="95"/>
      <c r="W247" s="95"/>
      <c r="X247" s="85"/>
      <c r="AP247" t="str">
        <v>STM-A40_0098</v>
      </c>
      <c r="AQ247" t="str">
        <v>STM-A40_0105</v>
      </c>
      <c r="AR247" t="str">
        <v>STM-A40_0106</v>
      </c>
      <c r="AS247" t="str">
        <v>STM-A40_0107</v>
      </c>
      <c r="AT247" t="str">
        <v>STM-A40_0119</v>
      </c>
      <c r="AU247" t="str">
        <v>STM-A40_0136</v>
      </c>
      <c r="AV247" t="str">
        <v/>
      </c>
      <c r="AW247" t="str">
        <v/>
      </c>
    </row>
    <row r="248" spans="4:49" ht="15.75" x14ac:dyDescent="0.25">
      <c r="D248" s="3">
        <v>15</v>
      </c>
      <c r="F248" s="16" cm="1">
        <f t="array" ref="F2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48" s="31" cm="1">
        <f t="array" ref="G2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24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48" s="32" t="str">
        <f>TEXT(HLG_01[[#This Row],[Batch]],"000")&amp; " / " &amp; TEXT(HLG_01[[#This Row],[Rit]],"000")</f>
        <v>043 / 009</v>
      </c>
      <c r="J248" s="34" t="s">
        <v>2623</v>
      </c>
      <c r="K248" s="38" t="s">
        <v>2603</v>
      </c>
      <c r="L248" s="35"/>
      <c r="M248" s="85"/>
      <c r="N248" s="85"/>
      <c r="O248" s="85"/>
      <c r="P248" s="85"/>
      <c r="Q248" s="85"/>
      <c r="R248" s="85"/>
      <c r="S248" s="98"/>
      <c r="T248" s="98"/>
      <c r="U248" s="98"/>
      <c r="V248" s="95"/>
      <c r="W248" s="95"/>
      <c r="X248" s="85"/>
      <c r="AP248" t="str">
        <v>STM-A40_0098</v>
      </c>
      <c r="AQ248" t="str">
        <v>STM-A40_0105</v>
      </c>
      <c r="AR248" t="str">
        <v>STM-A40_0106</v>
      </c>
      <c r="AS248" t="str">
        <v>STM-A40_0107</v>
      </c>
      <c r="AT248" t="str">
        <v>STM-A40_0119</v>
      </c>
      <c r="AU248" t="str">
        <v>STM-A40_0136</v>
      </c>
      <c r="AV248" t="str">
        <v/>
      </c>
      <c r="AW248" t="str">
        <v/>
      </c>
    </row>
    <row r="249" spans="4:49" ht="15.75" x14ac:dyDescent="0.25">
      <c r="D249" s="3">
        <v>15</v>
      </c>
      <c r="F249" s="16" cm="1">
        <f t="array" ref="F2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49" s="31" cm="1">
        <f t="array" ref="G2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24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49" s="32" t="str">
        <f>TEXT(HLG_01[[#This Row],[Batch]],"000")&amp; " / " &amp; TEXT(HLG_01[[#This Row],[Rit]],"000")</f>
        <v>043 / 010</v>
      </c>
      <c r="J249" s="34" t="s">
        <v>2623</v>
      </c>
      <c r="K249" s="38" t="s">
        <v>2607</v>
      </c>
      <c r="L249" s="35"/>
      <c r="M249" s="85"/>
      <c r="N249" s="85"/>
      <c r="O249" s="85"/>
      <c r="P249" s="85"/>
      <c r="Q249" s="85"/>
      <c r="R249" s="85"/>
      <c r="S249" s="98"/>
      <c r="T249" s="98"/>
      <c r="U249" s="98"/>
      <c r="V249" s="95"/>
      <c r="W249" s="95"/>
      <c r="X249" s="85"/>
      <c r="AP249" t="str">
        <v>STM-A40_0098</v>
      </c>
      <c r="AQ249" t="str">
        <v>STM-A40_0105</v>
      </c>
      <c r="AR249" t="str">
        <v>STM-A40_0106</v>
      </c>
      <c r="AS249" t="str">
        <v>STM-A40_0107</v>
      </c>
      <c r="AT249" t="str">
        <v>STM-A40_0119</v>
      </c>
      <c r="AU249" t="str">
        <v>STM-A40_0136</v>
      </c>
      <c r="AV249" t="str">
        <v/>
      </c>
      <c r="AW249" t="str">
        <v/>
      </c>
    </row>
    <row r="250" spans="4:49" ht="15.75" x14ac:dyDescent="0.25">
      <c r="D250" s="3">
        <v>15</v>
      </c>
      <c r="F250" s="16" cm="1">
        <f t="array" ref="F2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50" s="31" cm="1">
        <f t="array" ref="G2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25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50" s="32" t="str">
        <f>TEXT(HLG_01[[#This Row],[Batch]],"000")&amp; " / " &amp; TEXT(HLG_01[[#This Row],[Rit]],"000")</f>
        <v>043 / 011</v>
      </c>
      <c r="J250" s="34" t="s">
        <v>2623</v>
      </c>
      <c r="K250" s="38" t="s">
        <v>2604</v>
      </c>
      <c r="L250" s="35"/>
      <c r="M250" s="85"/>
      <c r="N250" s="85"/>
      <c r="O250" s="85"/>
      <c r="P250" s="85"/>
      <c r="Q250" s="85"/>
      <c r="R250" s="85"/>
      <c r="S250" s="98"/>
      <c r="T250" s="98"/>
      <c r="U250" s="98"/>
      <c r="V250" s="95"/>
      <c r="W250" s="95"/>
      <c r="X250" s="85"/>
      <c r="AP250" t="str">
        <v>STM-A40_0098</v>
      </c>
      <c r="AQ250" t="str">
        <v>STM-A40_0105</v>
      </c>
      <c r="AR250" t="str">
        <v>STM-A40_0106</v>
      </c>
      <c r="AS250" t="str">
        <v>STM-A40_0107</v>
      </c>
      <c r="AT250" t="str">
        <v>STM-A40_0119</v>
      </c>
      <c r="AU250" t="str">
        <v>STM-A40_0136</v>
      </c>
      <c r="AV250" t="str">
        <v/>
      </c>
      <c r="AW250" t="str">
        <v/>
      </c>
    </row>
    <row r="251" spans="4:49" ht="15.75" x14ac:dyDescent="0.25">
      <c r="D251" s="3">
        <v>15</v>
      </c>
      <c r="F251" s="16" cm="1">
        <f t="array" ref="F2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51" s="31" cm="1">
        <f t="array" ref="G2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25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51" s="32" t="str">
        <f>TEXT(HLG_01[[#This Row],[Batch]],"000")&amp; " / " &amp; TEXT(HLG_01[[#This Row],[Rit]],"000")</f>
        <v>043 / 012</v>
      </c>
      <c r="J251" s="34" t="s">
        <v>2623</v>
      </c>
      <c r="K251" s="38" t="s">
        <v>2603</v>
      </c>
      <c r="L251" s="35"/>
      <c r="M251" s="85"/>
      <c r="N251" s="85"/>
      <c r="O251" s="85"/>
      <c r="P251" s="85"/>
      <c r="Q251" s="85"/>
      <c r="R251" s="85"/>
      <c r="S251" s="98"/>
      <c r="T251" s="98"/>
      <c r="U251" s="98"/>
      <c r="V251" s="95"/>
      <c r="W251" s="95"/>
      <c r="X251" s="85"/>
      <c r="AP251" t="str">
        <v>STM-A40_0098</v>
      </c>
      <c r="AQ251" t="str">
        <v>STM-A40_0105</v>
      </c>
      <c r="AR251" t="str">
        <v>STM-A40_0106</v>
      </c>
      <c r="AS251" t="str">
        <v>STM-A40_0107</v>
      </c>
      <c r="AT251" t="str">
        <v>STM-A40_0119</v>
      </c>
      <c r="AU251" t="str">
        <v>STM-A40_0136</v>
      </c>
      <c r="AV251" t="str">
        <v/>
      </c>
      <c r="AW251" t="str">
        <v/>
      </c>
    </row>
    <row r="252" spans="4:49" ht="15.75" x14ac:dyDescent="0.25">
      <c r="D252" s="3" t="e">
        <v>#N/A</v>
      </c>
      <c r="F252" s="16" cm="1">
        <f t="array" ref="F2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52" s="31" cm="1">
        <f t="array" ref="G2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25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52" s="32" t="str">
        <f>TEXT(HLG_01[[#This Row],[Batch]],"000")&amp; " / " &amp; TEXT(HLG_01[[#This Row],[Rit]],"000")</f>
        <v>043 / 013</v>
      </c>
      <c r="J252" s="34" t="s">
        <v>2623</v>
      </c>
      <c r="K252" s="38" t="s">
        <v>2602</v>
      </c>
      <c r="L252" s="35"/>
      <c r="M252" s="85"/>
      <c r="N252" s="85"/>
      <c r="O252" s="85"/>
      <c r="P252" s="85"/>
      <c r="Q252" s="85"/>
      <c r="R252" s="85"/>
      <c r="S252" s="98"/>
      <c r="T252" s="98"/>
      <c r="U252" s="98"/>
      <c r="V252" s="95"/>
      <c r="W252" s="95"/>
      <c r="X252" s="85"/>
      <c r="AP252" t="str">
        <v>STM-A40_0098</v>
      </c>
      <c r="AQ252" t="str">
        <v>STM-A40_0105</v>
      </c>
      <c r="AR252" t="str">
        <v>STM-A40_0106</v>
      </c>
      <c r="AS252" t="str">
        <v>STM-A40_0107</v>
      </c>
      <c r="AT252" t="str">
        <v>STM-A40_0119</v>
      </c>
      <c r="AU252" t="str">
        <v>STM-A40_0136</v>
      </c>
      <c r="AV252" t="str">
        <v/>
      </c>
      <c r="AW252" t="str">
        <v/>
      </c>
    </row>
    <row r="253" spans="4:49" ht="15.75" x14ac:dyDescent="0.25">
      <c r="D253" s="3">
        <v>15</v>
      </c>
      <c r="F253" s="16" cm="1">
        <f t="array" ref="F2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53" s="31" cm="1">
        <f t="array" ref="G2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25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53" s="32" t="str">
        <f>TEXT(HLG_01[[#This Row],[Batch]],"000")&amp; " / " &amp; TEXT(HLG_01[[#This Row],[Rit]],"000")</f>
        <v>043 / 014</v>
      </c>
      <c r="J253" s="34" t="s">
        <v>2623</v>
      </c>
      <c r="K253" s="38" t="s">
        <v>2606</v>
      </c>
      <c r="L253" s="35"/>
      <c r="M253" s="85"/>
      <c r="N253" s="85"/>
      <c r="O253" s="85"/>
      <c r="P253" s="85"/>
      <c r="Q253" s="85"/>
      <c r="R253" s="85"/>
      <c r="S253" s="98"/>
      <c r="T253" s="98"/>
      <c r="U253" s="98"/>
      <c r="V253" s="95"/>
      <c r="W253" s="95"/>
      <c r="X253" s="85"/>
      <c r="AP253" t="str">
        <v>STM-A40_0098</v>
      </c>
      <c r="AQ253" t="str">
        <v>STM-A40_0105</v>
      </c>
      <c r="AR253" t="str">
        <v>STM-A40_0106</v>
      </c>
      <c r="AS253" t="str">
        <v>STM-A40_0107</v>
      </c>
      <c r="AT253" t="str">
        <v>STM-A40_0119</v>
      </c>
      <c r="AU253" t="str">
        <v>STM-A40_0136</v>
      </c>
      <c r="AV253" t="str">
        <v/>
      </c>
      <c r="AW253" t="str">
        <v/>
      </c>
    </row>
    <row r="254" spans="4:49" ht="15.75" x14ac:dyDescent="0.25">
      <c r="D254" s="3">
        <v>15</v>
      </c>
      <c r="F254" s="16" cm="1">
        <f t="array" ref="F2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54" s="31" cm="1">
        <f t="array" ref="G2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25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54" s="32" t="str">
        <f>TEXT(HLG_01[[#This Row],[Batch]],"000")&amp; " / " &amp; TEXT(HLG_01[[#This Row],[Rit]],"000")</f>
        <v>043 / 015</v>
      </c>
      <c r="J254" s="34" t="s">
        <v>2623</v>
      </c>
      <c r="K254" s="38" t="s">
        <v>2607</v>
      </c>
      <c r="L254" s="35"/>
      <c r="M254" s="85"/>
      <c r="N254" s="85"/>
      <c r="O254" s="85"/>
      <c r="P254" s="85"/>
      <c r="Q254" s="85"/>
      <c r="R254" s="85"/>
      <c r="S254" s="98"/>
      <c r="T254" s="98"/>
      <c r="U254" s="98"/>
      <c r="V254" s="95"/>
      <c r="W254" s="95"/>
      <c r="X254" s="85"/>
      <c r="AP254" t="str">
        <v>STM-A40_0098</v>
      </c>
      <c r="AQ254" t="str">
        <v>STM-A40_0105</v>
      </c>
      <c r="AR254" t="str">
        <v>STM-A40_0106</v>
      </c>
      <c r="AS254" t="str">
        <v>STM-A40_0107</v>
      </c>
      <c r="AT254" t="str">
        <v>STM-A40_0119</v>
      </c>
      <c r="AU254" t="str">
        <v>STM-A40_0136</v>
      </c>
      <c r="AV254" t="str">
        <v/>
      </c>
      <c r="AW254" t="str">
        <v/>
      </c>
    </row>
    <row r="255" spans="4:49" ht="15.75" x14ac:dyDescent="0.25">
      <c r="D255" s="3" t="e">
        <v>#N/A</v>
      </c>
      <c r="F255" s="16" cm="1">
        <f t="array" ref="F2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55" s="31" cm="1">
        <f t="array" ref="G2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25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55" s="32" t="str">
        <f>TEXT(HLG_01[[#This Row],[Batch]],"000")&amp; " / " &amp; TEXT(HLG_01[[#This Row],[Rit]],"000")</f>
        <v>043 / 016</v>
      </c>
      <c r="J255" s="34" t="s">
        <v>2623</v>
      </c>
      <c r="K255" s="38" t="s">
        <v>2602</v>
      </c>
      <c r="L255" s="35"/>
      <c r="M255" s="85"/>
      <c r="N255" s="85"/>
      <c r="O255" s="85"/>
      <c r="P255" s="85"/>
      <c r="Q255" s="85"/>
      <c r="R255" s="85"/>
      <c r="S255" s="98"/>
      <c r="T255" s="98"/>
      <c r="U255" s="98"/>
      <c r="V255" s="95"/>
      <c r="W255" s="95"/>
      <c r="X255" s="85"/>
      <c r="AP255" t="str">
        <v>STM-A40_0098</v>
      </c>
      <c r="AQ255" t="str">
        <v>STM-A40_0105</v>
      </c>
      <c r="AR255" t="str">
        <v>STM-A40_0106</v>
      </c>
      <c r="AS255" t="str">
        <v>STM-A40_0107</v>
      </c>
      <c r="AT255" t="str">
        <v>STM-A40_0119</v>
      </c>
      <c r="AU255" t="str">
        <v>STM-A40_0136</v>
      </c>
      <c r="AV255" t="str">
        <v/>
      </c>
      <c r="AW255" t="str">
        <v/>
      </c>
    </row>
    <row r="256" spans="4:49" ht="15.75" x14ac:dyDescent="0.25">
      <c r="D256" s="3">
        <v>15</v>
      </c>
      <c r="F256" s="16" cm="1">
        <f t="array" ref="F2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56" s="31" cm="1">
        <f t="array" ref="G2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25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56" s="32" t="str">
        <f>TEXT(HLG_01[[#This Row],[Batch]],"000")&amp; " / " &amp; TEXT(HLG_01[[#This Row],[Rit]],"000")</f>
        <v>043 / 017</v>
      </c>
      <c r="J256" s="34" t="s">
        <v>2623</v>
      </c>
      <c r="K256" s="38" t="s">
        <v>2606</v>
      </c>
      <c r="L256" s="35"/>
      <c r="M256" s="85"/>
      <c r="N256" s="85"/>
      <c r="O256" s="85"/>
      <c r="P256" s="85"/>
      <c r="Q256" s="85"/>
      <c r="R256" s="85"/>
      <c r="S256" s="98"/>
      <c r="T256" s="98"/>
      <c r="U256" s="98"/>
      <c r="V256" s="95"/>
      <c r="W256" s="95"/>
      <c r="X256" s="85"/>
      <c r="AP256" t="str">
        <v>STM-A40_0098</v>
      </c>
      <c r="AQ256" t="str">
        <v>STM-A40_0105</v>
      </c>
      <c r="AR256" t="str">
        <v>STM-A40_0106</v>
      </c>
      <c r="AS256" t="str">
        <v>STM-A40_0107</v>
      </c>
      <c r="AT256" t="str">
        <v>STM-A40_0119</v>
      </c>
      <c r="AU256" t="str">
        <v>STM-A40_0136</v>
      </c>
      <c r="AV256" t="str">
        <v/>
      </c>
      <c r="AW256" t="str">
        <v/>
      </c>
    </row>
    <row r="257" spans="4:49" ht="15.75" x14ac:dyDescent="0.25">
      <c r="D257" s="3">
        <v>15</v>
      </c>
      <c r="F257" s="16" cm="1">
        <f t="array" ref="F2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57" s="31" cm="1">
        <f t="array" ref="G2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25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57" s="32" t="str">
        <f>TEXT(HLG_01[[#This Row],[Batch]],"000")&amp; " / " &amp; TEXT(HLG_01[[#This Row],[Rit]],"000")</f>
        <v>043 / 018</v>
      </c>
      <c r="J257" s="34" t="s">
        <v>2623</v>
      </c>
      <c r="K257" s="38" t="s">
        <v>2604</v>
      </c>
      <c r="L257" s="35"/>
      <c r="M257" s="85"/>
      <c r="N257" s="85"/>
      <c r="O257" s="85"/>
      <c r="P257" s="85"/>
      <c r="Q257" s="85"/>
      <c r="R257" s="85"/>
      <c r="S257" s="98"/>
      <c r="T257" s="98"/>
      <c r="U257" s="98"/>
      <c r="V257" s="95"/>
      <c r="W257" s="95"/>
      <c r="X257" s="85"/>
      <c r="AP257" t="str">
        <v>STM-A40_0098</v>
      </c>
      <c r="AQ257" t="str">
        <v>STM-A40_0105</v>
      </c>
      <c r="AR257" t="str">
        <v>STM-A40_0106</v>
      </c>
      <c r="AS257" t="str">
        <v>STM-A40_0107</v>
      </c>
      <c r="AT257" t="str">
        <v>STM-A40_0119</v>
      </c>
      <c r="AU257" t="str">
        <v>STM-A40_0136</v>
      </c>
      <c r="AV257" t="str">
        <v/>
      </c>
      <c r="AW257" t="str">
        <v/>
      </c>
    </row>
    <row r="258" spans="4:49" ht="15.75" x14ac:dyDescent="0.25">
      <c r="D258" s="3">
        <v>15</v>
      </c>
      <c r="F258" s="16" cm="1">
        <f t="array" ref="F2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58" s="31" cm="1">
        <f t="array" ref="G2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25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58" s="32" t="str">
        <f>TEXT(HLG_01[[#This Row],[Batch]],"000")&amp; " / " &amp; TEXT(HLG_01[[#This Row],[Rit]],"000")</f>
        <v>043 / 019</v>
      </c>
      <c r="J258" s="34" t="s">
        <v>2623</v>
      </c>
      <c r="K258" s="38" t="s">
        <v>2607</v>
      </c>
      <c r="L258" s="35"/>
      <c r="M258" s="85"/>
      <c r="N258" s="85"/>
      <c r="O258" s="85"/>
      <c r="P258" s="85"/>
      <c r="Q258" s="85"/>
      <c r="R258" s="85"/>
      <c r="S258" s="98"/>
      <c r="T258" s="98"/>
      <c r="U258" s="98"/>
      <c r="V258" s="95"/>
      <c r="W258" s="95"/>
      <c r="X258" s="85"/>
      <c r="AP258" t="str">
        <v>STM-A40_0098</v>
      </c>
      <c r="AQ258" t="str">
        <v>STM-A40_0105</v>
      </c>
      <c r="AR258" t="str">
        <v>STM-A40_0106</v>
      </c>
      <c r="AS258" t="str">
        <v>STM-A40_0107</v>
      </c>
      <c r="AT258" t="str">
        <v>STM-A40_0119</v>
      </c>
      <c r="AU258" t="str">
        <v>STM-A40_0136</v>
      </c>
      <c r="AV258" t="str">
        <v/>
      </c>
      <c r="AW258" t="str">
        <v/>
      </c>
    </row>
    <row r="259" spans="4:49" ht="15.75" x14ac:dyDescent="0.25">
      <c r="D259" s="3" t="e">
        <v>#N/A</v>
      </c>
      <c r="F259" s="16" cm="1">
        <f t="array" ref="F2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43</v>
      </c>
      <c r="G259" s="31" cm="1">
        <f t="array" ref="G2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25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59" s="32" t="str">
        <f>TEXT(HLG_01[[#This Row],[Batch]],"000")&amp; " / " &amp; TEXT(HLG_01[[#This Row],[Rit]],"000")</f>
        <v>043 / 020</v>
      </c>
      <c r="J259" s="34" t="s">
        <v>2623</v>
      </c>
      <c r="K259" s="38" t="s">
        <v>2602</v>
      </c>
      <c r="L259" s="35"/>
      <c r="M259" s="85"/>
      <c r="N259" s="85"/>
      <c r="O259" s="85"/>
      <c r="P259" s="85"/>
      <c r="Q259" s="85"/>
      <c r="R259" s="85"/>
      <c r="S259" s="98"/>
      <c r="T259" s="98"/>
      <c r="U259" s="98"/>
      <c r="V259" s="95"/>
      <c r="W259" s="95"/>
      <c r="X259" s="85"/>
      <c r="AP259" t="str">
        <v>STM-A40_0098</v>
      </c>
      <c r="AQ259" t="str">
        <v>STM-A40_0105</v>
      </c>
      <c r="AR259" t="str">
        <v>STM-A40_0106</v>
      </c>
      <c r="AS259" t="str">
        <v>STM-A40_0107</v>
      </c>
      <c r="AT259" t="str">
        <v>STM-A40_0119</v>
      </c>
      <c r="AU259" t="str">
        <v>STM-A40_0136</v>
      </c>
      <c r="AV259" t="str">
        <v/>
      </c>
      <c r="AW259" t="str">
        <v/>
      </c>
    </row>
    <row r="260" spans="4:49" ht="15.75" x14ac:dyDescent="0.25">
      <c r="D260" s="3">
        <v>16</v>
      </c>
      <c r="F260" s="16" cm="1">
        <f t="array" ref="F2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60" s="31" cm="1">
        <f t="array" ref="G2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26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60" s="32" t="str">
        <f>TEXT(HLG_01[[#This Row],[Batch]],"000")&amp; " / " &amp; TEXT(HLG_01[[#This Row],[Rit]],"000")</f>
        <v>044 / 001</v>
      </c>
      <c r="J260" s="34" t="s">
        <v>2623</v>
      </c>
      <c r="K260" s="38" t="s">
        <v>2604</v>
      </c>
      <c r="L260" s="35"/>
      <c r="M260" s="85"/>
      <c r="N260" s="85"/>
      <c r="O260" s="85"/>
      <c r="P260" s="85"/>
      <c r="Q260" s="85"/>
      <c r="R260" s="85"/>
      <c r="S260" s="98"/>
      <c r="T260" s="98"/>
      <c r="U260" s="98"/>
      <c r="V260" s="95"/>
      <c r="W260" s="95"/>
      <c r="X260" s="85"/>
      <c r="AP260" t="str">
        <v>STM-A40_0098</v>
      </c>
      <c r="AQ260" t="str">
        <v>STM-A40_0105</v>
      </c>
      <c r="AR260" t="str">
        <v>STM-A40_0106</v>
      </c>
      <c r="AS260" t="str">
        <v>STM-A40_0107</v>
      </c>
      <c r="AT260" t="str">
        <v>STM-A40_0119</v>
      </c>
      <c r="AU260" t="str">
        <v>STM-A40_0136</v>
      </c>
      <c r="AV260" t="str">
        <v/>
      </c>
      <c r="AW260" t="str">
        <v/>
      </c>
    </row>
    <row r="261" spans="4:49" ht="15.75" x14ac:dyDescent="0.25">
      <c r="D261" s="3">
        <v>16</v>
      </c>
      <c r="F261" s="16" cm="1">
        <f t="array" ref="F2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61" s="31" cm="1">
        <f t="array" ref="G2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26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61" s="32" t="str">
        <f>TEXT(HLG_01[[#This Row],[Batch]],"000")&amp; " / " &amp; TEXT(HLG_01[[#This Row],[Rit]],"000")</f>
        <v>044 / 002</v>
      </c>
      <c r="J261" s="34" t="s">
        <v>2623</v>
      </c>
      <c r="K261" s="38" t="s">
        <v>2607</v>
      </c>
      <c r="L261" s="35"/>
      <c r="M261" s="85"/>
      <c r="N261" s="85"/>
      <c r="O261" s="85"/>
      <c r="P261" s="85"/>
      <c r="Q261" s="85"/>
      <c r="R261" s="85"/>
      <c r="S261" s="98"/>
      <c r="T261" s="98"/>
      <c r="U261" s="98"/>
      <c r="V261" s="95"/>
      <c r="W261" s="95"/>
      <c r="X261" s="85"/>
      <c r="AP261" t="str">
        <v>STM-A40_0098</v>
      </c>
      <c r="AQ261" t="str">
        <v>STM-A40_0105</v>
      </c>
      <c r="AR261" t="str">
        <v>STM-A40_0106</v>
      </c>
      <c r="AS261" t="str">
        <v>STM-A40_0107</v>
      </c>
      <c r="AT261" t="str">
        <v>STM-A40_0119</v>
      </c>
      <c r="AU261" t="str">
        <v>STM-A40_0136</v>
      </c>
      <c r="AV261" t="str">
        <v/>
      </c>
      <c r="AW261" t="str">
        <v/>
      </c>
    </row>
    <row r="262" spans="4:49" ht="15.75" x14ac:dyDescent="0.25">
      <c r="D262" s="3">
        <v>16</v>
      </c>
      <c r="F262" s="16" cm="1">
        <f t="array" ref="F2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62" s="31" cm="1">
        <f t="array" ref="G2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26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62" s="32" t="str">
        <f>TEXT(HLG_01[[#This Row],[Batch]],"000")&amp; " / " &amp; TEXT(HLG_01[[#This Row],[Rit]],"000")</f>
        <v>044 / 003</v>
      </c>
      <c r="J262" s="34" t="s">
        <v>2623</v>
      </c>
      <c r="K262" s="38" t="s">
        <v>2606</v>
      </c>
      <c r="L262" s="35"/>
      <c r="M262" s="85"/>
      <c r="N262" s="85"/>
      <c r="O262" s="85"/>
      <c r="P262" s="85"/>
      <c r="Q262" s="85"/>
      <c r="R262" s="85"/>
      <c r="S262" s="98"/>
      <c r="T262" s="98"/>
      <c r="U262" s="98"/>
      <c r="V262" s="95"/>
      <c r="W262" s="95"/>
      <c r="X262" s="85"/>
      <c r="AP262" t="str">
        <v>STM-A40_0098</v>
      </c>
      <c r="AQ262" t="str">
        <v>STM-A40_0105</v>
      </c>
      <c r="AR262" t="str">
        <v>STM-A40_0106</v>
      </c>
      <c r="AS262" t="str">
        <v>STM-A40_0107</v>
      </c>
      <c r="AT262" t="str">
        <v>STM-A40_0119</v>
      </c>
      <c r="AU262" t="str">
        <v>STM-A40_0136</v>
      </c>
      <c r="AV262" t="str">
        <v/>
      </c>
      <c r="AW262" t="str">
        <v/>
      </c>
    </row>
    <row r="263" spans="4:49" ht="15.75" x14ac:dyDescent="0.25">
      <c r="D263" s="3">
        <v>16</v>
      </c>
      <c r="F263" s="16" cm="1">
        <f t="array" ref="F2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63" s="31" cm="1">
        <f t="array" ref="G2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26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63" s="32" t="str">
        <f>TEXT(HLG_01[[#This Row],[Batch]],"000")&amp; " / " &amp; TEXT(HLG_01[[#This Row],[Rit]],"000")</f>
        <v>044 / 004</v>
      </c>
      <c r="J263" s="34"/>
      <c r="K263" s="38"/>
      <c r="L263" s="35"/>
      <c r="M263" s="85"/>
      <c r="N263" s="85"/>
      <c r="O263" s="85"/>
      <c r="P263" s="85"/>
      <c r="Q263" s="85"/>
      <c r="R263" s="85"/>
      <c r="S263" s="98"/>
      <c r="T263" s="98"/>
      <c r="U263" s="98"/>
      <c r="V263" s="95"/>
      <c r="W263" s="95"/>
      <c r="X263" s="85"/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</row>
    <row r="264" spans="4:49" ht="15.75" x14ac:dyDescent="0.25">
      <c r="D264" s="3">
        <v>16</v>
      </c>
      <c r="F264" s="16" cm="1">
        <f t="array" ref="F2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64" s="31" cm="1">
        <f t="array" ref="G2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26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64" s="32" t="str">
        <f>TEXT(HLG_01[[#This Row],[Batch]],"000")&amp; " / " &amp; TEXT(HLG_01[[#This Row],[Rit]],"000")</f>
        <v>044 / 005</v>
      </c>
      <c r="J264" s="34"/>
      <c r="K264" s="38"/>
      <c r="L264" s="35"/>
      <c r="M264" s="85"/>
      <c r="N264" s="85"/>
      <c r="O264" s="85"/>
      <c r="P264" s="85"/>
      <c r="Q264" s="85"/>
      <c r="R264" s="85"/>
      <c r="S264" s="98"/>
      <c r="T264" s="98"/>
      <c r="U264" s="98"/>
      <c r="V264" s="95"/>
      <c r="W264" s="95"/>
      <c r="X264" s="85"/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</row>
    <row r="265" spans="4:49" ht="15.75" x14ac:dyDescent="0.25">
      <c r="D265" s="3">
        <v>16</v>
      </c>
      <c r="F265" s="16" cm="1">
        <f t="array" ref="F2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65" s="31" cm="1">
        <f t="array" ref="G2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26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65" s="32" t="str">
        <f>TEXT(HLG_01[[#This Row],[Batch]],"000")&amp; " / " &amp; TEXT(HLG_01[[#This Row],[Rit]],"000")</f>
        <v>044 / 006</v>
      </c>
      <c r="J265" s="34"/>
      <c r="K265" s="38"/>
      <c r="L265" s="35"/>
      <c r="M265" s="85"/>
      <c r="N265" s="85"/>
      <c r="O265" s="85"/>
      <c r="P265" s="85"/>
      <c r="Q265" s="85"/>
      <c r="R265" s="85"/>
      <c r="S265" s="98"/>
      <c r="T265" s="98"/>
      <c r="U265" s="98"/>
      <c r="V265" s="95"/>
      <c r="W265" s="95"/>
      <c r="X265" s="85"/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</row>
    <row r="266" spans="4:49" ht="15.75" x14ac:dyDescent="0.25">
      <c r="D266" s="3">
        <v>16</v>
      </c>
      <c r="F266" s="16" cm="1">
        <f t="array" ref="F2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66" s="31" cm="1">
        <f t="array" ref="G2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26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66" s="32" t="str">
        <f>TEXT(HLG_01[[#This Row],[Batch]],"000")&amp; " / " &amp; TEXT(HLG_01[[#This Row],[Rit]],"000")</f>
        <v>044 / 007</v>
      </c>
      <c r="J266" s="34"/>
      <c r="K266" s="38"/>
      <c r="L266" s="35"/>
      <c r="M266" s="85"/>
      <c r="N266" s="85"/>
      <c r="O266" s="85"/>
      <c r="P266" s="85"/>
      <c r="Q266" s="85"/>
      <c r="R266" s="85"/>
      <c r="S266" s="98"/>
      <c r="T266" s="98"/>
      <c r="U266" s="98"/>
      <c r="V266" s="95"/>
      <c r="W266" s="95"/>
      <c r="X266" s="85"/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</row>
    <row r="267" spans="4:49" ht="15.75" x14ac:dyDescent="0.25">
      <c r="D267" s="3">
        <v>16</v>
      </c>
      <c r="F267" s="16" cm="1">
        <f t="array" ref="F2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67" s="31" cm="1">
        <f t="array" ref="G2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26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67" s="32" t="str">
        <f>TEXT(HLG_01[[#This Row],[Batch]],"000")&amp; " / " &amp; TEXT(HLG_01[[#This Row],[Rit]],"000")</f>
        <v>044 / 008</v>
      </c>
      <c r="J267" s="34"/>
      <c r="K267" s="38"/>
      <c r="L267" s="35"/>
      <c r="M267" s="85"/>
      <c r="N267" s="85"/>
      <c r="O267" s="85"/>
      <c r="P267" s="85"/>
      <c r="Q267" s="85"/>
      <c r="R267" s="85"/>
      <c r="S267" s="98"/>
      <c r="T267" s="98"/>
      <c r="U267" s="98"/>
      <c r="V267" s="95"/>
      <c r="W267" s="95"/>
      <c r="X267" s="85"/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</row>
    <row r="268" spans="4:49" ht="15.75" x14ac:dyDescent="0.25">
      <c r="D268" s="3">
        <v>16</v>
      </c>
      <c r="F268" s="16" cm="1">
        <f t="array" ref="F2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68" s="31" cm="1">
        <f t="array" ref="G2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26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68" s="32" t="str">
        <f>TEXT(HLG_01[[#This Row],[Batch]],"000")&amp; " / " &amp; TEXT(HLG_01[[#This Row],[Rit]],"000")</f>
        <v>044 / 009</v>
      </c>
      <c r="J268" s="34"/>
      <c r="K268" s="38"/>
      <c r="L268" s="35"/>
      <c r="M268" s="85"/>
      <c r="N268" s="85"/>
      <c r="O268" s="85"/>
      <c r="P268" s="85"/>
      <c r="Q268" s="85"/>
      <c r="R268" s="85"/>
      <c r="S268" s="98"/>
      <c r="T268" s="98"/>
      <c r="U268" s="98"/>
      <c r="V268" s="95"/>
      <c r="W268" s="95"/>
      <c r="X268" s="85"/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</row>
    <row r="269" spans="4:49" ht="15.75" x14ac:dyDescent="0.25">
      <c r="D269" s="3">
        <v>16</v>
      </c>
      <c r="F269" s="16" cm="1">
        <f t="array" ref="F2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69" s="31" cm="1">
        <f t="array" ref="G2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26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69" s="32" t="str">
        <f>TEXT(HLG_01[[#This Row],[Batch]],"000")&amp; " / " &amp; TEXT(HLG_01[[#This Row],[Rit]],"000")</f>
        <v>044 / 010</v>
      </c>
      <c r="J269" s="34"/>
      <c r="K269" s="38"/>
      <c r="L269" s="35"/>
      <c r="M269" s="85"/>
      <c r="N269" s="85"/>
      <c r="O269" s="85"/>
      <c r="P269" s="85"/>
      <c r="Q269" s="85"/>
      <c r="R269" s="85"/>
      <c r="S269" s="98"/>
      <c r="T269" s="98"/>
      <c r="U269" s="98"/>
      <c r="V269" s="95"/>
      <c r="W269" s="95"/>
      <c r="X269" s="85"/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</row>
    <row r="270" spans="4:49" ht="15.75" x14ac:dyDescent="0.25">
      <c r="D270" s="3">
        <v>16</v>
      </c>
      <c r="F270" s="16" cm="1">
        <f t="array" ref="F2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70" s="31" cm="1">
        <f t="array" ref="G2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27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70" s="32" t="str">
        <f>TEXT(HLG_01[[#This Row],[Batch]],"000")&amp; " / " &amp; TEXT(HLG_01[[#This Row],[Rit]],"000")</f>
        <v>044 / 011</v>
      </c>
      <c r="J270" s="34"/>
      <c r="K270" s="38"/>
      <c r="L270" s="35"/>
      <c r="M270" s="85"/>
      <c r="N270" s="85"/>
      <c r="O270" s="85"/>
      <c r="P270" s="85"/>
      <c r="Q270" s="85"/>
      <c r="R270" s="85"/>
      <c r="S270" s="98"/>
      <c r="T270" s="98"/>
      <c r="U270" s="98"/>
      <c r="V270" s="95"/>
      <c r="W270" s="95"/>
      <c r="X270" s="85"/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</row>
    <row r="271" spans="4:49" ht="15.75" x14ac:dyDescent="0.25">
      <c r="D271" s="3">
        <v>16</v>
      </c>
      <c r="F271" s="16" cm="1">
        <f t="array" ref="F2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71" s="31" cm="1">
        <f t="array" ref="G2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27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71" s="32" t="str">
        <f>TEXT(HLG_01[[#This Row],[Batch]],"000")&amp; " / " &amp; TEXT(HLG_01[[#This Row],[Rit]],"000")</f>
        <v>044 / 012</v>
      </c>
      <c r="J271" s="34"/>
      <c r="K271" s="38"/>
      <c r="L271" s="35"/>
      <c r="M271" s="85"/>
      <c r="N271" s="85"/>
      <c r="O271" s="85"/>
      <c r="P271" s="85"/>
      <c r="Q271" s="85"/>
      <c r="R271" s="85"/>
      <c r="S271" s="98"/>
      <c r="T271" s="98"/>
      <c r="U271" s="98"/>
      <c r="V271" s="95"/>
      <c r="W271" s="95"/>
      <c r="X271" s="85"/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</row>
    <row r="272" spans="4:49" ht="15.75" x14ac:dyDescent="0.25">
      <c r="D272" s="3">
        <v>16</v>
      </c>
      <c r="F272" s="16" cm="1">
        <f t="array" ref="F2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72" s="31" cm="1">
        <f t="array" ref="G2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27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72" s="32" t="str">
        <f>TEXT(HLG_01[[#This Row],[Batch]],"000")&amp; " / " &amp; TEXT(HLG_01[[#This Row],[Rit]],"000")</f>
        <v>044 / 013</v>
      </c>
      <c r="J272" s="34"/>
      <c r="K272" s="38"/>
      <c r="L272" s="35"/>
      <c r="M272" s="85"/>
      <c r="N272" s="85"/>
      <c r="O272" s="85"/>
      <c r="P272" s="85"/>
      <c r="Q272" s="85"/>
      <c r="R272" s="85"/>
      <c r="S272" s="98"/>
      <c r="T272" s="98"/>
      <c r="U272" s="98"/>
      <c r="V272" s="95"/>
      <c r="W272" s="95"/>
      <c r="X272" s="85"/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</row>
    <row r="273" spans="4:49" ht="15.75" x14ac:dyDescent="0.25">
      <c r="D273" s="3">
        <v>16</v>
      </c>
      <c r="F273" s="16" cm="1">
        <f t="array" ref="F2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73" s="31" cm="1">
        <f t="array" ref="G2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27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73" s="32" t="str">
        <f>TEXT(HLG_01[[#This Row],[Batch]],"000")&amp; " / " &amp; TEXT(HLG_01[[#This Row],[Rit]],"000")</f>
        <v>044 / 014</v>
      </c>
      <c r="J273" s="34"/>
      <c r="K273" s="38"/>
      <c r="L273" s="35"/>
      <c r="M273" s="85"/>
      <c r="N273" s="85"/>
      <c r="O273" s="85"/>
      <c r="P273" s="85"/>
      <c r="Q273" s="85"/>
      <c r="R273" s="85"/>
      <c r="S273" s="98"/>
      <c r="T273" s="98"/>
      <c r="U273" s="98"/>
      <c r="V273" s="95"/>
      <c r="W273" s="95"/>
      <c r="X273" s="85"/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</row>
    <row r="274" spans="4:49" ht="15.75" x14ac:dyDescent="0.25">
      <c r="D274" s="3">
        <v>16</v>
      </c>
      <c r="F274" s="16" cm="1">
        <f t="array" ref="F2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74" s="31" cm="1">
        <f t="array" ref="G2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27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74" s="32" t="str">
        <f>TEXT(HLG_01[[#This Row],[Batch]],"000")&amp; " / " &amp; TEXT(HLG_01[[#This Row],[Rit]],"000")</f>
        <v>044 / 015</v>
      </c>
      <c r="J274" s="34"/>
      <c r="K274" s="38"/>
      <c r="L274" s="35"/>
      <c r="M274" s="85"/>
      <c r="N274" s="85"/>
      <c r="O274" s="85"/>
      <c r="P274" s="85"/>
      <c r="Q274" s="85"/>
      <c r="R274" s="85"/>
      <c r="S274" s="98"/>
      <c r="T274" s="98"/>
      <c r="U274" s="98"/>
      <c r="V274" s="95"/>
      <c r="W274" s="95"/>
      <c r="X274" s="85"/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</row>
    <row r="275" spans="4:49" ht="15.75" x14ac:dyDescent="0.25">
      <c r="D275" s="3">
        <v>16</v>
      </c>
      <c r="F275" s="16" cm="1">
        <f t="array" ref="F2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75" s="31" cm="1">
        <f t="array" ref="G2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27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75" s="32" t="str">
        <f>TEXT(HLG_01[[#This Row],[Batch]],"000")&amp; " / " &amp; TEXT(HLG_01[[#This Row],[Rit]],"000")</f>
        <v>044 / 016</v>
      </c>
      <c r="J275" s="34"/>
      <c r="K275" s="38"/>
      <c r="L275" s="35"/>
      <c r="M275" s="85"/>
      <c r="N275" s="85"/>
      <c r="O275" s="85"/>
      <c r="P275" s="85"/>
      <c r="Q275" s="85"/>
      <c r="R275" s="85"/>
      <c r="S275" s="98"/>
      <c r="T275" s="98"/>
      <c r="U275" s="98"/>
      <c r="V275" s="95"/>
      <c r="W275" s="95"/>
      <c r="X275" s="85"/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</row>
    <row r="276" spans="4:49" ht="15.75" x14ac:dyDescent="0.25">
      <c r="D276" s="3">
        <v>16</v>
      </c>
      <c r="F276" s="16" cm="1">
        <f t="array" ref="F2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76" s="31" cm="1">
        <f t="array" ref="G2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27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76" s="32" t="str">
        <f>TEXT(HLG_01[[#This Row],[Batch]],"000")&amp; " / " &amp; TEXT(HLG_01[[#This Row],[Rit]],"000")</f>
        <v>044 / 017</v>
      </c>
      <c r="J276" s="34"/>
      <c r="K276" s="38"/>
      <c r="L276" s="35"/>
      <c r="M276" s="85"/>
      <c r="N276" s="85"/>
      <c r="O276" s="85"/>
      <c r="P276" s="85"/>
      <c r="Q276" s="85"/>
      <c r="R276" s="85"/>
      <c r="S276" s="98"/>
      <c r="T276" s="98"/>
      <c r="U276" s="98"/>
      <c r="V276" s="95"/>
      <c r="W276" s="95"/>
      <c r="X276" s="85"/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</row>
    <row r="277" spans="4:49" ht="15.75" x14ac:dyDescent="0.25">
      <c r="D277" s="3">
        <v>16</v>
      </c>
      <c r="F277" s="16" cm="1">
        <f t="array" ref="F2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77" s="31" cm="1">
        <f t="array" ref="G2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27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77" s="32" t="str">
        <f>TEXT(HLG_01[[#This Row],[Batch]],"000")&amp; " / " &amp; TEXT(HLG_01[[#This Row],[Rit]],"000")</f>
        <v>044 / 018</v>
      </c>
      <c r="J277" s="34"/>
      <c r="K277" s="38"/>
      <c r="L277" s="35"/>
      <c r="M277" s="85"/>
      <c r="N277" s="85"/>
      <c r="O277" s="85"/>
      <c r="P277" s="85"/>
      <c r="Q277" s="85"/>
      <c r="R277" s="85"/>
      <c r="S277" s="98"/>
      <c r="T277" s="98"/>
      <c r="U277" s="98"/>
      <c r="V277" s="95"/>
      <c r="W277" s="95"/>
      <c r="X277" s="85"/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</row>
    <row r="278" spans="4:49" ht="15.75" x14ac:dyDescent="0.25">
      <c r="D278" s="3">
        <v>16</v>
      </c>
      <c r="F278" s="16" cm="1">
        <f t="array" ref="F2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78" s="31" cm="1">
        <f t="array" ref="G2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27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78" s="32" t="str">
        <f>TEXT(HLG_01[[#This Row],[Batch]],"000")&amp; " / " &amp; TEXT(HLG_01[[#This Row],[Rit]],"000")</f>
        <v>044 / 019</v>
      </c>
      <c r="J278" s="34"/>
      <c r="K278" s="38"/>
      <c r="L278" s="35"/>
      <c r="M278" s="85"/>
      <c r="N278" s="85"/>
      <c r="O278" s="85"/>
      <c r="P278" s="85"/>
      <c r="Q278" s="85"/>
      <c r="R278" s="85"/>
      <c r="S278" s="98"/>
      <c r="T278" s="98"/>
      <c r="U278" s="98"/>
      <c r="V278" s="95"/>
      <c r="W278" s="95"/>
      <c r="X278" s="85"/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</row>
    <row r="279" spans="4:49" ht="15.75" x14ac:dyDescent="0.25">
      <c r="D279" s="3">
        <v>16</v>
      </c>
      <c r="F279" s="16" cm="1">
        <f t="array" ref="F2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44</v>
      </c>
      <c r="G279" s="31" cm="1">
        <f t="array" ref="G2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27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79" s="32" t="str">
        <f>TEXT(HLG_01[[#This Row],[Batch]],"000")&amp; " / " &amp; TEXT(HLG_01[[#This Row],[Rit]],"000")</f>
        <v>044 / 020</v>
      </c>
      <c r="J279" s="34"/>
      <c r="K279" s="38"/>
      <c r="L279" s="35"/>
      <c r="M279" s="85"/>
      <c r="N279" s="85"/>
      <c r="O279" s="85"/>
      <c r="P279" s="85"/>
      <c r="Q279" s="85"/>
      <c r="R279" s="85"/>
      <c r="S279" s="98"/>
      <c r="T279" s="98"/>
      <c r="U279" s="98"/>
      <c r="V279" s="95"/>
      <c r="W279" s="95"/>
      <c r="X279" s="85"/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</row>
    <row r="280" spans="4:49" ht="15.75" x14ac:dyDescent="0.25">
      <c r="D280" s="3">
        <v>17</v>
      </c>
      <c r="F280" s="16" cm="1">
        <f t="array" ref="F2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80" s="31" cm="1">
        <f t="array" ref="G2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28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80" s="32" t="str">
        <f>TEXT(HLG_01[[#This Row],[Batch]],"000")&amp; " / " &amp; TEXT(HLG_01[[#This Row],[Rit]],"000")</f>
        <v>045 / 001</v>
      </c>
      <c r="J280" s="34"/>
      <c r="K280" s="38"/>
      <c r="L280" s="35"/>
      <c r="M280" s="85"/>
      <c r="N280" s="85"/>
      <c r="O280" s="85"/>
      <c r="P280" s="85"/>
      <c r="Q280" s="85"/>
      <c r="R280" s="85"/>
      <c r="S280" s="98"/>
      <c r="T280" s="98"/>
      <c r="U280" s="98"/>
      <c r="V280" s="95"/>
      <c r="W280" s="95"/>
      <c r="X280" s="85"/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</row>
    <row r="281" spans="4:49" ht="15.75" x14ac:dyDescent="0.25">
      <c r="D281" s="3">
        <v>17</v>
      </c>
      <c r="F281" s="16" cm="1">
        <f t="array" ref="F2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81" s="31" cm="1">
        <f t="array" ref="G2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28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81" s="32" t="str">
        <f>TEXT(HLG_01[[#This Row],[Batch]],"000")&amp; " / " &amp; TEXT(HLG_01[[#This Row],[Rit]],"000")</f>
        <v>045 / 002</v>
      </c>
      <c r="J281" s="34"/>
      <c r="K281" s="38"/>
      <c r="L281" s="35"/>
      <c r="M281" s="85"/>
      <c r="N281" s="85"/>
      <c r="O281" s="85"/>
      <c r="P281" s="85"/>
      <c r="Q281" s="85"/>
      <c r="R281" s="85"/>
      <c r="S281" s="98"/>
      <c r="T281" s="98"/>
      <c r="U281" s="98"/>
      <c r="V281" s="95"/>
      <c r="W281" s="95"/>
      <c r="X281" s="85"/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</row>
    <row r="282" spans="4:49" ht="15.75" x14ac:dyDescent="0.25">
      <c r="D282" s="3">
        <v>17</v>
      </c>
      <c r="F282" s="16" cm="1">
        <f t="array" ref="F2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82" s="31" cm="1">
        <f t="array" ref="G2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28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82" s="32" t="str">
        <f>TEXT(HLG_01[[#This Row],[Batch]],"000")&amp; " / " &amp; TEXT(HLG_01[[#This Row],[Rit]],"000")</f>
        <v>045 / 003</v>
      </c>
      <c r="J282" s="34"/>
      <c r="K282" s="38"/>
      <c r="L282" s="35"/>
      <c r="M282" s="85"/>
      <c r="N282" s="85"/>
      <c r="O282" s="85"/>
      <c r="P282" s="85"/>
      <c r="Q282" s="85"/>
      <c r="R282" s="85"/>
      <c r="S282" s="98"/>
      <c r="T282" s="98"/>
      <c r="U282" s="98"/>
      <c r="V282" s="95"/>
      <c r="W282" s="95"/>
      <c r="X282" s="85"/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</row>
    <row r="283" spans="4:49" ht="15.75" x14ac:dyDescent="0.25">
      <c r="D283" s="3">
        <v>17</v>
      </c>
      <c r="F283" s="16" cm="1">
        <f t="array" ref="F2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83" s="31" cm="1">
        <f t="array" ref="G2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28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83" s="32" t="str">
        <f>TEXT(HLG_01[[#This Row],[Batch]],"000")&amp; " / " &amp; TEXT(HLG_01[[#This Row],[Rit]],"000")</f>
        <v>045 / 004</v>
      </c>
      <c r="J283" s="34"/>
      <c r="K283" s="38"/>
      <c r="L283" s="35"/>
      <c r="M283" s="85"/>
      <c r="N283" s="85"/>
      <c r="O283" s="85"/>
      <c r="P283" s="85"/>
      <c r="Q283" s="85"/>
      <c r="R283" s="85"/>
      <c r="S283" s="98"/>
      <c r="T283" s="98"/>
      <c r="U283" s="98"/>
      <c r="V283" s="95"/>
      <c r="W283" s="95"/>
      <c r="X283" s="85"/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</row>
    <row r="284" spans="4:49" ht="15.75" x14ac:dyDescent="0.25">
      <c r="D284" s="3">
        <v>17</v>
      </c>
      <c r="F284" s="16" cm="1">
        <f t="array" ref="F2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84" s="31" cm="1">
        <f t="array" ref="G2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28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84" s="32" t="str">
        <f>TEXT(HLG_01[[#This Row],[Batch]],"000")&amp; " / " &amp; TEXT(HLG_01[[#This Row],[Rit]],"000")</f>
        <v>045 / 005</v>
      </c>
      <c r="J284" s="34"/>
      <c r="K284" s="38"/>
      <c r="L284" s="35"/>
      <c r="M284" s="85"/>
      <c r="N284" s="85"/>
      <c r="O284" s="85"/>
      <c r="P284" s="85"/>
      <c r="Q284" s="85"/>
      <c r="R284" s="85"/>
      <c r="S284" s="98"/>
      <c r="T284" s="98"/>
      <c r="U284" s="98"/>
      <c r="V284" s="95"/>
      <c r="W284" s="95"/>
      <c r="X284" s="85"/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</row>
    <row r="285" spans="4:49" ht="15.75" x14ac:dyDescent="0.25">
      <c r="D285" s="3">
        <v>17</v>
      </c>
      <c r="F285" s="16" cm="1">
        <f t="array" ref="F2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85" s="31" cm="1">
        <f t="array" ref="G2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28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85" s="32" t="str">
        <f>TEXT(HLG_01[[#This Row],[Batch]],"000")&amp; " / " &amp; TEXT(HLG_01[[#This Row],[Rit]],"000")</f>
        <v>045 / 006</v>
      </c>
      <c r="J285" s="34"/>
      <c r="K285" s="38"/>
      <c r="L285" s="35"/>
      <c r="M285" s="85"/>
      <c r="N285" s="85"/>
      <c r="O285" s="85"/>
      <c r="P285" s="85"/>
      <c r="Q285" s="85"/>
      <c r="R285" s="85"/>
      <c r="S285" s="98"/>
      <c r="T285" s="98"/>
      <c r="U285" s="98"/>
      <c r="V285" s="95"/>
      <c r="W285" s="95"/>
      <c r="X285" s="85"/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</row>
    <row r="286" spans="4:49" ht="15.75" x14ac:dyDescent="0.25">
      <c r="D286" s="3">
        <v>17</v>
      </c>
      <c r="F286" s="16" cm="1">
        <f t="array" ref="F2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86" s="31" cm="1">
        <f t="array" ref="G2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28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86" s="32" t="str">
        <f>TEXT(HLG_01[[#This Row],[Batch]],"000")&amp; " / " &amp; TEXT(HLG_01[[#This Row],[Rit]],"000")</f>
        <v>045 / 007</v>
      </c>
      <c r="J286" s="34"/>
      <c r="K286" s="38"/>
      <c r="L286" s="35"/>
      <c r="M286" s="85"/>
      <c r="N286" s="85"/>
      <c r="O286" s="85"/>
      <c r="P286" s="85"/>
      <c r="Q286" s="85"/>
      <c r="R286" s="85"/>
      <c r="S286" s="98"/>
      <c r="T286" s="98"/>
      <c r="U286" s="98"/>
      <c r="V286" s="95"/>
      <c r="W286" s="95"/>
      <c r="X286" s="85"/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</row>
    <row r="287" spans="4:49" ht="15.75" x14ac:dyDescent="0.25">
      <c r="D287" s="3">
        <v>17</v>
      </c>
      <c r="F287" s="16" cm="1">
        <f t="array" ref="F2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87" s="31" cm="1">
        <f t="array" ref="G2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28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87" s="32" t="str">
        <f>TEXT(HLG_01[[#This Row],[Batch]],"000")&amp; " / " &amp; TEXT(HLG_01[[#This Row],[Rit]],"000")</f>
        <v>045 / 008</v>
      </c>
      <c r="J287" s="34"/>
      <c r="K287" s="38"/>
      <c r="L287" s="35"/>
      <c r="M287" s="85"/>
      <c r="N287" s="85"/>
      <c r="O287" s="85"/>
      <c r="P287" s="85"/>
      <c r="Q287" s="85"/>
      <c r="R287" s="85"/>
      <c r="S287" s="98"/>
      <c r="T287" s="98"/>
      <c r="U287" s="98"/>
      <c r="V287" s="95"/>
      <c r="W287" s="95"/>
      <c r="X287" s="85"/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</row>
    <row r="288" spans="4:49" ht="15.75" x14ac:dyDescent="0.25">
      <c r="D288" s="3">
        <v>17</v>
      </c>
      <c r="F288" s="16" cm="1">
        <f t="array" ref="F2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88" s="31" cm="1">
        <f t="array" ref="G2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28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88" s="32" t="str">
        <f>TEXT(HLG_01[[#This Row],[Batch]],"000")&amp; " / " &amp; TEXT(HLG_01[[#This Row],[Rit]],"000")</f>
        <v>045 / 009</v>
      </c>
      <c r="J288" s="34"/>
      <c r="K288" s="38"/>
      <c r="L288" s="35"/>
      <c r="M288" s="85"/>
      <c r="N288" s="85"/>
      <c r="O288" s="85"/>
      <c r="P288" s="85"/>
      <c r="Q288" s="85"/>
      <c r="R288" s="85"/>
      <c r="S288" s="98"/>
      <c r="T288" s="98"/>
      <c r="U288" s="98"/>
      <c r="V288" s="95"/>
      <c r="W288" s="95"/>
      <c r="X288" s="85"/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</row>
    <row r="289" spans="4:49" ht="15.75" x14ac:dyDescent="0.25">
      <c r="D289" s="3">
        <v>17</v>
      </c>
      <c r="F289" s="16" cm="1">
        <f t="array" ref="F2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89" s="31" cm="1">
        <f t="array" ref="G2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28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89" s="32" t="str">
        <f>TEXT(HLG_01[[#This Row],[Batch]],"000")&amp; " / " &amp; TEXT(HLG_01[[#This Row],[Rit]],"000")</f>
        <v>045 / 010</v>
      </c>
      <c r="J289" s="34"/>
      <c r="K289" s="38"/>
      <c r="L289" s="35"/>
      <c r="M289" s="85"/>
      <c r="N289" s="85"/>
      <c r="O289" s="85"/>
      <c r="P289" s="85"/>
      <c r="Q289" s="85"/>
      <c r="R289" s="85"/>
      <c r="S289" s="98"/>
      <c r="T289" s="98"/>
      <c r="U289" s="98"/>
      <c r="V289" s="95"/>
      <c r="W289" s="95"/>
      <c r="X289" s="85"/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</row>
    <row r="290" spans="4:49" ht="15.75" x14ac:dyDescent="0.25">
      <c r="D290" s="3">
        <v>17</v>
      </c>
      <c r="F290" s="16" cm="1">
        <f t="array" ref="F2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90" s="31" cm="1">
        <f t="array" ref="G2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29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90" s="32" t="str">
        <f>TEXT(HLG_01[[#This Row],[Batch]],"000")&amp; " / " &amp; TEXT(HLG_01[[#This Row],[Rit]],"000")</f>
        <v>045 / 011</v>
      </c>
      <c r="J290" s="34"/>
      <c r="K290" s="38"/>
      <c r="L290" s="35"/>
      <c r="M290" s="85"/>
      <c r="N290" s="85"/>
      <c r="O290" s="85"/>
      <c r="P290" s="85"/>
      <c r="Q290" s="85"/>
      <c r="R290" s="85"/>
      <c r="S290" s="98"/>
      <c r="T290" s="98"/>
      <c r="U290" s="98"/>
      <c r="V290" s="95"/>
      <c r="W290" s="95"/>
      <c r="X290" s="85"/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</row>
    <row r="291" spans="4:49" ht="15.75" x14ac:dyDescent="0.25">
      <c r="D291" s="3">
        <v>17</v>
      </c>
      <c r="F291" s="16" cm="1">
        <f t="array" ref="F2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91" s="31" cm="1">
        <f t="array" ref="G2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29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91" s="32" t="str">
        <f>TEXT(HLG_01[[#This Row],[Batch]],"000")&amp; " / " &amp; TEXT(HLG_01[[#This Row],[Rit]],"000")</f>
        <v>045 / 012</v>
      </c>
      <c r="J291" s="34"/>
      <c r="K291" s="38"/>
      <c r="L291" s="35"/>
      <c r="M291" s="85"/>
      <c r="N291" s="85"/>
      <c r="O291" s="85"/>
      <c r="P291" s="85"/>
      <c r="Q291" s="85"/>
      <c r="R291" s="85"/>
      <c r="S291" s="98"/>
      <c r="T291" s="98"/>
      <c r="U291" s="98"/>
      <c r="V291" s="95"/>
      <c r="W291" s="95"/>
      <c r="X291" s="85"/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</row>
    <row r="292" spans="4:49" ht="15.75" x14ac:dyDescent="0.25">
      <c r="D292" s="3">
        <v>17</v>
      </c>
      <c r="F292" s="16" cm="1">
        <f t="array" ref="F2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92" s="31" cm="1">
        <f t="array" ref="G2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29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92" s="32" t="str">
        <f>TEXT(HLG_01[[#This Row],[Batch]],"000")&amp; " / " &amp; TEXT(HLG_01[[#This Row],[Rit]],"000")</f>
        <v>045 / 013</v>
      </c>
      <c r="J292" s="34"/>
      <c r="K292" s="38"/>
      <c r="L292" s="35"/>
      <c r="M292" s="85"/>
      <c r="N292" s="85"/>
      <c r="O292" s="85"/>
      <c r="P292" s="85"/>
      <c r="Q292" s="85"/>
      <c r="R292" s="85"/>
      <c r="S292" s="98"/>
      <c r="T292" s="98"/>
      <c r="U292" s="98"/>
      <c r="V292" s="95"/>
      <c r="W292" s="95"/>
      <c r="X292" s="85"/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</row>
    <row r="293" spans="4:49" ht="15.75" x14ac:dyDescent="0.25">
      <c r="D293" s="3">
        <v>17</v>
      </c>
      <c r="F293" s="16" cm="1">
        <f t="array" ref="F2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93" s="31" cm="1">
        <f t="array" ref="G2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29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93" s="32" t="str">
        <f>TEXT(HLG_01[[#This Row],[Batch]],"000")&amp; " / " &amp; TEXT(HLG_01[[#This Row],[Rit]],"000")</f>
        <v>045 / 014</v>
      </c>
      <c r="J293" s="34"/>
      <c r="K293" s="38"/>
      <c r="L293" s="35"/>
      <c r="M293" s="85"/>
      <c r="N293" s="85"/>
      <c r="O293" s="85"/>
      <c r="P293" s="85"/>
      <c r="Q293" s="85"/>
      <c r="R293" s="85"/>
      <c r="S293" s="98"/>
      <c r="T293" s="98"/>
      <c r="U293" s="98"/>
      <c r="V293" s="95"/>
      <c r="W293" s="95"/>
      <c r="X293" s="85"/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</row>
    <row r="294" spans="4:49" ht="15.75" x14ac:dyDescent="0.25">
      <c r="D294" s="3">
        <v>17</v>
      </c>
      <c r="F294" s="16" cm="1">
        <f t="array" ref="F2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94" s="31" cm="1">
        <f t="array" ref="G2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29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94" s="32" t="str">
        <f>TEXT(HLG_01[[#This Row],[Batch]],"000")&amp; " / " &amp; TEXT(HLG_01[[#This Row],[Rit]],"000")</f>
        <v>045 / 015</v>
      </c>
      <c r="J294" s="34"/>
      <c r="K294" s="38"/>
      <c r="L294" s="35"/>
      <c r="M294" s="85"/>
      <c r="N294" s="85"/>
      <c r="O294" s="85"/>
      <c r="P294" s="85"/>
      <c r="Q294" s="85"/>
      <c r="R294" s="85"/>
      <c r="S294" s="98"/>
      <c r="T294" s="98"/>
      <c r="U294" s="98"/>
      <c r="V294" s="95"/>
      <c r="W294" s="95"/>
      <c r="X294" s="85"/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</row>
    <row r="295" spans="4:49" ht="15.75" x14ac:dyDescent="0.25">
      <c r="D295" s="3">
        <v>17</v>
      </c>
      <c r="F295" s="16" cm="1">
        <f t="array" ref="F2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95" s="31" cm="1">
        <f t="array" ref="G2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29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95" s="32" t="str">
        <f>TEXT(HLG_01[[#This Row],[Batch]],"000")&amp; " / " &amp; TEXT(HLG_01[[#This Row],[Rit]],"000")</f>
        <v>045 / 016</v>
      </c>
      <c r="J295" s="34"/>
      <c r="K295" s="38"/>
      <c r="L295" s="35"/>
      <c r="M295" s="85"/>
      <c r="N295" s="85"/>
      <c r="O295" s="85"/>
      <c r="P295" s="85"/>
      <c r="Q295" s="85"/>
      <c r="R295" s="85"/>
      <c r="S295" s="98"/>
      <c r="T295" s="98"/>
      <c r="U295" s="98"/>
      <c r="V295" s="95"/>
      <c r="W295" s="95"/>
      <c r="X295" s="85"/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</row>
    <row r="296" spans="4:49" ht="15.75" x14ac:dyDescent="0.25">
      <c r="D296" s="3">
        <v>17</v>
      </c>
      <c r="F296" s="16" cm="1">
        <f t="array" ref="F2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96" s="31" cm="1">
        <f t="array" ref="G2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29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96" s="32" t="str">
        <f>TEXT(HLG_01[[#This Row],[Batch]],"000")&amp; " / " &amp; TEXT(HLG_01[[#This Row],[Rit]],"000")</f>
        <v>045 / 017</v>
      </c>
      <c r="J296" s="34"/>
      <c r="K296" s="38"/>
      <c r="L296" s="35"/>
      <c r="M296" s="85"/>
      <c r="N296" s="85"/>
      <c r="O296" s="85"/>
      <c r="P296" s="85"/>
      <c r="Q296" s="85"/>
      <c r="R296" s="85"/>
      <c r="S296" s="98"/>
      <c r="T296" s="98"/>
      <c r="U296" s="98"/>
      <c r="V296" s="95"/>
      <c r="W296" s="95"/>
      <c r="X296" s="85"/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</row>
    <row r="297" spans="4:49" ht="15.75" x14ac:dyDescent="0.25">
      <c r="D297" s="3">
        <v>17</v>
      </c>
      <c r="F297" s="16" cm="1">
        <f t="array" ref="F2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97" s="31" cm="1">
        <f t="array" ref="G2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29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97" s="32" t="str">
        <f>TEXT(HLG_01[[#This Row],[Batch]],"000")&amp; " / " &amp; TEXT(HLG_01[[#This Row],[Rit]],"000")</f>
        <v>045 / 018</v>
      </c>
      <c r="J297" s="34"/>
      <c r="K297" s="38"/>
      <c r="L297" s="35"/>
      <c r="M297" s="85"/>
      <c r="N297" s="85"/>
      <c r="O297" s="85"/>
      <c r="P297" s="85"/>
      <c r="Q297" s="85"/>
      <c r="R297" s="85"/>
      <c r="S297" s="98"/>
      <c r="T297" s="98"/>
      <c r="U297" s="98"/>
      <c r="V297" s="95"/>
      <c r="W297" s="95"/>
      <c r="X297" s="85"/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</row>
    <row r="298" spans="4:49" ht="15.75" x14ac:dyDescent="0.25">
      <c r="D298" s="3">
        <v>17</v>
      </c>
      <c r="F298" s="16" cm="1">
        <f t="array" ref="F2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98" s="31" cm="1">
        <f t="array" ref="G2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29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298" s="32" t="str">
        <f>TEXT(HLG_01[[#This Row],[Batch]],"000")&amp; " / " &amp; TEXT(HLG_01[[#This Row],[Rit]],"000")</f>
        <v>045 / 019</v>
      </c>
      <c r="J298" s="34"/>
      <c r="K298" s="38"/>
      <c r="L298" s="35"/>
      <c r="M298" s="85"/>
      <c r="N298" s="85"/>
      <c r="O298" s="85"/>
      <c r="P298" s="85"/>
      <c r="Q298" s="85"/>
      <c r="R298" s="85"/>
      <c r="S298" s="98"/>
      <c r="T298" s="98"/>
      <c r="U298" s="98"/>
      <c r="V298" s="95"/>
      <c r="W298" s="95"/>
      <c r="X298" s="85"/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</row>
    <row r="299" spans="4:49" ht="15.75" x14ac:dyDescent="0.25">
      <c r="D299" s="3">
        <v>17</v>
      </c>
      <c r="F299" s="16" cm="1">
        <f t="array" ref="F2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45</v>
      </c>
      <c r="G299" s="31" cm="1">
        <f t="array" ref="G2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29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299" s="32" t="str">
        <f>TEXT(HLG_01[[#This Row],[Batch]],"000")&amp; " / " &amp; TEXT(HLG_01[[#This Row],[Rit]],"000")</f>
        <v>045 / 020</v>
      </c>
      <c r="J299" s="34"/>
      <c r="K299" s="38"/>
      <c r="L299" s="35"/>
      <c r="M299" s="85"/>
      <c r="N299" s="85"/>
      <c r="O299" s="85"/>
      <c r="P299" s="85"/>
      <c r="Q299" s="85"/>
      <c r="R299" s="85"/>
      <c r="S299" s="98"/>
      <c r="T299" s="98"/>
      <c r="U299" s="98"/>
      <c r="V299" s="95"/>
      <c r="W299" s="95"/>
      <c r="X299" s="85"/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</row>
    <row r="300" spans="4:49" ht="15.75" x14ac:dyDescent="0.25">
      <c r="D300" s="3">
        <v>18</v>
      </c>
      <c r="F300" s="16" cm="1">
        <f t="array" ref="F3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00" s="31" cm="1">
        <f t="array" ref="G3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30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00" s="32" t="str">
        <f>TEXT(HLG_01[[#This Row],[Batch]],"000")&amp; " / " &amp; TEXT(HLG_01[[#This Row],[Rit]],"000")</f>
        <v>046 / 001</v>
      </c>
      <c r="J300" s="34"/>
      <c r="K300" s="38"/>
      <c r="L300" s="35"/>
      <c r="M300" s="85"/>
      <c r="N300" s="85"/>
      <c r="O300" s="85"/>
      <c r="P300" s="85"/>
      <c r="Q300" s="85"/>
      <c r="R300" s="85"/>
      <c r="S300" s="98"/>
      <c r="T300" s="98"/>
      <c r="U300" s="98"/>
      <c r="V300" s="95"/>
      <c r="W300" s="95"/>
      <c r="X300" s="85"/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</row>
    <row r="301" spans="4:49" ht="15.75" x14ac:dyDescent="0.25">
      <c r="D301" s="3">
        <v>18</v>
      </c>
      <c r="F301" s="16" cm="1">
        <f t="array" ref="F3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01" s="31" cm="1">
        <f t="array" ref="G3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30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01" s="32" t="str">
        <f>TEXT(HLG_01[[#This Row],[Batch]],"000")&amp; " / " &amp; TEXT(HLG_01[[#This Row],[Rit]],"000")</f>
        <v>046 / 002</v>
      </c>
      <c r="J301" s="34"/>
      <c r="K301" s="38"/>
      <c r="L301" s="35"/>
      <c r="M301" s="85"/>
      <c r="N301" s="85"/>
      <c r="O301" s="85"/>
      <c r="P301" s="85"/>
      <c r="Q301" s="85"/>
      <c r="R301" s="85"/>
      <c r="S301" s="98"/>
      <c r="T301" s="98"/>
      <c r="U301" s="98"/>
      <c r="V301" s="95"/>
      <c r="W301" s="95"/>
      <c r="X301" s="85"/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</row>
    <row r="302" spans="4:49" ht="15.75" x14ac:dyDescent="0.25">
      <c r="D302" s="3">
        <v>18</v>
      </c>
      <c r="F302" s="16" cm="1">
        <f t="array" ref="F3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02" s="31" cm="1">
        <f t="array" ref="G3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30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02" s="32" t="str">
        <f>TEXT(HLG_01[[#This Row],[Batch]],"000")&amp; " / " &amp; TEXT(HLG_01[[#This Row],[Rit]],"000")</f>
        <v>046 / 003</v>
      </c>
      <c r="J302" s="34"/>
      <c r="K302" s="38"/>
      <c r="L302" s="35"/>
      <c r="M302" s="85"/>
      <c r="N302" s="85"/>
      <c r="O302" s="85"/>
      <c r="P302" s="85"/>
      <c r="Q302" s="85"/>
      <c r="R302" s="85"/>
      <c r="S302" s="98"/>
      <c r="T302" s="98"/>
      <c r="U302" s="98"/>
      <c r="V302" s="95"/>
      <c r="W302" s="95"/>
      <c r="X302" s="85"/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</row>
    <row r="303" spans="4:49" ht="15.75" x14ac:dyDescent="0.25">
      <c r="D303" s="3">
        <v>18</v>
      </c>
      <c r="F303" s="16" cm="1">
        <f t="array" ref="F3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03" s="31" cm="1">
        <f t="array" ref="G3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30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03" s="32" t="str">
        <f>TEXT(HLG_01[[#This Row],[Batch]],"000")&amp; " / " &amp; TEXT(HLG_01[[#This Row],[Rit]],"000")</f>
        <v>046 / 004</v>
      </c>
      <c r="J303" s="34"/>
      <c r="K303" s="38"/>
      <c r="L303" s="35"/>
      <c r="M303" s="85"/>
      <c r="N303" s="85"/>
      <c r="O303" s="85"/>
      <c r="P303" s="85"/>
      <c r="Q303" s="85"/>
      <c r="R303" s="85"/>
      <c r="S303" s="98"/>
      <c r="T303" s="98"/>
      <c r="U303" s="98"/>
      <c r="V303" s="95"/>
      <c r="W303" s="95"/>
      <c r="X303" s="85"/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</row>
    <row r="304" spans="4:49" ht="15.75" x14ac:dyDescent="0.25">
      <c r="D304" s="3">
        <v>18</v>
      </c>
      <c r="F304" s="16" cm="1">
        <f t="array" ref="F3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04" s="31" cm="1">
        <f t="array" ref="G3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30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04" s="32" t="str">
        <f>TEXT(HLG_01[[#This Row],[Batch]],"000")&amp; " / " &amp; TEXT(HLG_01[[#This Row],[Rit]],"000")</f>
        <v>046 / 005</v>
      </c>
      <c r="J304" s="34"/>
      <c r="K304" s="38"/>
      <c r="L304" s="35"/>
      <c r="M304" s="85"/>
      <c r="N304" s="85"/>
      <c r="O304" s="85"/>
      <c r="P304" s="85"/>
      <c r="Q304" s="85"/>
      <c r="R304" s="85"/>
      <c r="S304" s="98"/>
      <c r="T304" s="98"/>
      <c r="U304" s="98"/>
      <c r="V304" s="95"/>
      <c r="W304" s="95"/>
      <c r="X304" s="85"/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</row>
    <row r="305" spans="4:49" ht="15.75" x14ac:dyDescent="0.25">
      <c r="D305" s="3">
        <v>18</v>
      </c>
      <c r="F305" s="16" cm="1">
        <f t="array" ref="F3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05" s="31" cm="1">
        <f t="array" ref="G3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30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05" s="32" t="str">
        <f>TEXT(HLG_01[[#This Row],[Batch]],"000")&amp; " / " &amp; TEXT(HLG_01[[#This Row],[Rit]],"000")</f>
        <v>046 / 006</v>
      </c>
      <c r="J305" s="34"/>
      <c r="K305" s="38"/>
      <c r="L305" s="35"/>
      <c r="M305" s="85"/>
      <c r="N305" s="85"/>
      <c r="O305" s="85"/>
      <c r="P305" s="85"/>
      <c r="Q305" s="85"/>
      <c r="R305" s="85"/>
      <c r="S305" s="98"/>
      <c r="T305" s="98"/>
      <c r="U305" s="98"/>
      <c r="V305" s="95"/>
      <c r="W305" s="95"/>
      <c r="X305" s="85"/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</row>
    <row r="306" spans="4:49" ht="15.75" x14ac:dyDescent="0.25">
      <c r="D306" s="3">
        <v>18</v>
      </c>
      <c r="F306" s="16" cm="1">
        <f t="array" ref="F3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06" s="31" cm="1">
        <f t="array" ref="G3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30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06" s="32" t="str">
        <f>TEXT(HLG_01[[#This Row],[Batch]],"000")&amp; " / " &amp; TEXT(HLG_01[[#This Row],[Rit]],"000")</f>
        <v>046 / 007</v>
      </c>
      <c r="J306" s="34"/>
      <c r="K306" s="38"/>
      <c r="L306" s="35"/>
      <c r="M306" s="85"/>
      <c r="N306" s="85"/>
      <c r="O306" s="85"/>
      <c r="P306" s="85"/>
      <c r="Q306" s="85"/>
      <c r="R306" s="85"/>
      <c r="S306" s="98"/>
      <c r="T306" s="98"/>
      <c r="U306" s="98"/>
      <c r="V306" s="95"/>
      <c r="W306" s="95"/>
      <c r="X306" s="85"/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</row>
    <row r="307" spans="4:49" ht="15.75" x14ac:dyDescent="0.25">
      <c r="D307" s="3">
        <v>18</v>
      </c>
      <c r="F307" s="16" cm="1">
        <f t="array" ref="F3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07" s="31" cm="1">
        <f t="array" ref="G3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30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07" s="32" t="str">
        <f>TEXT(HLG_01[[#This Row],[Batch]],"000")&amp; " / " &amp; TEXT(HLG_01[[#This Row],[Rit]],"000")</f>
        <v>046 / 008</v>
      </c>
      <c r="J307" s="34"/>
      <c r="K307" s="38"/>
      <c r="L307" s="35"/>
      <c r="M307" s="85"/>
      <c r="N307" s="85"/>
      <c r="O307" s="85"/>
      <c r="P307" s="85"/>
      <c r="Q307" s="85"/>
      <c r="R307" s="85"/>
      <c r="S307" s="98"/>
      <c r="T307" s="98"/>
      <c r="U307" s="98"/>
      <c r="V307" s="95"/>
      <c r="W307" s="95"/>
      <c r="X307" s="85"/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</row>
    <row r="308" spans="4:49" ht="15.75" x14ac:dyDescent="0.25">
      <c r="D308" s="3">
        <v>18</v>
      </c>
      <c r="F308" s="16" cm="1">
        <f t="array" ref="F3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08" s="31" cm="1">
        <f t="array" ref="G3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30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08" s="32" t="str">
        <f>TEXT(HLG_01[[#This Row],[Batch]],"000")&amp; " / " &amp; TEXT(HLG_01[[#This Row],[Rit]],"000")</f>
        <v>046 / 009</v>
      </c>
      <c r="J308" s="34"/>
      <c r="K308" s="38"/>
      <c r="L308" s="35"/>
      <c r="M308" s="85"/>
      <c r="N308" s="85"/>
      <c r="O308" s="85"/>
      <c r="P308" s="85"/>
      <c r="Q308" s="85"/>
      <c r="R308" s="85"/>
      <c r="S308" s="98"/>
      <c r="T308" s="98"/>
      <c r="U308" s="98"/>
      <c r="V308" s="95"/>
      <c r="W308" s="95"/>
      <c r="X308" s="85"/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</row>
    <row r="309" spans="4:49" ht="15.75" x14ac:dyDescent="0.25">
      <c r="D309" s="3">
        <v>18</v>
      </c>
      <c r="F309" s="16" cm="1">
        <f t="array" ref="F3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09" s="31" cm="1">
        <f t="array" ref="G3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30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09" s="32" t="str">
        <f>TEXT(HLG_01[[#This Row],[Batch]],"000")&amp; " / " &amp; TEXT(HLG_01[[#This Row],[Rit]],"000")</f>
        <v>046 / 010</v>
      </c>
      <c r="J309" s="34"/>
      <c r="K309" s="38"/>
      <c r="L309" s="35"/>
      <c r="M309" s="85"/>
      <c r="N309" s="85"/>
      <c r="O309" s="85"/>
      <c r="P309" s="85"/>
      <c r="Q309" s="85"/>
      <c r="R309" s="85"/>
      <c r="S309" s="98"/>
      <c r="T309" s="98"/>
      <c r="U309" s="98"/>
      <c r="V309" s="95"/>
      <c r="W309" s="95"/>
      <c r="X309" s="85"/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</row>
    <row r="310" spans="4:49" ht="15.75" x14ac:dyDescent="0.25">
      <c r="D310" s="3">
        <v>18</v>
      </c>
      <c r="F310" s="16" cm="1">
        <f t="array" ref="F3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10" s="31" cm="1">
        <f t="array" ref="G3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31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10" s="32" t="str">
        <f>TEXT(HLG_01[[#This Row],[Batch]],"000")&amp; " / " &amp; TEXT(HLG_01[[#This Row],[Rit]],"000")</f>
        <v>046 / 011</v>
      </c>
      <c r="J310" s="34"/>
      <c r="K310" s="38"/>
      <c r="L310" s="35"/>
      <c r="M310" s="85"/>
      <c r="N310" s="85"/>
      <c r="O310" s="85"/>
      <c r="P310" s="85"/>
      <c r="Q310" s="85"/>
      <c r="R310" s="85"/>
      <c r="S310" s="98"/>
      <c r="T310" s="98"/>
      <c r="U310" s="98"/>
      <c r="V310" s="95"/>
      <c r="W310" s="95"/>
      <c r="X310" s="85"/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</row>
    <row r="311" spans="4:49" ht="15.75" x14ac:dyDescent="0.25">
      <c r="D311" s="3">
        <v>18</v>
      </c>
      <c r="F311" s="16" cm="1">
        <f t="array" ref="F3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11" s="31" cm="1">
        <f t="array" ref="G3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31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11" s="32" t="str">
        <f>TEXT(HLG_01[[#This Row],[Batch]],"000")&amp; " / " &amp; TEXT(HLG_01[[#This Row],[Rit]],"000")</f>
        <v>046 / 012</v>
      </c>
      <c r="J311" s="34"/>
      <c r="K311" s="38"/>
      <c r="L311" s="35"/>
      <c r="M311" s="85"/>
      <c r="N311" s="85"/>
      <c r="O311" s="85"/>
      <c r="P311" s="85"/>
      <c r="Q311" s="85"/>
      <c r="R311" s="85"/>
      <c r="S311" s="98"/>
      <c r="T311" s="98"/>
      <c r="U311" s="98"/>
      <c r="V311" s="95"/>
      <c r="W311" s="95"/>
      <c r="X311" s="85"/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</row>
    <row r="312" spans="4:49" ht="15.75" x14ac:dyDescent="0.25">
      <c r="D312" s="3">
        <v>18</v>
      </c>
      <c r="F312" s="16" cm="1">
        <f t="array" ref="F3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12" s="31" cm="1">
        <f t="array" ref="G3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31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12" s="32" t="str">
        <f>TEXT(HLG_01[[#This Row],[Batch]],"000")&amp; " / " &amp; TEXT(HLG_01[[#This Row],[Rit]],"000")</f>
        <v>046 / 013</v>
      </c>
      <c r="J312" s="34"/>
      <c r="K312" s="38"/>
      <c r="L312" s="35"/>
      <c r="M312" s="85"/>
      <c r="N312" s="85"/>
      <c r="O312" s="85"/>
      <c r="P312" s="85"/>
      <c r="Q312" s="85"/>
      <c r="R312" s="85"/>
      <c r="S312" s="98"/>
      <c r="T312" s="98"/>
      <c r="U312" s="98"/>
      <c r="V312" s="95"/>
      <c r="W312" s="95"/>
      <c r="X312" s="85"/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</row>
    <row r="313" spans="4:49" ht="15.75" x14ac:dyDescent="0.25">
      <c r="D313" s="3">
        <v>18</v>
      </c>
      <c r="F313" s="16" cm="1">
        <f t="array" ref="F3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13" s="31" cm="1">
        <f t="array" ref="G3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31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13" s="32" t="str">
        <f>TEXT(HLG_01[[#This Row],[Batch]],"000")&amp; " / " &amp; TEXT(HLG_01[[#This Row],[Rit]],"000")</f>
        <v>046 / 014</v>
      </c>
      <c r="J313" s="34"/>
      <c r="K313" s="38"/>
      <c r="L313" s="35"/>
      <c r="M313" s="85"/>
      <c r="N313" s="85"/>
      <c r="O313" s="85"/>
      <c r="P313" s="85"/>
      <c r="Q313" s="85"/>
      <c r="R313" s="85"/>
      <c r="S313" s="98"/>
      <c r="T313" s="98"/>
      <c r="U313" s="98"/>
      <c r="V313" s="95"/>
      <c r="W313" s="95"/>
      <c r="X313" s="85"/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</row>
    <row r="314" spans="4:49" ht="15.75" x14ac:dyDescent="0.25">
      <c r="D314" s="3">
        <v>18</v>
      </c>
      <c r="F314" s="16" cm="1">
        <f t="array" ref="F3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14" s="31" cm="1">
        <f t="array" ref="G3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31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14" s="32" t="str">
        <f>TEXT(HLG_01[[#This Row],[Batch]],"000")&amp; " / " &amp; TEXT(HLG_01[[#This Row],[Rit]],"000")</f>
        <v>046 / 015</v>
      </c>
      <c r="J314" s="34"/>
      <c r="K314" s="38"/>
      <c r="L314" s="35"/>
      <c r="M314" s="85"/>
      <c r="N314" s="85"/>
      <c r="O314" s="85"/>
      <c r="P314" s="85"/>
      <c r="Q314" s="85"/>
      <c r="R314" s="85"/>
      <c r="S314" s="98"/>
      <c r="T314" s="98"/>
      <c r="U314" s="98"/>
      <c r="V314" s="95"/>
      <c r="W314" s="95"/>
      <c r="X314" s="85"/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</row>
    <row r="315" spans="4:49" ht="15.75" x14ac:dyDescent="0.25">
      <c r="D315" s="3">
        <v>18</v>
      </c>
      <c r="F315" s="16" cm="1">
        <f t="array" ref="F3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15" s="31" cm="1">
        <f t="array" ref="G3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31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15" s="32" t="str">
        <f>TEXT(HLG_01[[#This Row],[Batch]],"000")&amp; " / " &amp; TEXT(HLG_01[[#This Row],[Rit]],"000")</f>
        <v>046 / 016</v>
      </c>
      <c r="J315" s="34"/>
      <c r="K315" s="38"/>
      <c r="L315" s="35"/>
      <c r="M315" s="85"/>
      <c r="N315" s="85"/>
      <c r="O315" s="85"/>
      <c r="P315" s="85"/>
      <c r="Q315" s="85"/>
      <c r="R315" s="85"/>
      <c r="S315" s="98"/>
      <c r="T315" s="98"/>
      <c r="U315" s="98"/>
      <c r="V315" s="95"/>
      <c r="W315" s="95"/>
      <c r="X315" s="85"/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</row>
    <row r="316" spans="4:49" ht="15.75" x14ac:dyDescent="0.25">
      <c r="D316" s="3">
        <v>18</v>
      </c>
      <c r="F316" s="16" cm="1">
        <f t="array" ref="F3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16" s="31" cm="1">
        <f t="array" ref="G3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31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16" s="32" t="str">
        <f>TEXT(HLG_01[[#This Row],[Batch]],"000")&amp; " / " &amp; TEXT(HLG_01[[#This Row],[Rit]],"000")</f>
        <v>046 / 017</v>
      </c>
      <c r="J316" s="34"/>
      <c r="K316" s="38"/>
      <c r="L316" s="35"/>
      <c r="M316" s="85"/>
      <c r="N316" s="85"/>
      <c r="O316" s="85"/>
      <c r="P316" s="85"/>
      <c r="Q316" s="85"/>
      <c r="R316" s="85"/>
      <c r="S316" s="98"/>
      <c r="T316" s="98"/>
      <c r="U316" s="98"/>
      <c r="V316" s="95"/>
      <c r="W316" s="95"/>
      <c r="X316" s="85"/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</row>
    <row r="317" spans="4:49" ht="15.75" x14ac:dyDescent="0.25">
      <c r="D317" s="3">
        <v>18</v>
      </c>
      <c r="F317" s="16" cm="1">
        <f t="array" ref="F3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17" s="31" cm="1">
        <f t="array" ref="G3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31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17" s="32" t="str">
        <f>TEXT(HLG_01[[#This Row],[Batch]],"000")&amp; " / " &amp; TEXT(HLG_01[[#This Row],[Rit]],"000")</f>
        <v>046 / 018</v>
      </c>
      <c r="J317" s="34"/>
      <c r="K317" s="38"/>
      <c r="L317" s="35"/>
      <c r="M317" s="85"/>
      <c r="N317" s="85"/>
      <c r="O317" s="85"/>
      <c r="P317" s="85"/>
      <c r="Q317" s="85"/>
      <c r="R317" s="85"/>
      <c r="S317" s="98"/>
      <c r="T317" s="98"/>
      <c r="U317" s="98"/>
      <c r="V317" s="95"/>
      <c r="W317" s="95"/>
      <c r="X317" s="85"/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</row>
    <row r="318" spans="4:49" ht="15.75" x14ac:dyDescent="0.25">
      <c r="D318" s="3">
        <v>18</v>
      </c>
      <c r="F318" s="16" cm="1">
        <f t="array" ref="F3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18" s="31" cm="1">
        <f t="array" ref="G3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31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18" s="32" t="str">
        <f>TEXT(HLG_01[[#This Row],[Batch]],"000")&amp; " / " &amp; TEXT(HLG_01[[#This Row],[Rit]],"000")</f>
        <v>046 / 019</v>
      </c>
      <c r="J318" s="34"/>
      <c r="K318" s="38"/>
      <c r="L318" s="35"/>
      <c r="M318" s="85"/>
      <c r="N318" s="85"/>
      <c r="O318" s="85"/>
      <c r="P318" s="85"/>
      <c r="Q318" s="85"/>
      <c r="R318" s="85"/>
      <c r="S318" s="98"/>
      <c r="T318" s="98"/>
      <c r="U318" s="98"/>
      <c r="V318" s="95"/>
      <c r="W318" s="95"/>
      <c r="X318" s="85"/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</row>
    <row r="319" spans="4:49" ht="15.75" x14ac:dyDescent="0.25">
      <c r="D319" s="3">
        <v>18</v>
      </c>
      <c r="F319" s="16" cm="1">
        <f t="array" ref="F3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46</v>
      </c>
      <c r="G319" s="31" cm="1">
        <f t="array" ref="G3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31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19" s="32" t="str">
        <f>TEXT(HLG_01[[#This Row],[Batch]],"000")&amp; " / " &amp; TEXT(HLG_01[[#This Row],[Rit]],"000")</f>
        <v>046 / 020</v>
      </c>
      <c r="J319" s="34"/>
      <c r="K319" s="38"/>
      <c r="L319" s="35"/>
      <c r="M319" s="85"/>
      <c r="N319" s="85"/>
      <c r="O319" s="85"/>
      <c r="P319" s="85"/>
      <c r="Q319" s="85"/>
      <c r="R319" s="85"/>
      <c r="S319" s="98"/>
      <c r="T319" s="98"/>
      <c r="U319" s="98"/>
      <c r="V319" s="95"/>
      <c r="W319" s="95"/>
      <c r="X319" s="85"/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</row>
    <row r="320" spans="4:49" ht="15.75" x14ac:dyDescent="0.25">
      <c r="D320" s="3">
        <v>19</v>
      </c>
      <c r="F320" s="16" cm="1">
        <f t="array" ref="F3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20" s="31" cm="1">
        <f t="array" ref="G3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32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20" s="32" t="str">
        <f>TEXT(HLG_01[[#This Row],[Batch]],"000")&amp; " / " &amp; TEXT(HLG_01[[#This Row],[Rit]],"000")</f>
        <v>047 / 001</v>
      </c>
      <c r="J320" s="34"/>
      <c r="K320" s="38"/>
      <c r="L320" s="35"/>
      <c r="M320" s="85"/>
      <c r="N320" s="85"/>
      <c r="O320" s="85"/>
      <c r="P320" s="85"/>
      <c r="Q320" s="85"/>
      <c r="R320" s="85"/>
      <c r="S320" s="98"/>
      <c r="T320" s="98"/>
      <c r="U320" s="98"/>
      <c r="V320" s="95"/>
      <c r="W320" s="95"/>
      <c r="X320" s="85"/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</row>
    <row r="321" spans="4:49" ht="15.75" x14ac:dyDescent="0.25">
      <c r="D321" s="3">
        <v>19</v>
      </c>
      <c r="F321" s="16" cm="1">
        <f t="array" ref="F3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21" s="31" cm="1">
        <f t="array" ref="G3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32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21" s="32" t="str">
        <f>TEXT(HLG_01[[#This Row],[Batch]],"000")&amp; " / " &amp; TEXT(HLG_01[[#This Row],[Rit]],"000")</f>
        <v>047 / 002</v>
      </c>
      <c r="J321" s="34"/>
      <c r="K321" s="38"/>
      <c r="L321" s="35"/>
      <c r="M321" s="85"/>
      <c r="N321" s="85"/>
      <c r="O321" s="85"/>
      <c r="P321" s="85"/>
      <c r="Q321" s="85"/>
      <c r="R321" s="85"/>
      <c r="S321" s="98"/>
      <c r="T321" s="98"/>
      <c r="U321" s="98"/>
      <c r="V321" s="95"/>
      <c r="W321" s="95"/>
      <c r="X321" s="85"/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</row>
    <row r="322" spans="4:49" ht="15.75" x14ac:dyDescent="0.25">
      <c r="D322" s="3">
        <v>19</v>
      </c>
      <c r="F322" s="16" cm="1">
        <f t="array" ref="F3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22" s="31" cm="1">
        <f t="array" ref="G3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32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22" s="32" t="str">
        <f>TEXT(HLG_01[[#This Row],[Batch]],"000")&amp; " / " &amp; TEXT(HLG_01[[#This Row],[Rit]],"000")</f>
        <v>047 / 003</v>
      </c>
      <c r="J322" s="34"/>
      <c r="K322" s="38"/>
      <c r="L322" s="35"/>
      <c r="M322" s="85"/>
      <c r="N322" s="85"/>
      <c r="O322" s="85"/>
      <c r="P322" s="85"/>
      <c r="Q322" s="85"/>
      <c r="R322" s="85"/>
      <c r="S322" s="98"/>
      <c r="T322" s="98"/>
      <c r="U322" s="98"/>
      <c r="V322" s="95"/>
      <c r="W322" s="95"/>
      <c r="X322" s="85"/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</row>
    <row r="323" spans="4:49" ht="15.75" x14ac:dyDescent="0.25">
      <c r="D323" s="3">
        <v>19</v>
      </c>
      <c r="F323" s="16" cm="1">
        <f t="array" ref="F3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23" s="31" cm="1">
        <f t="array" ref="G3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32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23" s="32" t="str">
        <f>TEXT(HLG_01[[#This Row],[Batch]],"000")&amp; " / " &amp; TEXT(HLG_01[[#This Row],[Rit]],"000")</f>
        <v>047 / 004</v>
      </c>
      <c r="J323" s="34"/>
      <c r="K323" s="38"/>
      <c r="L323" s="35"/>
      <c r="M323" s="85"/>
      <c r="N323" s="85"/>
      <c r="O323" s="85"/>
      <c r="P323" s="85"/>
      <c r="Q323" s="85"/>
      <c r="R323" s="85"/>
      <c r="S323" s="98"/>
      <c r="T323" s="98"/>
      <c r="U323" s="98"/>
      <c r="V323" s="95"/>
      <c r="W323" s="95"/>
      <c r="X323" s="85"/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</row>
    <row r="324" spans="4:49" ht="15.75" x14ac:dyDescent="0.25">
      <c r="D324" s="3">
        <v>19</v>
      </c>
      <c r="F324" s="16" cm="1">
        <f t="array" ref="F3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24" s="31" cm="1">
        <f t="array" ref="G3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32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24" s="32" t="str">
        <f>TEXT(HLG_01[[#This Row],[Batch]],"000")&amp; " / " &amp; TEXT(HLG_01[[#This Row],[Rit]],"000")</f>
        <v>047 / 005</v>
      </c>
      <c r="J324" s="34"/>
      <c r="K324" s="38"/>
      <c r="L324" s="35"/>
      <c r="M324" s="85"/>
      <c r="N324" s="85"/>
      <c r="O324" s="85"/>
      <c r="P324" s="85"/>
      <c r="Q324" s="85"/>
      <c r="R324" s="85"/>
      <c r="S324" s="98"/>
      <c r="T324" s="98"/>
      <c r="U324" s="98"/>
      <c r="V324" s="95"/>
      <c r="W324" s="95"/>
      <c r="X324" s="85"/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</row>
    <row r="325" spans="4:49" ht="15.75" x14ac:dyDescent="0.25">
      <c r="D325" s="3">
        <v>19</v>
      </c>
      <c r="F325" s="16" cm="1">
        <f t="array" ref="F3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25" s="31" cm="1">
        <f t="array" ref="G3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32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25" s="32" t="str">
        <f>TEXT(HLG_01[[#This Row],[Batch]],"000")&amp; " / " &amp; TEXT(HLG_01[[#This Row],[Rit]],"000")</f>
        <v>047 / 006</v>
      </c>
      <c r="J325" s="34"/>
      <c r="K325" s="38"/>
      <c r="L325" s="35"/>
      <c r="M325" s="85"/>
      <c r="N325" s="85"/>
      <c r="O325" s="85"/>
      <c r="P325" s="85"/>
      <c r="Q325" s="85"/>
      <c r="R325" s="85"/>
      <c r="S325" s="98"/>
      <c r="T325" s="98"/>
      <c r="U325" s="98"/>
      <c r="V325" s="95"/>
      <c r="W325" s="95"/>
      <c r="X325" s="85"/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</row>
    <row r="326" spans="4:49" ht="15.75" x14ac:dyDescent="0.25">
      <c r="D326" s="3">
        <v>19</v>
      </c>
      <c r="F326" s="16" cm="1">
        <f t="array" ref="F3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26" s="31" cm="1">
        <f t="array" ref="G3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32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26" s="32" t="str">
        <f>TEXT(HLG_01[[#This Row],[Batch]],"000")&amp; " / " &amp; TEXT(HLG_01[[#This Row],[Rit]],"000")</f>
        <v>047 / 007</v>
      </c>
      <c r="J326" s="34"/>
      <c r="K326" s="38"/>
      <c r="L326" s="35"/>
      <c r="M326" s="85"/>
      <c r="N326" s="85"/>
      <c r="O326" s="85"/>
      <c r="P326" s="85"/>
      <c r="Q326" s="85"/>
      <c r="R326" s="85"/>
      <c r="S326" s="98"/>
      <c r="T326" s="98"/>
      <c r="U326" s="98"/>
      <c r="V326" s="95"/>
      <c r="W326" s="95"/>
      <c r="X326" s="85"/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</row>
    <row r="327" spans="4:49" ht="15.75" x14ac:dyDescent="0.25">
      <c r="D327" s="3">
        <v>19</v>
      </c>
      <c r="F327" s="16" cm="1">
        <f t="array" ref="F3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27" s="31" cm="1">
        <f t="array" ref="G3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32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27" s="32" t="str">
        <f>TEXT(HLG_01[[#This Row],[Batch]],"000")&amp; " / " &amp; TEXT(HLG_01[[#This Row],[Rit]],"000")</f>
        <v>047 / 008</v>
      </c>
      <c r="J327" s="34"/>
      <c r="K327" s="38"/>
      <c r="L327" s="35"/>
      <c r="M327" s="85"/>
      <c r="N327" s="85"/>
      <c r="O327" s="85"/>
      <c r="P327" s="85"/>
      <c r="Q327" s="85"/>
      <c r="R327" s="85"/>
      <c r="S327" s="98"/>
      <c r="T327" s="98"/>
      <c r="U327" s="98"/>
      <c r="V327" s="95"/>
      <c r="W327" s="95"/>
      <c r="X327" s="85"/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</row>
    <row r="328" spans="4:49" ht="15.75" x14ac:dyDescent="0.25">
      <c r="D328" s="3">
        <v>19</v>
      </c>
      <c r="F328" s="16" cm="1">
        <f t="array" ref="F3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28" s="31" cm="1">
        <f t="array" ref="G3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32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28" s="32" t="str">
        <f>TEXT(HLG_01[[#This Row],[Batch]],"000")&amp; " / " &amp; TEXT(HLG_01[[#This Row],[Rit]],"000")</f>
        <v>047 / 009</v>
      </c>
      <c r="J328" s="34"/>
      <c r="K328" s="38"/>
      <c r="L328" s="35"/>
      <c r="M328" s="85"/>
      <c r="N328" s="85"/>
      <c r="O328" s="85"/>
      <c r="P328" s="85"/>
      <c r="Q328" s="85"/>
      <c r="R328" s="85"/>
      <c r="S328" s="98"/>
      <c r="T328" s="98"/>
      <c r="U328" s="98"/>
      <c r="V328" s="95"/>
      <c r="W328" s="95"/>
      <c r="X328" s="85"/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</row>
    <row r="329" spans="4:49" ht="15.75" x14ac:dyDescent="0.25">
      <c r="D329" s="3">
        <v>19</v>
      </c>
      <c r="F329" s="16" cm="1">
        <f t="array" ref="F3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29" s="31" cm="1">
        <f t="array" ref="G3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32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29" s="32" t="str">
        <f>TEXT(HLG_01[[#This Row],[Batch]],"000")&amp; " / " &amp; TEXT(HLG_01[[#This Row],[Rit]],"000")</f>
        <v>047 / 010</v>
      </c>
      <c r="J329" s="34"/>
      <c r="K329" s="38"/>
      <c r="L329" s="35"/>
      <c r="M329" s="85"/>
      <c r="N329" s="85"/>
      <c r="O329" s="85"/>
      <c r="P329" s="85"/>
      <c r="Q329" s="85"/>
      <c r="R329" s="85"/>
      <c r="S329" s="98"/>
      <c r="T329" s="98"/>
      <c r="U329" s="98"/>
      <c r="V329" s="95"/>
      <c r="W329" s="95"/>
      <c r="X329" s="85"/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</row>
    <row r="330" spans="4:49" ht="15.75" x14ac:dyDescent="0.25">
      <c r="D330" s="3">
        <v>19</v>
      </c>
      <c r="F330" s="16" cm="1">
        <f t="array" ref="F3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30" s="31" cm="1">
        <f t="array" ref="G3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33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30" s="32" t="str">
        <f>TEXT(HLG_01[[#This Row],[Batch]],"000")&amp; " / " &amp; TEXT(HLG_01[[#This Row],[Rit]],"000")</f>
        <v>047 / 011</v>
      </c>
      <c r="J330" s="34"/>
      <c r="K330" s="38"/>
      <c r="L330" s="35"/>
      <c r="M330" s="85"/>
      <c r="N330" s="85"/>
      <c r="O330" s="85"/>
      <c r="P330" s="85"/>
      <c r="Q330" s="85"/>
      <c r="R330" s="85"/>
      <c r="S330" s="98"/>
      <c r="T330" s="98"/>
      <c r="U330" s="98"/>
      <c r="V330" s="95"/>
      <c r="W330" s="95"/>
      <c r="X330" s="85"/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</row>
    <row r="331" spans="4:49" ht="15.75" x14ac:dyDescent="0.25">
      <c r="D331" s="3">
        <v>19</v>
      </c>
      <c r="F331" s="16" cm="1">
        <f t="array" ref="F3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31" s="31" cm="1">
        <f t="array" ref="G3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33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31" s="32" t="str">
        <f>TEXT(HLG_01[[#This Row],[Batch]],"000")&amp; " / " &amp; TEXT(HLG_01[[#This Row],[Rit]],"000")</f>
        <v>047 / 012</v>
      </c>
      <c r="J331" s="34"/>
      <c r="K331" s="38"/>
      <c r="L331" s="35"/>
      <c r="M331" s="85"/>
      <c r="N331" s="85"/>
      <c r="O331" s="85"/>
      <c r="P331" s="85"/>
      <c r="Q331" s="85"/>
      <c r="R331" s="85"/>
      <c r="S331" s="98"/>
      <c r="T331" s="98"/>
      <c r="U331" s="98"/>
      <c r="V331" s="95"/>
      <c r="W331" s="95"/>
      <c r="X331" s="85"/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</row>
    <row r="332" spans="4:49" ht="15.75" x14ac:dyDescent="0.25">
      <c r="D332" s="3">
        <v>19</v>
      </c>
      <c r="F332" s="16" cm="1">
        <f t="array" ref="F3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32" s="31" cm="1">
        <f t="array" ref="G3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33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32" s="32" t="str">
        <f>TEXT(HLG_01[[#This Row],[Batch]],"000")&amp; " / " &amp; TEXT(HLG_01[[#This Row],[Rit]],"000")</f>
        <v>047 / 013</v>
      </c>
      <c r="J332" s="34"/>
      <c r="K332" s="38"/>
      <c r="L332" s="35"/>
      <c r="M332" s="85"/>
      <c r="N332" s="85"/>
      <c r="O332" s="85"/>
      <c r="P332" s="85"/>
      <c r="Q332" s="85"/>
      <c r="R332" s="85"/>
      <c r="S332" s="98"/>
      <c r="T332" s="98"/>
      <c r="U332" s="98"/>
      <c r="V332" s="95"/>
      <c r="W332" s="95"/>
      <c r="X332" s="85"/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</row>
    <row r="333" spans="4:49" ht="15.75" x14ac:dyDescent="0.25">
      <c r="D333" s="3">
        <v>19</v>
      </c>
      <c r="F333" s="16" cm="1">
        <f t="array" ref="F3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33" s="31" cm="1">
        <f t="array" ref="G3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33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33" s="32" t="str">
        <f>TEXT(HLG_01[[#This Row],[Batch]],"000")&amp; " / " &amp; TEXT(HLG_01[[#This Row],[Rit]],"000")</f>
        <v>047 / 014</v>
      </c>
      <c r="J333" s="34"/>
      <c r="K333" s="38"/>
      <c r="L333" s="35"/>
      <c r="M333" s="85"/>
      <c r="N333" s="85"/>
      <c r="O333" s="85"/>
      <c r="P333" s="85"/>
      <c r="Q333" s="85"/>
      <c r="R333" s="85"/>
      <c r="S333" s="98"/>
      <c r="T333" s="98"/>
      <c r="U333" s="98"/>
      <c r="V333" s="95"/>
      <c r="W333" s="95"/>
      <c r="X333" s="85"/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</row>
    <row r="334" spans="4:49" ht="15.75" x14ac:dyDescent="0.25">
      <c r="D334" s="3">
        <v>19</v>
      </c>
      <c r="F334" s="16" cm="1">
        <f t="array" ref="F3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34" s="31" cm="1">
        <f t="array" ref="G3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33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34" s="32" t="str">
        <f>TEXT(HLG_01[[#This Row],[Batch]],"000")&amp; " / " &amp; TEXT(HLG_01[[#This Row],[Rit]],"000")</f>
        <v>047 / 015</v>
      </c>
      <c r="J334" s="34"/>
      <c r="K334" s="38"/>
      <c r="L334" s="35"/>
      <c r="M334" s="85"/>
      <c r="N334" s="85"/>
      <c r="O334" s="85"/>
      <c r="P334" s="85"/>
      <c r="Q334" s="85"/>
      <c r="R334" s="85"/>
      <c r="S334" s="98"/>
      <c r="T334" s="98"/>
      <c r="U334" s="98"/>
      <c r="V334" s="95"/>
      <c r="W334" s="95"/>
      <c r="X334" s="85"/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</row>
    <row r="335" spans="4:49" ht="15.75" x14ac:dyDescent="0.25">
      <c r="D335" s="3">
        <v>19</v>
      </c>
      <c r="F335" s="16" cm="1">
        <f t="array" ref="F3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35" s="31" cm="1">
        <f t="array" ref="G3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33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35" s="32" t="str">
        <f>TEXT(HLG_01[[#This Row],[Batch]],"000")&amp; " / " &amp; TEXT(HLG_01[[#This Row],[Rit]],"000")</f>
        <v>047 / 016</v>
      </c>
      <c r="J335" s="34"/>
      <c r="K335" s="38"/>
      <c r="L335" s="35"/>
      <c r="M335" s="85"/>
      <c r="N335" s="85"/>
      <c r="O335" s="85"/>
      <c r="P335" s="85"/>
      <c r="Q335" s="85"/>
      <c r="R335" s="85"/>
      <c r="S335" s="98"/>
      <c r="T335" s="98"/>
      <c r="U335" s="98"/>
      <c r="V335" s="95"/>
      <c r="W335" s="95"/>
      <c r="X335" s="85"/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</row>
    <row r="336" spans="4:49" ht="15.75" x14ac:dyDescent="0.25">
      <c r="D336" s="3">
        <v>19</v>
      </c>
      <c r="F336" s="16" cm="1">
        <f t="array" ref="F3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36" s="31" cm="1">
        <f t="array" ref="G3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33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36" s="32" t="str">
        <f>TEXT(HLG_01[[#This Row],[Batch]],"000")&amp; " / " &amp; TEXT(HLG_01[[#This Row],[Rit]],"000")</f>
        <v>047 / 017</v>
      </c>
      <c r="J336" s="34"/>
      <c r="K336" s="38"/>
      <c r="L336" s="35"/>
      <c r="M336" s="85"/>
      <c r="N336" s="85"/>
      <c r="O336" s="85"/>
      <c r="P336" s="85"/>
      <c r="Q336" s="85"/>
      <c r="R336" s="85"/>
      <c r="S336" s="98"/>
      <c r="T336" s="98"/>
      <c r="U336" s="98"/>
      <c r="V336" s="95"/>
      <c r="W336" s="95"/>
      <c r="X336" s="85"/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</row>
    <row r="337" spans="4:49" ht="15.75" x14ac:dyDescent="0.25">
      <c r="D337" s="3">
        <v>19</v>
      </c>
      <c r="F337" s="16" cm="1">
        <f t="array" ref="F3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37" s="31" cm="1">
        <f t="array" ref="G3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33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37" s="32" t="str">
        <f>TEXT(HLG_01[[#This Row],[Batch]],"000")&amp; " / " &amp; TEXT(HLG_01[[#This Row],[Rit]],"000")</f>
        <v>047 / 018</v>
      </c>
      <c r="J337" s="34"/>
      <c r="K337" s="38"/>
      <c r="L337" s="35"/>
      <c r="M337" s="85"/>
      <c r="N337" s="85"/>
      <c r="O337" s="85"/>
      <c r="P337" s="85"/>
      <c r="Q337" s="85"/>
      <c r="R337" s="85"/>
      <c r="S337" s="98"/>
      <c r="T337" s="98"/>
      <c r="U337" s="98"/>
      <c r="V337" s="95"/>
      <c r="W337" s="95"/>
      <c r="X337" s="85"/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</row>
    <row r="338" spans="4:49" ht="15.75" x14ac:dyDescent="0.25">
      <c r="D338" s="3">
        <v>19</v>
      </c>
      <c r="F338" s="16" cm="1">
        <f t="array" ref="F3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38" s="31" cm="1">
        <f t="array" ref="G3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33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38" s="32" t="str">
        <f>TEXT(HLG_01[[#This Row],[Batch]],"000")&amp; " / " &amp; TEXT(HLG_01[[#This Row],[Rit]],"000")</f>
        <v>047 / 019</v>
      </c>
      <c r="J338" s="34"/>
      <c r="K338" s="38"/>
      <c r="L338" s="35"/>
      <c r="M338" s="85"/>
      <c r="N338" s="85"/>
      <c r="O338" s="85"/>
      <c r="P338" s="85"/>
      <c r="Q338" s="85"/>
      <c r="R338" s="85"/>
      <c r="S338" s="98"/>
      <c r="T338" s="98"/>
      <c r="U338" s="98"/>
      <c r="V338" s="95"/>
      <c r="W338" s="95"/>
      <c r="X338" s="85"/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</row>
    <row r="339" spans="4:49" ht="15.75" x14ac:dyDescent="0.25">
      <c r="D339" s="3">
        <v>19</v>
      </c>
      <c r="F339" s="16" cm="1">
        <f t="array" ref="F3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47</v>
      </c>
      <c r="G339" s="31" cm="1">
        <f t="array" ref="G3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33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39" s="32" t="str">
        <f>TEXT(HLG_01[[#This Row],[Batch]],"000")&amp; " / " &amp; TEXT(HLG_01[[#This Row],[Rit]],"000")</f>
        <v>047 / 020</v>
      </c>
      <c r="J339" s="34"/>
      <c r="K339" s="38"/>
      <c r="L339" s="35"/>
      <c r="M339" s="85"/>
      <c r="N339" s="85"/>
      <c r="O339" s="85"/>
      <c r="P339" s="85"/>
      <c r="Q339" s="85"/>
      <c r="R339" s="85"/>
      <c r="S339" s="98"/>
      <c r="T339" s="98"/>
      <c r="U339" s="98"/>
      <c r="V339" s="95"/>
      <c r="W339" s="95"/>
      <c r="X339" s="85"/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</row>
    <row r="340" spans="4:49" ht="15.75" x14ac:dyDescent="0.25">
      <c r="D340" s="3">
        <v>20</v>
      </c>
      <c r="F340" s="16" cm="1">
        <f t="array" ref="F3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40" s="31" cm="1">
        <f t="array" ref="G3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34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40" s="32" t="str">
        <f>TEXT(HLG_01[[#This Row],[Batch]],"000")&amp; " / " &amp; TEXT(HLG_01[[#This Row],[Rit]],"000")</f>
        <v>048 / 001</v>
      </c>
      <c r="J340" s="34"/>
      <c r="K340" s="38"/>
      <c r="L340" s="35"/>
      <c r="M340" s="85"/>
      <c r="N340" s="85"/>
      <c r="O340" s="85"/>
      <c r="P340" s="85"/>
      <c r="Q340" s="85"/>
      <c r="R340" s="85"/>
      <c r="S340" s="98"/>
      <c r="T340" s="98"/>
      <c r="U340" s="98"/>
      <c r="V340" s="95"/>
      <c r="W340" s="95"/>
      <c r="X340" s="85"/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</row>
    <row r="341" spans="4:49" ht="15.75" x14ac:dyDescent="0.25">
      <c r="D341" s="3">
        <v>20</v>
      </c>
      <c r="F341" s="16" cm="1">
        <f t="array" ref="F3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41" s="31" cm="1">
        <f t="array" ref="G3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34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41" s="32" t="str">
        <f>TEXT(HLG_01[[#This Row],[Batch]],"000")&amp; " / " &amp; TEXT(HLG_01[[#This Row],[Rit]],"000")</f>
        <v>048 / 002</v>
      </c>
      <c r="J341" s="34"/>
      <c r="K341" s="38"/>
      <c r="L341" s="35"/>
      <c r="M341" s="85"/>
      <c r="N341" s="85"/>
      <c r="O341" s="85"/>
      <c r="P341" s="85"/>
      <c r="Q341" s="85"/>
      <c r="R341" s="85"/>
      <c r="S341" s="98"/>
      <c r="T341" s="98"/>
      <c r="U341" s="98"/>
      <c r="V341" s="95"/>
      <c r="W341" s="95"/>
      <c r="X341" s="85"/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</row>
    <row r="342" spans="4:49" ht="15.75" x14ac:dyDescent="0.25">
      <c r="D342" s="3">
        <v>20</v>
      </c>
      <c r="F342" s="16" cm="1">
        <f t="array" ref="F3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42" s="31" cm="1">
        <f t="array" ref="G3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34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42" s="32" t="str">
        <f>TEXT(HLG_01[[#This Row],[Batch]],"000")&amp; " / " &amp; TEXT(HLG_01[[#This Row],[Rit]],"000")</f>
        <v>048 / 003</v>
      </c>
      <c r="J342" s="34"/>
      <c r="K342" s="38"/>
      <c r="L342" s="35"/>
      <c r="M342" s="85"/>
      <c r="N342" s="85"/>
      <c r="O342" s="85"/>
      <c r="P342" s="85"/>
      <c r="Q342" s="85"/>
      <c r="R342" s="85"/>
      <c r="S342" s="98"/>
      <c r="T342" s="98"/>
      <c r="U342" s="98"/>
      <c r="V342" s="95"/>
      <c r="W342" s="95"/>
      <c r="X342" s="85"/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</row>
    <row r="343" spans="4:49" ht="15.75" x14ac:dyDescent="0.25">
      <c r="D343" s="3">
        <v>20</v>
      </c>
      <c r="F343" s="16" cm="1">
        <f t="array" ref="F3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43" s="31" cm="1">
        <f t="array" ref="G3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34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43" s="32" t="str">
        <f>TEXT(HLG_01[[#This Row],[Batch]],"000")&amp; " / " &amp; TEXT(HLG_01[[#This Row],[Rit]],"000")</f>
        <v>048 / 004</v>
      </c>
      <c r="J343" s="34"/>
      <c r="K343" s="38"/>
      <c r="L343" s="35"/>
      <c r="M343" s="85"/>
      <c r="N343" s="85"/>
      <c r="O343" s="85"/>
      <c r="P343" s="85"/>
      <c r="Q343" s="85"/>
      <c r="R343" s="85"/>
      <c r="S343" s="98"/>
      <c r="T343" s="98"/>
      <c r="U343" s="98"/>
      <c r="V343" s="95"/>
      <c r="W343" s="95"/>
      <c r="X343" s="85"/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</row>
    <row r="344" spans="4:49" ht="15.75" x14ac:dyDescent="0.25">
      <c r="D344" s="3">
        <v>20</v>
      </c>
      <c r="F344" s="16" cm="1">
        <f t="array" ref="F3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44" s="31" cm="1">
        <f t="array" ref="G3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34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44" s="32" t="str">
        <f>TEXT(HLG_01[[#This Row],[Batch]],"000")&amp; " / " &amp; TEXT(HLG_01[[#This Row],[Rit]],"000")</f>
        <v>048 / 005</v>
      </c>
      <c r="J344" s="34"/>
      <c r="K344" s="38"/>
      <c r="L344" s="35"/>
      <c r="M344" s="85"/>
      <c r="N344" s="85"/>
      <c r="O344" s="85"/>
      <c r="P344" s="85"/>
      <c r="Q344" s="85"/>
      <c r="R344" s="85"/>
      <c r="S344" s="98"/>
      <c r="T344" s="98"/>
      <c r="U344" s="98"/>
      <c r="V344" s="95"/>
      <c r="W344" s="95"/>
      <c r="X344" s="85"/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</row>
    <row r="345" spans="4:49" ht="15.75" x14ac:dyDescent="0.25">
      <c r="D345" s="3">
        <v>20</v>
      </c>
      <c r="F345" s="16" cm="1">
        <f t="array" ref="F3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45" s="31" cm="1">
        <f t="array" ref="G3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34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45" s="32" t="str">
        <f>TEXT(HLG_01[[#This Row],[Batch]],"000")&amp; " / " &amp; TEXT(HLG_01[[#This Row],[Rit]],"000")</f>
        <v>048 / 006</v>
      </c>
      <c r="J345" s="34"/>
      <c r="K345" s="38"/>
      <c r="L345" s="35"/>
      <c r="M345" s="85"/>
      <c r="N345" s="85"/>
      <c r="O345" s="85"/>
      <c r="P345" s="85"/>
      <c r="Q345" s="85"/>
      <c r="R345" s="85"/>
      <c r="S345" s="98"/>
      <c r="T345" s="98"/>
      <c r="U345" s="98"/>
      <c r="V345" s="95"/>
      <c r="W345" s="95"/>
      <c r="X345" s="85"/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</row>
    <row r="346" spans="4:49" ht="15.75" x14ac:dyDescent="0.25">
      <c r="D346" s="3">
        <v>20</v>
      </c>
      <c r="F346" s="16" cm="1">
        <f t="array" ref="F3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46" s="31" cm="1">
        <f t="array" ref="G3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34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46" s="32" t="str">
        <f>TEXT(HLG_01[[#This Row],[Batch]],"000")&amp; " / " &amp; TEXT(HLG_01[[#This Row],[Rit]],"000")</f>
        <v>048 / 007</v>
      </c>
      <c r="J346" s="34"/>
      <c r="K346" s="38"/>
      <c r="L346" s="35"/>
      <c r="M346" s="85"/>
      <c r="N346" s="85"/>
      <c r="O346" s="85"/>
      <c r="P346" s="85"/>
      <c r="Q346" s="85"/>
      <c r="R346" s="85"/>
      <c r="S346" s="98"/>
      <c r="T346" s="98"/>
      <c r="U346" s="98"/>
      <c r="V346" s="95"/>
      <c r="W346" s="95"/>
      <c r="X346" s="85"/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</row>
    <row r="347" spans="4:49" ht="15.75" x14ac:dyDescent="0.25">
      <c r="D347" s="3">
        <v>20</v>
      </c>
      <c r="F347" s="16" cm="1">
        <f t="array" ref="F3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47" s="31" cm="1">
        <f t="array" ref="G3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34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47" s="32" t="str">
        <f>TEXT(HLG_01[[#This Row],[Batch]],"000")&amp; " / " &amp; TEXT(HLG_01[[#This Row],[Rit]],"000")</f>
        <v>048 / 008</v>
      </c>
      <c r="J347" s="34"/>
      <c r="K347" s="38"/>
      <c r="L347" s="35"/>
      <c r="M347" s="85"/>
      <c r="N347" s="85"/>
      <c r="O347" s="85"/>
      <c r="P347" s="85"/>
      <c r="Q347" s="85"/>
      <c r="R347" s="85"/>
      <c r="S347" s="98"/>
      <c r="T347" s="98"/>
      <c r="U347" s="98"/>
      <c r="V347" s="95"/>
      <c r="W347" s="95"/>
      <c r="X347" s="85"/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</row>
    <row r="348" spans="4:49" ht="15.75" x14ac:dyDescent="0.25">
      <c r="D348" s="3">
        <v>20</v>
      </c>
      <c r="F348" s="16" cm="1">
        <f t="array" ref="F3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48" s="31" cm="1">
        <f t="array" ref="G3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34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48" s="32" t="str">
        <f>TEXT(HLG_01[[#This Row],[Batch]],"000")&amp; " / " &amp; TEXT(HLG_01[[#This Row],[Rit]],"000")</f>
        <v>048 / 009</v>
      </c>
      <c r="J348" s="34"/>
      <c r="K348" s="38"/>
      <c r="L348" s="35"/>
      <c r="M348" s="85"/>
      <c r="N348" s="85"/>
      <c r="O348" s="85"/>
      <c r="P348" s="85"/>
      <c r="Q348" s="85"/>
      <c r="R348" s="85"/>
      <c r="S348" s="98"/>
      <c r="T348" s="98"/>
      <c r="U348" s="98"/>
      <c r="V348" s="95"/>
      <c r="W348" s="95"/>
      <c r="X348" s="85"/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</row>
    <row r="349" spans="4:49" ht="15.75" x14ac:dyDescent="0.25">
      <c r="D349" s="3">
        <v>20</v>
      </c>
      <c r="F349" s="16" cm="1">
        <f t="array" ref="F3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49" s="31" cm="1">
        <f t="array" ref="G3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34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49" s="32" t="str">
        <f>TEXT(HLG_01[[#This Row],[Batch]],"000")&amp; " / " &amp; TEXT(HLG_01[[#This Row],[Rit]],"000")</f>
        <v>048 / 010</v>
      </c>
      <c r="J349" s="34"/>
      <c r="K349" s="38"/>
      <c r="L349" s="35"/>
      <c r="M349" s="85"/>
      <c r="N349" s="85"/>
      <c r="O349" s="85"/>
      <c r="P349" s="85"/>
      <c r="Q349" s="85"/>
      <c r="R349" s="85"/>
      <c r="S349" s="98"/>
      <c r="T349" s="98"/>
      <c r="U349" s="98"/>
      <c r="V349" s="95"/>
      <c r="W349" s="95"/>
      <c r="X349" s="85"/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</row>
    <row r="350" spans="4:49" ht="15.75" x14ac:dyDescent="0.25">
      <c r="D350" s="3">
        <v>20</v>
      </c>
      <c r="F350" s="16" cm="1">
        <f t="array" ref="F3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50" s="31" cm="1">
        <f t="array" ref="G3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35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50" s="32" t="str">
        <f>TEXT(HLG_01[[#This Row],[Batch]],"000")&amp; " / " &amp; TEXT(HLG_01[[#This Row],[Rit]],"000")</f>
        <v>048 / 011</v>
      </c>
      <c r="J350" s="34"/>
      <c r="K350" s="38"/>
      <c r="L350" s="35"/>
      <c r="M350" s="85"/>
      <c r="N350" s="85"/>
      <c r="O350" s="85"/>
      <c r="P350" s="85"/>
      <c r="Q350" s="85"/>
      <c r="R350" s="85"/>
      <c r="S350" s="98"/>
      <c r="T350" s="98"/>
      <c r="U350" s="98"/>
      <c r="V350" s="95"/>
      <c r="W350" s="95"/>
      <c r="X350" s="85"/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</row>
    <row r="351" spans="4:49" ht="15.75" x14ac:dyDescent="0.25">
      <c r="D351" s="3">
        <v>20</v>
      </c>
      <c r="F351" s="16" cm="1">
        <f t="array" ref="F3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51" s="31" cm="1">
        <f t="array" ref="G3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35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51" s="32" t="str">
        <f>TEXT(HLG_01[[#This Row],[Batch]],"000")&amp; " / " &amp; TEXT(HLG_01[[#This Row],[Rit]],"000")</f>
        <v>048 / 012</v>
      </c>
      <c r="J351" s="34"/>
      <c r="K351" s="38"/>
      <c r="L351" s="35"/>
      <c r="M351" s="85"/>
      <c r="N351" s="85"/>
      <c r="O351" s="85"/>
      <c r="P351" s="85"/>
      <c r="Q351" s="85"/>
      <c r="R351" s="85"/>
      <c r="S351" s="98"/>
      <c r="T351" s="98"/>
      <c r="U351" s="98"/>
      <c r="V351" s="95"/>
      <c r="W351" s="95"/>
      <c r="X351" s="85"/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</row>
    <row r="352" spans="4:49" ht="15.75" x14ac:dyDescent="0.25">
      <c r="D352" s="3">
        <v>20</v>
      </c>
      <c r="F352" s="16" cm="1">
        <f t="array" ref="F3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52" s="31" cm="1">
        <f t="array" ref="G3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35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52" s="32" t="str">
        <f>TEXT(HLG_01[[#This Row],[Batch]],"000")&amp; " / " &amp; TEXT(HLG_01[[#This Row],[Rit]],"000")</f>
        <v>048 / 013</v>
      </c>
      <c r="J352" s="34"/>
      <c r="K352" s="38"/>
      <c r="L352" s="35"/>
      <c r="M352" s="85"/>
      <c r="N352" s="85"/>
      <c r="O352" s="85"/>
      <c r="P352" s="85"/>
      <c r="Q352" s="85"/>
      <c r="R352" s="85"/>
      <c r="S352" s="98"/>
      <c r="T352" s="98"/>
      <c r="U352" s="98"/>
      <c r="V352" s="95"/>
      <c r="W352" s="95"/>
      <c r="X352" s="85"/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</row>
    <row r="353" spans="4:49" ht="15.75" x14ac:dyDescent="0.25">
      <c r="D353" s="3">
        <v>20</v>
      </c>
      <c r="F353" s="16" cm="1">
        <f t="array" ref="F3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53" s="31" cm="1">
        <f t="array" ref="G3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35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53" s="32" t="str">
        <f>TEXT(HLG_01[[#This Row],[Batch]],"000")&amp; " / " &amp; TEXT(HLG_01[[#This Row],[Rit]],"000")</f>
        <v>048 / 014</v>
      </c>
      <c r="J353" s="34"/>
      <c r="K353" s="38"/>
      <c r="L353" s="35"/>
      <c r="M353" s="85"/>
      <c r="N353" s="85"/>
      <c r="O353" s="85"/>
      <c r="P353" s="85"/>
      <c r="Q353" s="85"/>
      <c r="R353" s="85"/>
      <c r="S353" s="98"/>
      <c r="T353" s="98"/>
      <c r="U353" s="98"/>
      <c r="V353" s="95"/>
      <c r="W353" s="95"/>
      <c r="X353" s="85"/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</row>
    <row r="354" spans="4:49" ht="15.75" x14ac:dyDescent="0.25">
      <c r="D354" s="3">
        <v>20</v>
      </c>
      <c r="F354" s="16" cm="1">
        <f t="array" ref="F3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54" s="31" cm="1">
        <f t="array" ref="G3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35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54" s="32" t="str">
        <f>TEXT(HLG_01[[#This Row],[Batch]],"000")&amp; " / " &amp; TEXT(HLG_01[[#This Row],[Rit]],"000")</f>
        <v>048 / 015</v>
      </c>
      <c r="J354" s="34"/>
      <c r="K354" s="38"/>
      <c r="L354" s="35"/>
      <c r="M354" s="85"/>
      <c r="N354" s="85"/>
      <c r="O354" s="85"/>
      <c r="P354" s="85"/>
      <c r="Q354" s="85"/>
      <c r="R354" s="85"/>
      <c r="S354" s="98"/>
      <c r="T354" s="98"/>
      <c r="U354" s="98"/>
      <c r="V354" s="95"/>
      <c r="W354" s="95"/>
      <c r="X354" s="85"/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</row>
    <row r="355" spans="4:49" ht="15.75" x14ac:dyDescent="0.25">
      <c r="D355" s="3">
        <v>20</v>
      </c>
      <c r="F355" s="16" cm="1">
        <f t="array" ref="F3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55" s="31" cm="1">
        <f t="array" ref="G3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35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55" s="32" t="str">
        <f>TEXT(HLG_01[[#This Row],[Batch]],"000")&amp; " / " &amp; TEXT(HLG_01[[#This Row],[Rit]],"000")</f>
        <v>048 / 016</v>
      </c>
      <c r="J355" s="34"/>
      <c r="K355" s="38"/>
      <c r="L355" s="35"/>
      <c r="M355" s="85"/>
      <c r="N355" s="85"/>
      <c r="O355" s="85"/>
      <c r="P355" s="85"/>
      <c r="Q355" s="85"/>
      <c r="R355" s="85"/>
      <c r="S355" s="98"/>
      <c r="T355" s="98"/>
      <c r="U355" s="98"/>
      <c r="V355" s="95"/>
      <c r="W355" s="95"/>
      <c r="X355" s="85"/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</row>
    <row r="356" spans="4:49" ht="15.75" x14ac:dyDescent="0.25">
      <c r="D356" s="3">
        <v>20</v>
      </c>
      <c r="F356" s="16" cm="1">
        <f t="array" ref="F3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56" s="31" cm="1">
        <f t="array" ref="G3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35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56" s="32" t="str">
        <f>TEXT(HLG_01[[#This Row],[Batch]],"000")&amp; " / " &amp; TEXT(HLG_01[[#This Row],[Rit]],"000")</f>
        <v>048 / 017</v>
      </c>
      <c r="J356" s="34"/>
      <c r="K356" s="38"/>
      <c r="L356" s="35"/>
      <c r="M356" s="85"/>
      <c r="N356" s="85"/>
      <c r="O356" s="85"/>
      <c r="P356" s="85"/>
      <c r="Q356" s="85"/>
      <c r="R356" s="85"/>
      <c r="S356" s="98"/>
      <c r="T356" s="98"/>
      <c r="U356" s="98"/>
      <c r="V356" s="95"/>
      <c r="W356" s="95"/>
      <c r="X356" s="85"/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</row>
    <row r="357" spans="4:49" ht="15.75" x14ac:dyDescent="0.25">
      <c r="D357" s="3">
        <v>20</v>
      </c>
      <c r="F357" s="16" cm="1">
        <f t="array" ref="F3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57" s="31" cm="1">
        <f t="array" ref="G3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35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57" s="32" t="str">
        <f>TEXT(HLG_01[[#This Row],[Batch]],"000")&amp; " / " &amp; TEXT(HLG_01[[#This Row],[Rit]],"000")</f>
        <v>048 / 018</v>
      </c>
      <c r="J357" s="34"/>
      <c r="K357" s="38"/>
      <c r="L357" s="35"/>
      <c r="M357" s="85"/>
      <c r="N357" s="85"/>
      <c r="O357" s="85"/>
      <c r="P357" s="85"/>
      <c r="Q357" s="85"/>
      <c r="R357" s="85"/>
      <c r="S357" s="98"/>
      <c r="T357" s="98"/>
      <c r="U357" s="98"/>
      <c r="V357" s="95"/>
      <c r="W357" s="95"/>
      <c r="X357" s="85"/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</row>
    <row r="358" spans="4:49" ht="15.75" x14ac:dyDescent="0.25">
      <c r="D358" s="3">
        <v>20</v>
      </c>
      <c r="F358" s="16" cm="1">
        <f t="array" ref="F3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58" s="31" cm="1">
        <f t="array" ref="G3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35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58" s="32" t="str">
        <f>TEXT(HLG_01[[#This Row],[Batch]],"000")&amp; " / " &amp; TEXT(HLG_01[[#This Row],[Rit]],"000")</f>
        <v>048 / 019</v>
      </c>
      <c r="J358" s="34"/>
      <c r="K358" s="38"/>
      <c r="L358" s="35"/>
      <c r="M358" s="85"/>
      <c r="N358" s="85"/>
      <c r="O358" s="85"/>
      <c r="P358" s="85"/>
      <c r="Q358" s="85"/>
      <c r="R358" s="85"/>
      <c r="S358" s="98"/>
      <c r="T358" s="98"/>
      <c r="U358" s="98"/>
      <c r="V358" s="95"/>
      <c r="W358" s="95"/>
      <c r="X358" s="85"/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</row>
    <row r="359" spans="4:49" ht="15.75" x14ac:dyDescent="0.25">
      <c r="D359" s="3">
        <v>20</v>
      </c>
      <c r="F359" s="16" cm="1">
        <f t="array" ref="F3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48</v>
      </c>
      <c r="G359" s="31" cm="1">
        <f t="array" ref="G3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35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59" s="32" t="str">
        <f>TEXT(HLG_01[[#This Row],[Batch]],"000")&amp; " / " &amp; TEXT(HLG_01[[#This Row],[Rit]],"000")</f>
        <v>048 / 020</v>
      </c>
      <c r="J359" s="34"/>
      <c r="K359" s="38"/>
      <c r="L359" s="35"/>
      <c r="M359" s="85"/>
      <c r="N359" s="85"/>
      <c r="O359" s="85"/>
      <c r="P359" s="85"/>
      <c r="Q359" s="85"/>
      <c r="R359" s="85"/>
      <c r="S359" s="98"/>
      <c r="T359" s="98"/>
      <c r="U359" s="98"/>
      <c r="V359" s="95"/>
      <c r="W359" s="95"/>
      <c r="X359" s="85"/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</row>
    <row r="360" spans="4:49" ht="15.75" x14ac:dyDescent="0.25">
      <c r="D360" s="3">
        <v>21</v>
      </c>
      <c r="F360" s="16" cm="1">
        <f t="array" ref="F3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60" s="31" cm="1">
        <f t="array" ref="G3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36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60" s="32" t="str">
        <f>TEXT(HLG_01[[#This Row],[Batch]],"000")&amp; " / " &amp; TEXT(HLG_01[[#This Row],[Rit]],"000")</f>
        <v>049 / 001</v>
      </c>
      <c r="J360" s="34"/>
      <c r="K360" s="38"/>
      <c r="L360" s="35"/>
      <c r="M360" s="85"/>
      <c r="N360" s="85"/>
      <c r="O360" s="85"/>
      <c r="P360" s="85"/>
      <c r="Q360" s="85"/>
      <c r="R360" s="85"/>
      <c r="S360" s="98"/>
      <c r="T360" s="98"/>
      <c r="U360" s="98"/>
      <c r="V360" s="95"/>
      <c r="W360" s="95"/>
      <c r="X360" s="85"/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</row>
    <row r="361" spans="4:49" ht="15.75" x14ac:dyDescent="0.25">
      <c r="D361" s="3">
        <v>21</v>
      </c>
      <c r="F361" s="16" cm="1">
        <f t="array" ref="F3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61" s="31" cm="1">
        <f t="array" ref="G3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36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61" s="32" t="str">
        <f>TEXT(HLG_01[[#This Row],[Batch]],"000")&amp; " / " &amp; TEXT(HLG_01[[#This Row],[Rit]],"000")</f>
        <v>049 / 002</v>
      </c>
      <c r="J361" s="34"/>
      <c r="K361" s="38"/>
      <c r="L361" s="35"/>
      <c r="M361" s="85"/>
      <c r="N361" s="85"/>
      <c r="O361" s="85"/>
      <c r="P361" s="85"/>
      <c r="Q361" s="85"/>
      <c r="R361" s="85"/>
      <c r="S361" s="98"/>
      <c r="T361" s="98"/>
      <c r="U361" s="98"/>
      <c r="V361" s="95"/>
      <c r="W361" s="95"/>
      <c r="X361" s="85"/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</row>
    <row r="362" spans="4:49" ht="15.75" x14ac:dyDescent="0.25">
      <c r="D362" s="3">
        <v>21</v>
      </c>
      <c r="F362" s="16" cm="1">
        <f t="array" ref="F3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62" s="31" cm="1">
        <f t="array" ref="G3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36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62" s="32" t="str">
        <f>TEXT(HLG_01[[#This Row],[Batch]],"000")&amp; " / " &amp; TEXT(HLG_01[[#This Row],[Rit]],"000")</f>
        <v>049 / 003</v>
      </c>
      <c r="J362" s="34"/>
      <c r="K362" s="38"/>
      <c r="L362" s="35"/>
      <c r="M362" s="85"/>
      <c r="N362" s="85"/>
      <c r="O362" s="85"/>
      <c r="P362" s="85"/>
      <c r="Q362" s="85"/>
      <c r="R362" s="85"/>
      <c r="S362" s="98"/>
      <c r="T362" s="98"/>
      <c r="U362" s="98"/>
      <c r="V362" s="95"/>
      <c r="W362" s="95"/>
      <c r="X362" s="85"/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</row>
    <row r="363" spans="4:49" ht="15.75" x14ac:dyDescent="0.25">
      <c r="D363" s="3">
        <v>21</v>
      </c>
      <c r="F363" s="16" cm="1">
        <f t="array" ref="F3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63" s="31" cm="1">
        <f t="array" ref="G3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36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63" s="32" t="str">
        <f>TEXT(HLG_01[[#This Row],[Batch]],"000")&amp; " / " &amp; TEXT(HLG_01[[#This Row],[Rit]],"000")</f>
        <v>049 / 004</v>
      </c>
      <c r="J363" s="34"/>
      <c r="K363" s="38"/>
      <c r="L363" s="35"/>
      <c r="M363" s="85"/>
      <c r="N363" s="85"/>
      <c r="O363" s="85"/>
      <c r="P363" s="85"/>
      <c r="Q363" s="85"/>
      <c r="R363" s="85"/>
      <c r="S363" s="98"/>
      <c r="T363" s="98"/>
      <c r="U363" s="98"/>
      <c r="V363" s="95"/>
      <c r="W363" s="95"/>
      <c r="X363" s="85"/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</row>
    <row r="364" spans="4:49" ht="15.75" x14ac:dyDescent="0.25">
      <c r="D364" s="3">
        <v>21</v>
      </c>
      <c r="F364" s="16" cm="1">
        <f t="array" ref="F3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64" s="31" cm="1">
        <f t="array" ref="G3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36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64" s="32" t="str">
        <f>TEXT(HLG_01[[#This Row],[Batch]],"000")&amp; " / " &amp; TEXT(HLG_01[[#This Row],[Rit]],"000")</f>
        <v>049 / 005</v>
      </c>
      <c r="J364" s="34"/>
      <c r="K364" s="38"/>
      <c r="L364" s="35"/>
      <c r="M364" s="85"/>
      <c r="N364" s="85"/>
      <c r="O364" s="85"/>
      <c r="P364" s="85"/>
      <c r="Q364" s="85"/>
      <c r="R364" s="85"/>
      <c r="S364" s="98"/>
      <c r="T364" s="98"/>
      <c r="U364" s="98"/>
      <c r="V364" s="95"/>
      <c r="W364" s="95"/>
      <c r="X364" s="85"/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</row>
    <row r="365" spans="4:49" ht="15.75" x14ac:dyDescent="0.25">
      <c r="D365" s="3">
        <v>21</v>
      </c>
      <c r="F365" s="16" cm="1">
        <f t="array" ref="F3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65" s="31" cm="1">
        <f t="array" ref="G3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36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65" s="32" t="str">
        <f>TEXT(HLG_01[[#This Row],[Batch]],"000")&amp; " / " &amp; TEXT(HLG_01[[#This Row],[Rit]],"000")</f>
        <v>049 / 006</v>
      </c>
      <c r="J365" s="34"/>
      <c r="K365" s="38"/>
      <c r="L365" s="35"/>
      <c r="M365" s="85"/>
      <c r="N365" s="85"/>
      <c r="O365" s="85"/>
      <c r="P365" s="85"/>
      <c r="Q365" s="85"/>
      <c r="R365" s="85"/>
      <c r="S365" s="98"/>
      <c r="T365" s="98"/>
      <c r="U365" s="98"/>
      <c r="V365" s="95"/>
      <c r="W365" s="95"/>
      <c r="X365" s="85"/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</row>
    <row r="366" spans="4:49" ht="15.75" x14ac:dyDescent="0.25">
      <c r="D366" s="3">
        <v>21</v>
      </c>
      <c r="F366" s="16" cm="1">
        <f t="array" ref="F3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66" s="31" cm="1">
        <f t="array" ref="G3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36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66" s="32" t="str">
        <f>TEXT(HLG_01[[#This Row],[Batch]],"000")&amp; " / " &amp; TEXT(HLG_01[[#This Row],[Rit]],"000")</f>
        <v>049 / 007</v>
      </c>
      <c r="J366" s="34"/>
      <c r="K366" s="38"/>
      <c r="L366" s="35"/>
      <c r="M366" s="85"/>
      <c r="N366" s="85"/>
      <c r="O366" s="85"/>
      <c r="P366" s="85"/>
      <c r="Q366" s="85"/>
      <c r="R366" s="85"/>
      <c r="S366" s="98"/>
      <c r="T366" s="98"/>
      <c r="U366" s="98"/>
      <c r="V366" s="95"/>
      <c r="W366" s="95"/>
      <c r="X366" s="85"/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</row>
    <row r="367" spans="4:49" ht="15.75" x14ac:dyDescent="0.25">
      <c r="D367" s="3">
        <v>21</v>
      </c>
      <c r="F367" s="16" cm="1">
        <f t="array" ref="F3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67" s="31" cm="1">
        <f t="array" ref="G3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36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67" s="32" t="str">
        <f>TEXT(HLG_01[[#This Row],[Batch]],"000")&amp; " / " &amp; TEXT(HLG_01[[#This Row],[Rit]],"000")</f>
        <v>049 / 008</v>
      </c>
      <c r="J367" s="34"/>
      <c r="K367" s="38"/>
      <c r="L367" s="35"/>
      <c r="M367" s="85"/>
      <c r="N367" s="85"/>
      <c r="O367" s="85"/>
      <c r="P367" s="85"/>
      <c r="Q367" s="85"/>
      <c r="R367" s="85"/>
      <c r="S367" s="98"/>
      <c r="T367" s="98"/>
      <c r="U367" s="98"/>
      <c r="V367" s="95"/>
      <c r="W367" s="95"/>
      <c r="X367" s="85"/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</row>
    <row r="368" spans="4:49" ht="15.75" x14ac:dyDescent="0.25">
      <c r="D368" s="3">
        <v>21</v>
      </c>
      <c r="F368" s="16" cm="1">
        <f t="array" ref="F3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68" s="31" cm="1">
        <f t="array" ref="G3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36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68" s="32" t="str">
        <f>TEXT(HLG_01[[#This Row],[Batch]],"000")&amp; " / " &amp; TEXT(HLG_01[[#This Row],[Rit]],"000")</f>
        <v>049 / 009</v>
      </c>
      <c r="J368" s="34"/>
      <c r="K368" s="38"/>
      <c r="L368" s="35"/>
      <c r="M368" s="85"/>
      <c r="N368" s="85"/>
      <c r="O368" s="85"/>
      <c r="P368" s="85"/>
      <c r="Q368" s="85"/>
      <c r="R368" s="85"/>
      <c r="S368" s="98"/>
      <c r="T368" s="98"/>
      <c r="U368" s="98"/>
      <c r="V368" s="95"/>
      <c r="W368" s="95"/>
      <c r="X368" s="85"/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</row>
    <row r="369" spans="4:49" ht="15.75" x14ac:dyDescent="0.25">
      <c r="D369" s="3">
        <v>21</v>
      </c>
      <c r="F369" s="16" cm="1">
        <f t="array" ref="F3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69" s="31" cm="1">
        <f t="array" ref="G3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36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69" s="32" t="str">
        <f>TEXT(HLG_01[[#This Row],[Batch]],"000")&amp; " / " &amp; TEXT(HLG_01[[#This Row],[Rit]],"000")</f>
        <v>049 / 010</v>
      </c>
      <c r="J369" s="34"/>
      <c r="K369" s="38"/>
      <c r="L369" s="35"/>
      <c r="M369" s="85"/>
      <c r="N369" s="85"/>
      <c r="O369" s="85"/>
      <c r="P369" s="85"/>
      <c r="Q369" s="85"/>
      <c r="R369" s="85"/>
      <c r="S369" s="98"/>
      <c r="T369" s="98"/>
      <c r="U369" s="98"/>
      <c r="V369" s="95"/>
      <c r="W369" s="95"/>
      <c r="X369" s="85"/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</row>
    <row r="370" spans="4:49" ht="15.75" x14ac:dyDescent="0.25">
      <c r="D370" s="3">
        <v>21</v>
      </c>
      <c r="F370" s="16" cm="1">
        <f t="array" ref="F3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70" s="31" cm="1">
        <f t="array" ref="G3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37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70" s="32" t="str">
        <f>TEXT(HLG_01[[#This Row],[Batch]],"000")&amp; " / " &amp; TEXT(HLG_01[[#This Row],[Rit]],"000")</f>
        <v>049 / 011</v>
      </c>
      <c r="J370" s="34"/>
      <c r="K370" s="38"/>
      <c r="L370" s="35"/>
      <c r="M370" s="85"/>
      <c r="N370" s="85"/>
      <c r="O370" s="85"/>
      <c r="P370" s="85"/>
      <c r="Q370" s="85"/>
      <c r="R370" s="85"/>
      <c r="S370" s="98"/>
      <c r="T370" s="98"/>
      <c r="U370" s="98"/>
      <c r="V370" s="95"/>
      <c r="W370" s="95"/>
      <c r="X370" s="85"/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</row>
    <row r="371" spans="4:49" ht="15.75" x14ac:dyDescent="0.25">
      <c r="D371" s="3">
        <v>21</v>
      </c>
      <c r="F371" s="16" cm="1">
        <f t="array" ref="F3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71" s="31" cm="1">
        <f t="array" ref="G3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37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71" s="32" t="str">
        <f>TEXT(HLG_01[[#This Row],[Batch]],"000")&amp; " / " &amp; TEXT(HLG_01[[#This Row],[Rit]],"000")</f>
        <v>049 / 012</v>
      </c>
      <c r="J371" s="34"/>
      <c r="K371" s="38"/>
      <c r="L371" s="35"/>
      <c r="M371" s="85"/>
      <c r="N371" s="85"/>
      <c r="O371" s="85"/>
      <c r="P371" s="85"/>
      <c r="Q371" s="85"/>
      <c r="R371" s="85"/>
      <c r="S371" s="98"/>
      <c r="T371" s="98"/>
      <c r="U371" s="98"/>
      <c r="V371" s="95"/>
      <c r="W371" s="95"/>
      <c r="X371" s="85"/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</row>
    <row r="372" spans="4:49" ht="15.75" x14ac:dyDescent="0.25">
      <c r="D372" s="3">
        <v>21</v>
      </c>
      <c r="F372" s="16" cm="1">
        <f t="array" ref="F3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72" s="31" cm="1">
        <f t="array" ref="G3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37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72" s="32" t="str">
        <f>TEXT(HLG_01[[#This Row],[Batch]],"000")&amp; " / " &amp; TEXT(HLG_01[[#This Row],[Rit]],"000")</f>
        <v>049 / 013</v>
      </c>
      <c r="J372" s="34"/>
      <c r="K372" s="38"/>
      <c r="L372" s="35"/>
      <c r="M372" s="85"/>
      <c r="N372" s="85"/>
      <c r="O372" s="85"/>
      <c r="P372" s="85"/>
      <c r="Q372" s="85"/>
      <c r="R372" s="85"/>
      <c r="S372" s="98"/>
      <c r="T372" s="98"/>
      <c r="U372" s="98"/>
      <c r="V372" s="95"/>
      <c r="W372" s="95"/>
      <c r="X372" s="85"/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</row>
    <row r="373" spans="4:49" ht="15.75" x14ac:dyDescent="0.25">
      <c r="D373" s="3">
        <v>21</v>
      </c>
      <c r="F373" s="16" cm="1">
        <f t="array" ref="F3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73" s="31" cm="1">
        <f t="array" ref="G3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37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73" s="32" t="str">
        <f>TEXT(HLG_01[[#This Row],[Batch]],"000")&amp; " / " &amp; TEXT(HLG_01[[#This Row],[Rit]],"000")</f>
        <v>049 / 014</v>
      </c>
      <c r="J373" s="34"/>
      <c r="K373" s="38"/>
      <c r="L373" s="35"/>
      <c r="M373" s="85"/>
      <c r="N373" s="85"/>
      <c r="O373" s="85"/>
      <c r="P373" s="85"/>
      <c r="Q373" s="85"/>
      <c r="R373" s="85"/>
      <c r="S373" s="98"/>
      <c r="T373" s="98"/>
      <c r="U373" s="98"/>
      <c r="V373" s="95"/>
      <c r="W373" s="95"/>
      <c r="X373" s="85"/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</row>
    <row r="374" spans="4:49" ht="15.75" x14ac:dyDescent="0.25">
      <c r="D374" s="3">
        <v>21</v>
      </c>
      <c r="F374" s="16" cm="1">
        <f t="array" ref="F3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74" s="31" cm="1">
        <f t="array" ref="G3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37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74" s="32" t="str">
        <f>TEXT(HLG_01[[#This Row],[Batch]],"000")&amp; " / " &amp; TEXT(HLG_01[[#This Row],[Rit]],"000")</f>
        <v>049 / 015</v>
      </c>
      <c r="J374" s="34"/>
      <c r="K374" s="38"/>
      <c r="L374" s="35"/>
      <c r="M374" s="85"/>
      <c r="N374" s="85"/>
      <c r="O374" s="85"/>
      <c r="P374" s="85"/>
      <c r="Q374" s="85"/>
      <c r="R374" s="85"/>
      <c r="S374" s="98"/>
      <c r="T374" s="98"/>
      <c r="U374" s="98"/>
      <c r="V374" s="95"/>
      <c r="W374" s="95"/>
      <c r="X374" s="85"/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</row>
    <row r="375" spans="4:49" ht="15.75" x14ac:dyDescent="0.25">
      <c r="D375" s="3">
        <v>21</v>
      </c>
      <c r="F375" s="16" cm="1">
        <f t="array" ref="F3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75" s="31" cm="1">
        <f t="array" ref="G3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37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75" s="32" t="str">
        <f>TEXT(HLG_01[[#This Row],[Batch]],"000")&amp; " / " &amp; TEXT(HLG_01[[#This Row],[Rit]],"000")</f>
        <v>049 / 016</v>
      </c>
      <c r="J375" s="34"/>
      <c r="K375" s="38"/>
      <c r="L375" s="35"/>
      <c r="M375" s="85"/>
      <c r="N375" s="85"/>
      <c r="O375" s="85"/>
      <c r="P375" s="85"/>
      <c r="Q375" s="85"/>
      <c r="R375" s="85"/>
      <c r="S375" s="98"/>
      <c r="T375" s="98"/>
      <c r="U375" s="98"/>
      <c r="V375" s="95"/>
      <c r="W375" s="95"/>
      <c r="X375" s="85"/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</row>
    <row r="376" spans="4:49" ht="15.75" x14ac:dyDescent="0.25">
      <c r="D376" s="3">
        <v>21</v>
      </c>
      <c r="F376" s="16" cm="1">
        <f t="array" ref="F3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76" s="31" cm="1">
        <f t="array" ref="G3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37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76" s="32" t="str">
        <f>TEXT(HLG_01[[#This Row],[Batch]],"000")&amp; " / " &amp; TEXT(HLG_01[[#This Row],[Rit]],"000")</f>
        <v>049 / 017</v>
      </c>
      <c r="J376" s="34"/>
      <c r="K376" s="38"/>
      <c r="L376" s="35"/>
      <c r="M376" s="85"/>
      <c r="N376" s="85"/>
      <c r="O376" s="85"/>
      <c r="P376" s="85"/>
      <c r="Q376" s="85"/>
      <c r="R376" s="85"/>
      <c r="S376" s="98"/>
      <c r="T376" s="98"/>
      <c r="U376" s="98"/>
      <c r="V376" s="95"/>
      <c r="W376" s="95"/>
      <c r="X376" s="85"/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</row>
    <row r="377" spans="4:49" ht="15.75" x14ac:dyDescent="0.25">
      <c r="D377" s="3">
        <v>21</v>
      </c>
      <c r="F377" s="16" cm="1">
        <f t="array" ref="F3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77" s="31" cm="1">
        <f t="array" ref="G3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37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77" s="32" t="str">
        <f>TEXT(HLG_01[[#This Row],[Batch]],"000")&amp; " / " &amp; TEXT(HLG_01[[#This Row],[Rit]],"000")</f>
        <v>049 / 018</v>
      </c>
      <c r="J377" s="34"/>
      <c r="K377" s="38"/>
      <c r="L377" s="35"/>
      <c r="M377" s="85"/>
      <c r="N377" s="85"/>
      <c r="O377" s="85"/>
      <c r="P377" s="85"/>
      <c r="Q377" s="85"/>
      <c r="R377" s="85"/>
      <c r="S377" s="98"/>
      <c r="T377" s="98"/>
      <c r="U377" s="98"/>
      <c r="V377" s="95"/>
      <c r="W377" s="95"/>
      <c r="X377" s="85"/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</row>
    <row r="378" spans="4:49" ht="15.75" x14ac:dyDescent="0.25">
      <c r="D378" s="3">
        <v>21</v>
      </c>
      <c r="F378" s="16" cm="1">
        <f t="array" ref="F3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78" s="31" cm="1">
        <f t="array" ref="G3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37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78" s="32" t="str">
        <f>TEXT(HLG_01[[#This Row],[Batch]],"000")&amp; " / " &amp; TEXT(HLG_01[[#This Row],[Rit]],"000")</f>
        <v>049 / 019</v>
      </c>
      <c r="J378" s="34"/>
      <c r="K378" s="38"/>
      <c r="L378" s="35"/>
      <c r="M378" s="85"/>
      <c r="N378" s="85"/>
      <c r="O378" s="85"/>
      <c r="P378" s="85"/>
      <c r="Q378" s="85"/>
      <c r="R378" s="85"/>
      <c r="S378" s="98"/>
      <c r="T378" s="98"/>
      <c r="U378" s="98"/>
      <c r="V378" s="95"/>
      <c r="W378" s="95"/>
      <c r="X378" s="85"/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</row>
    <row r="379" spans="4:49" ht="15.75" x14ac:dyDescent="0.25">
      <c r="D379" s="3">
        <v>21</v>
      </c>
      <c r="F379" s="16" cm="1">
        <f t="array" ref="F3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49</v>
      </c>
      <c r="G379" s="31" cm="1">
        <f t="array" ref="G3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37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79" s="32" t="str">
        <f>TEXT(HLG_01[[#This Row],[Batch]],"000")&amp; " / " &amp; TEXT(HLG_01[[#This Row],[Rit]],"000")</f>
        <v>049 / 020</v>
      </c>
      <c r="J379" s="34"/>
      <c r="K379" s="38"/>
      <c r="L379" s="35"/>
      <c r="M379" s="85"/>
      <c r="N379" s="85"/>
      <c r="O379" s="85"/>
      <c r="P379" s="85"/>
      <c r="Q379" s="85"/>
      <c r="R379" s="85"/>
      <c r="S379" s="98"/>
      <c r="T379" s="98"/>
      <c r="U379" s="98"/>
      <c r="V379" s="95"/>
      <c r="W379" s="95"/>
      <c r="X379" s="85"/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</row>
    <row r="380" spans="4:49" ht="15.75" x14ac:dyDescent="0.25">
      <c r="D380" s="3">
        <v>22</v>
      </c>
      <c r="F380" s="16" cm="1">
        <f t="array" ref="F3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80" s="31" cm="1">
        <f t="array" ref="G3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38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80" s="32" t="str">
        <f>TEXT(HLG_01[[#This Row],[Batch]],"000")&amp; " / " &amp; TEXT(HLG_01[[#This Row],[Rit]],"000")</f>
        <v>050 / 001</v>
      </c>
      <c r="J380" s="34"/>
      <c r="K380" s="38"/>
      <c r="L380" s="35"/>
      <c r="M380" s="85"/>
      <c r="N380" s="85"/>
      <c r="O380" s="85"/>
      <c r="P380" s="85"/>
      <c r="Q380" s="85"/>
      <c r="R380" s="85"/>
      <c r="S380" s="98"/>
      <c r="T380" s="98"/>
      <c r="U380" s="98"/>
      <c r="V380" s="95"/>
      <c r="W380" s="95"/>
      <c r="X380" s="85"/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</row>
    <row r="381" spans="4:49" ht="15.75" x14ac:dyDescent="0.25">
      <c r="D381" s="3">
        <v>22</v>
      </c>
      <c r="F381" s="16" cm="1">
        <f t="array" ref="F3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81" s="31" cm="1">
        <f t="array" ref="G3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38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81" s="32" t="str">
        <f>TEXT(HLG_01[[#This Row],[Batch]],"000")&amp; " / " &amp; TEXT(HLG_01[[#This Row],[Rit]],"000")</f>
        <v>050 / 002</v>
      </c>
      <c r="J381" s="34"/>
      <c r="K381" s="38"/>
      <c r="L381" s="35"/>
      <c r="M381" s="85"/>
      <c r="N381" s="85"/>
      <c r="O381" s="85"/>
      <c r="P381" s="85"/>
      <c r="Q381" s="85"/>
      <c r="R381" s="85"/>
      <c r="S381" s="98"/>
      <c r="T381" s="98"/>
      <c r="U381" s="98"/>
      <c r="V381" s="95"/>
      <c r="W381" s="95"/>
      <c r="X381" s="85"/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</row>
    <row r="382" spans="4:49" ht="15.75" x14ac:dyDescent="0.25">
      <c r="D382" s="3">
        <v>22</v>
      </c>
      <c r="F382" s="16" cm="1">
        <f t="array" ref="F3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82" s="31" cm="1">
        <f t="array" ref="G3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38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82" s="32" t="str">
        <f>TEXT(HLG_01[[#This Row],[Batch]],"000")&amp; " / " &amp; TEXT(HLG_01[[#This Row],[Rit]],"000")</f>
        <v>050 / 003</v>
      </c>
      <c r="J382" s="34"/>
      <c r="K382" s="38"/>
      <c r="L382" s="35"/>
      <c r="M382" s="85"/>
      <c r="N382" s="85"/>
      <c r="O382" s="85"/>
      <c r="P382" s="85"/>
      <c r="Q382" s="85"/>
      <c r="R382" s="85"/>
      <c r="S382" s="98"/>
      <c r="T382" s="98"/>
      <c r="U382" s="98"/>
      <c r="V382" s="95"/>
      <c r="W382" s="95"/>
      <c r="X382" s="85"/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</row>
    <row r="383" spans="4:49" ht="15.75" x14ac:dyDescent="0.25">
      <c r="D383" s="3">
        <v>22</v>
      </c>
      <c r="F383" s="16" cm="1">
        <f t="array" ref="F3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83" s="31" cm="1">
        <f t="array" ref="G3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38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83" s="32" t="str">
        <f>TEXT(HLG_01[[#This Row],[Batch]],"000")&amp; " / " &amp; TEXT(HLG_01[[#This Row],[Rit]],"000")</f>
        <v>050 / 004</v>
      </c>
      <c r="J383" s="34"/>
      <c r="K383" s="38"/>
      <c r="L383" s="35"/>
      <c r="M383" s="85"/>
      <c r="N383" s="85"/>
      <c r="O383" s="85"/>
      <c r="P383" s="85"/>
      <c r="Q383" s="85"/>
      <c r="R383" s="85"/>
      <c r="S383" s="98"/>
      <c r="T383" s="98"/>
      <c r="U383" s="98"/>
      <c r="V383" s="95"/>
      <c r="W383" s="95"/>
      <c r="X383" s="85"/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</row>
    <row r="384" spans="4:49" ht="15.75" x14ac:dyDescent="0.25">
      <c r="D384" s="3">
        <v>22</v>
      </c>
      <c r="F384" s="16" cm="1">
        <f t="array" ref="F3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84" s="31" cm="1">
        <f t="array" ref="G3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38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84" s="32" t="str">
        <f>TEXT(HLG_01[[#This Row],[Batch]],"000")&amp; " / " &amp; TEXT(HLG_01[[#This Row],[Rit]],"000")</f>
        <v>050 / 005</v>
      </c>
      <c r="J384" s="34"/>
      <c r="K384" s="38"/>
      <c r="L384" s="35"/>
      <c r="M384" s="85"/>
      <c r="N384" s="85"/>
      <c r="O384" s="85"/>
      <c r="P384" s="85"/>
      <c r="Q384" s="85"/>
      <c r="R384" s="85"/>
      <c r="S384" s="98"/>
      <c r="T384" s="98"/>
      <c r="U384" s="98"/>
      <c r="V384" s="95"/>
      <c r="W384" s="95"/>
      <c r="X384" s="85"/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</row>
    <row r="385" spans="4:49" ht="15.75" x14ac:dyDescent="0.25">
      <c r="D385" s="3">
        <v>22</v>
      </c>
      <c r="F385" s="16" cm="1">
        <f t="array" ref="F3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85" s="31" cm="1">
        <f t="array" ref="G3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38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85" s="32" t="str">
        <f>TEXT(HLG_01[[#This Row],[Batch]],"000")&amp; " / " &amp; TEXT(HLG_01[[#This Row],[Rit]],"000")</f>
        <v>050 / 006</v>
      </c>
      <c r="J385" s="34"/>
      <c r="K385" s="38"/>
      <c r="L385" s="35"/>
      <c r="M385" s="85"/>
      <c r="N385" s="85"/>
      <c r="O385" s="85"/>
      <c r="P385" s="85"/>
      <c r="Q385" s="85"/>
      <c r="R385" s="85"/>
      <c r="S385" s="98"/>
      <c r="T385" s="98"/>
      <c r="U385" s="98"/>
      <c r="V385" s="95"/>
      <c r="W385" s="95"/>
      <c r="X385" s="85"/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</row>
    <row r="386" spans="4:49" ht="15.75" x14ac:dyDescent="0.25">
      <c r="D386" s="3">
        <v>22</v>
      </c>
      <c r="F386" s="16" cm="1">
        <f t="array" ref="F3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86" s="31" cm="1">
        <f t="array" ref="G3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38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86" s="32" t="str">
        <f>TEXT(HLG_01[[#This Row],[Batch]],"000")&amp; " / " &amp; TEXT(HLG_01[[#This Row],[Rit]],"000")</f>
        <v>050 / 007</v>
      </c>
      <c r="J386" s="34"/>
      <c r="K386" s="38"/>
      <c r="L386" s="35"/>
      <c r="M386" s="85"/>
      <c r="N386" s="85"/>
      <c r="O386" s="85"/>
      <c r="P386" s="85"/>
      <c r="Q386" s="85"/>
      <c r="R386" s="85"/>
      <c r="S386" s="98"/>
      <c r="T386" s="98"/>
      <c r="U386" s="98"/>
      <c r="V386" s="95"/>
      <c r="W386" s="95"/>
      <c r="X386" s="85"/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</row>
    <row r="387" spans="4:49" ht="15.75" x14ac:dyDescent="0.25">
      <c r="D387" s="3">
        <v>22</v>
      </c>
      <c r="F387" s="16" cm="1">
        <f t="array" ref="F3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87" s="31" cm="1">
        <f t="array" ref="G3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38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87" s="32" t="str">
        <f>TEXT(HLG_01[[#This Row],[Batch]],"000")&amp; " / " &amp; TEXT(HLG_01[[#This Row],[Rit]],"000")</f>
        <v>050 / 008</v>
      </c>
      <c r="J387" s="34"/>
      <c r="K387" s="38"/>
      <c r="L387" s="35"/>
      <c r="M387" s="85"/>
      <c r="N387" s="85"/>
      <c r="O387" s="85"/>
      <c r="P387" s="85"/>
      <c r="Q387" s="85"/>
      <c r="R387" s="85"/>
      <c r="S387" s="98"/>
      <c r="T387" s="98"/>
      <c r="U387" s="98"/>
      <c r="V387" s="95"/>
      <c r="W387" s="95"/>
      <c r="X387" s="85"/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</row>
    <row r="388" spans="4:49" ht="15.75" x14ac:dyDescent="0.25">
      <c r="D388" s="3">
        <v>22</v>
      </c>
      <c r="F388" s="16" cm="1">
        <f t="array" ref="F3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88" s="31" cm="1">
        <f t="array" ref="G3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38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88" s="32" t="str">
        <f>TEXT(HLG_01[[#This Row],[Batch]],"000")&amp; " / " &amp; TEXT(HLG_01[[#This Row],[Rit]],"000")</f>
        <v>050 / 009</v>
      </c>
      <c r="J388" s="34"/>
      <c r="K388" s="38"/>
      <c r="L388" s="35"/>
      <c r="M388" s="85"/>
      <c r="N388" s="85"/>
      <c r="O388" s="85"/>
      <c r="P388" s="85"/>
      <c r="Q388" s="85"/>
      <c r="R388" s="85"/>
      <c r="S388" s="98"/>
      <c r="T388" s="98"/>
      <c r="U388" s="98"/>
      <c r="V388" s="95"/>
      <c r="W388" s="95"/>
      <c r="X388" s="85"/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</row>
    <row r="389" spans="4:49" ht="15.75" x14ac:dyDescent="0.25">
      <c r="D389" s="3">
        <v>22</v>
      </c>
      <c r="F389" s="16" cm="1">
        <f t="array" ref="F3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89" s="31" cm="1">
        <f t="array" ref="G3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38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89" s="32" t="str">
        <f>TEXT(HLG_01[[#This Row],[Batch]],"000")&amp; " / " &amp; TEXT(HLG_01[[#This Row],[Rit]],"000")</f>
        <v>050 / 010</v>
      </c>
      <c r="J389" s="34"/>
      <c r="K389" s="38"/>
      <c r="L389" s="35"/>
      <c r="M389" s="85"/>
      <c r="N389" s="85"/>
      <c r="O389" s="85"/>
      <c r="P389" s="85"/>
      <c r="Q389" s="85"/>
      <c r="R389" s="85"/>
      <c r="S389" s="98"/>
      <c r="T389" s="98"/>
      <c r="U389" s="98"/>
      <c r="V389" s="95"/>
      <c r="W389" s="95"/>
      <c r="X389" s="85"/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</row>
    <row r="390" spans="4:49" ht="15.75" x14ac:dyDescent="0.25">
      <c r="D390" s="3">
        <v>22</v>
      </c>
      <c r="F390" s="16" cm="1">
        <f t="array" ref="F3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90" s="31" cm="1">
        <f t="array" ref="G3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39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90" s="32" t="str">
        <f>TEXT(HLG_01[[#This Row],[Batch]],"000")&amp; " / " &amp; TEXT(HLG_01[[#This Row],[Rit]],"000")</f>
        <v>050 / 011</v>
      </c>
      <c r="J390" s="34"/>
      <c r="K390" s="38"/>
      <c r="L390" s="35"/>
      <c r="M390" s="85"/>
      <c r="N390" s="85"/>
      <c r="O390" s="85"/>
      <c r="P390" s="85"/>
      <c r="Q390" s="85"/>
      <c r="R390" s="85"/>
      <c r="S390" s="98"/>
      <c r="T390" s="98"/>
      <c r="U390" s="98"/>
      <c r="V390" s="95"/>
      <c r="W390" s="95"/>
      <c r="X390" s="85"/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</row>
    <row r="391" spans="4:49" ht="15.75" x14ac:dyDescent="0.25">
      <c r="D391" s="3">
        <v>22</v>
      </c>
      <c r="F391" s="16" cm="1">
        <f t="array" ref="F3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91" s="31" cm="1">
        <f t="array" ref="G3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39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91" s="32" t="str">
        <f>TEXT(HLG_01[[#This Row],[Batch]],"000")&amp; " / " &amp; TEXT(HLG_01[[#This Row],[Rit]],"000")</f>
        <v>050 / 012</v>
      </c>
      <c r="J391" s="34"/>
      <c r="K391" s="38"/>
      <c r="L391" s="35"/>
      <c r="M391" s="85"/>
      <c r="N391" s="85"/>
      <c r="O391" s="85"/>
      <c r="P391" s="85"/>
      <c r="Q391" s="85"/>
      <c r="R391" s="85"/>
      <c r="S391" s="98"/>
      <c r="T391" s="98"/>
      <c r="U391" s="98"/>
      <c r="V391" s="95"/>
      <c r="W391" s="95"/>
      <c r="X391" s="85"/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</row>
    <row r="392" spans="4:49" ht="15.75" x14ac:dyDescent="0.25">
      <c r="D392" s="3">
        <v>22</v>
      </c>
      <c r="F392" s="16" cm="1">
        <f t="array" ref="F3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92" s="31" cm="1">
        <f t="array" ref="G3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39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92" s="32" t="str">
        <f>TEXT(HLG_01[[#This Row],[Batch]],"000")&amp; " / " &amp; TEXT(HLG_01[[#This Row],[Rit]],"000")</f>
        <v>050 / 013</v>
      </c>
      <c r="J392" s="34"/>
      <c r="K392" s="38"/>
      <c r="L392" s="35"/>
      <c r="M392" s="85"/>
      <c r="N392" s="85"/>
      <c r="O392" s="85"/>
      <c r="P392" s="85"/>
      <c r="Q392" s="85"/>
      <c r="R392" s="85"/>
      <c r="S392" s="98"/>
      <c r="T392" s="98"/>
      <c r="U392" s="98"/>
      <c r="V392" s="95"/>
      <c r="W392" s="95"/>
      <c r="X392" s="85"/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</row>
    <row r="393" spans="4:49" ht="15.75" x14ac:dyDescent="0.25">
      <c r="D393" s="3">
        <v>22</v>
      </c>
      <c r="F393" s="16" cm="1">
        <f t="array" ref="F3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93" s="31" cm="1">
        <f t="array" ref="G3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39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93" s="32" t="str">
        <f>TEXT(HLG_01[[#This Row],[Batch]],"000")&amp; " / " &amp; TEXT(HLG_01[[#This Row],[Rit]],"000")</f>
        <v>050 / 014</v>
      </c>
      <c r="J393" s="34"/>
      <c r="K393" s="38"/>
      <c r="L393" s="35"/>
      <c r="M393" s="85"/>
      <c r="N393" s="85"/>
      <c r="O393" s="85"/>
      <c r="P393" s="85"/>
      <c r="Q393" s="85"/>
      <c r="R393" s="85"/>
      <c r="S393" s="98"/>
      <c r="T393" s="98"/>
      <c r="U393" s="98"/>
      <c r="V393" s="95"/>
      <c r="W393" s="95"/>
      <c r="X393" s="85"/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</row>
    <row r="394" spans="4:49" ht="15.75" x14ac:dyDescent="0.25">
      <c r="D394" s="3">
        <v>22</v>
      </c>
      <c r="F394" s="16" cm="1">
        <f t="array" ref="F3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94" s="31" cm="1">
        <f t="array" ref="G3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39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94" s="32" t="str">
        <f>TEXT(HLG_01[[#This Row],[Batch]],"000")&amp; " / " &amp; TEXT(HLG_01[[#This Row],[Rit]],"000")</f>
        <v>050 / 015</v>
      </c>
      <c r="J394" s="34"/>
      <c r="K394" s="38"/>
      <c r="L394" s="35"/>
      <c r="M394" s="85"/>
      <c r="N394" s="85"/>
      <c r="O394" s="85"/>
      <c r="P394" s="85"/>
      <c r="Q394" s="85"/>
      <c r="R394" s="85"/>
      <c r="S394" s="98"/>
      <c r="T394" s="98"/>
      <c r="U394" s="98"/>
      <c r="V394" s="95"/>
      <c r="W394" s="95"/>
      <c r="X394" s="85"/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</row>
    <row r="395" spans="4:49" ht="15.75" x14ac:dyDescent="0.25">
      <c r="D395" s="3">
        <v>22</v>
      </c>
      <c r="F395" s="16" cm="1">
        <f t="array" ref="F3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95" s="31" cm="1">
        <f t="array" ref="G3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39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95" s="32" t="str">
        <f>TEXT(HLG_01[[#This Row],[Batch]],"000")&amp; " / " &amp; TEXT(HLG_01[[#This Row],[Rit]],"000")</f>
        <v>050 / 016</v>
      </c>
      <c r="J395" s="34"/>
      <c r="K395" s="38"/>
      <c r="L395" s="35"/>
      <c r="M395" s="85"/>
      <c r="N395" s="85"/>
      <c r="O395" s="85"/>
      <c r="P395" s="85"/>
      <c r="Q395" s="85"/>
      <c r="R395" s="85"/>
      <c r="S395" s="98"/>
      <c r="T395" s="98"/>
      <c r="U395" s="98"/>
      <c r="V395" s="95"/>
      <c r="W395" s="95"/>
      <c r="X395" s="85"/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</row>
    <row r="396" spans="4:49" ht="15.75" x14ac:dyDescent="0.25">
      <c r="D396" s="3">
        <v>22</v>
      </c>
      <c r="F396" s="16" cm="1">
        <f t="array" ref="F3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96" s="31" cm="1">
        <f t="array" ref="G3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39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96" s="32" t="str">
        <f>TEXT(HLG_01[[#This Row],[Batch]],"000")&amp; " / " &amp; TEXT(HLG_01[[#This Row],[Rit]],"000")</f>
        <v>050 / 017</v>
      </c>
      <c r="J396" s="34"/>
      <c r="K396" s="38"/>
      <c r="L396" s="35"/>
      <c r="M396" s="85"/>
      <c r="N396" s="85"/>
      <c r="O396" s="85"/>
      <c r="P396" s="85"/>
      <c r="Q396" s="85"/>
      <c r="R396" s="85"/>
      <c r="S396" s="98"/>
      <c r="T396" s="98"/>
      <c r="U396" s="98"/>
      <c r="V396" s="95"/>
      <c r="W396" s="95"/>
      <c r="X396" s="85"/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</row>
    <row r="397" spans="4:49" ht="15.75" x14ac:dyDescent="0.25">
      <c r="D397" s="3">
        <v>22</v>
      </c>
      <c r="F397" s="16" cm="1">
        <f t="array" ref="F3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97" s="31" cm="1">
        <f t="array" ref="G3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39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97" s="32" t="str">
        <f>TEXT(HLG_01[[#This Row],[Batch]],"000")&amp; " / " &amp; TEXT(HLG_01[[#This Row],[Rit]],"000")</f>
        <v>050 / 018</v>
      </c>
      <c r="J397" s="34"/>
      <c r="K397" s="38"/>
      <c r="L397" s="35"/>
      <c r="M397" s="85"/>
      <c r="N397" s="85"/>
      <c r="O397" s="85"/>
      <c r="P397" s="85"/>
      <c r="Q397" s="85"/>
      <c r="R397" s="85"/>
      <c r="S397" s="98"/>
      <c r="T397" s="98"/>
      <c r="U397" s="98"/>
      <c r="V397" s="95"/>
      <c r="W397" s="95"/>
      <c r="X397" s="85"/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</row>
    <row r="398" spans="4:49" ht="15.75" x14ac:dyDescent="0.25">
      <c r="D398" s="3">
        <v>22</v>
      </c>
      <c r="F398" s="16" cm="1">
        <f t="array" ref="F3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98" s="31" cm="1">
        <f t="array" ref="G3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39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398" s="32" t="str">
        <f>TEXT(HLG_01[[#This Row],[Batch]],"000")&amp; " / " &amp; TEXT(HLG_01[[#This Row],[Rit]],"000")</f>
        <v>050 / 019</v>
      </c>
      <c r="J398" s="34"/>
      <c r="K398" s="38"/>
      <c r="L398" s="35"/>
      <c r="M398" s="85"/>
      <c r="N398" s="85"/>
      <c r="O398" s="85"/>
      <c r="P398" s="85"/>
      <c r="Q398" s="85"/>
      <c r="R398" s="85"/>
      <c r="S398" s="98"/>
      <c r="T398" s="98"/>
      <c r="U398" s="98"/>
      <c r="V398" s="95"/>
      <c r="W398" s="95"/>
      <c r="X398" s="85"/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</row>
    <row r="399" spans="4:49" ht="15.75" x14ac:dyDescent="0.25">
      <c r="D399" s="3">
        <v>22</v>
      </c>
      <c r="F399" s="16" cm="1">
        <f t="array" ref="F3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50</v>
      </c>
      <c r="G399" s="31" cm="1">
        <f t="array" ref="G3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39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399" s="32" t="str">
        <f>TEXT(HLG_01[[#This Row],[Batch]],"000")&amp; " / " &amp; TEXT(HLG_01[[#This Row],[Rit]],"000")</f>
        <v>050 / 020</v>
      </c>
      <c r="J399" s="34"/>
      <c r="K399" s="38"/>
      <c r="L399" s="35"/>
      <c r="M399" s="85"/>
      <c r="N399" s="85"/>
      <c r="O399" s="85"/>
      <c r="P399" s="85"/>
      <c r="Q399" s="85"/>
      <c r="R399" s="85"/>
      <c r="S399" s="98"/>
      <c r="T399" s="98"/>
      <c r="U399" s="98"/>
      <c r="V399" s="95"/>
      <c r="W399" s="95"/>
      <c r="X399" s="85"/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</row>
    <row r="400" spans="4:49" ht="15.75" x14ac:dyDescent="0.25">
      <c r="D400" s="3">
        <v>23</v>
      </c>
      <c r="F400" s="16" cm="1">
        <f t="array" ref="F4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00" s="31" cm="1">
        <f t="array" ref="G4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40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00" s="32" t="str">
        <f>TEXT(HLG_01[[#This Row],[Batch]],"000")&amp; " / " &amp; TEXT(HLG_01[[#This Row],[Rit]],"000")</f>
        <v>051 / 001</v>
      </c>
      <c r="J400" s="34"/>
      <c r="K400" s="38"/>
      <c r="L400" s="35"/>
      <c r="M400" s="85"/>
      <c r="N400" s="85"/>
      <c r="O400" s="85"/>
      <c r="P400" s="85"/>
      <c r="Q400" s="85"/>
      <c r="R400" s="85"/>
      <c r="S400" s="98"/>
      <c r="T400" s="98"/>
      <c r="U400" s="98"/>
      <c r="V400" s="95"/>
      <c r="W400" s="95"/>
      <c r="X400" s="85"/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</row>
    <row r="401" spans="4:49" ht="15.75" x14ac:dyDescent="0.25">
      <c r="D401" s="3">
        <v>23</v>
      </c>
      <c r="F401" s="16" cm="1">
        <f t="array" ref="F4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01" s="31" cm="1">
        <f t="array" ref="G4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40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01" s="32" t="str">
        <f>TEXT(HLG_01[[#This Row],[Batch]],"000")&amp; " / " &amp; TEXT(HLG_01[[#This Row],[Rit]],"000")</f>
        <v>051 / 002</v>
      </c>
      <c r="J401" s="34"/>
      <c r="K401" s="38"/>
      <c r="L401" s="35"/>
      <c r="M401" s="85"/>
      <c r="N401" s="85"/>
      <c r="O401" s="85"/>
      <c r="P401" s="85"/>
      <c r="Q401" s="85"/>
      <c r="R401" s="85"/>
      <c r="S401" s="98"/>
      <c r="T401" s="98"/>
      <c r="U401" s="98"/>
      <c r="V401" s="95"/>
      <c r="W401" s="95"/>
      <c r="X401" s="85"/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</row>
    <row r="402" spans="4:49" ht="15.75" x14ac:dyDescent="0.25">
      <c r="D402" s="3">
        <v>23</v>
      </c>
      <c r="F402" s="16" cm="1">
        <f t="array" ref="F4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02" s="31" cm="1">
        <f t="array" ref="G4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40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02" s="32" t="str">
        <f>TEXT(HLG_01[[#This Row],[Batch]],"000")&amp; " / " &amp; TEXT(HLG_01[[#This Row],[Rit]],"000")</f>
        <v>051 / 003</v>
      </c>
      <c r="J402" s="34"/>
      <c r="K402" s="38"/>
      <c r="L402" s="35"/>
      <c r="M402" s="85"/>
      <c r="N402" s="85"/>
      <c r="O402" s="85"/>
      <c r="P402" s="85"/>
      <c r="Q402" s="85"/>
      <c r="R402" s="85"/>
      <c r="S402" s="98"/>
      <c r="T402" s="98"/>
      <c r="U402" s="98"/>
      <c r="V402" s="95"/>
      <c r="W402" s="95"/>
      <c r="X402" s="85"/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</row>
    <row r="403" spans="4:49" ht="15.75" x14ac:dyDescent="0.25">
      <c r="D403" s="3">
        <v>23</v>
      </c>
      <c r="F403" s="16" cm="1">
        <f t="array" ref="F4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03" s="31" cm="1">
        <f t="array" ref="G4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40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03" s="32" t="str">
        <f>TEXT(HLG_01[[#This Row],[Batch]],"000")&amp; " / " &amp; TEXT(HLG_01[[#This Row],[Rit]],"000")</f>
        <v>051 / 004</v>
      </c>
      <c r="J403" s="34"/>
      <c r="K403" s="38"/>
      <c r="L403" s="35"/>
      <c r="M403" s="85"/>
      <c r="N403" s="85"/>
      <c r="O403" s="85"/>
      <c r="P403" s="85"/>
      <c r="Q403" s="85"/>
      <c r="R403" s="85"/>
      <c r="S403" s="98"/>
      <c r="T403" s="98"/>
      <c r="U403" s="98"/>
      <c r="V403" s="95"/>
      <c r="W403" s="95"/>
      <c r="X403" s="85"/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</row>
    <row r="404" spans="4:49" ht="15.75" x14ac:dyDescent="0.25">
      <c r="D404" s="3">
        <v>23</v>
      </c>
      <c r="F404" s="16" cm="1">
        <f t="array" ref="F4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04" s="31" cm="1">
        <f t="array" ref="G4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40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04" s="32" t="str">
        <f>TEXT(HLG_01[[#This Row],[Batch]],"000")&amp; " / " &amp; TEXT(HLG_01[[#This Row],[Rit]],"000")</f>
        <v>051 / 005</v>
      </c>
      <c r="J404" s="34"/>
      <c r="K404" s="38"/>
      <c r="L404" s="35"/>
      <c r="M404" s="85"/>
      <c r="N404" s="85"/>
      <c r="O404" s="85"/>
      <c r="P404" s="85"/>
      <c r="Q404" s="85"/>
      <c r="R404" s="85"/>
      <c r="S404" s="98"/>
      <c r="T404" s="98"/>
      <c r="U404" s="98"/>
      <c r="V404" s="95"/>
      <c r="W404" s="95"/>
      <c r="X404" s="85"/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</row>
    <row r="405" spans="4:49" ht="15.75" x14ac:dyDescent="0.25">
      <c r="D405" s="3">
        <v>23</v>
      </c>
      <c r="F405" s="16" cm="1">
        <f t="array" ref="F4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05" s="31" cm="1">
        <f t="array" ref="G4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40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05" s="32" t="str">
        <f>TEXT(HLG_01[[#This Row],[Batch]],"000")&amp; " / " &amp; TEXT(HLG_01[[#This Row],[Rit]],"000")</f>
        <v>051 / 006</v>
      </c>
      <c r="J405" s="34"/>
      <c r="K405" s="38"/>
      <c r="L405" s="35"/>
      <c r="M405" s="85"/>
      <c r="N405" s="85"/>
      <c r="O405" s="85"/>
      <c r="P405" s="85"/>
      <c r="Q405" s="85"/>
      <c r="R405" s="85"/>
      <c r="S405" s="98"/>
      <c r="T405" s="98"/>
      <c r="U405" s="98"/>
      <c r="V405" s="95"/>
      <c r="W405" s="95"/>
      <c r="X405" s="85"/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</row>
    <row r="406" spans="4:49" ht="15.75" x14ac:dyDescent="0.25">
      <c r="D406" s="3">
        <v>23</v>
      </c>
      <c r="F406" s="16" cm="1">
        <f t="array" ref="F4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06" s="31" cm="1">
        <f t="array" ref="G4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40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06" s="32" t="str">
        <f>TEXT(HLG_01[[#This Row],[Batch]],"000")&amp; " / " &amp; TEXT(HLG_01[[#This Row],[Rit]],"000")</f>
        <v>051 / 007</v>
      </c>
      <c r="J406" s="34"/>
      <c r="K406" s="38"/>
      <c r="L406" s="35"/>
      <c r="M406" s="85"/>
      <c r="N406" s="85"/>
      <c r="O406" s="85"/>
      <c r="P406" s="85"/>
      <c r="Q406" s="85"/>
      <c r="R406" s="85"/>
      <c r="S406" s="98"/>
      <c r="T406" s="98"/>
      <c r="U406" s="98"/>
      <c r="V406" s="95"/>
      <c r="W406" s="95"/>
      <c r="X406" s="85"/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</row>
    <row r="407" spans="4:49" ht="15.75" x14ac:dyDescent="0.25">
      <c r="D407" s="3">
        <v>23</v>
      </c>
      <c r="F407" s="16" cm="1">
        <f t="array" ref="F4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07" s="31" cm="1">
        <f t="array" ref="G4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40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07" s="32" t="str">
        <f>TEXT(HLG_01[[#This Row],[Batch]],"000")&amp; " / " &amp; TEXT(HLG_01[[#This Row],[Rit]],"000")</f>
        <v>051 / 008</v>
      </c>
      <c r="J407" s="34"/>
      <c r="K407" s="38"/>
      <c r="L407" s="35"/>
      <c r="M407" s="85"/>
      <c r="N407" s="85"/>
      <c r="O407" s="85"/>
      <c r="P407" s="85"/>
      <c r="Q407" s="85"/>
      <c r="R407" s="85"/>
      <c r="S407" s="98"/>
      <c r="T407" s="98"/>
      <c r="U407" s="98"/>
      <c r="V407" s="95"/>
      <c r="W407" s="95"/>
      <c r="X407" s="85"/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</row>
    <row r="408" spans="4:49" ht="15.75" x14ac:dyDescent="0.25">
      <c r="D408" s="3">
        <v>23</v>
      </c>
      <c r="F408" s="16" cm="1">
        <f t="array" ref="F4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08" s="31" cm="1">
        <f t="array" ref="G4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40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08" s="32" t="str">
        <f>TEXT(HLG_01[[#This Row],[Batch]],"000")&amp; " / " &amp; TEXT(HLG_01[[#This Row],[Rit]],"000")</f>
        <v>051 / 009</v>
      </c>
      <c r="J408" s="34"/>
      <c r="K408" s="38"/>
      <c r="L408" s="35"/>
      <c r="M408" s="85"/>
      <c r="N408" s="85"/>
      <c r="O408" s="85"/>
      <c r="P408" s="85"/>
      <c r="Q408" s="85"/>
      <c r="R408" s="85"/>
      <c r="S408" s="98"/>
      <c r="T408" s="98"/>
      <c r="U408" s="98"/>
      <c r="V408" s="95"/>
      <c r="W408" s="95"/>
      <c r="X408" s="85"/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</row>
    <row r="409" spans="4:49" ht="15.75" x14ac:dyDescent="0.25">
      <c r="D409" s="3">
        <v>23</v>
      </c>
      <c r="F409" s="16" cm="1">
        <f t="array" ref="F4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09" s="31" cm="1">
        <f t="array" ref="G4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40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09" s="32" t="str">
        <f>TEXT(HLG_01[[#This Row],[Batch]],"000")&amp; " / " &amp; TEXT(HLG_01[[#This Row],[Rit]],"000")</f>
        <v>051 / 010</v>
      </c>
      <c r="J409" s="34"/>
      <c r="K409" s="38"/>
      <c r="L409" s="35"/>
      <c r="M409" s="85"/>
      <c r="N409" s="85"/>
      <c r="O409" s="85"/>
      <c r="P409" s="85"/>
      <c r="Q409" s="85"/>
      <c r="R409" s="85"/>
      <c r="S409" s="98"/>
      <c r="T409" s="98"/>
      <c r="U409" s="98"/>
      <c r="V409" s="95"/>
      <c r="W409" s="95"/>
      <c r="X409" s="85"/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</row>
    <row r="410" spans="4:49" ht="15.75" x14ac:dyDescent="0.25">
      <c r="D410" s="3">
        <v>23</v>
      </c>
      <c r="F410" s="16" cm="1">
        <f t="array" ref="F4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10" s="31" cm="1">
        <f t="array" ref="G4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41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10" s="32" t="str">
        <f>TEXT(HLG_01[[#This Row],[Batch]],"000")&amp; " / " &amp; TEXT(HLG_01[[#This Row],[Rit]],"000")</f>
        <v>051 / 011</v>
      </c>
      <c r="J410" s="34"/>
      <c r="K410" s="38"/>
      <c r="L410" s="35"/>
      <c r="M410" s="85"/>
      <c r="N410" s="85"/>
      <c r="O410" s="85"/>
      <c r="P410" s="85"/>
      <c r="Q410" s="85"/>
      <c r="R410" s="85"/>
      <c r="S410" s="98"/>
      <c r="T410" s="98"/>
      <c r="U410" s="98"/>
      <c r="V410" s="95"/>
      <c r="W410" s="95"/>
      <c r="X410" s="85"/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</row>
    <row r="411" spans="4:49" ht="15.75" x14ac:dyDescent="0.25">
      <c r="D411" s="3">
        <v>23</v>
      </c>
      <c r="F411" s="16" cm="1">
        <f t="array" ref="F4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11" s="31" cm="1">
        <f t="array" ref="G4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41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11" s="32" t="str">
        <f>TEXT(HLG_01[[#This Row],[Batch]],"000")&amp; " / " &amp; TEXT(HLG_01[[#This Row],[Rit]],"000")</f>
        <v>051 / 012</v>
      </c>
      <c r="J411" s="34"/>
      <c r="K411" s="38"/>
      <c r="L411" s="35"/>
      <c r="M411" s="85"/>
      <c r="N411" s="85"/>
      <c r="O411" s="85"/>
      <c r="P411" s="85"/>
      <c r="Q411" s="85"/>
      <c r="R411" s="85"/>
      <c r="S411" s="98"/>
      <c r="T411" s="98"/>
      <c r="U411" s="98"/>
      <c r="V411" s="95"/>
      <c r="W411" s="95"/>
      <c r="X411" s="85"/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</row>
    <row r="412" spans="4:49" ht="15.75" x14ac:dyDescent="0.25">
      <c r="D412" s="3">
        <v>23</v>
      </c>
      <c r="F412" s="16" cm="1">
        <f t="array" ref="F4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12" s="31" cm="1">
        <f t="array" ref="G4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41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12" s="32" t="str">
        <f>TEXT(HLG_01[[#This Row],[Batch]],"000")&amp; " / " &amp; TEXT(HLG_01[[#This Row],[Rit]],"000")</f>
        <v>051 / 013</v>
      </c>
      <c r="J412" s="34"/>
      <c r="K412" s="38"/>
      <c r="L412" s="35"/>
      <c r="M412" s="85"/>
      <c r="N412" s="85"/>
      <c r="O412" s="85"/>
      <c r="P412" s="85"/>
      <c r="Q412" s="85"/>
      <c r="R412" s="85"/>
      <c r="S412" s="98"/>
      <c r="T412" s="98"/>
      <c r="U412" s="98"/>
      <c r="V412" s="95"/>
      <c r="W412" s="95"/>
      <c r="X412" s="85"/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</row>
    <row r="413" spans="4:49" ht="15.75" x14ac:dyDescent="0.25">
      <c r="D413" s="3">
        <v>23</v>
      </c>
      <c r="F413" s="16" cm="1">
        <f t="array" ref="F4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13" s="31" cm="1">
        <f t="array" ref="G4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41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13" s="32" t="str">
        <f>TEXT(HLG_01[[#This Row],[Batch]],"000")&amp; " / " &amp; TEXT(HLG_01[[#This Row],[Rit]],"000")</f>
        <v>051 / 014</v>
      </c>
      <c r="J413" s="34"/>
      <c r="K413" s="38"/>
      <c r="L413" s="35"/>
      <c r="M413" s="85"/>
      <c r="N413" s="85"/>
      <c r="O413" s="85"/>
      <c r="P413" s="85"/>
      <c r="Q413" s="85"/>
      <c r="R413" s="85"/>
      <c r="S413" s="98"/>
      <c r="T413" s="98"/>
      <c r="U413" s="98"/>
      <c r="V413" s="95"/>
      <c r="W413" s="95"/>
      <c r="X413" s="85"/>
      <c r="AP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</row>
    <row r="414" spans="4:49" ht="15.75" x14ac:dyDescent="0.25">
      <c r="D414" s="3">
        <v>23</v>
      </c>
      <c r="F414" s="16" cm="1">
        <f t="array" ref="F4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14" s="31" cm="1">
        <f t="array" ref="G4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41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14" s="32" t="str">
        <f>TEXT(HLG_01[[#This Row],[Batch]],"000")&amp; " / " &amp; TEXT(HLG_01[[#This Row],[Rit]],"000")</f>
        <v>051 / 015</v>
      </c>
      <c r="J414" s="34"/>
      <c r="K414" s="38"/>
      <c r="L414" s="35"/>
      <c r="M414" s="85"/>
      <c r="N414" s="85"/>
      <c r="O414" s="85"/>
      <c r="P414" s="85"/>
      <c r="Q414" s="85"/>
      <c r="R414" s="85"/>
      <c r="S414" s="98"/>
      <c r="T414" s="98"/>
      <c r="U414" s="98"/>
      <c r="V414" s="95"/>
      <c r="W414" s="95"/>
      <c r="X414" s="85"/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</row>
    <row r="415" spans="4:49" ht="15.75" x14ac:dyDescent="0.25">
      <c r="D415" s="3">
        <v>23</v>
      </c>
      <c r="F415" s="16" cm="1">
        <f t="array" ref="F4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15" s="31" cm="1">
        <f t="array" ref="G4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41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15" s="32" t="str">
        <f>TEXT(HLG_01[[#This Row],[Batch]],"000")&amp; " / " &amp; TEXT(HLG_01[[#This Row],[Rit]],"000")</f>
        <v>051 / 016</v>
      </c>
      <c r="J415" s="34"/>
      <c r="K415" s="38"/>
      <c r="L415" s="35"/>
      <c r="M415" s="85"/>
      <c r="N415" s="85"/>
      <c r="O415" s="85"/>
      <c r="P415" s="85"/>
      <c r="Q415" s="85"/>
      <c r="R415" s="85"/>
      <c r="S415" s="98"/>
      <c r="T415" s="98"/>
      <c r="U415" s="98"/>
      <c r="V415" s="95"/>
      <c r="W415" s="95"/>
      <c r="X415" s="85"/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</row>
    <row r="416" spans="4:49" ht="15.75" x14ac:dyDescent="0.25">
      <c r="D416" s="3">
        <v>23</v>
      </c>
      <c r="F416" s="16" cm="1">
        <f t="array" ref="F4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16" s="31" cm="1">
        <f t="array" ref="G4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41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16" s="32" t="str">
        <f>TEXT(HLG_01[[#This Row],[Batch]],"000")&amp; " / " &amp; TEXT(HLG_01[[#This Row],[Rit]],"000")</f>
        <v>051 / 017</v>
      </c>
      <c r="J416" s="34"/>
      <c r="K416" s="38"/>
      <c r="L416" s="35"/>
      <c r="M416" s="85"/>
      <c r="N416" s="85"/>
      <c r="O416" s="85"/>
      <c r="P416" s="85"/>
      <c r="Q416" s="85"/>
      <c r="R416" s="85"/>
      <c r="S416" s="98"/>
      <c r="T416" s="98"/>
      <c r="U416" s="98"/>
      <c r="V416" s="95"/>
      <c r="W416" s="95"/>
      <c r="X416" s="85"/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</row>
    <row r="417" spans="4:49" ht="15.75" x14ac:dyDescent="0.25">
      <c r="D417" s="3">
        <v>23</v>
      </c>
      <c r="F417" s="16" cm="1">
        <f t="array" ref="F4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17" s="31" cm="1">
        <f t="array" ref="G4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41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17" s="32" t="str">
        <f>TEXT(HLG_01[[#This Row],[Batch]],"000")&amp; " / " &amp; TEXT(HLG_01[[#This Row],[Rit]],"000")</f>
        <v>051 / 018</v>
      </c>
      <c r="J417" s="34"/>
      <c r="K417" s="38"/>
      <c r="L417" s="35"/>
      <c r="M417" s="85"/>
      <c r="N417" s="85"/>
      <c r="O417" s="85"/>
      <c r="P417" s="85"/>
      <c r="Q417" s="85"/>
      <c r="R417" s="85"/>
      <c r="S417" s="98"/>
      <c r="T417" s="98"/>
      <c r="U417" s="98"/>
      <c r="V417" s="95"/>
      <c r="W417" s="95"/>
      <c r="X417" s="85"/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</row>
    <row r="418" spans="4:49" ht="15.75" x14ac:dyDescent="0.25">
      <c r="D418" s="3">
        <v>23</v>
      </c>
      <c r="F418" s="16" cm="1">
        <f t="array" ref="F4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18" s="31" cm="1">
        <f t="array" ref="G4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41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18" s="32" t="str">
        <f>TEXT(HLG_01[[#This Row],[Batch]],"000")&amp; " / " &amp; TEXT(HLG_01[[#This Row],[Rit]],"000")</f>
        <v>051 / 019</v>
      </c>
      <c r="J418" s="34"/>
      <c r="K418" s="38"/>
      <c r="L418" s="35"/>
      <c r="M418" s="85"/>
      <c r="N418" s="85"/>
      <c r="O418" s="85"/>
      <c r="P418" s="85"/>
      <c r="Q418" s="85"/>
      <c r="R418" s="85"/>
      <c r="S418" s="98"/>
      <c r="T418" s="98"/>
      <c r="U418" s="98"/>
      <c r="V418" s="95"/>
      <c r="W418" s="95"/>
      <c r="X418" s="85"/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</row>
    <row r="419" spans="4:49" ht="15.75" x14ac:dyDescent="0.25">
      <c r="D419" s="3">
        <v>23</v>
      </c>
      <c r="F419" s="16" cm="1">
        <f t="array" ref="F4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51</v>
      </c>
      <c r="G419" s="31" cm="1">
        <f t="array" ref="G4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41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19" s="32" t="str">
        <f>TEXT(HLG_01[[#This Row],[Batch]],"000")&amp; " / " &amp; TEXT(HLG_01[[#This Row],[Rit]],"000")</f>
        <v>051 / 020</v>
      </c>
      <c r="J419" s="34"/>
      <c r="K419" s="38"/>
      <c r="L419" s="35"/>
      <c r="M419" s="85"/>
      <c r="N419" s="85"/>
      <c r="O419" s="85"/>
      <c r="P419" s="85"/>
      <c r="Q419" s="85"/>
      <c r="R419" s="85"/>
      <c r="S419" s="98"/>
      <c r="T419" s="98"/>
      <c r="U419" s="98"/>
      <c r="V419" s="95"/>
      <c r="W419" s="95"/>
      <c r="X419" s="85"/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</row>
    <row r="420" spans="4:49" ht="15.75" x14ac:dyDescent="0.25">
      <c r="D420" s="3">
        <v>24</v>
      </c>
      <c r="F420" s="16" cm="1">
        <f t="array" ref="F4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20" s="31" cm="1">
        <f t="array" ref="G4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42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20" s="32" t="str">
        <f>TEXT(HLG_01[[#This Row],[Batch]],"000")&amp; " / " &amp; TEXT(HLG_01[[#This Row],[Rit]],"000")</f>
        <v>052 / 001</v>
      </c>
      <c r="J420" s="34"/>
      <c r="K420" s="38"/>
      <c r="L420" s="35"/>
      <c r="M420" s="85"/>
      <c r="N420" s="85"/>
      <c r="O420" s="85"/>
      <c r="P420" s="85"/>
      <c r="Q420" s="85"/>
      <c r="R420" s="85"/>
      <c r="S420" s="98"/>
      <c r="T420" s="98"/>
      <c r="U420" s="98"/>
      <c r="V420" s="95"/>
      <c r="W420" s="95"/>
      <c r="X420" s="85"/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</row>
    <row r="421" spans="4:49" ht="15.75" x14ac:dyDescent="0.25">
      <c r="D421" s="3">
        <v>24</v>
      </c>
      <c r="F421" s="16" cm="1">
        <f t="array" ref="F4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21" s="31" cm="1">
        <f t="array" ref="G4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42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21" s="32" t="str">
        <f>TEXT(HLG_01[[#This Row],[Batch]],"000")&amp; " / " &amp; TEXT(HLG_01[[#This Row],[Rit]],"000")</f>
        <v>052 / 002</v>
      </c>
      <c r="J421" s="34"/>
      <c r="K421" s="38"/>
      <c r="L421" s="35"/>
      <c r="M421" s="85"/>
      <c r="N421" s="85"/>
      <c r="O421" s="85"/>
      <c r="P421" s="85"/>
      <c r="Q421" s="85"/>
      <c r="R421" s="85"/>
      <c r="S421" s="98"/>
      <c r="T421" s="98"/>
      <c r="U421" s="98"/>
      <c r="V421" s="95"/>
      <c r="W421" s="95"/>
      <c r="X421" s="85"/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</row>
    <row r="422" spans="4:49" ht="15.75" x14ac:dyDescent="0.25">
      <c r="D422" s="3">
        <v>24</v>
      </c>
      <c r="F422" s="16" cm="1">
        <f t="array" ref="F4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22" s="31" cm="1">
        <f t="array" ref="G4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42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22" s="32" t="str">
        <f>TEXT(HLG_01[[#This Row],[Batch]],"000")&amp; " / " &amp; TEXT(HLG_01[[#This Row],[Rit]],"000")</f>
        <v>052 / 003</v>
      </c>
      <c r="J422" s="34"/>
      <c r="K422" s="38"/>
      <c r="L422" s="35"/>
      <c r="M422" s="85"/>
      <c r="N422" s="85"/>
      <c r="O422" s="85"/>
      <c r="P422" s="85"/>
      <c r="Q422" s="85"/>
      <c r="R422" s="85"/>
      <c r="S422" s="98"/>
      <c r="T422" s="98"/>
      <c r="U422" s="98"/>
      <c r="V422" s="95"/>
      <c r="W422" s="95"/>
      <c r="X422" s="85"/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</row>
    <row r="423" spans="4:49" ht="15.75" x14ac:dyDescent="0.25">
      <c r="D423" s="3">
        <v>24</v>
      </c>
      <c r="F423" s="16" cm="1">
        <f t="array" ref="F4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23" s="31" cm="1">
        <f t="array" ref="G4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42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23" s="32" t="str">
        <f>TEXT(HLG_01[[#This Row],[Batch]],"000")&amp; " / " &amp; TEXT(HLG_01[[#This Row],[Rit]],"000")</f>
        <v>052 / 004</v>
      </c>
      <c r="J423" s="34"/>
      <c r="K423" s="38"/>
      <c r="L423" s="35"/>
      <c r="M423" s="85"/>
      <c r="N423" s="85"/>
      <c r="O423" s="85"/>
      <c r="P423" s="85"/>
      <c r="Q423" s="85"/>
      <c r="R423" s="85"/>
      <c r="S423" s="98"/>
      <c r="T423" s="98"/>
      <c r="U423" s="98"/>
      <c r="V423" s="95"/>
      <c r="W423" s="95"/>
      <c r="X423" s="85"/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</row>
    <row r="424" spans="4:49" ht="15.75" x14ac:dyDescent="0.25">
      <c r="D424" s="3">
        <v>24</v>
      </c>
      <c r="F424" s="16" cm="1">
        <f t="array" ref="F4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24" s="31" cm="1">
        <f t="array" ref="G4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42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24" s="32" t="str">
        <f>TEXT(HLG_01[[#This Row],[Batch]],"000")&amp; " / " &amp; TEXT(HLG_01[[#This Row],[Rit]],"000")</f>
        <v>052 / 005</v>
      </c>
      <c r="J424" s="34"/>
      <c r="K424" s="38"/>
      <c r="L424" s="35"/>
      <c r="M424" s="85"/>
      <c r="N424" s="85"/>
      <c r="O424" s="85"/>
      <c r="P424" s="85"/>
      <c r="Q424" s="85"/>
      <c r="R424" s="85"/>
      <c r="S424" s="98"/>
      <c r="T424" s="98"/>
      <c r="U424" s="98"/>
      <c r="V424" s="95"/>
      <c r="W424" s="95"/>
      <c r="X424" s="85"/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</row>
    <row r="425" spans="4:49" ht="15.75" x14ac:dyDescent="0.25">
      <c r="D425" s="3">
        <v>24</v>
      </c>
      <c r="F425" s="16" cm="1">
        <f t="array" ref="F4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25" s="31" cm="1">
        <f t="array" ref="G4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42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25" s="32" t="str">
        <f>TEXT(HLG_01[[#This Row],[Batch]],"000")&amp; " / " &amp; TEXT(HLG_01[[#This Row],[Rit]],"000")</f>
        <v>052 / 006</v>
      </c>
      <c r="J425" s="34"/>
      <c r="K425" s="38"/>
      <c r="L425" s="35"/>
      <c r="M425" s="85"/>
      <c r="N425" s="85"/>
      <c r="O425" s="85"/>
      <c r="P425" s="85"/>
      <c r="Q425" s="85"/>
      <c r="R425" s="85"/>
      <c r="S425" s="98"/>
      <c r="T425" s="98"/>
      <c r="U425" s="98"/>
      <c r="V425" s="95"/>
      <c r="W425" s="95"/>
      <c r="X425" s="85"/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</row>
    <row r="426" spans="4:49" ht="15.75" x14ac:dyDescent="0.25">
      <c r="D426" s="3">
        <v>24</v>
      </c>
      <c r="F426" s="16" cm="1">
        <f t="array" ref="F4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26" s="31" cm="1">
        <f t="array" ref="G4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42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26" s="32" t="str">
        <f>TEXT(HLG_01[[#This Row],[Batch]],"000")&amp; " / " &amp; TEXT(HLG_01[[#This Row],[Rit]],"000")</f>
        <v>052 / 007</v>
      </c>
      <c r="J426" s="34"/>
      <c r="K426" s="38"/>
      <c r="L426" s="35"/>
      <c r="M426" s="85"/>
      <c r="N426" s="85"/>
      <c r="O426" s="85"/>
      <c r="P426" s="85"/>
      <c r="Q426" s="85"/>
      <c r="R426" s="85"/>
      <c r="S426" s="98"/>
      <c r="T426" s="98"/>
      <c r="U426" s="98"/>
      <c r="V426" s="95"/>
      <c r="W426" s="95"/>
      <c r="X426" s="85"/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</row>
    <row r="427" spans="4:49" ht="15.75" x14ac:dyDescent="0.25">
      <c r="D427" s="3">
        <v>24</v>
      </c>
      <c r="F427" s="16" cm="1">
        <f t="array" ref="F4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27" s="31" cm="1">
        <f t="array" ref="G4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42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27" s="32" t="str">
        <f>TEXT(HLG_01[[#This Row],[Batch]],"000")&amp; " / " &amp; TEXT(HLG_01[[#This Row],[Rit]],"000")</f>
        <v>052 / 008</v>
      </c>
      <c r="J427" s="34"/>
      <c r="K427" s="38"/>
      <c r="L427" s="35"/>
      <c r="M427" s="85"/>
      <c r="N427" s="85"/>
      <c r="O427" s="85"/>
      <c r="P427" s="85"/>
      <c r="Q427" s="85"/>
      <c r="R427" s="85"/>
      <c r="S427" s="98"/>
      <c r="T427" s="98"/>
      <c r="U427" s="98"/>
      <c r="V427" s="95"/>
      <c r="W427" s="95"/>
      <c r="X427" s="85"/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</row>
    <row r="428" spans="4:49" ht="15.75" x14ac:dyDescent="0.25">
      <c r="D428" s="3">
        <v>24</v>
      </c>
      <c r="F428" s="16" cm="1">
        <f t="array" ref="F4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28" s="31" cm="1">
        <f t="array" ref="G4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42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28" s="32" t="str">
        <f>TEXT(HLG_01[[#This Row],[Batch]],"000")&amp; " / " &amp; TEXT(HLG_01[[#This Row],[Rit]],"000")</f>
        <v>052 / 009</v>
      </c>
      <c r="J428" s="34"/>
      <c r="K428" s="38"/>
      <c r="L428" s="35"/>
      <c r="M428" s="85"/>
      <c r="N428" s="85"/>
      <c r="O428" s="85"/>
      <c r="P428" s="85"/>
      <c r="Q428" s="85"/>
      <c r="R428" s="85"/>
      <c r="S428" s="98"/>
      <c r="T428" s="98"/>
      <c r="U428" s="98"/>
      <c r="V428" s="95"/>
      <c r="W428" s="95"/>
      <c r="X428" s="85"/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</row>
    <row r="429" spans="4:49" ht="15.75" x14ac:dyDescent="0.25">
      <c r="D429" s="3">
        <v>24</v>
      </c>
      <c r="F429" s="16" cm="1">
        <f t="array" ref="F4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29" s="31" cm="1">
        <f t="array" ref="G4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42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29" s="32" t="str">
        <f>TEXT(HLG_01[[#This Row],[Batch]],"000")&amp; " / " &amp; TEXT(HLG_01[[#This Row],[Rit]],"000")</f>
        <v>052 / 010</v>
      </c>
      <c r="J429" s="34"/>
      <c r="K429" s="38"/>
      <c r="L429" s="35"/>
      <c r="M429" s="85"/>
      <c r="N429" s="85"/>
      <c r="O429" s="85"/>
      <c r="P429" s="85"/>
      <c r="Q429" s="85"/>
      <c r="R429" s="85"/>
      <c r="S429" s="98"/>
      <c r="T429" s="98"/>
      <c r="U429" s="98"/>
      <c r="V429" s="95"/>
      <c r="W429" s="95"/>
      <c r="X429" s="85"/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</row>
    <row r="430" spans="4:49" ht="15.75" x14ac:dyDescent="0.25">
      <c r="D430" s="3">
        <v>24</v>
      </c>
      <c r="F430" s="16" cm="1">
        <f t="array" ref="F4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30" s="31" cm="1">
        <f t="array" ref="G4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43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30" s="32" t="str">
        <f>TEXT(HLG_01[[#This Row],[Batch]],"000")&amp; " / " &amp; TEXT(HLG_01[[#This Row],[Rit]],"000")</f>
        <v>052 / 011</v>
      </c>
      <c r="J430" s="34"/>
      <c r="K430" s="38"/>
      <c r="L430" s="35"/>
      <c r="M430" s="85"/>
      <c r="N430" s="85"/>
      <c r="O430" s="85"/>
      <c r="P430" s="85"/>
      <c r="Q430" s="85"/>
      <c r="R430" s="85"/>
      <c r="S430" s="98"/>
      <c r="T430" s="98"/>
      <c r="U430" s="98"/>
      <c r="V430" s="95"/>
      <c r="W430" s="95"/>
      <c r="X430" s="85"/>
      <c r="AP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</row>
    <row r="431" spans="4:49" ht="15.75" x14ac:dyDescent="0.25">
      <c r="D431" s="3">
        <v>24</v>
      </c>
      <c r="F431" s="16" cm="1">
        <f t="array" ref="F4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31" s="31" cm="1">
        <f t="array" ref="G4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43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31" s="32" t="str">
        <f>TEXT(HLG_01[[#This Row],[Batch]],"000")&amp; " / " &amp; TEXT(HLG_01[[#This Row],[Rit]],"000")</f>
        <v>052 / 012</v>
      </c>
      <c r="J431" s="34"/>
      <c r="K431" s="38"/>
      <c r="L431" s="35"/>
      <c r="M431" s="85"/>
      <c r="N431" s="85"/>
      <c r="O431" s="85"/>
      <c r="P431" s="85"/>
      <c r="Q431" s="85"/>
      <c r="R431" s="85"/>
      <c r="S431" s="98"/>
      <c r="T431" s="98"/>
      <c r="U431" s="98"/>
      <c r="V431" s="95"/>
      <c r="W431" s="95"/>
      <c r="X431" s="85"/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</row>
    <row r="432" spans="4:49" ht="15.75" x14ac:dyDescent="0.25">
      <c r="D432" s="3">
        <v>24</v>
      </c>
      <c r="F432" s="16" cm="1">
        <f t="array" ref="F4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32" s="31" cm="1">
        <f t="array" ref="G4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43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32" s="32" t="str">
        <f>TEXT(HLG_01[[#This Row],[Batch]],"000")&amp; " / " &amp; TEXT(HLG_01[[#This Row],[Rit]],"000")</f>
        <v>052 / 013</v>
      </c>
      <c r="J432" s="34"/>
      <c r="K432" s="38"/>
      <c r="L432" s="35"/>
      <c r="M432" s="85"/>
      <c r="N432" s="85"/>
      <c r="O432" s="85"/>
      <c r="P432" s="85"/>
      <c r="Q432" s="85"/>
      <c r="R432" s="85"/>
      <c r="S432" s="98"/>
      <c r="T432" s="98"/>
      <c r="U432" s="98"/>
      <c r="V432" s="95"/>
      <c r="W432" s="95"/>
      <c r="X432" s="85"/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</row>
    <row r="433" spans="4:49" ht="15.75" x14ac:dyDescent="0.25">
      <c r="D433" s="3">
        <v>24</v>
      </c>
      <c r="F433" s="16" cm="1">
        <f t="array" ref="F4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33" s="31" cm="1">
        <f t="array" ref="G4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43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33" s="32" t="str">
        <f>TEXT(HLG_01[[#This Row],[Batch]],"000")&amp; " / " &amp; TEXT(HLG_01[[#This Row],[Rit]],"000")</f>
        <v>052 / 014</v>
      </c>
      <c r="J433" s="34"/>
      <c r="K433" s="38"/>
      <c r="L433" s="35"/>
      <c r="M433" s="85"/>
      <c r="N433" s="85"/>
      <c r="O433" s="85"/>
      <c r="P433" s="85"/>
      <c r="Q433" s="85"/>
      <c r="R433" s="85"/>
      <c r="S433" s="98"/>
      <c r="T433" s="98"/>
      <c r="U433" s="98"/>
      <c r="V433" s="95"/>
      <c r="W433" s="95"/>
      <c r="X433" s="85"/>
      <c r="AP433" t="str">
        <v/>
      </c>
      <c r="AQ433" t="str">
        <v/>
      </c>
      <c r="AR433" t="str">
        <v/>
      </c>
      <c r="AS433" t="str">
        <v/>
      </c>
      <c r="AT433" t="str">
        <v/>
      </c>
      <c r="AU433" t="str">
        <v/>
      </c>
      <c r="AV433" t="str">
        <v/>
      </c>
      <c r="AW433" t="str">
        <v/>
      </c>
    </row>
    <row r="434" spans="4:49" ht="15.75" x14ac:dyDescent="0.25">
      <c r="D434" s="3">
        <v>24</v>
      </c>
      <c r="F434" s="16" cm="1">
        <f t="array" ref="F4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34" s="31" cm="1">
        <f t="array" ref="G4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43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34" s="32" t="str">
        <f>TEXT(HLG_01[[#This Row],[Batch]],"000")&amp; " / " &amp; TEXT(HLG_01[[#This Row],[Rit]],"000")</f>
        <v>052 / 015</v>
      </c>
      <c r="J434" s="34"/>
      <c r="K434" s="38"/>
      <c r="L434" s="35"/>
      <c r="M434" s="85"/>
      <c r="N434" s="85"/>
      <c r="O434" s="85"/>
      <c r="P434" s="85"/>
      <c r="Q434" s="85"/>
      <c r="R434" s="85"/>
      <c r="S434" s="98"/>
      <c r="T434" s="98"/>
      <c r="U434" s="98"/>
      <c r="V434" s="95"/>
      <c r="W434" s="95"/>
      <c r="X434" s="85"/>
      <c r="AP434" t="str">
        <v/>
      </c>
      <c r="AQ434" t="str">
        <v/>
      </c>
      <c r="AR434" t="str">
        <v/>
      </c>
      <c r="AS434" t="str">
        <v/>
      </c>
      <c r="AT434" t="str">
        <v/>
      </c>
      <c r="AU434" t="str">
        <v/>
      </c>
      <c r="AV434" t="str">
        <v/>
      </c>
      <c r="AW434" t="str">
        <v/>
      </c>
    </row>
    <row r="435" spans="4:49" ht="15.75" x14ac:dyDescent="0.25">
      <c r="D435" s="3">
        <v>24</v>
      </c>
      <c r="F435" s="16" cm="1">
        <f t="array" ref="F4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35" s="31" cm="1">
        <f t="array" ref="G4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43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35" s="32" t="str">
        <f>TEXT(HLG_01[[#This Row],[Batch]],"000")&amp; " / " &amp; TEXT(HLG_01[[#This Row],[Rit]],"000")</f>
        <v>052 / 016</v>
      </c>
      <c r="J435" s="34"/>
      <c r="K435" s="38"/>
      <c r="L435" s="35"/>
      <c r="M435" s="85"/>
      <c r="N435" s="85"/>
      <c r="O435" s="85"/>
      <c r="P435" s="85"/>
      <c r="Q435" s="85"/>
      <c r="R435" s="85"/>
      <c r="S435" s="98"/>
      <c r="T435" s="98"/>
      <c r="U435" s="98"/>
      <c r="V435" s="95"/>
      <c r="W435" s="95"/>
      <c r="X435" s="85"/>
      <c r="AP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/>
      </c>
    </row>
    <row r="436" spans="4:49" ht="15.75" x14ac:dyDescent="0.25">
      <c r="D436" s="3">
        <v>24</v>
      </c>
      <c r="F436" s="16" cm="1">
        <f t="array" ref="F4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36" s="31" cm="1">
        <f t="array" ref="G4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43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36" s="32" t="str">
        <f>TEXT(HLG_01[[#This Row],[Batch]],"000")&amp; " / " &amp; TEXT(HLG_01[[#This Row],[Rit]],"000")</f>
        <v>052 / 017</v>
      </c>
      <c r="J436" s="34"/>
      <c r="K436" s="38"/>
      <c r="L436" s="35"/>
      <c r="M436" s="85"/>
      <c r="N436" s="85"/>
      <c r="O436" s="85"/>
      <c r="P436" s="85"/>
      <c r="Q436" s="85"/>
      <c r="R436" s="85"/>
      <c r="S436" s="98"/>
      <c r="T436" s="98"/>
      <c r="U436" s="98"/>
      <c r="V436" s="95"/>
      <c r="W436" s="95"/>
      <c r="X436" s="85"/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</row>
    <row r="437" spans="4:49" ht="15.75" x14ac:dyDescent="0.25">
      <c r="D437" s="3">
        <v>24</v>
      </c>
      <c r="F437" s="16" cm="1">
        <f t="array" ref="F4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37" s="31" cm="1">
        <f t="array" ref="G4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43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37" s="32" t="str">
        <f>TEXT(HLG_01[[#This Row],[Batch]],"000")&amp; " / " &amp; TEXT(HLG_01[[#This Row],[Rit]],"000")</f>
        <v>052 / 018</v>
      </c>
      <c r="J437" s="34"/>
      <c r="K437" s="38"/>
      <c r="L437" s="35"/>
      <c r="M437" s="85"/>
      <c r="N437" s="85"/>
      <c r="O437" s="85"/>
      <c r="P437" s="85"/>
      <c r="Q437" s="85"/>
      <c r="R437" s="85"/>
      <c r="S437" s="98"/>
      <c r="T437" s="98"/>
      <c r="U437" s="98"/>
      <c r="V437" s="95"/>
      <c r="W437" s="95"/>
      <c r="X437" s="85"/>
      <c r="AP437" t="str">
        <v/>
      </c>
      <c r="AQ437" t="str">
        <v/>
      </c>
      <c r="AR437" t="str">
        <v/>
      </c>
      <c r="AS437" t="str">
        <v/>
      </c>
      <c r="AT437" t="str">
        <v/>
      </c>
      <c r="AU437" t="str">
        <v/>
      </c>
      <c r="AV437" t="str">
        <v/>
      </c>
      <c r="AW437" t="str">
        <v/>
      </c>
    </row>
    <row r="438" spans="4:49" ht="15.75" x14ac:dyDescent="0.25">
      <c r="D438" s="3">
        <v>24</v>
      </c>
      <c r="F438" s="16" cm="1">
        <f t="array" ref="F4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38" s="31" cm="1">
        <f t="array" ref="G4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43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38" s="32" t="str">
        <f>TEXT(HLG_01[[#This Row],[Batch]],"000")&amp; " / " &amp; TEXT(HLG_01[[#This Row],[Rit]],"000")</f>
        <v>052 / 019</v>
      </c>
      <c r="J438" s="34"/>
      <c r="K438" s="38"/>
      <c r="L438" s="35"/>
      <c r="M438" s="85"/>
      <c r="N438" s="85"/>
      <c r="O438" s="85"/>
      <c r="P438" s="85"/>
      <c r="Q438" s="85"/>
      <c r="R438" s="85"/>
      <c r="S438" s="98"/>
      <c r="T438" s="98"/>
      <c r="U438" s="98"/>
      <c r="V438" s="95"/>
      <c r="W438" s="95"/>
      <c r="X438" s="85"/>
      <c r="AP438" t="str">
        <v/>
      </c>
      <c r="AQ438" t="str">
        <v/>
      </c>
      <c r="AR438" t="str">
        <v/>
      </c>
      <c r="AS438" t="str">
        <v/>
      </c>
      <c r="AT438" t="str">
        <v/>
      </c>
      <c r="AU438" t="str">
        <v/>
      </c>
      <c r="AV438" t="str">
        <v/>
      </c>
      <c r="AW438" t="str">
        <v/>
      </c>
    </row>
    <row r="439" spans="4:49" ht="15.75" x14ac:dyDescent="0.25">
      <c r="D439" s="3">
        <v>24</v>
      </c>
      <c r="F439" s="16" cm="1">
        <f t="array" ref="F4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52</v>
      </c>
      <c r="G439" s="31" cm="1">
        <f t="array" ref="G4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43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39" s="32" t="str">
        <f>TEXT(HLG_01[[#This Row],[Batch]],"000")&amp; " / " &amp; TEXT(HLG_01[[#This Row],[Rit]],"000")</f>
        <v>052 / 020</v>
      </c>
      <c r="J439" s="34"/>
      <c r="K439" s="38"/>
      <c r="L439" s="35"/>
      <c r="M439" s="85"/>
      <c r="N439" s="85"/>
      <c r="O439" s="85"/>
      <c r="P439" s="85"/>
      <c r="Q439" s="85"/>
      <c r="R439" s="85"/>
      <c r="S439" s="98"/>
      <c r="T439" s="98"/>
      <c r="U439" s="98"/>
      <c r="V439" s="95"/>
      <c r="W439" s="95"/>
      <c r="X439" s="85"/>
      <c r="AP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</row>
    <row r="440" spans="4:49" ht="15.75" x14ac:dyDescent="0.25">
      <c r="D440" s="3">
        <v>25</v>
      </c>
      <c r="F440" s="16" cm="1">
        <f t="array" ref="F4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40" s="31" cm="1">
        <f t="array" ref="G4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44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40" s="32" t="str">
        <f>TEXT(HLG_01[[#This Row],[Batch]],"000")&amp; " / " &amp; TEXT(HLG_01[[#This Row],[Rit]],"000")</f>
        <v>053 / 001</v>
      </c>
      <c r="J440" s="34"/>
      <c r="K440" s="38"/>
      <c r="L440" s="35"/>
      <c r="M440" s="85"/>
      <c r="N440" s="85"/>
      <c r="O440" s="85"/>
      <c r="P440" s="85"/>
      <c r="Q440" s="85"/>
      <c r="R440" s="85"/>
      <c r="S440" s="98"/>
      <c r="T440" s="98"/>
      <c r="U440" s="98"/>
      <c r="V440" s="95"/>
      <c r="W440" s="95"/>
      <c r="X440" s="85"/>
      <c r="AP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/>
      </c>
    </row>
    <row r="441" spans="4:49" ht="15.75" x14ac:dyDescent="0.25">
      <c r="D441" s="3">
        <v>25</v>
      </c>
      <c r="F441" s="16" cm="1">
        <f t="array" ref="F4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41" s="31" cm="1">
        <f t="array" ref="G4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44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41" s="32" t="str">
        <f>TEXT(HLG_01[[#This Row],[Batch]],"000")&amp; " / " &amp; TEXT(HLG_01[[#This Row],[Rit]],"000")</f>
        <v>053 / 002</v>
      </c>
      <c r="J441" s="34"/>
      <c r="K441" s="38"/>
      <c r="L441" s="35"/>
      <c r="M441" s="85"/>
      <c r="N441" s="85"/>
      <c r="O441" s="85"/>
      <c r="P441" s="85"/>
      <c r="Q441" s="85"/>
      <c r="R441" s="85"/>
      <c r="S441" s="98"/>
      <c r="T441" s="98"/>
      <c r="U441" s="98"/>
      <c r="V441" s="95"/>
      <c r="W441" s="95"/>
      <c r="X441" s="85"/>
      <c r="AP441" t="str">
        <v/>
      </c>
      <c r="AQ441" t="str">
        <v/>
      </c>
      <c r="AR441" t="str">
        <v/>
      </c>
      <c r="AS441" t="str">
        <v/>
      </c>
      <c r="AT441" t="str">
        <v/>
      </c>
      <c r="AU441" t="str">
        <v/>
      </c>
      <c r="AV441" t="str">
        <v/>
      </c>
      <c r="AW441" t="str">
        <v/>
      </c>
    </row>
    <row r="442" spans="4:49" ht="15.75" x14ac:dyDescent="0.25">
      <c r="D442" s="3">
        <v>25</v>
      </c>
      <c r="F442" s="16" cm="1">
        <f t="array" ref="F4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42" s="31" cm="1">
        <f t="array" ref="G4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44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42" s="32" t="str">
        <f>TEXT(HLG_01[[#This Row],[Batch]],"000")&amp; " / " &amp; TEXT(HLG_01[[#This Row],[Rit]],"000")</f>
        <v>053 / 003</v>
      </c>
      <c r="J442" s="34"/>
      <c r="K442" s="38"/>
      <c r="L442" s="35"/>
      <c r="M442" s="85"/>
      <c r="N442" s="85"/>
      <c r="O442" s="85"/>
      <c r="P442" s="85"/>
      <c r="Q442" s="85"/>
      <c r="R442" s="85"/>
      <c r="S442" s="98"/>
      <c r="T442" s="98"/>
      <c r="U442" s="98"/>
      <c r="V442" s="95"/>
      <c r="W442" s="95"/>
      <c r="X442" s="85"/>
      <c r="AP442" t="str">
        <v/>
      </c>
      <c r="AQ442" t="str">
        <v/>
      </c>
      <c r="AR442" t="str">
        <v/>
      </c>
      <c r="AS442" t="str">
        <v/>
      </c>
      <c r="AT442" t="str">
        <v/>
      </c>
      <c r="AU442" t="str">
        <v/>
      </c>
      <c r="AV442" t="str">
        <v/>
      </c>
      <c r="AW442" t="str">
        <v/>
      </c>
    </row>
    <row r="443" spans="4:49" ht="15.75" x14ac:dyDescent="0.25">
      <c r="D443" s="3">
        <v>25</v>
      </c>
      <c r="F443" s="16" cm="1">
        <f t="array" ref="F4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43" s="31" cm="1">
        <f t="array" ref="G4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44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43" s="32" t="str">
        <f>TEXT(HLG_01[[#This Row],[Batch]],"000")&amp; " / " &amp; TEXT(HLG_01[[#This Row],[Rit]],"000")</f>
        <v>053 / 004</v>
      </c>
      <c r="J443" s="34"/>
      <c r="K443" s="38"/>
      <c r="L443" s="35"/>
      <c r="M443" s="85"/>
      <c r="N443" s="85"/>
      <c r="O443" s="85"/>
      <c r="P443" s="85"/>
      <c r="Q443" s="85"/>
      <c r="R443" s="85"/>
      <c r="S443" s="98"/>
      <c r="T443" s="98"/>
      <c r="U443" s="98"/>
      <c r="V443" s="95"/>
      <c r="W443" s="95"/>
      <c r="X443" s="85"/>
      <c r="AP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</row>
    <row r="444" spans="4:49" ht="15.75" x14ac:dyDescent="0.25">
      <c r="D444" s="3">
        <v>25</v>
      </c>
      <c r="F444" s="16" cm="1">
        <f t="array" ref="F4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44" s="31" cm="1">
        <f t="array" ref="G4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44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44" s="32" t="str">
        <f>TEXT(HLG_01[[#This Row],[Batch]],"000")&amp; " / " &amp; TEXT(HLG_01[[#This Row],[Rit]],"000")</f>
        <v>053 / 005</v>
      </c>
      <c r="J444" s="34"/>
      <c r="K444" s="38"/>
      <c r="L444" s="35"/>
      <c r="M444" s="85"/>
      <c r="N444" s="85"/>
      <c r="O444" s="85"/>
      <c r="P444" s="85"/>
      <c r="Q444" s="85"/>
      <c r="R444" s="85"/>
      <c r="S444" s="98"/>
      <c r="T444" s="98"/>
      <c r="U444" s="98"/>
      <c r="V444" s="95"/>
      <c r="W444" s="95"/>
      <c r="X444" s="85"/>
      <c r="AP444" t="str">
        <v/>
      </c>
      <c r="AQ444" t="str">
        <v/>
      </c>
      <c r="AR444" t="str">
        <v/>
      </c>
      <c r="AS444" t="str">
        <v/>
      </c>
      <c r="AT444" t="str">
        <v/>
      </c>
      <c r="AU444" t="str">
        <v/>
      </c>
      <c r="AV444" t="str">
        <v/>
      </c>
      <c r="AW444" t="str">
        <v/>
      </c>
    </row>
    <row r="445" spans="4:49" ht="15.75" x14ac:dyDescent="0.25">
      <c r="D445" s="3">
        <v>25</v>
      </c>
      <c r="F445" s="16" cm="1">
        <f t="array" ref="F4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45" s="31" cm="1">
        <f t="array" ref="G4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44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45" s="32" t="str">
        <f>TEXT(HLG_01[[#This Row],[Batch]],"000")&amp; " / " &amp; TEXT(HLG_01[[#This Row],[Rit]],"000")</f>
        <v>053 / 006</v>
      </c>
      <c r="J445" s="34"/>
      <c r="K445" s="38"/>
      <c r="L445" s="35"/>
      <c r="M445" s="85"/>
      <c r="N445" s="85"/>
      <c r="O445" s="85"/>
      <c r="P445" s="85"/>
      <c r="Q445" s="85"/>
      <c r="R445" s="85"/>
      <c r="S445" s="98"/>
      <c r="T445" s="98"/>
      <c r="U445" s="98"/>
      <c r="V445" s="95"/>
      <c r="W445" s="95"/>
      <c r="X445" s="85"/>
      <c r="AP445" t="str">
        <v/>
      </c>
      <c r="AQ445" t="str">
        <v/>
      </c>
      <c r="AR445" t="str">
        <v/>
      </c>
      <c r="AS445" t="str">
        <v/>
      </c>
      <c r="AT445" t="str">
        <v/>
      </c>
      <c r="AU445" t="str">
        <v/>
      </c>
      <c r="AV445" t="str">
        <v/>
      </c>
      <c r="AW445" t="str">
        <v/>
      </c>
    </row>
    <row r="446" spans="4:49" ht="15.75" x14ac:dyDescent="0.25">
      <c r="D446" s="3">
        <v>25</v>
      </c>
      <c r="F446" s="16" cm="1">
        <f t="array" ref="F4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46" s="31" cm="1">
        <f t="array" ref="G4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44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46" s="32" t="str">
        <f>TEXT(HLG_01[[#This Row],[Batch]],"000")&amp; " / " &amp; TEXT(HLG_01[[#This Row],[Rit]],"000")</f>
        <v>053 / 007</v>
      </c>
      <c r="J446" s="34"/>
      <c r="K446" s="38"/>
      <c r="L446" s="35"/>
      <c r="M446" s="85"/>
      <c r="N446" s="85"/>
      <c r="O446" s="85"/>
      <c r="P446" s="85"/>
      <c r="Q446" s="85"/>
      <c r="R446" s="85"/>
      <c r="S446" s="98"/>
      <c r="T446" s="98"/>
      <c r="U446" s="98"/>
      <c r="V446" s="95"/>
      <c r="W446" s="95"/>
      <c r="X446" s="85"/>
      <c r="AP446" t="str">
        <v/>
      </c>
      <c r="AQ446" t="str">
        <v/>
      </c>
      <c r="AR446" t="str">
        <v/>
      </c>
      <c r="AS446" t="str">
        <v/>
      </c>
      <c r="AT446" t="str">
        <v/>
      </c>
      <c r="AU446" t="str">
        <v/>
      </c>
      <c r="AV446" t="str">
        <v/>
      </c>
      <c r="AW446" t="str">
        <v/>
      </c>
    </row>
    <row r="447" spans="4:49" ht="15.75" x14ac:dyDescent="0.25">
      <c r="D447" s="3">
        <v>25</v>
      </c>
      <c r="F447" s="16" cm="1">
        <f t="array" ref="F4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47" s="31" cm="1">
        <f t="array" ref="G4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44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47" s="32" t="str">
        <f>TEXT(HLG_01[[#This Row],[Batch]],"000")&amp; " / " &amp; TEXT(HLG_01[[#This Row],[Rit]],"000")</f>
        <v>053 / 008</v>
      </c>
      <c r="J447" s="34"/>
      <c r="K447" s="38"/>
      <c r="L447" s="35"/>
      <c r="M447" s="85"/>
      <c r="N447" s="85"/>
      <c r="O447" s="85"/>
      <c r="P447" s="85"/>
      <c r="Q447" s="85"/>
      <c r="R447" s="85"/>
      <c r="S447" s="98"/>
      <c r="T447" s="98"/>
      <c r="U447" s="98"/>
      <c r="V447" s="95"/>
      <c r="W447" s="95"/>
      <c r="X447" s="85"/>
      <c r="AP447" t="str">
        <v/>
      </c>
      <c r="AQ447" t="str">
        <v/>
      </c>
      <c r="AR447" t="str">
        <v/>
      </c>
      <c r="AS447" t="str">
        <v/>
      </c>
      <c r="AT447" t="str">
        <v/>
      </c>
      <c r="AU447" t="str">
        <v/>
      </c>
      <c r="AV447" t="str">
        <v/>
      </c>
      <c r="AW447" t="str">
        <v/>
      </c>
    </row>
    <row r="448" spans="4:49" ht="15.75" x14ac:dyDescent="0.25">
      <c r="D448" s="3">
        <v>25</v>
      </c>
      <c r="F448" s="16" cm="1">
        <f t="array" ref="F4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48" s="31" cm="1">
        <f t="array" ref="G4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44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48" s="32" t="str">
        <f>TEXT(HLG_01[[#This Row],[Batch]],"000")&amp; " / " &amp; TEXT(HLG_01[[#This Row],[Rit]],"000")</f>
        <v>053 / 009</v>
      </c>
      <c r="J448" s="34"/>
      <c r="K448" s="38"/>
      <c r="L448" s="35"/>
      <c r="M448" s="85"/>
      <c r="N448" s="85"/>
      <c r="O448" s="85"/>
      <c r="P448" s="85"/>
      <c r="Q448" s="85"/>
      <c r="R448" s="85"/>
      <c r="S448" s="98"/>
      <c r="T448" s="98"/>
      <c r="U448" s="98"/>
      <c r="V448" s="95"/>
      <c r="W448" s="95"/>
      <c r="X448" s="85"/>
      <c r="AP448" t="str">
        <v/>
      </c>
      <c r="AQ448" t="str">
        <v/>
      </c>
      <c r="AR448" t="str">
        <v/>
      </c>
      <c r="AS448" t="str">
        <v/>
      </c>
      <c r="AT448" t="str">
        <v/>
      </c>
      <c r="AU448" t="str">
        <v/>
      </c>
      <c r="AV448" t="str">
        <v/>
      </c>
      <c r="AW448" t="str">
        <v/>
      </c>
    </row>
    <row r="449" spans="4:49" ht="15.75" x14ac:dyDescent="0.25">
      <c r="D449" s="3">
        <v>25</v>
      </c>
      <c r="F449" s="16" cm="1">
        <f t="array" ref="F4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49" s="31" cm="1">
        <f t="array" ref="G4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44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49" s="32" t="str">
        <f>TEXT(HLG_01[[#This Row],[Batch]],"000")&amp; " / " &amp; TEXT(HLG_01[[#This Row],[Rit]],"000")</f>
        <v>053 / 010</v>
      </c>
      <c r="J449" s="34"/>
      <c r="K449" s="38"/>
      <c r="L449" s="35"/>
      <c r="M449" s="85"/>
      <c r="N449" s="85"/>
      <c r="O449" s="85"/>
      <c r="P449" s="85"/>
      <c r="Q449" s="85"/>
      <c r="R449" s="85"/>
      <c r="S449" s="98"/>
      <c r="T449" s="98"/>
      <c r="U449" s="98"/>
      <c r="V449" s="95"/>
      <c r="W449" s="95"/>
      <c r="X449" s="85"/>
      <c r="AP449" t="str">
        <v/>
      </c>
      <c r="AQ449" t="str">
        <v/>
      </c>
      <c r="AR449" t="str">
        <v/>
      </c>
      <c r="AS449" t="str">
        <v/>
      </c>
      <c r="AT449" t="str">
        <v/>
      </c>
      <c r="AU449" t="str">
        <v/>
      </c>
      <c r="AV449" t="str">
        <v/>
      </c>
      <c r="AW449" t="str">
        <v/>
      </c>
    </row>
    <row r="450" spans="4:49" ht="15.75" x14ac:dyDescent="0.25">
      <c r="D450" s="3">
        <v>25</v>
      </c>
      <c r="F450" s="16" cm="1">
        <f t="array" ref="F4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50" s="31" cm="1">
        <f t="array" ref="G4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45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50" s="32" t="str">
        <f>TEXT(HLG_01[[#This Row],[Batch]],"000")&amp; " / " &amp; TEXT(HLG_01[[#This Row],[Rit]],"000")</f>
        <v>053 / 011</v>
      </c>
      <c r="J450" s="34"/>
      <c r="K450" s="38"/>
      <c r="L450" s="35"/>
      <c r="M450" s="85"/>
      <c r="N450" s="85"/>
      <c r="O450" s="85"/>
      <c r="P450" s="85"/>
      <c r="Q450" s="85"/>
      <c r="R450" s="85"/>
      <c r="S450" s="98"/>
      <c r="T450" s="98"/>
      <c r="U450" s="98"/>
      <c r="V450" s="95"/>
      <c r="W450" s="95"/>
      <c r="X450" s="85"/>
      <c r="AP450" t="str">
        <v/>
      </c>
      <c r="AQ450" t="str">
        <v/>
      </c>
      <c r="AR450" t="str">
        <v/>
      </c>
      <c r="AS450" t="str">
        <v/>
      </c>
      <c r="AT450" t="str">
        <v/>
      </c>
      <c r="AU450" t="str">
        <v/>
      </c>
      <c r="AV450" t="str">
        <v/>
      </c>
      <c r="AW450" t="str">
        <v/>
      </c>
    </row>
    <row r="451" spans="4:49" ht="15.75" x14ac:dyDescent="0.25">
      <c r="D451" s="3">
        <v>25</v>
      </c>
      <c r="F451" s="16" cm="1">
        <f t="array" ref="F4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51" s="31" cm="1">
        <f t="array" ref="G4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45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51" s="32" t="str">
        <f>TEXT(HLG_01[[#This Row],[Batch]],"000")&amp; " / " &amp; TEXT(HLG_01[[#This Row],[Rit]],"000")</f>
        <v>053 / 012</v>
      </c>
      <c r="J451" s="34"/>
      <c r="K451" s="38"/>
      <c r="L451" s="35"/>
      <c r="M451" s="85"/>
      <c r="N451" s="85"/>
      <c r="O451" s="85"/>
      <c r="P451" s="85"/>
      <c r="Q451" s="85"/>
      <c r="R451" s="85"/>
      <c r="S451" s="98"/>
      <c r="T451" s="98"/>
      <c r="U451" s="98"/>
      <c r="V451" s="95"/>
      <c r="W451" s="95"/>
      <c r="X451" s="85"/>
      <c r="AP451" t="str">
        <v/>
      </c>
      <c r="AQ451" t="str">
        <v/>
      </c>
      <c r="AR451" t="str">
        <v/>
      </c>
      <c r="AS451" t="str">
        <v/>
      </c>
      <c r="AT451" t="str">
        <v/>
      </c>
      <c r="AU451" t="str">
        <v/>
      </c>
      <c r="AV451" t="str">
        <v/>
      </c>
      <c r="AW451" t="str">
        <v/>
      </c>
    </row>
    <row r="452" spans="4:49" ht="15.75" x14ac:dyDescent="0.25">
      <c r="D452" s="3">
        <v>25</v>
      </c>
      <c r="F452" s="16" cm="1">
        <f t="array" ref="F4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52" s="31" cm="1">
        <f t="array" ref="G4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45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52" s="32" t="str">
        <f>TEXT(HLG_01[[#This Row],[Batch]],"000")&amp; " / " &amp; TEXT(HLG_01[[#This Row],[Rit]],"000")</f>
        <v>053 / 013</v>
      </c>
      <c r="J452" s="34"/>
      <c r="K452" s="38"/>
      <c r="L452" s="35"/>
      <c r="M452" s="85"/>
      <c r="N452" s="85"/>
      <c r="O452" s="85"/>
      <c r="P452" s="85"/>
      <c r="Q452" s="85"/>
      <c r="R452" s="85"/>
      <c r="S452" s="98"/>
      <c r="T452" s="98"/>
      <c r="U452" s="98"/>
      <c r="V452" s="95"/>
      <c r="W452" s="95"/>
      <c r="X452" s="85"/>
      <c r="AP452" t="str">
        <v/>
      </c>
      <c r="AQ452" t="str">
        <v/>
      </c>
      <c r="AR452" t="str">
        <v/>
      </c>
      <c r="AS452" t="str">
        <v/>
      </c>
      <c r="AT452" t="str">
        <v/>
      </c>
      <c r="AU452" t="str">
        <v/>
      </c>
      <c r="AV452" t="str">
        <v/>
      </c>
      <c r="AW452" t="str">
        <v/>
      </c>
    </row>
    <row r="453" spans="4:49" ht="15.75" x14ac:dyDescent="0.25">
      <c r="D453" s="3">
        <v>25</v>
      </c>
      <c r="F453" s="16" cm="1">
        <f t="array" ref="F4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53" s="31" cm="1">
        <f t="array" ref="G4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45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53" s="32" t="str">
        <f>TEXT(HLG_01[[#This Row],[Batch]],"000")&amp; " / " &amp; TEXT(HLG_01[[#This Row],[Rit]],"000")</f>
        <v>053 / 014</v>
      </c>
      <c r="J453" s="34"/>
      <c r="K453" s="38"/>
      <c r="L453" s="35"/>
      <c r="M453" s="85"/>
      <c r="N453" s="85"/>
      <c r="O453" s="85"/>
      <c r="P453" s="85"/>
      <c r="Q453" s="85"/>
      <c r="R453" s="85"/>
      <c r="S453" s="98"/>
      <c r="T453" s="98"/>
      <c r="U453" s="98"/>
      <c r="V453" s="95"/>
      <c r="W453" s="95"/>
      <c r="X453" s="85"/>
      <c r="AP453" t="str">
        <v/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/>
      </c>
    </row>
    <row r="454" spans="4:49" ht="15.75" x14ac:dyDescent="0.25">
      <c r="D454" s="3">
        <v>25</v>
      </c>
      <c r="F454" s="16" cm="1">
        <f t="array" ref="F4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54" s="31" cm="1">
        <f t="array" ref="G4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45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54" s="32" t="str">
        <f>TEXT(HLG_01[[#This Row],[Batch]],"000")&amp; " / " &amp; TEXT(HLG_01[[#This Row],[Rit]],"000")</f>
        <v>053 / 015</v>
      </c>
      <c r="J454" s="34"/>
      <c r="K454" s="38"/>
      <c r="L454" s="35"/>
      <c r="M454" s="85"/>
      <c r="N454" s="85"/>
      <c r="O454" s="85"/>
      <c r="P454" s="85"/>
      <c r="Q454" s="85"/>
      <c r="R454" s="85"/>
      <c r="S454" s="98"/>
      <c r="T454" s="98"/>
      <c r="U454" s="98"/>
      <c r="V454" s="95"/>
      <c r="W454" s="95"/>
      <c r="X454" s="85"/>
      <c r="AP454" t="str">
        <v/>
      </c>
      <c r="AQ454" t="str">
        <v/>
      </c>
      <c r="AR454" t="str">
        <v/>
      </c>
      <c r="AS454" t="str">
        <v/>
      </c>
      <c r="AT454" t="str">
        <v/>
      </c>
      <c r="AU454" t="str">
        <v/>
      </c>
      <c r="AV454" t="str">
        <v/>
      </c>
      <c r="AW454" t="str">
        <v/>
      </c>
    </row>
    <row r="455" spans="4:49" ht="15.75" x14ac:dyDescent="0.25">
      <c r="D455" s="3">
        <v>25</v>
      </c>
      <c r="F455" s="16" cm="1">
        <f t="array" ref="F4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55" s="31" cm="1">
        <f t="array" ref="G4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45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55" s="32" t="str">
        <f>TEXT(HLG_01[[#This Row],[Batch]],"000")&amp; " / " &amp; TEXT(HLG_01[[#This Row],[Rit]],"000")</f>
        <v>053 / 016</v>
      </c>
      <c r="J455" s="34"/>
      <c r="K455" s="38"/>
      <c r="L455" s="35"/>
      <c r="M455" s="85"/>
      <c r="N455" s="85"/>
      <c r="O455" s="85"/>
      <c r="P455" s="85"/>
      <c r="Q455" s="85"/>
      <c r="R455" s="85"/>
      <c r="S455" s="98"/>
      <c r="T455" s="98"/>
      <c r="U455" s="98"/>
      <c r="V455" s="95"/>
      <c r="W455" s="95"/>
      <c r="X455" s="85"/>
      <c r="AP455" t="str">
        <v/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/>
      </c>
    </row>
    <row r="456" spans="4:49" ht="15.75" x14ac:dyDescent="0.25">
      <c r="D456" s="3">
        <v>25</v>
      </c>
      <c r="F456" s="16" cm="1">
        <f t="array" ref="F4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56" s="31" cm="1">
        <f t="array" ref="G4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45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56" s="32" t="str">
        <f>TEXT(HLG_01[[#This Row],[Batch]],"000")&amp; " / " &amp; TEXT(HLG_01[[#This Row],[Rit]],"000")</f>
        <v>053 / 017</v>
      </c>
      <c r="J456" s="34"/>
      <c r="K456" s="38"/>
      <c r="L456" s="35"/>
      <c r="M456" s="85"/>
      <c r="N456" s="85"/>
      <c r="O456" s="85"/>
      <c r="P456" s="85"/>
      <c r="Q456" s="85"/>
      <c r="R456" s="85"/>
      <c r="S456" s="98"/>
      <c r="T456" s="98"/>
      <c r="U456" s="98"/>
      <c r="V456" s="95"/>
      <c r="W456" s="95"/>
      <c r="X456" s="85"/>
      <c r="AP456" t="str">
        <v/>
      </c>
      <c r="AQ456" t="str">
        <v/>
      </c>
      <c r="AR456" t="str">
        <v/>
      </c>
      <c r="AS456" t="str">
        <v/>
      </c>
      <c r="AT456" t="str">
        <v/>
      </c>
      <c r="AU456" t="str">
        <v/>
      </c>
      <c r="AV456" t="str">
        <v/>
      </c>
      <c r="AW456" t="str">
        <v/>
      </c>
    </row>
    <row r="457" spans="4:49" ht="15.75" x14ac:dyDescent="0.25">
      <c r="D457" s="3">
        <v>25</v>
      </c>
      <c r="F457" s="16" cm="1">
        <f t="array" ref="F4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57" s="31" cm="1">
        <f t="array" ref="G4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45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57" s="32" t="str">
        <f>TEXT(HLG_01[[#This Row],[Batch]],"000")&amp; " / " &amp; TEXT(HLG_01[[#This Row],[Rit]],"000")</f>
        <v>053 / 018</v>
      </c>
      <c r="J457" s="34"/>
      <c r="K457" s="38"/>
      <c r="L457" s="35"/>
      <c r="M457" s="85"/>
      <c r="N457" s="85"/>
      <c r="O457" s="85"/>
      <c r="P457" s="85"/>
      <c r="Q457" s="85"/>
      <c r="R457" s="85"/>
      <c r="S457" s="98"/>
      <c r="T457" s="98"/>
      <c r="U457" s="98"/>
      <c r="V457" s="95"/>
      <c r="W457" s="95"/>
      <c r="X457" s="85"/>
      <c r="AP457" t="str">
        <v/>
      </c>
      <c r="AQ457" t="str">
        <v/>
      </c>
      <c r="AR457" t="str">
        <v/>
      </c>
      <c r="AS457" t="str">
        <v/>
      </c>
      <c r="AT457" t="str">
        <v/>
      </c>
      <c r="AU457" t="str">
        <v/>
      </c>
      <c r="AV457" t="str">
        <v/>
      </c>
      <c r="AW457" t="str">
        <v/>
      </c>
    </row>
    <row r="458" spans="4:49" ht="15.75" x14ac:dyDescent="0.25">
      <c r="D458" s="3">
        <v>25</v>
      </c>
      <c r="F458" s="16" cm="1">
        <f t="array" ref="F4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58" s="31" cm="1">
        <f t="array" ref="G4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45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58" s="32" t="str">
        <f>TEXT(HLG_01[[#This Row],[Batch]],"000")&amp; " / " &amp; TEXT(HLG_01[[#This Row],[Rit]],"000")</f>
        <v>053 / 019</v>
      </c>
      <c r="J458" s="34"/>
      <c r="K458" s="38"/>
      <c r="L458" s="35"/>
      <c r="M458" s="85"/>
      <c r="N458" s="85"/>
      <c r="O458" s="85"/>
      <c r="P458" s="85"/>
      <c r="Q458" s="85"/>
      <c r="R458" s="85"/>
      <c r="S458" s="98"/>
      <c r="T458" s="98"/>
      <c r="U458" s="98"/>
      <c r="V458" s="95"/>
      <c r="W458" s="95"/>
      <c r="X458" s="85"/>
      <c r="AP458" t="str">
        <v/>
      </c>
      <c r="AQ458" t="str">
        <v/>
      </c>
      <c r="AR458" t="str">
        <v/>
      </c>
      <c r="AS458" t="str">
        <v/>
      </c>
      <c r="AT458" t="str">
        <v/>
      </c>
      <c r="AU458" t="str">
        <v/>
      </c>
      <c r="AV458" t="str">
        <v/>
      </c>
      <c r="AW458" t="str">
        <v/>
      </c>
    </row>
    <row r="459" spans="4:49" ht="15.75" x14ac:dyDescent="0.25">
      <c r="D459" s="3">
        <v>25</v>
      </c>
      <c r="F459" s="16" cm="1">
        <f t="array" ref="F4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53</v>
      </c>
      <c r="G459" s="31" cm="1">
        <f t="array" ref="G4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45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59" s="32" t="str">
        <f>TEXT(HLG_01[[#This Row],[Batch]],"000")&amp; " / " &amp; TEXT(HLG_01[[#This Row],[Rit]],"000")</f>
        <v>053 / 020</v>
      </c>
      <c r="J459" s="34"/>
      <c r="K459" s="38"/>
      <c r="L459" s="35"/>
      <c r="M459" s="85"/>
      <c r="N459" s="85"/>
      <c r="O459" s="85"/>
      <c r="P459" s="85"/>
      <c r="Q459" s="85"/>
      <c r="R459" s="85"/>
      <c r="S459" s="98"/>
      <c r="T459" s="98"/>
      <c r="U459" s="98"/>
      <c r="V459" s="95"/>
      <c r="W459" s="95"/>
      <c r="X459" s="85"/>
      <c r="AP459" t="str">
        <v/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/>
      </c>
    </row>
    <row r="460" spans="4:49" ht="15.75" x14ac:dyDescent="0.25">
      <c r="D460" s="3">
        <v>26</v>
      </c>
      <c r="F460" s="16" cm="1">
        <f t="array" ref="F4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60" s="31" cm="1">
        <f t="array" ref="G4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46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60" s="32" t="str">
        <f>TEXT(HLG_01[[#This Row],[Batch]],"000")&amp; " / " &amp; TEXT(HLG_01[[#This Row],[Rit]],"000")</f>
        <v>054 / 001</v>
      </c>
      <c r="J460" s="34"/>
      <c r="K460" s="38"/>
      <c r="L460" s="35"/>
      <c r="M460" s="85"/>
      <c r="N460" s="85"/>
      <c r="O460" s="85"/>
      <c r="P460" s="85"/>
      <c r="Q460" s="85"/>
      <c r="R460" s="85"/>
      <c r="S460" s="98"/>
      <c r="T460" s="98"/>
      <c r="U460" s="98"/>
      <c r="V460" s="95"/>
      <c r="W460" s="95"/>
      <c r="X460" s="85"/>
      <c r="AP460" t="str">
        <v/>
      </c>
      <c r="AQ460" t="str">
        <v/>
      </c>
      <c r="AR460" t="str">
        <v/>
      </c>
      <c r="AS460" t="str">
        <v/>
      </c>
      <c r="AT460" t="str">
        <v/>
      </c>
      <c r="AU460" t="str">
        <v/>
      </c>
      <c r="AV460" t="str">
        <v/>
      </c>
      <c r="AW460" t="str">
        <v/>
      </c>
    </row>
    <row r="461" spans="4:49" ht="15.75" x14ac:dyDescent="0.25">
      <c r="D461" s="3">
        <v>26</v>
      </c>
      <c r="F461" s="16" cm="1">
        <f t="array" ref="F4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61" s="31" cm="1">
        <f t="array" ref="G4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46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61" s="32" t="str">
        <f>TEXT(HLG_01[[#This Row],[Batch]],"000")&amp; " / " &amp; TEXT(HLG_01[[#This Row],[Rit]],"000")</f>
        <v>054 / 002</v>
      </c>
      <c r="J461" s="34"/>
      <c r="K461" s="38"/>
      <c r="L461" s="35"/>
      <c r="M461" s="85"/>
      <c r="N461" s="85"/>
      <c r="O461" s="85"/>
      <c r="P461" s="85"/>
      <c r="Q461" s="85"/>
      <c r="R461" s="85"/>
      <c r="S461" s="98"/>
      <c r="T461" s="98"/>
      <c r="U461" s="98"/>
      <c r="V461" s="95"/>
      <c r="W461" s="95"/>
      <c r="X461" s="85"/>
      <c r="AP461" t="str">
        <v/>
      </c>
      <c r="AQ461" t="str">
        <v/>
      </c>
      <c r="AR461" t="str">
        <v/>
      </c>
      <c r="AS461" t="str">
        <v/>
      </c>
      <c r="AT461" t="str">
        <v/>
      </c>
      <c r="AU461" t="str">
        <v/>
      </c>
      <c r="AV461" t="str">
        <v/>
      </c>
      <c r="AW461" t="str">
        <v/>
      </c>
    </row>
    <row r="462" spans="4:49" ht="15.75" x14ac:dyDescent="0.25">
      <c r="D462" s="3">
        <v>26</v>
      </c>
      <c r="F462" s="16" cm="1">
        <f t="array" ref="F4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62" s="31" cm="1">
        <f t="array" ref="G4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46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62" s="32" t="str">
        <f>TEXT(HLG_01[[#This Row],[Batch]],"000")&amp; " / " &amp; TEXT(HLG_01[[#This Row],[Rit]],"000")</f>
        <v>054 / 003</v>
      </c>
      <c r="J462" s="34"/>
      <c r="K462" s="38"/>
      <c r="L462" s="35"/>
      <c r="M462" s="85"/>
      <c r="N462" s="85"/>
      <c r="O462" s="85"/>
      <c r="P462" s="85"/>
      <c r="Q462" s="85"/>
      <c r="R462" s="85"/>
      <c r="S462" s="98"/>
      <c r="T462" s="98"/>
      <c r="U462" s="98"/>
      <c r="V462" s="95"/>
      <c r="W462" s="95"/>
      <c r="X462" s="85"/>
      <c r="AP462" t="str">
        <v/>
      </c>
      <c r="AQ462" t="str">
        <v/>
      </c>
      <c r="AR462" t="str">
        <v/>
      </c>
      <c r="AS462" t="str">
        <v/>
      </c>
      <c r="AT462" t="str">
        <v/>
      </c>
      <c r="AU462" t="str">
        <v/>
      </c>
      <c r="AV462" t="str">
        <v/>
      </c>
      <c r="AW462" t="str">
        <v/>
      </c>
    </row>
    <row r="463" spans="4:49" ht="15.75" x14ac:dyDescent="0.25">
      <c r="D463" s="3">
        <v>26</v>
      </c>
      <c r="F463" s="16" cm="1">
        <f t="array" ref="F4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63" s="31" cm="1">
        <f t="array" ref="G4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46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63" s="32" t="str">
        <f>TEXT(HLG_01[[#This Row],[Batch]],"000")&amp; " / " &amp; TEXT(HLG_01[[#This Row],[Rit]],"000")</f>
        <v>054 / 004</v>
      </c>
      <c r="J463" s="34"/>
      <c r="K463" s="38"/>
      <c r="L463" s="35"/>
      <c r="M463" s="85"/>
      <c r="N463" s="85"/>
      <c r="O463" s="85"/>
      <c r="P463" s="85"/>
      <c r="Q463" s="85"/>
      <c r="R463" s="85"/>
      <c r="S463" s="98"/>
      <c r="T463" s="98"/>
      <c r="U463" s="98"/>
      <c r="V463" s="95"/>
      <c r="W463" s="95"/>
      <c r="X463" s="85"/>
      <c r="AP463" t="str">
        <v/>
      </c>
      <c r="AQ463" t="str">
        <v/>
      </c>
      <c r="AR463" t="str">
        <v/>
      </c>
      <c r="AS463" t="str">
        <v/>
      </c>
      <c r="AT463" t="str">
        <v/>
      </c>
      <c r="AU463" t="str">
        <v/>
      </c>
      <c r="AV463" t="str">
        <v/>
      </c>
      <c r="AW463" t="str">
        <v/>
      </c>
    </row>
    <row r="464" spans="4:49" ht="15.75" x14ac:dyDescent="0.25">
      <c r="D464" s="3">
        <v>26</v>
      </c>
      <c r="F464" s="16" cm="1">
        <f t="array" ref="F4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64" s="31" cm="1">
        <f t="array" ref="G4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46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64" s="32" t="str">
        <f>TEXT(HLG_01[[#This Row],[Batch]],"000")&amp; " / " &amp; TEXT(HLG_01[[#This Row],[Rit]],"000")</f>
        <v>054 / 005</v>
      </c>
      <c r="J464" s="34"/>
      <c r="K464" s="38"/>
      <c r="L464" s="35"/>
      <c r="M464" s="85"/>
      <c r="N464" s="85"/>
      <c r="O464" s="85"/>
      <c r="P464" s="85"/>
      <c r="Q464" s="85"/>
      <c r="R464" s="85"/>
      <c r="S464" s="98"/>
      <c r="T464" s="98"/>
      <c r="U464" s="98"/>
      <c r="V464" s="95"/>
      <c r="W464" s="95"/>
      <c r="X464" s="85"/>
      <c r="AP464" t="str">
        <v/>
      </c>
      <c r="AQ464" t="str">
        <v/>
      </c>
      <c r="AR464" t="str">
        <v/>
      </c>
      <c r="AS464" t="str">
        <v/>
      </c>
      <c r="AT464" t="str">
        <v/>
      </c>
      <c r="AU464" t="str">
        <v/>
      </c>
      <c r="AV464" t="str">
        <v/>
      </c>
      <c r="AW464" t="str">
        <v/>
      </c>
    </row>
    <row r="465" spans="4:49" ht="15.75" x14ac:dyDescent="0.25">
      <c r="D465" s="3">
        <v>26</v>
      </c>
      <c r="F465" s="16" cm="1">
        <f t="array" ref="F4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65" s="31" cm="1">
        <f t="array" ref="G4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46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65" s="32" t="str">
        <f>TEXT(HLG_01[[#This Row],[Batch]],"000")&amp; " / " &amp; TEXT(HLG_01[[#This Row],[Rit]],"000")</f>
        <v>054 / 006</v>
      </c>
      <c r="J465" s="34"/>
      <c r="K465" s="38"/>
      <c r="L465" s="35"/>
      <c r="M465" s="85"/>
      <c r="N465" s="85"/>
      <c r="O465" s="85"/>
      <c r="P465" s="85"/>
      <c r="Q465" s="85"/>
      <c r="R465" s="85"/>
      <c r="S465" s="98"/>
      <c r="T465" s="98"/>
      <c r="U465" s="98"/>
      <c r="V465" s="95"/>
      <c r="W465" s="95"/>
      <c r="X465" s="85"/>
      <c r="AP465" t="str">
        <v/>
      </c>
      <c r="AQ465" t="str">
        <v/>
      </c>
      <c r="AR465" t="str">
        <v/>
      </c>
      <c r="AS465" t="str">
        <v/>
      </c>
      <c r="AT465" t="str">
        <v/>
      </c>
      <c r="AU465" t="str">
        <v/>
      </c>
      <c r="AV465" t="str">
        <v/>
      </c>
      <c r="AW465" t="str">
        <v/>
      </c>
    </row>
    <row r="466" spans="4:49" ht="15.75" x14ac:dyDescent="0.25">
      <c r="D466" s="3">
        <v>26</v>
      </c>
      <c r="F466" s="16" cm="1">
        <f t="array" ref="F4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66" s="31" cm="1">
        <f t="array" ref="G4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46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66" s="32" t="str">
        <f>TEXT(HLG_01[[#This Row],[Batch]],"000")&amp; " / " &amp; TEXT(HLG_01[[#This Row],[Rit]],"000")</f>
        <v>054 / 007</v>
      </c>
      <c r="J466" s="34"/>
      <c r="K466" s="38"/>
      <c r="L466" s="35"/>
      <c r="M466" s="85"/>
      <c r="N466" s="85"/>
      <c r="O466" s="85"/>
      <c r="P466" s="85"/>
      <c r="Q466" s="85"/>
      <c r="R466" s="85"/>
      <c r="S466" s="98"/>
      <c r="T466" s="98"/>
      <c r="U466" s="98"/>
      <c r="V466" s="95"/>
      <c r="W466" s="95"/>
      <c r="X466" s="85"/>
      <c r="AP466" t="str">
        <v/>
      </c>
      <c r="AQ466" t="str">
        <v/>
      </c>
      <c r="AR466" t="str">
        <v/>
      </c>
      <c r="AS466" t="str">
        <v/>
      </c>
      <c r="AT466" t="str">
        <v/>
      </c>
      <c r="AU466" t="str">
        <v/>
      </c>
      <c r="AV466" t="str">
        <v/>
      </c>
      <c r="AW466" t="str">
        <v/>
      </c>
    </row>
    <row r="467" spans="4:49" ht="15.75" x14ac:dyDescent="0.25">
      <c r="D467" s="3">
        <v>26</v>
      </c>
      <c r="F467" s="16" cm="1">
        <f t="array" ref="F4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67" s="31" cm="1">
        <f t="array" ref="G4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46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67" s="32" t="str">
        <f>TEXT(HLG_01[[#This Row],[Batch]],"000")&amp; " / " &amp; TEXT(HLG_01[[#This Row],[Rit]],"000")</f>
        <v>054 / 008</v>
      </c>
      <c r="J467" s="34"/>
      <c r="K467" s="38"/>
      <c r="L467" s="35"/>
      <c r="M467" s="85"/>
      <c r="N467" s="85"/>
      <c r="O467" s="85"/>
      <c r="P467" s="85"/>
      <c r="Q467" s="85"/>
      <c r="R467" s="85"/>
      <c r="S467" s="98"/>
      <c r="T467" s="98"/>
      <c r="U467" s="98"/>
      <c r="V467" s="95"/>
      <c r="W467" s="95"/>
      <c r="X467" s="85"/>
      <c r="AP467" t="str">
        <v/>
      </c>
      <c r="AQ467" t="str">
        <v/>
      </c>
      <c r="AR467" t="str">
        <v/>
      </c>
      <c r="AS467" t="str">
        <v/>
      </c>
      <c r="AT467" t="str">
        <v/>
      </c>
      <c r="AU467" t="str">
        <v/>
      </c>
      <c r="AV467" t="str">
        <v/>
      </c>
      <c r="AW467" t="str">
        <v/>
      </c>
    </row>
    <row r="468" spans="4:49" ht="15.75" x14ac:dyDescent="0.25">
      <c r="D468" s="3">
        <v>26</v>
      </c>
      <c r="F468" s="16" cm="1">
        <f t="array" ref="F4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68" s="31" cm="1">
        <f t="array" ref="G4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46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68" s="32" t="str">
        <f>TEXT(HLG_01[[#This Row],[Batch]],"000")&amp; " / " &amp; TEXT(HLG_01[[#This Row],[Rit]],"000")</f>
        <v>054 / 009</v>
      </c>
      <c r="J468" s="34"/>
      <c r="K468" s="38"/>
      <c r="L468" s="35"/>
      <c r="M468" s="85"/>
      <c r="N468" s="85"/>
      <c r="O468" s="85"/>
      <c r="P468" s="85"/>
      <c r="Q468" s="85"/>
      <c r="R468" s="85"/>
      <c r="S468" s="98"/>
      <c r="T468" s="98"/>
      <c r="U468" s="98"/>
      <c r="V468" s="95"/>
      <c r="W468" s="95"/>
      <c r="X468" s="85"/>
      <c r="AP468" t="str">
        <v/>
      </c>
      <c r="AQ468" t="str">
        <v/>
      </c>
      <c r="AR468" t="str">
        <v/>
      </c>
      <c r="AS468" t="str">
        <v/>
      </c>
      <c r="AT468" t="str">
        <v/>
      </c>
      <c r="AU468" t="str">
        <v/>
      </c>
      <c r="AV468" t="str">
        <v/>
      </c>
      <c r="AW468" t="str">
        <v/>
      </c>
    </row>
    <row r="469" spans="4:49" ht="15.75" x14ac:dyDescent="0.25">
      <c r="D469" s="3">
        <v>26</v>
      </c>
      <c r="F469" s="16" cm="1">
        <f t="array" ref="F4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69" s="31" cm="1">
        <f t="array" ref="G4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46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69" s="32" t="str">
        <f>TEXT(HLG_01[[#This Row],[Batch]],"000")&amp; " / " &amp; TEXT(HLG_01[[#This Row],[Rit]],"000")</f>
        <v>054 / 010</v>
      </c>
      <c r="J469" s="34"/>
      <c r="K469" s="38"/>
      <c r="L469" s="35"/>
      <c r="M469" s="85"/>
      <c r="N469" s="85"/>
      <c r="O469" s="85"/>
      <c r="P469" s="85"/>
      <c r="Q469" s="85"/>
      <c r="R469" s="85"/>
      <c r="S469" s="98"/>
      <c r="T469" s="98"/>
      <c r="U469" s="98"/>
      <c r="V469" s="95"/>
      <c r="W469" s="95"/>
      <c r="X469" s="85"/>
      <c r="AP469" t="str">
        <v/>
      </c>
      <c r="AQ469" t="str">
        <v/>
      </c>
      <c r="AR469" t="str">
        <v/>
      </c>
      <c r="AS469" t="str">
        <v/>
      </c>
      <c r="AT469" t="str">
        <v/>
      </c>
      <c r="AU469" t="str">
        <v/>
      </c>
      <c r="AV469" t="str">
        <v/>
      </c>
      <c r="AW469" t="str">
        <v/>
      </c>
    </row>
    <row r="470" spans="4:49" ht="15.75" x14ac:dyDescent="0.25">
      <c r="D470" s="3">
        <v>26</v>
      </c>
      <c r="F470" s="16" cm="1">
        <f t="array" ref="F4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70" s="31" cm="1">
        <f t="array" ref="G4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47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70" s="32" t="str">
        <f>TEXT(HLG_01[[#This Row],[Batch]],"000")&amp; " / " &amp; TEXT(HLG_01[[#This Row],[Rit]],"000")</f>
        <v>054 / 011</v>
      </c>
      <c r="J470" s="34"/>
      <c r="K470" s="38"/>
      <c r="L470" s="35"/>
      <c r="M470" s="85"/>
      <c r="N470" s="85"/>
      <c r="O470" s="85"/>
      <c r="P470" s="85"/>
      <c r="Q470" s="85"/>
      <c r="R470" s="85"/>
      <c r="S470" s="98"/>
      <c r="T470" s="98"/>
      <c r="U470" s="98"/>
      <c r="V470" s="95"/>
      <c r="W470" s="95"/>
      <c r="X470" s="85"/>
      <c r="AP470" t="str">
        <v/>
      </c>
      <c r="AQ470" t="str">
        <v/>
      </c>
      <c r="AR470" t="str">
        <v/>
      </c>
      <c r="AS470" t="str">
        <v/>
      </c>
      <c r="AT470" t="str">
        <v/>
      </c>
      <c r="AU470" t="str">
        <v/>
      </c>
      <c r="AV470" t="str">
        <v/>
      </c>
      <c r="AW470" t="str">
        <v/>
      </c>
    </row>
    <row r="471" spans="4:49" ht="15.75" x14ac:dyDescent="0.25">
      <c r="D471" s="3">
        <v>26</v>
      </c>
      <c r="F471" s="16" cm="1">
        <f t="array" ref="F4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71" s="31" cm="1">
        <f t="array" ref="G4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47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71" s="32" t="str">
        <f>TEXT(HLG_01[[#This Row],[Batch]],"000")&amp; " / " &amp; TEXT(HLG_01[[#This Row],[Rit]],"000")</f>
        <v>054 / 012</v>
      </c>
      <c r="J471" s="34"/>
      <c r="K471" s="38"/>
      <c r="L471" s="35"/>
      <c r="M471" s="85"/>
      <c r="N471" s="85"/>
      <c r="O471" s="85"/>
      <c r="P471" s="85"/>
      <c r="Q471" s="85"/>
      <c r="R471" s="85"/>
      <c r="S471" s="98"/>
      <c r="T471" s="98"/>
      <c r="U471" s="98"/>
      <c r="V471" s="95"/>
      <c r="W471" s="95"/>
      <c r="X471" s="85"/>
      <c r="AP471" t="str">
        <v/>
      </c>
      <c r="AQ471" t="str">
        <v/>
      </c>
      <c r="AR471" t="str">
        <v/>
      </c>
      <c r="AS471" t="str">
        <v/>
      </c>
      <c r="AT471" t="str">
        <v/>
      </c>
      <c r="AU471" t="str">
        <v/>
      </c>
      <c r="AV471" t="str">
        <v/>
      </c>
      <c r="AW471" t="str">
        <v/>
      </c>
    </row>
    <row r="472" spans="4:49" ht="15.75" x14ac:dyDescent="0.25">
      <c r="D472" s="3">
        <v>26</v>
      </c>
      <c r="F472" s="16" cm="1">
        <f t="array" ref="F4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72" s="31" cm="1">
        <f t="array" ref="G4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47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72" s="32" t="str">
        <f>TEXT(HLG_01[[#This Row],[Batch]],"000")&amp; " / " &amp; TEXT(HLG_01[[#This Row],[Rit]],"000")</f>
        <v>054 / 013</v>
      </c>
      <c r="J472" s="34"/>
      <c r="K472" s="38"/>
      <c r="L472" s="35"/>
      <c r="M472" s="85"/>
      <c r="N472" s="85"/>
      <c r="O472" s="85"/>
      <c r="P472" s="85"/>
      <c r="Q472" s="85"/>
      <c r="R472" s="85"/>
      <c r="S472" s="98"/>
      <c r="T472" s="98"/>
      <c r="U472" s="98"/>
      <c r="V472" s="95"/>
      <c r="W472" s="95"/>
      <c r="X472" s="85"/>
      <c r="AP472" t="str">
        <v/>
      </c>
      <c r="AQ472" t="str">
        <v/>
      </c>
      <c r="AR472" t="str">
        <v/>
      </c>
      <c r="AS472" t="str">
        <v/>
      </c>
      <c r="AT472" t="str">
        <v/>
      </c>
      <c r="AU472" t="str">
        <v/>
      </c>
      <c r="AV472" t="str">
        <v/>
      </c>
      <c r="AW472" t="str">
        <v/>
      </c>
    </row>
    <row r="473" spans="4:49" ht="15.75" x14ac:dyDescent="0.25">
      <c r="D473" s="3">
        <v>26</v>
      </c>
      <c r="F473" s="16" cm="1">
        <f t="array" ref="F4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73" s="31" cm="1">
        <f t="array" ref="G4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47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73" s="32" t="str">
        <f>TEXT(HLG_01[[#This Row],[Batch]],"000")&amp; " / " &amp; TEXT(HLG_01[[#This Row],[Rit]],"000")</f>
        <v>054 / 014</v>
      </c>
      <c r="J473" s="34"/>
      <c r="K473" s="38"/>
      <c r="L473" s="35"/>
      <c r="M473" s="85"/>
      <c r="N473" s="85"/>
      <c r="O473" s="85"/>
      <c r="P473" s="85"/>
      <c r="Q473" s="85"/>
      <c r="R473" s="85"/>
      <c r="S473" s="98"/>
      <c r="T473" s="98"/>
      <c r="U473" s="98"/>
      <c r="V473" s="95"/>
      <c r="W473" s="95"/>
      <c r="X473" s="85"/>
      <c r="AP473" t="str">
        <v/>
      </c>
      <c r="AQ473" t="str">
        <v/>
      </c>
      <c r="AR473" t="str">
        <v/>
      </c>
      <c r="AS473" t="str">
        <v/>
      </c>
      <c r="AT473" t="str">
        <v/>
      </c>
      <c r="AU473" t="str">
        <v/>
      </c>
      <c r="AV473" t="str">
        <v/>
      </c>
      <c r="AW473" t="str">
        <v/>
      </c>
    </row>
    <row r="474" spans="4:49" ht="15.75" x14ac:dyDescent="0.25">
      <c r="D474" s="3">
        <v>26</v>
      </c>
      <c r="F474" s="16" cm="1">
        <f t="array" ref="F4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74" s="31" cm="1">
        <f t="array" ref="G4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47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74" s="32" t="str">
        <f>TEXT(HLG_01[[#This Row],[Batch]],"000")&amp; " / " &amp; TEXT(HLG_01[[#This Row],[Rit]],"000")</f>
        <v>054 / 015</v>
      </c>
      <c r="J474" s="34"/>
      <c r="K474" s="38"/>
      <c r="L474" s="35"/>
      <c r="M474" s="85"/>
      <c r="N474" s="85"/>
      <c r="O474" s="85"/>
      <c r="P474" s="85"/>
      <c r="Q474" s="85"/>
      <c r="R474" s="85"/>
      <c r="S474" s="98"/>
      <c r="T474" s="98"/>
      <c r="U474" s="98"/>
      <c r="V474" s="95"/>
      <c r="W474" s="95"/>
      <c r="X474" s="85"/>
      <c r="AP474" t="str">
        <v/>
      </c>
      <c r="AQ474" t="str">
        <v/>
      </c>
      <c r="AR474" t="str">
        <v/>
      </c>
      <c r="AS474" t="str">
        <v/>
      </c>
      <c r="AT474" t="str">
        <v/>
      </c>
      <c r="AU474" t="str">
        <v/>
      </c>
      <c r="AV474" t="str">
        <v/>
      </c>
      <c r="AW474" t="str">
        <v/>
      </c>
    </row>
    <row r="475" spans="4:49" ht="15.75" x14ac:dyDescent="0.25">
      <c r="D475" s="3">
        <v>26</v>
      </c>
      <c r="F475" s="16" cm="1">
        <f t="array" ref="F4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75" s="31" cm="1">
        <f t="array" ref="G4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47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75" s="32" t="str">
        <f>TEXT(HLG_01[[#This Row],[Batch]],"000")&amp; " / " &amp; TEXT(HLG_01[[#This Row],[Rit]],"000")</f>
        <v>054 / 016</v>
      </c>
      <c r="J475" s="34"/>
      <c r="K475" s="38"/>
      <c r="L475" s="35"/>
      <c r="M475" s="85"/>
      <c r="N475" s="85"/>
      <c r="O475" s="85"/>
      <c r="P475" s="85"/>
      <c r="Q475" s="85"/>
      <c r="R475" s="85"/>
      <c r="S475" s="98"/>
      <c r="T475" s="98"/>
      <c r="U475" s="98"/>
      <c r="V475" s="95"/>
      <c r="W475" s="95"/>
      <c r="X475" s="85"/>
      <c r="AP475" t="str">
        <v/>
      </c>
      <c r="AQ475" t="str">
        <v/>
      </c>
      <c r="AR475" t="str">
        <v/>
      </c>
      <c r="AS475" t="str">
        <v/>
      </c>
      <c r="AT475" t="str">
        <v/>
      </c>
      <c r="AU475" t="str">
        <v/>
      </c>
      <c r="AV475" t="str">
        <v/>
      </c>
      <c r="AW475" t="str">
        <v/>
      </c>
    </row>
    <row r="476" spans="4:49" ht="15.75" x14ac:dyDescent="0.25">
      <c r="D476" s="3">
        <v>26</v>
      </c>
      <c r="F476" s="16" cm="1">
        <f t="array" ref="F4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76" s="31" cm="1">
        <f t="array" ref="G4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47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76" s="32" t="str">
        <f>TEXT(HLG_01[[#This Row],[Batch]],"000")&amp; " / " &amp; TEXT(HLG_01[[#This Row],[Rit]],"000")</f>
        <v>054 / 017</v>
      </c>
      <c r="J476" s="34"/>
      <c r="K476" s="38"/>
      <c r="L476" s="35"/>
      <c r="M476" s="85"/>
      <c r="N476" s="85"/>
      <c r="O476" s="85"/>
      <c r="P476" s="85"/>
      <c r="Q476" s="85"/>
      <c r="R476" s="85"/>
      <c r="S476" s="98"/>
      <c r="T476" s="98"/>
      <c r="U476" s="98"/>
      <c r="V476" s="95"/>
      <c r="W476" s="95"/>
      <c r="X476" s="85"/>
      <c r="AP476" t="str">
        <v/>
      </c>
      <c r="AQ476" t="str">
        <v/>
      </c>
      <c r="AR476" t="str">
        <v/>
      </c>
      <c r="AS476" t="str">
        <v/>
      </c>
      <c r="AT476" t="str">
        <v/>
      </c>
      <c r="AU476" t="str">
        <v/>
      </c>
      <c r="AV476" t="str">
        <v/>
      </c>
      <c r="AW476" t="str">
        <v/>
      </c>
    </row>
    <row r="477" spans="4:49" ht="15.75" x14ac:dyDescent="0.25">
      <c r="D477" s="3">
        <v>26</v>
      </c>
      <c r="F477" s="16" cm="1">
        <f t="array" ref="F4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77" s="31" cm="1">
        <f t="array" ref="G4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47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77" s="32" t="str">
        <f>TEXT(HLG_01[[#This Row],[Batch]],"000")&amp; " / " &amp; TEXT(HLG_01[[#This Row],[Rit]],"000")</f>
        <v>054 / 018</v>
      </c>
      <c r="J477" s="34"/>
      <c r="K477" s="38"/>
      <c r="L477" s="35"/>
      <c r="M477" s="85"/>
      <c r="N477" s="85"/>
      <c r="O477" s="85"/>
      <c r="P477" s="85"/>
      <c r="Q477" s="85"/>
      <c r="R477" s="85"/>
      <c r="S477" s="98"/>
      <c r="T477" s="98"/>
      <c r="U477" s="98"/>
      <c r="V477" s="95"/>
      <c r="W477" s="95"/>
      <c r="X477" s="85"/>
      <c r="AP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/>
      </c>
    </row>
    <row r="478" spans="4:49" ht="15.75" x14ac:dyDescent="0.25">
      <c r="D478" s="3">
        <v>26</v>
      </c>
      <c r="F478" s="16" cm="1">
        <f t="array" ref="F4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78" s="31" cm="1">
        <f t="array" ref="G4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47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78" s="32" t="str">
        <f>TEXT(HLG_01[[#This Row],[Batch]],"000")&amp; " / " &amp; TEXT(HLG_01[[#This Row],[Rit]],"000")</f>
        <v>054 / 019</v>
      </c>
      <c r="J478" s="34"/>
      <c r="K478" s="38"/>
      <c r="L478" s="35"/>
      <c r="M478" s="85"/>
      <c r="N478" s="85"/>
      <c r="O478" s="85"/>
      <c r="P478" s="85"/>
      <c r="Q478" s="85"/>
      <c r="R478" s="85"/>
      <c r="S478" s="98"/>
      <c r="T478" s="98"/>
      <c r="U478" s="98"/>
      <c r="V478" s="95"/>
      <c r="W478" s="95"/>
      <c r="X478" s="85"/>
      <c r="AP478" t="str">
        <v/>
      </c>
      <c r="AQ478" t="str">
        <v/>
      </c>
      <c r="AR478" t="str">
        <v/>
      </c>
      <c r="AS478" t="str">
        <v/>
      </c>
      <c r="AT478" t="str">
        <v/>
      </c>
      <c r="AU478" t="str">
        <v/>
      </c>
      <c r="AV478" t="str">
        <v/>
      </c>
      <c r="AW478" t="str">
        <v/>
      </c>
    </row>
    <row r="479" spans="4:49" ht="15.75" x14ac:dyDescent="0.25">
      <c r="D479" s="3">
        <v>26</v>
      </c>
      <c r="F479" s="16" cm="1">
        <f t="array" ref="F4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54</v>
      </c>
      <c r="G479" s="31" cm="1">
        <f t="array" ref="G4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47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79" s="32" t="str">
        <f>TEXT(HLG_01[[#This Row],[Batch]],"000")&amp; " / " &amp; TEXT(HLG_01[[#This Row],[Rit]],"000")</f>
        <v>054 / 020</v>
      </c>
      <c r="J479" s="34"/>
      <c r="K479" s="38"/>
      <c r="L479" s="35"/>
      <c r="M479" s="85"/>
      <c r="N479" s="85"/>
      <c r="O479" s="85"/>
      <c r="P479" s="85"/>
      <c r="Q479" s="85"/>
      <c r="R479" s="85"/>
      <c r="S479" s="98"/>
      <c r="T479" s="98"/>
      <c r="U479" s="98"/>
      <c r="V479" s="95"/>
      <c r="W479" s="95"/>
      <c r="X479" s="85"/>
      <c r="AP479" t="str">
        <v/>
      </c>
      <c r="AQ479" t="str">
        <v/>
      </c>
      <c r="AR479" t="str">
        <v/>
      </c>
      <c r="AS479" t="str">
        <v/>
      </c>
      <c r="AT479" t="str">
        <v/>
      </c>
      <c r="AU479" t="str">
        <v/>
      </c>
      <c r="AV479" t="str">
        <v/>
      </c>
      <c r="AW479" t="str">
        <v/>
      </c>
    </row>
    <row r="480" spans="4:49" ht="15.75" x14ac:dyDescent="0.25">
      <c r="D480" s="3">
        <v>27</v>
      </c>
      <c r="F480" s="16" cm="1">
        <f t="array" ref="F4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80" s="31" cm="1">
        <f t="array" ref="G4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48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80" s="32" t="str">
        <f>TEXT(HLG_01[[#This Row],[Batch]],"000")&amp; " / " &amp; TEXT(HLG_01[[#This Row],[Rit]],"000")</f>
        <v>055 / 001</v>
      </c>
      <c r="J480" s="34"/>
      <c r="K480" s="38"/>
      <c r="L480" s="35"/>
      <c r="M480" s="85"/>
      <c r="N480" s="85"/>
      <c r="O480" s="85"/>
      <c r="P480" s="85"/>
      <c r="Q480" s="85"/>
      <c r="R480" s="85"/>
      <c r="S480" s="98"/>
      <c r="T480" s="98"/>
      <c r="U480" s="98"/>
      <c r="V480" s="95"/>
      <c r="W480" s="95"/>
      <c r="X480" s="85"/>
      <c r="AP480" t="str">
        <v/>
      </c>
      <c r="AQ480" t="str">
        <v/>
      </c>
      <c r="AR480" t="str">
        <v/>
      </c>
      <c r="AS480" t="str">
        <v/>
      </c>
      <c r="AT480" t="str">
        <v/>
      </c>
      <c r="AU480" t="str">
        <v/>
      </c>
      <c r="AV480" t="str">
        <v/>
      </c>
      <c r="AW480" t="str">
        <v/>
      </c>
    </row>
    <row r="481" spans="4:49" ht="15.75" x14ac:dyDescent="0.25">
      <c r="D481" s="3">
        <v>27</v>
      </c>
      <c r="F481" s="16" cm="1">
        <f t="array" ref="F4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81" s="31" cm="1">
        <f t="array" ref="G4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48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81" s="32" t="str">
        <f>TEXT(HLG_01[[#This Row],[Batch]],"000")&amp; " / " &amp; TEXT(HLG_01[[#This Row],[Rit]],"000")</f>
        <v>055 / 002</v>
      </c>
      <c r="J481" s="34"/>
      <c r="K481" s="38"/>
      <c r="L481" s="35"/>
      <c r="M481" s="85"/>
      <c r="N481" s="85"/>
      <c r="O481" s="85"/>
      <c r="P481" s="85"/>
      <c r="Q481" s="85"/>
      <c r="R481" s="85"/>
      <c r="S481" s="98"/>
      <c r="T481" s="98"/>
      <c r="U481" s="98"/>
      <c r="V481" s="95"/>
      <c r="W481" s="95"/>
      <c r="X481" s="85"/>
      <c r="AP481" t="str">
        <v/>
      </c>
      <c r="AQ481" t="str">
        <v/>
      </c>
      <c r="AR481" t="str">
        <v/>
      </c>
      <c r="AS481" t="str">
        <v/>
      </c>
      <c r="AT481" t="str">
        <v/>
      </c>
      <c r="AU481" t="str">
        <v/>
      </c>
      <c r="AV481" t="str">
        <v/>
      </c>
      <c r="AW481" t="str">
        <v/>
      </c>
    </row>
    <row r="482" spans="4:49" ht="15.75" x14ac:dyDescent="0.25">
      <c r="D482" s="3">
        <v>27</v>
      </c>
      <c r="F482" s="16" cm="1">
        <f t="array" ref="F4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82" s="31" cm="1">
        <f t="array" ref="G4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48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82" s="32" t="str">
        <f>TEXT(HLG_01[[#This Row],[Batch]],"000")&amp; " / " &amp; TEXT(HLG_01[[#This Row],[Rit]],"000")</f>
        <v>055 / 003</v>
      </c>
      <c r="J482" s="34"/>
      <c r="K482" s="38"/>
      <c r="L482" s="35"/>
      <c r="M482" s="85"/>
      <c r="N482" s="85"/>
      <c r="O482" s="85"/>
      <c r="P482" s="85"/>
      <c r="Q482" s="85"/>
      <c r="R482" s="85"/>
      <c r="S482" s="98"/>
      <c r="T482" s="98"/>
      <c r="U482" s="98"/>
      <c r="V482" s="95"/>
      <c r="W482" s="95"/>
      <c r="X482" s="85"/>
      <c r="AP482" t="str">
        <v/>
      </c>
      <c r="AQ482" t="str">
        <v/>
      </c>
      <c r="AR482" t="str">
        <v/>
      </c>
      <c r="AS482" t="str">
        <v/>
      </c>
      <c r="AT482" t="str">
        <v/>
      </c>
      <c r="AU482" t="str">
        <v/>
      </c>
      <c r="AV482" t="str">
        <v/>
      </c>
      <c r="AW482" t="str">
        <v/>
      </c>
    </row>
    <row r="483" spans="4:49" ht="15.75" x14ac:dyDescent="0.25">
      <c r="D483" s="3">
        <v>27</v>
      </c>
      <c r="F483" s="16" cm="1">
        <f t="array" ref="F4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83" s="31" cm="1">
        <f t="array" ref="G4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48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83" s="32" t="str">
        <f>TEXT(HLG_01[[#This Row],[Batch]],"000")&amp; " / " &amp; TEXT(HLG_01[[#This Row],[Rit]],"000")</f>
        <v>055 / 004</v>
      </c>
      <c r="J483" s="34"/>
      <c r="K483" s="38"/>
      <c r="L483" s="35"/>
      <c r="M483" s="85"/>
      <c r="N483" s="85"/>
      <c r="O483" s="85"/>
      <c r="P483" s="85"/>
      <c r="Q483" s="85"/>
      <c r="R483" s="85"/>
      <c r="S483" s="98"/>
      <c r="T483" s="98"/>
      <c r="U483" s="98"/>
      <c r="V483" s="95"/>
      <c r="W483" s="95"/>
      <c r="X483" s="85"/>
      <c r="AP483" t="str">
        <v/>
      </c>
      <c r="AQ483" t="str">
        <v/>
      </c>
      <c r="AR483" t="str">
        <v/>
      </c>
      <c r="AS483" t="str">
        <v/>
      </c>
      <c r="AT483" t="str">
        <v/>
      </c>
      <c r="AU483" t="str">
        <v/>
      </c>
      <c r="AV483" t="str">
        <v/>
      </c>
      <c r="AW483" t="str">
        <v/>
      </c>
    </row>
    <row r="484" spans="4:49" ht="15.75" x14ac:dyDescent="0.25">
      <c r="D484" s="3">
        <v>27</v>
      </c>
      <c r="F484" s="16" cm="1">
        <f t="array" ref="F4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84" s="31" cm="1">
        <f t="array" ref="G4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48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84" s="32" t="str">
        <f>TEXT(HLG_01[[#This Row],[Batch]],"000")&amp; " / " &amp; TEXT(HLG_01[[#This Row],[Rit]],"000")</f>
        <v>055 / 005</v>
      </c>
      <c r="J484" s="34"/>
      <c r="K484" s="38"/>
      <c r="L484" s="35"/>
      <c r="M484" s="85"/>
      <c r="N484" s="85"/>
      <c r="O484" s="85"/>
      <c r="P484" s="85"/>
      <c r="Q484" s="85"/>
      <c r="R484" s="85"/>
      <c r="S484" s="98"/>
      <c r="T484" s="98"/>
      <c r="U484" s="98"/>
      <c r="V484" s="95"/>
      <c r="W484" s="95"/>
      <c r="X484" s="85"/>
      <c r="AP484" t="str">
        <v/>
      </c>
      <c r="AQ484" t="str">
        <v/>
      </c>
      <c r="AR484" t="str">
        <v/>
      </c>
      <c r="AS484" t="str">
        <v/>
      </c>
      <c r="AT484" t="str">
        <v/>
      </c>
      <c r="AU484" t="str">
        <v/>
      </c>
      <c r="AV484" t="str">
        <v/>
      </c>
      <c r="AW484" t="str">
        <v/>
      </c>
    </row>
    <row r="485" spans="4:49" ht="15.75" x14ac:dyDescent="0.25">
      <c r="D485" s="3">
        <v>27</v>
      </c>
      <c r="F485" s="16" cm="1">
        <f t="array" ref="F4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85" s="31" cm="1">
        <f t="array" ref="G4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48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85" s="32" t="str">
        <f>TEXT(HLG_01[[#This Row],[Batch]],"000")&amp; " / " &amp; TEXT(HLG_01[[#This Row],[Rit]],"000")</f>
        <v>055 / 006</v>
      </c>
      <c r="J485" s="34"/>
      <c r="K485" s="38"/>
      <c r="L485" s="35"/>
      <c r="M485" s="85"/>
      <c r="N485" s="85"/>
      <c r="O485" s="85"/>
      <c r="P485" s="85"/>
      <c r="Q485" s="85"/>
      <c r="R485" s="85"/>
      <c r="S485" s="98"/>
      <c r="T485" s="98"/>
      <c r="U485" s="98"/>
      <c r="V485" s="95"/>
      <c r="W485" s="95"/>
      <c r="X485" s="85"/>
      <c r="AP485" t="str">
        <v/>
      </c>
      <c r="AQ485" t="str">
        <v/>
      </c>
      <c r="AR485" t="str">
        <v/>
      </c>
      <c r="AS485" t="str">
        <v/>
      </c>
      <c r="AT485" t="str">
        <v/>
      </c>
      <c r="AU485" t="str">
        <v/>
      </c>
      <c r="AV485" t="str">
        <v/>
      </c>
      <c r="AW485" t="str">
        <v/>
      </c>
    </row>
    <row r="486" spans="4:49" ht="15.75" x14ac:dyDescent="0.25">
      <c r="D486" s="3">
        <v>27</v>
      </c>
      <c r="F486" s="16" cm="1">
        <f t="array" ref="F4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86" s="31" cm="1">
        <f t="array" ref="G4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48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86" s="32" t="str">
        <f>TEXT(HLG_01[[#This Row],[Batch]],"000")&amp; " / " &amp; TEXT(HLG_01[[#This Row],[Rit]],"000")</f>
        <v>055 / 007</v>
      </c>
      <c r="J486" s="34"/>
      <c r="K486" s="38"/>
      <c r="L486" s="35"/>
      <c r="M486" s="85"/>
      <c r="N486" s="85"/>
      <c r="O486" s="85"/>
      <c r="P486" s="85"/>
      <c r="Q486" s="85"/>
      <c r="R486" s="85"/>
      <c r="S486" s="98"/>
      <c r="T486" s="98"/>
      <c r="U486" s="98"/>
      <c r="V486" s="95"/>
      <c r="W486" s="95"/>
      <c r="X486" s="85"/>
      <c r="AP486" t="str">
        <v/>
      </c>
      <c r="AQ486" t="str">
        <v/>
      </c>
      <c r="AR486" t="str">
        <v/>
      </c>
      <c r="AS486" t="str">
        <v/>
      </c>
      <c r="AT486" t="str">
        <v/>
      </c>
      <c r="AU486" t="str">
        <v/>
      </c>
      <c r="AV486" t="str">
        <v/>
      </c>
      <c r="AW486" t="str">
        <v/>
      </c>
    </row>
    <row r="487" spans="4:49" ht="15.75" x14ac:dyDescent="0.25">
      <c r="D487" s="3">
        <v>27</v>
      </c>
      <c r="F487" s="16" cm="1">
        <f t="array" ref="F4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87" s="31" cm="1">
        <f t="array" ref="G4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48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87" s="32" t="str">
        <f>TEXT(HLG_01[[#This Row],[Batch]],"000")&amp; " / " &amp; TEXT(HLG_01[[#This Row],[Rit]],"000")</f>
        <v>055 / 008</v>
      </c>
      <c r="J487" s="34"/>
      <c r="K487" s="38"/>
      <c r="L487" s="35"/>
      <c r="M487" s="85"/>
      <c r="N487" s="85"/>
      <c r="O487" s="85"/>
      <c r="P487" s="85"/>
      <c r="Q487" s="85"/>
      <c r="R487" s="85"/>
      <c r="S487" s="98"/>
      <c r="T487" s="98"/>
      <c r="U487" s="98"/>
      <c r="V487" s="95"/>
      <c r="W487" s="95"/>
      <c r="X487" s="85"/>
      <c r="AP487" t="str">
        <v/>
      </c>
      <c r="AQ487" t="str">
        <v/>
      </c>
      <c r="AR487" t="str">
        <v/>
      </c>
      <c r="AS487" t="str">
        <v/>
      </c>
      <c r="AT487" t="str">
        <v/>
      </c>
      <c r="AU487" t="str">
        <v/>
      </c>
      <c r="AV487" t="str">
        <v/>
      </c>
      <c r="AW487" t="str">
        <v/>
      </c>
    </row>
    <row r="488" spans="4:49" ht="15.75" x14ac:dyDescent="0.25">
      <c r="D488" s="3">
        <v>27</v>
      </c>
      <c r="F488" s="16" cm="1">
        <f t="array" ref="F4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88" s="31" cm="1">
        <f t="array" ref="G4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48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88" s="32" t="str">
        <f>TEXT(HLG_01[[#This Row],[Batch]],"000")&amp; " / " &amp; TEXT(HLG_01[[#This Row],[Rit]],"000")</f>
        <v>055 / 009</v>
      </c>
      <c r="J488" s="34"/>
      <c r="K488" s="38"/>
      <c r="L488" s="35"/>
      <c r="M488" s="85"/>
      <c r="N488" s="85"/>
      <c r="O488" s="85"/>
      <c r="P488" s="85"/>
      <c r="Q488" s="85"/>
      <c r="R488" s="85"/>
      <c r="S488" s="98"/>
      <c r="T488" s="98"/>
      <c r="U488" s="98"/>
      <c r="V488" s="95"/>
      <c r="W488" s="95"/>
      <c r="X488" s="85"/>
      <c r="AP488" t="str">
        <v/>
      </c>
      <c r="AQ488" t="str">
        <v/>
      </c>
      <c r="AR488" t="str">
        <v/>
      </c>
      <c r="AS488" t="str">
        <v/>
      </c>
      <c r="AT488" t="str">
        <v/>
      </c>
      <c r="AU488" t="str">
        <v/>
      </c>
      <c r="AV488" t="str">
        <v/>
      </c>
      <c r="AW488" t="str">
        <v/>
      </c>
    </row>
    <row r="489" spans="4:49" ht="15.75" x14ac:dyDescent="0.25">
      <c r="D489" s="3">
        <v>27</v>
      </c>
      <c r="F489" s="16" cm="1">
        <f t="array" ref="F4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89" s="31" cm="1">
        <f t="array" ref="G4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48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89" s="32" t="str">
        <f>TEXT(HLG_01[[#This Row],[Batch]],"000")&amp; " / " &amp; TEXT(HLG_01[[#This Row],[Rit]],"000")</f>
        <v>055 / 010</v>
      </c>
      <c r="J489" s="34"/>
      <c r="K489" s="38"/>
      <c r="L489" s="35"/>
      <c r="M489" s="85"/>
      <c r="N489" s="85"/>
      <c r="O489" s="85"/>
      <c r="P489" s="85"/>
      <c r="Q489" s="85"/>
      <c r="R489" s="85"/>
      <c r="S489" s="98"/>
      <c r="T489" s="98"/>
      <c r="U489" s="98"/>
      <c r="V489" s="95"/>
      <c r="W489" s="95"/>
      <c r="X489" s="85"/>
      <c r="AP489" t="str">
        <v/>
      </c>
      <c r="AQ489" t="str">
        <v/>
      </c>
      <c r="AR489" t="str">
        <v/>
      </c>
      <c r="AS489" t="str">
        <v/>
      </c>
      <c r="AT489" t="str">
        <v/>
      </c>
      <c r="AU489" t="str">
        <v/>
      </c>
      <c r="AV489" t="str">
        <v/>
      </c>
      <c r="AW489" t="str">
        <v/>
      </c>
    </row>
    <row r="490" spans="4:49" ht="15.75" x14ac:dyDescent="0.25">
      <c r="D490" s="3">
        <v>27</v>
      </c>
      <c r="F490" s="16" cm="1">
        <f t="array" ref="F4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90" s="31" cm="1">
        <f t="array" ref="G4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49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90" s="32" t="str">
        <f>TEXT(HLG_01[[#This Row],[Batch]],"000")&amp; " / " &amp; TEXT(HLG_01[[#This Row],[Rit]],"000")</f>
        <v>055 / 011</v>
      </c>
      <c r="J490" s="34"/>
      <c r="K490" s="38"/>
      <c r="L490" s="35"/>
      <c r="M490" s="85"/>
      <c r="N490" s="85"/>
      <c r="O490" s="85"/>
      <c r="P490" s="85"/>
      <c r="Q490" s="85"/>
      <c r="R490" s="85"/>
      <c r="S490" s="98"/>
      <c r="T490" s="98"/>
      <c r="U490" s="98"/>
      <c r="V490" s="95"/>
      <c r="W490" s="95"/>
      <c r="X490" s="85"/>
      <c r="AP490" t="str">
        <v/>
      </c>
      <c r="AQ490" t="str">
        <v/>
      </c>
      <c r="AR490" t="str">
        <v/>
      </c>
      <c r="AS490" t="str">
        <v/>
      </c>
      <c r="AT490" t="str">
        <v/>
      </c>
      <c r="AU490" t="str">
        <v/>
      </c>
      <c r="AV490" t="str">
        <v/>
      </c>
      <c r="AW490" t="str">
        <v/>
      </c>
    </row>
    <row r="491" spans="4:49" ht="15.75" x14ac:dyDescent="0.25">
      <c r="D491" s="3">
        <v>27</v>
      </c>
      <c r="F491" s="16" cm="1">
        <f t="array" ref="F4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91" s="31" cm="1">
        <f t="array" ref="G4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49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91" s="32" t="str">
        <f>TEXT(HLG_01[[#This Row],[Batch]],"000")&amp; " / " &amp; TEXT(HLG_01[[#This Row],[Rit]],"000")</f>
        <v>055 / 012</v>
      </c>
      <c r="J491" s="34"/>
      <c r="K491" s="38"/>
      <c r="L491" s="35"/>
      <c r="M491" s="85"/>
      <c r="N491" s="85"/>
      <c r="O491" s="85"/>
      <c r="P491" s="85"/>
      <c r="Q491" s="85"/>
      <c r="R491" s="85"/>
      <c r="S491" s="98"/>
      <c r="T491" s="98"/>
      <c r="U491" s="98"/>
      <c r="V491" s="95"/>
      <c r="W491" s="95"/>
      <c r="X491" s="85"/>
      <c r="AP491" t="str">
        <v/>
      </c>
      <c r="AQ491" t="str">
        <v/>
      </c>
      <c r="AR491" t="str">
        <v/>
      </c>
      <c r="AS491" t="str">
        <v/>
      </c>
      <c r="AT491" t="str">
        <v/>
      </c>
      <c r="AU491" t="str">
        <v/>
      </c>
      <c r="AV491" t="str">
        <v/>
      </c>
      <c r="AW491" t="str">
        <v/>
      </c>
    </row>
    <row r="492" spans="4:49" ht="15.75" x14ac:dyDescent="0.25">
      <c r="D492" s="3">
        <v>27</v>
      </c>
      <c r="F492" s="16" cm="1">
        <f t="array" ref="F4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92" s="31" cm="1">
        <f t="array" ref="G4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49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92" s="32" t="str">
        <f>TEXT(HLG_01[[#This Row],[Batch]],"000")&amp; " / " &amp; TEXT(HLG_01[[#This Row],[Rit]],"000")</f>
        <v>055 / 013</v>
      </c>
      <c r="J492" s="34"/>
      <c r="K492" s="38"/>
      <c r="L492" s="35"/>
      <c r="M492" s="85"/>
      <c r="N492" s="85"/>
      <c r="O492" s="85"/>
      <c r="P492" s="85"/>
      <c r="Q492" s="85"/>
      <c r="R492" s="85"/>
      <c r="S492" s="98"/>
      <c r="T492" s="98"/>
      <c r="U492" s="98"/>
      <c r="V492" s="95"/>
      <c r="W492" s="95"/>
      <c r="X492" s="85"/>
      <c r="AP492" t="str">
        <v/>
      </c>
      <c r="AQ492" t="str">
        <v/>
      </c>
      <c r="AR492" t="str">
        <v/>
      </c>
      <c r="AS492" t="str">
        <v/>
      </c>
      <c r="AT492" t="str">
        <v/>
      </c>
      <c r="AU492" t="str">
        <v/>
      </c>
      <c r="AV492" t="str">
        <v/>
      </c>
      <c r="AW492" t="str">
        <v/>
      </c>
    </row>
    <row r="493" spans="4:49" ht="15.75" x14ac:dyDescent="0.25">
      <c r="D493" s="3">
        <v>27</v>
      </c>
      <c r="F493" s="16" cm="1">
        <f t="array" ref="F4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93" s="31" cm="1">
        <f t="array" ref="G4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49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93" s="32" t="str">
        <f>TEXT(HLG_01[[#This Row],[Batch]],"000")&amp; " / " &amp; TEXT(HLG_01[[#This Row],[Rit]],"000")</f>
        <v>055 / 014</v>
      </c>
      <c r="J493" s="34"/>
      <c r="K493" s="38"/>
      <c r="L493" s="35"/>
      <c r="M493" s="85"/>
      <c r="N493" s="85"/>
      <c r="O493" s="85"/>
      <c r="P493" s="85"/>
      <c r="Q493" s="85"/>
      <c r="R493" s="85"/>
      <c r="S493" s="98"/>
      <c r="T493" s="98"/>
      <c r="U493" s="98"/>
      <c r="V493" s="95"/>
      <c r="W493" s="95"/>
      <c r="X493" s="85"/>
      <c r="AP493" t="str">
        <v/>
      </c>
      <c r="AQ493" t="str">
        <v/>
      </c>
      <c r="AR493" t="str">
        <v/>
      </c>
      <c r="AS493" t="str">
        <v/>
      </c>
      <c r="AT493" t="str">
        <v/>
      </c>
      <c r="AU493" t="str">
        <v/>
      </c>
      <c r="AV493" t="str">
        <v/>
      </c>
      <c r="AW493" t="str">
        <v/>
      </c>
    </row>
    <row r="494" spans="4:49" ht="15.75" x14ac:dyDescent="0.25">
      <c r="D494" s="3">
        <v>27</v>
      </c>
      <c r="F494" s="16" cm="1">
        <f t="array" ref="F4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94" s="31" cm="1">
        <f t="array" ref="G4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49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94" s="32" t="str">
        <f>TEXT(HLG_01[[#This Row],[Batch]],"000")&amp; " / " &amp; TEXT(HLG_01[[#This Row],[Rit]],"000")</f>
        <v>055 / 015</v>
      </c>
      <c r="J494" s="34"/>
      <c r="K494" s="38"/>
      <c r="L494" s="35"/>
      <c r="M494" s="85"/>
      <c r="N494" s="85"/>
      <c r="O494" s="85"/>
      <c r="P494" s="85"/>
      <c r="Q494" s="85"/>
      <c r="R494" s="85"/>
      <c r="S494" s="98"/>
      <c r="T494" s="98"/>
      <c r="U494" s="98"/>
      <c r="V494" s="95"/>
      <c r="W494" s="95"/>
      <c r="X494" s="85"/>
      <c r="AP494" t="str">
        <v/>
      </c>
      <c r="AQ494" t="str">
        <v/>
      </c>
      <c r="AR494" t="str">
        <v/>
      </c>
      <c r="AS494" t="str">
        <v/>
      </c>
      <c r="AT494" t="str">
        <v/>
      </c>
      <c r="AU494" t="str">
        <v/>
      </c>
      <c r="AV494" t="str">
        <v/>
      </c>
      <c r="AW494" t="str">
        <v/>
      </c>
    </row>
    <row r="495" spans="4:49" ht="15.75" x14ac:dyDescent="0.25">
      <c r="D495" s="3">
        <v>27</v>
      </c>
      <c r="F495" s="16" cm="1">
        <f t="array" ref="F4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95" s="31" cm="1">
        <f t="array" ref="G4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49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95" s="32" t="str">
        <f>TEXT(HLG_01[[#This Row],[Batch]],"000")&amp; " / " &amp; TEXT(HLG_01[[#This Row],[Rit]],"000")</f>
        <v>055 / 016</v>
      </c>
      <c r="J495" s="34"/>
      <c r="K495" s="38"/>
      <c r="L495" s="35"/>
      <c r="M495" s="85"/>
      <c r="N495" s="85"/>
      <c r="O495" s="85"/>
      <c r="P495" s="85"/>
      <c r="Q495" s="85"/>
      <c r="R495" s="85"/>
      <c r="S495" s="98"/>
      <c r="T495" s="98"/>
      <c r="U495" s="98"/>
      <c r="V495" s="95"/>
      <c r="W495" s="95"/>
      <c r="X495" s="85"/>
      <c r="AP495" t="str">
        <v/>
      </c>
      <c r="AQ495" t="str">
        <v/>
      </c>
      <c r="AR495" t="str">
        <v/>
      </c>
      <c r="AS495" t="str">
        <v/>
      </c>
      <c r="AT495" t="str">
        <v/>
      </c>
      <c r="AU495" t="str">
        <v/>
      </c>
      <c r="AV495" t="str">
        <v/>
      </c>
      <c r="AW495" t="str">
        <v/>
      </c>
    </row>
    <row r="496" spans="4:49" ht="15.75" x14ac:dyDescent="0.25">
      <c r="D496" s="3">
        <v>27</v>
      </c>
      <c r="F496" s="16" cm="1">
        <f t="array" ref="F4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96" s="31" cm="1">
        <f t="array" ref="G4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49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96" s="32" t="str">
        <f>TEXT(HLG_01[[#This Row],[Batch]],"000")&amp; " / " &amp; TEXT(HLG_01[[#This Row],[Rit]],"000")</f>
        <v>055 / 017</v>
      </c>
      <c r="J496" s="34"/>
      <c r="K496" s="38"/>
      <c r="L496" s="35"/>
      <c r="M496" s="85"/>
      <c r="N496" s="85"/>
      <c r="O496" s="85"/>
      <c r="P496" s="85"/>
      <c r="Q496" s="85"/>
      <c r="R496" s="85"/>
      <c r="S496" s="98"/>
      <c r="T496" s="98"/>
      <c r="U496" s="98"/>
      <c r="V496" s="95"/>
      <c r="W496" s="95"/>
      <c r="X496" s="85"/>
      <c r="AP496" t="str">
        <v/>
      </c>
      <c r="AQ496" t="str">
        <v/>
      </c>
      <c r="AR496" t="str">
        <v/>
      </c>
      <c r="AS496" t="str">
        <v/>
      </c>
      <c r="AT496" t="str">
        <v/>
      </c>
      <c r="AU496" t="str">
        <v/>
      </c>
      <c r="AV496" t="str">
        <v/>
      </c>
      <c r="AW496" t="str">
        <v/>
      </c>
    </row>
    <row r="497" spans="4:49" ht="15.75" x14ac:dyDescent="0.25">
      <c r="D497" s="3">
        <v>27</v>
      </c>
      <c r="F497" s="16" cm="1">
        <f t="array" ref="F4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97" s="31" cm="1">
        <f t="array" ref="G4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49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97" s="32" t="str">
        <f>TEXT(HLG_01[[#This Row],[Batch]],"000")&amp; " / " &amp; TEXT(HLG_01[[#This Row],[Rit]],"000")</f>
        <v>055 / 018</v>
      </c>
      <c r="J497" s="34"/>
      <c r="K497" s="38"/>
      <c r="L497" s="35"/>
      <c r="M497" s="85"/>
      <c r="N497" s="85"/>
      <c r="O497" s="85"/>
      <c r="P497" s="85"/>
      <c r="Q497" s="85"/>
      <c r="R497" s="85"/>
      <c r="S497" s="98"/>
      <c r="T497" s="98"/>
      <c r="U497" s="98"/>
      <c r="V497" s="95"/>
      <c r="W497" s="95"/>
      <c r="X497" s="85"/>
      <c r="AP497" t="str">
        <v/>
      </c>
      <c r="AQ497" t="str">
        <v/>
      </c>
      <c r="AR497" t="str">
        <v/>
      </c>
      <c r="AS497" t="str">
        <v/>
      </c>
      <c r="AT497" t="str">
        <v/>
      </c>
      <c r="AU497" t="str">
        <v/>
      </c>
      <c r="AV497" t="str">
        <v/>
      </c>
      <c r="AW497" t="str">
        <v/>
      </c>
    </row>
    <row r="498" spans="4:49" ht="15.75" x14ac:dyDescent="0.25">
      <c r="D498" s="3">
        <v>27</v>
      </c>
      <c r="F498" s="16" cm="1">
        <f t="array" ref="F4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98" s="31" cm="1">
        <f t="array" ref="G4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49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498" s="32" t="str">
        <f>TEXT(HLG_01[[#This Row],[Batch]],"000")&amp; " / " &amp; TEXT(HLG_01[[#This Row],[Rit]],"000")</f>
        <v>055 / 019</v>
      </c>
      <c r="J498" s="34"/>
      <c r="K498" s="38"/>
      <c r="L498" s="35"/>
      <c r="M498" s="85"/>
      <c r="N498" s="85"/>
      <c r="O498" s="85"/>
      <c r="P498" s="85"/>
      <c r="Q498" s="85"/>
      <c r="R498" s="85"/>
      <c r="S498" s="98"/>
      <c r="T498" s="98"/>
      <c r="U498" s="98"/>
      <c r="V498" s="95"/>
      <c r="W498" s="95"/>
      <c r="X498" s="85"/>
      <c r="AP498" t="str">
        <v/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/>
      </c>
    </row>
    <row r="499" spans="4:49" ht="15.75" x14ac:dyDescent="0.25">
      <c r="D499" s="3">
        <v>27</v>
      </c>
      <c r="F499" s="16" cm="1">
        <f t="array" ref="F4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55</v>
      </c>
      <c r="G499" s="31" cm="1">
        <f t="array" ref="G4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49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499" s="32" t="str">
        <f>TEXT(HLG_01[[#This Row],[Batch]],"000")&amp; " / " &amp; TEXT(HLG_01[[#This Row],[Rit]],"000")</f>
        <v>055 / 020</v>
      </c>
      <c r="J499" s="34"/>
      <c r="K499" s="38"/>
      <c r="L499" s="35"/>
      <c r="M499" s="85"/>
      <c r="N499" s="85"/>
      <c r="O499" s="85"/>
      <c r="P499" s="85"/>
      <c r="Q499" s="85"/>
      <c r="R499" s="85"/>
      <c r="S499" s="98"/>
      <c r="T499" s="98"/>
      <c r="U499" s="98"/>
      <c r="V499" s="95"/>
      <c r="W499" s="95"/>
      <c r="X499" s="85"/>
      <c r="AP499" t="str">
        <v/>
      </c>
      <c r="AQ499" t="str">
        <v/>
      </c>
      <c r="AR499" t="str">
        <v/>
      </c>
      <c r="AS499" t="str">
        <v/>
      </c>
      <c r="AT499" t="str">
        <v/>
      </c>
      <c r="AU499" t="str">
        <v/>
      </c>
      <c r="AV499" t="str">
        <v/>
      </c>
      <c r="AW499" t="str">
        <v/>
      </c>
    </row>
    <row r="500" spans="4:49" ht="15.75" x14ac:dyDescent="0.25">
      <c r="D500" s="3">
        <v>28</v>
      </c>
      <c r="F500" s="16" cm="1">
        <f t="array" ref="F5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00" s="31" cm="1">
        <f t="array" ref="G5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50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00" s="32" t="str">
        <f>TEXT(HLG_01[[#This Row],[Batch]],"000")&amp; " / " &amp; TEXT(HLG_01[[#This Row],[Rit]],"000")</f>
        <v>056 / 001</v>
      </c>
      <c r="J500" s="34"/>
      <c r="K500" s="38"/>
      <c r="L500" s="35"/>
      <c r="M500" s="85"/>
      <c r="N500" s="85"/>
      <c r="O500" s="85"/>
      <c r="P500" s="85"/>
      <c r="Q500" s="85"/>
      <c r="R500" s="85"/>
      <c r="S500" s="98"/>
      <c r="T500" s="98"/>
      <c r="U500" s="98"/>
      <c r="V500" s="95"/>
      <c r="W500" s="95"/>
      <c r="X500" s="85"/>
      <c r="AP500" t="str">
        <v/>
      </c>
      <c r="AQ500" t="str">
        <v/>
      </c>
      <c r="AR500" t="str">
        <v/>
      </c>
      <c r="AS500" t="str">
        <v/>
      </c>
      <c r="AT500" t="str">
        <v/>
      </c>
      <c r="AU500" t="str">
        <v/>
      </c>
      <c r="AV500" t="str">
        <v/>
      </c>
      <c r="AW500" t="str">
        <v/>
      </c>
    </row>
    <row r="501" spans="4:49" ht="15.75" x14ac:dyDescent="0.25">
      <c r="D501" s="3">
        <v>28</v>
      </c>
      <c r="F501" s="16" cm="1">
        <f t="array" ref="F5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01" s="31" cm="1">
        <f t="array" ref="G5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50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01" s="32" t="str">
        <f>TEXT(HLG_01[[#This Row],[Batch]],"000")&amp; " / " &amp; TEXT(HLG_01[[#This Row],[Rit]],"000")</f>
        <v>056 / 002</v>
      </c>
      <c r="J501" s="34"/>
      <c r="K501" s="38"/>
      <c r="L501" s="35"/>
      <c r="M501" s="85"/>
      <c r="N501" s="85"/>
      <c r="O501" s="85"/>
      <c r="P501" s="85"/>
      <c r="Q501" s="85"/>
      <c r="R501" s="85"/>
      <c r="S501" s="98"/>
      <c r="T501" s="98"/>
      <c r="U501" s="98"/>
      <c r="V501" s="95"/>
      <c r="W501" s="95"/>
      <c r="X501" s="85"/>
      <c r="AP501" t="str">
        <v/>
      </c>
      <c r="AQ501" t="str">
        <v/>
      </c>
      <c r="AR501" t="str">
        <v/>
      </c>
      <c r="AS501" t="str">
        <v/>
      </c>
      <c r="AT501" t="str">
        <v/>
      </c>
      <c r="AU501" t="str">
        <v/>
      </c>
      <c r="AV501" t="str">
        <v/>
      </c>
      <c r="AW501" t="str">
        <v/>
      </c>
    </row>
    <row r="502" spans="4:49" ht="15.75" x14ac:dyDescent="0.25">
      <c r="D502" s="3">
        <v>28</v>
      </c>
      <c r="F502" s="16" cm="1">
        <f t="array" ref="F5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02" s="31" cm="1">
        <f t="array" ref="G5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50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02" s="32" t="str">
        <f>TEXT(HLG_01[[#This Row],[Batch]],"000")&amp; " / " &amp; TEXT(HLG_01[[#This Row],[Rit]],"000")</f>
        <v>056 / 003</v>
      </c>
      <c r="J502" s="34"/>
      <c r="K502" s="38"/>
      <c r="L502" s="35"/>
      <c r="M502" s="85"/>
      <c r="N502" s="85"/>
      <c r="O502" s="85"/>
      <c r="P502" s="85"/>
      <c r="Q502" s="85"/>
      <c r="R502" s="85"/>
      <c r="S502" s="98"/>
      <c r="T502" s="98"/>
      <c r="U502" s="98"/>
      <c r="V502" s="95"/>
      <c r="W502" s="95"/>
      <c r="X502" s="85"/>
      <c r="AP502" t="str">
        <v/>
      </c>
      <c r="AQ502" t="str">
        <v/>
      </c>
      <c r="AR502" t="str">
        <v/>
      </c>
      <c r="AS502" t="str">
        <v/>
      </c>
      <c r="AT502" t="str">
        <v/>
      </c>
      <c r="AU502" t="str">
        <v/>
      </c>
      <c r="AV502" t="str">
        <v/>
      </c>
      <c r="AW502" t="str">
        <v/>
      </c>
    </row>
    <row r="503" spans="4:49" ht="15.75" x14ac:dyDescent="0.25">
      <c r="D503" s="3">
        <v>28</v>
      </c>
      <c r="F503" s="16" cm="1">
        <f t="array" ref="F5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03" s="31" cm="1">
        <f t="array" ref="G5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50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03" s="32" t="str">
        <f>TEXT(HLG_01[[#This Row],[Batch]],"000")&amp; " / " &amp; TEXT(HLG_01[[#This Row],[Rit]],"000")</f>
        <v>056 / 004</v>
      </c>
      <c r="J503" s="34"/>
      <c r="K503" s="38"/>
      <c r="L503" s="35"/>
      <c r="M503" s="85"/>
      <c r="N503" s="85"/>
      <c r="O503" s="85"/>
      <c r="P503" s="85"/>
      <c r="Q503" s="85"/>
      <c r="R503" s="85"/>
      <c r="S503" s="98"/>
      <c r="T503" s="98"/>
      <c r="U503" s="98"/>
      <c r="V503" s="95"/>
      <c r="W503" s="95"/>
      <c r="X503" s="85"/>
      <c r="AP503" t="str">
        <v/>
      </c>
      <c r="AQ503" t="str">
        <v/>
      </c>
      <c r="AR503" t="str">
        <v/>
      </c>
      <c r="AS503" t="str">
        <v/>
      </c>
      <c r="AT503" t="str">
        <v/>
      </c>
      <c r="AU503" t="str">
        <v/>
      </c>
      <c r="AV503" t="str">
        <v/>
      </c>
      <c r="AW503" t="str">
        <v/>
      </c>
    </row>
    <row r="504" spans="4:49" ht="15.75" x14ac:dyDescent="0.25">
      <c r="D504" s="3">
        <v>28</v>
      </c>
      <c r="F504" s="16" cm="1">
        <f t="array" ref="F5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04" s="31" cm="1">
        <f t="array" ref="G5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50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04" s="32" t="str">
        <f>TEXT(HLG_01[[#This Row],[Batch]],"000")&amp; " / " &amp; TEXT(HLG_01[[#This Row],[Rit]],"000")</f>
        <v>056 / 005</v>
      </c>
      <c r="J504" s="34"/>
      <c r="K504" s="38"/>
      <c r="L504" s="35"/>
      <c r="M504" s="85"/>
      <c r="N504" s="85"/>
      <c r="O504" s="85"/>
      <c r="P504" s="85"/>
      <c r="Q504" s="85"/>
      <c r="R504" s="85"/>
      <c r="S504" s="98"/>
      <c r="T504" s="98"/>
      <c r="U504" s="98"/>
      <c r="V504" s="95"/>
      <c r="W504" s="95"/>
      <c r="X504" s="85"/>
      <c r="AP504" t="str">
        <v/>
      </c>
      <c r="AQ504" t="str">
        <v/>
      </c>
      <c r="AR504" t="str">
        <v/>
      </c>
      <c r="AS504" t="str">
        <v/>
      </c>
      <c r="AT504" t="str">
        <v/>
      </c>
      <c r="AU504" t="str">
        <v/>
      </c>
      <c r="AV504" t="str">
        <v/>
      </c>
      <c r="AW504" t="str">
        <v/>
      </c>
    </row>
    <row r="505" spans="4:49" ht="15.75" x14ac:dyDescent="0.25">
      <c r="D505" s="3">
        <v>28</v>
      </c>
      <c r="F505" s="16" cm="1">
        <f t="array" ref="F5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05" s="31" cm="1">
        <f t="array" ref="G5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50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05" s="32" t="str">
        <f>TEXT(HLG_01[[#This Row],[Batch]],"000")&amp; " / " &amp; TEXT(HLG_01[[#This Row],[Rit]],"000")</f>
        <v>056 / 006</v>
      </c>
      <c r="J505" s="34"/>
      <c r="K505" s="38"/>
      <c r="L505" s="35"/>
      <c r="M505" s="85"/>
      <c r="N505" s="85"/>
      <c r="O505" s="85"/>
      <c r="P505" s="85"/>
      <c r="Q505" s="85"/>
      <c r="R505" s="85"/>
      <c r="S505" s="98"/>
      <c r="T505" s="98"/>
      <c r="U505" s="98"/>
      <c r="V505" s="95"/>
      <c r="W505" s="95"/>
      <c r="X505" s="85"/>
      <c r="AP505" t="str">
        <v/>
      </c>
      <c r="AQ505" t="str">
        <v/>
      </c>
      <c r="AR505" t="str">
        <v/>
      </c>
      <c r="AS505" t="str">
        <v/>
      </c>
      <c r="AT505" t="str">
        <v/>
      </c>
      <c r="AU505" t="str">
        <v/>
      </c>
      <c r="AV505" t="str">
        <v/>
      </c>
      <c r="AW505" t="str">
        <v/>
      </c>
    </row>
    <row r="506" spans="4:49" ht="15.75" x14ac:dyDescent="0.25">
      <c r="D506" s="3">
        <v>28</v>
      </c>
      <c r="F506" s="16" cm="1">
        <f t="array" ref="F5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06" s="31" cm="1">
        <f t="array" ref="G5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50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06" s="32" t="str">
        <f>TEXT(HLG_01[[#This Row],[Batch]],"000")&amp; " / " &amp; TEXT(HLG_01[[#This Row],[Rit]],"000")</f>
        <v>056 / 007</v>
      </c>
      <c r="J506" s="34"/>
      <c r="K506" s="38"/>
      <c r="L506" s="35"/>
      <c r="M506" s="85"/>
      <c r="N506" s="85"/>
      <c r="O506" s="85"/>
      <c r="P506" s="85"/>
      <c r="Q506" s="85"/>
      <c r="R506" s="85"/>
      <c r="S506" s="98"/>
      <c r="T506" s="98"/>
      <c r="U506" s="98"/>
      <c r="V506" s="95"/>
      <c r="W506" s="95"/>
      <c r="X506" s="85"/>
      <c r="AP506" t="str">
        <v/>
      </c>
      <c r="AQ506" t="str">
        <v/>
      </c>
      <c r="AR506" t="str">
        <v/>
      </c>
      <c r="AS506" t="str">
        <v/>
      </c>
      <c r="AT506" t="str">
        <v/>
      </c>
      <c r="AU506" t="str">
        <v/>
      </c>
      <c r="AV506" t="str">
        <v/>
      </c>
      <c r="AW506" t="str">
        <v/>
      </c>
    </row>
    <row r="507" spans="4:49" ht="15.75" x14ac:dyDescent="0.25">
      <c r="D507" s="3">
        <v>28</v>
      </c>
      <c r="F507" s="16" cm="1">
        <f t="array" ref="F5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07" s="31" cm="1">
        <f t="array" ref="G5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50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07" s="32" t="str">
        <f>TEXT(HLG_01[[#This Row],[Batch]],"000")&amp; " / " &amp; TEXT(HLG_01[[#This Row],[Rit]],"000")</f>
        <v>056 / 008</v>
      </c>
      <c r="J507" s="34"/>
      <c r="K507" s="38"/>
      <c r="L507" s="35"/>
      <c r="M507" s="85"/>
      <c r="N507" s="85"/>
      <c r="O507" s="85"/>
      <c r="P507" s="85"/>
      <c r="Q507" s="85"/>
      <c r="R507" s="85"/>
      <c r="S507" s="98"/>
      <c r="T507" s="98"/>
      <c r="U507" s="98"/>
      <c r="V507" s="95"/>
      <c r="W507" s="95"/>
      <c r="X507" s="85"/>
      <c r="AP507" t="str">
        <v/>
      </c>
      <c r="AQ507" t="str">
        <v/>
      </c>
      <c r="AR507" t="str">
        <v/>
      </c>
      <c r="AS507" t="str">
        <v/>
      </c>
      <c r="AT507" t="str">
        <v/>
      </c>
      <c r="AU507" t="str">
        <v/>
      </c>
      <c r="AV507" t="str">
        <v/>
      </c>
      <c r="AW507" t="str">
        <v/>
      </c>
    </row>
    <row r="508" spans="4:49" ht="15.75" x14ac:dyDescent="0.25">
      <c r="D508" s="3">
        <v>28</v>
      </c>
      <c r="F508" s="16" cm="1">
        <f t="array" ref="F5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08" s="31" cm="1">
        <f t="array" ref="G5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50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08" s="32" t="str">
        <f>TEXT(HLG_01[[#This Row],[Batch]],"000")&amp; " / " &amp; TEXT(HLG_01[[#This Row],[Rit]],"000")</f>
        <v>056 / 009</v>
      </c>
      <c r="J508" s="34"/>
      <c r="K508" s="38"/>
      <c r="L508" s="35"/>
      <c r="M508" s="85"/>
      <c r="N508" s="85"/>
      <c r="O508" s="85"/>
      <c r="P508" s="85"/>
      <c r="Q508" s="85"/>
      <c r="R508" s="85"/>
      <c r="S508" s="98"/>
      <c r="T508" s="98"/>
      <c r="U508" s="98"/>
      <c r="V508" s="95"/>
      <c r="W508" s="95"/>
      <c r="X508" s="85"/>
      <c r="AP508" t="str">
        <v/>
      </c>
      <c r="AQ508" t="str">
        <v/>
      </c>
      <c r="AR508" t="str">
        <v/>
      </c>
      <c r="AS508" t="str">
        <v/>
      </c>
      <c r="AT508" t="str">
        <v/>
      </c>
      <c r="AU508" t="str">
        <v/>
      </c>
      <c r="AV508" t="str">
        <v/>
      </c>
      <c r="AW508" t="str">
        <v/>
      </c>
    </row>
    <row r="509" spans="4:49" ht="15.75" x14ac:dyDescent="0.25">
      <c r="D509" s="3">
        <v>28</v>
      </c>
      <c r="F509" s="16" cm="1">
        <f t="array" ref="F5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09" s="31" cm="1">
        <f t="array" ref="G5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50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09" s="32" t="str">
        <f>TEXT(HLG_01[[#This Row],[Batch]],"000")&amp; " / " &amp; TEXT(HLG_01[[#This Row],[Rit]],"000")</f>
        <v>056 / 010</v>
      </c>
      <c r="J509" s="34"/>
      <c r="K509" s="38"/>
      <c r="L509" s="35"/>
      <c r="M509" s="85"/>
      <c r="N509" s="85"/>
      <c r="O509" s="85"/>
      <c r="P509" s="85"/>
      <c r="Q509" s="85"/>
      <c r="R509" s="85"/>
      <c r="S509" s="98"/>
      <c r="T509" s="98"/>
      <c r="U509" s="98"/>
      <c r="V509" s="95"/>
      <c r="W509" s="95"/>
      <c r="X509" s="85"/>
      <c r="AP509" t="str">
        <v/>
      </c>
      <c r="AQ509" t="str">
        <v/>
      </c>
      <c r="AR509" t="str">
        <v/>
      </c>
      <c r="AS509" t="str">
        <v/>
      </c>
      <c r="AT509" t="str">
        <v/>
      </c>
      <c r="AU509" t="str">
        <v/>
      </c>
      <c r="AV509" t="str">
        <v/>
      </c>
      <c r="AW509" t="str">
        <v/>
      </c>
    </row>
    <row r="510" spans="4:49" ht="15.75" x14ac:dyDescent="0.25">
      <c r="D510" s="3">
        <v>28</v>
      </c>
      <c r="F510" s="16" cm="1">
        <f t="array" ref="F5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10" s="31" cm="1">
        <f t="array" ref="G5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51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10" s="32" t="str">
        <f>TEXT(HLG_01[[#This Row],[Batch]],"000")&amp; " / " &amp; TEXT(HLG_01[[#This Row],[Rit]],"000")</f>
        <v>056 / 011</v>
      </c>
      <c r="J510" s="34"/>
      <c r="K510" s="38"/>
      <c r="L510" s="35"/>
      <c r="M510" s="85"/>
      <c r="N510" s="85"/>
      <c r="O510" s="85"/>
      <c r="P510" s="85"/>
      <c r="Q510" s="85"/>
      <c r="R510" s="85"/>
      <c r="S510" s="98"/>
      <c r="T510" s="98"/>
      <c r="U510" s="98"/>
      <c r="V510" s="95"/>
      <c r="W510" s="95"/>
      <c r="X510" s="85"/>
      <c r="AP510" t="str">
        <v/>
      </c>
      <c r="AQ510" t="str">
        <v/>
      </c>
      <c r="AR510" t="str">
        <v/>
      </c>
      <c r="AS510" t="str">
        <v/>
      </c>
      <c r="AT510" t="str">
        <v/>
      </c>
      <c r="AU510" t="str">
        <v/>
      </c>
      <c r="AV510" t="str">
        <v/>
      </c>
      <c r="AW510" t="str">
        <v/>
      </c>
    </row>
    <row r="511" spans="4:49" ht="15.75" x14ac:dyDescent="0.25">
      <c r="D511" s="3">
        <v>28</v>
      </c>
      <c r="F511" s="16" cm="1">
        <f t="array" ref="F5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11" s="31" cm="1">
        <f t="array" ref="G5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51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11" s="32" t="str">
        <f>TEXT(HLG_01[[#This Row],[Batch]],"000")&amp; " / " &amp; TEXT(HLG_01[[#This Row],[Rit]],"000")</f>
        <v>056 / 012</v>
      </c>
      <c r="J511" s="34"/>
      <c r="K511" s="38"/>
      <c r="L511" s="35"/>
      <c r="M511" s="85"/>
      <c r="N511" s="85"/>
      <c r="O511" s="85"/>
      <c r="P511" s="85"/>
      <c r="Q511" s="85"/>
      <c r="R511" s="85"/>
      <c r="S511" s="98"/>
      <c r="T511" s="98"/>
      <c r="U511" s="98"/>
      <c r="V511" s="95"/>
      <c r="W511" s="95"/>
      <c r="X511" s="85"/>
      <c r="AP511" t="str">
        <v/>
      </c>
      <c r="AQ511" t="str">
        <v/>
      </c>
      <c r="AR511" t="str">
        <v/>
      </c>
      <c r="AS511" t="str">
        <v/>
      </c>
      <c r="AT511" t="str">
        <v/>
      </c>
      <c r="AU511" t="str">
        <v/>
      </c>
      <c r="AV511" t="str">
        <v/>
      </c>
      <c r="AW511" t="str">
        <v/>
      </c>
    </row>
    <row r="512" spans="4:49" ht="15.75" x14ac:dyDescent="0.25">
      <c r="D512" s="3">
        <v>28</v>
      </c>
      <c r="F512" s="16" cm="1">
        <f t="array" ref="F5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12" s="31" cm="1">
        <f t="array" ref="G5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51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12" s="32" t="str">
        <f>TEXT(HLG_01[[#This Row],[Batch]],"000")&amp; " / " &amp; TEXT(HLG_01[[#This Row],[Rit]],"000")</f>
        <v>056 / 013</v>
      </c>
      <c r="J512" s="34"/>
      <c r="K512" s="38"/>
      <c r="L512" s="35"/>
      <c r="M512" s="85"/>
      <c r="N512" s="85"/>
      <c r="O512" s="85"/>
      <c r="P512" s="85"/>
      <c r="Q512" s="85"/>
      <c r="R512" s="85"/>
      <c r="S512" s="98"/>
      <c r="T512" s="98"/>
      <c r="U512" s="98"/>
      <c r="V512" s="95"/>
      <c r="W512" s="95"/>
      <c r="X512" s="85"/>
      <c r="AP512" t="str">
        <v/>
      </c>
      <c r="AQ512" t="str">
        <v/>
      </c>
      <c r="AR512" t="str">
        <v/>
      </c>
      <c r="AS512" t="str">
        <v/>
      </c>
      <c r="AT512" t="str">
        <v/>
      </c>
      <c r="AU512" t="str">
        <v/>
      </c>
      <c r="AV512" t="str">
        <v/>
      </c>
      <c r="AW512" t="str">
        <v/>
      </c>
    </row>
    <row r="513" spans="4:49" ht="15.75" x14ac:dyDescent="0.25">
      <c r="D513" s="3">
        <v>28</v>
      </c>
      <c r="F513" s="16" cm="1">
        <f t="array" ref="F5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13" s="31" cm="1">
        <f t="array" ref="G5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51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13" s="32" t="str">
        <f>TEXT(HLG_01[[#This Row],[Batch]],"000")&amp; " / " &amp; TEXT(HLG_01[[#This Row],[Rit]],"000")</f>
        <v>056 / 014</v>
      </c>
      <c r="J513" s="34"/>
      <c r="K513" s="38"/>
      <c r="L513" s="35"/>
      <c r="M513" s="85"/>
      <c r="N513" s="85"/>
      <c r="O513" s="85"/>
      <c r="P513" s="85"/>
      <c r="Q513" s="85"/>
      <c r="R513" s="85"/>
      <c r="S513" s="98"/>
      <c r="T513" s="98"/>
      <c r="U513" s="98"/>
      <c r="V513" s="95"/>
      <c r="W513" s="95"/>
      <c r="X513" s="85"/>
      <c r="AP513" t="str">
        <v/>
      </c>
      <c r="AQ513" t="str">
        <v/>
      </c>
      <c r="AR513" t="str">
        <v/>
      </c>
      <c r="AS513" t="str">
        <v/>
      </c>
      <c r="AT513" t="str">
        <v/>
      </c>
      <c r="AU513" t="str">
        <v/>
      </c>
      <c r="AV513" t="str">
        <v/>
      </c>
      <c r="AW513" t="str">
        <v/>
      </c>
    </row>
    <row r="514" spans="4:49" ht="15.75" x14ac:dyDescent="0.25">
      <c r="D514" s="3">
        <v>28</v>
      </c>
      <c r="F514" s="16" cm="1">
        <f t="array" ref="F5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14" s="31" cm="1">
        <f t="array" ref="G5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51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14" s="32" t="str">
        <f>TEXT(HLG_01[[#This Row],[Batch]],"000")&amp; " / " &amp; TEXT(HLG_01[[#This Row],[Rit]],"000")</f>
        <v>056 / 015</v>
      </c>
      <c r="J514" s="34"/>
      <c r="K514" s="38"/>
      <c r="L514" s="35"/>
      <c r="M514" s="85"/>
      <c r="N514" s="85"/>
      <c r="O514" s="85"/>
      <c r="P514" s="85"/>
      <c r="Q514" s="85"/>
      <c r="R514" s="85"/>
      <c r="S514" s="98"/>
      <c r="T514" s="98"/>
      <c r="U514" s="98"/>
      <c r="V514" s="95"/>
      <c r="W514" s="95"/>
      <c r="X514" s="85"/>
      <c r="AP514" t="str">
        <v/>
      </c>
      <c r="AQ514" t="str">
        <v/>
      </c>
      <c r="AR514" t="str">
        <v/>
      </c>
      <c r="AS514" t="str">
        <v/>
      </c>
      <c r="AT514" t="str">
        <v/>
      </c>
      <c r="AU514" t="str">
        <v/>
      </c>
      <c r="AV514" t="str">
        <v/>
      </c>
      <c r="AW514" t="str">
        <v/>
      </c>
    </row>
    <row r="515" spans="4:49" ht="15.75" x14ac:dyDescent="0.25">
      <c r="D515" s="3">
        <v>28</v>
      </c>
      <c r="F515" s="16" cm="1">
        <f t="array" ref="F5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15" s="31" cm="1">
        <f t="array" ref="G5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51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15" s="32" t="str">
        <f>TEXT(HLG_01[[#This Row],[Batch]],"000")&amp; " / " &amp; TEXT(HLG_01[[#This Row],[Rit]],"000")</f>
        <v>056 / 016</v>
      </c>
      <c r="J515" s="34"/>
      <c r="K515" s="38"/>
      <c r="L515" s="35"/>
      <c r="M515" s="85"/>
      <c r="N515" s="85"/>
      <c r="O515" s="85"/>
      <c r="P515" s="85"/>
      <c r="Q515" s="85"/>
      <c r="R515" s="85"/>
      <c r="S515" s="98"/>
      <c r="T515" s="98"/>
      <c r="U515" s="98"/>
      <c r="V515" s="95"/>
      <c r="W515" s="95"/>
      <c r="X515" s="85"/>
      <c r="AP515" t="str">
        <v/>
      </c>
      <c r="AQ515" t="str">
        <v/>
      </c>
      <c r="AR515" t="str">
        <v/>
      </c>
      <c r="AS515" t="str">
        <v/>
      </c>
      <c r="AT515" t="str">
        <v/>
      </c>
      <c r="AU515" t="str">
        <v/>
      </c>
      <c r="AV515" t="str">
        <v/>
      </c>
      <c r="AW515" t="str">
        <v/>
      </c>
    </row>
    <row r="516" spans="4:49" ht="15.75" x14ac:dyDescent="0.25">
      <c r="D516" s="3">
        <v>28</v>
      </c>
      <c r="F516" s="16" cm="1">
        <f t="array" ref="F5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16" s="31" cm="1">
        <f t="array" ref="G5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51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16" s="32" t="str">
        <f>TEXT(HLG_01[[#This Row],[Batch]],"000")&amp; " / " &amp; TEXT(HLG_01[[#This Row],[Rit]],"000")</f>
        <v>056 / 017</v>
      </c>
      <c r="J516" s="34"/>
      <c r="K516" s="38"/>
      <c r="L516" s="35"/>
      <c r="M516" s="85"/>
      <c r="N516" s="85"/>
      <c r="O516" s="85"/>
      <c r="P516" s="85"/>
      <c r="Q516" s="85"/>
      <c r="R516" s="85"/>
      <c r="S516" s="98"/>
      <c r="T516" s="98"/>
      <c r="U516" s="98"/>
      <c r="V516" s="95"/>
      <c r="W516" s="95"/>
      <c r="X516" s="85"/>
      <c r="AP516" t="str">
        <v/>
      </c>
      <c r="AQ516" t="str">
        <v/>
      </c>
      <c r="AR516" t="str">
        <v/>
      </c>
      <c r="AS516" t="str">
        <v/>
      </c>
      <c r="AT516" t="str">
        <v/>
      </c>
      <c r="AU516" t="str">
        <v/>
      </c>
      <c r="AV516" t="str">
        <v/>
      </c>
      <c r="AW516" t="str">
        <v/>
      </c>
    </row>
    <row r="517" spans="4:49" ht="15.75" x14ac:dyDescent="0.25">
      <c r="D517" s="3">
        <v>28</v>
      </c>
      <c r="F517" s="16" cm="1">
        <f t="array" ref="F5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17" s="31" cm="1">
        <f t="array" ref="G5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51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17" s="32" t="str">
        <f>TEXT(HLG_01[[#This Row],[Batch]],"000")&amp; " / " &amp; TEXT(HLG_01[[#This Row],[Rit]],"000")</f>
        <v>056 / 018</v>
      </c>
      <c r="J517" s="34"/>
      <c r="K517" s="38"/>
      <c r="L517" s="35"/>
      <c r="M517" s="85"/>
      <c r="N517" s="85"/>
      <c r="O517" s="85"/>
      <c r="P517" s="85"/>
      <c r="Q517" s="85"/>
      <c r="R517" s="85"/>
      <c r="S517" s="98"/>
      <c r="T517" s="98"/>
      <c r="U517" s="98"/>
      <c r="V517" s="95"/>
      <c r="W517" s="95"/>
      <c r="X517" s="85"/>
      <c r="AP517" t="str">
        <v/>
      </c>
      <c r="AQ517" t="str">
        <v/>
      </c>
      <c r="AR517" t="str">
        <v/>
      </c>
      <c r="AS517" t="str">
        <v/>
      </c>
      <c r="AT517" t="str">
        <v/>
      </c>
      <c r="AU517" t="str">
        <v/>
      </c>
      <c r="AV517" t="str">
        <v/>
      </c>
      <c r="AW517" t="str">
        <v/>
      </c>
    </row>
    <row r="518" spans="4:49" ht="15.75" x14ac:dyDescent="0.25">
      <c r="D518" s="3">
        <v>28</v>
      </c>
      <c r="F518" s="16" cm="1">
        <f t="array" ref="F5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18" s="31" cm="1">
        <f t="array" ref="G5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51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18" s="32" t="str">
        <f>TEXT(HLG_01[[#This Row],[Batch]],"000")&amp; " / " &amp; TEXT(HLG_01[[#This Row],[Rit]],"000")</f>
        <v>056 / 019</v>
      </c>
      <c r="J518" s="34"/>
      <c r="K518" s="38"/>
      <c r="L518" s="35"/>
      <c r="M518" s="85"/>
      <c r="N518" s="85"/>
      <c r="O518" s="85"/>
      <c r="P518" s="85"/>
      <c r="Q518" s="85"/>
      <c r="R518" s="85"/>
      <c r="S518" s="98"/>
      <c r="T518" s="98"/>
      <c r="U518" s="98"/>
      <c r="V518" s="95"/>
      <c r="W518" s="95"/>
      <c r="X518" s="85"/>
      <c r="AP518" t="str">
        <v/>
      </c>
      <c r="AQ518" t="str">
        <v/>
      </c>
      <c r="AR518" t="str">
        <v/>
      </c>
      <c r="AS518" t="str">
        <v/>
      </c>
      <c r="AT518" t="str">
        <v/>
      </c>
      <c r="AU518" t="str">
        <v/>
      </c>
      <c r="AV518" t="str">
        <v/>
      </c>
      <c r="AW518" t="str">
        <v/>
      </c>
    </row>
    <row r="519" spans="4:49" ht="15.75" x14ac:dyDescent="0.25">
      <c r="D519" s="3">
        <v>28</v>
      </c>
      <c r="F519" s="16" cm="1">
        <f t="array" ref="F5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56</v>
      </c>
      <c r="G519" s="31" cm="1">
        <f t="array" ref="G5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51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19" s="32" t="str">
        <f>TEXT(HLG_01[[#This Row],[Batch]],"000")&amp; " / " &amp; TEXT(HLG_01[[#This Row],[Rit]],"000")</f>
        <v>056 / 020</v>
      </c>
      <c r="J519" s="34"/>
      <c r="K519" s="38"/>
      <c r="L519" s="35"/>
      <c r="M519" s="85"/>
      <c r="N519" s="85"/>
      <c r="O519" s="85"/>
      <c r="P519" s="85"/>
      <c r="Q519" s="85"/>
      <c r="R519" s="85"/>
      <c r="S519" s="98"/>
      <c r="T519" s="98"/>
      <c r="U519" s="98"/>
      <c r="V519" s="95"/>
      <c r="W519" s="95"/>
      <c r="X519" s="85"/>
      <c r="AP519" t="str">
        <v/>
      </c>
      <c r="AQ519" t="str">
        <v/>
      </c>
      <c r="AR519" t="str">
        <v/>
      </c>
      <c r="AS519" t="str">
        <v/>
      </c>
      <c r="AT519" t="str">
        <v/>
      </c>
      <c r="AU519" t="str">
        <v/>
      </c>
      <c r="AV519" t="str">
        <v/>
      </c>
      <c r="AW519" t="str">
        <v/>
      </c>
    </row>
    <row r="520" spans="4:49" ht="15.75" x14ac:dyDescent="0.25">
      <c r="D520" s="3">
        <v>29</v>
      </c>
      <c r="F520" s="16" cm="1">
        <f t="array" ref="F5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20" s="31" cm="1">
        <f t="array" ref="G5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52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20" s="32" t="str">
        <f>TEXT(HLG_01[[#This Row],[Batch]],"000")&amp; " / " &amp; TEXT(HLG_01[[#This Row],[Rit]],"000")</f>
        <v>057 / 001</v>
      </c>
      <c r="J520" s="34"/>
      <c r="K520" s="38"/>
      <c r="L520" s="35"/>
      <c r="M520" s="85"/>
      <c r="N520" s="85"/>
      <c r="O520" s="85"/>
      <c r="P520" s="85"/>
      <c r="Q520" s="85"/>
      <c r="R520" s="85"/>
      <c r="S520" s="98"/>
      <c r="T520" s="98"/>
      <c r="U520" s="98"/>
      <c r="V520" s="95"/>
      <c r="W520" s="95"/>
      <c r="X520" s="85"/>
      <c r="AP520" t="str">
        <v/>
      </c>
      <c r="AQ520" t="str">
        <v/>
      </c>
      <c r="AR520" t="str">
        <v/>
      </c>
      <c r="AS520" t="str">
        <v/>
      </c>
      <c r="AT520" t="str">
        <v/>
      </c>
      <c r="AU520" t="str">
        <v/>
      </c>
      <c r="AV520" t="str">
        <v/>
      </c>
      <c r="AW520" t="str">
        <v/>
      </c>
    </row>
    <row r="521" spans="4:49" ht="15.75" x14ac:dyDescent="0.25">
      <c r="D521" s="3">
        <v>29</v>
      </c>
      <c r="F521" s="16" cm="1">
        <f t="array" ref="F5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21" s="31" cm="1">
        <f t="array" ref="G5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52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21" s="32" t="str">
        <f>TEXT(HLG_01[[#This Row],[Batch]],"000")&amp; " / " &amp; TEXT(HLG_01[[#This Row],[Rit]],"000")</f>
        <v>057 / 002</v>
      </c>
      <c r="J521" s="34"/>
      <c r="K521" s="38"/>
      <c r="L521" s="35"/>
      <c r="M521" s="85"/>
      <c r="N521" s="85"/>
      <c r="O521" s="85"/>
      <c r="P521" s="85"/>
      <c r="Q521" s="85"/>
      <c r="R521" s="85"/>
      <c r="S521" s="98"/>
      <c r="T521" s="98"/>
      <c r="U521" s="98"/>
      <c r="V521" s="95"/>
      <c r="W521" s="95"/>
      <c r="X521" s="85"/>
      <c r="AP521" t="str">
        <v/>
      </c>
      <c r="AQ521" t="str">
        <v/>
      </c>
      <c r="AR521" t="str">
        <v/>
      </c>
      <c r="AS521" t="str">
        <v/>
      </c>
      <c r="AT521" t="str">
        <v/>
      </c>
      <c r="AU521" t="str">
        <v/>
      </c>
      <c r="AV521" t="str">
        <v/>
      </c>
      <c r="AW521" t="str">
        <v/>
      </c>
    </row>
    <row r="522" spans="4:49" ht="15.75" x14ac:dyDescent="0.25">
      <c r="D522" s="3">
        <v>29</v>
      </c>
      <c r="F522" s="16" cm="1">
        <f t="array" ref="F5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22" s="31" cm="1">
        <f t="array" ref="G5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52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22" s="32" t="str">
        <f>TEXT(HLG_01[[#This Row],[Batch]],"000")&amp; " / " &amp; TEXT(HLG_01[[#This Row],[Rit]],"000")</f>
        <v>057 / 003</v>
      </c>
      <c r="J522" s="34"/>
      <c r="K522" s="38"/>
      <c r="L522" s="35"/>
      <c r="M522" s="85"/>
      <c r="N522" s="85"/>
      <c r="O522" s="85"/>
      <c r="P522" s="85"/>
      <c r="Q522" s="85"/>
      <c r="R522" s="85"/>
      <c r="S522" s="98"/>
      <c r="T522" s="98"/>
      <c r="U522" s="98"/>
      <c r="V522" s="95"/>
      <c r="W522" s="95"/>
      <c r="X522" s="85"/>
      <c r="AP522" t="str">
        <v/>
      </c>
      <c r="AQ522" t="str">
        <v/>
      </c>
      <c r="AR522" t="str">
        <v/>
      </c>
      <c r="AS522" t="str">
        <v/>
      </c>
      <c r="AT522" t="str">
        <v/>
      </c>
      <c r="AU522" t="str">
        <v/>
      </c>
      <c r="AV522" t="str">
        <v/>
      </c>
      <c r="AW522" t="str">
        <v/>
      </c>
    </row>
    <row r="523" spans="4:49" ht="15.75" x14ac:dyDescent="0.25">
      <c r="D523" s="3">
        <v>29</v>
      </c>
      <c r="F523" s="16" cm="1">
        <f t="array" ref="F5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23" s="31" cm="1">
        <f t="array" ref="G5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52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23" s="32" t="str">
        <f>TEXT(HLG_01[[#This Row],[Batch]],"000")&amp; " / " &amp; TEXT(HLG_01[[#This Row],[Rit]],"000")</f>
        <v>057 / 004</v>
      </c>
      <c r="J523" s="34"/>
      <c r="K523" s="38"/>
      <c r="L523" s="35"/>
      <c r="M523" s="85"/>
      <c r="N523" s="85"/>
      <c r="O523" s="85"/>
      <c r="P523" s="85"/>
      <c r="Q523" s="85"/>
      <c r="R523" s="85"/>
      <c r="S523" s="98"/>
      <c r="T523" s="98"/>
      <c r="U523" s="98"/>
      <c r="V523" s="95"/>
      <c r="W523" s="95"/>
      <c r="X523" s="85"/>
      <c r="AP523" t="str">
        <v/>
      </c>
      <c r="AQ523" t="str">
        <v/>
      </c>
      <c r="AR523" t="str">
        <v/>
      </c>
      <c r="AS523" t="str">
        <v/>
      </c>
      <c r="AT523" t="str">
        <v/>
      </c>
      <c r="AU523" t="str">
        <v/>
      </c>
      <c r="AV523" t="str">
        <v/>
      </c>
      <c r="AW523" t="str">
        <v/>
      </c>
    </row>
    <row r="524" spans="4:49" ht="15.75" x14ac:dyDescent="0.25">
      <c r="D524" s="3">
        <v>29</v>
      </c>
      <c r="F524" s="16" cm="1">
        <f t="array" ref="F5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24" s="31" cm="1">
        <f t="array" ref="G5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52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24" s="32" t="str">
        <f>TEXT(HLG_01[[#This Row],[Batch]],"000")&amp; " / " &amp; TEXT(HLG_01[[#This Row],[Rit]],"000")</f>
        <v>057 / 005</v>
      </c>
      <c r="J524" s="34"/>
      <c r="K524" s="38"/>
      <c r="L524" s="35"/>
      <c r="M524" s="85"/>
      <c r="N524" s="85"/>
      <c r="O524" s="85"/>
      <c r="P524" s="85"/>
      <c r="Q524" s="85"/>
      <c r="R524" s="85"/>
      <c r="S524" s="98"/>
      <c r="T524" s="98"/>
      <c r="U524" s="98"/>
      <c r="V524" s="95"/>
      <c r="W524" s="95"/>
      <c r="X524" s="85"/>
      <c r="AP524" t="str">
        <v/>
      </c>
      <c r="AQ524" t="str">
        <v/>
      </c>
      <c r="AR524" t="str">
        <v/>
      </c>
      <c r="AS524" t="str">
        <v/>
      </c>
      <c r="AT524" t="str">
        <v/>
      </c>
      <c r="AU524" t="str">
        <v/>
      </c>
      <c r="AV524" t="str">
        <v/>
      </c>
      <c r="AW524" t="str">
        <v/>
      </c>
    </row>
    <row r="525" spans="4:49" ht="15.75" x14ac:dyDescent="0.25">
      <c r="D525" s="3">
        <v>29</v>
      </c>
      <c r="F525" s="16" cm="1">
        <f t="array" ref="F5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25" s="31" cm="1">
        <f t="array" ref="G5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52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25" s="32" t="str">
        <f>TEXT(HLG_01[[#This Row],[Batch]],"000")&amp; " / " &amp; TEXT(HLG_01[[#This Row],[Rit]],"000")</f>
        <v>057 / 006</v>
      </c>
      <c r="J525" s="34"/>
      <c r="K525" s="38"/>
      <c r="L525" s="35"/>
      <c r="M525" s="85"/>
      <c r="N525" s="85"/>
      <c r="O525" s="85"/>
      <c r="P525" s="85"/>
      <c r="Q525" s="85"/>
      <c r="R525" s="85"/>
      <c r="S525" s="98"/>
      <c r="T525" s="98"/>
      <c r="U525" s="98"/>
      <c r="V525" s="95"/>
      <c r="W525" s="95"/>
      <c r="X525" s="85"/>
      <c r="AP525" t="str">
        <v/>
      </c>
      <c r="AQ525" t="str">
        <v/>
      </c>
      <c r="AR525" t="str">
        <v/>
      </c>
      <c r="AS525" t="str">
        <v/>
      </c>
      <c r="AT525" t="str">
        <v/>
      </c>
      <c r="AU525" t="str">
        <v/>
      </c>
      <c r="AV525" t="str">
        <v/>
      </c>
      <c r="AW525" t="str">
        <v/>
      </c>
    </row>
    <row r="526" spans="4:49" ht="15.75" x14ac:dyDescent="0.25">
      <c r="D526" s="3">
        <v>29</v>
      </c>
      <c r="F526" s="16" cm="1">
        <f t="array" ref="F5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26" s="31" cm="1">
        <f t="array" ref="G5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52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26" s="32" t="str">
        <f>TEXT(HLG_01[[#This Row],[Batch]],"000")&amp; " / " &amp; TEXT(HLG_01[[#This Row],[Rit]],"000")</f>
        <v>057 / 007</v>
      </c>
      <c r="J526" s="34"/>
      <c r="K526" s="38"/>
      <c r="L526" s="35"/>
      <c r="M526" s="85"/>
      <c r="N526" s="85"/>
      <c r="O526" s="85"/>
      <c r="P526" s="85"/>
      <c r="Q526" s="85"/>
      <c r="R526" s="85"/>
      <c r="S526" s="98"/>
      <c r="T526" s="98"/>
      <c r="U526" s="98"/>
      <c r="V526" s="95"/>
      <c r="W526" s="95"/>
      <c r="X526" s="85"/>
      <c r="AP526" t="str">
        <v/>
      </c>
      <c r="AQ526" t="str">
        <v/>
      </c>
      <c r="AR526" t="str">
        <v/>
      </c>
      <c r="AS526" t="str">
        <v/>
      </c>
      <c r="AT526" t="str">
        <v/>
      </c>
      <c r="AU526" t="str">
        <v/>
      </c>
      <c r="AV526" t="str">
        <v/>
      </c>
      <c r="AW526" t="str">
        <v/>
      </c>
    </row>
    <row r="527" spans="4:49" ht="15.75" x14ac:dyDescent="0.25">
      <c r="D527" s="3">
        <v>29</v>
      </c>
      <c r="F527" s="16" cm="1">
        <f t="array" ref="F5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27" s="31" cm="1">
        <f t="array" ref="G5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52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27" s="32" t="str">
        <f>TEXT(HLG_01[[#This Row],[Batch]],"000")&amp; " / " &amp; TEXT(HLG_01[[#This Row],[Rit]],"000")</f>
        <v>057 / 008</v>
      </c>
      <c r="J527" s="34"/>
      <c r="K527" s="38"/>
      <c r="L527" s="35"/>
      <c r="M527" s="85"/>
      <c r="N527" s="85"/>
      <c r="O527" s="85"/>
      <c r="P527" s="85"/>
      <c r="Q527" s="85"/>
      <c r="R527" s="85"/>
      <c r="S527" s="98"/>
      <c r="T527" s="98"/>
      <c r="U527" s="98"/>
      <c r="V527" s="95"/>
      <c r="W527" s="95"/>
      <c r="X527" s="85"/>
      <c r="AP527" t="str">
        <v/>
      </c>
      <c r="AQ527" t="str">
        <v/>
      </c>
      <c r="AR527" t="str">
        <v/>
      </c>
      <c r="AS527" t="str">
        <v/>
      </c>
      <c r="AT527" t="str">
        <v/>
      </c>
      <c r="AU527" t="str">
        <v/>
      </c>
      <c r="AV527" t="str">
        <v/>
      </c>
      <c r="AW527" t="str">
        <v/>
      </c>
    </row>
    <row r="528" spans="4:49" ht="15.75" x14ac:dyDescent="0.25">
      <c r="D528" s="3">
        <v>29</v>
      </c>
      <c r="F528" s="16" cm="1">
        <f t="array" ref="F5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28" s="31" cm="1">
        <f t="array" ref="G5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52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28" s="32" t="str">
        <f>TEXT(HLG_01[[#This Row],[Batch]],"000")&amp; " / " &amp; TEXT(HLG_01[[#This Row],[Rit]],"000")</f>
        <v>057 / 009</v>
      </c>
      <c r="J528" s="34"/>
      <c r="K528" s="38"/>
      <c r="L528" s="35"/>
      <c r="M528" s="85"/>
      <c r="N528" s="85"/>
      <c r="O528" s="85"/>
      <c r="P528" s="85"/>
      <c r="Q528" s="85"/>
      <c r="R528" s="85"/>
      <c r="S528" s="98"/>
      <c r="T528" s="98"/>
      <c r="U528" s="98"/>
      <c r="V528" s="95"/>
      <c r="W528" s="95"/>
      <c r="X528" s="85"/>
      <c r="AP528" t="str">
        <v/>
      </c>
      <c r="AQ528" t="str">
        <v/>
      </c>
      <c r="AR528" t="str">
        <v/>
      </c>
      <c r="AS528" t="str">
        <v/>
      </c>
      <c r="AT528" t="str">
        <v/>
      </c>
      <c r="AU528" t="str">
        <v/>
      </c>
      <c r="AV528" t="str">
        <v/>
      </c>
      <c r="AW528" t="str">
        <v/>
      </c>
    </row>
    <row r="529" spans="4:49" ht="15.75" x14ac:dyDescent="0.25">
      <c r="D529" s="3">
        <v>29</v>
      </c>
      <c r="F529" s="16" cm="1">
        <f t="array" ref="F5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29" s="31" cm="1">
        <f t="array" ref="G5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52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29" s="32" t="str">
        <f>TEXT(HLG_01[[#This Row],[Batch]],"000")&amp; " / " &amp; TEXT(HLG_01[[#This Row],[Rit]],"000")</f>
        <v>057 / 010</v>
      </c>
      <c r="J529" s="34"/>
      <c r="K529" s="38"/>
      <c r="L529" s="35"/>
      <c r="M529" s="85"/>
      <c r="N529" s="85"/>
      <c r="O529" s="85"/>
      <c r="P529" s="85"/>
      <c r="Q529" s="85"/>
      <c r="R529" s="85"/>
      <c r="S529" s="98"/>
      <c r="T529" s="98"/>
      <c r="U529" s="98"/>
      <c r="V529" s="95"/>
      <c r="W529" s="95"/>
      <c r="X529" s="85"/>
      <c r="AP529" t="str">
        <v/>
      </c>
      <c r="AQ529" t="str">
        <v/>
      </c>
      <c r="AR529" t="str">
        <v/>
      </c>
      <c r="AS529" t="str">
        <v/>
      </c>
      <c r="AT529" t="str">
        <v/>
      </c>
      <c r="AU529" t="str">
        <v/>
      </c>
      <c r="AV529" t="str">
        <v/>
      </c>
      <c r="AW529" t="str">
        <v/>
      </c>
    </row>
    <row r="530" spans="4:49" ht="15.75" x14ac:dyDescent="0.25">
      <c r="D530" s="3">
        <v>29</v>
      </c>
      <c r="F530" s="16" cm="1">
        <f t="array" ref="F5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30" s="31" cm="1">
        <f t="array" ref="G5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53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30" s="32" t="str">
        <f>TEXT(HLG_01[[#This Row],[Batch]],"000")&amp; " / " &amp; TEXT(HLG_01[[#This Row],[Rit]],"000")</f>
        <v>057 / 011</v>
      </c>
      <c r="J530" s="34"/>
      <c r="K530" s="38"/>
      <c r="L530" s="35"/>
      <c r="M530" s="85"/>
      <c r="N530" s="85"/>
      <c r="O530" s="85"/>
      <c r="P530" s="85"/>
      <c r="Q530" s="85"/>
      <c r="R530" s="85"/>
      <c r="S530" s="98"/>
      <c r="T530" s="98"/>
      <c r="U530" s="98"/>
      <c r="V530" s="95"/>
      <c r="W530" s="95"/>
      <c r="X530" s="85"/>
      <c r="AP530" t="str">
        <v/>
      </c>
      <c r="AQ530" t="str">
        <v/>
      </c>
      <c r="AR530" t="str">
        <v/>
      </c>
      <c r="AS530" t="str">
        <v/>
      </c>
      <c r="AT530" t="str">
        <v/>
      </c>
      <c r="AU530" t="str">
        <v/>
      </c>
      <c r="AV530" t="str">
        <v/>
      </c>
      <c r="AW530" t="str">
        <v/>
      </c>
    </row>
    <row r="531" spans="4:49" ht="15.75" x14ac:dyDescent="0.25">
      <c r="D531" s="3">
        <v>29</v>
      </c>
      <c r="F531" s="16" cm="1">
        <f t="array" ref="F5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31" s="31" cm="1">
        <f t="array" ref="G5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53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31" s="32" t="str">
        <f>TEXT(HLG_01[[#This Row],[Batch]],"000")&amp; " / " &amp; TEXT(HLG_01[[#This Row],[Rit]],"000")</f>
        <v>057 / 012</v>
      </c>
      <c r="J531" s="34"/>
      <c r="K531" s="38"/>
      <c r="L531" s="35"/>
      <c r="M531" s="85"/>
      <c r="N531" s="85"/>
      <c r="O531" s="85"/>
      <c r="P531" s="85"/>
      <c r="Q531" s="85"/>
      <c r="R531" s="85"/>
      <c r="S531" s="98"/>
      <c r="T531" s="98"/>
      <c r="U531" s="98"/>
      <c r="V531" s="95"/>
      <c r="W531" s="95"/>
      <c r="X531" s="85"/>
      <c r="AP531" t="str">
        <v/>
      </c>
      <c r="AQ531" t="str">
        <v/>
      </c>
      <c r="AR531" t="str">
        <v/>
      </c>
      <c r="AS531" t="str">
        <v/>
      </c>
      <c r="AT531" t="str">
        <v/>
      </c>
      <c r="AU531" t="str">
        <v/>
      </c>
      <c r="AV531" t="str">
        <v/>
      </c>
      <c r="AW531" t="str">
        <v/>
      </c>
    </row>
    <row r="532" spans="4:49" ht="15.75" x14ac:dyDescent="0.25">
      <c r="D532" s="3">
        <v>29</v>
      </c>
      <c r="F532" s="16" cm="1">
        <f t="array" ref="F5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32" s="31" cm="1">
        <f t="array" ref="G5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53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32" s="32" t="str">
        <f>TEXT(HLG_01[[#This Row],[Batch]],"000")&amp; " / " &amp; TEXT(HLG_01[[#This Row],[Rit]],"000")</f>
        <v>057 / 013</v>
      </c>
      <c r="J532" s="34"/>
      <c r="K532" s="38"/>
      <c r="L532" s="35"/>
      <c r="M532" s="85"/>
      <c r="N532" s="85"/>
      <c r="O532" s="85"/>
      <c r="P532" s="85"/>
      <c r="Q532" s="85"/>
      <c r="R532" s="85"/>
      <c r="S532" s="98"/>
      <c r="T532" s="98"/>
      <c r="U532" s="98"/>
      <c r="V532" s="95"/>
      <c r="W532" s="95"/>
      <c r="X532" s="85"/>
      <c r="AP532" t="str">
        <v/>
      </c>
      <c r="AQ532" t="str">
        <v/>
      </c>
      <c r="AR532" t="str">
        <v/>
      </c>
      <c r="AS532" t="str">
        <v/>
      </c>
      <c r="AT532" t="str">
        <v/>
      </c>
      <c r="AU532" t="str">
        <v/>
      </c>
      <c r="AV532" t="str">
        <v/>
      </c>
      <c r="AW532" t="str">
        <v/>
      </c>
    </row>
    <row r="533" spans="4:49" ht="15.75" x14ac:dyDescent="0.25">
      <c r="D533" s="3">
        <v>29</v>
      </c>
      <c r="F533" s="16" cm="1">
        <f t="array" ref="F5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33" s="31" cm="1">
        <f t="array" ref="G5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53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33" s="32" t="str">
        <f>TEXT(HLG_01[[#This Row],[Batch]],"000")&amp; " / " &amp; TEXT(HLG_01[[#This Row],[Rit]],"000")</f>
        <v>057 / 014</v>
      </c>
      <c r="J533" s="34"/>
      <c r="K533" s="38"/>
      <c r="L533" s="35"/>
      <c r="M533" s="85"/>
      <c r="N533" s="85"/>
      <c r="O533" s="85"/>
      <c r="P533" s="85"/>
      <c r="Q533" s="85"/>
      <c r="R533" s="85"/>
      <c r="S533" s="98"/>
      <c r="T533" s="98"/>
      <c r="U533" s="98"/>
      <c r="V533" s="95"/>
      <c r="W533" s="95"/>
      <c r="X533" s="85"/>
      <c r="AP533" t="str">
        <v/>
      </c>
      <c r="AQ533" t="str">
        <v/>
      </c>
      <c r="AR533" t="str">
        <v/>
      </c>
      <c r="AS533" t="str">
        <v/>
      </c>
      <c r="AT533" t="str">
        <v/>
      </c>
      <c r="AU533" t="str">
        <v/>
      </c>
      <c r="AV533" t="str">
        <v/>
      </c>
      <c r="AW533" t="str">
        <v/>
      </c>
    </row>
    <row r="534" spans="4:49" ht="15.75" x14ac:dyDescent="0.25">
      <c r="D534" s="3">
        <v>29</v>
      </c>
      <c r="F534" s="16" cm="1">
        <f t="array" ref="F5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34" s="31" cm="1">
        <f t="array" ref="G5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53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34" s="32" t="str">
        <f>TEXT(HLG_01[[#This Row],[Batch]],"000")&amp; " / " &amp; TEXT(HLG_01[[#This Row],[Rit]],"000")</f>
        <v>057 / 015</v>
      </c>
      <c r="J534" s="34"/>
      <c r="K534" s="38"/>
      <c r="L534" s="35"/>
      <c r="M534" s="85"/>
      <c r="N534" s="85"/>
      <c r="O534" s="85"/>
      <c r="P534" s="85"/>
      <c r="Q534" s="85"/>
      <c r="R534" s="85"/>
      <c r="S534" s="98"/>
      <c r="T534" s="98"/>
      <c r="U534" s="98"/>
      <c r="V534" s="95"/>
      <c r="W534" s="95"/>
      <c r="X534" s="85"/>
      <c r="AP534" t="str">
        <v/>
      </c>
      <c r="AQ534" t="str">
        <v/>
      </c>
      <c r="AR534" t="str">
        <v/>
      </c>
      <c r="AS534" t="str">
        <v/>
      </c>
      <c r="AT534" t="str">
        <v/>
      </c>
      <c r="AU534" t="str">
        <v/>
      </c>
      <c r="AV534" t="str">
        <v/>
      </c>
      <c r="AW534" t="str">
        <v/>
      </c>
    </row>
    <row r="535" spans="4:49" ht="15.75" x14ac:dyDescent="0.25">
      <c r="D535" s="3">
        <v>29</v>
      </c>
      <c r="F535" s="16" cm="1">
        <f t="array" ref="F5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35" s="31" cm="1">
        <f t="array" ref="G5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53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35" s="32" t="str">
        <f>TEXT(HLG_01[[#This Row],[Batch]],"000")&amp; " / " &amp; TEXT(HLG_01[[#This Row],[Rit]],"000")</f>
        <v>057 / 016</v>
      </c>
      <c r="J535" s="34"/>
      <c r="K535" s="38"/>
      <c r="L535" s="35"/>
      <c r="M535" s="85"/>
      <c r="N535" s="85"/>
      <c r="O535" s="85"/>
      <c r="P535" s="85"/>
      <c r="Q535" s="85"/>
      <c r="R535" s="85"/>
      <c r="S535" s="98"/>
      <c r="T535" s="98"/>
      <c r="U535" s="98"/>
      <c r="V535" s="95"/>
      <c r="W535" s="95"/>
      <c r="X535" s="85"/>
      <c r="AP535" t="str">
        <v/>
      </c>
      <c r="AQ535" t="str">
        <v/>
      </c>
      <c r="AR535" t="str">
        <v/>
      </c>
      <c r="AS535" t="str">
        <v/>
      </c>
      <c r="AT535" t="str">
        <v/>
      </c>
      <c r="AU535" t="str">
        <v/>
      </c>
      <c r="AV535" t="str">
        <v/>
      </c>
      <c r="AW535" t="str">
        <v/>
      </c>
    </row>
    <row r="536" spans="4:49" ht="15.75" x14ac:dyDescent="0.25">
      <c r="D536" s="3">
        <v>29</v>
      </c>
      <c r="F536" s="16" cm="1">
        <f t="array" ref="F5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36" s="31" cm="1">
        <f t="array" ref="G5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53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36" s="32" t="str">
        <f>TEXT(HLG_01[[#This Row],[Batch]],"000")&amp; " / " &amp; TEXT(HLG_01[[#This Row],[Rit]],"000")</f>
        <v>057 / 017</v>
      </c>
      <c r="J536" s="34"/>
      <c r="K536" s="38"/>
      <c r="L536" s="35"/>
      <c r="M536" s="85"/>
      <c r="N536" s="85"/>
      <c r="O536" s="85"/>
      <c r="P536" s="85"/>
      <c r="Q536" s="85"/>
      <c r="R536" s="85"/>
      <c r="S536" s="98"/>
      <c r="T536" s="98"/>
      <c r="U536" s="98"/>
      <c r="V536" s="95"/>
      <c r="W536" s="95"/>
      <c r="X536" s="85"/>
      <c r="AP536" t="str">
        <v/>
      </c>
      <c r="AQ536" t="str">
        <v/>
      </c>
      <c r="AR536" t="str">
        <v/>
      </c>
      <c r="AS536" t="str">
        <v/>
      </c>
      <c r="AT536" t="str">
        <v/>
      </c>
      <c r="AU536" t="str">
        <v/>
      </c>
      <c r="AV536" t="str">
        <v/>
      </c>
      <c r="AW536" t="str">
        <v/>
      </c>
    </row>
    <row r="537" spans="4:49" ht="15.75" x14ac:dyDescent="0.25">
      <c r="D537" s="3">
        <v>29</v>
      </c>
      <c r="F537" s="16" cm="1">
        <f t="array" ref="F5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37" s="31" cm="1">
        <f t="array" ref="G5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53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37" s="32" t="str">
        <f>TEXT(HLG_01[[#This Row],[Batch]],"000")&amp; " / " &amp; TEXT(HLG_01[[#This Row],[Rit]],"000")</f>
        <v>057 / 018</v>
      </c>
      <c r="J537" s="34"/>
      <c r="K537" s="38"/>
      <c r="L537" s="35"/>
      <c r="M537" s="85"/>
      <c r="N537" s="85"/>
      <c r="O537" s="85"/>
      <c r="P537" s="85"/>
      <c r="Q537" s="85"/>
      <c r="R537" s="85"/>
      <c r="S537" s="98"/>
      <c r="T537" s="98"/>
      <c r="U537" s="98"/>
      <c r="V537" s="95"/>
      <c r="W537" s="95"/>
      <c r="X537" s="85"/>
      <c r="AP537" t="str">
        <v/>
      </c>
      <c r="AQ537" t="str">
        <v/>
      </c>
      <c r="AR537" t="str">
        <v/>
      </c>
      <c r="AS537" t="str">
        <v/>
      </c>
      <c r="AT537" t="str">
        <v/>
      </c>
      <c r="AU537" t="str">
        <v/>
      </c>
      <c r="AV537" t="str">
        <v/>
      </c>
      <c r="AW537" t="str">
        <v/>
      </c>
    </row>
    <row r="538" spans="4:49" ht="15.75" x14ac:dyDescent="0.25">
      <c r="D538" s="3">
        <v>29</v>
      </c>
      <c r="F538" s="16" cm="1">
        <f t="array" ref="F5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38" s="31" cm="1">
        <f t="array" ref="G5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53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38" s="32" t="str">
        <f>TEXT(HLG_01[[#This Row],[Batch]],"000")&amp; " / " &amp; TEXT(HLG_01[[#This Row],[Rit]],"000")</f>
        <v>057 / 019</v>
      </c>
      <c r="J538" s="34"/>
      <c r="K538" s="38"/>
      <c r="L538" s="35"/>
      <c r="M538" s="85"/>
      <c r="N538" s="85"/>
      <c r="O538" s="85"/>
      <c r="P538" s="85"/>
      <c r="Q538" s="85"/>
      <c r="R538" s="85"/>
      <c r="S538" s="98"/>
      <c r="T538" s="98"/>
      <c r="U538" s="98"/>
      <c r="V538" s="95"/>
      <c r="W538" s="95"/>
      <c r="X538" s="85"/>
      <c r="AP538" t="str">
        <v/>
      </c>
      <c r="AQ538" t="str">
        <v/>
      </c>
      <c r="AR538" t="str">
        <v/>
      </c>
      <c r="AS538" t="str">
        <v/>
      </c>
      <c r="AT538" t="str">
        <v/>
      </c>
      <c r="AU538" t="str">
        <v/>
      </c>
      <c r="AV538" t="str">
        <v/>
      </c>
      <c r="AW538" t="str">
        <v/>
      </c>
    </row>
    <row r="539" spans="4:49" ht="15.75" x14ac:dyDescent="0.25">
      <c r="D539" s="3">
        <v>29</v>
      </c>
      <c r="F539" s="16" cm="1">
        <f t="array" ref="F5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57</v>
      </c>
      <c r="G539" s="31" cm="1">
        <f t="array" ref="G5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53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39" s="32" t="str">
        <f>TEXT(HLG_01[[#This Row],[Batch]],"000")&amp; " / " &amp; TEXT(HLG_01[[#This Row],[Rit]],"000")</f>
        <v>057 / 020</v>
      </c>
      <c r="J539" s="34"/>
      <c r="K539" s="38"/>
      <c r="L539" s="35"/>
      <c r="M539" s="85"/>
      <c r="N539" s="85"/>
      <c r="O539" s="85"/>
      <c r="P539" s="85"/>
      <c r="Q539" s="85"/>
      <c r="R539" s="85"/>
      <c r="S539" s="98"/>
      <c r="T539" s="98"/>
      <c r="U539" s="98"/>
      <c r="V539" s="95"/>
      <c r="W539" s="95"/>
      <c r="X539" s="85"/>
      <c r="AP539" t="str">
        <v/>
      </c>
      <c r="AQ539" t="str">
        <v/>
      </c>
      <c r="AR539" t="str">
        <v/>
      </c>
      <c r="AS539" t="str">
        <v/>
      </c>
      <c r="AT539" t="str">
        <v/>
      </c>
      <c r="AU539" t="str">
        <v/>
      </c>
      <c r="AV539" t="str">
        <v/>
      </c>
      <c r="AW539" t="str">
        <v/>
      </c>
    </row>
    <row r="540" spans="4:49" ht="15.75" x14ac:dyDescent="0.25">
      <c r="D540" s="3">
        <v>30</v>
      </c>
      <c r="F540" s="16" cm="1">
        <f t="array" ref="F5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40" s="31" cm="1">
        <f t="array" ref="G5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54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40" s="32" t="str">
        <f>TEXT(HLG_01[[#This Row],[Batch]],"000")&amp; " / " &amp; TEXT(HLG_01[[#This Row],[Rit]],"000")</f>
        <v>058 / 001</v>
      </c>
      <c r="J540" s="34"/>
      <c r="K540" s="38"/>
      <c r="L540" s="35"/>
      <c r="M540" s="85"/>
      <c r="N540" s="85"/>
      <c r="O540" s="85"/>
      <c r="P540" s="85"/>
      <c r="Q540" s="85"/>
      <c r="R540" s="85"/>
      <c r="S540" s="98"/>
      <c r="T540" s="98"/>
      <c r="U540" s="98"/>
      <c r="V540" s="95"/>
      <c r="W540" s="95"/>
      <c r="X540" s="85"/>
      <c r="AP540" t="str">
        <v/>
      </c>
      <c r="AQ540" t="str">
        <v/>
      </c>
      <c r="AR540" t="str">
        <v/>
      </c>
      <c r="AS540" t="str">
        <v/>
      </c>
      <c r="AT540" t="str">
        <v/>
      </c>
      <c r="AU540" t="str">
        <v/>
      </c>
      <c r="AV540" t="str">
        <v/>
      </c>
      <c r="AW540" t="str">
        <v/>
      </c>
    </row>
    <row r="541" spans="4:49" ht="15.75" x14ac:dyDescent="0.25">
      <c r="D541" s="3">
        <v>30</v>
      </c>
      <c r="F541" s="16" cm="1">
        <f t="array" ref="F5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41" s="31" cm="1">
        <f t="array" ref="G5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54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41" s="32" t="str">
        <f>TEXT(HLG_01[[#This Row],[Batch]],"000")&amp; " / " &amp; TEXT(HLG_01[[#This Row],[Rit]],"000")</f>
        <v>058 / 002</v>
      </c>
      <c r="J541" s="34"/>
      <c r="K541" s="38"/>
      <c r="L541" s="35"/>
      <c r="M541" s="85"/>
      <c r="N541" s="85"/>
      <c r="O541" s="85"/>
      <c r="P541" s="85"/>
      <c r="Q541" s="85"/>
      <c r="R541" s="85"/>
      <c r="S541" s="98"/>
      <c r="T541" s="98"/>
      <c r="U541" s="98"/>
      <c r="V541" s="95"/>
      <c r="W541" s="95"/>
      <c r="X541" s="85"/>
      <c r="AP541" t="str">
        <v/>
      </c>
      <c r="AQ541" t="str">
        <v/>
      </c>
      <c r="AR541" t="str">
        <v/>
      </c>
      <c r="AS541" t="str">
        <v/>
      </c>
      <c r="AT541" t="str">
        <v/>
      </c>
      <c r="AU541" t="str">
        <v/>
      </c>
      <c r="AV541" t="str">
        <v/>
      </c>
      <c r="AW541" t="str">
        <v/>
      </c>
    </row>
    <row r="542" spans="4:49" ht="15.75" x14ac:dyDescent="0.25">
      <c r="D542" s="3">
        <v>30</v>
      </c>
      <c r="F542" s="16" cm="1">
        <f t="array" ref="F5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42" s="31" cm="1">
        <f t="array" ref="G5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54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42" s="32" t="str">
        <f>TEXT(HLG_01[[#This Row],[Batch]],"000")&amp; " / " &amp; TEXT(HLG_01[[#This Row],[Rit]],"000")</f>
        <v>058 / 003</v>
      </c>
      <c r="J542" s="34"/>
      <c r="K542" s="38"/>
      <c r="L542" s="35"/>
      <c r="M542" s="85"/>
      <c r="N542" s="85"/>
      <c r="O542" s="85"/>
      <c r="P542" s="85"/>
      <c r="Q542" s="85"/>
      <c r="R542" s="85"/>
      <c r="S542" s="98"/>
      <c r="T542" s="98"/>
      <c r="U542" s="98"/>
      <c r="V542" s="95"/>
      <c r="W542" s="95"/>
      <c r="X542" s="85"/>
      <c r="AP542" t="str">
        <v/>
      </c>
      <c r="AQ542" t="str">
        <v/>
      </c>
      <c r="AR542" t="str">
        <v/>
      </c>
      <c r="AS542" t="str">
        <v/>
      </c>
      <c r="AT542" t="str">
        <v/>
      </c>
      <c r="AU542" t="str">
        <v/>
      </c>
      <c r="AV542" t="str">
        <v/>
      </c>
      <c r="AW542" t="str">
        <v/>
      </c>
    </row>
    <row r="543" spans="4:49" ht="15.75" x14ac:dyDescent="0.25">
      <c r="D543" s="3">
        <v>30</v>
      </c>
      <c r="F543" s="16" cm="1">
        <f t="array" ref="F5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43" s="31" cm="1">
        <f t="array" ref="G5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54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43" s="32" t="str">
        <f>TEXT(HLG_01[[#This Row],[Batch]],"000")&amp; " / " &amp; TEXT(HLG_01[[#This Row],[Rit]],"000")</f>
        <v>058 / 004</v>
      </c>
      <c r="J543" s="34"/>
      <c r="K543" s="38"/>
      <c r="L543" s="35"/>
      <c r="M543" s="85"/>
      <c r="N543" s="85"/>
      <c r="O543" s="85"/>
      <c r="P543" s="85"/>
      <c r="Q543" s="85"/>
      <c r="R543" s="85"/>
      <c r="S543" s="98"/>
      <c r="T543" s="98"/>
      <c r="U543" s="98"/>
      <c r="V543" s="95"/>
      <c r="W543" s="95"/>
      <c r="X543" s="85"/>
      <c r="AP543" t="str">
        <v/>
      </c>
      <c r="AQ543" t="str">
        <v/>
      </c>
      <c r="AR543" t="str">
        <v/>
      </c>
      <c r="AS543" t="str">
        <v/>
      </c>
      <c r="AT543" t="str">
        <v/>
      </c>
      <c r="AU543" t="str">
        <v/>
      </c>
      <c r="AV543" t="str">
        <v/>
      </c>
      <c r="AW543" t="str">
        <v/>
      </c>
    </row>
    <row r="544" spans="4:49" ht="15.75" x14ac:dyDescent="0.25">
      <c r="D544" s="3">
        <v>30</v>
      </c>
      <c r="F544" s="16" cm="1">
        <f t="array" ref="F5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44" s="31" cm="1">
        <f t="array" ref="G5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54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44" s="32" t="str">
        <f>TEXT(HLG_01[[#This Row],[Batch]],"000")&amp; " / " &amp; TEXT(HLG_01[[#This Row],[Rit]],"000")</f>
        <v>058 / 005</v>
      </c>
      <c r="J544" s="34"/>
      <c r="K544" s="38"/>
      <c r="L544" s="35"/>
      <c r="M544" s="85"/>
      <c r="N544" s="85"/>
      <c r="O544" s="85"/>
      <c r="P544" s="85"/>
      <c r="Q544" s="85"/>
      <c r="R544" s="85"/>
      <c r="S544" s="98"/>
      <c r="T544" s="98"/>
      <c r="U544" s="98"/>
      <c r="V544" s="95"/>
      <c r="W544" s="95"/>
      <c r="X544" s="85"/>
      <c r="AP544" t="str">
        <v/>
      </c>
      <c r="AQ544" t="str">
        <v/>
      </c>
      <c r="AR544" t="str">
        <v/>
      </c>
      <c r="AS544" t="str">
        <v/>
      </c>
      <c r="AT544" t="str">
        <v/>
      </c>
      <c r="AU544" t="str">
        <v/>
      </c>
      <c r="AV544" t="str">
        <v/>
      </c>
      <c r="AW544" t="str">
        <v/>
      </c>
    </row>
    <row r="545" spans="4:49" ht="15.75" x14ac:dyDescent="0.25">
      <c r="D545" s="3">
        <v>30</v>
      </c>
      <c r="F545" s="16" cm="1">
        <f t="array" ref="F5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45" s="31" cm="1">
        <f t="array" ref="G5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54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45" s="32" t="str">
        <f>TEXT(HLG_01[[#This Row],[Batch]],"000")&amp; " / " &amp; TEXT(HLG_01[[#This Row],[Rit]],"000")</f>
        <v>058 / 006</v>
      </c>
      <c r="J545" s="34"/>
      <c r="K545" s="38"/>
      <c r="L545" s="35"/>
      <c r="M545" s="85"/>
      <c r="N545" s="85"/>
      <c r="O545" s="85"/>
      <c r="P545" s="85"/>
      <c r="Q545" s="85"/>
      <c r="R545" s="85"/>
      <c r="S545" s="98"/>
      <c r="T545" s="98"/>
      <c r="U545" s="98"/>
      <c r="V545" s="95"/>
      <c r="W545" s="95"/>
      <c r="X545" s="85"/>
      <c r="AP545" t="str">
        <v/>
      </c>
      <c r="AQ545" t="str">
        <v/>
      </c>
      <c r="AR545" t="str">
        <v/>
      </c>
      <c r="AS545" t="str">
        <v/>
      </c>
      <c r="AT545" t="str">
        <v/>
      </c>
      <c r="AU545" t="str">
        <v/>
      </c>
      <c r="AV545" t="str">
        <v/>
      </c>
      <c r="AW545" t="str">
        <v/>
      </c>
    </row>
    <row r="546" spans="4:49" ht="15.75" x14ac:dyDescent="0.25">
      <c r="D546" s="3">
        <v>30</v>
      </c>
      <c r="F546" s="16" cm="1">
        <f t="array" ref="F5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46" s="31" cm="1">
        <f t="array" ref="G5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54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46" s="32" t="str">
        <f>TEXT(HLG_01[[#This Row],[Batch]],"000")&amp; " / " &amp; TEXT(HLG_01[[#This Row],[Rit]],"000")</f>
        <v>058 / 007</v>
      </c>
      <c r="J546" s="34"/>
      <c r="K546" s="38"/>
      <c r="L546" s="35"/>
      <c r="M546" s="85"/>
      <c r="N546" s="85"/>
      <c r="O546" s="85"/>
      <c r="P546" s="85"/>
      <c r="Q546" s="85"/>
      <c r="R546" s="85"/>
      <c r="S546" s="98"/>
      <c r="T546" s="98"/>
      <c r="U546" s="98"/>
      <c r="V546" s="95"/>
      <c r="W546" s="95"/>
      <c r="X546" s="85"/>
      <c r="AP546" t="str">
        <v/>
      </c>
      <c r="AQ546" t="str">
        <v/>
      </c>
      <c r="AR546" t="str">
        <v/>
      </c>
      <c r="AS546" t="str">
        <v/>
      </c>
      <c r="AT546" t="str">
        <v/>
      </c>
      <c r="AU546" t="str">
        <v/>
      </c>
      <c r="AV546" t="str">
        <v/>
      </c>
      <c r="AW546" t="str">
        <v/>
      </c>
    </row>
    <row r="547" spans="4:49" ht="15.75" x14ac:dyDescent="0.25">
      <c r="D547" s="3">
        <v>30</v>
      </c>
      <c r="F547" s="16" cm="1">
        <f t="array" ref="F5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47" s="31" cm="1">
        <f t="array" ref="G5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54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47" s="32" t="str">
        <f>TEXT(HLG_01[[#This Row],[Batch]],"000")&amp; " / " &amp; TEXT(HLG_01[[#This Row],[Rit]],"000")</f>
        <v>058 / 008</v>
      </c>
      <c r="J547" s="34"/>
      <c r="K547" s="38"/>
      <c r="L547" s="35"/>
      <c r="M547" s="85"/>
      <c r="N547" s="85"/>
      <c r="O547" s="85"/>
      <c r="P547" s="85"/>
      <c r="Q547" s="85"/>
      <c r="R547" s="85"/>
      <c r="S547" s="98"/>
      <c r="T547" s="98"/>
      <c r="U547" s="98"/>
      <c r="V547" s="95"/>
      <c r="W547" s="95"/>
      <c r="X547" s="85"/>
      <c r="AP547" t="str">
        <v/>
      </c>
      <c r="AQ547" t="str">
        <v/>
      </c>
      <c r="AR547" t="str">
        <v/>
      </c>
      <c r="AS547" t="str">
        <v/>
      </c>
      <c r="AT547" t="str">
        <v/>
      </c>
      <c r="AU547" t="str">
        <v/>
      </c>
      <c r="AV547" t="str">
        <v/>
      </c>
      <c r="AW547" t="str">
        <v/>
      </c>
    </row>
    <row r="548" spans="4:49" ht="15.75" x14ac:dyDescent="0.25">
      <c r="D548" s="3">
        <v>30</v>
      </c>
      <c r="F548" s="16" cm="1">
        <f t="array" ref="F5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48" s="31" cm="1">
        <f t="array" ref="G5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54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48" s="32" t="str">
        <f>TEXT(HLG_01[[#This Row],[Batch]],"000")&amp; " / " &amp; TEXT(HLG_01[[#This Row],[Rit]],"000")</f>
        <v>058 / 009</v>
      </c>
      <c r="J548" s="34"/>
      <c r="K548" s="38"/>
      <c r="L548" s="35"/>
      <c r="M548" s="85"/>
      <c r="N548" s="85"/>
      <c r="O548" s="85"/>
      <c r="P548" s="85"/>
      <c r="Q548" s="85"/>
      <c r="R548" s="85"/>
      <c r="S548" s="98"/>
      <c r="T548" s="98"/>
      <c r="U548" s="98"/>
      <c r="V548" s="95"/>
      <c r="W548" s="95"/>
      <c r="X548" s="85"/>
      <c r="AP548" t="str">
        <v/>
      </c>
      <c r="AQ548" t="str">
        <v/>
      </c>
      <c r="AR548" t="str">
        <v/>
      </c>
      <c r="AS548" t="str">
        <v/>
      </c>
      <c r="AT548" t="str">
        <v/>
      </c>
      <c r="AU548" t="str">
        <v/>
      </c>
      <c r="AV548" t="str">
        <v/>
      </c>
      <c r="AW548" t="str">
        <v/>
      </c>
    </row>
    <row r="549" spans="4:49" ht="15.75" x14ac:dyDescent="0.25">
      <c r="D549" s="3">
        <v>30</v>
      </c>
      <c r="F549" s="16" cm="1">
        <f t="array" ref="F5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49" s="31" cm="1">
        <f t="array" ref="G5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54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49" s="32" t="str">
        <f>TEXT(HLG_01[[#This Row],[Batch]],"000")&amp; " / " &amp; TEXT(HLG_01[[#This Row],[Rit]],"000")</f>
        <v>058 / 010</v>
      </c>
      <c r="J549" s="34"/>
      <c r="K549" s="38"/>
      <c r="L549" s="35"/>
      <c r="M549" s="85"/>
      <c r="N549" s="85"/>
      <c r="O549" s="85"/>
      <c r="P549" s="85"/>
      <c r="Q549" s="85"/>
      <c r="R549" s="85"/>
      <c r="S549" s="98"/>
      <c r="T549" s="98"/>
      <c r="U549" s="98"/>
      <c r="V549" s="95"/>
      <c r="W549" s="95"/>
      <c r="X549" s="85"/>
      <c r="AP549" t="str">
        <v/>
      </c>
      <c r="AQ549" t="str">
        <v/>
      </c>
      <c r="AR549" t="str">
        <v/>
      </c>
      <c r="AS549" t="str">
        <v/>
      </c>
      <c r="AT549" t="str">
        <v/>
      </c>
      <c r="AU549" t="str">
        <v/>
      </c>
      <c r="AV549" t="str">
        <v/>
      </c>
      <c r="AW549" t="str">
        <v/>
      </c>
    </row>
    <row r="550" spans="4:49" ht="15.75" x14ac:dyDescent="0.25">
      <c r="D550" s="3">
        <v>30</v>
      </c>
      <c r="F550" s="16" cm="1">
        <f t="array" ref="F5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50" s="31" cm="1">
        <f t="array" ref="G5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55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50" s="32" t="str">
        <f>TEXT(HLG_01[[#This Row],[Batch]],"000")&amp; " / " &amp; TEXT(HLG_01[[#This Row],[Rit]],"000")</f>
        <v>058 / 011</v>
      </c>
      <c r="J550" s="34"/>
      <c r="K550" s="38"/>
      <c r="L550" s="35"/>
      <c r="M550" s="85"/>
      <c r="N550" s="85"/>
      <c r="O550" s="85"/>
      <c r="P550" s="85"/>
      <c r="Q550" s="85"/>
      <c r="R550" s="85"/>
      <c r="S550" s="98"/>
      <c r="T550" s="98"/>
      <c r="U550" s="98"/>
      <c r="V550" s="95"/>
      <c r="W550" s="95"/>
      <c r="X550" s="85"/>
      <c r="AP550" t="str">
        <v/>
      </c>
      <c r="AQ550" t="str">
        <v/>
      </c>
      <c r="AR550" t="str">
        <v/>
      </c>
      <c r="AS550" t="str">
        <v/>
      </c>
      <c r="AT550" t="str">
        <v/>
      </c>
      <c r="AU550" t="str">
        <v/>
      </c>
      <c r="AV550" t="str">
        <v/>
      </c>
      <c r="AW550" t="str">
        <v/>
      </c>
    </row>
    <row r="551" spans="4:49" ht="15.75" x14ac:dyDescent="0.25">
      <c r="D551" s="3">
        <v>30</v>
      </c>
      <c r="F551" s="16" cm="1">
        <f t="array" ref="F5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51" s="31" cm="1">
        <f t="array" ref="G5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55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51" s="32" t="str">
        <f>TEXT(HLG_01[[#This Row],[Batch]],"000")&amp; " / " &amp; TEXT(HLG_01[[#This Row],[Rit]],"000")</f>
        <v>058 / 012</v>
      </c>
      <c r="J551" s="34"/>
      <c r="K551" s="38"/>
      <c r="L551" s="35"/>
      <c r="M551" s="85"/>
      <c r="N551" s="85"/>
      <c r="O551" s="85"/>
      <c r="P551" s="85"/>
      <c r="Q551" s="85"/>
      <c r="R551" s="85"/>
      <c r="S551" s="98"/>
      <c r="T551" s="98"/>
      <c r="U551" s="98"/>
      <c r="V551" s="95"/>
      <c r="W551" s="95"/>
      <c r="X551" s="85"/>
      <c r="AP551" t="str">
        <v/>
      </c>
      <c r="AQ551" t="str">
        <v/>
      </c>
      <c r="AR551" t="str">
        <v/>
      </c>
      <c r="AS551" t="str">
        <v/>
      </c>
      <c r="AT551" t="str">
        <v/>
      </c>
      <c r="AU551" t="str">
        <v/>
      </c>
      <c r="AV551" t="str">
        <v/>
      </c>
      <c r="AW551" t="str">
        <v/>
      </c>
    </row>
    <row r="552" spans="4:49" ht="15.75" x14ac:dyDescent="0.25">
      <c r="D552" s="3">
        <v>30</v>
      </c>
      <c r="F552" s="16" cm="1">
        <f t="array" ref="F5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52" s="31" cm="1">
        <f t="array" ref="G5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55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52" s="32" t="str">
        <f>TEXT(HLG_01[[#This Row],[Batch]],"000")&amp; " / " &amp; TEXT(HLG_01[[#This Row],[Rit]],"000")</f>
        <v>058 / 013</v>
      </c>
      <c r="J552" s="34"/>
      <c r="K552" s="38"/>
      <c r="L552" s="35"/>
      <c r="M552" s="85"/>
      <c r="N552" s="85"/>
      <c r="O552" s="85"/>
      <c r="P552" s="85"/>
      <c r="Q552" s="85"/>
      <c r="R552" s="85"/>
      <c r="S552" s="98"/>
      <c r="T552" s="98"/>
      <c r="U552" s="98"/>
      <c r="V552" s="95"/>
      <c r="W552" s="95"/>
      <c r="X552" s="85"/>
      <c r="AP552" t="str">
        <v/>
      </c>
      <c r="AQ552" t="str">
        <v/>
      </c>
      <c r="AR552" t="str">
        <v/>
      </c>
      <c r="AS552" t="str">
        <v/>
      </c>
      <c r="AT552" t="str">
        <v/>
      </c>
      <c r="AU552" t="str">
        <v/>
      </c>
      <c r="AV552" t="str">
        <v/>
      </c>
      <c r="AW552" t="str">
        <v/>
      </c>
    </row>
    <row r="553" spans="4:49" ht="15.75" x14ac:dyDescent="0.25">
      <c r="D553" s="3">
        <v>30</v>
      </c>
      <c r="F553" s="16" cm="1">
        <f t="array" ref="F5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53" s="31" cm="1">
        <f t="array" ref="G5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55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53" s="32" t="str">
        <f>TEXT(HLG_01[[#This Row],[Batch]],"000")&amp; " / " &amp; TEXT(HLG_01[[#This Row],[Rit]],"000")</f>
        <v>058 / 014</v>
      </c>
      <c r="J553" s="34"/>
      <c r="K553" s="38"/>
      <c r="L553" s="35"/>
      <c r="M553" s="85"/>
      <c r="N553" s="85"/>
      <c r="O553" s="85"/>
      <c r="P553" s="85"/>
      <c r="Q553" s="85"/>
      <c r="R553" s="85"/>
      <c r="S553" s="98"/>
      <c r="T553" s="98"/>
      <c r="U553" s="98"/>
      <c r="V553" s="95"/>
      <c r="W553" s="95"/>
      <c r="X553" s="85"/>
      <c r="AP553" t="str">
        <v/>
      </c>
      <c r="AQ553" t="str">
        <v/>
      </c>
      <c r="AR553" t="str">
        <v/>
      </c>
      <c r="AS553" t="str">
        <v/>
      </c>
      <c r="AT553" t="str">
        <v/>
      </c>
      <c r="AU553" t="str">
        <v/>
      </c>
      <c r="AV553" t="str">
        <v/>
      </c>
      <c r="AW553" t="str">
        <v/>
      </c>
    </row>
    <row r="554" spans="4:49" ht="15.75" x14ac:dyDescent="0.25">
      <c r="D554" s="3">
        <v>30</v>
      </c>
      <c r="F554" s="16" cm="1">
        <f t="array" ref="F5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54" s="31" cm="1">
        <f t="array" ref="G5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55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54" s="32" t="str">
        <f>TEXT(HLG_01[[#This Row],[Batch]],"000")&amp; " / " &amp; TEXT(HLG_01[[#This Row],[Rit]],"000")</f>
        <v>058 / 015</v>
      </c>
      <c r="J554" s="34"/>
      <c r="K554" s="38"/>
      <c r="L554" s="35"/>
      <c r="M554" s="85"/>
      <c r="N554" s="85"/>
      <c r="O554" s="85"/>
      <c r="P554" s="85"/>
      <c r="Q554" s="85"/>
      <c r="R554" s="85"/>
      <c r="S554" s="98"/>
      <c r="T554" s="98"/>
      <c r="U554" s="98"/>
      <c r="V554" s="95"/>
      <c r="W554" s="95"/>
      <c r="X554" s="85"/>
      <c r="AP554" t="str">
        <v/>
      </c>
      <c r="AQ554" t="str">
        <v/>
      </c>
      <c r="AR554" t="str">
        <v/>
      </c>
      <c r="AS554" t="str">
        <v/>
      </c>
      <c r="AT554" t="str">
        <v/>
      </c>
      <c r="AU554" t="str">
        <v/>
      </c>
      <c r="AV554" t="str">
        <v/>
      </c>
      <c r="AW554" t="str">
        <v/>
      </c>
    </row>
    <row r="555" spans="4:49" ht="15.75" x14ac:dyDescent="0.25">
      <c r="D555" s="3">
        <v>30</v>
      </c>
      <c r="F555" s="16" cm="1">
        <f t="array" ref="F5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55" s="31" cm="1">
        <f t="array" ref="G5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55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55" s="32" t="str">
        <f>TEXT(HLG_01[[#This Row],[Batch]],"000")&amp; " / " &amp; TEXT(HLG_01[[#This Row],[Rit]],"000")</f>
        <v>058 / 016</v>
      </c>
      <c r="J555" s="34"/>
      <c r="K555" s="38"/>
      <c r="L555" s="35"/>
      <c r="M555" s="85"/>
      <c r="N555" s="85"/>
      <c r="O555" s="85"/>
      <c r="P555" s="85"/>
      <c r="Q555" s="85"/>
      <c r="R555" s="85"/>
      <c r="S555" s="98"/>
      <c r="T555" s="98"/>
      <c r="U555" s="98"/>
      <c r="V555" s="95"/>
      <c r="W555" s="95"/>
      <c r="X555" s="85"/>
      <c r="AP555" t="str">
        <v/>
      </c>
      <c r="AQ555" t="str">
        <v/>
      </c>
      <c r="AR555" t="str">
        <v/>
      </c>
      <c r="AS555" t="str">
        <v/>
      </c>
      <c r="AT555" t="str">
        <v/>
      </c>
      <c r="AU555" t="str">
        <v/>
      </c>
      <c r="AV555" t="str">
        <v/>
      </c>
      <c r="AW555" t="str">
        <v/>
      </c>
    </row>
    <row r="556" spans="4:49" ht="15.75" x14ac:dyDescent="0.25">
      <c r="D556" s="3">
        <v>30</v>
      </c>
      <c r="F556" s="16" cm="1">
        <f t="array" ref="F5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56" s="31" cm="1">
        <f t="array" ref="G5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55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56" s="32" t="str">
        <f>TEXT(HLG_01[[#This Row],[Batch]],"000")&amp; " / " &amp; TEXT(HLG_01[[#This Row],[Rit]],"000")</f>
        <v>058 / 017</v>
      </c>
      <c r="J556" s="34"/>
      <c r="K556" s="38"/>
      <c r="L556" s="35"/>
      <c r="M556" s="85"/>
      <c r="N556" s="85"/>
      <c r="O556" s="85"/>
      <c r="P556" s="85"/>
      <c r="Q556" s="85"/>
      <c r="R556" s="85"/>
      <c r="S556" s="98"/>
      <c r="T556" s="98"/>
      <c r="U556" s="98"/>
      <c r="V556" s="95"/>
      <c r="W556" s="95"/>
      <c r="X556" s="85"/>
      <c r="AP556" t="str">
        <v/>
      </c>
      <c r="AQ556" t="str">
        <v/>
      </c>
      <c r="AR556" t="str">
        <v/>
      </c>
      <c r="AS556" t="str">
        <v/>
      </c>
      <c r="AT556" t="str">
        <v/>
      </c>
      <c r="AU556" t="str">
        <v/>
      </c>
      <c r="AV556" t="str">
        <v/>
      </c>
      <c r="AW556" t="str">
        <v/>
      </c>
    </row>
    <row r="557" spans="4:49" ht="15.75" x14ac:dyDescent="0.25">
      <c r="D557" s="3">
        <v>30</v>
      </c>
      <c r="F557" s="16" cm="1">
        <f t="array" ref="F5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57" s="31" cm="1">
        <f t="array" ref="G5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55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57" s="32" t="str">
        <f>TEXT(HLG_01[[#This Row],[Batch]],"000")&amp; " / " &amp; TEXT(HLG_01[[#This Row],[Rit]],"000")</f>
        <v>058 / 018</v>
      </c>
      <c r="J557" s="34"/>
      <c r="K557" s="38"/>
      <c r="L557" s="35"/>
      <c r="M557" s="85"/>
      <c r="N557" s="85"/>
      <c r="O557" s="85"/>
      <c r="P557" s="85"/>
      <c r="Q557" s="85"/>
      <c r="R557" s="85"/>
      <c r="S557" s="98"/>
      <c r="T557" s="98"/>
      <c r="U557" s="98"/>
      <c r="V557" s="95"/>
      <c r="W557" s="95"/>
      <c r="X557" s="85"/>
      <c r="AP557" t="str">
        <v/>
      </c>
      <c r="AQ557" t="str">
        <v/>
      </c>
      <c r="AR557" t="str">
        <v/>
      </c>
      <c r="AS557" t="str">
        <v/>
      </c>
      <c r="AT557" t="str">
        <v/>
      </c>
      <c r="AU557" t="str">
        <v/>
      </c>
      <c r="AV557" t="str">
        <v/>
      </c>
      <c r="AW557" t="str">
        <v/>
      </c>
    </row>
    <row r="558" spans="4:49" ht="15.75" x14ac:dyDescent="0.25">
      <c r="D558" s="3">
        <v>30</v>
      </c>
      <c r="F558" s="16" cm="1">
        <f t="array" ref="F5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58" s="31" cm="1">
        <f t="array" ref="G5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55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58" s="32" t="str">
        <f>TEXT(HLG_01[[#This Row],[Batch]],"000")&amp; " / " &amp; TEXT(HLG_01[[#This Row],[Rit]],"000")</f>
        <v>058 / 019</v>
      </c>
      <c r="J558" s="34"/>
      <c r="K558" s="38"/>
      <c r="L558" s="35"/>
      <c r="M558" s="85"/>
      <c r="N558" s="85"/>
      <c r="O558" s="85"/>
      <c r="P558" s="85"/>
      <c r="Q558" s="85"/>
      <c r="R558" s="85"/>
      <c r="S558" s="98"/>
      <c r="T558" s="98"/>
      <c r="U558" s="98"/>
      <c r="V558" s="95"/>
      <c r="W558" s="95"/>
      <c r="X558" s="85"/>
      <c r="AP558" t="str">
        <v/>
      </c>
      <c r="AQ558" t="str">
        <v/>
      </c>
      <c r="AR558" t="str">
        <v/>
      </c>
      <c r="AS558" t="str">
        <v/>
      </c>
      <c r="AT558" t="str">
        <v/>
      </c>
      <c r="AU558" t="str">
        <v/>
      </c>
      <c r="AV558" t="str">
        <v/>
      </c>
      <c r="AW558" t="str">
        <v/>
      </c>
    </row>
    <row r="559" spans="4:49" ht="15.75" x14ac:dyDescent="0.25">
      <c r="D559" s="3">
        <v>30</v>
      </c>
      <c r="F559" s="16" cm="1">
        <f t="array" ref="F5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58</v>
      </c>
      <c r="G559" s="31" cm="1">
        <f t="array" ref="G5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55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59" s="32" t="str">
        <f>TEXT(HLG_01[[#This Row],[Batch]],"000")&amp; " / " &amp; TEXT(HLG_01[[#This Row],[Rit]],"000")</f>
        <v>058 / 020</v>
      </c>
      <c r="J559" s="34"/>
      <c r="K559" s="38"/>
      <c r="L559" s="35"/>
      <c r="M559" s="85"/>
      <c r="N559" s="85"/>
      <c r="O559" s="85"/>
      <c r="P559" s="85"/>
      <c r="Q559" s="85"/>
      <c r="R559" s="85"/>
      <c r="S559" s="98"/>
      <c r="T559" s="98"/>
      <c r="U559" s="98"/>
      <c r="V559" s="95"/>
      <c r="W559" s="95"/>
      <c r="X559" s="85"/>
      <c r="AP559" t="str">
        <v/>
      </c>
      <c r="AQ559" t="str">
        <v/>
      </c>
      <c r="AR559" t="str">
        <v/>
      </c>
      <c r="AS559" t="str">
        <v/>
      </c>
      <c r="AT559" t="str">
        <v/>
      </c>
      <c r="AU559" t="str">
        <v/>
      </c>
      <c r="AV559" t="str">
        <v/>
      </c>
      <c r="AW559" t="str">
        <v/>
      </c>
    </row>
    <row r="560" spans="4:49" ht="15.75" x14ac:dyDescent="0.25">
      <c r="D560" s="3">
        <v>31</v>
      </c>
      <c r="F560" s="16" cm="1">
        <f t="array" ref="F5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60" s="31" cm="1">
        <f t="array" ref="G5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56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60" s="32" t="str">
        <f>TEXT(HLG_01[[#This Row],[Batch]],"000")&amp; " / " &amp; TEXT(HLG_01[[#This Row],[Rit]],"000")</f>
        <v>059 / 001</v>
      </c>
      <c r="J560" s="34"/>
      <c r="K560" s="38"/>
      <c r="L560" s="35"/>
      <c r="M560" s="85"/>
      <c r="N560" s="85"/>
      <c r="O560" s="85"/>
      <c r="P560" s="85"/>
      <c r="Q560" s="85"/>
      <c r="R560" s="85"/>
      <c r="S560" s="98"/>
      <c r="T560" s="98"/>
      <c r="U560" s="98"/>
      <c r="V560" s="95"/>
      <c r="W560" s="95"/>
      <c r="X560" s="85"/>
      <c r="AP560" t="str">
        <v/>
      </c>
      <c r="AQ560" t="str">
        <v/>
      </c>
      <c r="AR560" t="str">
        <v/>
      </c>
      <c r="AS560" t="str">
        <v/>
      </c>
      <c r="AT560" t="str">
        <v/>
      </c>
      <c r="AU560" t="str">
        <v/>
      </c>
      <c r="AV560" t="str">
        <v/>
      </c>
      <c r="AW560" t="str">
        <v/>
      </c>
    </row>
    <row r="561" spans="4:49" ht="15.75" x14ac:dyDescent="0.25">
      <c r="D561" s="3">
        <v>31</v>
      </c>
      <c r="F561" s="16" cm="1">
        <f t="array" ref="F5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61" s="31" cm="1">
        <f t="array" ref="G5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56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61" s="32" t="str">
        <f>TEXT(HLG_01[[#This Row],[Batch]],"000")&amp; " / " &amp; TEXT(HLG_01[[#This Row],[Rit]],"000")</f>
        <v>059 / 002</v>
      </c>
      <c r="J561" s="34"/>
      <c r="K561" s="38"/>
      <c r="L561" s="35"/>
      <c r="M561" s="85"/>
      <c r="N561" s="85"/>
      <c r="O561" s="85"/>
      <c r="P561" s="85"/>
      <c r="Q561" s="85"/>
      <c r="R561" s="85"/>
      <c r="S561" s="98"/>
      <c r="T561" s="98"/>
      <c r="U561" s="98"/>
      <c r="V561" s="95"/>
      <c r="W561" s="95"/>
      <c r="X561" s="85"/>
      <c r="AP561" t="str">
        <v/>
      </c>
      <c r="AQ561" t="str">
        <v/>
      </c>
      <c r="AR561" t="str">
        <v/>
      </c>
      <c r="AS561" t="str">
        <v/>
      </c>
      <c r="AT561" t="str">
        <v/>
      </c>
      <c r="AU561" t="str">
        <v/>
      </c>
      <c r="AV561" t="str">
        <v/>
      </c>
      <c r="AW561" t="str">
        <v/>
      </c>
    </row>
    <row r="562" spans="4:49" ht="15.75" x14ac:dyDescent="0.25">
      <c r="D562" s="3">
        <v>31</v>
      </c>
      <c r="F562" s="16" cm="1">
        <f t="array" ref="F5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62" s="31" cm="1">
        <f t="array" ref="G5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56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62" s="32" t="str">
        <f>TEXT(HLG_01[[#This Row],[Batch]],"000")&amp; " / " &amp; TEXT(HLG_01[[#This Row],[Rit]],"000")</f>
        <v>059 / 003</v>
      </c>
      <c r="J562" s="34"/>
      <c r="K562" s="38"/>
      <c r="L562" s="35"/>
      <c r="M562" s="85"/>
      <c r="N562" s="85"/>
      <c r="O562" s="85"/>
      <c r="P562" s="85"/>
      <c r="Q562" s="85"/>
      <c r="R562" s="85"/>
      <c r="S562" s="98"/>
      <c r="T562" s="98"/>
      <c r="U562" s="98"/>
      <c r="V562" s="95"/>
      <c r="W562" s="95"/>
      <c r="X562" s="85"/>
      <c r="AP562" t="str">
        <v/>
      </c>
      <c r="AQ562" t="str">
        <v/>
      </c>
      <c r="AR562" t="str">
        <v/>
      </c>
      <c r="AS562" t="str">
        <v/>
      </c>
      <c r="AT562" t="str">
        <v/>
      </c>
      <c r="AU562" t="str">
        <v/>
      </c>
      <c r="AV562" t="str">
        <v/>
      </c>
      <c r="AW562" t="str">
        <v/>
      </c>
    </row>
    <row r="563" spans="4:49" ht="15.75" x14ac:dyDescent="0.25">
      <c r="D563" s="3">
        <v>31</v>
      </c>
      <c r="F563" s="16" cm="1">
        <f t="array" ref="F5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63" s="31" cm="1">
        <f t="array" ref="G5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56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63" s="32" t="str">
        <f>TEXT(HLG_01[[#This Row],[Batch]],"000")&amp; " / " &amp; TEXT(HLG_01[[#This Row],[Rit]],"000")</f>
        <v>059 / 004</v>
      </c>
      <c r="J563" s="34"/>
      <c r="K563" s="38"/>
      <c r="L563" s="35"/>
      <c r="M563" s="85"/>
      <c r="N563" s="85"/>
      <c r="O563" s="85"/>
      <c r="P563" s="85"/>
      <c r="Q563" s="85"/>
      <c r="R563" s="85"/>
      <c r="S563" s="98"/>
      <c r="T563" s="98"/>
      <c r="U563" s="98"/>
      <c r="V563" s="95"/>
      <c r="W563" s="95"/>
      <c r="X563" s="85"/>
      <c r="AP563" t="str">
        <v/>
      </c>
      <c r="AQ563" t="str">
        <v/>
      </c>
      <c r="AR563" t="str">
        <v/>
      </c>
      <c r="AS563" t="str">
        <v/>
      </c>
      <c r="AT563" t="str">
        <v/>
      </c>
      <c r="AU563" t="str">
        <v/>
      </c>
      <c r="AV563" t="str">
        <v/>
      </c>
      <c r="AW563" t="str">
        <v/>
      </c>
    </row>
    <row r="564" spans="4:49" ht="15.75" x14ac:dyDescent="0.25">
      <c r="D564" s="3">
        <v>31</v>
      </c>
      <c r="F564" s="16" cm="1">
        <f t="array" ref="F5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64" s="31" cm="1">
        <f t="array" ref="G5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56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64" s="32" t="str">
        <f>TEXT(HLG_01[[#This Row],[Batch]],"000")&amp; " / " &amp; TEXT(HLG_01[[#This Row],[Rit]],"000")</f>
        <v>059 / 005</v>
      </c>
      <c r="J564" s="34"/>
      <c r="K564" s="38"/>
      <c r="L564" s="35"/>
      <c r="M564" s="85"/>
      <c r="N564" s="85"/>
      <c r="O564" s="85"/>
      <c r="P564" s="85"/>
      <c r="Q564" s="85"/>
      <c r="R564" s="85"/>
      <c r="S564" s="98"/>
      <c r="T564" s="98"/>
      <c r="U564" s="98"/>
      <c r="V564" s="95"/>
      <c r="W564" s="95"/>
      <c r="X564" s="85"/>
      <c r="AP564" t="str">
        <v/>
      </c>
      <c r="AQ564" t="str">
        <v/>
      </c>
      <c r="AR564" t="str">
        <v/>
      </c>
      <c r="AS564" t="str">
        <v/>
      </c>
      <c r="AT564" t="str">
        <v/>
      </c>
      <c r="AU564" t="str">
        <v/>
      </c>
      <c r="AV564" t="str">
        <v/>
      </c>
      <c r="AW564" t="str">
        <v/>
      </c>
    </row>
    <row r="565" spans="4:49" ht="15.75" x14ac:dyDescent="0.25">
      <c r="D565" s="3">
        <v>31</v>
      </c>
      <c r="F565" s="16" cm="1">
        <f t="array" ref="F5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65" s="31" cm="1">
        <f t="array" ref="G5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56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65" s="32" t="str">
        <f>TEXT(HLG_01[[#This Row],[Batch]],"000")&amp; " / " &amp; TEXT(HLG_01[[#This Row],[Rit]],"000")</f>
        <v>059 / 006</v>
      </c>
      <c r="J565" s="34"/>
      <c r="K565" s="38"/>
      <c r="L565" s="35"/>
      <c r="M565" s="85"/>
      <c r="N565" s="85"/>
      <c r="O565" s="85"/>
      <c r="P565" s="85"/>
      <c r="Q565" s="85"/>
      <c r="R565" s="85"/>
      <c r="S565" s="98"/>
      <c r="T565" s="98"/>
      <c r="U565" s="98"/>
      <c r="V565" s="95"/>
      <c r="W565" s="95"/>
      <c r="X565" s="85"/>
      <c r="AP565" t="str">
        <v/>
      </c>
      <c r="AQ565" t="str">
        <v/>
      </c>
      <c r="AR565" t="str">
        <v/>
      </c>
      <c r="AS565" t="str">
        <v/>
      </c>
      <c r="AT565" t="str">
        <v/>
      </c>
      <c r="AU565" t="str">
        <v/>
      </c>
      <c r="AV565" t="str">
        <v/>
      </c>
      <c r="AW565" t="str">
        <v/>
      </c>
    </row>
    <row r="566" spans="4:49" ht="15.75" x14ac:dyDescent="0.25">
      <c r="D566" s="3">
        <v>31</v>
      </c>
      <c r="F566" s="16" cm="1">
        <f t="array" ref="F5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66" s="31" cm="1">
        <f t="array" ref="G5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56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66" s="32" t="str">
        <f>TEXT(HLG_01[[#This Row],[Batch]],"000")&amp; " / " &amp; TEXT(HLG_01[[#This Row],[Rit]],"000")</f>
        <v>059 / 007</v>
      </c>
      <c r="J566" s="34"/>
      <c r="K566" s="38"/>
      <c r="L566" s="35"/>
      <c r="M566" s="85"/>
      <c r="N566" s="85"/>
      <c r="O566" s="85"/>
      <c r="P566" s="85"/>
      <c r="Q566" s="85"/>
      <c r="R566" s="85"/>
      <c r="S566" s="98"/>
      <c r="T566" s="98"/>
      <c r="U566" s="98"/>
      <c r="V566" s="95"/>
      <c r="W566" s="95"/>
      <c r="X566" s="85"/>
      <c r="AP566" t="str">
        <v/>
      </c>
      <c r="AQ566" t="str">
        <v/>
      </c>
      <c r="AR566" t="str">
        <v/>
      </c>
      <c r="AS566" t="str">
        <v/>
      </c>
      <c r="AT566" t="str">
        <v/>
      </c>
      <c r="AU566" t="str">
        <v/>
      </c>
      <c r="AV566" t="str">
        <v/>
      </c>
      <c r="AW566" t="str">
        <v/>
      </c>
    </row>
    <row r="567" spans="4:49" ht="15.75" x14ac:dyDescent="0.25">
      <c r="D567" s="3">
        <v>31</v>
      </c>
      <c r="F567" s="16" cm="1">
        <f t="array" ref="F5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67" s="31" cm="1">
        <f t="array" ref="G5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56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67" s="32" t="str">
        <f>TEXT(HLG_01[[#This Row],[Batch]],"000")&amp; " / " &amp; TEXT(HLG_01[[#This Row],[Rit]],"000")</f>
        <v>059 / 008</v>
      </c>
      <c r="J567" s="34"/>
      <c r="K567" s="38"/>
      <c r="L567" s="35"/>
      <c r="M567" s="85"/>
      <c r="N567" s="85"/>
      <c r="O567" s="85"/>
      <c r="P567" s="85"/>
      <c r="Q567" s="85"/>
      <c r="R567" s="85"/>
      <c r="S567" s="98"/>
      <c r="T567" s="98"/>
      <c r="U567" s="98"/>
      <c r="V567" s="95"/>
      <c r="W567" s="95"/>
      <c r="X567" s="85"/>
      <c r="AP567" t="str">
        <v/>
      </c>
      <c r="AQ567" t="str">
        <v/>
      </c>
      <c r="AR567" t="str">
        <v/>
      </c>
      <c r="AS567" t="str">
        <v/>
      </c>
      <c r="AT567" t="str">
        <v/>
      </c>
      <c r="AU567" t="str">
        <v/>
      </c>
      <c r="AV567" t="str">
        <v/>
      </c>
      <c r="AW567" t="str">
        <v/>
      </c>
    </row>
    <row r="568" spans="4:49" ht="15.75" x14ac:dyDescent="0.25">
      <c r="D568" s="3">
        <v>31</v>
      </c>
      <c r="F568" s="16" cm="1">
        <f t="array" ref="F5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68" s="31" cm="1">
        <f t="array" ref="G5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56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68" s="32" t="str">
        <f>TEXT(HLG_01[[#This Row],[Batch]],"000")&amp; " / " &amp; TEXT(HLG_01[[#This Row],[Rit]],"000")</f>
        <v>059 / 009</v>
      </c>
      <c r="J568" s="34"/>
      <c r="K568" s="38"/>
      <c r="L568" s="35"/>
      <c r="M568" s="85"/>
      <c r="N568" s="85"/>
      <c r="O568" s="85"/>
      <c r="P568" s="85"/>
      <c r="Q568" s="85"/>
      <c r="R568" s="85"/>
      <c r="S568" s="98"/>
      <c r="T568" s="98"/>
      <c r="U568" s="98"/>
      <c r="V568" s="95"/>
      <c r="W568" s="95"/>
      <c r="X568" s="85"/>
      <c r="AP568" t="str">
        <v/>
      </c>
      <c r="AQ568" t="str">
        <v/>
      </c>
      <c r="AR568" t="str">
        <v/>
      </c>
      <c r="AS568" t="str">
        <v/>
      </c>
      <c r="AT568" t="str">
        <v/>
      </c>
      <c r="AU568" t="str">
        <v/>
      </c>
      <c r="AV568" t="str">
        <v/>
      </c>
      <c r="AW568" t="str">
        <v/>
      </c>
    </row>
    <row r="569" spans="4:49" ht="15.75" x14ac:dyDescent="0.25">
      <c r="D569" s="3">
        <v>31</v>
      </c>
      <c r="F569" s="16" cm="1">
        <f t="array" ref="F5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69" s="31" cm="1">
        <f t="array" ref="G5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56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69" s="32" t="str">
        <f>TEXT(HLG_01[[#This Row],[Batch]],"000")&amp; " / " &amp; TEXT(HLG_01[[#This Row],[Rit]],"000")</f>
        <v>059 / 010</v>
      </c>
      <c r="J569" s="34"/>
      <c r="K569" s="38"/>
      <c r="L569" s="35"/>
      <c r="M569" s="85"/>
      <c r="N569" s="85"/>
      <c r="O569" s="85"/>
      <c r="P569" s="85"/>
      <c r="Q569" s="85"/>
      <c r="R569" s="85"/>
      <c r="S569" s="98"/>
      <c r="T569" s="98"/>
      <c r="U569" s="98"/>
      <c r="V569" s="95"/>
      <c r="W569" s="95"/>
      <c r="X569" s="85"/>
      <c r="AP569" t="str">
        <v/>
      </c>
      <c r="AQ569" t="str">
        <v/>
      </c>
      <c r="AR569" t="str">
        <v/>
      </c>
      <c r="AS569" t="str">
        <v/>
      </c>
      <c r="AT569" t="str">
        <v/>
      </c>
      <c r="AU569" t="str">
        <v/>
      </c>
      <c r="AV569" t="str">
        <v/>
      </c>
      <c r="AW569" t="str">
        <v/>
      </c>
    </row>
    <row r="570" spans="4:49" ht="15.75" x14ac:dyDescent="0.25">
      <c r="D570" s="3">
        <v>31</v>
      </c>
      <c r="F570" s="16" cm="1">
        <f t="array" ref="F5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70" s="31" cm="1">
        <f t="array" ref="G5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57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70" s="32" t="str">
        <f>TEXT(HLG_01[[#This Row],[Batch]],"000")&amp; " / " &amp; TEXT(HLG_01[[#This Row],[Rit]],"000")</f>
        <v>059 / 011</v>
      </c>
      <c r="J570" s="34"/>
      <c r="K570" s="38"/>
      <c r="L570" s="35"/>
      <c r="M570" s="85"/>
      <c r="N570" s="85"/>
      <c r="O570" s="85"/>
      <c r="P570" s="85"/>
      <c r="Q570" s="85"/>
      <c r="R570" s="85"/>
      <c r="S570" s="98"/>
      <c r="T570" s="98"/>
      <c r="U570" s="98"/>
      <c r="V570" s="95"/>
      <c r="W570" s="95"/>
      <c r="X570" s="85"/>
      <c r="AP570" t="str">
        <v/>
      </c>
      <c r="AQ570" t="str">
        <v/>
      </c>
      <c r="AR570" t="str">
        <v/>
      </c>
      <c r="AS570" t="str">
        <v/>
      </c>
      <c r="AT570" t="str">
        <v/>
      </c>
      <c r="AU570" t="str">
        <v/>
      </c>
      <c r="AV570" t="str">
        <v/>
      </c>
      <c r="AW570" t="str">
        <v/>
      </c>
    </row>
    <row r="571" spans="4:49" ht="15.75" x14ac:dyDescent="0.25">
      <c r="D571" s="3">
        <v>31</v>
      </c>
      <c r="F571" s="16" cm="1">
        <f t="array" ref="F5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71" s="31" cm="1">
        <f t="array" ref="G5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57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71" s="32" t="str">
        <f>TEXT(HLG_01[[#This Row],[Batch]],"000")&amp; " / " &amp; TEXT(HLG_01[[#This Row],[Rit]],"000")</f>
        <v>059 / 012</v>
      </c>
      <c r="J571" s="34"/>
      <c r="K571" s="38"/>
      <c r="L571" s="35"/>
      <c r="M571" s="85"/>
      <c r="N571" s="85"/>
      <c r="O571" s="85"/>
      <c r="P571" s="85"/>
      <c r="Q571" s="85"/>
      <c r="R571" s="85"/>
      <c r="S571" s="98"/>
      <c r="T571" s="98"/>
      <c r="U571" s="98"/>
      <c r="V571" s="95"/>
      <c r="W571" s="95"/>
      <c r="X571" s="85"/>
      <c r="AP571" t="str">
        <v/>
      </c>
      <c r="AQ571" t="str">
        <v/>
      </c>
      <c r="AR571" t="str">
        <v/>
      </c>
      <c r="AS571" t="str">
        <v/>
      </c>
      <c r="AT571" t="str">
        <v/>
      </c>
      <c r="AU571" t="str">
        <v/>
      </c>
      <c r="AV571" t="str">
        <v/>
      </c>
      <c r="AW571" t="str">
        <v/>
      </c>
    </row>
    <row r="572" spans="4:49" ht="15.75" x14ac:dyDescent="0.25">
      <c r="D572" s="3">
        <v>31</v>
      </c>
      <c r="F572" s="16" cm="1">
        <f t="array" ref="F5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72" s="31" cm="1">
        <f t="array" ref="G5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57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72" s="32" t="str">
        <f>TEXT(HLG_01[[#This Row],[Batch]],"000")&amp; " / " &amp; TEXT(HLG_01[[#This Row],[Rit]],"000")</f>
        <v>059 / 013</v>
      </c>
      <c r="J572" s="34"/>
      <c r="K572" s="38"/>
      <c r="L572" s="35"/>
      <c r="M572" s="85"/>
      <c r="N572" s="85"/>
      <c r="O572" s="85"/>
      <c r="P572" s="85"/>
      <c r="Q572" s="85"/>
      <c r="R572" s="85"/>
      <c r="S572" s="98"/>
      <c r="T572" s="98"/>
      <c r="U572" s="98"/>
      <c r="V572" s="95"/>
      <c r="W572" s="95"/>
      <c r="X572" s="85"/>
      <c r="AP572" t="str">
        <v/>
      </c>
      <c r="AQ572" t="str">
        <v/>
      </c>
      <c r="AR572" t="str">
        <v/>
      </c>
      <c r="AS572" t="str">
        <v/>
      </c>
      <c r="AT572" t="str">
        <v/>
      </c>
      <c r="AU572" t="str">
        <v/>
      </c>
      <c r="AV572" t="str">
        <v/>
      </c>
      <c r="AW572" t="str">
        <v/>
      </c>
    </row>
    <row r="573" spans="4:49" ht="15.75" x14ac:dyDescent="0.25">
      <c r="D573" s="3">
        <v>31</v>
      </c>
      <c r="F573" s="16" cm="1">
        <f t="array" ref="F5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73" s="31" cm="1">
        <f t="array" ref="G5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57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73" s="32" t="str">
        <f>TEXT(HLG_01[[#This Row],[Batch]],"000")&amp; " / " &amp; TEXT(HLG_01[[#This Row],[Rit]],"000")</f>
        <v>059 / 014</v>
      </c>
      <c r="J573" s="34"/>
      <c r="K573" s="38"/>
      <c r="L573" s="35"/>
      <c r="M573" s="85"/>
      <c r="N573" s="85"/>
      <c r="O573" s="85"/>
      <c r="P573" s="85"/>
      <c r="Q573" s="85"/>
      <c r="R573" s="85"/>
      <c r="S573" s="98"/>
      <c r="T573" s="98"/>
      <c r="U573" s="98"/>
      <c r="V573" s="95"/>
      <c r="W573" s="95"/>
      <c r="X573" s="85"/>
      <c r="AP573" t="str">
        <v/>
      </c>
      <c r="AQ573" t="str">
        <v/>
      </c>
      <c r="AR573" t="str">
        <v/>
      </c>
      <c r="AS573" t="str">
        <v/>
      </c>
      <c r="AT573" t="str">
        <v/>
      </c>
      <c r="AU573" t="str">
        <v/>
      </c>
      <c r="AV573" t="str">
        <v/>
      </c>
      <c r="AW573" t="str">
        <v/>
      </c>
    </row>
    <row r="574" spans="4:49" ht="15.75" x14ac:dyDescent="0.25">
      <c r="D574" s="3">
        <v>31</v>
      </c>
      <c r="F574" s="16" cm="1">
        <f t="array" ref="F5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74" s="31" cm="1">
        <f t="array" ref="G5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57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74" s="32" t="str">
        <f>TEXT(HLG_01[[#This Row],[Batch]],"000")&amp; " / " &amp; TEXT(HLG_01[[#This Row],[Rit]],"000")</f>
        <v>059 / 015</v>
      </c>
      <c r="J574" s="34"/>
      <c r="K574" s="38"/>
      <c r="L574" s="35"/>
      <c r="M574" s="85"/>
      <c r="N574" s="85"/>
      <c r="O574" s="85"/>
      <c r="P574" s="85"/>
      <c r="Q574" s="85"/>
      <c r="R574" s="85"/>
      <c r="S574" s="98"/>
      <c r="T574" s="98"/>
      <c r="U574" s="98"/>
      <c r="V574" s="95"/>
      <c r="W574" s="95"/>
      <c r="X574" s="85"/>
      <c r="AP574" t="str">
        <v/>
      </c>
      <c r="AQ574" t="str">
        <v/>
      </c>
      <c r="AR574" t="str">
        <v/>
      </c>
      <c r="AS574" t="str">
        <v/>
      </c>
      <c r="AT574" t="str">
        <v/>
      </c>
      <c r="AU574" t="str">
        <v/>
      </c>
      <c r="AV574" t="str">
        <v/>
      </c>
      <c r="AW574" t="str">
        <v/>
      </c>
    </row>
    <row r="575" spans="4:49" ht="15.75" x14ac:dyDescent="0.25">
      <c r="D575" s="3">
        <v>31</v>
      </c>
      <c r="F575" s="16" cm="1">
        <f t="array" ref="F5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75" s="31" cm="1">
        <f t="array" ref="G5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57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75" s="32" t="str">
        <f>TEXT(HLG_01[[#This Row],[Batch]],"000")&amp; " / " &amp; TEXT(HLG_01[[#This Row],[Rit]],"000")</f>
        <v>059 / 016</v>
      </c>
      <c r="J575" s="34"/>
      <c r="K575" s="38"/>
      <c r="L575" s="35"/>
      <c r="M575" s="85"/>
      <c r="N575" s="85"/>
      <c r="O575" s="85"/>
      <c r="P575" s="85"/>
      <c r="Q575" s="85"/>
      <c r="R575" s="85"/>
      <c r="S575" s="98"/>
      <c r="T575" s="98"/>
      <c r="U575" s="98"/>
      <c r="V575" s="95"/>
      <c r="W575" s="95"/>
      <c r="X575" s="85"/>
      <c r="AP575" t="str">
        <v/>
      </c>
      <c r="AQ575" t="str">
        <v/>
      </c>
      <c r="AR575" t="str">
        <v/>
      </c>
      <c r="AS575" t="str">
        <v/>
      </c>
      <c r="AT575" t="str">
        <v/>
      </c>
      <c r="AU575" t="str">
        <v/>
      </c>
      <c r="AV575" t="str">
        <v/>
      </c>
      <c r="AW575" t="str">
        <v/>
      </c>
    </row>
    <row r="576" spans="4:49" ht="15.75" x14ac:dyDescent="0.25">
      <c r="D576" s="3">
        <v>31</v>
      </c>
      <c r="F576" s="16" cm="1">
        <f t="array" ref="F5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76" s="31" cm="1">
        <f t="array" ref="G5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57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76" s="32" t="str">
        <f>TEXT(HLG_01[[#This Row],[Batch]],"000")&amp; " / " &amp; TEXT(HLG_01[[#This Row],[Rit]],"000")</f>
        <v>059 / 017</v>
      </c>
      <c r="J576" s="34"/>
      <c r="K576" s="38"/>
      <c r="L576" s="35"/>
      <c r="M576" s="85"/>
      <c r="N576" s="85"/>
      <c r="O576" s="85"/>
      <c r="P576" s="85"/>
      <c r="Q576" s="85"/>
      <c r="R576" s="85"/>
      <c r="S576" s="98"/>
      <c r="T576" s="98"/>
      <c r="U576" s="98"/>
      <c r="V576" s="95"/>
      <c r="W576" s="95"/>
      <c r="X576" s="85"/>
      <c r="AP576" t="str">
        <v/>
      </c>
      <c r="AQ576" t="str">
        <v/>
      </c>
      <c r="AR576" t="str">
        <v/>
      </c>
      <c r="AS576" t="str">
        <v/>
      </c>
      <c r="AT576" t="str">
        <v/>
      </c>
      <c r="AU576" t="str">
        <v/>
      </c>
      <c r="AV576" t="str">
        <v/>
      </c>
      <c r="AW576" t="str">
        <v/>
      </c>
    </row>
    <row r="577" spans="4:49" ht="15.75" x14ac:dyDescent="0.25">
      <c r="D577" s="3">
        <v>31</v>
      </c>
      <c r="F577" s="16" cm="1">
        <f t="array" ref="F5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77" s="31" cm="1">
        <f t="array" ref="G5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57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77" s="32" t="str">
        <f>TEXT(HLG_01[[#This Row],[Batch]],"000")&amp; " / " &amp; TEXT(HLG_01[[#This Row],[Rit]],"000")</f>
        <v>059 / 018</v>
      </c>
      <c r="J577" s="34"/>
      <c r="K577" s="38"/>
      <c r="L577" s="35"/>
      <c r="M577" s="85"/>
      <c r="N577" s="85"/>
      <c r="O577" s="85"/>
      <c r="P577" s="85"/>
      <c r="Q577" s="85"/>
      <c r="R577" s="85"/>
      <c r="S577" s="98"/>
      <c r="T577" s="98"/>
      <c r="U577" s="98"/>
      <c r="V577" s="95"/>
      <c r="W577" s="95"/>
      <c r="X577" s="85"/>
      <c r="AP577" t="str">
        <v/>
      </c>
      <c r="AQ577" t="str">
        <v/>
      </c>
      <c r="AR577" t="str">
        <v/>
      </c>
      <c r="AS577" t="str">
        <v/>
      </c>
      <c r="AT577" t="str">
        <v/>
      </c>
      <c r="AU577" t="str">
        <v/>
      </c>
      <c r="AV577" t="str">
        <v/>
      </c>
      <c r="AW577" t="str">
        <v/>
      </c>
    </row>
    <row r="578" spans="4:49" ht="15.75" x14ac:dyDescent="0.25">
      <c r="D578" s="3">
        <v>31</v>
      </c>
      <c r="F578" s="16" cm="1">
        <f t="array" ref="F5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78" s="31" cm="1">
        <f t="array" ref="G5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57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78" s="32" t="str">
        <f>TEXT(HLG_01[[#This Row],[Batch]],"000")&amp; " / " &amp; TEXT(HLG_01[[#This Row],[Rit]],"000")</f>
        <v>059 / 019</v>
      </c>
      <c r="J578" s="34"/>
      <c r="K578" s="38"/>
      <c r="L578" s="35"/>
      <c r="M578" s="85"/>
      <c r="N578" s="85"/>
      <c r="O578" s="85"/>
      <c r="P578" s="85"/>
      <c r="Q578" s="85"/>
      <c r="R578" s="85"/>
      <c r="S578" s="98"/>
      <c r="T578" s="98"/>
      <c r="U578" s="98"/>
      <c r="V578" s="95"/>
      <c r="W578" s="95"/>
      <c r="X578" s="85"/>
      <c r="AP578" t="str">
        <v/>
      </c>
      <c r="AQ578" t="str">
        <v/>
      </c>
      <c r="AR578" t="str">
        <v/>
      </c>
      <c r="AS578" t="str">
        <v/>
      </c>
      <c r="AT578" t="str">
        <v/>
      </c>
      <c r="AU578" t="str">
        <v/>
      </c>
      <c r="AV578" t="str">
        <v/>
      </c>
      <c r="AW578" t="str">
        <v/>
      </c>
    </row>
    <row r="579" spans="4:49" ht="15.75" x14ac:dyDescent="0.25">
      <c r="D579" s="3">
        <v>31</v>
      </c>
      <c r="F579" s="16" cm="1">
        <f t="array" ref="F5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59</v>
      </c>
      <c r="G579" s="31" cm="1">
        <f t="array" ref="G5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57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79" s="32" t="str">
        <f>TEXT(HLG_01[[#This Row],[Batch]],"000")&amp; " / " &amp; TEXT(HLG_01[[#This Row],[Rit]],"000")</f>
        <v>059 / 020</v>
      </c>
      <c r="J579" s="34"/>
      <c r="K579" s="38"/>
      <c r="L579" s="35"/>
      <c r="M579" s="85"/>
      <c r="N579" s="85"/>
      <c r="O579" s="85"/>
      <c r="P579" s="85"/>
      <c r="Q579" s="85"/>
      <c r="R579" s="85"/>
      <c r="S579" s="98"/>
      <c r="T579" s="98"/>
      <c r="U579" s="98"/>
      <c r="V579" s="95"/>
      <c r="W579" s="95"/>
      <c r="X579" s="85"/>
      <c r="AP579" t="str">
        <v/>
      </c>
      <c r="AQ579" t="str">
        <v/>
      </c>
      <c r="AR579" t="str">
        <v/>
      </c>
      <c r="AS579" t="str">
        <v/>
      </c>
      <c r="AT579" t="str">
        <v/>
      </c>
      <c r="AU579" t="str">
        <v/>
      </c>
      <c r="AV579" t="str">
        <v/>
      </c>
      <c r="AW579" t="str">
        <v/>
      </c>
    </row>
    <row r="580" spans="4:49" ht="15.75" x14ac:dyDescent="0.25">
      <c r="D580" s="3">
        <v>32</v>
      </c>
      <c r="F580" s="16" cm="1">
        <f t="array" ref="F5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80" s="31" cm="1">
        <f t="array" ref="G5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58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80" s="32" t="str">
        <f>TEXT(HLG_01[[#This Row],[Batch]],"000")&amp; " / " &amp; TEXT(HLG_01[[#This Row],[Rit]],"000")</f>
        <v>060 / 001</v>
      </c>
      <c r="J580" s="34"/>
      <c r="K580" s="38"/>
      <c r="L580" s="35"/>
      <c r="M580" s="85"/>
      <c r="N580" s="85"/>
      <c r="O580" s="85"/>
      <c r="P580" s="85"/>
      <c r="Q580" s="85"/>
      <c r="R580" s="85"/>
      <c r="S580" s="98"/>
      <c r="T580" s="98"/>
      <c r="U580" s="98"/>
      <c r="V580" s="95"/>
      <c r="W580" s="95"/>
      <c r="X580" s="85"/>
      <c r="AP580" t="str">
        <v/>
      </c>
      <c r="AQ580" t="str">
        <v/>
      </c>
      <c r="AR580" t="str">
        <v/>
      </c>
      <c r="AS580" t="str">
        <v/>
      </c>
      <c r="AT580" t="str">
        <v/>
      </c>
      <c r="AU580" t="str">
        <v/>
      </c>
      <c r="AV580" t="str">
        <v/>
      </c>
      <c r="AW580" t="str">
        <v/>
      </c>
    </row>
    <row r="581" spans="4:49" ht="15.75" x14ac:dyDescent="0.25">
      <c r="D581" s="3">
        <v>32</v>
      </c>
      <c r="F581" s="16" cm="1">
        <f t="array" ref="F5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81" s="31" cm="1">
        <f t="array" ref="G5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58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81" s="32" t="str">
        <f>TEXT(HLG_01[[#This Row],[Batch]],"000")&amp; " / " &amp; TEXT(HLG_01[[#This Row],[Rit]],"000")</f>
        <v>060 / 002</v>
      </c>
      <c r="J581" s="34"/>
      <c r="K581" s="38"/>
      <c r="L581" s="35"/>
      <c r="M581" s="85"/>
      <c r="N581" s="85"/>
      <c r="O581" s="85"/>
      <c r="P581" s="85"/>
      <c r="Q581" s="85"/>
      <c r="R581" s="85"/>
      <c r="S581" s="98"/>
      <c r="T581" s="98"/>
      <c r="U581" s="98"/>
      <c r="V581" s="95"/>
      <c r="W581" s="95"/>
      <c r="X581" s="85"/>
      <c r="AP581" t="str">
        <v/>
      </c>
      <c r="AQ581" t="str">
        <v/>
      </c>
      <c r="AR581" t="str">
        <v/>
      </c>
      <c r="AS581" t="str">
        <v/>
      </c>
      <c r="AT581" t="str">
        <v/>
      </c>
      <c r="AU581" t="str">
        <v/>
      </c>
      <c r="AV581" t="str">
        <v/>
      </c>
      <c r="AW581" t="str">
        <v/>
      </c>
    </row>
    <row r="582" spans="4:49" ht="15.75" x14ac:dyDescent="0.25">
      <c r="D582" s="3">
        <v>32</v>
      </c>
      <c r="F582" s="16" cm="1">
        <f t="array" ref="F5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82" s="31" cm="1">
        <f t="array" ref="G5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58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82" s="32" t="str">
        <f>TEXT(HLG_01[[#This Row],[Batch]],"000")&amp; " / " &amp; TEXT(HLG_01[[#This Row],[Rit]],"000")</f>
        <v>060 / 003</v>
      </c>
      <c r="J582" s="34"/>
      <c r="K582" s="38"/>
      <c r="L582" s="35"/>
      <c r="M582" s="85"/>
      <c r="N582" s="85"/>
      <c r="O582" s="85"/>
      <c r="P582" s="85"/>
      <c r="Q582" s="85"/>
      <c r="R582" s="85"/>
      <c r="S582" s="98"/>
      <c r="T582" s="98"/>
      <c r="U582" s="98"/>
      <c r="V582" s="95"/>
      <c r="W582" s="95"/>
      <c r="X582" s="85"/>
      <c r="AP582" t="str">
        <v/>
      </c>
      <c r="AQ582" t="str">
        <v/>
      </c>
      <c r="AR582" t="str">
        <v/>
      </c>
      <c r="AS582" t="str">
        <v/>
      </c>
      <c r="AT582" t="str">
        <v/>
      </c>
      <c r="AU582" t="str">
        <v/>
      </c>
      <c r="AV582" t="str">
        <v/>
      </c>
      <c r="AW582" t="str">
        <v/>
      </c>
    </row>
    <row r="583" spans="4:49" ht="15.75" x14ac:dyDescent="0.25">
      <c r="D583" s="3">
        <v>32</v>
      </c>
      <c r="F583" s="16" cm="1">
        <f t="array" ref="F5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83" s="31" cm="1">
        <f t="array" ref="G5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58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83" s="32" t="str">
        <f>TEXT(HLG_01[[#This Row],[Batch]],"000")&amp; " / " &amp; TEXT(HLG_01[[#This Row],[Rit]],"000")</f>
        <v>060 / 004</v>
      </c>
      <c r="J583" s="34"/>
      <c r="K583" s="38"/>
      <c r="L583" s="35"/>
      <c r="M583" s="85"/>
      <c r="N583" s="85"/>
      <c r="O583" s="85"/>
      <c r="P583" s="85"/>
      <c r="Q583" s="85"/>
      <c r="R583" s="85"/>
      <c r="S583" s="98"/>
      <c r="T583" s="98"/>
      <c r="U583" s="98"/>
      <c r="V583" s="95"/>
      <c r="W583" s="95"/>
      <c r="X583" s="85"/>
      <c r="AP583" t="str">
        <v/>
      </c>
      <c r="AQ583" t="str">
        <v/>
      </c>
      <c r="AR583" t="str">
        <v/>
      </c>
      <c r="AS583" t="str">
        <v/>
      </c>
      <c r="AT583" t="str">
        <v/>
      </c>
      <c r="AU583" t="str">
        <v/>
      </c>
      <c r="AV583" t="str">
        <v/>
      </c>
      <c r="AW583" t="str">
        <v/>
      </c>
    </row>
    <row r="584" spans="4:49" ht="15.75" x14ac:dyDescent="0.25">
      <c r="D584" s="3">
        <v>32</v>
      </c>
      <c r="F584" s="16" cm="1">
        <f t="array" ref="F5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84" s="31" cm="1">
        <f t="array" ref="G5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58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84" s="32" t="str">
        <f>TEXT(HLG_01[[#This Row],[Batch]],"000")&amp; " / " &amp; TEXT(HLG_01[[#This Row],[Rit]],"000")</f>
        <v>060 / 005</v>
      </c>
      <c r="J584" s="34"/>
      <c r="K584" s="38"/>
      <c r="L584" s="35"/>
      <c r="M584" s="85"/>
      <c r="N584" s="85"/>
      <c r="O584" s="85"/>
      <c r="P584" s="85"/>
      <c r="Q584" s="85"/>
      <c r="R584" s="85"/>
      <c r="S584" s="98"/>
      <c r="T584" s="98"/>
      <c r="U584" s="98"/>
      <c r="V584" s="95"/>
      <c r="W584" s="95"/>
      <c r="X584" s="85"/>
      <c r="AP584" t="str">
        <v/>
      </c>
      <c r="AQ584" t="str">
        <v/>
      </c>
      <c r="AR584" t="str">
        <v/>
      </c>
      <c r="AS584" t="str">
        <v/>
      </c>
      <c r="AT584" t="str">
        <v/>
      </c>
      <c r="AU584" t="str">
        <v/>
      </c>
      <c r="AV584" t="str">
        <v/>
      </c>
      <c r="AW584" t="str">
        <v/>
      </c>
    </row>
    <row r="585" spans="4:49" ht="15.75" x14ac:dyDescent="0.25">
      <c r="D585" s="3">
        <v>32</v>
      </c>
      <c r="F585" s="16" cm="1">
        <f t="array" ref="F5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85" s="31" cm="1">
        <f t="array" ref="G5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58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85" s="32" t="str">
        <f>TEXT(HLG_01[[#This Row],[Batch]],"000")&amp; " / " &amp; TEXT(HLG_01[[#This Row],[Rit]],"000")</f>
        <v>060 / 006</v>
      </c>
      <c r="J585" s="34"/>
      <c r="K585" s="38"/>
      <c r="L585" s="35"/>
      <c r="M585" s="85"/>
      <c r="N585" s="85"/>
      <c r="O585" s="85"/>
      <c r="P585" s="85"/>
      <c r="Q585" s="85"/>
      <c r="R585" s="85"/>
      <c r="S585" s="98"/>
      <c r="T585" s="98"/>
      <c r="U585" s="98"/>
      <c r="V585" s="95"/>
      <c r="W585" s="95"/>
      <c r="X585" s="85"/>
      <c r="AP585" t="str">
        <v/>
      </c>
      <c r="AQ585" t="str">
        <v/>
      </c>
      <c r="AR585" t="str">
        <v/>
      </c>
      <c r="AS585" t="str">
        <v/>
      </c>
      <c r="AT585" t="str">
        <v/>
      </c>
      <c r="AU585" t="str">
        <v/>
      </c>
      <c r="AV585" t="str">
        <v/>
      </c>
      <c r="AW585" t="str">
        <v/>
      </c>
    </row>
    <row r="586" spans="4:49" ht="15.75" x14ac:dyDescent="0.25">
      <c r="D586" s="3">
        <v>32</v>
      </c>
      <c r="F586" s="16" cm="1">
        <f t="array" ref="F5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86" s="31" cm="1">
        <f t="array" ref="G5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58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86" s="32" t="str">
        <f>TEXT(HLG_01[[#This Row],[Batch]],"000")&amp; " / " &amp; TEXT(HLG_01[[#This Row],[Rit]],"000")</f>
        <v>060 / 007</v>
      </c>
      <c r="J586" s="34"/>
      <c r="K586" s="38"/>
      <c r="L586" s="35"/>
      <c r="M586" s="85"/>
      <c r="N586" s="85"/>
      <c r="O586" s="85"/>
      <c r="P586" s="85"/>
      <c r="Q586" s="85"/>
      <c r="R586" s="85"/>
      <c r="S586" s="98"/>
      <c r="T586" s="98"/>
      <c r="U586" s="98"/>
      <c r="V586" s="95"/>
      <c r="W586" s="95"/>
      <c r="X586" s="85"/>
      <c r="AP586" t="str">
        <v/>
      </c>
      <c r="AQ586" t="str">
        <v/>
      </c>
      <c r="AR586" t="str">
        <v/>
      </c>
      <c r="AS586" t="str">
        <v/>
      </c>
      <c r="AT586" t="str">
        <v/>
      </c>
      <c r="AU586" t="str">
        <v/>
      </c>
      <c r="AV586" t="str">
        <v/>
      </c>
      <c r="AW586" t="str">
        <v/>
      </c>
    </row>
    <row r="587" spans="4:49" ht="15.75" x14ac:dyDescent="0.25">
      <c r="D587" s="3">
        <v>32</v>
      </c>
      <c r="F587" s="16" cm="1">
        <f t="array" ref="F5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87" s="31" cm="1">
        <f t="array" ref="G5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58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87" s="32" t="str">
        <f>TEXT(HLG_01[[#This Row],[Batch]],"000")&amp; " / " &amp; TEXT(HLG_01[[#This Row],[Rit]],"000")</f>
        <v>060 / 008</v>
      </c>
      <c r="J587" s="34"/>
      <c r="K587" s="38"/>
      <c r="L587" s="35"/>
      <c r="M587" s="85"/>
      <c r="N587" s="85"/>
      <c r="O587" s="85"/>
      <c r="P587" s="85"/>
      <c r="Q587" s="85"/>
      <c r="R587" s="85"/>
      <c r="S587" s="98"/>
      <c r="T587" s="98"/>
      <c r="U587" s="98"/>
      <c r="V587" s="95"/>
      <c r="W587" s="95"/>
      <c r="X587" s="85"/>
      <c r="AP587" t="str">
        <v/>
      </c>
      <c r="AQ587" t="str">
        <v/>
      </c>
      <c r="AR587" t="str">
        <v/>
      </c>
      <c r="AS587" t="str">
        <v/>
      </c>
      <c r="AT587" t="str">
        <v/>
      </c>
      <c r="AU587" t="str">
        <v/>
      </c>
      <c r="AV587" t="str">
        <v/>
      </c>
      <c r="AW587" t="str">
        <v/>
      </c>
    </row>
    <row r="588" spans="4:49" ht="15.75" x14ac:dyDescent="0.25">
      <c r="D588" s="3">
        <v>32</v>
      </c>
      <c r="F588" s="16" cm="1">
        <f t="array" ref="F5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88" s="31" cm="1">
        <f t="array" ref="G5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58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88" s="32" t="str">
        <f>TEXT(HLG_01[[#This Row],[Batch]],"000")&amp; " / " &amp; TEXT(HLG_01[[#This Row],[Rit]],"000")</f>
        <v>060 / 009</v>
      </c>
      <c r="J588" s="34"/>
      <c r="K588" s="38"/>
      <c r="L588" s="35"/>
      <c r="M588" s="85"/>
      <c r="N588" s="85"/>
      <c r="O588" s="85"/>
      <c r="P588" s="85"/>
      <c r="Q588" s="85"/>
      <c r="R588" s="85"/>
      <c r="S588" s="98"/>
      <c r="T588" s="98"/>
      <c r="U588" s="98"/>
      <c r="V588" s="95"/>
      <c r="W588" s="95"/>
      <c r="X588" s="85"/>
      <c r="AP588" t="str">
        <v/>
      </c>
      <c r="AQ588" t="str">
        <v/>
      </c>
      <c r="AR588" t="str">
        <v/>
      </c>
      <c r="AS588" t="str">
        <v/>
      </c>
      <c r="AT588" t="str">
        <v/>
      </c>
      <c r="AU588" t="str">
        <v/>
      </c>
      <c r="AV588" t="str">
        <v/>
      </c>
      <c r="AW588" t="str">
        <v/>
      </c>
    </row>
    <row r="589" spans="4:49" ht="15.75" x14ac:dyDescent="0.25">
      <c r="D589" s="3">
        <v>32</v>
      </c>
      <c r="F589" s="16" cm="1">
        <f t="array" ref="F5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89" s="31" cm="1">
        <f t="array" ref="G5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58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89" s="32" t="str">
        <f>TEXT(HLG_01[[#This Row],[Batch]],"000")&amp; " / " &amp; TEXT(HLG_01[[#This Row],[Rit]],"000")</f>
        <v>060 / 010</v>
      </c>
      <c r="J589" s="34"/>
      <c r="K589" s="38"/>
      <c r="L589" s="35"/>
      <c r="M589" s="85"/>
      <c r="N589" s="85"/>
      <c r="O589" s="85"/>
      <c r="P589" s="85"/>
      <c r="Q589" s="85"/>
      <c r="R589" s="85"/>
      <c r="S589" s="98"/>
      <c r="T589" s="98"/>
      <c r="U589" s="98"/>
      <c r="V589" s="95"/>
      <c r="W589" s="95"/>
      <c r="X589" s="85"/>
      <c r="AP589" t="str">
        <v/>
      </c>
      <c r="AQ589" t="str">
        <v/>
      </c>
      <c r="AR589" t="str">
        <v/>
      </c>
      <c r="AS589" t="str">
        <v/>
      </c>
      <c r="AT589" t="str">
        <v/>
      </c>
      <c r="AU589" t="str">
        <v/>
      </c>
      <c r="AV589" t="str">
        <v/>
      </c>
      <c r="AW589" t="str">
        <v/>
      </c>
    </row>
    <row r="590" spans="4:49" ht="15.75" x14ac:dyDescent="0.25">
      <c r="D590" s="3">
        <v>32</v>
      </c>
      <c r="F590" s="16" cm="1">
        <f t="array" ref="F5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90" s="31" cm="1">
        <f t="array" ref="G5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59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90" s="32" t="str">
        <f>TEXT(HLG_01[[#This Row],[Batch]],"000")&amp; " / " &amp; TEXT(HLG_01[[#This Row],[Rit]],"000")</f>
        <v>060 / 011</v>
      </c>
      <c r="J590" s="34"/>
      <c r="K590" s="38"/>
      <c r="L590" s="35"/>
      <c r="M590" s="85"/>
      <c r="N590" s="85"/>
      <c r="O590" s="85"/>
      <c r="P590" s="85"/>
      <c r="Q590" s="85"/>
      <c r="R590" s="85"/>
      <c r="S590" s="98"/>
      <c r="T590" s="98"/>
      <c r="U590" s="98"/>
      <c r="V590" s="95"/>
      <c r="W590" s="95"/>
      <c r="X590" s="85"/>
      <c r="AP590" t="str">
        <v/>
      </c>
      <c r="AQ590" t="str">
        <v/>
      </c>
      <c r="AR590" t="str">
        <v/>
      </c>
      <c r="AS590" t="str">
        <v/>
      </c>
      <c r="AT590" t="str">
        <v/>
      </c>
      <c r="AU590" t="str">
        <v/>
      </c>
      <c r="AV590" t="str">
        <v/>
      </c>
      <c r="AW590" t="str">
        <v/>
      </c>
    </row>
    <row r="591" spans="4:49" ht="15.75" x14ac:dyDescent="0.25">
      <c r="D591" s="3">
        <v>32</v>
      </c>
      <c r="F591" s="16" cm="1">
        <f t="array" ref="F5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91" s="31" cm="1">
        <f t="array" ref="G5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59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91" s="32" t="str">
        <f>TEXT(HLG_01[[#This Row],[Batch]],"000")&amp; " / " &amp; TEXT(HLG_01[[#This Row],[Rit]],"000")</f>
        <v>060 / 012</v>
      </c>
      <c r="J591" s="34"/>
      <c r="K591" s="38"/>
      <c r="L591" s="35"/>
      <c r="M591" s="85"/>
      <c r="N591" s="85"/>
      <c r="O591" s="85"/>
      <c r="P591" s="85"/>
      <c r="Q591" s="85"/>
      <c r="R591" s="85"/>
      <c r="S591" s="98"/>
      <c r="T591" s="98"/>
      <c r="U591" s="98"/>
      <c r="V591" s="95"/>
      <c r="W591" s="95"/>
      <c r="X591" s="85"/>
      <c r="AP591" t="str">
        <v/>
      </c>
      <c r="AQ591" t="str">
        <v/>
      </c>
      <c r="AR591" t="str">
        <v/>
      </c>
      <c r="AS591" t="str">
        <v/>
      </c>
      <c r="AT591" t="str">
        <v/>
      </c>
      <c r="AU591" t="str">
        <v/>
      </c>
      <c r="AV591" t="str">
        <v/>
      </c>
      <c r="AW591" t="str">
        <v/>
      </c>
    </row>
    <row r="592" spans="4:49" ht="15.75" x14ac:dyDescent="0.25">
      <c r="D592" s="3">
        <v>32</v>
      </c>
      <c r="F592" s="16" cm="1">
        <f t="array" ref="F5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92" s="31" cm="1">
        <f t="array" ref="G5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59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92" s="32" t="str">
        <f>TEXT(HLG_01[[#This Row],[Batch]],"000")&amp; " / " &amp; TEXT(HLG_01[[#This Row],[Rit]],"000")</f>
        <v>060 / 013</v>
      </c>
      <c r="J592" s="34"/>
      <c r="K592" s="38"/>
      <c r="L592" s="35"/>
      <c r="M592" s="85"/>
      <c r="N592" s="85"/>
      <c r="O592" s="85"/>
      <c r="P592" s="85"/>
      <c r="Q592" s="85"/>
      <c r="R592" s="85"/>
      <c r="S592" s="98"/>
      <c r="T592" s="98"/>
      <c r="U592" s="98"/>
      <c r="V592" s="95"/>
      <c r="W592" s="95"/>
      <c r="X592" s="85"/>
      <c r="AP592" t="str">
        <v/>
      </c>
      <c r="AQ592" t="str">
        <v/>
      </c>
      <c r="AR592" t="str">
        <v/>
      </c>
      <c r="AS592" t="str">
        <v/>
      </c>
      <c r="AT592" t="str">
        <v/>
      </c>
      <c r="AU592" t="str">
        <v/>
      </c>
      <c r="AV592" t="str">
        <v/>
      </c>
      <c r="AW592" t="str">
        <v/>
      </c>
    </row>
    <row r="593" spans="4:49" ht="15.75" x14ac:dyDescent="0.25">
      <c r="D593" s="3">
        <v>32</v>
      </c>
      <c r="F593" s="16" cm="1">
        <f t="array" ref="F5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93" s="31" cm="1">
        <f t="array" ref="G5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59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93" s="32" t="str">
        <f>TEXT(HLG_01[[#This Row],[Batch]],"000")&amp; " / " &amp; TEXT(HLG_01[[#This Row],[Rit]],"000")</f>
        <v>060 / 014</v>
      </c>
      <c r="J593" s="34"/>
      <c r="K593" s="38"/>
      <c r="L593" s="35"/>
      <c r="M593" s="85"/>
      <c r="N593" s="85"/>
      <c r="O593" s="85"/>
      <c r="P593" s="85"/>
      <c r="Q593" s="85"/>
      <c r="R593" s="85"/>
      <c r="S593" s="98"/>
      <c r="T593" s="98"/>
      <c r="U593" s="98"/>
      <c r="V593" s="95"/>
      <c r="W593" s="95"/>
      <c r="X593" s="85"/>
      <c r="AP593" t="str">
        <v/>
      </c>
      <c r="AQ593" t="str">
        <v/>
      </c>
      <c r="AR593" t="str">
        <v/>
      </c>
      <c r="AS593" t="str">
        <v/>
      </c>
      <c r="AT593" t="str">
        <v/>
      </c>
      <c r="AU593" t="str">
        <v/>
      </c>
      <c r="AV593" t="str">
        <v/>
      </c>
      <c r="AW593" t="str">
        <v/>
      </c>
    </row>
    <row r="594" spans="4:49" ht="15.75" x14ac:dyDescent="0.25">
      <c r="D594" s="3">
        <v>32</v>
      </c>
      <c r="F594" s="16" cm="1">
        <f t="array" ref="F5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94" s="31" cm="1">
        <f t="array" ref="G5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59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94" s="32" t="str">
        <f>TEXT(HLG_01[[#This Row],[Batch]],"000")&amp; " / " &amp; TEXT(HLG_01[[#This Row],[Rit]],"000")</f>
        <v>060 / 015</v>
      </c>
      <c r="J594" s="34"/>
      <c r="K594" s="38"/>
      <c r="L594" s="35"/>
      <c r="M594" s="85"/>
      <c r="N594" s="85"/>
      <c r="O594" s="85"/>
      <c r="P594" s="85"/>
      <c r="Q594" s="85"/>
      <c r="R594" s="85"/>
      <c r="S594" s="98"/>
      <c r="T594" s="98"/>
      <c r="U594" s="98"/>
      <c r="V594" s="95"/>
      <c r="W594" s="95"/>
      <c r="X594" s="85"/>
      <c r="AP594" t="str">
        <v/>
      </c>
      <c r="AQ594" t="str">
        <v/>
      </c>
      <c r="AR594" t="str">
        <v/>
      </c>
      <c r="AS594" t="str">
        <v/>
      </c>
      <c r="AT594" t="str">
        <v/>
      </c>
      <c r="AU594" t="str">
        <v/>
      </c>
      <c r="AV594" t="str">
        <v/>
      </c>
      <c r="AW594" t="str">
        <v/>
      </c>
    </row>
    <row r="595" spans="4:49" ht="15.75" x14ac:dyDescent="0.25">
      <c r="D595" s="3">
        <v>32</v>
      </c>
      <c r="F595" s="16" cm="1">
        <f t="array" ref="F5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95" s="31" cm="1">
        <f t="array" ref="G5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59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95" s="32" t="str">
        <f>TEXT(HLG_01[[#This Row],[Batch]],"000")&amp; " / " &amp; TEXT(HLG_01[[#This Row],[Rit]],"000")</f>
        <v>060 / 016</v>
      </c>
      <c r="J595" s="34"/>
      <c r="K595" s="38"/>
      <c r="L595" s="35"/>
      <c r="M595" s="85"/>
      <c r="N595" s="85"/>
      <c r="O595" s="85"/>
      <c r="P595" s="85"/>
      <c r="Q595" s="85"/>
      <c r="R595" s="85"/>
      <c r="S595" s="98"/>
      <c r="T595" s="98"/>
      <c r="U595" s="98"/>
      <c r="V595" s="95"/>
      <c r="W595" s="95"/>
      <c r="X595" s="85"/>
      <c r="AP595" t="str">
        <v/>
      </c>
      <c r="AQ595" t="str">
        <v/>
      </c>
      <c r="AR595" t="str">
        <v/>
      </c>
      <c r="AS595" t="str">
        <v/>
      </c>
      <c r="AT595" t="str">
        <v/>
      </c>
      <c r="AU595" t="str">
        <v/>
      </c>
      <c r="AV595" t="str">
        <v/>
      </c>
      <c r="AW595" t="str">
        <v/>
      </c>
    </row>
    <row r="596" spans="4:49" ht="15.75" x14ac:dyDescent="0.25">
      <c r="D596" s="3">
        <v>32</v>
      </c>
      <c r="F596" s="16" cm="1">
        <f t="array" ref="F5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96" s="31" cm="1">
        <f t="array" ref="G5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59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96" s="32" t="str">
        <f>TEXT(HLG_01[[#This Row],[Batch]],"000")&amp; " / " &amp; TEXT(HLG_01[[#This Row],[Rit]],"000")</f>
        <v>060 / 017</v>
      </c>
      <c r="J596" s="34"/>
      <c r="K596" s="38"/>
      <c r="L596" s="35"/>
      <c r="M596" s="85"/>
      <c r="N596" s="85"/>
      <c r="O596" s="85"/>
      <c r="P596" s="85"/>
      <c r="Q596" s="85"/>
      <c r="R596" s="85"/>
      <c r="S596" s="98"/>
      <c r="T596" s="98"/>
      <c r="U596" s="98"/>
      <c r="V596" s="95"/>
      <c r="W596" s="95"/>
      <c r="X596" s="85"/>
      <c r="AP596" t="str">
        <v/>
      </c>
      <c r="AQ596" t="str">
        <v/>
      </c>
      <c r="AR596" t="str">
        <v/>
      </c>
      <c r="AS596" t="str">
        <v/>
      </c>
      <c r="AT596" t="str">
        <v/>
      </c>
      <c r="AU596" t="str">
        <v/>
      </c>
      <c r="AV596" t="str">
        <v/>
      </c>
      <c r="AW596" t="str">
        <v/>
      </c>
    </row>
    <row r="597" spans="4:49" ht="15.75" x14ac:dyDescent="0.25">
      <c r="D597" s="3">
        <v>32</v>
      </c>
      <c r="F597" s="16" cm="1">
        <f t="array" ref="F5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97" s="31" cm="1">
        <f t="array" ref="G5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59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97" s="32" t="str">
        <f>TEXT(HLG_01[[#This Row],[Batch]],"000")&amp; " / " &amp; TEXT(HLG_01[[#This Row],[Rit]],"000")</f>
        <v>060 / 018</v>
      </c>
      <c r="J597" s="34"/>
      <c r="K597" s="38"/>
      <c r="L597" s="35"/>
      <c r="M597" s="85"/>
      <c r="N597" s="85"/>
      <c r="O597" s="85"/>
      <c r="P597" s="85"/>
      <c r="Q597" s="85"/>
      <c r="R597" s="85"/>
      <c r="S597" s="98"/>
      <c r="T597" s="98"/>
      <c r="U597" s="98"/>
      <c r="V597" s="95"/>
      <c r="W597" s="95"/>
      <c r="X597" s="85"/>
      <c r="AP597" t="str">
        <v/>
      </c>
      <c r="AQ597" t="str">
        <v/>
      </c>
      <c r="AR597" t="str">
        <v/>
      </c>
      <c r="AS597" t="str">
        <v/>
      </c>
      <c r="AT597" t="str">
        <v/>
      </c>
      <c r="AU597" t="str">
        <v/>
      </c>
      <c r="AV597" t="str">
        <v/>
      </c>
      <c r="AW597" t="str">
        <v/>
      </c>
    </row>
    <row r="598" spans="4:49" ht="15.75" x14ac:dyDescent="0.25">
      <c r="D598" s="3">
        <v>32</v>
      </c>
      <c r="F598" s="16" cm="1">
        <f t="array" ref="F5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98" s="31" cm="1">
        <f t="array" ref="G5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59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598" s="32" t="str">
        <f>TEXT(HLG_01[[#This Row],[Batch]],"000")&amp; " / " &amp; TEXT(HLG_01[[#This Row],[Rit]],"000")</f>
        <v>060 / 019</v>
      </c>
      <c r="J598" s="34"/>
      <c r="K598" s="38"/>
      <c r="L598" s="35"/>
      <c r="M598" s="85"/>
      <c r="N598" s="85"/>
      <c r="O598" s="85"/>
      <c r="P598" s="85"/>
      <c r="Q598" s="85"/>
      <c r="R598" s="85"/>
      <c r="S598" s="98"/>
      <c r="T598" s="98"/>
      <c r="U598" s="98"/>
      <c r="V598" s="95"/>
      <c r="W598" s="95"/>
      <c r="X598" s="85"/>
      <c r="AP598" t="str">
        <v/>
      </c>
      <c r="AQ598" t="str">
        <v/>
      </c>
      <c r="AR598" t="str">
        <v/>
      </c>
      <c r="AS598" t="str">
        <v/>
      </c>
      <c r="AT598" t="str">
        <v/>
      </c>
      <c r="AU598" t="str">
        <v/>
      </c>
      <c r="AV598" t="str">
        <v/>
      </c>
      <c r="AW598" t="str">
        <v/>
      </c>
    </row>
    <row r="599" spans="4:49" ht="15.75" x14ac:dyDescent="0.25">
      <c r="D599" s="3">
        <v>32</v>
      </c>
      <c r="F599" s="16" cm="1">
        <f t="array" ref="F5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60</v>
      </c>
      <c r="G599" s="31" cm="1">
        <f t="array" ref="G5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59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599" s="32" t="str">
        <f>TEXT(HLG_01[[#This Row],[Batch]],"000")&amp; " / " &amp; TEXT(HLG_01[[#This Row],[Rit]],"000")</f>
        <v>060 / 020</v>
      </c>
      <c r="J599" s="34"/>
      <c r="K599" s="38"/>
      <c r="L599" s="35"/>
      <c r="M599" s="85"/>
      <c r="N599" s="85"/>
      <c r="O599" s="85"/>
      <c r="P599" s="85"/>
      <c r="Q599" s="85"/>
      <c r="R599" s="85"/>
      <c r="S599" s="98"/>
      <c r="T599" s="98"/>
      <c r="U599" s="98"/>
      <c r="V599" s="95"/>
      <c r="W599" s="95"/>
      <c r="X599" s="85"/>
      <c r="AP599" t="str">
        <v/>
      </c>
      <c r="AQ599" t="str">
        <v/>
      </c>
      <c r="AR599" t="str">
        <v/>
      </c>
      <c r="AS599" t="str">
        <v/>
      </c>
      <c r="AT599" t="str">
        <v/>
      </c>
      <c r="AU599" t="str">
        <v/>
      </c>
      <c r="AV599" t="str">
        <v/>
      </c>
      <c r="AW599" t="str">
        <v/>
      </c>
    </row>
    <row r="600" spans="4:49" ht="15.75" x14ac:dyDescent="0.25">
      <c r="D600" s="3">
        <v>33</v>
      </c>
      <c r="F600" s="16" cm="1">
        <f t="array" ref="F6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00" s="31" cm="1">
        <f t="array" ref="G6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60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00" s="32" t="str">
        <f>TEXT(HLG_01[[#This Row],[Batch]],"000")&amp; " / " &amp; TEXT(HLG_01[[#This Row],[Rit]],"000")</f>
        <v>061 / 001</v>
      </c>
      <c r="J600" s="34"/>
      <c r="K600" s="38"/>
      <c r="L600" s="35"/>
      <c r="M600" s="85"/>
      <c r="N600" s="85"/>
      <c r="O600" s="85"/>
      <c r="P600" s="85"/>
      <c r="Q600" s="85"/>
      <c r="R600" s="85"/>
      <c r="S600" s="98"/>
      <c r="T600" s="98"/>
      <c r="U600" s="98"/>
      <c r="V600" s="95"/>
      <c r="W600" s="95"/>
      <c r="X600" s="85"/>
      <c r="AP600" t="str">
        <v/>
      </c>
      <c r="AQ600" t="str">
        <v/>
      </c>
      <c r="AR600" t="str">
        <v/>
      </c>
      <c r="AS600" t="str">
        <v/>
      </c>
      <c r="AT600" t="str">
        <v/>
      </c>
      <c r="AU600" t="str">
        <v/>
      </c>
      <c r="AV600" t="str">
        <v/>
      </c>
      <c r="AW600" t="str">
        <v/>
      </c>
    </row>
    <row r="601" spans="4:49" ht="15.75" x14ac:dyDescent="0.25">
      <c r="D601" s="3">
        <v>33</v>
      </c>
      <c r="F601" s="16" cm="1">
        <f t="array" ref="F6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01" s="31" cm="1">
        <f t="array" ref="G6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60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01" s="32" t="str">
        <f>TEXT(HLG_01[[#This Row],[Batch]],"000")&amp; " / " &amp; TEXT(HLG_01[[#This Row],[Rit]],"000")</f>
        <v>061 / 002</v>
      </c>
      <c r="J601" s="34"/>
      <c r="K601" s="38"/>
      <c r="L601" s="35"/>
      <c r="M601" s="85"/>
      <c r="N601" s="85"/>
      <c r="O601" s="85"/>
      <c r="P601" s="85"/>
      <c r="Q601" s="85"/>
      <c r="R601" s="85"/>
      <c r="S601" s="98"/>
      <c r="T601" s="98"/>
      <c r="U601" s="98"/>
      <c r="V601" s="95"/>
      <c r="W601" s="95"/>
      <c r="X601" s="85"/>
      <c r="AP601" t="str">
        <v/>
      </c>
      <c r="AQ601" t="str">
        <v/>
      </c>
      <c r="AR601" t="str">
        <v/>
      </c>
      <c r="AS601" t="str">
        <v/>
      </c>
      <c r="AT601" t="str">
        <v/>
      </c>
      <c r="AU601" t="str">
        <v/>
      </c>
      <c r="AV601" t="str">
        <v/>
      </c>
      <c r="AW601" t="str">
        <v/>
      </c>
    </row>
    <row r="602" spans="4:49" ht="15.75" x14ac:dyDescent="0.25">
      <c r="D602" s="3">
        <v>33</v>
      </c>
      <c r="F602" s="16" cm="1">
        <f t="array" ref="F6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02" s="31" cm="1">
        <f t="array" ref="G6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60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02" s="32" t="str">
        <f>TEXT(HLG_01[[#This Row],[Batch]],"000")&amp; " / " &amp; TEXT(HLG_01[[#This Row],[Rit]],"000")</f>
        <v>061 / 003</v>
      </c>
      <c r="J602" s="34"/>
      <c r="K602" s="38"/>
      <c r="L602" s="35"/>
      <c r="M602" s="85"/>
      <c r="N602" s="85"/>
      <c r="O602" s="85"/>
      <c r="P602" s="85"/>
      <c r="Q602" s="85"/>
      <c r="R602" s="85"/>
      <c r="S602" s="98"/>
      <c r="T602" s="98"/>
      <c r="U602" s="98"/>
      <c r="V602" s="95"/>
      <c r="W602" s="95"/>
      <c r="X602" s="85"/>
      <c r="AP602" t="str">
        <v/>
      </c>
      <c r="AQ602" t="str">
        <v/>
      </c>
      <c r="AR602" t="str">
        <v/>
      </c>
      <c r="AS602" t="str">
        <v/>
      </c>
      <c r="AT602" t="str">
        <v/>
      </c>
      <c r="AU602" t="str">
        <v/>
      </c>
      <c r="AV602" t="str">
        <v/>
      </c>
      <c r="AW602" t="str">
        <v/>
      </c>
    </row>
    <row r="603" spans="4:49" ht="15.75" x14ac:dyDescent="0.25">
      <c r="D603" s="3">
        <v>33</v>
      </c>
      <c r="F603" s="16" cm="1">
        <f t="array" ref="F6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03" s="31" cm="1">
        <f t="array" ref="G6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60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03" s="32" t="str">
        <f>TEXT(HLG_01[[#This Row],[Batch]],"000")&amp; " / " &amp; TEXT(HLG_01[[#This Row],[Rit]],"000")</f>
        <v>061 / 004</v>
      </c>
      <c r="J603" s="34"/>
      <c r="K603" s="38"/>
      <c r="L603" s="35"/>
      <c r="M603" s="85"/>
      <c r="N603" s="85"/>
      <c r="O603" s="85"/>
      <c r="P603" s="85"/>
      <c r="Q603" s="85"/>
      <c r="R603" s="85"/>
      <c r="S603" s="98"/>
      <c r="T603" s="98"/>
      <c r="U603" s="98"/>
      <c r="V603" s="95"/>
      <c r="W603" s="95"/>
      <c r="X603" s="85"/>
      <c r="AP603" t="str">
        <v/>
      </c>
      <c r="AQ603" t="str">
        <v/>
      </c>
      <c r="AR603" t="str">
        <v/>
      </c>
      <c r="AS603" t="str">
        <v/>
      </c>
      <c r="AT603" t="str">
        <v/>
      </c>
      <c r="AU603" t="str">
        <v/>
      </c>
      <c r="AV603" t="str">
        <v/>
      </c>
      <c r="AW603" t="str">
        <v/>
      </c>
    </row>
    <row r="604" spans="4:49" ht="15.75" x14ac:dyDescent="0.25">
      <c r="D604" s="3">
        <v>33</v>
      </c>
      <c r="F604" s="16" cm="1">
        <f t="array" ref="F6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04" s="31" cm="1">
        <f t="array" ref="G6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60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04" s="32" t="str">
        <f>TEXT(HLG_01[[#This Row],[Batch]],"000")&amp; " / " &amp; TEXT(HLG_01[[#This Row],[Rit]],"000")</f>
        <v>061 / 005</v>
      </c>
      <c r="J604" s="34"/>
      <c r="K604" s="38"/>
      <c r="L604" s="35"/>
      <c r="M604" s="85"/>
      <c r="N604" s="85"/>
      <c r="O604" s="85"/>
      <c r="P604" s="85"/>
      <c r="Q604" s="85"/>
      <c r="R604" s="85"/>
      <c r="S604" s="98"/>
      <c r="T604" s="98"/>
      <c r="U604" s="98"/>
      <c r="V604" s="95"/>
      <c r="W604" s="95"/>
      <c r="X604" s="85"/>
      <c r="AP604" t="str">
        <v/>
      </c>
      <c r="AQ604" t="str">
        <v/>
      </c>
      <c r="AR604" t="str">
        <v/>
      </c>
      <c r="AS604" t="str">
        <v/>
      </c>
      <c r="AT604" t="str">
        <v/>
      </c>
      <c r="AU604" t="str">
        <v/>
      </c>
      <c r="AV604" t="str">
        <v/>
      </c>
      <c r="AW604" t="str">
        <v/>
      </c>
    </row>
    <row r="605" spans="4:49" ht="15.75" x14ac:dyDescent="0.25">
      <c r="D605" s="3">
        <v>33</v>
      </c>
      <c r="F605" s="16" cm="1">
        <f t="array" ref="F6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05" s="31" cm="1">
        <f t="array" ref="G6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60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05" s="32" t="str">
        <f>TEXT(HLG_01[[#This Row],[Batch]],"000")&amp; " / " &amp; TEXT(HLG_01[[#This Row],[Rit]],"000")</f>
        <v>061 / 006</v>
      </c>
      <c r="J605" s="34"/>
      <c r="K605" s="38"/>
      <c r="L605" s="35"/>
      <c r="M605" s="85"/>
      <c r="N605" s="85"/>
      <c r="O605" s="85"/>
      <c r="P605" s="85"/>
      <c r="Q605" s="85"/>
      <c r="R605" s="85"/>
      <c r="S605" s="98"/>
      <c r="T605" s="98"/>
      <c r="U605" s="98"/>
      <c r="V605" s="95"/>
      <c r="W605" s="95"/>
      <c r="X605" s="85"/>
      <c r="AP605" t="str">
        <v/>
      </c>
      <c r="AQ605" t="str">
        <v/>
      </c>
      <c r="AR605" t="str">
        <v/>
      </c>
      <c r="AS605" t="str">
        <v/>
      </c>
      <c r="AT605" t="str">
        <v/>
      </c>
      <c r="AU605" t="str">
        <v/>
      </c>
      <c r="AV605" t="str">
        <v/>
      </c>
      <c r="AW605" t="str">
        <v/>
      </c>
    </row>
    <row r="606" spans="4:49" ht="15.75" x14ac:dyDescent="0.25">
      <c r="D606" s="3">
        <v>33</v>
      </c>
      <c r="F606" s="16" cm="1">
        <f t="array" ref="F6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06" s="31" cm="1">
        <f t="array" ref="G6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60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06" s="32" t="str">
        <f>TEXT(HLG_01[[#This Row],[Batch]],"000")&amp; " / " &amp; TEXT(HLG_01[[#This Row],[Rit]],"000")</f>
        <v>061 / 007</v>
      </c>
      <c r="J606" s="34"/>
      <c r="K606" s="38"/>
      <c r="L606" s="35"/>
      <c r="M606" s="85"/>
      <c r="N606" s="85"/>
      <c r="O606" s="85"/>
      <c r="P606" s="85"/>
      <c r="Q606" s="85"/>
      <c r="R606" s="85"/>
      <c r="S606" s="98"/>
      <c r="T606" s="98"/>
      <c r="U606" s="98"/>
      <c r="V606" s="95"/>
      <c r="W606" s="95"/>
      <c r="X606" s="85"/>
      <c r="AP606" t="str">
        <v/>
      </c>
      <c r="AQ606" t="str">
        <v/>
      </c>
      <c r="AR606" t="str">
        <v/>
      </c>
      <c r="AS606" t="str">
        <v/>
      </c>
      <c r="AT606" t="str">
        <v/>
      </c>
      <c r="AU606" t="str">
        <v/>
      </c>
      <c r="AV606" t="str">
        <v/>
      </c>
      <c r="AW606" t="str">
        <v/>
      </c>
    </row>
    <row r="607" spans="4:49" ht="15.75" x14ac:dyDescent="0.25">
      <c r="D607" s="3">
        <v>33</v>
      </c>
      <c r="F607" s="16" cm="1">
        <f t="array" ref="F6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07" s="31" cm="1">
        <f t="array" ref="G6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60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07" s="32" t="str">
        <f>TEXT(HLG_01[[#This Row],[Batch]],"000")&amp; " / " &amp; TEXT(HLG_01[[#This Row],[Rit]],"000")</f>
        <v>061 / 008</v>
      </c>
      <c r="J607" s="34"/>
      <c r="K607" s="38"/>
      <c r="L607" s="35"/>
      <c r="M607" s="85"/>
      <c r="N607" s="85"/>
      <c r="O607" s="85"/>
      <c r="P607" s="85"/>
      <c r="Q607" s="85"/>
      <c r="R607" s="85"/>
      <c r="S607" s="98"/>
      <c r="T607" s="98"/>
      <c r="U607" s="98"/>
      <c r="V607" s="95"/>
      <c r="W607" s="95"/>
      <c r="X607" s="85"/>
      <c r="AP607" t="str">
        <v/>
      </c>
      <c r="AQ607" t="str">
        <v/>
      </c>
      <c r="AR607" t="str">
        <v/>
      </c>
      <c r="AS607" t="str">
        <v/>
      </c>
      <c r="AT607" t="str">
        <v/>
      </c>
      <c r="AU607" t="str">
        <v/>
      </c>
      <c r="AV607" t="str">
        <v/>
      </c>
      <c r="AW607" t="str">
        <v/>
      </c>
    </row>
    <row r="608" spans="4:49" ht="15.75" x14ac:dyDescent="0.25">
      <c r="D608" s="3">
        <v>33</v>
      </c>
      <c r="F608" s="16" cm="1">
        <f t="array" ref="F6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08" s="31" cm="1">
        <f t="array" ref="G6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60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08" s="32" t="str">
        <f>TEXT(HLG_01[[#This Row],[Batch]],"000")&amp; " / " &amp; TEXT(HLG_01[[#This Row],[Rit]],"000")</f>
        <v>061 / 009</v>
      </c>
      <c r="J608" s="34"/>
      <c r="K608" s="38"/>
      <c r="L608" s="35"/>
      <c r="M608" s="85"/>
      <c r="N608" s="85"/>
      <c r="O608" s="85"/>
      <c r="P608" s="85"/>
      <c r="Q608" s="85"/>
      <c r="R608" s="85"/>
      <c r="S608" s="98"/>
      <c r="T608" s="98"/>
      <c r="U608" s="98"/>
      <c r="V608" s="95"/>
      <c r="W608" s="95"/>
      <c r="X608" s="85"/>
      <c r="AP608" t="str">
        <v/>
      </c>
      <c r="AQ608" t="str">
        <v/>
      </c>
      <c r="AR608" t="str">
        <v/>
      </c>
      <c r="AS608" t="str">
        <v/>
      </c>
      <c r="AT608" t="str">
        <v/>
      </c>
      <c r="AU608" t="str">
        <v/>
      </c>
      <c r="AV608" t="str">
        <v/>
      </c>
      <c r="AW608" t="str">
        <v/>
      </c>
    </row>
    <row r="609" spans="4:49" ht="15.75" x14ac:dyDescent="0.25">
      <c r="D609" s="3">
        <v>33</v>
      </c>
      <c r="F609" s="16" cm="1">
        <f t="array" ref="F6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09" s="31" cm="1">
        <f t="array" ref="G6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60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09" s="32" t="str">
        <f>TEXT(HLG_01[[#This Row],[Batch]],"000")&amp; " / " &amp; TEXT(HLG_01[[#This Row],[Rit]],"000")</f>
        <v>061 / 010</v>
      </c>
      <c r="J609" s="34"/>
      <c r="K609" s="38"/>
      <c r="L609" s="35"/>
      <c r="M609" s="85"/>
      <c r="N609" s="85"/>
      <c r="O609" s="85"/>
      <c r="P609" s="85"/>
      <c r="Q609" s="85"/>
      <c r="R609" s="85"/>
      <c r="S609" s="98"/>
      <c r="T609" s="98"/>
      <c r="U609" s="98"/>
      <c r="V609" s="95"/>
      <c r="W609" s="95"/>
      <c r="X609" s="85"/>
      <c r="AP609" t="str">
        <v/>
      </c>
      <c r="AQ609" t="str">
        <v/>
      </c>
      <c r="AR609" t="str">
        <v/>
      </c>
      <c r="AS609" t="str">
        <v/>
      </c>
      <c r="AT609" t="str">
        <v/>
      </c>
      <c r="AU609" t="str">
        <v/>
      </c>
      <c r="AV609" t="str">
        <v/>
      </c>
      <c r="AW609" t="str">
        <v/>
      </c>
    </row>
    <row r="610" spans="4:49" ht="15.75" x14ac:dyDescent="0.25">
      <c r="D610" s="3">
        <v>33</v>
      </c>
      <c r="F610" s="16" cm="1">
        <f t="array" ref="F6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10" s="31" cm="1">
        <f t="array" ref="G6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61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10" s="32" t="str">
        <f>TEXT(HLG_01[[#This Row],[Batch]],"000")&amp; " / " &amp; TEXT(HLG_01[[#This Row],[Rit]],"000")</f>
        <v>061 / 011</v>
      </c>
      <c r="J610" s="34"/>
      <c r="K610" s="38"/>
      <c r="L610" s="35"/>
      <c r="M610" s="85"/>
      <c r="N610" s="85"/>
      <c r="O610" s="85"/>
      <c r="P610" s="85"/>
      <c r="Q610" s="85"/>
      <c r="R610" s="85"/>
      <c r="S610" s="98"/>
      <c r="T610" s="98"/>
      <c r="U610" s="98"/>
      <c r="V610" s="95"/>
      <c r="W610" s="95"/>
      <c r="X610" s="85"/>
      <c r="AP610" t="str">
        <v/>
      </c>
      <c r="AQ610" t="str">
        <v/>
      </c>
      <c r="AR610" t="str">
        <v/>
      </c>
      <c r="AS610" t="str">
        <v/>
      </c>
      <c r="AT610" t="str">
        <v/>
      </c>
      <c r="AU610" t="str">
        <v/>
      </c>
      <c r="AV610" t="str">
        <v/>
      </c>
      <c r="AW610" t="str">
        <v/>
      </c>
    </row>
    <row r="611" spans="4:49" ht="15.75" x14ac:dyDescent="0.25">
      <c r="D611" s="3">
        <v>33</v>
      </c>
      <c r="F611" s="16" cm="1">
        <f t="array" ref="F6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11" s="31" cm="1">
        <f t="array" ref="G6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61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11" s="32" t="str">
        <f>TEXT(HLG_01[[#This Row],[Batch]],"000")&amp; " / " &amp; TEXT(HLG_01[[#This Row],[Rit]],"000")</f>
        <v>061 / 012</v>
      </c>
      <c r="J611" s="34"/>
      <c r="K611" s="38"/>
      <c r="L611" s="35"/>
      <c r="M611" s="85"/>
      <c r="N611" s="85"/>
      <c r="O611" s="85"/>
      <c r="P611" s="85"/>
      <c r="Q611" s="85"/>
      <c r="R611" s="85"/>
      <c r="S611" s="98"/>
      <c r="T611" s="98"/>
      <c r="U611" s="98"/>
      <c r="V611" s="95"/>
      <c r="W611" s="95"/>
      <c r="X611" s="85"/>
      <c r="AP611" t="str">
        <v/>
      </c>
      <c r="AQ611" t="str">
        <v/>
      </c>
      <c r="AR611" t="str">
        <v/>
      </c>
      <c r="AS611" t="str">
        <v/>
      </c>
      <c r="AT611" t="str">
        <v/>
      </c>
      <c r="AU611" t="str">
        <v/>
      </c>
      <c r="AV611" t="str">
        <v/>
      </c>
      <c r="AW611" t="str">
        <v/>
      </c>
    </row>
    <row r="612" spans="4:49" ht="15.75" x14ac:dyDescent="0.25">
      <c r="D612" s="3">
        <v>33</v>
      </c>
      <c r="F612" s="16" cm="1">
        <f t="array" ref="F6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12" s="31" cm="1">
        <f t="array" ref="G6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61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12" s="32" t="str">
        <f>TEXT(HLG_01[[#This Row],[Batch]],"000")&amp; " / " &amp; TEXT(HLG_01[[#This Row],[Rit]],"000")</f>
        <v>061 / 013</v>
      </c>
      <c r="J612" s="34"/>
      <c r="K612" s="38"/>
      <c r="L612" s="35"/>
      <c r="M612" s="85"/>
      <c r="N612" s="85"/>
      <c r="O612" s="85"/>
      <c r="P612" s="85"/>
      <c r="Q612" s="85"/>
      <c r="R612" s="85"/>
      <c r="S612" s="98"/>
      <c r="T612" s="98"/>
      <c r="U612" s="98"/>
      <c r="V612" s="95"/>
      <c r="W612" s="95"/>
      <c r="X612" s="85"/>
      <c r="AP612" t="str">
        <v/>
      </c>
      <c r="AQ612" t="str">
        <v/>
      </c>
      <c r="AR612" t="str">
        <v/>
      </c>
      <c r="AS612" t="str">
        <v/>
      </c>
      <c r="AT612" t="str">
        <v/>
      </c>
      <c r="AU612" t="str">
        <v/>
      </c>
      <c r="AV612" t="str">
        <v/>
      </c>
      <c r="AW612" t="str">
        <v/>
      </c>
    </row>
    <row r="613" spans="4:49" ht="15.75" x14ac:dyDescent="0.25">
      <c r="D613" s="3">
        <v>33</v>
      </c>
      <c r="F613" s="16" cm="1">
        <f t="array" ref="F6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13" s="31" cm="1">
        <f t="array" ref="G6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61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13" s="32" t="str">
        <f>TEXT(HLG_01[[#This Row],[Batch]],"000")&amp; " / " &amp; TEXT(HLG_01[[#This Row],[Rit]],"000")</f>
        <v>061 / 014</v>
      </c>
      <c r="J613" s="34"/>
      <c r="K613" s="38"/>
      <c r="L613" s="35"/>
      <c r="M613" s="85"/>
      <c r="N613" s="85"/>
      <c r="O613" s="85"/>
      <c r="P613" s="85"/>
      <c r="Q613" s="85"/>
      <c r="R613" s="85"/>
      <c r="S613" s="98"/>
      <c r="T613" s="98"/>
      <c r="U613" s="98"/>
      <c r="V613" s="95"/>
      <c r="W613" s="95"/>
      <c r="X613" s="85"/>
      <c r="AP613" t="str">
        <v/>
      </c>
      <c r="AQ613" t="str">
        <v/>
      </c>
      <c r="AR613" t="str">
        <v/>
      </c>
      <c r="AS613" t="str">
        <v/>
      </c>
      <c r="AT613" t="str">
        <v/>
      </c>
      <c r="AU613" t="str">
        <v/>
      </c>
      <c r="AV613" t="str">
        <v/>
      </c>
      <c r="AW613" t="str">
        <v/>
      </c>
    </row>
    <row r="614" spans="4:49" ht="15.75" x14ac:dyDescent="0.25">
      <c r="D614" s="3">
        <v>33</v>
      </c>
      <c r="F614" s="16" cm="1">
        <f t="array" ref="F6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14" s="31" cm="1">
        <f t="array" ref="G6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61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14" s="32" t="str">
        <f>TEXT(HLG_01[[#This Row],[Batch]],"000")&amp; " / " &amp; TEXT(HLG_01[[#This Row],[Rit]],"000")</f>
        <v>061 / 015</v>
      </c>
      <c r="J614" s="34"/>
      <c r="K614" s="38"/>
      <c r="L614" s="35"/>
      <c r="M614" s="85"/>
      <c r="N614" s="85"/>
      <c r="O614" s="85"/>
      <c r="P614" s="85"/>
      <c r="Q614" s="85"/>
      <c r="R614" s="85"/>
      <c r="S614" s="98"/>
      <c r="T614" s="98"/>
      <c r="U614" s="98"/>
      <c r="V614" s="95"/>
      <c r="W614" s="95"/>
      <c r="X614" s="85"/>
      <c r="AP614" t="str">
        <v/>
      </c>
      <c r="AQ614" t="str">
        <v/>
      </c>
      <c r="AR614" t="str">
        <v/>
      </c>
      <c r="AS614" t="str">
        <v/>
      </c>
      <c r="AT614" t="str">
        <v/>
      </c>
      <c r="AU614" t="str">
        <v/>
      </c>
      <c r="AV614" t="str">
        <v/>
      </c>
      <c r="AW614" t="str">
        <v/>
      </c>
    </row>
    <row r="615" spans="4:49" ht="15.75" x14ac:dyDescent="0.25">
      <c r="D615" s="3">
        <v>33</v>
      </c>
      <c r="F615" s="16" cm="1">
        <f t="array" ref="F6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15" s="31" cm="1">
        <f t="array" ref="G6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61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15" s="32" t="str">
        <f>TEXT(HLG_01[[#This Row],[Batch]],"000")&amp; " / " &amp; TEXT(HLG_01[[#This Row],[Rit]],"000")</f>
        <v>061 / 016</v>
      </c>
      <c r="J615" s="34"/>
      <c r="K615" s="38"/>
      <c r="L615" s="35"/>
      <c r="M615" s="85"/>
      <c r="N615" s="85"/>
      <c r="O615" s="85"/>
      <c r="P615" s="85"/>
      <c r="Q615" s="85"/>
      <c r="R615" s="85"/>
      <c r="S615" s="98"/>
      <c r="T615" s="98"/>
      <c r="U615" s="98"/>
      <c r="V615" s="95"/>
      <c r="W615" s="95"/>
      <c r="X615" s="85"/>
      <c r="AP615" t="str">
        <v/>
      </c>
      <c r="AQ615" t="str">
        <v/>
      </c>
      <c r="AR615" t="str">
        <v/>
      </c>
      <c r="AS615" t="str">
        <v/>
      </c>
      <c r="AT615" t="str">
        <v/>
      </c>
      <c r="AU615" t="str">
        <v/>
      </c>
      <c r="AV615" t="str">
        <v/>
      </c>
      <c r="AW615" t="str">
        <v/>
      </c>
    </row>
    <row r="616" spans="4:49" ht="15.75" x14ac:dyDescent="0.25">
      <c r="D616" s="3">
        <v>33</v>
      </c>
      <c r="F616" s="16" cm="1">
        <f t="array" ref="F6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16" s="31" cm="1">
        <f t="array" ref="G6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61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16" s="32" t="str">
        <f>TEXT(HLG_01[[#This Row],[Batch]],"000")&amp; " / " &amp; TEXT(HLG_01[[#This Row],[Rit]],"000")</f>
        <v>061 / 017</v>
      </c>
      <c r="J616" s="34"/>
      <c r="K616" s="38"/>
      <c r="L616" s="35"/>
      <c r="M616" s="85"/>
      <c r="N616" s="85"/>
      <c r="O616" s="85"/>
      <c r="P616" s="85"/>
      <c r="Q616" s="85"/>
      <c r="R616" s="85"/>
      <c r="S616" s="98"/>
      <c r="T616" s="98"/>
      <c r="U616" s="98"/>
      <c r="V616" s="95"/>
      <c r="W616" s="95"/>
      <c r="X616" s="85"/>
      <c r="AP616" t="str">
        <v/>
      </c>
      <c r="AQ616" t="str">
        <v/>
      </c>
      <c r="AR616" t="str">
        <v/>
      </c>
      <c r="AS616" t="str">
        <v/>
      </c>
      <c r="AT616" t="str">
        <v/>
      </c>
      <c r="AU616" t="str">
        <v/>
      </c>
      <c r="AV616" t="str">
        <v/>
      </c>
      <c r="AW616" t="str">
        <v/>
      </c>
    </row>
    <row r="617" spans="4:49" ht="15.75" x14ac:dyDescent="0.25">
      <c r="D617" s="3">
        <v>33</v>
      </c>
      <c r="F617" s="16" cm="1">
        <f t="array" ref="F6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17" s="31" cm="1">
        <f t="array" ref="G6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61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17" s="32" t="str">
        <f>TEXT(HLG_01[[#This Row],[Batch]],"000")&amp; " / " &amp; TEXT(HLG_01[[#This Row],[Rit]],"000")</f>
        <v>061 / 018</v>
      </c>
      <c r="J617" s="34"/>
      <c r="K617" s="38"/>
      <c r="L617" s="35"/>
      <c r="M617" s="85"/>
      <c r="N617" s="85"/>
      <c r="O617" s="85"/>
      <c r="P617" s="85"/>
      <c r="Q617" s="85"/>
      <c r="R617" s="85"/>
      <c r="S617" s="98"/>
      <c r="T617" s="98"/>
      <c r="U617" s="98"/>
      <c r="V617" s="95"/>
      <c r="W617" s="95"/>
      <c r="X617" s="85"/>
      <c r="AP617" t="str">
        <v/>
      </c>
      <c r="AQ617" t="str">
        <v/>
      </c>
      <c r="AR617" t="str">
        <v/>
      </c>
      <c r="AS617" t="str">
        <v/>
      </c>
      <c r="AT617" t="str">
        <v/>
      </c>
      <c r="AU617" t="str">
        <v/>
      </c>
      <c r="AV617" t="str">
        <v/>
      </c>
      <c r="AW617" t="str">
        <v/>
      </c>
    </row>
    <row r="618" spans="4:49" ht="15.75" x14ac:dyDescent="0.25">
      <c r="D618" s="3">
        <v>33</v>
      </c>
      <c r="F618" s="16" cm="1">
        <f t="array" ref="F6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18" s="31" cm="1">
        <f t="array" ref="G6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61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18" s="32" t="str">
        <f>TEXT(HLG_01[[#This Row],[Batch]],"000")&amp; " / " &amp; TEXT(HLG_01[[#This Row],[Rit]],"000")</f>
        <v>061 / 019</v>
      </c>
      <c r="J618" s="34"/>
      <c r="K618" s="38"/>
      <c r="L618" s="35"/>
      <c r="M618" s="85"/>
      <c r="N618" s="85"/>
      <c r="O618" s="85"/>
      <c r="P618" s="85"/>
      <c r="Q618" s="85"/>
      <c r="R618" s="85"/>
      <c r="S618" s="98"/>
      <c r="T618" s="98"/>
      <c r="U618" s="98"/>
      <c r="V618" s="95"/>
      <c r="W618" s="95"/>
      <c r="X618" s="85"/>
      <c r="AP618" t="str">
        <v/>
      </c>
      <c r="AQ618" t="str">
        <v/>
      </c>
      <c r="AR618" t="str">
        <v/>
      </c>
      <c r="AS618" t="str">
        <v/>
      </c>
      <c r="AT618" t="str">
        <v/>
      </c>
      <c r="AU618" t="str">
        <v/>
      </c>
      <c r="AV618" t="str">
        <v/>
      </c>
      <c r="AW618" t="str">
        <v/>
      </c>
    </row>
    <row r="619" spans="4:49" ht="15.75" x14ac:dyDescent="0.25">
      <c r="D619" s="3">
        <v>33</v>
      </c>
      <c r="F619" s="16" cm="1">
        <f t="array" ref="F6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61</v>
      </c>
      <c r="G619" s="31" cm="1">
        <f t="array" ref="G6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61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19" s="32" t="str">
        <f>TEXT(HLG_01[[#This Row],[Batch]],"000")&amp; " / " &amp; TEXT(HLG_01[[#This Row],[Rit]],"000")</f>
        <v>061 / 020</v>
      </c>
      <c r="J619" s="34"/>
      <c r="K619" s="38"/>
      <c r="L619" s="35"/>
      <c r="M619" s="85"/>
      <c r="N619" s="85"/>
      <c r="O619" s="85"/>
      <c r="P619" s="85"/>
      <c r="Q619" s="85"/>
      <c r="R619" s="85"/>
      <c r="S619" s="98"/>
      <c r="T619" s="98"/>
      <c r="U619" s="98"/>
      <c r="V619" s="95"/>
      <c r="W619" s="95"/>
      <c r="X619" s="85"/>
      <c r="AP619" t="str">
        <v/>
      </c>
      <c r="AQ619" t="str">
        <v/>
      </c>
      <c r="AR619" t="str">
        <v/>
      </c>
      <c r="AS619" t="str">
        <v/>
      </c>
      <c r="AT619" t="str">
        <v/>
      </c>
      <c r="AU619" t="str">
        <v/>
      </c>
      <c r="AV619" t="str">
        <v/>
      </c>
      <c r="AW619" t="str">
        <v/>
      </c>
    </row>
    <row r="620" spans="4:49" ht="15.75" x14ac:dyDescent="0.25">
      <c r="D620" s="3">
        <v>34</v>
      </c>
      <c r="F620" s="16" cm="1">
        <f t="array" ref="F6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20" s="31" cm="1">
        <f t="array" ref="G6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62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20" s="32" t="str">
        <f>TEXT(HLG_01[[#This Row],[Batch]],"000")&amp; " / " &amp; TEXT(HLG_01[[#This Row],[Rit]],"000")</f>
        <v>062 / 001</v>
      </c>
      <c r="J620" s="34"/>
      <c r="K620" s="38"/>
      <c r="L620" s="35"/>
      <c r="M620" s="85"/>
      <c r="N620" s="85"/>
      <c r="O620" s="85"/>
      <c r="P620" s="85"/>
      <c r="Q620" s="85"/>
      <c r="R620" s="85"/>
      <c r="S620" s="98"/>
      <c r="T620" s="98"/>
      <c r="U620" s="98"/>
      <c r="V620" s="95"/>
      <c r="W620" s="95"/>
      <c r="X620" s="85"/>
      <c r="AP620" t="str">
        <v/>
      </c>
      <c r="AQ620" t="str">
        <v/>
      </c>
      <c r="AR620" t="str">
        <v/>
      </c>
      <c r="AS620" t="str">
        <v/>
      </c>
      <c r="AT620" t="str">
        <v/>
      </c>
      <c r="AU620" t="str">
        <v/>
      </c>
      <c r="AV620" t="str">
        <v/>
      </c>
      <c r="AW620" t="str">
        <v/>
      </c>
    </row>
    <row r="621" spans="4:49" ht="15.75" x14ac:dyDescent="0.25">
      <c r="D621" s="3">
        <v>34</v>
      </c>
      <c r="F621" s="16" cm="1">
        <f t="array" ref="F6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21" s="31" cm="1">
        <f t="array" ref="G6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62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21" s="32" t="str">
        <f>TEXT(HLG_01[[#This Row],[Batch]],"000")&amp; " / " &amp; TEXT(HLG_01[[#This Row],[Rit]],"000")</f>
        <v>062 / 002</v>
      </c>
      <c r="J621" s="34"/>
      <c r="K621" s="38"/>
      <c r="L621" s="35"/>
      <c r="M621" s="85"/>
      <c r="N621" s="85"/>
      <c r="O621" s="85"/>
      <c r="P621" s="85"/>
      <c r="Q621" s="85"/>
      <c r="R621" s="85"/>
      <c r="S621" s="98"/>
      <c r="T621" s="98"/>
      <c r="U621" s="98"/>
      <c r="V621" s="95"/>
      <c r="W621" s="95"/>
      <c r="X621" s="85"/>
      <c r="AP621" t="str">
        <v/>
      </c>
      <c r="AQ621" t="str">
        <v/>
      </c>
      <c r="AR621" t="str">
        <v/>
      </c>
      <c r="AS621" t="str">
        <v/>
      </c>
      <c r="AT621" t="str">
        <v/>
      </c>
      <c r="AU621" t="str">
        <v/>
      </c>
      <c r="AV621" t="str">
        <v/>
      </c>
      <c r="AW621" t="str">
        <v/>
      </c>
    </row>
    <row r="622" spans="4:49" ht="15.75" x14ac:dyDescent="0.25">
      <c r="D622" s="3">
        <v>34</v>
      </c>
      <c r="F622" s="16" cm="1">
        <f t="array" ref="F6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22" s="31" cm="1">
        <f t="array" ref="G6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62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22" s="32" t="str">
        <f>TEXT(HLG_01[[#This Row],[Batch]],"000")&amp; " / " &amp; TEXT(HLG_01[[#This Row],[Rit]],"000")</f>
        <v>062 / 003</v>
      </c>
      <c r="J622" s="34"/>
      <c r="K622" s="38"/>
      <c r="L622" s="35"/>
      <c r="M622" s="85"/>
      <c r="N622" s="85"/>
      <c r="O622" s="85"/>
      <c r="P622" s="85"/>
      <c r="Q622" s="85"/>
      <c r="R622" s="85"/>
      <c r="S622" s="98"/>
      <c r="T622" s="98"/>
      <c r="U622" s="98"/>
      <c r="V622" s="95"/>
      <c r="W622" s="95"/>
      <c r="X622" s="85"/>
      <c r="AP622" t="str">
        <v/>
      </c>
      <c r="AQ622" t="str">
        <v/>
      </c>
      <c r="AR622" t="str">
        <v/>
      </c>
      <c r="AS622" t="str">
        <v/>
      </c>
      <c r="AT622" t="str">
        <v/>
      </c>
      <c r="AU622" t="str">
        <v/>
      </c>
      <c r="AV622" t="str">
        <v/>
      </c>
      <c r="AW622" t="str">
        <v/>
      </c>
    </row>
    <row r="623" spans="4:49" ht="15.75" x14ac:dyDescent="0.25">
      <c r="D623" s="3">
        <v>34</v>
      </c>
      <c r="F623" s="16" cm="1">
        <f t="array" ref="F6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23" s="31" cm="1">
        <f t="array" ref="G6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62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23" s="32" t="str">
        <f>TEXT(HLG_01[[#This Row],[Batch]],"000")&amp; " / " &amp; TEXT(HLG_01[[#This Row],[Rit]],"000")</f>
        <v>062 / 004</v>
      </c>
      <c r="J623" s="34"/>
      <c r="K623" s="38"/>
      <c r="L623" s="35"/>
      <c r="M623" s="85"/>
      <c r="N623" s="85"/>
      <c r="O623" s="85"/>
      <c r="P623" s="85"/>
      <c r="Q623" s="85"/>
      <c r="R623" s="85"/>
      <c r="S623" s="98"/>
      <c r="T623" s="98"/>
      <c r="U623" s="98"/>
      <c r="V623" s="95"/>
      <c r="W623" s="95"/>
      <c r="X623" s="85"/>
      <c r="AP623" t="str">
        <v/>
      </c>
      <c r="AQ623" t="str">
        <v/>
      </c>
      <c r="AR623" t="str">
        <v/>
      </c>
      <c r="AS623" t="str">
        <v/>
      </c>
      <c r="AT623" t="str">
        <v/>
      </c>
      <c r="AU623" t="str">
        <v/>
      </c>
      <c r="AV623" t="str">
        <v/>
      </c>
      <c r="AW623" t="str">
        <v/>
      </c>
    </row>
    <row r="624" spans="4:49" ht="15.75" x14ac:dyDescent="0.25">
      <c r="D624" s="3">
        <v>34</v>
      </c>
      <c r="F624" s="16" cm="1">
        <f t="array" ref="F6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24" s="31" cm="1">
        <f t="array" ref="G6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62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24" s="32" t="str">
        <f>TEXT(HLG_01[[#This Row],[Batch]],"000")&amp; " / " &amp; TEXT(HLG_01[[#This Row],[Rit]],"000")</f>
        <v>062 / 005</v>
      </c>
      <c r="J624" s="34"/>
      <c r="K624" s="38"/>
      <c r="L624" s="35"/>
      <c r="M624" s="85"/>
      <c r="N624" s="85"/>
      <c r="O624" s="85"/>
      <c r="P624" s="85"/>
      <c r="Q624" s="85"/>
      <c r="R624" s="85"/>
      <c r="S624" s="98"/>
      <c r="T624" s="98"/>
      <c r="U624" s="98"/>
      <c r="V624" s="95"/>
      <c r="W624" s="95"/>
      <c r="X624" s="85"/>
      <c r="AP624" t="str">
        <v/>
      </c>
      <c r="AQ624" t="str">
        <v/>
      </c>
      <c r="AR624" t="str">
        <v/>
      </c>
      <c r="AS624" t="str">
        <v/>
      </c>
      <c r="AT624" t="str">
        <v/>
      </c>
      <c r="AU624" t="str">
        <v/>
      </c>
      <c r="AV624" t="str">
        <v/>
      </c>
      <c r="AW624" t="str">
        <v/>
      </c>
    </row>
    <row r="625" spans="4:49" ht="15.75" x14ac:dyDescent="0.25">
      <c r="D625" s="3">
        <v>34</v>
      </c>
      <c r="F625" s="16" cm="1">
        <f t="array" ref="F6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25" s="31" cm="1">
        <f t="array" ref="G6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62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25" s="32" t="str">
        <f>TEXT(HLG_01[[#This Row],[Batch]],"000")&amp; " / " &amp; TEXT(HLG_01[[#This Row],[Rit]],"000")</f>
        <v>062 / 006</v>
      </c>
      <c r="J625" s="34"/>
      <c r="K625" s="38"/>
      <c r="L625" s="35"/>
      <c r="M625" s="85"/>
      <c r="N625" s="85"/>
      <c r="O625" s="85"/>
      <c r="P625" s="85"/>
      <c r="Q625" s="85"/>
      <c r="R625" s="85"/>
      <c r="S625" s="98"/>
      <c r="T625" s="98"/>
      <c r="U625" s="98"/>
      <c r="V625" s="95"/>
      <c r="W625" s="95"/>
      <c r="X625" s="85"/>
      <c r="AP625" t="str">
        <v/>
      </c>
      <c r="AQ625" t="str">
        <v/>
      </c>
      <c r="AR625" t="str">
        <v/>
      </c>
      <c r="AS625" t="str">
        <v/>
      </c>
      <c r="AT625" t="str">
        <v/>
      </c>
      <c r="AU625" t="str">
        <v/>
      </c>
      <c r="AV625" t="str">
        <v/>
      </c>
      <c r="AW625" t="str">
        <v/>
      </c>
    </row>
    <row r="626" spans="4:49" ht="15.75" x14ac:dyDescent="0.25">
      <c r="D626" s="3">
        <v>34</v>
      </c>
      <c r="F626" s="16" cm="1">
        <f t="array" ref="F6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26" s="31" cm="1">
        <f t="array" ref="G6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62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26" s="32" t="str">
        <f>TEXT(HLG_01[[#This Row],[Batch]],"000")&amp; " / " &amp; TEXT(HLG_01[[#This Row],[Rit]],"000")</f>
        <v>062 / 007</v>
      </c>
      <c r="J626" s="34"/>
      <c r="K626" s="38"/>
      <c r="L626" s="35"/>
      <c r="M626" s="85"/>
      <c r="N626" s="85"/>
      <c r="O626" s="85"/>
      <c r="P626" s="85"/>
      <c r="Q626" s="85"/>
      <c r="R626" s="85"/>
      <c r="S626" s="98"/>
      <c r="T626" s="98"/>
      <c r="U626" s="98"/>
      <c r="V626" s="95"/>
      <c r="W626" s="95"/>
      <c r="X626" s="85"/>
      <c r="AP626" t="str">
        <v/>
      </c>
      <c r="AQ626" t="str">
        <v/>
      </c>
      <c r="AR626" t="str">
        <v/>
      </c>
      <c r="AS626" t="str">
        <v/>
      </c>
      <c r="AT626" t="str">
        <v/>
      </c>
      <c r="AU626" t="str">
        <v/>
      </c>
      <c r="AV626" t="str">
        <v/>
      </c>
      <c r="AW626" t="str">
        <v/>
      </c>
    </row>
    <row r="627" spans="4:49" ht="15.75" x14ac:dyDescent="0.25">
      <c r="D627" s="3">
        <v>34</v>
      </c>
      <c r="F627" s="16" cm="1">
        <f t="array" ref="F6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27" s="31" cm="1">
        <f t="array" ref="G6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62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27" s="32" t="str">
        <f>TEXT(HLG_01[[#This Row],[Batch]],"000")&amp; " / " &amp; TEXT(HLG_01[[#This Row],[Rit]],"000")</f>
        <v>062 / 008</v>
      </c>
      <c r="J627" s="34"/>
      <c r="K627" s="38"/>
      <c r="L627" s="35"/>
      <c r="M627" s="85"/>
      <c r="N627" s="85"/>
      <c r="O627" s="85"/>
      <c r="P627" s="85"/>
      <c r="Q627" s="85"/>
      <c r="R627" s="85"/>
      <c r="S627" s="98"/>
      <c r="T627" s="98"/>
      <c r="U627" s="98"/>
      <c r="V627" s="95"/>
      <c r="W627" s="95"/>
      <c r="X627" s="85"/>
      <c r="AP627" t="str">
        <v/>
      </c>
      <c r="AQ627" t="str">
        <v/>
      </c>
      <c r="AR627" t="str">
        <v/>
      </c>
      <c r="AS627" t="str">
        <v/>
      </c>
      <c r="AT627" t="str">
        <v/>
      </c>
      <c r="AU627" t="str">
        <v/>
      </c>
      <c r="AV627" t="str">
        <v/>
      </c>
      <c r="AW627" t="str">
        <v/>
      </c>
    </row>
    <row r="628" spans="4:49" ht="15.75" x14ac:dyDescent="0.25">
      <c r="D628" s="3">
        <v>34</v>
      </c>
      <c r="F628" s="16" cm="1">
        <f t="array" ref="F6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28" s="31" cm="1">
        <f t="array" ref="G6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62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28" s="32" t="str">
        <f>TEXT(HLG_01[[#This Row],[Batch]],"000")&amp; " / " &amp; TEXT(HLG_01[[#This Row],[Rit]],"000")</f>
        <v>062 / 009</v>
      </c>
      <c r="J628" s="34"/>
      <c r="K628" s="38"/>
      <c r="L628" s="35"/>
      <c r="M628" s="85"/>
      <c r="N628" s="85"/>
      <c r="O628" s="85"/>
      <c r="P628" s="85"/>
      <c r="Q628" s="85"/>
      <c r="R628" s="85"/>
      <c r="S628" s="98"/>
      <c r="T628" s="98"/>
      <c r="U628" s="98"/>
      <c r="V628" s="95"/>
      <c r="W628" s="95"/>
      <c r="X628" s="85"/>
      <c r="AP628" t="str">
        <v/>
      </c>
      <c r="AQ628" t="str">
        <v/>
      </c>
      <c r="AR628" t="str">
        <v/>
      </c>
      <c r="AS628" t="str">
        <v/>
      </c>
      <c r="AT628" t="str">
        <v/>
      </c>
      <c r="AU628" t="str">
        <v/>
      </c>
      <c r="AV628" t="str">
        <v/>
      </c>
      <c r="AW628" t="str">
        <v/>
      </c>
    </row>
    <row r="629" spans="4:49" ht="15.75" x14ac:dyDescent="0.25">
      <c r="D629" s="3">
        <v>34</v>
      </c>
      <c r="F629" s="16" cm="1">
        <f t="array" ref="F6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29" s="31" cm="1">
        <f t="array" ref="G6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629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29" s="32" t="str">
        <f>TEXT(HLG_01[[#This Row],[Batch]],"000")&amp; " / " &amp; TEXT(HLG_01[[#This Row],[Rit]],"000")</f>
        <v>062 / 010</v>
      </c>
      <c r="J629" s="34"/>
      <c r="K629" s="38"/>
      <c r="L629" s="35"/>
      <c r="M629" s="85"/>
      <c r="N629" s="85"/>
      <c r="O629" s="85"/>
      <c r="P629" s="85"/>
      <c r="Q629" s="85"/>
      <c r="R629" s="85"/>
      <c r="S629" s="98"/>
      <c r="T629" s="98"/>
      <c r="U629" s="98"/>
      <c r="V629" s="95"/>
      <c r="W629" s="95"/>
      <c r="X629" s="85"/>
      <c r="AP629" t="str">
        <v/>
      </c>
      <c r="AQ629" t="str">
        <v/>
      </c>
      <c r="AR629" t="str">
        <v/>
      </c>
      <c r="AS629" t="str">
        <v/>
      </c>
      <c r="AT629" t="str">
        <v/>
      </c>
      <c r="AU629" t="str">
        <v/>
      </c>
      <c r="AV629" t="str">
        <v/>
      </c>
      <c r="AW629" t="str">
        <v/>
      </c>
    </row>
    <row r="630" spans="4:49" ht="15.75" x14ac:dyDescent="0.25">
      <c r="D630" s="3">
        <v>34</v>
      </c>
      <c r="F630" s="16" cm="1">
        <f t="array" ref="F6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30" s="31" cm="1">
        <f t="array" ref="G6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630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30" s="32" t="str">
        <f>TEXT(HLG_01[[#This Row],[Batch]],"000")&amp; " / " &amp; TEXT(HLG_01[[#This Row],[Rit]],"000")</f>
        <v>062 / 011</v>
      </c>
      <c r="J630" s="34"/>
      <c r="K630" s="38"/>
      <c r="L630" s="35"/>
      <c r="M630" s="85"/>
      <c r="N630" s="85"/>
      <c r="O630" s="85"/>
      <c r="P630" s="85"/>
      <c r="Q630" s="85"/>
      <c r="R630" s="85"/>
      <c r="S630" s="98"/>
      <c r="T630" s="98"/>
      <c r="U630" s="98"/>
      <c r="V630" s="95"/>
      <c r="W630" s="95"/>
      <c r="X630" s="85"/>
      <c r="AP630" t="str">
        <v/>
      </c>
      <c r="AQ630" t="str">
        <v/>
      </c>
      <c r="AR630" t="str">
        <v/>
      </c>
      <c r="AS630" t="str">
        <v/>
      </c>
      <c r="AT630" t="str">
        <v/>
      </c>
      <c r="AU630" t="str">
        <v/>
      </c>
      <c r="AV630" t="str">
        <v/>
      </c>
      <c r="AW630" t="str">
        <v/>
      </c>
    </row>
    <row r="631" spans="4:49" ht="15.75" x14ac:dyDescent="0.25">
      <c r="D631" s="3">
        <v>34</v>
      </c>
      <c r="F631" s="16" cm="1">
        <f t="array" ref="F6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31" s="31" cm="1">
        <f t="array" ref="G6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631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31" s="32" t="str">
        <f>TEXT(HLG_01[[#This Row],[Batch]],"000")&amp; " / " &amp; TEXT(HLG_01[[#This Row],[Rit]],"000")</f>
        <v>062 / 012</v>
      </c>
      <c r="J631" s="34"/>
      <c r="K631" s="38"/>
      <c r="L631" s="35"/>
      <c r="M631" s="85"/>
      <c r="N631" s="85"/>
      <c r="O631" s="85"/>
      <c r="P631" s="85"/>
      <c r="Q631" s="85"/>
      <c r="R631" s="85"/>
      <c r="S631" s="98"/>
      <c r="T631" s="98"/>
      <c r="U631" s="98"/>
      <c r="V631" s="95"/>
      <c r="W631" s="95"/>
      <c r="X631" s="85"/>
      <c r="AP631" t="str">
        <v/>
      </c>
      <c r="AQ631" t="str">
        <v/>
      </c>
      <c r="AR631" t="str">
        <v/>
      </c>
      <c r="AS631" t="str">
        <v/>
      </c>
      <c r="AT631" t="str">
        <v/>
      </c>
      <c r="AU631" t="str">
        <v/>
      </c>
      <c r="AV631" t="str">
        <v/>
      </c>
      <c r="AW631" t="str">
        <v/>
      </c>
    </row>
    <row r="632" spans="4:49" ht="15.75" x14ac:dyDescent="0.25">
      <c r="D632" s="3">
        <v>34</v>
      </c>
      <c r="F632" s="16" cm="1">
        <f t="array" ref="F6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32" s="31" cm="1">
        <f t="array" ref="G6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632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32" s="32" t="str">
        <f>TEXT(HLG_01[[#This Row],[Batch]],"000")&amp; " / " &amp; TEXT(HLG_01[[#This Row],[Rit]],"000")</f>
        <v>062 / 013</v>
      </c>
      <c r="J632" s="34"/>
      <c r="K632" s="38"/>
      <c r="L632" s="35"/>
      <c r="M632" s="85"/>
      <c r="N632" s="85"/>
      <c r="O632" s="85"/>
      <c r="P632" s="85"/>
      <c r="Q632" s="85"/>
      <c r="R632" s="85"/>
      <c r="S632" s="98"/>
      <c r="T632" s="98"/>
      <c r="U632" s="98"/>
      <c r="V632" s="95"/>
      <c r="W632" s="95"/>
      <c r="X632" s="85"/>
      <c r="AP632" t="str">
        <v/>
      </c>
      <c r="AQ632" t="str">
        <v/>
      </c>
      <c r="AR632" t="str">
        <v/>
      </c>
      <c r="AS632" t="str">
        <v/>
      </c>
      <c r="AT632" t="str">
        <v/>
      </c>
      <c r="AU632" t="str">
        <v/>
      </c>
      <c r="AV632" t="str">
        <v/>
      </c>
      <c r="AW632" t="str">
        <v/>
      </c>
    </row>
    <row r="633" spans="4:49" ht="15.75" x14ac:dyDescent="0.25">
      <c r="D633" s="3">
        <v>34</v>
      </c>
      <c r="F633" s="16" cm="1">
        <f t="array" ref="F6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33" s="31" cm="1">
        <f t="array" ref="G6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633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33" s="32" t="str">
        <f>TEXT(HLG_01[[#This Row],[Batch]],"000")&amp; " / " &amp; TEXT(HLG_01[[#This Row],[Rit]],"000")</f>
        <v>062 / 014</v>
      </c>
      <c r="J633" s="34"/>
      <c r="K633" s="38"/>
      <c r="L633" s="35"/>
      <c r="M633" s="85"/>
      <c r="N633" s="85"/>
      <c r="O633" s="85"/>
      <c r="P633" s="85"/>
      <c r="Q633" s="85"/>
      <c r="R633" s="85"/>
      <c r="S633" s="98"/>
      <c r="T633" s="98"/>
      <c r="U633" s="98"/>
      <c r="V633" s="95"/>
      <c r="W633" s="95"/>
      <c r="X633" s="85"/>
      <c r="AP633" t="str">
        <v/>
      </c>
      <c r="AQ633" t="str">
        <v/>
      </c>
      <c r="AR633" t="str">
        <v/>
      </c>
      <c r="AS633" t="str">
        <v/>
      </c>
      <c r="AT633" t="str">
        <v/>
      </c>
      <c r="AU633" t="str">
        <v/>
      </c>
      <c r="AV633" t="str">
        <v/>
      </c>
      <c r="AW633" t="str">
        <v/>
      </c>
    </row>
    <row r="634" spans="4:49" ht="15.75" x14ac:dyDescent="0.25">
      <c r="D634" s="3">
        <v>34</v>
      </c>
      <c r="F634" s="16" cm="1">
        <f t="array" ref="F6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34" s="31" cm="1">
        <f t="array" ref="G6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634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34" s="32" t="str">
        <f>TEXT(HLG_01[[#This Row],[Batch]],"000")&amp; " / " &amp; TEXT(HLG_01[[#This Row],[Rit]],"000")</f>
        <v>062 / 015</v>
      </c>
      <c r="J634" s="34"/>
      <c r="K634" s="38"/>
      <c r="L634" s="35"/>
      <c r="M634" s="85"/>
      <c r="N634" s="85"/>
      <c r="O634" s="85"/>
      <c r="P634" s="85"/>
      <c r="Q634" s="85"/>
      <c r="R634" s="85"/>
      <c r="S634" s="98"/>
      <c r="T634" s="98"/>
      <c r="U634" s="98"/>
      <c r="V634" s="95"/>
      <c r="W634" s="95"/>
      <c r="X634" s="85"/>
      <c r="AP634" t="str">
        <v/>
      </c>
      <c r="AQ634" t="str">
        <v/>
      </c>
      <c r="AR634" t="str">
        <v/>
      </c>
      <c r="AS634" t="str">
        <v/>
      </c>
      <c r="AT634" t="str">
        <v/>
      </c>
      <c r="AU634" t="str">
        <v/>
      </c>
      <c r="AV634" t="str">
        <v/>
      </c>
      <c r="AW634" t="str">
        <v/>
      </c>
    </row>
    <row r="635" spans="4:49" ht="15.75" x14ac:dyDescent="0.25">
      <c r="D635" s="3">
        <v>34</v>
      </c>
      <c r="F635" s="16" cm="1">
        <f t="array" ref="F6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35" s="31" cm="1">
        <f t="array" ref="G6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635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35" s="32" t="str">
        <f>TEXT(HLG_01[[#This Row],[Batch]],"000")&amp; " / " &amp; TEXT(HLG_01[[#This Row],[Rit]],"000")</f>
        <v>062 / 016</v>
      </c>
      <c r="J635" s="34"/>
      <c r="K635" s="38"/>
      <c r="L635" s="35"/>
      <c r="M635" s="85"/>
      <c r="N635" s="85"/>
      <c r="O635" s="85"/>
      <c r="P635" s="85"/>
      <c r="Q635" s="85"/>
      <c r="R635" s="85"/>
      <c r="S635" s="98"/>
      <c r="T635" s="98"/>
      <c r="U635" s="98"/>
      <c r="V635" s="95"/>
      <c r="W635" s="95"/>
      <c r="X635" s="85"/>
      <c r="AP635" t="str">
        <v/>
      </c>
      <c r="AQ635" t="str">
        <v/>
      </c>
      <c r="AR635" t="str">
        <v/>
      </c>
      <c r="AS635" t="str">
        <v/>
      </c>
      <c r="AT635" t="str">
        <v/>
      </c>
      <c r="AU635" t="str">
        <v/>
      </c>
      <c r="AV635" t="str">
        <v/>
      </c>
      <c r="AW635" t="str">
        <v/>
      </c>
    </row>
    <row r="636" spans="4:49" ht="15.75" x14ac:dyDescent="0.25">
      <c r="D636" s="3">
        <v>34</v>
      </c>
      <c r="F636" s="16" cm="1">
        <f t="array" ref="F6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36" s="31" cm="1">
        <f t="array" ref="G6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636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36" s="32" t="str">
        <f>TEXT(HLG_01[[#This Row],[Batch]],"000")&amp; " / " &amp; TEXT(HLG_01[[#This Row],[Rit]],"000")</f>
        <v>062 / 017</v>
      </c>
      <c r="J636" s="34"/>
      <c r="K636" s="38"/>
      <c r="L636" s="35"/>
      <c r="M636" s="85"/>
      <c r="N636" s="85"/>
      <c r="O636" s="85"/>
      <c r="P636" s="85"/>
      <c r="Q636" s="85"/>
      <c r="R636" s="85"/>
      <c r="S636" s="98"/>
      <c r="T636" s="98"/>
      <c r="U636" s="98"/>
      <c r="V636" s="95"/>
      <c r="W636" s="95"/>
      <c r="X636" s="85"/>
      <c r="AP636" t="str">
        <v/>
      </c>
      <c r="AQ636" t="str">
        <v/>
      </c>
      <c r="AR636" t="str">
        <v/>
      </c>
      <c r="AS636" t="str">
        <v/>
      </c>
      <c r="AT636" t="str">
        <v/>
      </c>
      <c r="AU636" t="str">
        <v/>
      </c>
      <c r="AV636" t="str">
        <v/>
      </c>
      <c r="AW636" t="str">
        <v/>
      </c>
    </row>
    <row r="637" spans="4:49" ht="15.75" x14ac:dyDescent="0.25">
      <c r="D637" s="3">
        <v>34</v>
      </c>
      <c r="F637" s="16" cm="1">
        <f t="array" ref="F6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37" s="31" cm="1">
        <f t="array" ref="G6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637" s="33" t="str">
        <f>_xlfn.LET( _xlpm.ore, _xlfn.XLOOKUP($I$2,Pile_area[pile_id],Pile_area[Ore]),
      _xlpm.incr,_xlfn.XLOOKUP($G$2,Int_Sample[Ore],Int_Sample[Inc]),
      _xlfn.IFNA(IF(MOD(HLG_01[[#This Row],[Rit]], _xlpm.incr) = 0, "YES", "NO"),""))</f>
        <v>YES</v>
      </c>
      <c r="I637" s="32" t="str">
        <f>TEXT(HLG_01[[#This Row],[Batch]],"000")&amp; " / " &amp; TEXT(HLG_01[[#This Row],[Rit]],"000")</f>
        <v>062 / 018</v>
      </c>
      <c r="J637" s="34"/>
      <c r="K637" s="38"/>
      <c r="L637" s="35"/>
      <c r="M637" s="85"/>
      <c r="N637" s="85"/>
      <c r="O637" s="85"/>
      <c r="P637" s="85"/>
      <c r="Q637" s="85"/>
      <c r="R637" s="85"/>
      <c r="S637" s="98"/>
      <c r="T637" s="98"/>
      <c r="U637" s="98"/>
      <c r="V637" s="95"/>
      <c r="W637" s="95"/>
      <c r="X637" s="85"/>
      <c r="AP637" t="str">
        <v/>
      </c>
      <c r="AQ637" t="str">
        <v/>
      </c>
      <c r="AR637" t="str">
        <v/>
      </c>
      <c r="AS637" t="str">
        <v/>
      </c>
      <c r="AT637" t="str">
        <v/>
      </c>
      <c r="AU637" t="str">
        <v/>
      </c>
      <c r="AV637" t="str">
        <v/>
      </c>
      <c r="AW637" t="str">
        <v/>
      </c>
    </row>
    <row r="638" spans="4:49" ht="15.75" x14ac:dyDescent="0.25">
      <c r="D638" s="3">
        <v>34</v>
      </c>
      <c r="F638" s="16" cm="1">
        <f t="array" ref="F6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62</v>
      </c>
      <c r="G638" s="31" cm="1">
        <f t="array" ref="G6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ROW(HLG_01[[#This Row],[Truck_ID]]) - ROW(HLG_01[#Headers]),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638" s="33" t="str">
        <f>_xlfn.LET( _xlpm.ore, _xlfn.XLOOKUP($I$2,Pile_area[pile_id],Pile_area[Ore]),
      _xlpm.incr,_xlfn.XLOOKUP($G$2,Int_Sample[Ore],Int_Sample[Inc]),
      _xlfn.IFNA(IF(MOD(HLG_01[[#This Row],[Rit]], _xlpm.incr) = 0, "YES", "NO"),""))</f>
        <v>NO</v>
      </c>
      <c r="I638" s="32" t="str">
        <f>TEXT(HLG_01[[#This Row],[Batch]],"000")&amp; " / " &amp; TEXT(HLG_01[[#This Row],[Rit]],"000")</f>
        <v>062 / 019</v>
      </c>
      <c r="J638" s="34"/>
      <c r="K638" s="38"/>
      <c r="L638" s="35"/>
      <c r="M638" s="85"/>
      <c r="N638" s="85"/>
      <c r="O638" s="85"/>
      <c r="P638" s="85"/>
      <c r="Q638" s="85"/>
      <c r="R638" s="85"/>
      <c r="S638" s="98"/>
      <c r="T638" s="98"/>
      <c r="U638" s="98"/>
      <c r="V638" s="95"/>
      <c r="W638" s="95"/>
      <c r="X638" s="85"/>
      <c r="AP638" t="str">
        <v/>
      </c>
      <c r="AQ638" t="str">
        <v/>
      </c>
      <c r="AR638" t="str">
        <v/>
      </c>
      <c r="AS638" t="str">
        <v/>
      </c>
      <c r="AT638" t="str">
        <v/>
      </c>
      <c r="AU638" t="str">
        <v/>
      </c>
      <c r="AV638" t="str">
        <v/>
      </c>
      <c r="AW638" t="str">
        <v/>
      </c>
    </row>
    <row r="639" spans="4:49" x14ac:dyDescent="0.25">
      <c r="I639" s="66"/>
      <c r="J639" s="66"/>
      <c r="K639" s="66"/>
      <c r="L639" s="66"/>
      <c r="M639" s="85"/>
      <c r="N639" s="85"/>
      <c r="O639" s="85"/>
      <c r="P639" s="85"/>
      <c r="Q639" s="85"/>
      <c r="R639" s="85"/>
      <c r="S639" s="98"/>
      <c r="T639" s="98"/>
      <c r="U639" s="98"/>
      <c r="V639" s="95"/>
      <c r="W639" s="95"/>
      <c r="X639" s="85"/>
    </row>
    <row r="640" spans="4:49" x14ac:dyDescent="0.25">
      <c r="I640" s="66"/>
      <c r="J640" s="66"/>
      <c r="K640" s="66"/>
      <c r="L640" s="66"/>
      <c r="M640" s="85"/>
      <c r="N640" s="85"/>
      <c r="O640" s="85"/>
      <c r="P640" s="85"/>
      <c r="Q640" s="85"/>
      <c r="R640" s="85"/>
      <c r="S640" s="98"/>
      <c r="T640" s="98"/>
      <c r="U640" s="98"/>
      <c r="V640" s="95"/>
      <c r="W640" s="95"/>
      <c r="X640" s="85"/>
    </row>
    <row r="641" spans="9:24" x14ac:dyDescent="0.25">
      <c r="I641" s="66"/>
      <c r="J641" s="66"/>
      <c r="K641" s="66"/>
      <c r="L641" s="66"/>
      <c r="M641" s="85"/>
      <c r="N641" s="85"/>
      <c r="O641" s="85"/>
      <c r="P641" s="85"/>
      <c r="Q641" s="85"/>
      <c r="R641" s="85"/>
      <c r="S641" s="98"/>
      <c r="T641" s="98"/>
      <c r="U641" s="98"/>
      <c r="V641" s="95"/>
      <c r="W641" s="95"/>
      <c r="X641" s="85"/>
    </row>
    <row r="642" spans="9:24" x14ac:dyDescent="0.25">
      <c r="I642" s="66"/>
      <c r="J642" s="66"/>
      <c r="K642" s="66"/>
      <c r="L642" s="66"/>
      <c r="M642" s="85"/>
      <c r="N642" s="85"/>
      <c r="O642" s="85"/>
      <c r="P642" s="85"/>
      <c r="Q642" s="85"/>
      <c r="R642" s="85"/>
      <c r="S642" s="98"/>
      <c r="T642" s="98"/>
      <c r="U642" s="98"/>
      <c r="V642" s="95"/>
      <c r="W642" s="95"/>
      <c r="X642" s="85"/>
    </row>
    <row r="643" spans="9:24" x14ac:dyDescent="0.25">
      <c r="I643" s="66"/>
      <c r="J643" s="66"/>
      <c r="K643" s="66"/>
      <c r="L643" s="66"/>
      <c r="M643" s="85"/>
      <c r="N643" s="85"/>
      <c r="O643" s="85"/>
      <c r="P643" s="85"/>
      <c r="Q643" s="85"/>
      <c r="R643" s="85"/>
      <c r="S643" s="98"/>
      <c r="T643" s="98"/>
      <c r="U643" s="98"/>
      <c r="V643" s="95"/>
      <c r="W643" s="95"/>
      <c r="X643" s="85"/>
    </row>
    <row r="644" spans="9:24" x14ac:dyDescent="0.25">
      <c r="I644" s="66"/>
      <c r="J644" s="66"/>
      <c r="K644" s="66"/>
      <c r="L644" s="66"/>
      <c r="M644" s="85"/>
      <c r="N644" s="85"/>
      <c r="O644" s="85"/>
      <c r="P644" s="85"/>
      <c r="Q644" s="85"/>
      <c r="R644" s="85"/>
      <c r="S644" s="98"/>
      <c r="T644" s="98"/>
      <c r="U644" s="98"/>
      <c r="V644" s="95"/>
      <c r="W644" s="95"/>
      <c r="X644" s="85"/>
    </row>
    <row r="645" spans="9:24" x14ac:dyDescent="0.25">
      <c r="I645" s="66"/>
      <c r="J645" s="66"/>
      <c r="K645" s="66"/>
      <c r="L645" s="66"/>
      <c r="M645" s="85"/>
      <c r="N645" s="85"/>
      <c r="O645" s="85"/>
      <c r="P645" s="85"/>
      <c r="Q645" s="85"/>
      <c r="R645" s="85"/>
      <c r="S645" s="98"/>
      <c r="T645" s="98"/>
      <c r="U645" s="98"/>
      <c r="V645" s="95"/>
      <c r="W645" s="95"/>
      <c r="X645" s="85"/>
    </row>
    <row r="646" spans="9:24" x14ac:dyDescent="0.25">
      <c r="I646" s="66"/>
      <c r="J646" s="66"/>
      <c r="K646" s="66"/>
      <c r="L646" s="66"/>
      <c r="M646" s="85"/>
      <c r="N646" s="85"/>
      <c r="O646" s="85"/>
      <c r="P646" s="85"/>
      <c r="Q646" s="85"/>
      <c r="R646" s="85"/>
      <c r="S646" s="98"/>
      <c r="T646" s="98"/>
      <c r="U646" s="98"/>
      <c r="V646" s="95"/>
      <c r="W646" s="95"/>
      <c r="X646" s="85"/>
    </row>
    <row r="647" spans="9:24" x14ac:dyDescent="0.25">
      <c r="I647" s="66"/>
      <c r="J647" s="66"/>
      <c r="K647" s="66"/>
      <c r="L647" s="66"/>
      <c r="M647" s="85"/>
      <c r="N647" s="85"/>
      <c r="O647" s="85"/>
      <c r="P647" s="85"/>
      <c r="Q647" s="85"/>
      <c r="R647" s="85"/>
      <c r="S647" s="98"/>
      <c r="T647" s="98"/>
      <c r="U647" s="98"/>
      <c r="V647" s="95"/>
      <c r="W647" s="95"/>
      <c r="X647" s="85"/>
    </row>
    <row r="648" spans="9:24" x14ac:dyDescent="0.25">
      <c r="I648" s="66"/>
      <c r="J648" s="66"/>
      <c r="K648" s="66"/>
      <c r="L648" s="66"/>
      <c r="M648" s="85"/>
      <c r="N648" s="85"/>
      <c r="O648" s="85"/>
      <c r="P648" s="85"/>
      <c r="Q648" s="85"/>
      <c r="R648" s="85"/>
      <c r="S648" s="98"/>
      <c r="T648" s="98"/>
      <c r="U648" s="98"/>
      <c r="V648" s="95"/>
      <c r="W648" s="95"/>
      <c r="X648" s="85"/>
    </row>
    <row r="649" spans="9:24" x14ac:dyDescent="0.25">
      <c r="I649" s="66"/>
      <c r="J649" s="66"/>
      <c r="K649" s="66"/>
      <c r="L649" s="66"/>
      <c r="M649" s="85"/>
      <c r="N649" s="85"/>
      <c r="O649" s="85"/>
      <c r="P649" s="85"/>
      <c r="Q649" s="85"/>
      <c r="R649" s="85"/>
      <c r="S649" s="98"/>
      <c r="T649" s="98"/>
      <c r="U649" s="98"/>
      <c r="V649" s="95"/>
      <c r="W649" s="95"/>
      <c r="X649" s="85"/>
    </row>
    <row r="650" spans="9:24" x14ac:dyDescent="0.25">
      <c r="I650" s="66"/>
      <c r="J650" s="66"/>
      <c r="K650" s="66"/>
      <c r="L650" s="66"/>
      <c r="M650" s="85"/>
      <c r="N650" s="85"/>
      <c r="O650" s="85"/>
      <c r="P650" s="85"/>
      <c r="Q650" s="85"/>
      <c r="R650" s="85"/>
      <c r="S650" s="98"/>
      <c r="T650" s="98"/>
      <c r="U650" s="98"/>
      <c r="V650" s="95"/>
      <c r="W650" s="95"/>
      <c r="X650" s="85"/>
    </row>
    <row r="651" spans="9:24" x14ac:dyDescent="0.25">
      <c r="I651" s="66"/>
      <c r="J651" s="66"/>
      <c r="K651" s="66"/>
      <c r="L651" s="66"/>
      <c r="M651" s="85"/>
      <c r="N651" s="85"/>
      <c r="O651" s="85"/>
      <c r="P651" s="85"/>
      <c r="Q651" s="85"/>
      <c r="R651" s="85"/>
      <c r="S651" s="98"/>
      <c r="T651" s="98"/>
      <c r="U651" s="98"/>
      <c r="V651" s="95"/>
      <c r="W651" s="95"/>
      <c r="X651" s="85"/>
    </row>
    <row r="652" spans="9:24" x14ac:dyDescent="0.25">
      <c r="I652" s="66"/>
      <c r="J652" s="66"/>
      <c r="K652" s="66"/>
      <c r="L652" s="66"/>
      <c r="M652" s="85"/>
      <c r="N652" s="85"/>
      <c r="O652" s="85"/>
      <c r="P652" s="85"/>
      <c r="Q652" s="85"/>
      <c r="R652" s="85"/>
      <c r="S652" s="98"/>
      <c r="T652" s="98"/>
      <c r="U652" s="98"/>
      <c r="V652" s="95"/>
      <c r="W652" s="95"/>
      <c r="X652" s="85"/>
    </row>
    <row r="653" spans="9:24" x14ac:dyDescent="0.25">
      <c r="I653" s="66"/>
      <c r="J653" s="66"/>
      <c r="K653" s="66"/>
      <c r="L653" s="66"/>
      <c r="M653" s="85"/>
      <c r="N653" s="85"/>
      <c r="O653" s="85"/>
      <c r="P653" s="85"/>
      <c r="Q653" s="85"/>
      <c r="R653" s="85"/>
      <c r="S653" s="98"/>
      <c r="T653" s="98"/>
      <c r="U653" s="98"/>
      <c r="V653" s="95"/>
      <c r="W653" s="95"/>
      <c r="X653" s="85"/>
    </row>
    <row r="654" spans="9:24" x14ac:dyDescent="0.25">
      <c r="I654" s="66"/>
      <c r="J654" s="66"/>
      <c r="K654" s="66"/>
      <c r="L654" s="66"/>
      <c r="M654" s="85"/>
      <c r="N654" s="85"/>
      <c r="O654" s="85"/>
      <c r="P654" s="85"/>
      <c r="Q654" s="85"/>
      <c r="R654" s="85"/>
      <c r="S654" s="98"/>
      <c r="T654" s="98"/>
      <c r="U654" s="98"/>
      <c r="V654" s="95"/>
      <c r="W654" s="95"/>
      <c r="X654" s="85"/>
    </row>
    <row r="655" spans="9:24" x14ac:dyDescent="0.25">
      <c r="I655" s="66"/>
      <c r="J655" s="66"/>
      <c r="K655" s="66"/>
      <c r="L655" s="66"/>
      <c r="M655" s="85"/>
      <c r="N655" s="85"/>
      <c r="O655" s="85"/>
      <c r="P655" s="85"/>
      <c r="Q655" s="85"/>
      <c r="R655" s="85"/>
      <c r="S655" s="98"/>
      <c r="T655" s="98"/>
      <c r="U655" s="98"/>
      <c r="V655" s="95"/>
      <c r="W655" s="95"/>
      <c r="X655" s="85"/>
    </row>
    <row r="656" spans="9:24" x14ac:dyDescent="0.25">
      <c r="I656" s="66"/>
      <c r="J656" s="66"/>
      <c r="K656" s="66"/>
      <c r="L656" s="66"/>
      <c r="M656" s="85"/>
      <c r="N656" s="85"/>
      <c r="O656" s="85"/>
      <c r="P656" s="85"/>
      <c r="Q656" s="85"/>
      <c r="R656" s="85"/>
      <c r="S656" s="98"/>
      <c r="T656" s="98"/>
      <c r="U656" s="98"/>
      <c r="V656" s="95"/>
      <c r="W656" s="95"/>
      <c r="X656" s="85"/>
    </row>
    <row r="657" spans="9:24" x14ac:dyDescent="0.25">
      <c r="I657" s="66"/>
      <c r="J657" s="66"/>
      <c r="K657" s="66"/>
      <c r="L657" s="66"/>
      <c r="M657" s="85"/>
      <c r="N657" s="85"/>
      <c r="O657" s="85"/>
      <c r="P657" s="85"/>
      <c r="Q657" s="85"/>
      <c r="R657" s="85"/>
      <c r="S657" s="98"/>
      <c r="T657" s="98"/>
      <c r="U657" s="98"/>
      <c r="V657" s="95"/>
      <c r="W657" s="95"/>
      <c r="X657" s="85"/>
    </row>
    <row r="658" spans="9:24" x14ac:dyDescent="0.25">
      <c r="I658" s="66"/>
      <c r="J658" s="66"/>
      <c r="K658" s="66"/>
      <c r="L658" s="66"/>
      <c r="M658" s="85"/>
      <c r="N658" s="85"/>
      <c r="O658" s="85"/>
      <c r="P658" s="85"/>
      <c r="Q658" s="85"/>
      <c r="R658" s="85"/>
      <c r="S658" s="98"/>
      <c r="T658" s="98"/>
      <c r="U658" s="98"/>
      <c r="V658" s="95"/>
      <c r="W658" s="95"/>
      <c r="X658" s="85"/>
    </row>
    <row r="659" spans="9:24" x14ac:dyDescent="0.25">
      <c r="I659" s="66"/>
      <c r="J659" s="66"/>
      <c r="K659" s="66"/>
      <c r="L659" s="66"/>
      <c r="M659" s="85"/>
      <c r="N659" s="85"/>
      <c r="O659" s="85"/>
      <c r="P659" s="85"/>
      <c r="Q659" s="85"/>
      <c r="R659" s="85"/>
      <c r="S659" s="98"/>
      <c r="T659" s="98"/>
      <c r="U659" s="98"/>
      <c r="V659" s="95"/>
      <c r="W659" s="95"/>
      <c r="X659" s="85"/>
    </row>
    <row r="660" spans="9:24" x14ac:dyDescent="0.25">
      <c r="I660" s="66"/>
      <c r="J660" s="66"/>
      <c r="K660" s="66"/>
      <c r="L660" s="66"/>
      <c r="M660" s="85"/>
      <c r="N660" s="85"/>
      <c r="O660" s="85"/>
      <c r="P660" s="85"/>
      <c r="Q660" s="85"/>
      <c r="R660" s="85"/>
      <c r="S660" s="98"/>
      <c r="T660" s="98"/>
      <c r="U660" s="98"/>
      <c r="V660" s="95"/>
      <c r="W660" s="95"/>
      <c r="X660" s="85"/>
    </row>
    <row r="661" spans="9:24" x14ac:dyDescent="0.25">
      <c r="I661" s="66"/>
      <c r="J661" s="66"/>
      <c r="K661" s="66"/>
      <c r="L661" s="66"/>
      <c r="M661" s="85"/>
      <c r="N661" s="85"/>
      <c r="O661" s="85"/>
      <c r="P661" s="85"/>
      <c r="Q661" s="85"/>
      <c r="R661" s="85"/>
      <c r="S661" s="98"/>
      <c r="T661" s="98"/>
      <c r="U661" s="98"/>
      <c r="V661" s="95"/>
      <c r="W661" s="95"/>
      <c r="X661" s="85"/>
    </row>
    <row r="662" spans="9:24" x14ac:dyDescent="0.25">
      <c r="I662" s="66"/>
      <c r="J662" s="66"/>
      <c r="K662" s="66"/>
      <c r="L662" s="66"/>
      <c r="M662" s="85"/>
      <c r="N662" s="85"/>
      <c r="O662" s="85"/>
      <c r="P662" s="85"/>
      <c r="Q662" s="85"/>
      <c r="R662" s="85"/>
      <c r="S662" s="98"/>
      <c r="T662" s="98"/>
      <c r="U662" s="98"/>
      <c r="V662" s="95"/>
      <c r="W662" s="95"/>
      <c r="X662" s="85"/>
    </row>
    <row r="663" spans="9:24" x14ac:dyDescent="0.25">
      <c r="I663" s="66"/>
      <c r="J663" s="66"/>
      <c r="K663" s="66"/>
      <c r="L663" s="66"/>
      <c r="M663" s="85"/>
      <c r="N663" s="85"/>
      <c r="O663" s="85"/>
      <c r="P663" s="85"/>
      <c r="Q663" s="85"/>
      <c r="R663" s="85"/>
      <c r="S663" s="98"/>
      <c r="T663" s="98"/>
      <c r="U663" s="98"/>
      <c r="V663" s="95"/>
      <c r="W663" s="95"/>
      <c r="X663" s="85"/>
    </row>
    <row r="664" spans="9:24" x14ac:dyDescent="0.25">
      <c r="I664" s="66"/>
      <c r="J664" s="66"/>
      <c r="K664" s="66"/>
      <c r="L664" s="66"/>
      <c r="M664" s="85"/>
      <c r="N664" s="85"/>
      <c r="O664" s="85"/>
      <c r="P664" s="85"/>
      <c r="Q664" s="85"/>
      <c r="R664" s="85"/>
      <c r="S664" s="98"/>
      <c r="T664" s="98"/>
      <c r="U664" s="98"/>
      <c r="V664" s="95"/>
      <c r="W664" s="95"/>
      <c r="X664" s="85"/>
    </row>
    <row r="665" spans="9:24" x14ac:dyDescent="0.25">
      <c r="I665" s="66"/>
      <c r="J665" s="66"/>
      <c r="K665" s="66"/>
      <c r="L665" s="66"/>
      <c r="M665" s="85"/>
      <c r="N665" s="85"/>
      <c r="O665" s="85"/>
      <c r="P665" s="85"/>
      <c r="Q665" s="85"/>
      <c r="R665" s="85"/>
      <c r="S665" s="98"/>
      <c r="T665" s="98"/>
      <c r="U665" s="98"/>
      <c r="V665" s="95"/>
      <c r="W665" s="95"/>
      <c r="X665" s="85"/>
    </row>
    <row r="666" spans="9:24" x14ac:dyDescent="0.25">
      <c r="I666" s="66"/>
      <c r="J666" s="66"/>
      <c r="K666" s="66"/>
      <c r="L666" s="66"/>
      <c r="M666" s="85"/>
      <c r="N666" s="85"/>
      <c r="O666" s="85"/>
      <c r="P666" s="85"/>
      <c r="Q666" s="85"/>
      <c r="R666" s="85"/>
      <c r="S666" s="98"/>
      <c r="T666" s="98"/>
      <c r="U666" s="98"/>
      <c r="V666" s="95"/>
      <c r="W666" s="95"/>
      <c r="X666" s="85"/>
    </row>
    <row r="667" spans="9:24" x14ac:dyDescent="0.25">
      <c r="I667" s="66"/>
      <c r="J667" s="66"/>
      <c r="K667" s="66"/>
      <c r="L667" s="66"/>
      <c r="M667" s="85"/>
      <c r="N667" s="85"/>
      <c r="O667" s="85"/>
      <c r="P667" s="85"/>
      <c r="Q667" s="85"/>
      <c r="R667" s="85"/>
      <c r="S667" s="98"/>
      <c r="T667" s="98"/>
      <c r="U667" s="98"/>
      <c r="V667" s="95"/>
      <c r="W667" s="95"/>
      <c r="X667" s="85"/>
    </row>
    <row r="668" spans="9:24" x14ac:dyDescent="0.25">
      <c r="I668" s="66"/>
      <c r="J668" s="66"/>
      <c r="K668" s="66"/>
      <c r="L668" s="66"/>
      <c r="M668" s="85"/>
      <c r="N668" s="85"/>
      <c r="O668" s="85"/>
      <c r="P668" s="85"/>
      <c r="Q668" s="85"/>
      <c r="R668" s="85"/>
      <c r="S668" s="98"/>
      <c r="T668" s="98"/>
      <c r="U668" s="98"/>
      <c r="V668" s="95"/>
      <c r="W668" s="95"/>
      <c r="X668" s="85"/>
    </row>
    <row r="669" spans="9:24" x14ac:dyDescent="0.25">
      <c r="I669" s="66"/>
      <c r="J669" s="66"/>
      <c r="K669" s="66"/>
      <c r="L669" s="66"/>
      <c r="M669" s="85"/>
      <c r="N669" s="85"/>
      <c r="O669" s="85"/>
      <c r="P669" s="85"/>
      <c r="Q669" s="85"/>
      <c r="R669" s="85"/>
      <c r="S669" s="98"/>
      <c r="T669" s="98"/>
      <c r="U669" s="98"/>
      <c r="V669" s="95"/>
      <c r="W669" s="95"/>
      <c r="X669" s="85"/>
    </row>
    <row r="670" spans="9:24" x14ac:dyDescent="0.25">
      <c r="I670" s="66"/>
      <c r="J670" s="66"/>
      <c r="K670" s="66"/>
      <c r="L670" s="66"/>
      <c r="M670" s="85"/>
      <c r="N670" s="85"/>
      <c r="O670" s="85"/>
      <c r="P670" s="85"/>
      <c r="Q670" s="85"/>
      <c r="R670" s="85"/>
      <c r="S670" s="98"/>
      <c r="T670" s="98"/>
      <c r="U670" s="98"/>
      <c r="V670" s="95"/>
      <c r="W670" s="95"/>
      <c r="X670" s="85"/>
    </row>
    <row r="671" spans="9:24" x14ac:dyDescent="0.25">
      <c r="I671" s="66"/>
      <c r="J671" s="66"/>
      <c r="K671" s="66"/>
      <c r="L671" s="66"/>
      <c r="M671" s="85"/>
      <c r="N671" s="85"/>
      <c r="O671" s="85"/>
      <c r="P671" s="85"/>
      <c r="Q671" s="85"/>
      <c r="R671" s="85"/>
      <c r="S671" s="98"/>
      <c r="T671" s="98"/>
      <c r="U671" s="98"/>
      <c r="V671" s="95"/>
      <c r="W671" s="95"/>
      <c r="X671" s="85"/>
    </row>
    <row r="672" spans="9:24" x14ac:dyDescent="0.25">
      <c r="I672" s="66"/>
      <c r="J672" s="66"/>
      <c r="K672" s="66"/>
      <c r="L672" s="66"/>
      <c r="M672" s="85"/>
      <c r="N672" s="85"/>
      <c r="O672" s="85"/>
      <c r="P672" s="85"/>
      <c r="Q672" s="85"/>
      <c r="R672" s="85"/>
      <c r="S672" s="98"/>
      <c r="T672" s="98"/>
      <c r="U672" s="98"/>
      <c r="V672" s="95"/>
      <c r="W672" s="95"/>
      <c r="X672" s="85"/>
    </row>
    <row r="673" spans="9:24" x14ac:dyDescent="0.25">
      <c r="I673" s="66"/>
      <c r="J673" s="66"/>
      <c r="K673" s="66"/>
      <c r="L673" s="66"/>
      <c r="M673" s="85"/>
      <c r="N673" s="85"/>
      <c r="O673" s="85"/>
      <c r="P673" s="85"/>
      <c r="Q673" s="85"/>
      <c r="R673" s="85"/>
      <c r="S673" s="98"/>
      <c r="T673" s="98"/>
      <c r="U673" s="98"/>
      <c r="V673" s="95"/>
      <c r="W673" s="95"/>
      <c r="X673" s="85"/>
    </row>
  </sheetData>
  <sheetProtection sheet="1" objects="1" scenarios="1"/>
  <mergeCells count="1">
    <mergeCell ref="S1:T1"/>
  </mergeCells>
  <phoneticPr fontId="1" type="noConversion"/>
  <conditionalFormatting sqref="F2">
    <cfRule type="expression" dxfId="78" priority="13">
      <formula>AND($F$2&gt;0,ISNA(MATCH($F$2,_xlfn.ANCHORARRAY(#REF!),0)))</formula>
    </cfRule>
  </conditionalFormatting>
  <conditionalFormatting sqref="H5:L638">
    <cfRule type="expression" dxfId="77" priority="93">
      <formula>AND($G$2="SAP",$H5="YES")</formula>
    </cfRule>
    <cfRule type="expression" dxfId="76" priority="94">
      <formula>AND($G$2="LIM",$H5="YES")</formula>
    </cfRule>
  </conditionalFormatting>
  <conditionalFormatting sqref="I2">
    <cfRule type="expression" dxfId="75" priority="12">
      <formula>AND($I$2&gt;0,ISNA(MATCH($I$2,_xlfn.ANCHORARRAY($A$1),0)))</formula>
    </cfRule>
  </conditionalFormatting>
  <conditionalFormatting sqref="J1">
    <cfRule type="containsText" dxfId="74" priority="6" operator="containsText" text="Skipped">
      <formula>NOT(ISERROR(SEARCH("Skipped",J1)))</formula>
    </cfRule>
  </conditionalFormatting>
  <conditionalFormatting sqref="J5:J638">
    <cfRule type="expression" dxfId="73" priority="118">
      <formula>AND($J5&gt;0,ISNA(MATCH($J5,_xlfn.ANCHORARRAY($B$1),0)))</formula>
    </cfRule>
  </conditionalFormatting>
  <conditionalFormatting sqref="J5:K638">
    <cfRule type="expression" dxfId="72" priority="5">
      <formula>$D5="Skipped"</formula>
    </cfRule>
  </conditionalFormatting>
  <conditionalFormatting sqref="J1:L3">
    <cfRule type="cellIs" dxfId="71" priority="22" operator="greaterThan">
      <formula>0</formula>
    </cfRule>
  </conditionalFormatting>
  <conditionalFormatting sqref="K5:K638">
    <cfRule type="expression" dxfId="70" priority="8">
      <formula>(ISNA($D5))</formula>
    </cfRule>
  </conditionalFormatting>
  <conditionalFormatting sqref="R1:S1">
    <cfRule type="expression" dxfId="69" priority="2">
      <formula>$S$1&gt;0</formula>
    </cfRule>
  </conditionalFormatting>
  <conditionalFormatting sqref="S2:T100">
    <cfRule type="expression" dxfId="68" priority="1">
      <formula>$T2&lt;&gt;""</formula>
    </cfRule>
  </conditionalFormatting>
  <dataValidations count="4">
    <dataValidation type="list" allowBlank="1" showInputMessage="1" showErrorMessage="1" sqref="K5:K638" xr:uid="{1E1A37FB-22D2-45D0-9F4E-20D07D83FF5B}">
      <formula1>Input_Truck</formula1>
    </dataValidation>
    <dataValidation type="list" allowBlank="1" showInputMessage="1" showErrorMessage="1" sqref="I2" xr:uid="{2AC4A083-0B04-4B32-9D46-431043701AEC}">
      <formula1>_xlfn.ANCHORARRAY($A$1)</formula1>
    </dataValidation>
    <dataValidation type="list" allowBlank="1" showInputMessage="1" showErrorMessage="1" sqref="J5:J638" xr:uid="{D0448BAF-72E0-467D-B30B-2D40C8572DCC}">
      <formula1>_xlfn.ANCHORARRAY($B$1)</formula1>
    </dataValidation>
    <dataValidation type="list" allowBlank="1" showInputMessage="1" showErrorMessage="1" sqref="L5:L638" xr:uid="{DFD90B8F-0B2C-4613-9E9A-30A8AF2F4ACA}">
      <formula1>Pilih_Truck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74FD-3982-4DE3-A27C-1421BDC7A633}">
  <sheetPr codeName="Sheet6">
    <tabColor rgb="FF00FFCC"/>
  </sheetPr>
  <dimension ref="A1:DU673"/>
  <sheetViews>
    <sheetView showGridLines="0" zoomScale="130" zoomScaleNormal="130" zoomScaleSheetLayoutView="100" workbookViewId="0">
      <pane xSplit="11" ySplit="4" topLeftCell="L5" activePane="bottomRight" state="frozen"/>
      <selection activeCell="K27" sqref="K27"/>
      <selection pane="topRight" activeCell="K27" sqref="K27"/>
      <selection pane="bottomLeft" activeCell="K27" sqref="K27"/>
      <selection pane="bottomRight" activeCell="K9" sqref="K9"/>
    </sheetView>
  </sheetViews>
  <sheetFormatPr defaultRowHeight="15" x14ac:dyDescent="0.25"/>
  <cols>
    <col min="1" max="1" width="10" hidden="1" customWidth="1"/>
    <col min="2" max="2" width="9.5703125" hidden="1" customWidth="1"/>
    <col min="3" max="3" width="1.5703125" style="14" hidden="1" customWidth="1"/>
    <col min="4" max="4" width="7.7109375" style="3" hidden="1" customWidth="1"/>
    <col min="5" max="5" width="6.140625" hidden="1" customWidth="1"/>
    <col min="6" max="6" width="5.5703125" hidden="1" customWidth="1"/>
    <col min="7" max="7" width="10.140625" hidden="1" customWidth="1"/>
    <col min="8" max="8" width="0.85546875" hidden="1" customWidth="1"/>
    <col min="9" max="9" width="13.42578125" customWidth="1"/>
    <col min="10" max="10" width="11.42578125" bestFit="1" customWidth="1"/>
    <col min="11" max="11" width="15.85546875" customWidth="1"/>
    <col min="12" max="12" width="14.85546875" customWidth="1"/>
    <col min="13" max="13" width="10.28515625" customWidth="1"/>
    <col min="14" max="14" width="9.28515625" bestFit="1" customWidth="1"/>
    <col min="15" max="15" width="9.7109375" hidden="1" customWidth="1"/>
    <col min="16" max="17" width="0" hidden="1" customWidth="1"/>
    <col min="18" max="18" width="0" style="3" hidden="1" customWidth="1"/>
    <col min="19" max="19" width="6.42578125" style="3" bestFit="1" customWidth="1"/>
    <col min="20" max="20" width="4.85546875" style="3" customWidth="1"/>
    <col min="21" max="21" width="0" hidden="1" customWidth="1"/>
    <col min="22" max="23" width="14.28515625" customWidth="1"/>
    <col min="24" max="24" width="12.7109375" style="86" customWidth="1"/>
    <col min="25" max="25" width="7.7109375" hidden="1" customWidth="1"/>
    <col min="26" max="26" width="18.140625" hidden="1" customWidth="1"/>
    <col min="27" max="27" width="12.7109375" hidden="1" customWidth="1"/>
    <col min="28" max="28" width="9" hidden="1" customWidth="1"/>
    <col min="29" max="29" width="11.7109375" hidden="1" customWidth="1"/>
    <col min="30" max="30" width="9.5703125" hidden="1" customWidth="1"/>
    <col min="31" max="31" width="8.5703125" hidden="1" customWidth="1"/>
    <col min="32" max="32" width="7.5703125" hidden="1" customWidth="1"/>
    <col min="33" max="33" width="8.140625" hidden="1" customWidth="1"/>
    <col min="34" max="34" width="9.5703125" hidden="1" customWidth="1"/>
    <col min="35" max="39" width="6.140625" hidden="1" customWidth="1"/>
    <col min="40" max="41" width="11.7109375" hidden="1" customWidth="1"/>
    <col min="42" max="92" width="13.42578125" hidden="1" customWidth="1"/>
    <col min="93" max="125" width="9.140625" hidden="1" customWidth="1"/>
    <col min="126" max="176" width="9.140625" customWidth="1"/>
  </cols>
  <sheetData>
    <row r="1" spans="1:125" ht="17.25" customHeight="1" x14ac:dyDescent="0.25">
      <c r="A1" t="str" cm="1">
        <f t="array" ref="A1:A8">_xlfn.UNIQUE(_xlfn._xlws.SORT(_xlfn._xlws.FILTER(Sample_Pending[Pile_ID],(Sample_Pending[Status]="Cont")*(Sample_Pending[Pile_ID]&gt;0)*(ISNUMBER(MATCH(Sample_Pending[Pile_ID],Pile_area[pile_id],0))))))</f>
        <v>BR-C12_L12</v>
      </c>
      <c r="B1" t="str" cm="1">
        <f t="array" ref="B1">_xlfn._xlws.FILTER(List_Front,(Front_Des[Dest]=$I$2)*(List_Front&lt;&gt;""))</f>
        <v>BR1/03</v>
      </c>
      <c r="C1" s="3"/>
      <c r="F1" s="29" t="s">
        <v>101</v>
      </c>
      <c r="G1" s="28" t="s">
        <v>2473</v>
      </c>
      <c r="I1" s="29" t="s">
        <v>2450</v>
      </c>
      <c r="J1" s="65" t="str" cm="1">
        <f t="array" ref="J1:L3">_xlfn.LET(_xlpm.skp, COUNTIF(_xlfn.ANCHORARRAY($D$5),"Skipped"),
     _xlpm.fltr,(Sample_Pending[Pile_ID]=$I$2)*(Sample_Pending[Rit]&gt;0)*(Sample_Pending[Status]="Cont"),
     _xlpm.list,_xlfn._xlws.SORT(_xlfn._xlws.FILTER(TEXT(Sample_Pending[Batch],"000")&amp;" / "&amp;TEXT(Sample_Pending[Rit],"00"),_xlpm.fltr)),
     _xlpm.drp,2,
     _xlpm.trnd, TRANSPOSE(_xlfn.SEQUENCE(_xlpm.drp,3,_xlpm.drp+1)),
     _xlpm.pndng, _xlfn.IFNA(IF(SUM(--_xlpm.fltr)&gt;0,
             _xlfn.HSTACK(_xlfn.VSTACK(SUM(--_xlpm.fltr)&amp;" PENDING",_xlfn.TAKE(_xlpm.list,_xlpm.drp)),
                    IFERROR(INDEX(_xlpm.list,_xlpm.trnd),0)),0),0),
     _xlpm.skipped, _xlfn.LET( _xlpm.lst, _xlfn._xlws.FILTER(HLG_02[Incriment], ISNA(_xlfn.ANCHORARRAY($D$5)) + IFERROR(_xlfn.ANCHORARRAY($D$5)="Skipped", 0)),
                        _xlfn.IFNA(_xlfn.HSTACK(_xlfn.VSTACK( _xlpm.skp &amp; " Skipped", _xlfn.TAKE(_xlpm.lst,_xlpm.drp)),
                               IFERROR(INDEX(_xlpm.lst, _xlpm.trnd),0)),0)),
     _xlpm.rslt, IF(_xlpm.skp&gt;0, _xlpm.skipped, _xlpm.pndng),
     _xlpm.rslt)</f>
        <v>1 PENDING</v>
      </c>
      <c r="K1" s="65">
        <v>0</v>
      </c>
      <c r="L1" s="65">
        <v>0</v>
      </c>
      <c r="M1" s="89"/>
      <c r="N1" s="101">
        <f>IF(COUNTBLANK(_xlfn.ANCHORARRAY(O2))=7,0,"Undeliver Samples")</f>
        <v>0</v>
      </c>
      <c r="O1" s="102"/>
      <c r="P1" s="103"/>
      <c r="Q1" s="102"/>
      <c r="R1" s="102"/>
      <c r="S1" s="102" cm="1">
        <f t="array" ref="S1">IF(COUNTBLANK(_xlfn.ANCHORARRAY(O2))=7,0,{"Batch","Rit"})</f>
        <v>0</v>
      </c>
      <c r="T1" s="102"/>
      <c r="U1" s="97" t="s">
        <v>2593</v>
      </c>
      <c r="V1" s="89"/>
      <c r="W1" s="89"/>
      <c r="X1" s="85" t="s">
        <v>2552</v>
      </c>
      <c r="Y1" t="s">
        <v>2552</v>
      </c>
      <c r="Z1" t="s">
        <v>2551</v>
      </c>
      <c r="AA1" t="s">
        <v>2477</v>
      </c>
      <c r="AB1" t="s">
        <v>2461</v>
      </c>
      <c r="AC1" t="s">
        <v>101</v>
      </c>
      <c r="AD1" t="s">
        <v>2450</v>
      </c>
      <c r="AE1" t="s">
        <v>2451</v>
      </c>
      <c r="AF1" t="s">
        <v>2594</v>
      </c>
      <c r="AG1" t="s">
        <v>2550</v>
      </c>
      <c r="AH1" t="s">
        <v>2584</v>
      </c>
      <c r="AN1" t="s">
        <v>2489</v>
      </c>
      <c r="DU1" t="s">
        <v>2489</v>
      </c>
    </row>
    <row r="2" spans="1:125" ht="21" x14ac:dyDescent="0.25">
      <c r="A2" t="str">
        <v>BR-C3_L10</v>
      </c>
      <c r="F2" s="57" t="str">
        <f>_xlfn.XLOOKUP($I$2,Pile_area[pile_id],Pile_area[stockpile])</f>
        <v>LS_09</v>
      </c>
      <c r="G2" s="54" t="str">
        <f>_xlfn.XLOOKUP($I$2,Pile_area[pile_id],Pile_area[Ore])</f>
        <v>LIM</v>
      </c>
      <c r="I2" s="62" t="s">
        <v>2601</v>
      </c>
      <c r="J2" s="65" t="str">
        <v>002 / 10</v>
      </c>
      <c r="K2" s="65">
        <v>0</v>
      </c>
      <c r="L2" s="65">
        <v>0</v>
      </c>
      <c r="M2" s="85"/>
      <c r="N2" s="85"/>
      <c r="O2" s="85" t="str" cm="1">
        <f t="array" ref="O2:U2">_xlfn.LET( _xlpm.db,HLG_02[],
      _xlpm.btch, INDEX(_xlpm.db,,1),
      _xlpm.rit,  INDEX(_xlpm.db,,2),
      _xlpm.smpl, INDEX(_xlpm.db,,3),
      _xlpm.frnt, INDEX(_xlpm.db,,5),
      _xlpm.carry,ISNA(MATCH($I$2&amp; _xlpm.btch &amp; _xlpm.rit,_xlfn.BYROW(_xlfn.CHOOSECOLS(_xlfn.ANCHORARRAY(Sample_Pos!$V$3),4,5,6), _xleta.CONCAT), 0)),
      _xlpm.no,   (--(_xlpm.smpl="YES")*(_xlpm.frnt&gt;0)*_xlpm.carry)&gt;0,
      _xlpm.bag, IF(_xlpm.no, _xlfn.BYROW(INDEX(_xlfn.HSTACK(Int_Sample[Inc],Int_Sample[Packing]), MATCH($G$2,Int_Sample[Ore],0)), _xlfn.LAMBDA(_xlpm.x, INDEX(_xlpm.x,,1)/INDEX(_xlpm.x,,2))),""),
      _xlpm.note, IF(_xlpm.no,_xlfn.HSTACK({"Unknown","Unknown"},$G$2,$I$2),""),
      _xlpm.rslt, _xlfn._xlws.FILTER(_xlfn.HSTACK(_xlpm.note,_xlpm.btch,_xlpm.rit,_xlpm.bag), _xlpm.no, {"","","","","","",""}),
      _xlpm.rslt)</f>
        <v/>
      </c>
      <c r="P2" s="85" t="str">
        <v/>
      </c>
      <c r="Q2" s="85" t="str">
        <v/>
      </c>
      <c r="R2" s="85" t="str">
        <v/>
      </c>
      <c r="S2" s="100" t="str">
        <v/>
      </c>
      <c r="T2" s="100" t="str">
        <v/>
      </c>
      <c r="U2" s="98" t="str">
        <v/>
      </c>
      <c r="V2" s="95"/>
      <c r="W2" s="95"/>
      <c r="X2" s="85"/>
      <c r="Z2" t="str" cm="1">
        <f t="array" ref="Z2:AH141">_xlfn.LET(
    _xlpm.note,_xlfn.ANCHORARRAY( $D$5),
    _xlpm.data, HLG_02[],
    _xlpm.IsErr, _xlfn.IFS(ISNUMBER(_xlpm.note), "", ISERROR(_xlpm.note), "TRUCK SALAH", _xlpm.note="Skipped", "TERLEWAT", TRUE, ""),
    _xlpm.src, IF(_xlpm.IsErr="TERLEWAT", "TERLEWAT", INDEX(_xlpm.data,,5)),
    _xlpm.hlr, IF(_xlpm.IsErr="TERLEWAT", _xlpm.IsErr, INDEX(_xlpm.data,,6)),
    _xlpm.id, Regist!$H$1 &amp; "/" &amp; Regist!$I$1 &amp; "|" &amp; _xlpm.src,
    _xlpm.pile, IF(_xlpm.src&lt;&gt;"", $I$2, ""),
    _xlpm.ore, _xlfn.XLOOKUP(_xlpm.pile, Pile_area[pile_id], Pile_area[Ore]),
    _xlpm.stp, _xlfn.XLOOKUP(_xlpm.pile, Pile_area[pile_id], Pile_area[stockpile]),
    _xlpm.field, _xlfn.HSTACK(
        _xlpm.id,
        _xlpm.hlr,
        _xlpm.ore,
        _xlpm.stp,
        _xlpm.pile,
        INDEX(_xlpm.data,,4),
        PROPER(INDEX(_xlpm.data,,3)),
        IF(INDEX(_xlpm.data,,5) = _xlfn.XLOOKUP(_xlpm.ore, Int_Sample[Ore], Int_Sample[Batch]), "Complete", ""),
        _xlfn.BYROW(_xlfn.HSTACK(INDEX(_xlpm.data,,7), _xlpm.IsErr), _xlfn.LAMBDA(_xlpm.x, _xlfn.TEXTJOIN("|", TRUE, _xlpm.x)))
    ),
    _xlpm.rslt, _xlfn.UNIQUE(_xlfn._xlws.FILTER(_xlpm.field, _xlpm.src&gt;0)),
     IF(ISERR(_xlfn.SINGLE(_xlpm.rslt)),"",_xlpm.rslt))</f>
        <v>46211/D|BR1/03</v>
      </c>
      <c r="AA2" t="str">
        <v>STM-A40_0096</v>
      </c>
      <c r="AB2" t="str">
        <v>LIM</v>
      </c>
      <c r="AC2" t="str">
        <v>LS_09</v>
      </c>
      <c r="AD2" t="str">
        <v>L9_26</v>
      </c>
      <c r="AE2" t="str">
        <v>002 / 011</v>
      </c>
      <c r="AF2" t="str">
        <v>No</v>
      </c>
      <c r="AG2" t="str">
        <v/>
      </c>
      <c r="AH2" t="str">
        <v/>
      </c>
    </row>
    <row r="3" spans="1:125" ht="15.75" x14ac:dyDescent="0.25">
      <c r="A3" t="str">
        <v>BR-C6_S10</v>
      </c>
      <c r="I3" s="66"/>
      <c r="J3" s="65">
        <v>0</v>
      </c>
      <c r="K3" s="65">
        <v>0</v>
      </c>
      <c r="L3" s="65">
        <v>0</v>
      </c>
      <c r="M3" s="85"/>
      <c r="N3" s="85"/>
      <c r="O3" s="85"/>
      <c r="P3" s="85"/>
      <c r="Q3" s="85"/>
      <c r="R3" s="85"/>
      <c r="S3" s="100"/>
      <c r="T3" s="100"/>
      <c r="U3" s="98"/>
      <c r="V3" s="95"/>
      <c r="W3" s="95"/>
      <c r="X3" s="85"/>
      <c r="Z3" t="str">
        <v>46211/D|BR1/03</v>
      </c>
      <c r="AA3" t="str">
        <v>STM-A40_0095</v>
      </c>
      <c r="AB3" t="str">
        <v>LIM</v>
      </c>
      <c r="AC3" t="str">
        <v>LS_09</v>
      </c>
      <c r="AD3" t="str">
        <v>L9_26</v>
      </c>
      <c r="AE3" t="str">
        <v>002 / 012</v>
      </c>
      <c r="AF3" t="str">
        <v>No</v>
      </c>
      <c r="AG3" t="str">
        <v/>
      </c>
      <c r="AH3" t="str">
        <v/>
      </c>
    </row>
    <row r="4" spans="1:125" x14ac:dyDescent="0.25">
      <c r="A4" t="str">
        <v>L18_S09</v>
      </c>
      <c r="F4" t="s">
        <v>2451</v>
      </c>
      <c r="G4" t="s">
        <v>2474</v>
      </c>
      <c r="H4" s="14" t="s">
        <v>2549</v>
      </c>
      <c r="I4" s="14" t="s">
        <v>2567</v>
      </c>
      <c r="J4" s="14" t="s">
        <v>115</v>
      </c>
      <c r="K4" s="14" t="s">
        <v>2477</v>
      </c>
      <c r="L4" s="14" t="s">
        <v>2452</v>
      </c>
      <c r="M4" s="85"/>
      <c r="N4" s="85"/>
      <c r="O4" s="85"/>
      <c r="P4" s="85"/>
      <c r="Q4" s="85"/>
      <c r="R4" s="85"/>
      <c r="S4" s="100"/>
      <c r="T4" s="100"/>
      <c r="U4" s="85"/>
      <c r="V4" s="85"/>
      <c r="W4" s="85"/>
      <c r="X4" s="85"/>
      <c r="Z4" t="str">
        <v>46211/D|BR1/03</v>
      </c>
      <c r="AA4" t="str">
        <v>STM-A40_0131</v>
      </c>
      <c r="AB4" t="str">
        <v>LIM</v>
      </c>
      <c r="AC4" t="str">
        <v>LS_09</v>
      </c>
      <c r="AD4" t="str">
        <v>L9_26</v>
      </c>
      <c r="AE4" t="str">
        <v>002 / 013</v>
      </c>
      <c r="AF4" t="str">
        <v>No</v>
      </c>
      <c r="AG4" t="str">
        <v/>
      </c>
      <c r="AH4" t="str">
        <v/>
      </c>
    </row>
    <row r="5" spans="1:125" ht="15.75" x14ac:dyDescent="0.25">
      <c r="A5" t="str">
        <v>L9_26</v>
      </c>
      <c r="D5" s="3" cm="1">
        <f t="array" ref="D5:D638">_xlfn.LET( _xlpm.Batch,HLG_02[Batch],
      _xlpm.rit, HLG_02[Rit],
      _xlpm.front,HLG_02[Front_ID],
      _xlpm.truck, HLG_02[Truck_ID],
      _xlpm.Unik, _xlfn.UNIQUE(_xlfn._xlws.FILTER(_xlpm.Batch, _xlpm.Batch&lt;&gt;"")),
      _xlpm.seqBtch, _xlfn.MAP(_xlpm.Batch,_xlfn.LAMBDA(_xlpm.b,IF(_xlpm.b="","",MATCH(_xlpm.b, _xlpm.Unik,0)))),
      _xlpm.r, ROWS(_xlpm.truck),
      _xlpm.vld,_xlfn.MAP(_xlfn.SEQUENCE(_xlpm.r),_xlfn.LAMBDA(_xlpm.idx,MATCH(INDEX(_xlpm.truck,_xlpm.idx),INDEX(_xlfn.ANCHORARRAY($AP$5),_xlpm.idx,0),0))),
      _xlpm.isSkip, IF(_xlpm.front&gt;0,"",_xlfn.MAP(_xlpm.Batch, _xlpm.rit, _xlfn.LAMBDA(_xlpm.bx,_xlpm.rx,
        IFERROR(IF(_xlfn.XMATCH(1, --(_xlpm.Batch=_xlpm.bx) * (_xlpm.rit&gt;_xlpm.rx) * (_xlpm.front&gt;0), 0), "Skipped"), "")))),
      _xlpm.rslt, IF(_xlpm.isSkip="",IF((--(ISNA(_xlpm.vld)*(_xlpm.truck&gt;0))+((_xlpm.front&gt;0)*(_xlpm.truck=0)))&gt;0,_xlpm.vld,_xlpm.seqBtch),_xlpm.isSkip),
      _xlpm.rslt)</f>
        <v>1</v>
      </c>
      <c r="F5" s="16" cm="1">
        <f t="array" ref="F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5" s="31" cm="1">
        <f t="array" ref="G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5" s="33" t="str">
        <f>_xlfn.IFNA(IF(MOD(HLG_02[[#This Row],[Rit]],
    _xlfn.XLOOKUP($G$2,Int_Sample[Ore],Int_Sample[Inc])) = 0, "YES", "NO"),"")</f>
        <v>NO</v>
      </c>
      <c r="I5" s="32" t="str">
        <f>TEXT(HLG_02[[#This Row],[Batch]],"000")&amp; " / " &amp; TEXT(HLG_02[[#This Row],[Rit]],"000")</f>
        <v>002 / 011</v>
      </c>
      <c r="J5" s="34" t="s">
        <v>2624</v>
      </c>
      <c r="K5" s="38" t="s">
        <v>2614</v>
      </c>
      <c r="L5" s="35"/>
      <c r="M5" s="85"/>
      <c r="N5" s="85"/>
      <c r="O5" s="85"/>
      <c r="P5" s="85"/>
      <c r="Q5" s="85"/>
      <c r="R5" s="85"/>
      <c r="S5" s="100"/>
      <c r="T5" s="100"/>
      <c r="U5" s="85"/>
      <c r="V5" s="85"/>
      <c r="W5" s="85"/>
      <c r="X5" s="85"/>
      <c r="Z5" t="str">
        <v>46211/D|BR1/03</v>
      </c>
      <c r="AA5" t="str">
        <v>STM-A40_0135</v>
      </c>
      <c r="AB5" t="str">
        <v>LIM</v>
      </c>
      <c r="AC5" t="str">
        <v>LS_09</v>
      </c>
      <c r="AD5" t="str">
        <v>L9_26</v>
      </c>
      <c r="AE5" t="str">
        <v>002 / 014</v>
      </c>
      <c r="AF5" t="str">
        <v>No</v>
      </c>
      <c r="AG5" t="str">
        <v/>
      </c>
      <c r="AH5" t="str">
        <v/>
      </c>
      <c r="AP5" t="str" cm="1">
        <f t="array" ref="AP5:AV638">_xlfn.DROP(
    _xlfn.REDUCE("", HLG_02[Front_ID],
        _xlfn.LAMBDA(_xlpm.matriks,_xlpm.p,
            _xlfn.VSTACK(_xlpm.matriks,
                IFERROR(
                    _xlfn.LET(
                        _xlpm.baris_idx, MATCH(_xlpm.p, List_Front, 0),
                        _xlpm.truk_valid, INDEX(_xlfn.ANCHORARRAY(Fleet_Det!$CE$4), _xlpm.baris_idx, ),
                        _xlpm.fleet_str, INDEX(List_Unit_Fleet, _xlpm.baris_idx),
                        _xlpm.daftar_truk, IFERROR(_xlfn.TEXTSPLIT(_xlpm.fleet_str, "|"), ""),
                        _xlpm.daftar_truk_vec, _xlfn.TOCOL(_xlpm.daftar_truk, 1),
                        _xlpm.hasil, _xlfn._xlws.FILTER(_xlpm.daftar_truk_vec, ISNUMBER(MATCH(_xlpm.daftar_truk_vec, _xlpm.truk_valid, 0))),
                        _xlfn.TOROW(_xlfn._xlws.SORT(_xlfn.UNIQUE(_xlpm.hasil)))
                    ),
                    ""
                )
            )
        )
    ),
    1
)</f>
        <v>STM-A40_0095</v>
      </c>
      <c r="AQ5" t="str">
        <v>STM-A40_0096</v>
      </c>
      <c r="AR5" t="str">
        <v>STM-A40_0097</v>
      </c>
      <c r="AS5" t="str">
        <v>STM-A40_0103</v>
      </c>
      <c r="AT5" t="str">
        <v>STM-A40_0131</v>
      </c>
      <c r="AU5" t="str">
        <v>STM-A40_0135</v>
      </c>
      <c r="AV5" t="str">
        <v>STM-A40_2010</v>
      </c>
    </row>
    <row r="6" spans="1:125" ht="15.75" x14ac:dyDescent="0.25">
      <c r="A6" t="str">
        <v>S5_77</v>
      </c>
      <c r="D6" s="3">
        <v>1</v>
      </c>
      <c r="F6" s="16" cm="1">
        <f t="array" ref="F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6" s="31" cm="1">
        <f t="array" ref="G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6" s="33" t="str">
        <f>_xlfn.IFNA(IF(MOD(HLG_02[[#This Row],[Rit]],
    _xlfn.XLOOKUP($G$2,Int_Sample[Ore],Int_Sample[Inc])) = 0, "YES", "NO"),"")</f>
        <v>NO</v>
      </c>
      <c r="I6" s="32" t="str">
        <f>TEXT(HLG_02[[#This Row],[Batch]],"000")&amp; " / " &amp; TEXT(HLG_02[[#This Row],[Rit]],"000")</f>
        <v>002 / 012</v>
      </c>
      <c r="J6" s="34" t="s">
        <v>2624</v>
      </c>
      <c r="K6" s="38" t="s">
        <v>2615</v>
      </c>
      <c r="L6" s="35"/>
      <c r="M6" s="85"/>
      <c r="N6" s="85"/>
      <c r="O6" s="85"/>
      <c r="P6" s="85"/>
      <c r="Q6" s="85"/>
      <c r="R6" s="85"/>
      <c r="S6" s="100"/>
      <c r="T6" s="100"/>
      <c r="U6" s="85"/>
      <c r="V6" s="85"/>
      <c r="W6" s="85"/>
      <c r="X6" s="85"/>
      <c r="Z6" t="str">
        <v>46211/D|BR1/03</v>
      </c>
      <c r="AA6" t="str">
        <v>STM-A40_0095</v>
      </c>
      <c r="AB6" t="str">
        <v>LIM</v>
      </c>
      <c r="AC6" t="str">
        <v>LS_09</v>
      </c>
      <c r="AD6" t="str">
        <v>L9_26</v>
      </c>
      <c r="AE6" t="str">
        <v>002 / 015</v>
      </c>
      <c r="AF6" t="str">
        <v>Yes</v>
      </c>
      <c r="AG6" t="str">
        <v/>
      </c>
      <c r="AH6" t="str">
        <v/>
      </c>
      <c r="AN6" s="3"/>
      <c r="AO6" s="3"/>
      <c r="AP6" t="str">
        <v>STM-A40_0095</v>
      </c>
      <c r="AQ6" t="str">
        <v>STM-A40_0096</v>
      </c>
      <c r="AR6" t="str">
        <v>STM-A40_0097</v>
      </c>
      <c r="AS6" t="str">
        <v>STM-A40_0103</v>
      </c>
      <c r="AT6" t="str">
        <v>STM-A40_0131</v>
      </c>
      <c r="AU6" t="str">
        <v>STM-A40_0135</v>
      </c>
      <c r="AV6" t="str">
        <v>STM-A40_2010</v>
      </c>
    </row>
    <row r="7" spans="1:125" ht="15.75" x14ac:dyDescent="0.25">
      <c r="A7" t="str">
        <v>S5_88</v>
      </c>
      <c r="D7" s="3">
        <v>1</v>
      </c>
      <c r="F7" s="16" cm="1">
        <f t="array" ref="F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7" s="31" cm="1">
        <f t="array" ref="G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7" s="33" t="str">
        <f>_xlfn.IFNA(IF(MOD(HLG_02[[#This Row],[Rit]],
    _xlfn.XLOOKUP($G$2,Int_Sample[Ore],Int_Sample[Inc])) = 0, "YES", "NO"),"")</f>
        <v>NO</v>
      </c>
      <c r="I7" s="32" t="str">
        <f>TEXT(HLG_02[[#This Row],[Batch]],"000")&amp; " / " &amp; TEXT(HLG_02[[#This Row],[Rit]],"000")</f>
        <v>002 / 013</v>
      </c>
      <c r="J7" s="34" t="s">
        <v>2624</v>
      </c>
      <c r="K7" s="38" t="s">
        <v>2616</v>
      </c>
      <c r="L7" s="35"/>
      <c r="M7" s="85"/>
      <c r="N7" s="85"/>
      <c r="O7" s="85"/>
      <c r="P7" s="85"/>
      <c r="Q7" s="85"/>
      <c r="R7" s="85"/>
      <c r="S7" s="100"/>
      <c r="T7" s="100"/>
      <c r="U7" s="85"/>
      <c r="V7" s="85"/>
      <c r="W7" s="85"/>
      <c r="X7" s="85"/>
      <c r="Z7" t="str">
        <v>46211/D|BR1/03</v>
      </c>
      <c r="AA7" t="str">
        <v>STM-A40_0096</v>
      </c>
      <c r="AB7" t="str">
        <v>LIM</v>
      </c>
      <c r="AC7" t="str">
        <v>LS_09</v>
      </c>
      <c r="AD7" t="str">
        <v>L9_26</v>
      </c>
      <c r="AE7" t="str">
        <v>002 / 016</v>
      </c>
      <c r="AF7" t="str">
        <v>No</v>
      </c>
      <c r="AG7" t="str">
        <v/>
      </c>
      <c r="AH7" t="str">
        <v/>
      </c>
      <c r="AN7" s="3"/>
      <c r="AO7" s="3"/>
      <c r="AP7" t="str">
        <v>STM-A40_0095</v>
      </c>
      <c r="AQ7" t="str">
        <v>STM-A40_0096</v>
      </c>
      <c r="AR7" t="str">
        <v>STM-A40_0097</v>
      </c>
      <c r="AS7" t="str">
        <v>STM-A40_0103</v>
      </c>
      <c r="AT7" t="str">
        <v>STM-A40_0131</v>
      </c>
      <c r="AU7" t="str">
        <v>STM-A40_0135</v>
      </c>
      <c r="AV7" t="str">
        <v>STM-A40_2010</v>
      </c>
    </row>
    <row r="8" spans="1:125" ht="15.75" x14ac:dyDescent="0.25">
      <c r="A8" t="str">
        <v>S5_93</v>
      </c>
      <c r="D8" s="3">
        <v>1</v>
      </c>
      <c r="F8" s="16" cm="1">
        <f t="array" ref="F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8" s="31" cm="1">
        <f t="array" ref="G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8" s="33" t="str">
        <f>_xlfn.IFNA(IF(MOD(HLG_02[[#This Row],[Rit]],
    _xlfn.XLOOKUP($G$2,Int_Sample[Ore],Int_Sample[Inc])) = 0, "YES", "NO"),"")</f>
        <v>NO</v>
      </c>
      <c r="I8" s="32" t="str">
        <f>TEXT(HLG_02[[#This Row],[Batch]],"000")&amp; " / " &amp; TEXT(HLG_02[[#This Row],[Rit]],"000")</f>
        <v>002 / 014</v>
      </c>
      <c r="J8" s="34" t="s">
        <v>2624</v>
      </c>
      <c r="K8" s="38" t="s">
        <v>2617</v>
      </c>
      <c r="L8" s="35"/>
      <c r="M8" s="85"/>
      <c r="N8" s="85"/>
      <c r="O8" s="85"/>
      <c r="P8" s="85"/>
      <c r="Q8" s="85"/>
      <c r="R8" s="85"/>
      <c r="S8" s="100"/>
      <c r="T8" s="100"/>
      <c r="U8" s="85"/>
      <c r="V8" s="85"/>
      <c r="W8" s="85"/>
      <c r="X8" s="85"/>
      <c r="Z8" t="str">
        <v>46211/D|BR1/03</v>
      </c>
      <c r="AA8" t="str">
        <v>STM-A40_0103</v>
      </c>
      <c r="AB8" t="str">
        <v>LIM</v>
      </c>
      <c r="AC8" t="str">
        <v>LS_09</v>
      </c>
      <c r="AD8" t="str">
        <v>L9_26</v>
      </c>
      <c r="AE8" t="str">
        <v>002 / 017</v>
      </c>
      <c r="AF8" t="str">
        <v>No</v>
      </c>
      <c r="AG8" t="str">
        <v/>
      </c>
      <c r="AH8" t="str">
        <v/>
      </c>
      <c r="AN8" s="3"/>
      <c r="AO8" s="3"/>
      <c r="AP8" t="str">
        <v>STM-A40_0095</v>
      </c>
      <c r="AQ8" t="str">
        <v>STM-A40_0096</v>
      </c>
      <c r="AR8" t="str">
        <v>STM-A40_0097</v>
      </c>
      <c r="AS8" t="str">
        <v>STM-A40_0103</v>
      </c>
      <c r="AT8" t="str">
        <v>STM-A40_0131</v>
      </c>
      <c r="AU8" t="str">
        <v>STM-A40_0135</v>
      </c>
      <c r="AV8" t="str">
        <v>STM-A40_2010</v>
      </c>
    </row>
    <row r="9" spans="1:125" ht="15.75" x14ac:dyDescent="0.25">
      <c r="D9" s="3">
        <v>1</v>
      </c>
      <c r="F9" s="16" cm="1">
        <f t="array" ref="F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9" s="31" cm="1">
        <f t="array" ref="G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9" s="33" t="str">
        <f>_xlfn.IFNA(IF(MOD(HLG_02[[#This Row],[Rit]],
    _xlfn.XLOOKUP($G$2,Int_Sample[Ore],Int_Sample[Inc])) = 0, "YES", "NO"),"")</f>
        <v>YES</v>
      </c>
      <c r="I9" s="32" t="str">
        <f>TEXT(HLG_02[[#This Row],[Batch]],"000")&amp; " / " &amp; TEXT(HLG_02[[#This Row],[Rit]],"000")</f>
        <v>002 / 015</v>
      </c>
      <c r="J9" s="34" t="s">
        <v>2624</v>
      </c>
      <c r="K9" s="38" t="s">
        <v>2615</v>
      </c>
      <c r="L9" s="35"/>
      <c r="M9" s="85"/>
      <c r="N9" s="85"/>
      <c r="O9" s="85"/>
      <c r="P9" s="85"/>
      <c r="Q9" s="85"/>
      <c r="R9" s="85"/>
      <c r="S9" s="100"/>
      <c r="T9" s="100"/>
      <c r="U9" s="85"/>
      <c r="V9" s="85"/>
      <c r="W9" s="85"/>
      <c r="X9" s="85"/>
      <c r="Z9" t="str">
        <v>46211/D|BR1/03</v>
      </c>
      <c r="AA9" t="str">
        <v>STM-A40_0131</v>
      </c>
      <c r="AB9" t="str">
        <v>LIM</v>
      </c>
      <c r="AC9" t="str">
        <v>LS_09</v>
      </c>
      <c r="AD9" t="str">
        <v>L9_26</v>
      </c>
      <c r="AE9" t="str">
        <v>002 / 018</v>
      </c>
      <c r="AF9" t="str">
        <v>No</v>
      </c>
      <c r="AG9" t="str">
        <v/>
      </c>
      <c r="AH9" t="str">
        <v/>
      </c>
      <c r="AN9" s="3"/>
      <c r="AO9" s="3"/>
      <c r="AP9" t="str">
        <v>STM-A40_0095</v>
      </c>
      <c r="AQ9" t="str">
        <v>STM-A40_0096</v>
      </c>
      <c r="AR9" t="str">
        <v>STM-A40_0097</v>
      </c>
      <c r="AS9" t="str">
        <v>STM-A40_0103</v>
      </c>
      <c r="AT9" t="str">
        <v>STM-A40_0131</v>
      </c>
      <c r="AU9" t="str">
        <v>STM-A40_0135</v>
      </c>
      <c r="AV9" t="str">
        <v>STM-A40_2010</v>
      </c>
    </row>
    <row r="10" spans="1:125" ht="15.75" x14ac:dyDescent="0.25">
      <c r="D10" s="3">
        <v>1</v>
      </c>
      <c r="F10" s="16" cm="1">
        <f t="array" ref="F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10" s="31" cm="1">
        <f t="array" ref="G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10" s="33" t="str">
        <f>_xlfn.IFNA(IF(MOD(HLG_02[[#This Row],[Rit]],
    _xlfn.XLOOKUP($G$2,Int_Sample[Ore],Int_Sample[Inc])) = 0, "YES", "NO"),"")</f>
        <v>NO</v>
      </c>
      <c r="I10" s="32" t="str">
        <f>TEXT(HLG_02[[#This Row],[Batch]],"000")&amp; " / " &amp; TEXT(HLG_02[[#This Row],[Rit]],"000")</f>
        <v>002 / 016</v>
      </c>
      <c r="J10" s="34" t="s">
        <v>2624</v>
      </c>
      <c r="K10" s="38" t="s">
        <v>2614</v>
      </c>
      <c r="L10" s="35"/>
      <c r="M10" s="85"/>
      <c r="N10" s="85"/>
      <c r="O10" s="85"/>
      <c r="P10" s="85"/>
      <c r="Q10" s="85"/>
      <c r="R10" s="85"/>
      <c r="S10" s="100"/>
      <c r="T10" s="100"/>
      <c r="U10" s="85"/>
      <c r="V10" s="85"/>
      <c r="W10" s="85"/>
      <c r="X10" s="85"/>
      <c r="Z10" t="str">
        <v>46211/D|BR1/03</v>
      </c>
      <c r="AA10" t="str">
        <v>STM-A40_0095</v>
      </c>
      <c r="AB10" t="str">
        <v>LIM</v>
      </c>
      <c r="AC10" t="str">
        <v>LS_09</v>
      </c>
      <c r="AD10" t="str">
        <v>L9_26</v>
      </c>
      <c r="AE10" t="str">
        <v>002 / 019</v>
      </c>
      <c r="AF10" t="str">
        <v>No</v>
      </c>
      <c r="AG10" t="str">
        <v/>
      </c>
      <c r="AH10" t="str">
        <v/>
      </c>
      <c r="AN10" s="3"/>
      <c r="AO10" s="3"/>
      <c r="AP10" t="str">
        <v>STM-A40_0095</v>
      </c>
      <c r="AQ10" t="str">
        <v>STM-A40_0096</v>
      </c>
      <c r="AR10" t="str">
        <v>STM-A40_0097</v>
      </c>
      <c r="AS10" t="str">
        <v>STM-A40_0103</v>
      </c>
      <c r="AT10" t="str">
        <v>STM-A40_0131</v>
      </c>
      <c r="AU10" t="str">
        <v>STM-A40_0135</v>
      </c>
      <c r="AV10" t="str">
        <v>STM-A40_2010</v>
      </c>
    </row>
    <row r="11" spans="1:125" ht="15.75" x14ac:dyDescent="0.25">
      <c r="D11" s="3">
        <v>1</v>
      </c>
      <c r="F11" s="16" cm="1">
        <f t="array" ref="F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11" s="31" cm="1">
        <f t="array" ref="G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11" s="33" t="str">
        <f>_xlfn.IFNA(IF(MOD(HLG_02[[#This Row],[Rit]],
    _xlfn.XLOOKUP($G$2,Int_Sample[Ore],Int_Sample[Inc])) = 0, "YES", "NO"),"")</f>
        <v>NO</v>
      </c>
      <c r="I11" s="32" t="str">
        <f>TEXT(HLG_02[[#This Row],[Batch]],"000")&amp; " / " &amp; TEXT(HLG_02[[#This Row],[Rit]],"000")</f>
        <v>002 / 017</v>
      </c>
      <c r="J11" s="34" t="s">
        <v>2624</v>
      </c>
      <c r="K11" s="38" t="s">
        <v>2618</v>
      </c>
      <c r="L11" s="35"/>
      <c r="M11" s="85"/>
      <c r="N11" s="85"/>
      <c r="O11" s="85"/>
      <c r="P11" s="85"/>
      <c r="Q11" s="85"/>
      <c r="R11" s="85"/>
      <c r="S11" s="100"/>
      <c r="T11" s="100"/>
      <c r="U11" s="85"/>
      <c r="V11" s="85"/>
      <c r="W11" s="85"/>
      <c r="X11" s="85"/>
      <c r="Z11" t="str">
        <v>46211/D|BR1/03</v>
      </c>
      <c r="AA11" t="str">
        <v>STM-A40_0135</v>
      </c>
      <c r="AB11" t="str">
        <v>LIM</v>
      </c>
      <c r="AC11" t="str">
        <v>LS_09</v>
      </c>
      <c r="AD11" t="str">
        <v>L9_26</v>
      </c>
      <c r="AE11" t="str">
        <v>002 / 020</v>
      </c>
      <c r="AF11" t="str">
        <v>Yes</v>
      </c>
      <c r="AG11" t="str">
        <v/>
      </c>
      <c r="AH11" t="str">
        <v/>
      </c>
      <c r="AP11" t="str">
        <v>STM-A40_0095</v>
      </c>
      <c r="AQ11" t="str">
        <v>STM-A40_0096</v>
      </c>
      <c r="AR11" t="str">
        <v>STM-A40_0097</v>
      </c>
      <c r="AS11" t="str">
        <v>STM-A40_0103</v>
      </c>
      <c r="AT11" t="str">
        <v>STM-A40_0131</v>
      </c>
      <c r="AU11" t="str">
        <v>STM-A40_0135</v>
      </c>
      <c r="AV11" t="str">
        <v>STM-A40_2010</v>
      </c>
    </row>
    <row r="12" spans="1:125" ht="15.75" x14ac:dyDescent="0.25">
      <c r="D12" s="3">
        <v>1</v>
      </c>
      <c r="F12" s="16" cm="1">
        <f t="array" ref="F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12" s="31" cm="1">
        <f t="array" ref="G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12" s="33" t="str">
        <f>_xlfn.IFNA(IF(MOD(HLG_02[[#This Row],[Rit]],
    _xlfn.XLOOKUP($G$2,Int_Sample[Ore],Int_Sample[Inc])) = 0, "YES", "NO"),"")</f>
        <v>NO</v>
      </c>
      <c r="I12" s="32" t="str">
        <f>TEXT(HLG_02[[#This Row],[Batch]],"000")&amp; " / " &amp; TEXT(HLG_02[[#This Row],[Rit]],"000")</f>
        <v>002 / 018</v>
      </c>
      <c r="J12" s="34" t="s">
        <v>2624</v>
      </c>
      <c r="K12" s="38" t="s">
        <v>2616</v>
      </c>
      <c r="L12" s="35"/>
      <c r="M12" s="85"/>
      <c r="N12" s="85"/>
      <c r="O12" s="85"/>
      <c r="P12" s="85"/>
      <c r="Q12" s="85"/>
      <c r="R12" s="85"/>
      <c r="S12" s="100"/>
      <c r="T12" s="100"/>
      <c r="U12" s="85"/>
      <c r="V12" s="85"/>
      <c r="W12" s="85"/>
      <c r="X12" s="85"/>
      <c r="Z12" t="str">
        <v>46211/D|BR1/03</v>
      </c>
      <c r="AA12" t="str">
        <v>STM-A40_0103</v>
      </c>
      <c r="AB12" t="str">
        <v>LIM</v>
      </c>
      <c r="AC12" t="str">
        <v>LS_09</v>
      </c>
      <c r="AD12" t="str">
        <v>L9_26</v>
      </c>
      <c r="AE12" t="str">
        <v>002 / 021</v>
      </c>
      <c r="AF12" t="str">
        <v>No</v>
      </c>
      <c r="AG12" t="str">
        <v/>
      </c>
      <c r="AH12" t="str">
        <v/>
      </c>
      <c r="AP12" t="str">
        <v>STM-A40_0095</v>
      </c>
      <c r="AQ12" t="str">
        <v>STM-A40_0096</v>
      </c>
      <c r="AR12" t="str">
        <v>STM-A40_0097</v>
      </c>
      <c r="AS12" t="str">
        <v>STM-A40_0103</v>
      </c>
      <c r="AT12" t="str">
        <v>STM-A40_0131</v>
      </c>
      <c r="AU12" t="str">
        <v>STM-A40_0135</v>
      </c>
      <c r="AV12" t="str">
        <v>STM-A40_2010</v>
      </c>
    </row>
    <row r="13" spans="1:125" ht="15.75" x14ac:dyDescent="0.25">
      <c r="D13" s="3">
        <v>1</v>
      </c>
      <c r="F13" s="16" cm="1">
        <f t="array" ref="F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13" s="31" cm="1">
        <f t="array" ref="G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13" s="33" t="str">
        <f>_xlfn.IFNA(IF(MOD(HLG_02[[#This Row],[Rit]],
    _xlfn.XLOOKUP($G$2,Int_Sample[Ore],Int_Sample[Inc])) = 0, "YES", "NO"),"")</f>
        <v>NO</v>
      </c>
      <c r="I13" s="32" t="str">
        <f>TEXT(HLG_02[[#This Row],[Batch]],"000")&amp; " / " &amp; TEXT(HLG_02[[#This Row],[Rit]],"000")</f>
        <v>002 / 019</v>
      </c>
      <c r="J13" s="34" t="s">
        <v>2624</v>
      </c>
      <c r="K13" s="38" t="s">
        <v>2615</v>
      </c>
      <c r="L13" s="35"/>
      <c r="M13" s="85"/>
      <c r="N13" s="85"/>
      <c r="O13" s="85"/>
      <c r="P13" s="85"/>
      <c r="Q13" s="85"/>
      <c r="R13" s="85"/>
      <c r="S13" s="100"/>
      <c r="T13" s="100"/>
      <c r="U13" s="85"/>
      <c r="V13" s="85"/>
      <c r="W13" s="85"/>
      <c r="X13" s="85"/>
      <c r="Z13" t="str">
        <v>46211/D|BR1/03</v>
      </c>
      <c r="AA13" t="str">
        <v>STM-A40_0096</v>
      </c>
      <c r="AB13" t="str">
        <v>LIM</v>
      </c>
      <c r="AC13" t="str">
        <v>LS_09</v>
      </c>
      <c r="AD13" t="str">
        <v>L9_26</v>
      </c>
      <c r="AE13" t="str">
        <v>002 / 022</v>
      </c>
      <c r="AF13" t="str">
        <v>No</v>
      </c>
      <c r="AG13" t="str">
        <v/>
      </c>
      <c r="AH13" t="str">
        <v/>
      </c>
      <c r="AP13" t="str">
        <v>STM-A40_0095</v>
      </c>
      <c r="AQ13" t="str">
        <v>STM-A40_0096</v>
      </c>
      <c r="AR13" t="str">
        <v>STM-A40_0097</v>
      </c>
      <c r="AS13" t="str">
        <v>STM-A40_0103</v>
      </c>
      <c r="AT13" t="str">
        <v>STM-A40_0131</v>
      </c>
      <c r="AU13" t="str">
        <v>STM-A40_0135</v>
      </c>
      <c r="AV13" t="str">
        <v>STM-A40_2010</v>
      </c>
    </row>
    <row r="14" spans="1:125" ht="15.75" x14ac:dyDescent="0.25">
      <c r="D14" s="3">
        <v>1</v>
      </c>
      <c r="F14" s="16" cm="1">
        <f t="array" ref="F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14" s="31" cm="1">
        <f t="array" ref="G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14" s="33" t="str">
        <f>_xlfn.IFNA(IF(MOD(HLG_02[[#This Row],[Rit]],
    _xlfn.XLOOKUP($G$2,Int_Sample[Ore],Int_Sample[Inc])) = 0, "YES", "NO"),"")</f>
        <v>YES</v>
      </c>
      <c r="I14" s="32" t="str">
        <f>TEXT(HLG_02[[#This Row],[Batch]],"000")&amp; " / " &amp; TEXT(HLG_02[[#This Row],[Rit]],"000")</f>
        <v>002 / 020</v>
      </c>
      <c r="J14" s="34" t="s">
        <v>2624</v>
      </c>
      <c r="K14" s="38" t="s">
        <v>2617</v>
      </c>
      <c r="L14" s="35"/>
      <c r="M14" s="85"/>
      <c r="N14" s="85"/>
      <c r="O14" s="85"/>
      <c r="P14" s="85"/>
      <c r="Q14" s="85"/>
      <c r="R14" s="85"/>
      <c r="S14" s="100"/>
      <c r="T14" s="100"/>
      <c r="U14" s="85"/>
      <c r="V14" s="85"/>
      <c r="W14" s="85"/>
      <c r="X14" s="85"/>
      <c r="Z14" t="str">
        <v>46211/D|BR1/03</v>
      </c>
      <c r="AA14" t="str">
        <v>STM-A40_0131</v>
      </c>
      <c r="AB14" t="str">
        <v>LIM</v>
      </c>
      <c r="AC14" t="str">
        <v>LS_09</v>
      </c>
      <c r="AD14" t="str">
        <v>L9_26</v>
      </c>
      <c r="AE14" t="str">
        <v>002 / 023</v>
      </c>
      <c r="AF14" t="str">
        <v>No</v>
      </c>
      <c r="AG14" t="str">
        <v/>
      </c>
      <c r="AH14" t="str">
        <v/>
      </c>
      <c r="AP14" t="str">
        <v>STM-A40_0095</v>
      </c>
      <c r="AQ14" t="str">
        <v>STM-A40_0096</v>
      </c>
      <c r="AR14" t="str">
        <v>STM-A40_0097</v>
      </c>
      <c r="AS14" t="str">
        <v>STM-A40_0103</v>
      </c>
      <c r="AT14" t="str">
        <v>STM-A40_0131</v>
      </c>
      <c r="AU14" t="str">
        <v>STM-A40_0135</v>
      </c>
      <c r="AV14" t="str">
        <v>STM-A40_2010</v>
      </c>
    </row>
    <row r="15" spans="1:125" ht="15.75" x14ac:dyDescent="0.25">
      <c r="D15" s="3">
        <v>1</v>
      </c>
      <c r="F15" s="16" cm="1">
        <f t="array" ref="F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15" s="31" cm="1">
        <f t="array" ref="G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21</v>
      </c>
      <c r="H15" s="33" t="str">
        <f>_xlfn.IFNA(IF(MOD(HLG_02[[#This Row],[Rit]],
    _xlfn.XLOOKUP($G$2,Int_Sample[Ore],Int_Sample[Inc])) = 0, "YES", "NO"),"")</f>
        <v>NO</v>
      </c>
      <c r="I15" s="32" t="str">
        <f>TEXT(HLG_02[[#This Row],[Batch]],"000")&amp; " / " &amp; TEXT(HLG_02[[#This Row],[Rit]],"000")</f>
        <v>002 / 021</v>
      </c>
      <c r="J15" s="34" t="s">
        <v>2624</v>
      </c>
      <c r="K15" s="38" t="s">
        <v>2618</v>
      </c>
      <c r="L15" s="35"/>
      <c r="M15" s="85"/>
      <c r="N15" s="85"/>
      <c r="O15" s="85"/>
      <c r="P15" s="85"/>
      <c r="Q15" s="85"/>
      <c r="R15" s="85"/>
      <c r="S15" s="100"/>
      <c r="T15" s="100"/>
      <c r="U15" s="85"/>
      <c r="V15" s="85"/>
      <c r="W15" s="85"/>
      <c r="X15" s="85"/>
      <c r="Z15" t="str">
        <v>46211/D|BR1/03</v>
      </c>
      <c r="AA15" t="str">
        <v>STM-A40_0095</v>
      </c>
      <c r="AB15" t="str">
        <v>LIM</v>
      </c>
      <c r="AC15" t="str">
        <v>LS_09</v>
      </c>
      <c r="AD15" t="str">
        <v>L9_26</v>
      </c>
      <c r="AE15" t="str">
        <v>002 / 024</v>
      </c>
      <c r="AF15" t="str">
        <v>No</v>
      </c>
      <c r="AG15" t="str">
        <v/>
      </c>
      <c r="AH15" t="str">
        <v/>
      </c>
      <c r="AP15" t="str">
        <v>STM-A40_0095</v>
      </c>
      <c r="AQ15" t="str">
        <v>STM-A40_0096</v>
      </c>
      <c r="AR15" t="str">
        <v>STM-A40_0097</v>
      </c>
      <c r="AS15" t="str">
        <v>STM-A40_0103</v>
      </c>
      <c r="AT15" t="str">
        <v>STM-A40_0131</v>
      </c>
      <c r="AU15" t="str">
        <v>STM-A40_0135</v>
      </c>
      <c r="AV15" t="str">
        <v>STM-A40_2010</v>
      </c>
    </row>
    <row r="16" spans="1:125" ht="15.75" x14ac:dyDescent="0.25">
      <c r="D16" s="3">
        <v>1</v>
      </c>
      <c r="F16" s="16" cm="1">
        <f t="array" ref="F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16" s="31" cm="1">
        <f t="array" ref="G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22</v>
      </c>
      <c r="H16" s="33" t="str">
        <f>_xlfn.IFNA(IF(MOD(HLG_02[[#This Row],[Rit]],
    _xlfn.XLOOKUP($G$2,Int_Sample[Ore],Int_Sample[Inc])) = 0, "YES", "NO"),"")</f>
        <v>NO</v>
      </c>
      <c r="I16" s="32" t="str">
        <f>TEXT(HLG_02[[#This Row],[Batch]],"000")&amp; " / " &amp; TEXT(HLG_02[[#This Row],[Rit]],"000")</f>
        <v>002 / 022</v>
      </c>
      <c r="J16" s="34" t="s">
        <v>2624</v>
      </c>
      <c r="K16" s="38" t="s">
        <v>2614</v>
      </c>
      <c r="L16" s="35"/>
      <c r="M16" s="85"/>
      <c r="N16" s="85"/>
      <c r="O16" s="85"/>
      <c r="P16" s="85"/>
      <c r="Q16" s="85"/>
      <c r="R16" s="85"/>
      <c r="S16" s="100"/>
      <c r="T16" s="100"/>
      <c r="U16" s="85"/>
      <c r="V16" s="85"/>
      <c r="W16" s="85"/>
      <c r="X16" s="85"/>
      <c r="Z16" t="str">
        <v>46211/D|BR1/03</v>
      </c>
      <c r="AA16" t="str">
        <v>STM-A40_0135</v>
      </c>
      <c r="AB16" t="str">
        <v>LIM</v>
      </c>
      <c r="AC16" t="str">
        <v>LS_09</v>
      </c>
      <c r="AD16" t="str">
        <v>L9_26</v>
      </c>
      <c r="AE16" t="str">
        <v>002 / 025</v>
      </c>
      <c r="AF16" t="str">
        <v>Yes</v>
      </c>
      <c r="AG16" t="str">
        <v/>
      </c>
      <c r="AH16" t="str">
        <v/>
      </c>
      <c r="AP16" t="str">
        <v>STM-A40_0095</v>
      </c>
      <c r="AQ16" t="str">
        <v>STM-A40_0096</v>
      </c>
      <c r="AR16" t="str">
        <v>STM-A40_0097</v>
      </c>
      <c r="AS16" t="str">
        <v>STM-A40_0103</v>
      </c>
      <c r="AT16" t="str">
        <v>STM-A40_0131</v>
      </c>
      <c r="AU16" t="str">
        <v>STM-A40_0135</v>
      </c>
      <c r="AV16" t="str">
        <v>STM-A40_2010</v>
      </c>
    </row>
    <row r="17" spans="4:48" ht="15.75" x14ac:dyDescent="0.25">
      <c r="D17" s="3">
        <v>1</v>
      </c>
      <c r="F17" s="16" cm="1">
        <f t="array" ref="F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17" s="31" cm="1">
        <f t="array" ref="G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23</v>
      </c>
      <c r="H17" s="33" t="str">
        <f>_xlfn.IFNA(IF(MOD(HLG_02[[#This Row],[Rit]],
    _xlfn.XLOOKUP($G$2,Int_Sample[Ore],Int_Sample[Inc])) = 0, "YES", "NO"),"")</f>
        <v>NO</v>
      </c>
      <c r="I17" s="32" t="str">
        <f>TEXT(HLG_02[[#This Row],[Batch]],"000")&amp; " / " &amp; TEXT(HLG_02[[#This Row],[Rit]],"000")</f>
        <v>002 / 023</v>
      </c>
      <c r="J17" s="34" t="s">
        <v>2624</v>
      </c>
      <c r="K17" s="38" t="s">
        <v>2616</v>
      </c>
      <c r="L17" s="35"/>
      <c r="M17" s="85"/>
      <c r="N17" s="85"/>
      <c r="O17" s="85"/>
      <c r="P17" s="85"/>
      <c r="Q17" s="85"/>
      <c r="R17" s="85"/>
      <c r="S17" s="100"/>
      <c r="T17" s="100"/>
      <c r="U17" s="85"/>
      <c r="V17" s="85"/>
      <c r="W17" s="85"/>
      <c r="X17" s="85"/>
      <c r="Z17" t="str">
        <v>46211/D|BR1/03</v>
      </c>
      <c r="AA17" t="str">
        <v>STM-A40_0103</v>
      </c>
      <c r="AB17" t="str">
        <v>LIM</v>
      </c>
      <c r="AC17" t="str">
        <v>LS_09</v>
      </c>
      <c r="AD17" t="str">
        <v>L9_26</v>
      </c>
      <c r="AE17" t="str">
        <v>002 / 026</v>
      </c>
      <c r="AF17" t="str">
        <v>No</v>
      </c>
      <c r="AG17" t="str">
        <v/>
      </c>
      <c r="AH17" t="str">
        <v/>
      </c>
      <c r="AP17" t="str">
        <v>STM-A40_0095</v>
      </c>
      <c r="AQ17" t="str">
        <v>STM-A40_0096</v>
      </c>
      <c r="AR17" t="str">
        <v>STM-A40_0097</v>
      </c>
      <c r="AS17" t="str">
        <v>STM-A40_0103</v>
      </c>
      <c r="AT17" t="str">
        <v>STM-A40_0131</v>
      </c>
      <c r="AU17" t="str">
        <v>STM-A40_0135</v>
      </c>
      <c r="AV17" t="str">
        <v>STM-A40_2010</v>
      </c>
    </row>
    <row r="18" spans="4:48" ht="15.75" x14ac:dyDescent="0.25">
      <c r="D18" s="3">
        <v>1</v>
      </c>
      <c r="F18" s="16" cm="1">
        <f t="array" ref="F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18" s="31" cm="1">
        <f t="array" ref="G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24</v>
      </c>
      <c r="H18" s="33" t="str">
        <f>_xlfn.IFNA(IF(MOD(HLG_02[[#This Row],[Rit]],
    _xlfn.XLOOKUP($G$2,Int_Sample[Ore],Int_Sample[Inc])) = 0, "YES", "NO"),"")</f>
        <v>NO</v>
      </c>
      <c r="I18" s="32" t="str">
        <f>TEXT(HLG_02[[#This Row],[Batch]],"000")&amp; " / " &amp; TEXT(HLG_02[[#This Row],[Rit]],"000")</f>
        <v>002 / 024</v>
      </c>
      <c r="J18" s="34" t="s">
        <v>2624</v>
      </c>
      <c r="K18" s="38" t="s">
        <v>2615</v>
      </c>
      <c r="L18" s="35"/>
      <c r="M18" s="85"/>
      <c r="N18" s="85"/>
      <c r="O18" s="85"/>
      <c r="P18" s="85"/>
      <c r="Q18" s="85"/>
      <c r="R18" s="85"/>
      <c r="S18" s="100"/>
      <c r="T18" s="100"/>
      <c r="U18" s="85"/>
      <c r="V18" s="85"/>
      <c r="W18" s="85"/>
      <c r="X18" s="85"/>
      <c r="Z18" t="str">
        <v>46211/D|BR1/03</v>
      </c>
      <c r="AA18" t="str">
        <v>STM-A40_0096</v>
      </c>
      <c r="AB18" t="str">
        <v>LIM</v>
      </c>
      <c r="AC18" t="str">
        <v>LS_09</v>
      </c>
      <c r="AD18" t="str">
        <v>L9_26</v>
      </c>
      <c r="AE18" t="str">
        <v>002 / 027</v>
      </c>
      <c r="AF18" t="str">
        <v>No</v>
      </c>
      <c r="AG18" t="str">
        <v/>
      </c>
      <c r="AH18" t="str">
        <v/>
      </c>
      <c r="AP18" t="str">
        <v>STM-A40_0095</v>
      </c>
      <c r="AQ18" t="str">
        <v>STM-A40_0096</v>
      </c>
      <c r="AR18" t="str">
        <v>STM-A40_0097</v>
      </c>
      <c r="AS18" t="str">
        <v>STM-A40_0103</v>
      </c>
      <c r="AT18" t="str">
        <v>STM-A40_0131</v>
      </c>
      <c r="AU18" t="str">
        <v>STM-A40_0135</v>
      </c>
      <c r="AV18" t="str">
        <v>STM-A40_2010</v>
      </c>
    </row>
    <row r="19" spans="4:48" ht="15.75" x14ac:dyDescent="0.25">
      <c r="D19" s="3">
        <v>1</v>
      </c>
      <c r="F19" s="16" cm="1">
        <f t="array" ref="F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19" s="31" cm="1">
        <f t="array" ref="G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25</v>
      </c>
      <c r="H19" s="33" t="str">
        <f>_xlfn.IFNA(IF(MOD(HLG_02[[#This Row],[Rit]],
    _xlfn.XLOOKUP($G$2,Int_Sample[Ore],Int_Sample[Inc])) = 0, "YES", "NO"),"")</f>
        <v>YES</v>
      </c>
      <c r="I19" s="32" t="str">
        <f>TEXT(HLG_02[[#This Row],[Batch]],"000")&amp; " / " &amp; TEXT(HLG_02[[#This Row],[Rit]],"000")</f>
        <v>002 / 025</v>
      </c>
      <c r="J19" s="34" t="s">
        <v>2624</v>
      </c>
      <c r="K19" s="38" t="s">
        <v>2617</v>
      </c>
      <c r="L19" s="35"/>
      <c r="M19" s="85"/>
      <c r="N19" s="85"/>
      <c r="O19" s="85"/>
      <c r="P19" s="85"/>
      <c r="Q19" s="85"/>
      <c r="R19" s="85"/>
      <c r="S19" s="100"/>
      <c r="T19" s="100"/>
      <c r="U19" s="85"/>
      <c r="V19" s="85"/>
      <c r="W19" s="85"/>
      <c r="X19" s="85"/>
      <c r="Z19" t="str">
        <v>46211/D|BR1/03</v>
      </c>
      <c r="AA19" t="str">
        <v>STM-A40_0095</v>
      </c>
      <c r="AB19" t="str">
        <v>LIM</v>
      </c>
      <c r="AC19" t="str">
        <v>LS_09</v>
      </c>
      <c r="AD19" t="str">
        <v>L9_26</v>
      </c>
      <c r="AE19" t="str">
        <v>002 / 028</v>
      </c>
      <c r="AF19" t="str">
        <v>No</v>
      </c>
      <c r="AG19" t="str">
        <v/>
      </c>
      <c r="AH19" t="str">
        <v/>
      </c>
      <c r="AP19" t="str">
        <v>STM-A40_0095</v>
      </c>
      <c r="AQ19" t="str">
        <v>STM-A40_0096</v>
      </c>
      <c r="AR19" t="str">
        <v>STM-A40_0097</v>
      </c>
      <c r="AS19" t="str">
        <v>STM-A40_0103</v>
      </c>
      <c r="AT19" t="str">
        <v>STM-A40_0131</v>
      </c>
      <c r="AU19" t="str">
        <v>STM-A40_0135</v>
      </c>
      <c r="AV19" t="str">
        <v>STM-A40_2010</v>
      </c>
    </row>
    <row r="20" spans="4:48" ht="15.75" x14ac:dyDescent="0.25">
      <c r="D20" s="3">
        <v>1</v>
      </c>
      <c r="F20" s="16" cm="1">
        <f t="array" ref="F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20" s="31" cm="1">
        <f t="array" ref="G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26</v>
      </c>
      <c r="H20" s="33" t="str">
        <f>_xlfn.IFNA(IF(MOD(HLG_02[[#This Row],[Rit]],
    _xlfn.XLOOKUP($G$2,Int_Sample[Ore],Int_Sample[Inc])) = 0, "YES", "NO"),"")</f>
        <v>NO</v>
      </c>
      <c r="I20" s="32" t="str">
        <f>TEXT(HLG_02[[#This Row],[Batch]],"000")&amp; " / " &amp; TEXT(HLG_02[[#This Row],[Rit]],"000")</f>
        <v>002 / 026</v>
      </c>
      <c r="J20" s="34" t="s">
        <v>2624</v>
      </c>
      <c r="K20" s="38" t="s">
        <v>2618</v>
      </c>
      <c r="L20" s="35"/>
      <c r="M20" s="85"/>
      <c r="N20" s="85"/>
      <c r="O20" s="85"/>
      <c r="P20" s="85"/>
      <c r="Q20" s="85"/>
      <c r="R20" s="85"/>
      <c r="S20" s="100"/>
      <c r="T20" s="100"/>
      <c r="U20" s="85"/>
      <c r="V20" s="85"/>
      <c r="W20" s="85"/>
      <c r="X20" s="85"/>
      <c r="Z20" t="str">
        <v>46211/D|BR1/03</v>
      </c>
      <c r="AA20" t="str">
        <v>STM-A40_0103</v>
      </c>
      <c r="AB20" t="str">
        <v>LIM</v>
      </c>
      <c r="AC20" t="str">
        <v>LS_09</v>
      </c>
      <c r="AD20" t="str">
        <v>L9_26</v>
      </c>
      <c r="AE20" t="str">
        <v>002 / 029</v>
      </c>
      <c r="AF20" t="str">
        <v>No</v>
      </c>
      <c r="AG20" t="str">
        <v/>
      </c>
      <c r="AH20" t="str">
        <v/>
      </c>
      <c r="AP20" t="str">
        <v>STM-A40_0095</v>
      </c>
      <c r="AQ20" t="str">
        <v>STM-A40_0096</v>
      </c>
      <c r="AR20" t="str">
        <v>STM-A40_0097</v>
      </c>
      <c r="AS20" t="str">
        <v>STM-A40_0103</v>
      </c>
      <c r="AT20" t="str">
        <v>STM-A40_0131</v>
      </c>
      <c r="AU20" t="str">
        <v>STM-A40_0135</v>
      </c>
      <c r="AV20" t="str">
        <v>STM-A40_2010</v>
      </c>
    </row>
    <row r="21" spans="4:48" ht="15.75" x14ac:dyDescent="0.25">
      <c r="D21" s="3">
        <v>1</v>
      </c>
      <c r="F21" s="16" cm="1">
        <f t="array" ref="F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21" s="31" cm="1">
        <f t="array" ref="G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27</v>
      </c>
      <c r="H21" s="33" t="str">
        <f>_xlfn.IFNA(IF(MOD(HLG_02[[#This Row],[Rit]],
    _xlfn.XLOOKUP($G$2,Int_Sample[Ore],Int_Sample[Inc])) = 0, "YES", "NO"),"")</f>
        <v>NO</v>
      </c>
      <c r="I21" s="32" t="str">
        <f>TEXT(HLG_02[[#This Row],[Batch]],"000")&amp; " / " &amp; TEXT(HLG_02[[#This Row],[Rit]],"000")</f>
        <v>002 / 027</v>
      </c>
      <c r="J21" s="34" t="s">
        <v>2624</v>
      </c>
      <c r="K21" s="38" t="s">
        <v>2614</v>
      </c>
      <c r="L21" s="35"/>
      <c r="M21" s="85"/>
      <c r="N21" s="85"/>
      <c r="O21" s="85"/>
      <c r="P21" s="85"/>
      <c r="Q21" s="85"/>
      <c r="R21" s="85"/>
      <c r="S21" s="100"/>
      <c r="T21" s="100"/>
      <c r="U21" s="85"/>
      <c r="V21" s="85"/>
      <c r="W21" s="85"/>
      <c r="X21" s="85"/>
      <c r="Z21" t="str">
        <v>46211/D|BR1/03</v>
      </c>
      <c r="AA21" t="str">
        <v>STM-A40_0131</v>
      </c>
      <c r="AB21" t="str">
        <v>LIM</v>
      </c>
      <c r="AC21" t="str">
        <v>LS_09</v>
      </c>
      <c r="AD21" t="str">
        <v>L9_26</v>
      </c>
      <c r="AE21" t="str">
        <v>002 / 030</v>
      </c>
      <c r="AF21" t="str">
        <v>Yes</v>
      </c>
      <c r="AG21" t="str">
        <v/>
      </c>
      <c r="AH21" t="str">
        <v/>
      </c>
      <c r="AP21" t="str">
        <v>STM-A40_0095</v>
      </c>
      <c r="AQ21" t="str">
        <v>STM-A40_0096</v>
      </c>
      <c r="AR21" t="str">
        <v>STM-A40_0097</v>
      </c>
      <c r="AS21" t="str">
        <v>STM-A40_0103</v>
      </c>
      <c r="AT21" t="str">
        <v>STM-A40_0131</v>
      </c>
      <c r="AU21" t="str">
        <v>STM-A40_0135</v>
      </c>
      <c r="AV21" t="str">
        <v>STM-A40_2010</v>
      </c>
    </row>
    <row r="22" spans="4:48" ht="15.75" x14ac:dyDescent="0.25">
      <c r="D22" s="3">
        <v>1</v>
      </c>
      <c r="F22" s="16" cm="1">
        <f t="array" ref="F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22" s="31" cm="1">
        <f t="array" ref="G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28</v>
      </c>
      <c r="H22" s="33" t="str">
        <f>_xlfn.IFNA(IF(MOD(HLG_02[[#This Row],[Rit]],
    _xlfn.XLOOKUP($G$2,Int_Sample[Ore],Int_Sample[Inc])) = 0, "YES", "NO"),"")</f>
        <v>NO</v>
      </c>
      <c r="I22" s="32" t="str">
        <f>TEXT(HLG_02[[#This Row],[Batch]],"000")&amp; " / " &amp; TEXT(HLG_02[[#This Row],[Rit]],"000")</f>
        <v>002 / 028</v>
      </c>
      <c r="J22" s="34" t="s">
        <v>2624</v>
      </c>
      <c r="K22" s="38" t="s">
        <v>2615</v>
      </c>
      <c r="L22" s="35"/>
      <c r="M22" s="85"/>
      <c r="N22" s="85"/>
      <c r="O22" s="85"/>
      <c r="P22" s="85"/>
      <c r="Q22" s="85"/>
      <c r="R22" s="85"/>
      <c r="S22" s="100"/>
      <c r="T22" s="100"/>
      <c r="U22" s="85"/>
      <c r="V22" s="85"/>
      <c r="W22" s="85"/>
      <c r="X22" s="85"/>
      <c r="Z22" t="str">
        <v>46211/D|BR1/03</v>
      </c>
      <c r="AA22" t="str">
        <v>STM-A40_0095</v>
      </c>
      <c r="AB22" t="str">
        <v>LIM</v>
      </c>
      <c r="AC22" t="str">
        <v>LS_09</v>
      </c>
      <c r="AD22" t="str">
        <v>L9_26</v>
      </c>
      <c r="AE22" t="str">
        <v>002 / 031</v>
      </c>
      <c r="AF22" t="str">
        <v>No</v>
      </c>
      <c r="AG22" t="str">
        <v/>
      </c>
      <c r="AH22" t="str">
        <v/>
      </c>
      <c r="AP22" t="str">
        <v>STM-A40_0095</v>
      </c>
      <c r="AQ22" t="str">
        <v>STM-A40_0096</v>
      </c>
      <c r="AR22" t="str">
        <v>STM-A40_0097</v>
      </c>
      <c r="AS22" t="str">
        <v>STM-A40_0103</v>
      </c>
      <c r="AT22" t="str">
        <v>STM-A40_0131</v>
      </c>
      <c r="AU22" t="str">
        <v>STM-A40_0135</v>
      </c>
      <c r="AV22" t="str">
        <v>STM-A40_2010</v>
      </c>
    </row>
    <row r="23" spans="4:48" ht="15.75" x14ac:dyDescent="0.25">
      <c r="D23" s="3">
        <v>1</v>
      </c>
      <c r="F23" s="16" cm="1">
        <f t="array" ref="F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23" s="31" cm="1">
        <f t="array" ref="G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29</v>
      </c>
      <c r="H23" s="33" t="str">
        <f>_xlfn.IFNA(IF(MOD(HLG_02[[#This Row],[Rit]],
    _xlfn.XLOOKUP($G$2,Int_Sample[Ore],Int_Sample[Inc])) = 0, "YES", "NO"),"")</f>
        <v>NO</v>
      </c>
      <c r="I23" s="32" t="str">
        <f>TEXT(HLG_02[[#This Row],[Batch]],"000")&amp; " / " &amp; TEXT(HLG_02[[#This Row],[Rit]],"000")</f>
        <v>002 / 029</v>
      </c>
      <c r="J23" s="34" t="s">
        <v>2624</v>
      </c>
      <c r="K23" s="38" t="s">
        <v>2618</v>
      </c>
      <c r="L23" s="35"/>
      <c r="M23" s="85"/>
      <c r="N23" s="85"/>
      <c r="O23" s="85"/>
      <c r="P23" s="85"/>
      <c r="Q23" s="85"/>
      <c r="R23" s="85"/>
      <c r="S23" s="100"/>
      <c r="T23" s="100"/>
      <c r="U23" s="85"/>
      <c r="V23" s="85"/>
      <c r="W23" s="85"/>
      <c r="X23" s="85"/>
      <c r="Z23" t="str">
        <v>46211/D|BR1/03</v>
      </c>
      <c r="AA23" t="str">
        <v>STM-A40_0096</v>
      </c>
      <c r="AB23" t="str">
        <v>LIM</v>
      </c>
      <c r="AC23" t="str">
        <v>LS_09</v>
      </c>
      <c r="AD23" t="str">
        <v>L9_26</v>
      </c>
      <c r="AE23" t="str">
        <v>002 / 032</v>
      </c>
      <c r="AF23" t="str">
        <v>No</v>
      </c>
      <c r="AG23" t="str">
        <v/>
      </c>
      <c r="AH23" t="str">
        <v/>
      </c>
      <c r="AP23" t="str">
        <v>STM-A40_0095</v>
      </c>
      <c r="AQ23" t="str">
        <v>STM-A40_0096</v>
      </c>
      <c r="AR23" t="str">
        <v>STM-A40_0097</v>
      </c>
      <c r="AS23" t="str">
        <v>STM-A40_0103</v>
      </c>
      <c r="AT23" t="str">
        <v>STM-A40_0131</v>
      </c>
      <c r="AU23" t="str">
        <v>STM-A40_0135</v>
      </c>
      <c r="AV23" t="str">
        <v>STM-A40_2010</v>
      </c>
    </row>
    <row r="24" spans="4:48" ht="15.75" x14ac:dyDescent="0.25">
      <c r="D24" s="3">
        <v>1</v>
      </c>
      <c r="F24" s="16" cm="1">
        <f t="array" ref="F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24" s="31" cm="1">
        <f t="array" ref="G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30</v>
      </c>
      <c r="H24" s="33" t="str">
        <f>_xlfn.IFNA(IF(MOD(HLG_02[[#This Row],[Rit]],
    _xlfn.XLOOKUP($G$2,Int_Sample[Ore],Int_Sample[Inc])) = 0, "YES", "NO"),"")</f>
        <v>YES</v>
      </c>
      <c r="I24" s="32" t="str">
        <f>TEXT(HLG_02[[#This Row],[Batch]],"000")&amp; " / " &amp; TEXT(HLG_02[[#This Row],[Rit]],"000")</f>
        <v>002 / 030</v>
      </c>
      <c r="J24" s="34" t="s">
        <v>2624</v>
      </c>
      <c r="K24" s="38" t="s">
        <v>2616</v>
      </c>
      <c r="L24" s="35"/>
      <c r="M24" s="85"/>
      <c r="N24" s="85"/>
      <c r="O24" s="85"/>
      <c r="P24" s="85"/>
      <c r="Q24" s="85"/>
      <c r="R24" s="85"/>
      <c r="S24" s="100"/>
      <c r="T24" s="100"/>
      <c r="U24" s="85"/>
      <c r="V24" s="85"/>
      <c r="W24" s="85"/>
      <c r="X24" s="85"/>
      <c r="Z24" t="str">
        <v>46211/D|BR1/03</v>
      </c>
      <c r="AA24" t="str">
        <v>STM-A40_0135</v>
      </c>
      <c r="AB24" t="str">
        <v>LIM</v>
      </c>
      <c r="AC24" t="str">
        <v>LS_09</v>
      </c>
      <c r="AD24" t="str">
        <v>L9_26</v>
      </c>
      <c r="AE24" t="str">
        <v>002 / 033</v>
      </c>
      <c r="AF24" t="str">
        <v>No</v>
      </c>
      <c r="AG24" t="str">
        <v/>
      </c>
      <c r="AH24" t="str">
        <v/>
      </c>
      <c r="AP24" t="str">
        <v>STM-A40_0095</v>
      </c>
      <c r="AQ24" t="str">
        <v>STM-A40_0096</v>
      </c>
      <c r="AR24" t="str">
        <v>STM-A40_0097</v>
      </c>
      <c r="AS24" t="str">
        <v>STM-A40_0103</v>
      </c>
      <c r="AT24" t="str">
        <v>STM-A40_0131</v>
      </c>
      <c r="AU24" t="str">
        <v>STM-A40_0135</v>
      </c>
      <c r="AV24" t="str">
        <v>STM-A40_2010</v>
      </c>
    </row>
    <row r="25" spans="4:48" ht="15.75" x14ac:dyDescent="0.25">
      <c r="D25" s="3">
        <v>1</v>
      </c>
      <c r="F25" s="16" cm="1">
        <f t="array" ref="F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25" s="31" cm="1">
        <f t="array" ref="G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31</v>
      </c>
      <c r="H25" s="33" t="str">
        <f>_xlfn.IFNA(IF(MOD(HLG_02[[#This Row],[Rit]],
    _xlfn.XLOOKUP($G$2,Int_Sample[Ore],Int_Sample[Inc])) = 0, "YES", "NO"),"")</f>
        <v>NO</v>
      </c>
      <c r="I25" s="32" t="str">
        <f>TEXT(HLG_02[[#This Row],[Batch]],"000")&amp; " / " &amp; TEXT(HLG_02[[#This Row],[Rit]],"000")</f>
        <v>002 / 031</v>
      </c>
      <c r="J25" s="34" t="s">
        <v>2624</v>
      </c>
      <c r="K25" s="38" t="s">
        <v>2615</v>
      </c>
      <c r="L25" s="35"/>
      <c r="M25" s="85"/>
      <c r="N25" s="85"/>
      <c r="O25" s="85"/>
      <c r="P25" s="85"/>
      <c r="Q25" s="85"/>
      <c r="R25" s="85"/>
      <c r="S25" s="100"/>
      <c r="T25" s="100"/>
      <c r="U25" s="85"/>
      <c r="V25" s="85"/>
      <c r="W25" s="85"/>
      <c r="X25" s="85"/>
      <c r="Z25" t="str">
        <v>46211/D|BR1/03</v>
      </c>
      <c r="AA25" t="str">
        <v>STM-A40_0103</v>
      </c>
      <c r="AB25" t="str">
        <v>LIM</v>
      </c>
      <c r="AC25" t="str">
        <v>LS_09</v>
      </c>
      <c r="AD25" t="str">
        <v>L9_26</v>
      </c>
      <c r="AE25" t="str">
        <v>002 / 034</v>
      </c>
      <c r="AF25" t="str">
        <v>No</v>
      </c>
      <c r="AG25" t="str">
        <v/>
      </c>
      <c r="AH25" t="str">
        <v/>
      </c>
      <c r="AP25" t="str">
        <v>STM-A40_0095</v>
      </c>
      <c r="AQ25" t="str">
        <v>STM-A40_0096</v>
      </c>
      <c r="AR25" t="str">
        <v>STM-A40_0097</v>
      </c>
      <c r="AS25" t="str">
        <v>STM-A40_0103</v>
      </c>
      <c r="AT25" t="str">
        <v>STM-A40_0131</v>
      </c>
      <c r="AU25" t="str">
        <v>STM-A40_0135</v>
      </c>
      <c r="AV25" t="str">
        <v>STM-A40_2010</v>
      </c>
    </row>
    <row r="26" spans="4:48" ht="15.75" x14ac:dyDescent="0.25">
      <c r="D26" s="3">
        <v>1</v>
      </c>
      <c r="F26" s="16" cm="1">
        <f t="array" ref="F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26" s="31" cm="1">
        <f t="array" ref="G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32</v>
      </c>
      <c r="H26" s="33" t="str">
        <f>_xlfn.IFNA(IF(MOD(HLG_02[[#This Row],[Rit]],
    _xlfn.XLOOKUP($G$2,Int_Sample[Ore],Int_Sample[Inc])) = 0, "YES", "NO"),"")</f>
        <v>NO</v>
      </c>
      <c r="I26" s="32" t="str">
        <f>TEXT(HLG_02[[#This Row],[Batch]],"000")&amp; " / " &amp; TEXT(HLG_02[[#This Row],[Rit]],"000")</f>
        <v>002 / 032</v>
      </c>
      <c r="J26" s="34" t="s">
        <v>2624</v>
      </c>
      <c r="K26" s="38" t="s">
        <v>2614</v>
      </c>
      <c r="L26" s="35"/>
      <c r="M26" s="85"/>
      <c r="N26" s="85"/>
      <c r="O26" s="85"/>
      <c r="P26" s="85"/>
      <c r="Q26" s="85"/>
      <c r="R26" s="85"/>
      <c r="S26" s="100"/>
      <c r="T26" s="100"/>
      <c r="U26" s="85"/>
      <c r="V26" s="85"/>
      <c r="W26" s="85"/>
      <c r="X26" s="85"/>
      <c r="Z26" t="str">
        <v>46211/D|BR1/03</v>
      </c>
      <c r="AA26" t="str">
        <v>STM-A40_0131</v>
      </c>
      <c r="AB26" t="str">
        <v>LIM</v>
      </c>
      <c r="AC26" t="str">
        <v>LS_09</v>
      </c>
      <c r="AD26" t="str">
        <v>L9_26</v>
      </c>
      <c r="AE26" t="str">
        <v>002 / 035</v>
      </c>
      <c r="AF26" t="str">
        <v>Yes</v>
      </c>
      <c r="AG26" t="str">
        <v/>
      </c>
      <c r="AH26" t="str">
        <v/>
      </c>
      <c r="AP26" t="str">
        <v>STM-A40_0095</v>
      </c>
      <c r="AQ26" t="str">
        <v>STM-A40_0096</v>
      </c>
      <c r="AR26" t="str">
        <v>STM-A40_0097</v>
      </c>
      <c r="AS26" t="str">
        <v>STM-A40_0103</v>
      </c>
      <c r="AT26" t="str">
        <v>STM-A40_0131</v>
      </c>
      <c r="AU26" t="str">
        <v>STM-A40_0135</v>
      </c>
      <c r="AV26" t="str">
        <v>STM-A40_2010</v>
      </c>
    </row>
    <row r="27" spans="4:48" ht="15.75" x14ac:dyDescent="0.25">
      <c r="D27" s="3">
        <v>1</v>
      </c>
      <c r="F27" s="16" cm="1">
        <f t="array" ref="F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27" s="31" cm="1">
        <f t="array" ref="G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33</v>
      </c>
      <c r="H27" s="33" t="str">
        <f>_xlfn.IFNA(IF(MOD(HLG_02[[#This Row],[Rit]],
    _xlfn.XLOOKUP($G$2,Int_Sample[Ore],Int_Sample[Inc])) = 0, "YES", "NO"),"")</f>
        <v>NO</v>
      </c>
      <c r="I27" s="32" t="str">
        <f>TEXT(HLG_02[[#This Row],[Batch]],"000")&amp; " / " &amp; TEXT(HLG_02[[#This Row],[Rit]],"000")</f>
        <v>002 / 033</v>
      </c>
      <c r="J27" s="34" t="s">
        <v>2624</v>
      </c>
      <c r="K27" s="38" t="s">
        <v>2617</v>
      </c>
      <c r="L27" s="35"/>
      <c r="M27" s="85"/>
      <c r="N27" s="85"/>
      <c r="O27" s="85"/>
      <c r="P27" s="85"/>
      <c r="Q27" s="85"/>
      <c r="R27" s="85"/>
      <c r="S27" s="100"/>
      <c r="T27" s="100"/>
      <c r="U27" s="85"/>
      <c r="V27" s="85"/>
      <c r="W27" s="85"/>
      <c r="X27" s="85"/>
      <c r="Z27" t="str">
        <v>46211/D|BR1/03</v>
      </c>
      <c r="AA27" t="str">
        <v>STM-A40_0095</v>
      </c>
      <c r="AB27" t="str">
        <v>LIM</v>
      </c>
      <c r="AC27" t="str">
        <v>LS_09</v>
      </c>
      <c r="AD27" t="str">
        <v>L9_26</v>
      </c>
      <c r="AE27" t="str">
        <v>002 / 036</v>
      </c>
      <c r="AF27" t="str">
        <v>No</v>
      </c>
      <c r="AG27" t="str">
        <v/>
      </c>
      <c r="AH27" t="str">
        <v/>
      </c>
      <c r="AP27" t="str">
        <v>STM-A40_0095</v>
      </c>
      <c r="AQ27" t="str">
        <v>STM-A40_0096</v>
      </c>
      <c r="AR27" t="str">
        <v>STM-A40_0097</v>
      </c>
      <c r="AS27" t="str">
        <v>STM-A40_0103</v>
      </c>
      <c r="AT27" t="str">
        <v>STM-A40_0131</v>
      </c>
      <c r="AU27" t="str">
        <v>STM-A40_0135</v>
      </c>
      <c r="AV27" t="str">
        <v>STM-A40_2010</v>
      </c>
    </row>
    <row r="28" spans="4:48" ht="15.75" x14ac:dyDescent="0.25">
      <c r="D28" s="3">
        <v>1</v>
      </c>
      <c r="F28" s="16" cm="1">
        <f t="array" ref="F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28" s="31" cm="1">
        <f t="array" ref="G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34</v>
      </c>
      <c r="H28" s="33" t="str">
        <f>_xlfn.IFNA(IF(MOD(HLG_02[[#This Row],[Rit]],
    _xlfn.XLOOKUP($G$2,Int_Sample[Ore],Int_Sample[Inc])) = 0, "YES", "NO"),"")</f>
        <v>NO</v>
      </c>
      <c r="I28" s="32" t="str">
        <f>TEXT(HLG_02[[#This Row],[Batch]],"000")&amp; " / " &amp; TEXT(HLG_02[[#This Row],[Rit]],"000")</f>
        <v>002 / 034</v>
      </c>
      <c r="J28" s="34" t="s">
        <v>2624</v>
      </c>
      <c r="K28" s="38" t="s">
        <v>2618</v>
      </c>
      <c r="L28" s="35"/>
      <c r="M28" s="85"/>
      <c r="N28" s="85"/>
      <c r="O28" s="85"/>
      <c r="P28" s="85"/>
      <c r="Q28" s="85"/>
      <c r="R28" s="85"/>
      <c r="S28" s="100"/>
      <c r="T28" s="100"/>
      <c r="U28" s="85"/>
      <c r="V28" s="85"/>
      <c r="W28" s="85"/>
      <c r="X28" s="85"/>
      <c r="Z28" t="str">
        <v>46211/D|BR1/03</v>
      </c>
      <c r="AA28" t="str">
        <v>STM-A40_0103</v>
      </c>
      <c r="AB28" t="str">
        <v>LIM</v>
      </c>
      <c r="AC28" t="str">
        <v>LS_09</v>
      </c>
      <c r="AD28" t="str">
        <v>L9_26</v>
      </c>
      <c r="AE28" t="str">
        <v>002 / 037</v>
      </c>
      <c r="AF28" t="str">
        <v>No</v>
      </c>
      <c r="AG28" t="str">
        <v/>
      </c>
      <c r="AH28" t="str">
        <v/>
      </c>
      <c r="AP28" t="str">
        <v>STM-A40_0095</v>
      </c>
      <c r="AQ28" t="str">
        <v>STM-A40_0096</v>
      </c>
      <c r="AR28" t="str">
        <v>STM-A40_0097</v>
      </c>
      <c r="AS28" t="str">
        <v>STM-A40_0103</v>
      </c>
      <c r="AT28" t="str">
        <v>STM-A40_0131</v>
      </c>
      <c r="AU28" t="str">
        <v>STM-A40_0135</v>
      </c>
      <c r="AV28" t="str">
        <v>STM-A40_2010</v>
      </c>
    </row>
    <row r="29" spans="4:48" ht="15.75" x14ac:dyDescent="0.25">
      <c r="D29" s="3">
        <v>1</v>
      </c>
      <c r="F29" s="16" cm="1">
        <f t="array" ref="F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29" s="31" cm="1">
        <f t="array" ref="G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35</v>
      </c>
      <c r="H29" s="33" t="str">
        <f>_xlfn.IFNA(IF(MOD(HLG_02[[#This Row],[Rit]],
    _xlfn.XLOOKUP($G$2,Int_Sample[Ore],Int_Sample[Inc])) = 0, "YES", "NO"),"")</f>
        <v>YES</v>
      </c>
      <c r="I29" s="32" t="str">
        <f>TEXT(HLG_02[[#This Row],[Batch]],"000")&amp; " / " &amp; TEXT(HLG_02[[#This Row],[Rit]],"000")</f>
        <v>002 / 035</v>
      </c>
      <c r="J29" s="34" t="s">
        <v>2624</v>
      </c>
      <c r="K29" s="38" t="s">
        <v>2616</v>
      </c>
      <c r="L29" s="35"/>
      <c r="M29" s="85"/>
      <c r="N29" s="85"/>
      <c r="O29" s="85"/>
      <c r="P29" s="85"/>
      <c r="Q29" s="85"/>
      <c r="R29" s="85"/>
      <c r="S29" s="100"/>
      <c r="T29" s="100"/>
      <c r="U29" s="85"/>
      <c r="V29" s="85"/>
      <c r="W29" s="85"/>
      <c r="X29" s="85"/>
      <c r="Z29" t="str">
        <v>46211/D|BR1/03</v>
      </c>
      <c r="AA29" t="str">
        <v>STM-A40_0135</v>
      </c>
      <c r="AB29" t="str">
        <v>LIM</v>
      </c>
      <c r="AC29" t="str">
        <v>LS_09</v>
      </c>
      <c r="AD29" t="str">
        <v>L9_26</v>
      </c>
      <c r="AE29" t="str">
        <v>002 / 038</v>
      </c>
      <c r="AF29" t="str">
        <v>No</v>
      </c>
      <c r="AG29" t="str">
        <v/>
      </c>
      <c r="AH29" t="str">
        <v/>
      </c>
      <c r="AP29" t="str">
        <v>STM-A40_0095</v>
      </c>
      <c r="AQ29" t="str">
        <v>STM-A40_0096</v>
      </c>
      <c r="AR29" t="str">
        <v>STM-A40_0097</v>
      </c>
      <c r="AS29" t="str">
        <v>STM-A40_0103</v>
      </c>
      <c r="AT29" t="str">
        <v>STM-A40_0131</v>
      </c>
      <c r="AU29" t="str">
        <v>STM-A40_0135</v>
      </c>
      <c r="AV29" t="str">
        <v>STM-A40_2010</v>
      </c>
    </row>
    <row r="30" spans="4:48" ht="15.75" x14ac:dyDescent="0.25">
      <c r="D30" s="3">
        <v>1</v>
      </c>
      <c r="F30" s="16" cm="1">
        <f t="array" ref="F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30" s="31" cm="1">
        <f t="array" ref="G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36</v>
      </c>
      <c r="H30" s="33" t="str">
        <f>_xlfn.IFNA(IF(MOD(HLG_02[[#This Row],[Rit]],
    _xlfn.XLOOKUP($G$2,Int_Sample[Ore],Int_Sample[Inc])) = 0, "YES", "NO"),"")</f>
        <v>NO</v>
      </c>
      <c r="I30" s="32" t="str">
        <f>TEXT(HLG_02[[#This Row],[Batch]],"000")&amp; " / " &amp; TEXT(HLG_02[[#This Row],[Rit]],"000")</f>
        <v>002 / 036</v>
      </c>
      <c r="J30" s="34" t="s">
        <v>2624</v>
      </c>
      <c r="K30" s="38" t="s">
        <v>2615</v>
      </c>
      <c r="L30" s="35"/>
      <c r="M30" s="85"/>
      <c r="N30" s="85"/>
      <c r="O30" s="85"/>
      <c r="P30" s="85"/>
      <c r="Q30" s="85"/>
      <c r="R30" s="85"/>
      <c r="S30" s="100"/>
      <c r="T30" s="100"/>
      <c r="U30" s="85"/>
      <c r="V30" s="85"/>
      <c r="W30" s="85"/>
      <c r="X30" s="85"/>
      <c r="Z30" t="str">
        <v>46211/D|BR1/03</v>
      </c>
      <c r="AA30" t="str">
        <v>STM-A40_0096</v>
      </c>
      <c r="AB30" t="str">
        <v>LIM</v>
      </c>
      <c r="AC30" t="str">
        <v>LS_09</v>
      </c>
      <c r="AD30" t="str">
        <v>L9_26</v>
      </c>
      <c r="AE30" t="str">
        <v>002 / 039</v>
      </c>
      <c r="AF30" t="str">
        <v>No</v>
      </c>
      <c r="AG30" t="str">
        <v/>
      </c>
      <c r="AH30" t="str">
        <v/>
      </c>
      <c r="AP30" t="str">
        <v>STM-A40_0095</v>
      </c>
      <c r="AQ30" t="str">
        <v>STM-A40_0096</v>
      </c>
      <c r="AR30" t="str">
        <v>STM-A40_0097</v>
      </c>
      <c r="AS30" t="str">
        <v>STM-A40_0103</v>
      </c>
      <c r="AT30" t="str">
        <v>STM-A40_0131</v>
      </c>
      <c r="AU30" t="str">
        <v>STM-A40_0135</v>
      </c>
      <c r="AV30" t="str">
        <v>STM-A40_2010</v>
      </c>
    </row>
    <row r="31" spans="4:48" ht="15.75" x14ac:dyDescent="0.25">
      <c r="D31" s="3">
        <v>1</v>
      </c>
      <c r="F31" s="16" cm="1">
        <f t="array" ref="F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31" s="31" cm="1">
        <f t="array" ref="G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37</v>
      </c>
      <c r="H31" s="33" t="str">
        <f>_xlfn.IFNA(IF(MOD(HLG_02[[#This Row],[Rit]],
    _xlfn.XLOOKUP($G$2,Int_Sample[Ore],Int_Sample[Inc])) = 0, "YES", "NO"),"")</f>
        <v>NO</v>
      </c>
      <c r="I31" s="32" t="str">
        <f>TEXT(HLG_02[[#This Row],[Batch]],"000")&amp; " / " &amp; TEXT(HLG_02[[#This Row],[Rit]],"000")</f>
        <v>002 / 037</v>
      </c>
      <c r="J31" s="34" t="s">
        <v>2624</v>
      </c>
      <c r="K31" s="38" t="s">
        <v>2618</v>
      </c>
      <c r="L31" s="35"/>
      <c r="M31" s="85"/>
      <c r="N31" s="85"/>
      <c r="O31" s="85"/>
      <c r="P31" s="85"/>
      <c r="Q31" s="85"/>
      <c r="R31" s="85"/>
      <c r="S31" s="100"/>
      <c r="T31" s="100"/>
      <c r="U31" s="85"/>
      <c r="V31" s="85"/>
      <c r="W31" s="85"/>
      <c r="X31" s="85"/>
      <c r="Z31" t="str">
        <v>46211/D|BR1/03</v>
      </c>
      <c r="AA31" t="str">
        <v>STM-A40_0131</v>
      </c>
      <c r="AB31" t="str">
        <v>LIM</v>
      </c>
      <c r="AC31" t="str">
        <v>LS_09</v>
      </c>
      <c r="AD31" t="str">
        <v>L9_26</v>
      </c>
      <c r="AE31" t="str">
        <v>002 / 040</v>
      </c>
      <c r="AF31" t="str">
        <v>Yes</v>
      </c>
      <c r="AG31" t="str">
        <v/>
      </c>
      <c r="AH31" t="str">
        <v/>
      </c>
      <c r="AP31" t="str">
        <v>STM-A40_0095</v>
      </c>
      <c r="AQ31" t="str">
        <v>STM-A40_0096</v>
      </c>
      <c r="AR31" t="str">
        <v>STM-A40_0097</v>
      </c>
      <c r="AS31" t="str">
        <v>STM-A40_0103</v>
      </c>
      <c r="AT31" t="str">
        <v>STM-A40_0131</v>
      </c>
      <c r="AU31" t="str">
        <v>STM-A40_0135</v>
      </c>
      <c r="AV31" t="str">
        <v>STM-A40_2010</v>
      </c>
    </row>
    <row r="32" spans="4:48" ht="15.75" x14ac:dyDescent="0.25">
      <c r="D32" s="3">
        <v>1</v>
      </c>
      <c r="F32" s="16" cm="1">
        <f t="array" ref="F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32" s="31" cm="1">
        <f t="array" ref="G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38</v>
      </c>
      <c r="H32" s="33" t="str">
        <f>_xlfn.IFNA(IF(MOD(HLG_02[[#This Row],[Rit]],
    _xlfn.XLOOKUP($G$2,Int_Sample[Ore],Int_Sample[Inc])) = 0, "YES", "NO"),"")</f>
        <v>NO</v>
      </c>
      <c r="I32" s="32" t="str">
        <f>TEXT(HLG_02[[#This Row],[Batch]],"000")&amp; " / " &amp; TEXT(HLG_02[[#This Row],[Rit]],"000")</f>
        <v>002 / 038</v>
      </c>
      <c r="J32" s="34" t="s">
        <v>2624</v>
      </c>
      <c r="K32" s="38" t="s">
        <v>2617</v>
      </c>
      <c r="L32" s="35"/>
      <c r="M32" s="85"/>
      <c r="N32" s="85"/>
      <c r="O32" s="85"/>
      <c r="P32" s="85"/>
      <c r="Q32" s="85"/>
      <c r="R32" s="85"/>
      <c r="S32" s="100"/>
      <c r="T32" s="100"/>
      <c r="U32" s="85"/>
      <c r="V32" s="85"/>
      <c r="W32" s="85"/>
      <c r="X32" s="85"/>
      <c r="Z32" t="str">
        <v>46211/D|BR1/03</v>
      </c>
      <c r="AA32" t="str">
        <v>STM-A40_0095</v>
      </c>
      <c r="AB32" t="str">
        <v>LIM</v>
      </c>
      <c r="AC32" t="str">
        <v>LS_09</v>
      </c>
      <c r="AD32" t="str">
        <v>L9_26</v>
      </c>
      <c r="AE32" t="str">
        <v>002 / 041</v>
      </c>
      <c r="AF32" t="str">
        <v>No</v>
      </c>
      <c r="AG32" t="str">
        <v/>
      </c>
      <c r="AH32" t="str">
        <v/>
      </c>
      <c r="AP32" t="str">
        <v>STM-A40_0095</v>
      </c>
      <c r="AQ32" t="str">
        <v>STM-A40_0096</v>
      </c>
      <c r="AR32" t="str">
        <v>STM-A40_0097</v>
      </c>
      <c r="AS32" t="str">
        <v>STM-A40_0103</v>
      </c>
      <c r="AT32" t="str">
        <v>STM-A40_0131</v>
      </c>
      <c r="AU32" t="str">
        <v>STM-A40_0135</v>
      </c>
      <c r="AV32" t="str">
        <v>STM-A40_2010</v>
      </c>
    </row>
    <row r="33" spans="4:48" ht="15.75" x14ac:dyDescent="0.25">
      <c r="D33" s="3">
        <v>1</v>
      </c>
      <c r="F33" s="16" cm="1">
        <f t="array" ref="F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33" s="31" cm="1">
        <f t="array" ref="G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39</v>
      </c>
      <c r="H33" s="33" t="str">
        <f>_xlfn.IFNA(IF(MOD(HLG_02[[#This Row],[Rit]],
    _xlfn.XLOOKUP($G$2,Int_Sample[Ore],Int_Sample[Inc])) = 0, "YES", "NO"),"")</f>
        <v>NO</v>
      </c>
      <c r="I33" s="32" t="str">
        <f>TEXT(HLG_02[[#This Row],[Batch]],"000")&amp; " / " &amp; TEXT(HLG_02[[#This Row],[Rit]],"000")</f>
        <v>002 / 039</v>
      </c>
      <c r="J33" s="34" t="s">
        <v>2624</v>
      </c>
      <c r="K33" s="38" t="s">
        <v>2614</v>
      </c>
      <c r="L33" s="35"/>
      <c r="M33" s="85"/>
      <c r="N33" s="85"/>
      <c r="O33" s="85"/>
      <c r="P33" s="85"/>
      <c r="Q33" s="85"/>
      <c r="R33" s="85"/>
      <c r="S33" s="100"/>
      <c r="T33" s="100"/>
      <c r="U33" s="85"/>
      <c r="V33" s="85"/>
      <c r="W33" s="85"/>
      <c r="X33" s="85"/>
      <c r="Z33" t="str">
        <v>46211/D|BR1/03</v>
      </c>
      <c r="AA33" t="str">
        <v>STM-A40_0135</v>
      </c>
      <c r="AB33" t="str">
        <v>LIM</v>
      </c>
      <c r="AC33" t="str">
        <v>LS_09</v>
      </c>
      <c r="AD33" t="str">
        <v>L9_26</v>
      </c>
      <c r="AE33" t="str">
        <v>002 / 042</v>
      </c>
      <c r="AF33" t="str">
        <v>No</v>
      </c>
      <c r="AG33" t="str">
        <v/>
      </c>
      <c r="AH33" t="str">
        <v/>
      </c>
      <c r="AP33" t="str">
        <v>STM-A40_0095</v>
      </c>
      <c r="AQ33" t="str">
        <v>STM-A40_0096</v>
      </c>
      <c r="AR33" t="str">
        <v>STM-A40_0097</v>
      </c>
      <c r="AS33" t="str">
        <v>STM-A40_0103</v>
      </c>
      <c r="AT33" t="str">
        <v>STM-A40_0131</v>
      </c>
      <c r="AU33" t="str">
        <v>STM-A40_0135</v>
      </c>
      <c r="AV33" t="str">
        <v>STM-A40_2010</v>
      </c>
    </row>
    <row r="34" spans="4:48" ht="15.75" x14ac:dyDescent="0.25">
      <c r="D34" s="3">
        <v>1</v>
      </c>
      <c r="F34" s="16" cm="1">
        <f t="array" ref="F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34" s="31" cm="1">
        <f t="array" ref="G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40</v>
      </c>
      <c r="H34" s="33" t="str">
        <f>_xlfn.IFNA(IF(MOD(HLG_02[[#This Row],[Rit]],
    _xlfn.XLOOKUP($G$2,Int_Sample[Ore],Int_Sample[Inc])) = 0, "YES", "NO"),"")</f>
        <v>YES</v>
      </c>
      <c r="I34" s="32" t="str">
        <f>TEXT(HLG_02[[#This Row],[Batch]],"000")&amp; " / " &amp; TEXT(HLG_02[[#This Row],[Rit]],"000")</f>
        <v>002 / 040</v>
      </c>
      <c r="J34" s="34" t="s">
        <v>2624</v>
      </c>
      <c r="K34" s="38" t="s">
        <v>2616</v>
      </c>
      <c r="L34" s="35"/>
      <c r="M34" s="85"/>
      <c r="N34" s="85"/>
      <c r="O34" s="85"/>
      <c r="P34" s="85"/>
      <c r="Q34" s="85"/>
      <c r="R34" s="85"/>
      <c r="S34" s="100"/>
      <c r="T34" s="100"/>
      <c r="U34" s="85"/>
      <c r="V34" s="85"/>
      <c r="W34" s="85"/>
      <c r="X34" s="85"/>
      <c r="Z34" t="str">
        <v>46211/D|BR1/03</v>
      </c>
      <c r="AA34" t="str">
        <v>STM-A40_0096</v>
      </c>
      <c r="AB34" t="str">
        <v>LIM</v>
      </c>
      <c r="AC34" t="str">
        <v>LS_09</v>
      </c>
      <c r="AD34" t="str">
        <v>L9_26</v>
      </c>
      <c r="AE34" t="str">
        <v>002 / 043</v>
      </c>
      <c r="AF34" t="str">
        <v>No</v>
      </c>
      <c r="AG34" t="str">
        <v/>
      </c>
      <c r="AH34" t="str">
        <v/>
      </c>
      <c r="AP34" t="str">
        <v>STM-A40_0095</v>
      </c>
      <c r="AQ34" t="str">
        <v>STM-A40_0096</v>
      </c>
      <c r="AR34" t="str">
        <v>STM-A40_0097</v>
      </c>
      <c r="AS34" t="str">
        <v>STM-A40_0103</v>
      </c>
      <c r="AT34" t="str">
        <v>STM-A40_0131</v>
      </c>
      <c r="AU34" t="str">
        <v>STM-A40_0135</v>
      </c>
      <c r="AV34" t="str">
        <v>STM-A40_2010</v>
      </c>
    </row>
    <row r="35" spans="4:48" ht="15.75" x14ac:dyDescent="0.25">
      <c r="D35" s="3">
        <v>1</v>
      </c>
      <c r="F35" s="16" cm="1">
        <f t="array" ref="F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35" s="31" cm="1">
        <f t="array" ref="G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41</v>
      </c>
      <c r="H35" s="33" t="str">
        <f>_xlfn.IFNA(IF(MOD(HLG_02[[#This Row],[Rit]],
    _xlfn.XLOOKUP($G$2,Int_Sample[Ore],Int_Sample[Inc])) = 0, "YES", "NO"),"")</f>
        <v>NO</v>
      </c>
      <c r="I35" s="32" t="str">
        <f>TEXT(HLG_02[[#This Row],[Batch]],"000")&amp; " / " &amp; TEXT(HLG_02[[#This Row],[Rit]],"000")</f>
        <v>002 / 041</v>
      </c>
      <c r="J35" s="34" t="s">
        <v>2624</v>
      </c>
      <c r="K35" s="38" t="s">
        <v>2615</v>
      </c>
      <c r="L35" s="35"/>
      <c r="M35" s="85"/>
      <c r="N35" s="85"/>
      <c r="O35" s="85"/>
      <c r="P35" s="85"/>
      <c r="Q35" s="85"/>
      <c r="R35" s="85"/>
      <c r="S35" s="100"/>
      <c r="T35" s="100"/>
      <c r="U35" s="85"/>
      <c r="V35" s="85"/>
      <c r="W35" s="85"/>
      <c r="X35" s="85"/>
      <c r="Z35" t="str">
        <v>46211/D|BR1/03</v>
      </c>
      <c r="AA35" t="str">
        <v>STM-A40_0103</v>
      </c>
      <c r="AB35" t="str">
        <v>LIM</v>
      </c>
      <c r="AC35" t="str">
        <v>LS_09</v>
      </c>
      <c r="AD35" t="str">
        <v>L9_26</v>
      </c>
      <c r="AE35" t="str">
        <v>002 / 044</v>
      </c>
      <c r="AF35" t="str">
        <v>No</v>
      </c>
      <c r="AG35" t="str">
        <v/>
      </c>
      <c r="AH35" t="str">
        <v/>
      </c>
      <c r="AP35" t="str">
        <v>STM-A40_0095</v>
      </c>
      <c r="AQ35" t="str">
        <v>STM-A40_0096</v>
      </c>
      <c r="AR35" t="str">
        <v>STM-A40_0097</v>
      </c>
      <c r="AS35" t="str">
        <v>STM-A40_0103</v>
      </c>
      <c r="AT35" t="str">
        <v>STM-A40_0131</v>
      </c>
      <c r="AU35" t="str">
        <v>STM-A40_0135</v>
      </c>
      <c r="AV35" t="str">
        <v>STM-A40_2010</v>
      </c>
    </row>
    <row r="36" spans="4:48" ht="15.75" x14ac:dyDescent="0.25">
      <c r="D36" s="3">
        <v>1</v>
      </c>
      <c r="F36" s="16" cm="1">
        <f t="array" ref="F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36" s="31" cm="1">
        <f t="array" ref="G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42</v>
      </c>
      <c r="H36" s="33" t="str">
        <f>_xlfn.IFNA(IF(MOD(HLG_02[[#This Row],[Rit]],
    _xlfn.XLOOKUP($G$2,Int_Sample[Ore],Int_Sample[Inc])) = 0, "YES", "NO"),"")</f>
        <v>NO</v>
      </c>
      <c r="I36" s="32" t="str">
        <f>TEXT(HLG_02[[#This Row],[Batch]],"000")&amp; " / " &amp; TEXT(HLG_02[[#This Row],[Rit]],"000")</f>
        <v>002 / 042</v>
      </c>
      <c r="J36" s="34" t="s">
        <v>2624</v>
      </c>
      <c r="K36" s="38" t="s">
        <v>2617</v>
      </c>
      <c r="L36" s="35"/>
      <c r="M36" s="85"/>
      <c r="N36" s="85"/>
      <c r="O36" s="85"/>
      <c r="P36" s="85"/>
      <c r="Q36" s="85"/>
      <c r="R36" s="85"/>
      <c r="S36" s="100"/>
      <c r="T36" s="100"/>
      <c r="U36" s="85"/>
      <c r="V36" s="85"/>
      <c r="W36" s="85"/>
      <c r="X36" s="85"/>
      <c r="Z36" t="str">
        <v>46211/D|BR1/03</v>
      </c>
      <c r="AA36" t="str">
        <v>STM-A40_0131</v>
      </c>
      <c r="AB36" t="str">
        <v>LIM</v>
      </c>
      <c r="AC36" t="str">
        <v>LS_09</v>
      </c>
      <c r="AD36" t="str">
        <v>L9_26</v>
      </c>
      <c r="AE36" t="str">
        <v>002 / 045</v>
      </c>
      <c r="AF36" t="str">
        <v>Yes</v>
      </c>
      <c r="AG36" t="str">
        <v/>
      </c>
      <c r="AH36" t="str">
        <v/>
      </c>
      <c r="AP36" t="str">
        <v>STM-A40_0095</v>
      </c>
      <c r="AQ36" t="str">
        <v>STM-A40_0096</v>
      </c>
      <c r="AR36" t="str">
        <v>STM-A40_0097</v>
      </c>
      <c r="AS36" t="str">
        <v>STM-A40_0103</v>
      </c>
      <c r="AT36" t="str">
        <v>STM-A40_0131</v>
      </c>
      <c r="AU36" t="str">
        <v>STM-A40_0135</v>
      </c>
      <c r="AV36" t="str">
        <v>STM-A40_2010</v>
      </c>
    </row>
    <row r="37" spans="4:48" ht="15.75" x14ac:dyDescent="0.25">
      <c r="D37" s="3">
        <v>1</v>
      </c>
      <c r="F37" s="16" cm="1">
        <f t="array" ref="F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37" s="31" cm="1">
        <f t="array" ref="G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43</v>
      </c>
      <c r="H37" s="33" t="str">
        <f>_xlfn.IFNA(IF(MOD(HLG_02[[#This Row],[Rit]],
    _xlfn.XLOOKUP($G$2,Int_Sample[Ore],Int_Sample[Inc])) = 0, "YES", "NO"),"")</f>
        <v>NO</v>
      </c>
      <c r="I37" s="32" t="str">
        <f>TEXT(HLG_02[[#This Row],[Batch]],"000")&amp; " / " &amp; TEXT(HLG_02[[#This Row],[Rit]],"000")</f>
        <v>002 / 043</v>
      </c>
      <c r="J37" s="34" t="s">
        <v>2624</v>
      </c>
      <c r="K37" s="38" t="s">
        <v>2614</v>
      </c>
      <c r="L37" s="35"/>
      <c r="M37" s="85"/>
      <c r="N37" s="85"/>
      <c r="O37" s="85"/>
      <c r="P37" s="85"/>
      <c r="Q37" s="85"/>
      <c r="R37" s="85"/>
      <c r="S37" s="100"/>
      <c r="T37" s="100"/>
      <c r="U37" s="85"/>
      <c r="V37" s="85"/>
      <c r="W37" s="85"/>
      <c r="X37" s="85"/>
      <c r="Z37" t="str">
        <v>46211/D|BR1/03</v>
      </c>
      <c r="AA37" t="str">
        <v>STM-A40_0095</v>
      </c>
      <c r="AB37" t="str">
        <v>LIM</v>
      </c>
      <c r="AC37" t="str">
        <v>LS_09</v>
      </c>
      <c r="AD37" t="str">
        <v>L9_26</v>
      </c>
      <c r="AE37" t="str">
        <v>002 / 046</v>
      </c>
      <c r="AF37" t="str">
        <v>No</v>
      </c>
      <c r="AG37" t="str">
        <v/>
      </c>
      <c r="AH37" t="str">
        <v/>
      </c>
      <c r="AP37" t="str">
        <v>STM-A40_0095</v>
      </c>
      <c r="AQ37" t="str">
        <v>STM-A40_0096</v>
      </c>
      <c r="AR37" t="str">
        <v>STM-A40_0097</v>
      </c>
      <c r="AS37" t="str">
        <v>STM-A40_0103</v>
      </c>
      <c r="AT37" t="str">
        <v>STM-A40_0131</v>
      </c>
      <c r="AU37" t="str">
        <v>STM-A40_0135</v>
      </c>
      <c r="AV37" t="str">
        <v>STM-A40_2010</v>
      </c>
    </row>
    <row r="38" spans="4:48" ht="15.75" x14ac:dyDescent="0.25">
      <c r="D38" s="3">
        <v>1</v>
      </c>
      <c r="F38" s="16" cm="1">
        <f t="array" ref="F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38" s="31" cm="1">
        <f t="array" ref="G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44</v>
      </c>
      <c r="H38" s="33" t="str">
        <f>_xlfn.IFNA(IF(MOD(HLG_02[[#This Row],[Rit]],
    _xlfn.XLOOKUP($G$2,Int_Sample[Ore],Int_Sample[Inc])) = 0, "YES", "NO"),"")</f>
        <v>NO</v>
      </c>
      <c r="I38" s="32" t="str">
        <f>TEXT(HLG_02[[#This Row],[Batch]],"000")&amp; " / " &amp; TEXT(HLG_02[[#This Row],[Rit]],"000")</f>
        <v>002 / 044</v>
      </c>
      <c r="J38" s="34" t="s">
        <v>2624</v>
      </c>
      <c r="K38" s="38" t="s">
        <v>2618</v>
      </c>
      <c r="L38" s="35"/>
      <c r="M38" s="85"/>
      <c r="N38" s="85"/>
      <c r="O38" s="85"/>
      <c r="P38" s="85"/>
      <c r="Q38" s="85"/>
      <c r="R38" s="85"/>
      <c r="S38" s="100"/>
      <c r="T38" s="100"/>
      <c r="U38" s="85"/>
      <c r="V38" s="85"/>
      <c r="W38" s="85"/>
      <c r="X38" s="85"/>
      <c r="Z38" t="str">
        <v>46211/D|BR1/03</v>
      </c>
      <c r="AA38" t="str">
        <v>STM-A40_0135</v>
      </c>
      <c r="AB38" t="str">
        <v>LIM</v>
      </c>
      <c r="AC38" t="str">
        <v>LS_09</v>
      </c>
      <c r="AD38" t="str">
        <v>L9_26</v>
      </c>
      <c r="AE38" t="str">
        <v>002 / 047</v>
      </c>
      <c r="AF38" t="str">
        <v>No</v>
      </c>
      <c r="AG38" t="str">
        <v/>
      </c>
      <c r="AH38" t="str">
        <v/>
      </c>
      <c r="AP38" t="str">
        <v>STM-A40_0095</v>
      </c>
      <c r="AQ38" t="str">
        <v>STM-A40_0096</v>
      </c>
      <c r="AR38" t="str">
        <v>STM-A40_0097</v>
      </c>
      <c r="AS38" t="str">
        <v>STM-A40_0103</v>
      </c>
      <c r="AT38" t="str">
        <v>STM-A40_0131</v>
      </c>
      <c r="AU38" t="str">
        <v>STM-A40_0135</v>
      </c>
      <c r="AV38" t="str">
        <v>STM-A40_2010</v>
      </c>
    </row>
    <row r="39" spans="4:48" ht="15.75" x14ac:dyDescent="0.25">
      <c r="D39" s="3">
        <v>1</v>
      </c>
      <c r="F39" s="16" cm="1">
        <f t="array" ref="F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39" s="31" cm="1">
        <f t="array" ref="G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45</v>
      </c>
      <c r="H39" s="33" t="str">
        <f>_xlfn.IFNA(IF(MOD(HLG_02[[#This Row],[Rit]],
    _xlfn.XLOOKUP($G$2,Int_Sample[Ore],Int_Sample[Inc])) = 0, "YES", "NO"),"")</f>
        <v>YES</v>
      </c>
      <c r="I39" s="32" t="str">
        <f>TEXT(HLG_02[[#This Row],[Batch]],"000")&amp; " / " &amp; TEXT(HLG_02[[#This Row],[Rit]],"000")</f>
        <v>002 / 045</v>
      </c>
      <c r="J39" s="34" t="s">
        <v>2624</v>
      </c>
      <c r="K39" s="38" t="s">
        <v>2616</v>
      </c>
      <c r="L39" s="35"/>
      <c r="M39" s="85"/>
      <c r="N39" s="85"/>
      <c r="O39" s="85"/>
      <c r="P39" s="85"/>
      <c r="Q39" s="85"/>
      <c r="R39" s="85"/>
      <c r="S39" s="100"/>
      <c r="T39" s="100"/>
      <c r="U39" s="85"/>
      <c r="V39" s="85"/>
      <c r="W39" s="85"/>
      <c r="X39" s="85"/>
      <c r="Z39" t="str">
        <v>46211/D|BR1/03</v>
      </c>
      <c r="AA39" t="str">
        <v>STM-A40_0103</v>
      </c>
      <c r="AB39" t="str">
        <v>LIM</v>
      </c>
      <c r="AC39" t="str">
        <v>LS_09</v>
      </c>
      <c r="AD39" t="str">
        <v>L9_26</v>
      </c>
      <c r="AE39" t="str">
        <v>002 / 048</v>
      </c>
      <c r="AF39" t="str">
        <v>No</v>
      </c>
      <c r="AG39" t="str">
        <v/>
      </c>
      <c r="AH39" t="str">
        <v/>
      </c>
      <c r="AP39" t="str">
        <v>STM-A40_0095</v>
      </c>
      <c r="AQ39" t="str">
        <v>STM-A40_0096</v>
      </c>
      <c r="AR39" t="str">
        <v>STM-A40_0097</v>
      </c>
      <c r="AS39" t="str">
        <v>STM-A40_0103</v>
      </c>
      <c r="AT39" t="str">
        <v>STM-A40_0131</v>
      </c>
      <c r="AU39" t="str">
        <v>STM-A40_0135</v>
      </c>
      <c r="AV39" t="str">
        <v>STM-A40_2010</v>
      </c>
    </row>
    <row r="40" spans="4:48" ht="15.75" x14ac:dyDescent="0.25">
      <c r="D40" s="3">
        <v>1</v>
      </c>
      <c r="F40" s="16" cm="1">
        <f t="array" ref="F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40" s="31" cm="1">
        <f t="array" ref="G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46</v>
      </c>
      <c r="H40" s="33" t="str">
        <f>_xlfn.IFNA(IF(MOD(HLG_02[[#This Row],[Rit]],
    _xlfn.XLOOKUP($G$2,Int_Sample[Ore],Int_Sample[Inc])) = 0, "YES", "NO"),"")</f>
        <v>NO</v>
      </c>
      <c r="I40" s="32" t="str">
        <f>TEXT(HLG_02[[#This Row],[Batch]],"000")&amp; " / " &amp; TEXT(HLG_02[[#This Row],[Rit]],"000")</f>
        <v>002 / 046</v>
      </c>
      <c r="J40" s="34" t="s">
        <v>2624</v>
      </c>
      <c r="K40" s="38" t="s">
        <v>2615</v>
      </c>
      <c r="L40" s="35"/>
      <c r="M40" s="85"/>
      <c r="N40" s="85"/>
      <c r="O40" s="85"/>
      <c r="P40" s="85"/>
      <c r="Q40" s="85"/>
      <c r="R40" s="85"/>
      <c r="S40" s="100"/>
      <c r="T40" s="100"/>
      <c r="U40" s="85"/>
      <c r="V40" s="85"/>
      <c r="W40" s="85"/>
      <c r="X40" s="85"/>
      <c r="Z40" t="str">
        <v>46211/D|BR1/03</v>
      </c>
      <c r="AA40" t="str">
        <v>STM-A40_0131</v>
      </c>
      <c r="AB40" t="str">
        <v>LIM</v>
      </c>
      <c r="AC40" t="str">
        <v>LS_09</v>
      </c>
      <c r="AD40" t="str">
        <v>L9_26</v>
      </c>
      <c r="AE40" t="str">
        <v>002 / 049</v>
      </c>
      <c r="AF40" t="str">
        <v>No</v>
      </c>
      <c r="AG40" t="str">
        <v/>
      </c>
      <c r="AH40" t="str">
        <v/>
      </c>
      <c r="AP40" t="str">
        <v>STM-A40_0095</v>
      </c>
      <c r="AQ40" t="str">
        <v>STM-A40_0096</v>
      </c>
      <c r="AR40" t="str">
        <v>STM-A40_0097</v>
      </c>
      <c r="AS40" t="str">
        <v>STM-A40_0103</v>
      </c>
      <c r="AT40" t="str">
        <v>STM-A40_0131</v>
      </c>
      <c r="AU40" t="str">
        <v>STM-A40_0135</v>
      </c>
      <c r="AV40" t="str">
        <v>STM-A40_2010</v>
      </c>
    </row>
    <row r="41" spans="4:48" ht="15.75" x14ac:dyDescent="0.25">
      <c r="D41" s="3">
        <v>1</v>
      </c>
      <c r="F41" s="16" cm="1">
        <f t="array" ref="F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41" s="31" cm="1">
        <f t="array" ref="G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47</v>
      </c>
      <c r="H41" s="33" t="str">
        <f>_xlfn.IFNA(IF(MOD(HLG_02[[#This Row],[Rit]],
    _xlfn.XLOOKUP($G$2,Int_Sample[Ore],Int_Sample[Inc])) = 0, "YES", "NO"),"")</f>
        <v>NO</v>
      </c>
      <c r="I41" s="32" t="str">
        <f>TEXT(HLG_02[[#This Row],[Batch]],"000")&amp; " / " &amp; TEXT(HLG_02[[#This Row],[Rit]],"000")</f>
        <v>002 / 047</v>
      </c>
      <c r="J41" s="34" t="s">
        <v>2624</v>
      </c>
      <c r="K41" s="38" t="s">
        <v>2617</v>
      </c>
      <c r="L41" s="35"/>
      <c r="M41" s="85"/>
      <c r="N41" s="85"/>
      <c r="O41" s="85"/>
      <c r="P41" s="85"/>
      <c r="Q41" s="85"/>
      <c r="R41" s="85"/>
      <c r="S41" s="100"/>
      <c r="T41" s="100"/>
      <c r="U41" s="85"/>
      <c r="V41" s="85"/>
      <c r="W41" s="85"/>
      <c r="X41" s="85"/>
      <c r="Z41" t="str">
        <v>46211/D|BR1/03</v>
      </c>
      <c r="AA41" t="str">
        <v>STM-A40_0103</v>
      </c>
      <c r="AB41" t="str">
        <v>LIM</v>
      </c>
      <c r="AC41" t="str">
        <v>LS_09</v>
      </c>
      <c r="AD41" t="str">
        <v>L9_26</v>
      </c>
      <c r="AE41" t="str">
        <v>002 / 050</v>
      </c>
      <c r="AF41" t="str">
        <v>Yes</v>
      </c>
      <c r="AG41" t="str">
        <v/>
      </c>
      <c r="AH41" t="str">
        <v/>
      </c>
      <c r="AP41" t="str">
        <v>STM-A40_0095</v>
      </c>
      <c r="AQ41" t="str">
        <v>STM-A40_0096</v>
      </c>
      <c r="AR41" t="str">
        <v>STM-A40_0097</v>
      </c>
      <c r="AS41" t="str">
        <v>STM-A40_0103</v>
      </c>
      <c r="AT41" t="str">
        <v>STM-A40_0131</v>
      </c>
      <c r="AU41" t="str">
        <v>STM-A40_0135</v>
      </c>
      <c r="AV41" t="str">
        <v>STM-A40_2010</v>
      </c>
    </row>
    <row r="42" spans="4:48" ht="15.75" x14ac:dyDescent="0.25">
      <c r="D42" s="3">
        <v>1</v>
      </c>
      <c r="F42" s="16" cm="1">
        <f t="array" ref="F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42" s="31" cm="1">
        <f t="array" ref="G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48</v>
      </c>
      <c r="H42" s="33" t="str">
        <f>_xlfn.IFNA(IF(MOD(HLG_02[[#This Row],[Rit]],
    _xlfn.XLOOKUP($G$2,Int_Sample[Ore],Int_Sample[Inc])) = 0, "YES", "NO"),"")</f>
        <v>NO</v>
      </c>
      <c r="I42" s="32" t="str">
        <f>TEXT(HLG_02[[#This Row],[Batch]],"000")&amp; " / " &amp; TEXT(HLG_02[[#This Row],[Rit]],"000")</f>
        <v>002 / 048</v>
      </c>
      <c r="J42" s="34" t="s">
        <v>2624</v>
      </c>
      <c r="K42" s="38" t="s">
        <v>2618</v>
      </c>
      <c r="L42" s="35"/>
      <c r="M42" s="85"/>
      <c r="N42" s="85"/>
      <c r="O42" s="85"/>
      <c r="P42" s="85"/>
      <c r="Q42" s="85"/>
      <c r="R42" s="85"/>
      <c r="S42" s="100"/>
      <c r="T42" s="100"/>
      <c r="U42" s="85"/>
      <c r="V42" s="85"/>
      <c r="W42" s="85"/>
      <c r="X42" s="85"/>
      <c r="Z42" t="str">
        <v>46211/D|BR1/03</v>
      </c>
      <c r="AA42" t="str">
        <v>STM-A40_0096</v>
      </c>
      <c r="AB42" t="str">
        <v>LIM</v>
      </c>
      <c r="AC42" t="str">
        <v>LS_09</v>
      </c>
      <c r="AD42" t="str">
        <v>L9_26</v>
      </c>
      <c r="AE42" t="str">
        <v>002 / 051</v>
      </c>
      <c r="AF42" t="str">
        <v>No</v>
      </c>
      <c r="AG42" t="str">
        <v/>
      </c>
      <c r="AH42" t="str">
        <v/>
      </c>
      <c r="AP42" t="str">
        <v>STM-A40_0095</v>
      </c>
      <c r="AQ42" t="str">
        <v>STM-A40_0096</v>
      </c>
      <c r="AR42" t="str">
        <v>STM-A40_0097</v>
      </c>
      <c r="AS42" t="str">
        <v>STM-A40_0103</v>
      </c>
      <c r="AT42" t="str">
        <v>STM-A40_0131</v>
      </c>
      <c r="AU42" t="str">
        <v>STM-A40_0135</v>
      </c>
      <c r="AV42" t="str">
        <v>STM-A40_2010</v>
      </c>
    </row>
    <row r="43" spans="4:48" ht="15.75" x14ac:dyDescent="0.25">
      <c r="D43" s="3">
        <v>1</v>
      </c>
      <c r="F43" s="16" cm="1">
        <f t="array" ref="F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43" s="31" cm="1">
        <f t="array" ref="G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49</v>
      </c>
      <c r="H43" s="33" t="str">
        <f>_xlfn.IFNA(IF(MOD(HLG_02[[#This Row],[Rit]],
    _xlfn.XLOOKUP($G$2,Int_Sample[Ore],Int_Sample[Inc])) = 0, "YES", "NO"),"")</f>
        <v>NO</v>
      </c>
      <c r="I43" s="32" t="str">
        <f>TEXT(HLG_02[[#This Row],[Batch]],"000")&amp; " / " &amp; TEXT(HLG_02[[#This Row],[Rit]],"000")</f>
        <v>002 / 049</v>
      </c>
      <c r="J43" s="34" t="s">
        <v>2624</v>
      </c>
      <c r="K43" s="38" t="s">
        <v>2616</v>
      </c>
      <c r="L43" s="35"/>
      <c r="M43" s="85"/>
      <c r="N43" s="85"/>
      <c r="O43" s="85"/>
      <c r="P43" s="85"/>
      <c r="Q43" s="85"/>
      <c r="R43" s="85"/>
      <c r="S43" s="100"/>
      <c r="T43" s="100"/>
      <c r="U43" s="85"/>
      <c r="V43" s="85"/>
      <c r="W43" s="85"/>
      <c r="X43" s="85"/>
      <c r="Z43" t="str">
        <v>46211/D|BR1/03</v>
      </c>
      <c r="AA43" t="str">
        <v>STM-A40_0131</v>
      </c>
      <c r="AB43" t="str">
        <v>LIM</v>
      </c>
      <c r="AC43" t="str">
        <v>LS_09</v>
      </c>
      <c r="AD43" t="str">
        <v>L9_26</v>
      </c>
      <c r="AE43" t="str">
        <v>002 / 052</v>
      </c>
      <c r="AF43" t="str">
        <v>No</v>
      </c>
      <c r="AG43" t="str">
        <v/>
      </c>
      <c r="AH43" t="str">
        <v/>
      </c>
      <c r="AP43" t="str">
        <v>STM-A40_0095</v>
      </c>
      <c r="AQ43" t="str">
        <v>STM-A40_0096</v>
      </c>
      <c r="AR43" t="str">
        <v>STM-A40_0097</v>
      </c>
      <c r="AS43" t="str">
        <v>STM-A40_0103</v>
      </c>
      <c r="AT43" t="str">
        <v>STM-A40_0131</v>
      </c>
      <c r="AU43" t="str">
        <v>STM-A40_0135</v>
      </c>
      <c r="AV43" t="str">
        <v>STM-A40_2010</v>
      </c>
    </row>
    <row r="44" spans="4:48" ht="15.75" x14ac:dyDescent="0.25">
      <c r="D44" s="3">
        <v>1</v>
      </c>
      <c r="F44" s="16" cm="1">
        <f t="array" ref="F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44" s="31" cm="1">
        <f t="array" ref="G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50</v>
      </c>
      <c r="H44" s="33" t="str">
        <f>_xlfn.IFNA(IF(MOD(HLG_02[[#This Row],[Rit]],
    _xlfn.XLOOKUP($G$2,Int_Sample[Ore],Int_Sample[Inc])) = 0, "YES", "NO"),"")</f>
        <v>YES</v>
      </c>
      <c r="I44" s="32" t="str">
        <f>TEXT(HLG_02[[#This Row],[Batch]],"000")&amp; " / " &amp; TEXT(HLG_02[[#This Row],[Rit]],"000")</f>
        <v>002 / 050</v>
      </c>
      <c r="J44" s="34" t="s">
        <v>2624</v>
      </c>
      <c r="K44" s="38" t="s">
        <v>2618</v>
      </c>
      <c r="L44" s="35"/>
      <c r="M44" s="85"/>
      <c r="N44" s="85"/>
      <c r="O44" s="85"/>
      <c r="P44" s="85"/>
      <c r="Q44" s="85"/>
      <c r="R44" s="85"/>
      <c r="S44" s="100"/>
      <c r="T44" s="100"/>
      <c r="U44" s="85"/>
      <c r="V44" s="85"/>
      <c r="W44" s="85"/>
      <c r="X44" s="85"/>
      <c r="Z44" t="str">
        <v>46211/D|BR1/03</v>
      </c>
      <c r="AA44" t="str">
        <v>STM-A40_0135</v>
      </c>
      <c r="AB44" t="str">
        <v>LIM</v>
      </c>
      <c r="AC44" t="str">
        <v>LS_09</v>
      </c>
      <c r="AD44" t="str">
        <v>L9_26</v>
      </c>
      <c r="AE44" t="str">
        <v>002 / 053</v>
      </c>
      <c r="AF44" t="str">
        <v>No</v>
      </c>
      <c r="AG44" t="str">
        <v/>
      </c>
      <c r="AH44" t="str">
        <v/>
      </c>
      <c r="AP44" t="str">
        <v>STM-A40_0095</v>
      </c>
      <c r="AQ44" t="str">
        <v>STM-A40_0096</v>
      </c>
      <c r="AR44" t="str">
        <v>STM-A40_0097</v>
      </c>
      <c r="AS44" t="str">
        <v>STM-A40_0103</v>
      </c>
      <c r="AT44" t="str">
        <v>STM-A40_0131</v>
      </c>
      <c r="AU44" t="str">
        <v>STM-A40_0135</v>
      </c>
      <c r="AV44" t="str">
        <v>STM-A40_2010</v>
      </c>
    </row>
    <row r="45" spans="4:48" ht="15.75" x14ac:dyDescent="0.25">
      <c r="D45" s="3">
        <v>1</v>
      </c>
      <c r="F45" s="16" cm="1">
        <f t="array" ref="F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45" s="31" cm="1">
        <f t="array" ref="G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51</v>
      </c>
      <c r="H45" s="33" t="str">
        <f>_xlfn.IFNA(IF(MOD(HLG_02[[#This Row],[Rit]],
    _xlfn.XLOOKUP($G$2,Int_Sample[Ore],Int_Sample[Inc])) = 0, "YES", "NO"),"")</f>
        <v>NO</v>
      </c>
      <c r="I45" s="32" t="str">
        <f>TEXT(HLG_02[[#This Row],[Batch]],"000")&amp; " / " &amp; TEXT(HLG_02[[#This Row],[Rit]],"000")</f>
        <v>002 / 051</v>
      </c>
      <c r="J45" s="34" t="s">
        <v>2624</v>
      </c>
      <c r="K45" s="38" t="s">
        <v>2614</v>
      </c>
      <c r="L45" s="35"/>
      <c r="M45" s="85"/>
      <c r="N45" s="85"/>
      <c r="O45" s="85"/>
      <c r="P45" s="85"/>
      <c r="Q45" s="85"/>
      <c r="R45" s="85"/>
      <c r="S45" s="100"/>
      <c r="T45" s="100"/>
      <c r="U45" s="85"/>
      <c r="V45" s="85"/>
      <c r="W45" s="85"/>
      <c r="X45" s="85"/>
      <c r="Z45" t="str">
        <v>46211/D|BR1/03</v>
      </c>
      <c r="AA45" t="str">
        <v>STM-A40_0103</v>
      </c>
      <c r="AB45" t="str">
        <v>LIM</v>
      </c>
      <c r="AC45" t="str">
        <v>LS_09</v>
      </c>
      <c r="AD45" t="str">
        <v>L9_26</v>
      </c>
      <c r="AE45" t="str">
        <v>002 / 054</v>
      </c>
      <c r="AF45" t="str">
        <v>No</v>
      </c>
      <c r="AG45" t="str">
        <v/>
      </c>
      <c r="AH45" t="str">
        <v/>
      </c>
      <c r="AP45" t="str">
        <v>STM-A40_0095</v>
      </c>
      <c r="AQ45" t="str">
        <v>STM-A40_0096</v>
      </c>
      <c r="AR45" t="str">
        <v>STM-A40_0097</v>
      </c>
      <c r="AS45" t="str">
        <v>STM-A40_0103</v>
      </c>
      <c r="AT45" t="str">
        <v>STM-A40_0131</v>
      </c>
      <c r="AU45" t="str">
        <v>STM-A40_0135</v>
      </c>
      <c r="AV45" t="str">
        <v>STM-A40_2010</v>
      </c>
    </row>
    <row r="46" spans="4:48" ht="15.75" x14ac:dyDescent="0.25">
      <c r="D46" s="3">
        <v>1</v>
      </c>
      <c r="F46" s="16" cm="1">
        <f t="array" ref="F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46" s="31" cm="1">
        <f t="array" ref="G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52</v>
      </c>
      <c r="H46" s="33" t="str">
        <f>_xlfn.IFNA(IF(MOD(HLG_02[[#This Row],[Rit]],
    _xlfn.XLOOKUP($G$2,Int_Sample[Ore],Int_Sample[Inc])) = 0, "YES", "NO"),"")</f>
        <v>NO</v>
      </c>
      <c r="I46" s="32" t="str">
        <f>TEXT(HLG_02[[#This Row],[Batch]],"000")&amp; " / " &amp; TEXT(HLG_02[[#This Row],[Rit]],"000")</f>
        <v>002 / 052</v>
      </c>
      <c r="J46" s="34" t="s">
        <v>2624</v>
      </c>
      <c r="K46" s="38" t="s">
        <v>2616</v>
      </c>
      <c r="L46" s="35"/>
      <c r="M46" s="85"/>
      <c r="N46" s="85"/>
      <c r="O46" s="85"/>
      <c r="P46" s="85"/>
      <c r="Q46" s="85"/>
      <c r="R46" s="85"/>
      <c r="S46" s="100"/>
      <c r="T46" s="100"/>
      <c r="U46" s="85"/>
      <c r="V46" s="85"/>
      <c r="W46" s="85"/>
      <c r="X46" s="85"/>
      <c r="Z46" t="str">
        <v>46211/D|BR1/03</v>
      </c>
      <c r="AA46" t="str">
        <v>STM-A40_0095</v>
      </c>
      <c r="AB46" t="str">
        <v>LIM</v>
      </c>
      <c r="AC46" t="str">
        <v>LS_09</v>
      </c>
      <c r="AD46" t="str">
        <v>L9_26</v>
      </c>
      <c r="AE46" t="str">
        <v>002 / 055</v>
      </c>
      <c r="AF46" t="str">
        <v>Yes</v>
      </c>
      <c r="AG46" t="str">
        <v/>
      </c>
      <c r="AH46" t="str">
        <v/>
      </c>
      <c r="AP46" t="str">
        <v>STM-A40_0095</v>
      </c>
      <c r="AQ46" t="str">
        <v>STM-A40_0096</v>
      </c>
      <c r="AR46" t="str">
        <v>STM-A40_0097</v>
      </c>
      <c r="AS46" t="str">
        <v>STM-A40_0103</v>
      </c>
      <c r="AT46" t="str">
        <v>STM-A40_0131</v>
      </c>
      <c r="AU46" t="str">
        <v>STM-A40_0135</v>
      </c>
      <c r="AV46" t="str">
        <v>STM-A40_2010</v>
      </c>
    </row>
    <row r="47" spans="4:48" ht="15.75" x14ac:dyDescent="0.25">
      <c r="D47" s="3">
        <v>1</v>
      </c>
      <c r="F47" s="16" cm="1">
        <f t="array" ref="F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47" s="31" cm="1">
        <f t="array" ref="G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53</v>
      </c>
      <c r="H47" s="33" t="str">
        <f>_xlfn.IFNA(IF(MOD(HLG_02[[#This Row],[Rit]],
    _xlfn.XLOOKUP($G$2,Int_Sample[Ore],Int_Sample[Inc])) = 0, "YES", "NO"),"")</f>
        <v>NO</v>
      </c>
      <c r="I47" s="32" t="str">
        <f>TEXT(HLG_02[[#This Row],[Batch]],"000")&amp; " / " &amp; TEXT(HLG_02[[#This Row],[Rit]],"000")</f>
        <v>002 / 053</v>
      </c>
      <c r="J47" s="34" t="s">
        <v>2624</v>
      </c>
      <c r="K47" s="38" t="s">
        <v>2617</v>
      </c>
      <c r="L47" s="35"/>
      <c r="M47" s="85"/>
      <c r="N47" s="85"/>
      <c r="O47" s="85"/>
      <c r="P47" s="85"/>
      <c r="Q47" s="85"/>
      <c r="R47" s="85"/>
      <c r="S47" s="100"/>
      <c r="T47" s="100"/>
      <c r="U47" s="85"/>
      <c r="V47" s="85"/>
      <c r="W47" s="85"/>
      <c r="X47" s="85"/>
      <c r="Z47" t="str">
        <v>46211/D|BR1/03</v>
      </c>
      <c r="AA47" t="str">
        <v>STM-A40_0096</v>
      </c>
      <c r="AB47" t="str">
        <v>LIM</v>
      </c>
      <c r="AC47" t="str">
        <v>LS_09</v>
      </c>
      <c r="AD47" t="str">
        <v>L9_26</v>
      </c>
      <c r="AE47" t="str">
        <v>002 / 056</v>
      </c>
      <c r="AF47" t="str">
        <v>No</v>
      </c>
      <c r="AG47" t="str">
        <v/>
      </c>
      <c r="AH47" t="str">
        <v/>
      </c>
      <c r="AP47" t="str">
        <v>STM-A40_0095</v>
      </c>
      <c r="AQ47" t="str">
        <v>STM-A40_0096</v>
      </c>
      <c r="AR47" t="str">
        <v>STM-A40_0097</v>
      </c>
      <c r="AS47" t="str">
        <v>STM-A40_0103</v>
      </c>
      <c r="AT47" t="str">
        <v>STM-A40_0131</v>
      </c>
      <c r="AU47" t="str">
        <v>STM-A40_0135</v>
      </c>
      <c r="AV47" t="str">
        <v>STM-A40_2010</v>
      </c>
    </row>
    <row r="48" spans="4:48" ht="15.75" x14ac:dyDescent="0.25">
      <c r="D48" s="3">
        <v>1</v>
      </c>
      <c r="F48" s="16" cm="1">
        <f t="array" ref="F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48" s="31" cm="1">
        <f t="array" ref="G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54</v>
      </c>
      <c r="H48" s="33" t="str">
        <f>_xlfn.IFNA(IF(MOD(HLG_02[[#This Row],[Rit]],
    _xlfn.XLOOKUP($G$2,Int_Sample[Ore],Int_Sample[Inc])) = 0, "YES", "NO"),"")</f>
        <v>NO</v>
      </c>
      <c r="I48" s="32" t="str">
        <f>TEXT(HLG_02[[#This Row],[Batch]],"000")&amp; " / " &amp; TEXT(HLG_02[[#This Row],[Rit]],"000")</f>
        <v>002 / 054</v>
      </c>
      <c r="J48" s="34" t="s">
        <v>2624</v>
      </c>
      <c r="K48" s="38" t="s">
        <v>2618</v>
      </c>
      <c r="L48" s="35"/>
      <c r="M48" s="85"/>
      <c r="N48" s="85"/>
      <c r="O48" s="85"/>
      <c r="P48" s="85"/>
      <c r="Q48" s="85"/>
      <c r="R48" s="85"/>
      <c r="S48" s="100"/>
      <c r="T48" s="100"/>
      <c r="U48" s="85"/>
      <c r="V48" s="85"/>
      <c r="W48" s="85"/>
      <c r="X48" s="85"/>
      <c r="Z48" t="str">
        <v>46211/D|BR1/03</v>
      </c>
      <c r="AA48" t="str">
        <v>STM-A40_0131</v>
      </c>
      <c r="AB48" t="str">
        <v>LIM</v>
      </c>
      <c r="AC48" t="str">
        <v>LS_09</v>
      </c>
      <c r="AD48" t="str">
        <v>L9_26</v>
      </c>
      <c r="AE48" t="str">
        <v>002 / 057</v>
      </c>
      <c r="AF48" t="str">
        <v>No</v>
      </c>
      <c r="AG48" t="str">
        <v/>
      </c>
      <c r="AH48" t="str">
        <v/>
      </c>
      <c r="AP48" t="str">
        <v>STM-A40_0095</v>
      </c>
      <c r="AQ48" t="str">
        <v>STM-A40_0096</v>
      </c>
      <c r="AR48" t="str">
        <v>STM-A40_0097</v>
      </c>
      <c r="AS48" t="str">
        <v>STM-A40_0103</v>
      </c>
      <c r="AT48" t="str">
        <v>STM-A40_0131</v>
      </c>
      <c r="AU48" t="str">
        <v>STM-A40_0135</v>
      </c>
      <c r="AV48" t="str">
        <v>STM-A40_2010</v>
      </c>
    </row>
    <row r="49" spans="4:48" ht="15.75" x14ac:dyDescent="0.25">
      <c r="D49" s="3">
        <v>1</v>
      </c>
      <c r="F49" s="16" cm="1">
        <f t="array" ref="F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49" s="31" cm="1">
        <f t="array" ref="G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55</v>
      </c>
      <c r="H49" s="33" t="str">
        <f>_xlfn.IFNA(IF(MOD(HLG_02[[#This Row],[Rit]],
    _xlfn.XLOOKUP($G$2,Int_Sample[Ore],Int_Sample[Inc])) = 0, "YES", "NO"),"")</f>
        <v>YES</v>
      </c>
      <c r="I49" s="32" t="str">
        <f>TEXT(HLG_02[[#This Row],[Batch]],"000")&amp; " / " &amp; TEXT(HLG_02[[#This Row],[Rit]],"000")</f>
        <v>002 / 055</v>
      </c>
      <c r="J49" s="34" t="s">
        <v>2624</v>
      </c>
      <c r="K49" s="38" t="s">
        <v>2615</v>
      </c>
      <c r="L49" s="35"/>
      <c r="M49" s="85"/>
      <c r="N49" s="85"/>
      <c r="O49" s="85"/>
      <c r="P49" s="85"/>
      <c r="Q49" s="85"/>
      <c r="R49" s="85"/>
      <c r="S49" s="100"/>
      <c r="T49" s="100"/>
      <c r="U49" s="85"/>
      <c r="V49" s="85"/>
      <c r="W49" s="85"/>
      <c r="X49" s="85"/>
      <c r="Z49" t="str">
        <v>46211/D|BR1/03</v>
      </c>
      <c r="AA49" t="str">
        <v>STM-A40_0095</v>
      </c>
      <c r="AB49" t="str">
        <v>LIM</v>
      </c>
      <c r="AC49" t="str">
        <v>LS_09</v>
      </c>
      <c r="AD49" t="str">
        <v>L9_26</v>
      </c>
      <c r="AE49" t="str">
        <v>002 / 058</v>
      </c>
      <c r="AF49" t="str">
        <v>No</v>
      </c>
      <c r="AG49" t="str">
        <v/>
      </c>
      <c r="AH49" t="str">
        <v/>
      </c>
      <c r="AP49" t="str">
        <v>STM-A40_0095</v>
      </c>
      <c r="AQ49" t="str">
        <v>STM-A40_0096</v>
      </c>
      <c r="AR49" t="str">
        <v>STM-A40_0097</v>
      </c>
      <c r="AS49" t="str">
        <v>STM-A40_0103</v>
      </c>
      <c r="AT49" t="str">
        <v>STM-A40_0131</v>
      </c>
      <c r="AU49" t="str">
        <v>STM-A40_0135</v>
      </c>
      <c r="AV49" t="str">
        <v>STM-A40_2010</v>
      </c>
    </row>
    <row r="50" spans="4:48" ht="15.75" x14ac:dyDescent="0.25">
      <c r="D50" s="3">
        <v>1</v>
      </c>
      <c r="F50" s="16" cm="1">
        <f t="array" ref="F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50" s="31" cm="1">
        <f t="array" ref="G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56</v>
      </c>
      <c r="H50" s="33" t="str">
        <f>_xlfn.IFNA(IF(MOD(HLG_02[[#This Row],[Rit]],
    _xlfn.XLOOKUP($G$2,Int_Sample[Ore],Int_Sample[Inc])) = 0, "YES", "NO"),"")</f>
        <v>NO</v>
      </c>
      <c r="I50" s="32" t="str">
        <f>TEXT(HLG_02[[#This Row],[Batch]],"000")&amp; " / " &amp; TEXT(HLG_02[[#This Row],[Rit]],"000")</f>
        <v>002 / 056</v>
      </c>
      <c r="J50" s="34" t="s">
        <v>2624</v>
      </c>
      <c r="K50" s="38" t="s">
        <v>2614</v>
      </c>
      <c r="L50" s="35"/>
      <c r="M50" s="85"/>
      <c r="N50" s="85"/>
      <c r="O50" s="85"/>
      <c r="P50" s="85"/>
      <c r="Q50" s="85"/>
      <c r="R50" s="85"/>
      <c r="S50" s="100"/>
      <c r="T50" s="100"/>
      <c r="U50" s="85"/>
      <c r="V50" s="85"/>
      <c r="W50" s="85"/>
      <c r="X50" s="85"/>
      <c r="Z50" t="str">
        <v>46211/D|BR1/03</v>
      </c>
      <c r="AA50" t="str">
        <v>STM-A40_0135</v>
      </c>
      <c r="AB50" t="str">
        <v>LIM</v>
      </c>
      <c r="AC50" t="str">
        <v>LS_09</v>
      </c>
      <c r="AD50" t="str">
        <v>L9_26</v>
      </c>
      <c r="AE50" t="str">
        <v>002 / 059</v>
      </c>
      <c r="AF50" t="str">
        <v>No</v>
      </c>
      <c r="AG50" t="str">
        <v/>
      </c>
      <c r="AH50" t="str">
        <v/>
      </c>
      <c r="AP50" t="str">
        <v>STM-A40_0095</v>
      </c>
      <c r="AQ50" t="str">
        <v>STM-A40_0096</v>
      </c>
      <c r="AR50" t="str">
        <v>STM-A40_0097</v>
      </c>
      <c r="AS50" t="str">
        <v>STM-A40_0103</v>
      </c>
      <c r="AT50" t="str">
        <v>STM-A40_0131</v>
      </c>
      <c r="AU50" t="str">
        <v>STM-A40_0135</v>
      </c>
      <c r="AV50" t="str">
        <v>STM-A40_2010</v>
      </c>
    </row>
    <row r="51" spans="4:48" ht="15.75" x14ac:dyDescent="0.25">
      <c r="D51" s="3">
        <v>1</v>
      </c>
      <c r="F51" s="16" cm="1">
        <f t="array" ref="F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51" s="31" cm="1">
        <f t="array" ref="G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57</v>
      </c>
      <c r="H51" s="33" t="str">
        <f>_xlfn.IFNA(IF(MOD(HLG_02[[#This Row],[Rit]],
    _xlfn.XLOOKUP($G$2,Int_Sample[Ore],Int_Sample[Inc])) = 0, "YES", "NO"),"")</f>
        <v>NO</v>
      </c>
      <c r="I51" s="32" t="str">
        <f>TEXT(HLG_02[[#This Row],[Batch]],"000")&amp; " / " &amp; TEXT(HLG_02[[#This Row],[Rit]],"000")</f>
        <v>002 / 057</v>
      </c>
      <c r="J51" s="34" t="s">
        <v>2624</v>
      </c>
      <c r="K51" s="38" t="s">
        <v>2616</v>
      </c>
      <c r="L51" s="35"/>
      <c r="M51" s="85"/>
      <c r="N51" s="85"/>
      <c r="O51" s="85"/>
      <c r="P51" s="85"/>
      <c r="Q51" s="85"/>
      <c r="R51" s="85"/>
      <c r="S51" s="100"/>
      <c r="T51" s="100"/>
      <c r="U51" s="85"/>
      <c r="V51" s="85"/>
      <c r="W51" s="85"/>
      <c r="X51" s="85"/>
      <c r="Z51" t="str">
        <v>46211/D|BR1/03</v>
      </c>
      <c r="AA51" t="str">
        <v>STM-A40_0103</v>
      </c>
      <c r="AB51" t="str">
        <v>LIM</v>
      </c>
      <c r="AC51" t="str">
        <v>LS_09</v>
      </c>
      <c r="AD51" t="str">
        <v>L9_26</v>
      </c>
      <c r="AE51" t="str">
        <v>002 / 060</v>
      </c>
      <c r="AF51" t="str">
        <v>Yes</v>
      </c>
      <c r="AG51" t="str">
        <v/>
      </c>
      <c r="AH51" t="str">
        <v/>
      </c>
      <c r="AP51" t="str">
        <v>STM-A40_0095</v>
      </c>
      <c r="AQ51" t="str">
        <v>STM-A40_0096</v>
      </c>
      <c r="AR51" t="str">
        <v>STM-A40_0097</v>
      </c>
      <c r="AS51" t="str">
        <v>STM-A40_0103</v>
      </c>
      <c r="AT51" t="str">
        <v>STM-A40_0131</v>
      </c>
      <c r="AU51" t="str">
        <v>STM-A40_0135</v>
      </c>
      <c r="AV51" t="str">
        <v>STM-A40_2010</v>
      </c>
    </row>
    <row r="52" spans="4:48" ht="15.75" x14ac:dyDescent="0.25">
      <c r="D52" s="3">
        <v>1</v>
      </c>
      <c r="F52" s="16" cm="1">
        <f t="array" ref="F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52" s="31" cm="1">
        <f t="array" ref="G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58</v>
      </c>
      <c r="H52" s="33" t="str">
        <f>_xlfn.IFNA(IF(MOD(HLG_02[[#This Row],[Rit]],
    _xlfn.XLOOKUP($G$2,Int_Sample[Ore],Int_Sample[Inc])) = 0, "YES", "NO"),"")</f>
        <v>NO</v>
      </c>
      <c r="I52" s="32" t="str">
        <f>TEXT(HLG_02[[#This Row],[Batch]],"000")&amp; " / " &amp; TEXT(HLG_02[[#This Row],[Rit]],"000")</f>
        <v>002 / 058</v>
      </c>
      <c r="J52" s="34" t="s">
        <v>2624</v>
      </c>
      <c r="K52" s="38" t="s">
        <v>2615</v>
      </c>
      <c r="L52" s="35"/>
      <c r="M52" s="85"/>
      <c r="N52" s="85"/>
      <c r="O52" s="85"/>
      <c r="P52" s="85"/>
      <c r="Q52" s="85"/>
      <c r="R52" s="85"/>
      <c r="S52" s="100"/>
      <c r="T52" s="100"/>
      <c r="U52" s="85"/>
      <c r="V52" s="85"/>
      <c r="W52" s="85"/>
      <c r="X52" s="85"/>
      <c r="Z52" t="str">
        <v>46211/D|BR1/03</v>
      </c>
      <c r="AA52" t="str">
        <v>STM-A40_0131</v>
      </c>
      <c r="AB52" t="str">
        <v>LIM</v>
      </c>
      <c r="AC52" t="str">
        <v>LS_09</v>
      </c>
      <c r="AD52" t="str">
        <v>L9_26</v>
      </c>
      <c r="AE52" t="str">
        <v>002 / 061</v>
      </c>
      <c r="AF52" t="str">
        <v>No</v>
      </c>
      <c r="AG52" t="str">
        <v/>
      </c>
      <c r="AH52" t="str">
        <v/>
      </c>
      <c r="AP52" t="str">
        <v>STM-A40_0095</v>
      </c>
      <c r="AQ52" t="str">
        <v>STM-A40_0096</v>
      </c>
      <c r="AR52" t="str">
        <v>STM-A40_0097</v>
      </c>
      <c r="AS52" t="str">
        <v>STM-A40_0103</v>
      </c>
      <c r="AT52" t="str">
        <v>STM-A40_0131</v>
      </c>
      <c r="AU52" t="str">
        <v>STM-A40_0135</v>
      </c>
      <c r="AV52" t="str">
        <v>STM-A40_2010</v>
      </c>
    </row>
    <row r="53" spans="4:48" ht="15.75" x14ac:dyDescent="0.25">
      <c r="D53" s="3">
        <v>1</v>
      </c>
      <c r="F53" s="16" cm="1">
        <f t="array" ref="F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53" s="31" cm="1">
        <f t="array" ref="G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59</v>
      </c>
      <c r="H53" s="33" t="str">
        <f>_xlfn.IFNA(IF(MOD(HLG_02[[#This Row],[Rit]],
    _xlfn.XLOOKUP($G$2,Int_Sample[Ore],Int_Sample[Inc])) = 0, "YES", "NO"),"")</f>
        <v>NO</v>
      </c>
      <c r="I53" s="32" t="str">
        <f>TEXT(HLG_02[[#This Row],[Batch]],"000")&amp; " / " &amp; TEXT(HLG_02[[#This Row],[Rit]],"000")</f>
        <v>002 / 059</v>
      </c>
      <c r="J53" s="34" t="s">
        <v>2624</v>
      </c>
      <c r="K53" s="38" t="s">
        <v>2617</v>
      </c>
      <c r="L53" s="35"/>
      <c r="M53" s="85"/>
      <c r="N53" s="85"/>
      <c r="O53" s="85"/>
      <c r="P53" s="85"/>
      <c r="Q53" s="85"/>
      <c r="R53" s="85"/>
      <c r="S53" s="100"/>
      <c r="T53" s="100"/>
      <c r="U53" s="85"/>
      <c r="V53" s="85"/>
      <c r="W53" s="85"/>
      <c r="X53" s="85"/>
      <c r="Z53" t="str">
        <v>46211/D|BR1/03</v>
      </c>
      <c r="AA53" t="str">
        <v>STM-A40_0103</v>
      </c>
      <c r="AB53" t="str">
        <v>LIM</v>
      </c>
      <c r="AC53" t="str">
        <v>LS_09</v>
      </c>
      <c r="AD53" t="str">
        <v>L9_26</v>
      </c>
      <c r="AE53" t="str">
        <v>002 / 062</v>
      </c>
      <c r="AF53" t="str">
        <v>No</v>
      </c>
      <c r="AG53" t="str">
        <v/>
      </c>
      <c r="AH53" t="str">
        <v/>
      </c>
      <c r="AP53" t="str">
        <v>STM-A40_0095</v>
      </c>
      <c r="AQ53" t="str">
        <v>STM-A40_0096</v>
      </c>
      <c r="AR53" t="str">
        <v>STM-A40_0097</v>
      </c>
      <c r="AS53" t="str">
        <v>STM-A40_0103</v>
      </c>
      <c r="AT53" t="str">
        <v>STM-A40_0131</v>
      </c>
      <c r="AU53" t="str">
        <v>STM-A40_0135</v>
      </c>
      <c r="AV53" t="str">
        <v>STM-A40_2010</v>
      </c>
    </row>
    <row r="54" spans="4:48" ht="15.75" x14ac:dyDescent="0.25">
      <c r="D54" s="3">
        <v>1</v>
      </c>
      <c r="F54" s="16" cm="1">
        <f t="array" ref="F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54" s="31" cm="1">
        <f t="array" ref="G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60</v>
      </c>
      <c r="H54" s="33" t="str">
        <f>_xlfn.IFNA(IF(MOD(HLG_02[[#This Row],[Rit]],
    _xlfn.XLOOKUP($G$2,Int_Sample[Ore],Int_Sample[Inc])) = 0, "YES", "NO"),"")</f>
        <v>YES</v>
      </c>
      <c r="I54" s="32" t="str">
        <f>TEXT(HLG_02[[#This Row],[Batch]],"000")&amp; " / " &amp; TEXT(HLG_02[[#This Row],[Rit]],"000")</f>
        <v>002 / 060</v>
      </c>
      <c r="J54" s="34" t="s">
        <v>2624</v>
      </c>
      <c r="K54" s="38" t="s">
        <v>2618</v>
      </c>
      <c r="L54" s="35"/>
      <c r="M54" s="85"/>
      <c r="N54" s="85"/>
      <c r="O54" s="85"/>
      <c r="P54" s="85"/>
      <c r="Q54" s="85"/>
      <c r="R54" s="85"/>
      <c r="S54" s="100"/>
      <c r="T54" s="100"/>
      <c r="U54" s="85"/>
      <c r="V54" s="85"/>
      <c r="W54" s="85"/>
      <c r="X54" s="85"/>
      <c r="Z54" t="str">
        <v>46211/D|BR1/03</v>
      </c>
      <c r="AA54" t="str">
        <v>STM-A40_0095</v>
      </c>
      <c r="AB54" t="str">
        <v>LIM</v>
      </c>
      <c r="AC54" t="str">
        <v>LS_09</v>
      </c>
      <c r="AD54" t="str">
        <v>L9_26</v>
      </c>
      <c r="AE54" t="str">
        <v>002 / 063</v>
      </c>
      <c r="AF54" t="str">
        <v>No</v>
      </c>
      <c r="AG54" t="str">
        <v/>
      </c>
      <c r="AH54" t="str">
        <v/>
      </c>
      <c r="AP54" t="str">
        <v>STM-A40_0095</v>
      </c>
      <c r="AQ54" t="str">
        <v>STM-A40_0096</v>
      </c>
      <c r="AR54" t="str">
        <v>STM-A40_0097</v>
      </c>
      <c r="AS54" t="str">
        <v>STM-A40_0103</v>
      </c>
      <c r="AT54" t="str">
        <v>STM-A40_0131</v>
      </c>
      <c r="AU54" t="str">
        <v>STM-A40_0135</v>
      </c>
      <c r="AV54" t="str">
        <v>STM-A40_2010</v>
      </c>
    </row>
    <row r="55" spans="4:48" ht="15.75" x14ac:dyDescent="0.25">
      <c r="D55" s="3">
        <v>1</v>
      </c>
      <c r="F55" s="16" cm="1">
        <f t="array" ref="F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55" s="31" cm="1">
        <f t="array" ref="G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61</v>
      </c>
      <c r="H55" s="33" t="str">
        <f>_xlfn.IFNA(IF(MOD(HLG_02[[#This Row],[Rit]],
    _xlfn.XLOOKUP($G$2,Int_Sample[Ore],Int_Sample[Inc])) = 0, "YES", "NO"),"")</f>
        <v>NO</v>
      </c>
      <c r="I55" s="32" t="str">
        <f>TEXT(HLG_02[[#This Row],[Batch]],"000")&amp; " / " &amp; TEXT(HLG_02[[#This Row],[Rit]],"000")</f>
        <v>002 / 061</v>
      </c>
      <c r="J55" s="34" t="s">
        <v>2624</v>
      </c>
      <c r="K55" s="38" t="s">
        <v>2616</v>
      </c>
      <c r="L55" s="35"/>
      <c r="M55" s="85"/>
      <c r="N55" s="85"/>
      <c r="O55" s="85"/>
      <c r="P55" s="85"/>
      <c r="Q55" s="85"/>
      <c r="R55" s="85"/>
      <c r="S55" s="100"/>
      <c r="T55" s="100"/>
      <c r="U55" s="85"/>
      <c r="V55" s="85"/>
      <c r="W55" s="85"/>
      <c r="X55" s="85"/>
      <c r="Z55" t="str">
        <v>46211/D|BR1/03</v>
      </c>
      <c r="AA55" t="str">
        <v>STM-A40_0096</v>
      </c>
      <c r="AB55" t="str">
        <v>LIM</v>
      </c>
      <c r="AC55" t="str">
        <v>LS_09</v>
      </c>
      <c r="AD55" t="str">
        <v>L9_26</v>
      </c>
      <c r="AE55" t="str">
        <v>002 / 064</v>
      </c>
      <c r="AF55" t="str">
        <v>No</v>
      </c>
      <c r="AG55" t="str">
        <v/>
      </c>
      <c r="AH55" t="str">
        <v/>
      </c>
      <c r="AP55" t="str">
        <v>STM-A40_0095</v>
      </c>
      <c r="AQ55" t="str">
        <v>STM-A40_0096</v>
      </c>
      <c r="AR55" t="str">
        <v>STM-A40_0097</v>
      </c>
      <c r="AS55" t="str">
        <v>STM-A40_0103</v>
      </c>
      <c r="AT55" t="str">
        <v>STM-A40_0131</v>
      </c>
      <c r="AU55" t="str">
        <v>STM-A40_0135</v>
      </c>
      <c r="AV55" t="str">
        <v>STM-A40_2010</v>
      </c>
    </row>
    <row r="56" spans="4:48" ht="15.75" x14ac:dyDescent="0.25">
      <c r="D56" s="3">
        <v>1</v>
      </c>
      <c r="F56" s="16" cm="1">
        <f t="array" ref="F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56" s="31" cm="1">
        <f t="array" ref="G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62</v>
      </c>
      <c r="H56" s="33" t="str">
        <f>_xlfn.IFNA(IF(MOD(HLG_02[[#This Row],[Rit]],
    _xlfn.XLOOKUP($G$2,Int_Sample[Ore],Int_Sample[Inc])) = 0, "YES", "NO"),"")</f>
        <v>NO</v>
      </c>
      <c r="I56" s="32" t="str">
        <f>TEXT(HLG_02[[#This Row],[Batch]],"000")&amp; " / " &amp; TEXT(HLG_02[[#This Row],[Rit]],"000")</f>
        <v>002 / 062</v>
      </c>
      <c r="J56" s="34" t="s">
        <v>2624</v>
      </c>
      <c r="K56" s="38" t="s">
        <v>2618</v>
      </c>
      <c r="L56" s="35"/>
      <c r="M56" s="85"/>
      <c r="N56" s="85"/>
      <c r="O56" s="85"/>
      <c r="P56" s="85"/>
      <c r="Q56" s="85"/>
      <c r="R56" s="85"/>
      <c r="S56" s="100"/>
      <c r="T56" s="100"/>
      <c r="U56" s="85"/>
      <c r="V56" s="85"/>
      <c r="W56" s="85"/>
      <c r="X56" s="85"/>
      <c r="Z56" t="str">
        <v>46211/D|BR1/03</v>
      </c>
      <c r="AA56" t="str">
        <v>STM-A40_0131</v>
      </c>
      <c r="AB56" t="str">
        <v>LIM</v>
      </c>
      <c r="AC56" t="str">
        <v>LS_09</v>
      </c>
      <c r="AD56" t="str">
        <v>L9_26</v>
      </c>
      <c r="AE56" t="str">
        <v>002 / 065</v>
      </c>
      <c r="AF56" t="str">
        <v>Yes</v>
      </c>
      <c r="AG56" t="str">
        <v/>
      </c>
      <c r="AH56" t="str">
        <v/>
      </c>
      <c r="AP56" t="str">
        <v>STM-A40_0095</v>
      </c>
      <c r="AQ56" t="str">
        <v>STM-A40_0096</v>
      </c>
      <c r="AR56" t="str">
        <v>STM-A40_0097</v>
      </c>
      <c r="AS56" t="str">
        <v>STM-A40_0103</v>
      </c>
      <c r="AT56" t="str">
        <v>STM-A40_0131</v>
      </c>
      <c r="AU56" t="str">
        <v>STM-A40_0135</v>
      </c>
      <c r="AV56" t="str">
        <v>STM-A40_2010</v>
      </c>
    </row>
    <row r="57" spans="4:48" ht="15.75" x14ac:dyDescent="0.25">
      <c r="D57" s="3">
        <v>1</v>
      </c>
      <c r="F57" s="16" cm="1">
        <f t="array" ref="F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57" s="31" cm="1">
        <f t="array" ref="G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63</v>
      </c>
      <c r="H57" s="33" t="str">
        <f>_xlfn.IFNA(IF(MOD(HLG_02[[#This Row],[Rit]],
    _xlfn.XLOOKUP($G$2,Int_Sample[Ore],Int_Sample[Inc])) = 0, "YES", "NO"),"")</f>
        <v>NO</v>
      </c>
      <c r="I57" s="32" t="str">
        <f>TEXT(HLG_02[[#This Row],[Batch]],"000")&amp; " / " &amp; TEXT(HLG_02[[#This Row],[Rit]],"000")</f>
        <v>002 / 063</v>
      </c>
      <c r="J57" s="34" t="s">
        <v>2624</v>
      </c>
      <c r="K57" s="38" t="s">
        <v>2615</v>
      </c>
      <c r="L57" s="35"/>
      <c r="M57" s="85"/>
      <c r="N57" s="85"/>
      <c r="O57" s="85"/>
      <c r="P57" s="85"/>
      <c r="Q57" s="85"/>
      <c r="R57" s="85"/>
      <c r="S57" s="100"/>
      <c r="T57" s="100"/>
      <c r="U57" s="85"/>
      <c r="V57" s="85"/>
      <c r="W57" s="85"/>
      <c r="X57" s="85"/>
      <c r="Z57" t="str">
        <v>46211/D|BR1/03</v>
      </c>
      <c r="AA57" t="str">
        <v>STM-A40_0095</v>
      </c>
      <c r="AB57" t="str">
        <v>LIM</v>
      </c>
      <c r="AC57" t="str">
        <v>LS_09</v>
      </c>
      <c r="AD57" t="str">
        <v>L9_26</v>
      </c>
      <c r="AE57" t="str">
        <v>002 / 066</v>
      </c>
      <c r="AF57" t="str">
        <v>No</v>
      </c>
      <c r="AG57" t="str">
        <v/>
      </c>
      <c r="AH57" t="str">
        <v/>
      </c>
      <c r="AP57" t="str">
        <v>STM-A40_0095</v>
      </c>
      <c r="AQ57" t="str">
        <v>STM-A40_0096</v>
      </c>
      <c r="AR57" t="str">
        <v>STM-A40_0097</v>
      </c>
      <c r="AS57" t="str">
        <v>STM-A40_0103</v>
      </c>
      <c r="AT57" t="str">
        <v>STM-A40_0131</v>
      </c>
      <c r="AU57" t="str">
        <v>STM-A40_0135</v>
      </c>
      <c r="AV57" t="str">
        <v>STM-A40_2010</v>
      </c>
    </row>
    <row r="58" spans="4:48" ht="15.75" x14ac:dyDescent="0.25">
      <c r="D58" s="3">
        <v>1</v>
      </c>
      <c r="F58" s="16" cm="1">
        <f t="array" ref="F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58" s="31" cm="1">
        <f t="array" ref="G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64</v>
      </c>
      <c r="H58" s="33" t="str">
        <f>_xlfn.IFNA(IF(MOD(HLG_02[[#This Row],[Rit]],
    _xlfn.XLOOKUP($G$2,Int_Sample[Ore],Int_Sample[Inc])) = 0, "YES", "NO"),"")</f>
        <v>NO</v>
      </c>
      <c r="I58" s="32" t="str">
        <f>TEXT(HLG_02[[#This Row],[Batch]],"000")&amp; " / " &amp; TEXT(HLG_02[[#This Row],[Rit]],"000")</f>
        <v>002 / 064</v>
      </c>
      <c r="J58" s="34" t="s">
        <v>2624</v>
      </c>
      <c r="K58" s="38" t="s">
        <v>2614</v>
      </c>
      <c r="L58" s="35"/>
      <c r="M58" s="85"/>
      <c r="N58" s="85"/>
      <c r="O58" s="85"/>
      <c r="P58" s="85"/>
      <c r="Q58" s="85"/>
      <c r="R58" s="85"/>
      <c r="S58" s="100"/>
      <c r="T58" s="100"/>
      <c r="U58" s="85"/>
      <c r="V58" s="85"/>
      <c r="W58" s="85"/>
      <c r="X58" s="85"/>
      <c r="Z58" t="str">
        <v>46211/D|BR1/03</v>
      </c>
      <c r="AA58" t="str">
        <v>STM-A40_0135</v>
      </c>
      <c r="AB58" t="str">
        <v>LIM</v>
      </c>
      <c r="AC58" t="str">
        <v>LS_09</v>
      </c>
      <c r="AD58" t="str">
        <v>L9_26</v>
      </c>
      <c r="AE58" t="str">
        <v>002 / 067</v>
      </c>
      <c r="AF58" t="str">
        <v>No</v>
      </c>
      <c r="AG58" t="str">
        <v/>
      </c>
      <c r="AH58" t="str">
        <v/>
      </c>
      <c r="AP58" t="str">
        <v>STM-A40_0095</v>
      </c>
      <c r="AQ58" t="str">
        <v>STM-A40_0096</v>
      </c>
      <c r="AR58" t="str">
        <v>STM-A40_0097</v>
      </c>
      <c r="AS58" t="str">
        <v>STM-A40_0103</v>
      </c>
      <c r="AT58" t="str">
        <v>STM-A40_0131</v>
      </c>
      <c r="AU58" t="str">
        <v>STM-A40_0135</v>
      </c>
      <c r="AV58" t="str">
        <v>STM-A40_2010</v>
      </c>
    </row>
    <row r="59" spans="4:48" ht="15.75" x14ac:dyDescent="0.25">
      <c r="D59" s="3">
        <v>1</v>
      </c>
      <c r="F59" s="16" cm="1">
        <f t="array" ref="F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59" s="31" cm="1">
        <f t="array" ref="G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65</v>
      </c>
      <c r="H59" s="33" t="str">
        <f>_xlfn.IFNA(IF(MOD(HLG_02[[#This Row],[Rit]],
    _xlfn.XLOOKUP($G$2,Int_Sample[Ore],Int_Sample[Inc])) = 0, "YES", "NO"),"")</f>
        <v>YES</v>
      </c>
      <c r="I59" s="32" t="str">
        <f>TEXT(HLG_02[[#This Row],[Batch]],"000")&amp; " / " &amp; TEXT(HLG_02[[#This Row],[Rit]],"000")</f>
        <v>002 / 065</v>
      </c>
      <c r="J59" s="34" t="s">
        <v>2624</v>
      </c>
      <c r="K59" s="38" t="s">
        <v>2616</v>
      </c>
      <c r="L59" s="35"/>
      <c r="M59" s="85"/>
      <c r="N59" s="85"/>
      <c r="O59" s="85"/>
      <c r="P59" s="85"/>
      <c r="Q59" s="85"/>
      <c r="R59" s="85"/>
      <c r="S59" s="100"/>
      <c r="T59" s="100"/>
      <c r="U59" s="85"/>
      <c r="V59" s="85"/>
      <c r="W59" s="85"/>
      <c r="X59" s="85"/>
      <c r="Z59" t="str">
        <v>46211/D|BR1/03</v>
      </c>
      <c r="AA59" t="str">
        <v>STM-A40_0103</v>
      </c>
      <c r="AB59" t="str">
        <v>LIM</v>
      </c>
      <c r="AC59" t="str">
        <v>LS_09</v>
      </c>
      <c r="AD59" t="str">
        <v>L9_26</v>
      </c>
      <c r="AE59" t="str">
        <v>002 / 068</v>
      </c>
      <c r="AF59" t="str">
        <v>No</v>
      </c>
      <c r="AG59" t="str">
        <v/>
      </c>
      <c r="AH59" t="str">
        <v/>
      </c>
      <c r="AP59" t="str">
        <v>STM-A40_0095</v>
      </c>
      <c r="AQ59" t="str">
        <v>STM-A40_0096</v>
      </c>
      <c r="AR59" t="str">
        <v>STM-A40_0097</v>
      </c>
      <c r="AS59" t="str">
        <v>STM-A40_0103</v>
      </c>
      <c r="AT59" t="str">
        <v>STM-A40_0131</v>
      </c>
      <c r="AU59" t="str">
        <v>STM-A40_0135</v>
      </c>
      <c r="AV59" t="str">
        <v>STM-A40_2010</v>
      </c>
    </row>
    <row r="60" spans="4:48" ht="15.75" x14ac:dyDescent="0.25">
      <c r="D60" s="3">
        <v>1</v>
      </c>
      <c r="F60" s="16" cm="1">
        <f t="array" ref="F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60" s="31" cm="1">
        <f t="array" ref="G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66</v>
      </c>
      <c r="H60" s="33" t="str">
        <f>_xlfn.IFNA(IF(MOD(HLG_02[[#This Row],[Rit]],
    _xlfn.XLOOKUP($G$2,Int_Sample[Ore],Int_Sample[Inc])) = 0, "YES", "NO"),"")</f>
        <v>NO</v>
      </c>
      <c r="I60" s="32" t="str">
        <f>TEXT(HLG_02[[#This Row],[Batch]],"000")&amp; " / " &amp; TEXT(HLG_02[[#This Row],[Rit]],"000")</f>
        <v>002 / 066</v>
      </c>
      <c r="J60" s="34" t="s">
        <v>2624</v>
      </c>
      <c r="K60" s="38" t="s">
        <v>2615</v>
      </c>
      <c r="L60" s="35"/>
      <c r="M60" s="85"/>
      <c r="N60" s="85"/>
      <c r="O60" s="85"/>
      <c r="P60" s="85"/>
      <c r="Q60" s="85"/>
      <c r="R60" s="85"/>
      <c r="S60" s="100"/>
      <c r="T60" s="100"/>
      <c r="U60" s="85"/>
      <c r="V60" s="85"/>
      <c r="W60" s="85"/>
      <c r="X60" s="85"/>
      <c r="Z60" t="str">
        <v>46211/D|BR1/03</v>
      </c>
      <c r="AA60" t="str">
        <v>STM-A40_0096</v>
      </c>
      <c r="AB60" t="str">
        <v>LIM</v>
      </c>
      <c r="AC60" t="str">
        <v>LS_09</v>
      </c>
      <c r="AD60" t="str">
        <v>L9_26</v>
      </c>
      <c r="AE60" t="str">
        <v>002 / 069</v>
      </c>
      <c r="AF60" t="str">
        <v>No</v>
      </c>
      <c r="AG60" t="str">
        <v/>
      </c>
      <c r="AH60" t="str">
        <v/>
      </c>
      <c r="AP60" t="str">
        <v>STM-A40_0095</v>
      </c>
      <c r="AQ60" t="str">
        <v>STM-A40_0096</v>
      </c>
      <c r="AR60" t="str">
        <v>STM-A40_0097</v>
      </c>
      <c r="AS60" t="str">
        <v>STM-A40_0103</v>
      </c>
      <c r="AT60" t="str">
        <v>STM-A40_0131</v>
      </c>
      <c r="AU60" t="str">
        <v>STM-A40_0135</v>
      </c>
      <c r="AV60" t="str">
        <v>STM-A40_2010</v>
      </c>
    </row>
    <row r="61" spans="4:48" ht="15.75" x14ac:dyDescent="0.25">
      <c r="D61" s="3">
        <v>1</v>
      </c>
      <c r="F61" s="16" cm="1">
        <f t="array" ref="F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61" s="31" cm="1">
        <f t="array" ref="G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67</v>
      </c>
      <c r="H61" s="33" t="str">
        <f>_xlfn.IFNA(IF(MOD(HLG_02[[#This Row],[Rit]],
    _xlfn.XLOOKUP($G$2,Int_Sample[Ore],Int_Sample[Inc])) = 0, "YES", "NO"),"")</f>
        <v>NO</v>
      </c>
      <c r="I61" s="32" t="str">
        <f>TEXT(HLG_02[[#This Row],[Batch]],"000")&amp; " / " &amp; TEXT(HLG_02[[#This Row],[Rit]],"000")</f>
        <v>002 / 067</v>
      </c>
      <c r="J61" s="34" t="s">
        <v>2624</v>
      </c>
      <c r="K61" s="38" t="s">
        <v>2617</v>
      </c>
      <c r="L61" s="35"/>
      <c r="M61" s="85"/>
      <c r="N61" s="85"/>
      <c r="O61" s="85"/>
      <c r="P61" s="85"/>
      <c r="Q61" s="85"/>
      <c r="R61" s="85"/>
      <c r="S61" s="100"/>
      <c r="T61" s="100"/>
      <c r="U61" s="85"/>
      <c r="V61" s="85"/>
      <c r="W61" s="85"/>
      <c r="X61" s="85"/>
      <c r="Z61" t="str">
        <v>46211/D|BR1/03</v>
      </c>
      <c r="AA61" t="str">
        <v>STM-A40_0131</v>
      </c>
      <c r="AB61" t="str">
        <v>LIM</v>
      </c>
      <c r="AC61" t="str">
        <v>LS_09</v>
      </c>
      <c r="AD61" t="str">
        <v>L9_26</v>
      </c>
      <c r="AE61" t="str">
        <v>002 / 070</v>
      </c>
      <c r="AF61" t="str">
        <v>Yes</v>
      </c>
      <c r="AG61" t="str">
        <v/>
      </c>
      <c r="AH61" t="str">
        <v/>
      </c>
      <c r="AP61" t="str">
        <v>STM-A40_0095</v>
      </c>
      <c r="AQ61" t="str">
        <v>STM-A40_0096</v>
      </c>
      <c r="AR61" t="str">
        <v>STM-A40_0097</v>
      </c>
      <c r="AS61" t="str">
        <v>STM-A40_0103</v>
      </c>
      <c r="AT61" t="str">
        <v>STM-A40_0131</v>
      </c>
      <c r="AU61" t="str">
        <v>STM-A40_0135</v>
      </c>
      <c r="AV61" t="str">
        <v>STM-A40_2010</v>
      </c>
    </row>
    <row r="62" spans="4:48" ht="15.75" x14ac:dyDescent="0.25">
      <c r="D62" s="3">
        <v>1</v>
      </c>
      <c r="F62" s="16" cm="1">
        <f t="array" ref="F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62" s="31" cm="1">
        <f t="array" ref="G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68</v>
      </c>
      <c r="H62" s="33" t="str">
        <f>_xlfn.IFNA(IF(MOD(HLG_02[[#This Row],[Rit]],
    _xlfn.XLOOKUP($G$2,Int_Sample[Ore],Int_Sample[Inc])) = 0, "YES", "NO"),"")</f>
        <v>NO</v>
      </c>
      <c r="I62" s="32" t="str">
        <f>TEXT(HLG_02[[#This Row],[Batch]],"000")&amp; " / " &amp; TEXT(HLG_02[[#This Row],[Rit]],"000")</f>
        <v>002 / 068</v>
      </c>
      <c r="J62" s="34" t="s">
        <v>2624</v>
      </c>
      <c r="K62" s="38" t="s">
        <v>2618</v>
      </c>
      <c r="L62" s="35"/>
      <c r="M62" s="85"/>
      <c r="N62" s="85"/>
      <c r="O62" s="85"/>
      <c r="P62" s="85"/>
      <c r="Q62" s="85"/>
      <c r="R62" s="85"/>
      <c r="S62" s="100"/>
      <c r="T62" s="100"/>
      <c r="U62" s="85"/>
      <c r="V62" s="85"/>
      <c r="W62" s="85"/>
      <c r="X62" s="85"/>
      <c r="Z62" t="str">
        <v>46211/D|BR1/03</v>
      </c>
      <c r="AA62" t="str">
        <v>STM-A40_2010</v>
      </c>
      <c r="AB62" t="str">
        <v>LIM</v>
      </c>
      <c r="AC62" t="str">
        <v>LS_09</v>
      </c>
      <c r="AD62" t="str">
        <v>L9_26</v>
      </c>
      <c r="AE62" t="str">
        <v>002 / 071</v>
      </c>
      <c r="AF62" t="str">
        <v>No</v>
      </c>
      <c r="AG62" t="str">
        <v/>
      </c>
      <c r="AH62" t="str">
        <v/>
      </c>
      <c r="AP62" t="str">
        <v>STM-A40_0095</v>
      </c>
      <c r="AQ62" t="str">
        <v>STM-A40_0096</v>
      </c>
      <c r="AR62" t="str">
        <v>STM-A40_0097</v>
      </c>
      <c r="AS62" t="str">
        <v>STM-A40_0103</v>
      </c>
      <c r="AT62" t="str">
        <v>STM-A40_0131</v>
      </c>
      <c r="AU62" t="str">
        <v>STM-A40_0135</v>
      </c>
      <c r="AV62" t="str">
        <v>STM-A40_2010</v>
      </c>
    </row>
    <row r="63" spans="4:48" ht="15.75" x14ac:dyDescent="0.25">
      <c r="D63" s="3">
        <v>1</v>
      </c>
      <c r="F63" s="16" cm="1">
        <f t="array" ref="F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63" s="31" cm="1">
        <f t="array" ref="G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69</v>
      </c>
      <c r="H63" s="33" t="str">
        <f>_xlfn.IFNA(IF(MOD(HLG_02[[#This Row],[Rit]],
    _xlfn.XLOOKUP($G$2,Int_Sample[Ore],Int_Sample[Inc])) = 0, "YES", "NO"),"")</f>
        <v>NO</v>
      </c>
      <c r="I63" s="32" t="str">
        <f>TEXT(HLG_02[[#This Row],[Batch]],"000")&amp; " / " &amp; TEXT(HLG_02[[#This Row],[Rit]],"000")</f>
        <v>002 / 069</v>
      </c>
      <c r="J63" s="34" t="s">
        <v>2624</v>
      </c>
      <c r="K63" s="38" t="s">
        <v>2614</v>
      </c>
      <c r="L63" s="35"/>
      <c r="M63" s="85"/>
      <c r="N63" s="85"/>
      <c r="O63" s="85"/>
      <c r="P63" s="85"/>
      <c r="Q63" s="85"/>
      <c r="R63" s="85"/>
      <c r="S63" s="100"/>
      <c r="T63" s="100"/>
      <c r="U63" s="85"/>
      <c r="V63" s="85"/>
      <c r="W63" s="85"/>
      <c r="X63" s="85"/>
      <c r="Z63" t="str">
        <v>46211/D|BR1/03</v>
      </c>
      <c r="AA63" t="str">
        <v>STM-A40_0103</v>
      </c>
      <c r="AB63" t="str">
        <v>LIM</v>
      </c>
      <c r="AC63" t="str">
        <v>LS_09</v>
      </c>
      <c r="AD63" t="str">
        <v>L9_26</v>
      </c>
      <c r="AE63" t="str">
        <v>002 / 072</v>
      </c>
      <c r="AF63" t="str">
        <v>No</v>
      </c>
      <c r="AG63" t="str">
        <v/>
      </c>
      <c r="AH63" t="str">
        <v/>
      </c>
      <c r="AP63" t="str">
        <v>STM-A40_0095</v>
      </c>
      <c r="AQ63" t="str">
        <v>STM-A40_0096</v>
      </c>
      <c r="AR63" t="str">
        <v>STM-A40_0097</v>
      </c>
      <c r="AS63" t="str">
        <v>STM-A40_0103</v>
      </c>
      <c r="AT63" t="str">
        <v>STM-A40_0131</v>
      </c>
      <c r="AU63" t="str">
        <v>STM-A40_0135</v>
      </c>
      <c r="AV63" t="str">
        <v>STM-A40_2010</v>
      </c>
    </row>
    <row r="64" spans="4:48" ht="15.75" x14ac:dyDescent="0.25">
      <c r="D64" s="3">
        <v>1</v>
      </c>
      <c r="F64" s="16" cm="1">
        <f t="array" ref="F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64" s="31" cm="1">
        <f t="array" ref="G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70</v>
      </c>
      <c r="H64" s="33" t="str">
        <f>_xlfn.IFNA(IF(MOD(HLG_02[[#This Row],[Rit]],
    _xlfn.XLOOKUP($G$2,Int_Sample[Ore],Int_Sample[Inc])) = 0, "YES", "NO"),"")</f>
        <v>YES</v>
      </c>
      <c r="I64" s="32" t="str">
        <f>TEXT(HLG_02[[#This Row],[Batch]],"000")&amp; " / " &amp; TEXT(HLG_02[[#This Row],[Rit]],"000")</f>
        <v>002 / 070</v>
      </c>
      <c r="J64" s="34" t="s">
        <v>2624</v>
      </c>
      <c r="K64" s="38" t="s">
        <v>2616</v>
      </c>
      <c r="L64" s="35"/>
      <c r="M64" s="85"/>
      <c r="N64" s="85"/>
      <c r="O64" s="85"/>
      <c r="P64" s="85"/>
      <c r="Q64" s="85"/>
      <c r="R64" s="85"/>
      <c r="S64" s="100"/>
      <c r="T64" s="100"/>
      <c r="U64" s="85"/>
      <c r="V64" s="85"/>
      <c r="W64" s="85"/>
      <c r="X64" s="85"/>
      <c r="Z64" t="str">
        <v>46211/D|BR1/03</v>
      </c>
      <c r="AA64" t="str">
        <v>STM-A40_0131</v>
      </c>
      <c r="AB64" t="str">
        <v>LIM</v>
      </c>
      <c r="AC64" t="str">
        <v>LS_09</v>
      </c>
      <c r="AD64" t="str">
        <v>L9_26</v>
      </c>
      <c r="AE64" t="str">
        <v>002 / 073</v>
      </c>
      <c r="AF64" t="str">
        <v>No</v>
      </c>
      <c r="AG64" t="str">
        <v/>
      </c>
      <c r="AH64" t="str">
        <v/>
      </c>
      <c r="AP64" t="str">
        <v>STM-A40_0095</v>
      </c>
      <c r="AQ64" t="str">
        <v>STM-A40_0096</v>
      </c>
      <c r="AR64" t="str">
        <v>STM-A40_0097</v>
      </c>
      <c r="AS64" t="str">
        <v>STM-A40_0103</v>
      </c>
      <c r="AT64" t="str">
        <v>STM-A40_0131</v>
      </c>
      <c r="AU64" t="str">
        <v>STM-A40_0135</v>
      </c>
      <c r="AV64" t="str">
        <v>STM-A40_2010</v>
      </c>
    </row>
    <row r="65" spans="4:48" ht="15.75" x14ac:dyDescent="0.25">
      <c r="D65" s="3">
        <v>1</v>
      </c>
      <c r="F65" s="16" cm="1">
        <f t="array" ref="F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65" s="31" cm="1">
        <f t="array" ref="G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71</v>
      </c>
      <c r="H65" s="33" t="str">
        <f>_xlfn.IFNA(IF(MOD(HLG_02[[#This Row],[Rit]],
    _xlfn.XLOOKUP($G$2,Int_Sample[Ore],Int_Sample[Inc])) = 0, "YES", "NO"),"")</f>
        <v>NO</v>
      </c>
      <c r="I65" s="32" t="str">
        <f>TEXT(HLG_02[[#This Row],[Batch]],"000")&amp; " / " &amp; TEXT(HLG_02[[#This Row],[Rit]],"000")</f>
        <v>002 / 071</v>
      </c>
      <c r="J65" s="34" t="s">
        <v>2624</v>
      </c>
      <c r="K65" s="38" t="s">
        <v>2619</v>
      </c>
      <c r="L65" s="35"/>
      <c r="M65" s="85"/>
      <c r="N65" s="85"/>
      <c r="O65" s="85"/>
      <c r="P65" s="85"/>
      <c r="Q65" s="85"/>
      <c r="R65" s="85"/>
      <c r="S65" s="100"/>
      <c r="T65" s="100"/>
      <c r="U65" s="85"/>
      <c r="V65" s="85"/>
      <c r="W65" s="85"/>
      <c r="X65" s="85"/>
      <c r="Z65" t="str">
        <v>46211/D|BR1/03</v>
      </c>
      <c r="AA65" t="str">
        <v>STM-A40_0096</v>
      </c>
      <c r="AB65" t="str">
        <v>LIM</v>
      </c>
      <c r="AC65" t="str">
        <v>LS_09</v>
      </c>
      <c r="AD65" t="str">
        <v>L9_26</v>
      </c>
      <c r="AE65" t="str">
        <v>002 / 074</v>
      </c>
      <c r="AF65" t="str">
        <v>No</v>
      </c>
      <c r="AG65" t="str">
        <v/>
      </c>
      <c r="AH65" t="str">
        <v/>
      </c>
      <c r="AP65" t="str">
        <v>STM-A40_0095</v>
      </c>
      <c r="AQ65" t="str">
        <v>STM-A40_0096</v>
      </c>
      <c r="AR65" t="str">
        <v>STM-A40_0097</v>
      </c>
      <c r="AS65" t="str">
        <v>STM-A40_0103</v>
      </c>
      <c r="AT65" t="str">
        <v>STM-A40_0131</v>
      </c>
      <c r="AU65" t="str">
        <v>STM-A40_0135</v>
      </c>
      <c r="AV65" t="str">
        <v>STM-A40_2010</v>
      </c>
    </row>
    <row r="66" spans="4:48" ht="15.75" x14ac:dyDescent="0.25">
      <c r="D66" s="3">
        <v>1</v>
      </c>
      <c r="F66" s="16" cm="1">
        <f t="array" ref="F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66" s="31" cm="1">
        <f t="array" ref="G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72</v>
      </c>
      <c r="H66" s="33" t="str">
        <f>_xlfn.IFNA(IF(MOD(HLG_02[[#This Row],[Rit]],
    _xlfn.XLOOKUP($G$2,Int_Sample[Ore],Int_Sample[Inc])) = 0, "YES", "NO"),"")</f>
        <v>NO</v>
      </c>
      <c r="I66" s="32" t="str">
        <f>TEXT(HLG_02[[#This Row],[Batch]],"000")&amp; " / " &amp; TEXT(HLG_02[[#This Row],[Rit]],"000")</f>
        <v>002 / 072</v>
      </c>
      <c r="J66" s="34" t="s">
        <v>2624</v>
      </c>
      <c r="K66" s="38" t="s">
        <v>2618</v>
      </c>
      <c r="L66" s="35"/>
      <c r="M66" s="85"/>
      <c r="N66" s="85"/>
      <c r="O66" s="85"/>
      <c r="P66" s="85"/>
      <c r="Q66" s="85"/>
      <c r="R66" s="85"/>
      <c r="S66" s="100"/>
      <c r="T66" s="100"/>
      <c r="U66" s="85"/>
      <c r="V66" s="85"/>
      <c r="W66" s="85"/>
      <c r="X66" s="85"/>
      <c r="Z66" t="str">
        <v>46211/D|BR1/03</v>
      </c>
      <c r="AA66" t="str">
        <v>STM-A40_0103</v>
      </c>
      <c r="AB66" t="str">
        <v>LIM</v>
      </c>
      <c r="AC66" t="str">
        <v>LS_09</v>
      </c>
      <c r="AD66" t="str">
        <v>L9_26</v>
      </c>
      <c r="AE66" t="str">
        <v>002 / 075</v>
      </c>
      <c r="AF66" t="str">
        <v>Yes</v>
      </c>
      <c r="AG66" t="str">
        <v/>
      </c>
      <c r="AH66" t="str">
        <v/>
      </c>
      <c r="AP66" t="str">
        <v>STM-A40_0095</v>
      </c>
      <c r="AQ66" t="str">
        <v>STM-A40_0096</v>
      </c>
      <c r="AR66" t="str">
        <v>STM-A40_0097</v>
      </c>
      <c r="AS66" t="str">
        <v>STM-A40_0103</v>
      </c>
      <c r="AT66" t="str">
        <v>STM-A40_0131</v>
      </c>
      <c r="AU66" t="str">
        <v>STM-A40_0135</v>
      </c>
      <c r="AV66" t="str">
        <v>STM-A40_2010</v>
      </c>
    </row>
    <row r="67" spans="4:48" ht="15.75" x14ac:dyDescent="0.25">
      <c r="D67" s="3">
        <v>1</v>
      </c>
      <c r="F67" s="16" cm="1">
        <f t="array" ref="F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67" s="31" cm="1">
        <f t="array" ref="G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73</v>
      </c>
      <c r="H67" s="33" t="str">
        <f>_xlfn.IFNA(IF(MOD(HLG_02[[#This Row],[Rit]],
    _xlfn.XLOOKUP($G$2,Int_Sample[Ore],Int_Sample[Inc])) = 0, "YES", "NO"),"")</f>
        <v>NO</v>
      </c>
      <c r="I67" s="32" t="str">
        <f>TEXT(HLG_02[[#This Row],[Batch]],"000")&amp; " / " &amp; TEXT(HLG_02[[#This Row],[Rit]],"000")</f>
        <v>002 / 073</v>
      </c>
      <c r="J67" s="34" t="s">
        <v>2624</v>
      </c>
      <c r="K67" s="38" t="s">
        <v>2616</v>
      </c>
      <c r="L67" s="35"/>
      <c r="M67" s="85"/>
      <c r="N67" s="85"/>
      <c r="O67" s="85"/>
      <c r="P67" s="85"/>
      <c r="Q67" s="85"/>
      <c r="R67" s="85"/>
      <c r="S67" s="100"/>
      <c r="T67" s="100"/>
      <c r="U67" s="85"/>
      <c r="V67" s="85"/>
      <c r="W67" s="85"/>
      <c r="X67" s="85"/>
      <c r="Z67" t="str">
        <v>46211/D|BR1/03</v>
      </c>
      <c r="AA67" t="str">
        <v>STM-A40_0096</v>
      </c>
      <c r="AB67" t="str">
        <v>LIM</v>
      </c>
      <c r="AC67" t="str">
        <v>LS_09</v>
      </c>
      <c r="AD67" t="str">
        <v>L9_26</v>
      </c>
      <c r="AE67" t="str">
        <v>002 / 076</v>
      </c>
      <c r="AF67" t="str">
        <v>No</v>
      </c>
      <c r="AG67" t="str">
        <v/>
      </c>
      <c r="AH67" t="str">
        <v/>
      </c>
      <c r="AP67" t="str">
        <v>STM-A40_0095</v>
      </c>
      <c r="AQ67" t="str">
        <v>STM-A40_0096</v>
      </c>
      <c r="AR67" t="str">
        <v>STM-A40_0097</v>
      </c>
      <c r="AS67" t="str">
        <v>STM-A40_0103</v>
      </c>
      <c r="AT67" t="str">
        <v>STM-A40_0131</v>
      </c>
      <c r="AU67" t="str">
        <v>STM-A40_0135</v>
      </c>
      <c r="AV67" t="str">
        <v>STM-A40_2010</v>
      </c>
    </row>
    <row r="68" spans="4:48" ht="15.75" x14ac:dyDescent="0.25">
      <c r="D68" s="3">
        <v>1</v>
      </c>
      <c r="F68" s="16" cm="1">
        <f t="array" ref="F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68" s="31" cm="1">
        <f t="array" ref="G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74</v>
      </c>
      <c r="H68" s="33" t="str">
        <f>_xlfn.IFNA(IF(MOD(HLG_02[[#This Row],[Rit]],
    _xlfn.XLOOKUP($G$2,Int_Sample[Ore],Int_Sample[Inc])) = 0, "YES", "NO"),"")</f>
        <v>NO</v>
      </c>
      <c r="I68" s="32" t="str">
        <f>TEXT(HLG_02[[#This Row],[Batch]],"000")&amp; " / " &amp; TEXT(HLG_02[[#This Row],[Rit]],"000")</f>
        <v>002 / 074</v>
      </c>
      <c r="J68" s="34" t="s">
        <v>2624</v>
      </c>
      <c r="K68" s="38" t="s">
        <v>2614</v>
      </c>
      <c r="L68" s="35"/>
      <c r="M68" s="85"/>
      <c r="N68" s="85"/>
      <c r="O68" s="85"/>
      <c r="P68" s="85"/>
      <c r="Q68" s="85"/>
      <c r="R68" s="85"/>
      <c r="S68" s="100"/>
      <c r="T68" s="100"/>
      <c r="U68" s="85"/>
      <c r="V68" s="85"/>
      <c r="W68" s="85"/>
      <c r="X68" s="85"/>
      <c r="Z68" t="str">
        <v>46211/D|BR1/03</v>
      </c>
      <c r="AA68" t="str">
        <v>STM-A40_2010</v>
      </c>
      <c r="AB68" t="str">
        <v>LIM</v>
      </c>
      <c r="AC68" t="str">
        <v>LS_09</v>
      </c>
      <c r="AD68" t="str">
        <v>L9_26</v>
      </c>
      <c r="AE68" t="str">
        <v>002 / 077</v>
      </c>
      <c r="AF68" t="str">
        <v>No</v>
      </c>
      <c r="AG68" t="str">
        <v/>
      </c>
      <c r="AH68" t="str">
        <v/>
      </c>
      <c r="AP68" t="str">
        <v>STM-A40_0095</v>
      </c>
      <c r="AQ68" t="str">
        <v>STM-A40_0096</v>
      </c>
      <c r="AR68" t="str">
        <v>STM-A40_0097</v>
      </c>
      <c r="AS68" t="str">
        <v>STM-A40_0103</v>
      </c>
      <c r="AT68" t="str">
        <v>STM-A40_0131</v>
      </c>
      <c r="AU68" t="str">
        <v>STM-A40_0135</v>
      </c>
      <c r="AV68" t="str">
        <v>STM-A40_2010</v>
      </c>
    </row>
    <row r="69" spans="4:48" ht="15.75" x14ac:dyDescent="0.25">
      <c r="D69" s="3">
        <v>1</v>
      </c>
      <c r="F69" s="16" cm="1">
        <f t="array" ref="F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69" s="31" cm="1">
        <f t="array" ref="G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75</v>
      </c>
      <c r="H69" s="33" t="str">
        <f>_xlfn.IFNA(IF(MOD(HLG_02[[#This Row],[Rit]],
    _xlfn.XLOOKUP($G$2,Int_Sample[Ore],Int_Sample[Inc])) = 0, "YES", "NO"),"")</f>
        <v>YES</v>
      </c>
      <c r="I69" s="32" t="str">
        <f>TEXT(HLG_02[[#This Row],[Batch]],"000")&amp; " / " &amp; TEXT(HLG_02[[#This Row],[Rit]],"000")</f>
        <v>002 / 075</v>
      </c>
      <c r="J69" s="34" t="s">
        <v>2624</v>
      </c>
      <c r="K69" s="38" t="s">
        <v>2618</v>
      </c>
      <c r="L69" s="35"/>
      <c r="M69" s="85"/>
      <c r="N69" s="85"/>
      <c r="O69" s="85"/>
      <c r="P69" s="85"/>
      <c r="Q69" s="85"/>
      <c r="R69" s="85"/>
      <c r="S69" s="100"/>
      <c r="T69" s="100"/>
      <c r="U69" s="85"/>
      <c r="V69" s="85"/>
      <c r="W69" s="85"/>
      <c r="X69" s="85"/>
      <c r="Z69" t="str">
        <v>46211/D|BR1/03</v>
      </c>
      <c r="AA69" t="str">
        <v>STM-A40_0131</v>
      </c>
      <c r="AB69" t="str">
        <v>LIM</v>
      </c>
      <c r="AC69" t="str">
        <v>LS_09</v>
      </c>
      <c r="AD69" t="str">
        <v>L9_26</v>
      </c>
      <c r="AE69" t="str">
        <v>002 / 078</v>
      </c>
      <c r="AF69" t="str">
        <v>No</v>
      </c>
      <c r="AG69" t="str">
        <v/>
      </c>
      <c r="AH69" t="str">
        <v/>
      </c>
      <c r="AP69" t="str">
        <v>STM-A40_0095</v>
      </c>
      <c r="AQ69" t="str">
        <v>STM-A40_0096</v>
      </c>
      <c r="AR69" t="str">
        <v>STM-A40_0097</v>
      </c>
      <c r="AS69" t="str">
        <v>STM-A40_0103</v>
      </c>
      <c r="AT69" t="str">
        <v>STM-A40_0131</v>
      </c>
      <c r="AU69" t="str">
        <v>STM-A40_0135</v>
      </c>
      <c r="AV69" t="str">
        <v>STM-A40_2010</v>
      </c>
    </row>
    <row r="70" spans="4:48" ht="15.75" x14ac:dyDescent="0.25">
      <c r="D70" s="3">
        <v>1</v>
      </c>
      <c r="F70" s="16" cm="1">
        <f t="array" ref="F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70" s="31" cm="1">
        <f t="array" ref="G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76</v>
      </c>
      <c r="H70" s="33" t="str">
        <f>_xlfn.IFNA(IF(MOD(HLG_02[[#This Row],[Rit]],
    _xlfn.XLOOKUP($G$2,Int_Sample[Ore],Int_Sample[Inc])) = 0, "YES", "NO"),"")</f>
        <v>NO</v>
      </c>
      <c r="I70" s="32" t="str">
        <f>TEXT(HLG_02[[#This Row],[Batch]],"000")&amp; " / " &amp; TEXT(HLG_02[[#This Row],[Rit]],"000")</f>
        <v>002 / 076</v>
      </c>
      <c r="J70" s="34" t="s">
        <v>2624</v>
      </c>
      <c r="K70" s="38" t="s">
        <v>2614</v>
      </c>
      <c r="L70" s="35"/>
      <c r="M70" s="85"/>
      <c r="N70" s="85"/>
      <c r="O70" s="85"/>
      <c r="P70" s="85"/>
      <c r="Q70" s="85"/>
      <c r="R70" s="85"/>
      <c r="S70" s="100"/>
      <c r="T70" s="100"/>
      <c r="U70" s="85"/>
      <c r="V70" s="85"/>
      <c r="W70" s="85"/>
      <c r="X70" s="85"/>
      <c r="Z70" t="str">
        <v>46211/D|BR1/03</v>
      </c>
      <c r="AA70" t="str">
        <v>STM-A40_0096</v>
      </c>
      <c r="AB70" t="str">
        <v>LIM</v>
      </c>
      <c r="AC70" t="str">
        <v>LS_09</v>
      </c>
      <c r="AD70" t="str">
        <v>L9_26</v>
      </c>
      <c r="AE70" t="str">
        <v>002 / 079</v>
      </c>
      <c r="AF70" t="str">
        <v>No</v>
      </c>
      <c r="AG70" t="str">
        <v/>
      </c>
      <c r="AH70" t="str">
        <v/>
      </c>
      <c r="AP70" t="str">
        <v>STM-A40_0095</v>
      </c>
      <c r="AQ70" t="str">
        <v>STM-A40_0096</v>
      </c>
      <c r="AR70" t="str">
        <v>STM-A40_0097</v>
      </c>
      <c r="AS70" t="str">
        <v>STM-A40_0103</v>
      </c>
      <c r="AT70" t="str">
        <v>STM-A40_0131</v>
      </c>
      <c r="AU70" t="str">
        <v>STM-A40_0135</v>
      </c>
      <c r="AV70" t="str">
        <v>STM-A40_2010</v>
      </c>
    </row>
    <row r="71" spans="4:48" ht="15.75" x14ac:dyDescent="0.25">
      <c r="D71" s="3">
        <v>1</v>
      </c>
      <c r="F71" s="16" cm="1">
        <f t="array" ref="F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71" s="31" cm="1">
        <f t="array" ref="G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77</v>
      </c>
      <c r="H71" s="33" t="str">
        <f>_xlfn.IFNA(IF(MOD(HLG_02[[#This Row],[Rit]],
    _xlfn.XLOOKUP($G$2,Int_Sample[Ore],Int_Sample[Inc])) = 0, "YES", "NO"),"")</f>
        <v>NO</v>
      </c>
      <c r="I71" s="32" t="str">
        <f>TEXT(HLG_02[[#This Row],[Batch]],"000")&amp; " / " &amp; TEXT(HLG_02[[#This Row],[Rit]],"000")</f>
        <v>002 / 077</v>
      </c>
      <c r="J71" s="34" t="s">
        <v>2624</v>
      </c>
      <c r="K71" s="38" t="s">
        <v>2619</v>
      </c>
      <c r="L71" s="35"/>
      <c r="M71" s="85"/>
      <c r="N71" s="85"/>
      <c r="O71" s="85"/>
      <c r="P71" s="85"/>
      <c r="Q71" s="85"/>
      <c r="R71" s="85"/>
      <c r="S71" s="100"/>
      <c r="T71" s="100"/>
      <c r="U71" s="85"/>
      <c r="V71" s="85"/>
      <c r="W71" s="85"/>
      <c r="X71" s="85"/>
      <c r="Z71" t="str">
        <v>46211/D|BR1/03</v>
      </c>
      <c r="AA71" t="str">
        <v>STM-A40_0135</v>
      </c>
      <c r="AB71" t="str">
        <v>LIM</v>
      </c>
      <c r="AC71" t="str">
        <v>LS_09</v>
      </c>
      <c r="AD71" t="str">
        <v>L9_26</v>
      </c>
      <c r="AE71" t="str">
        <v>002 / 080</v>
      </c>
      <c r="AF71" t="str">
        <v>Yes</v>
      </c>
      <c r="AG71" t="str">
        <v/>
      </c>
      <c r="AH71" t="str">
        <v/>
      </c>
      <c r="AP71" t="str">
        <v>STM-A40_0095</v>
      </c>
      <c r="AQ71" t="str">
        <v>STM-A40_0096</v>
      </c>
      <c r="AR71" t="str">
        <v>STM-A40_0097</v>
      </c>
      <c r="AS71" t="str">
        <v>STM-A40_0103</v>
      </c>
      <c r="AT71" t="str">
        <v>STM-A40_0131</v>
      </c>
      <c r="AU71" t="str">
        <v>STM-A40_0135</v>
      </c>
      <c r="AV71" t="str">
        <v>STM-A40_2010</v>
      </c>
    </row>
    <row r="72" spans="4:48" ht="15.75" x14ac:dyDescent="0.25">
      <c r="D72" s="3">
        <v>1</v>
      </c>
      <c r="F72" s="16" cm="1">
        <f t="array" ref="F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72" s="31" cm="1">
        <f t="array" ref="G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78</v>
      </c>
      <c r="H72" s="33" t="str">
        <f>_xlfn.IFNA(IF(MOD(HLG_02[[#This Row],[Rit]],
    _xlfn.XLOOKUP($G$2,Int_Sample[Ore],Int_Sample[Inc])) = 0, "YES", "NO"),"")</f>
        <v>NO</v>
      </c>
      <c r="I72" s="32" t="str">
        <f>TEXT(HLG_02[[#This Row],[Batch]],"000")&amp; " / " &amp; TEXT(HLG_02[[#This Row],[Rit]],"000")</f>
        <v>002 / 078</v>
      </c>
      <c r="J72" s="34" t="s">
        <v>2624</v>
      </c>
      <c r="K72" s="38" t="s">
        <v>2616</v>
      </c>
      <c r="L72" s="35"/>
      <c r="M72" s="85"/>
      <c r="N72" s="85"/>
      <c r="O72" s="85"/>
      <c r="P72" s="85"/>
      <c r="Q72" s="85"/>
      <c r="R72" s="85"/>
      <c r="S72" s="100"/>
      <c r="T72" s="100"/>
      <c r="U72" s="85"/>
      <c r="V72" s="85"/>
      <c r="W72" s="85"/>
      <c r="X72" s="85"/>
      <c r="Z72" t="str">
        <v>46211/D|BR1/03</v>
      </c>
      <c r="AA72" t="str">
        <v>STM-A40_2010</v>
      </c>
      <c r="AB72" t="str">
        <v>LIM</v>
      </c>
      <c r="AC72" t="str">
        <v>LS_09</v>
      </c>
      <c r="AD72" t="str">
        <v>L9_26</v>
      </c>
      <c r="AE72" t="str">
        <v>002 / 081</v>
      </c>
      <c r="AF72" t="str">
        <v>No</v>
      </c>
      <c r="AG72" t="str">
        <v/>
      </c>
      <c r="AH72" t="str">
        <v/>
      </c>
      <c r="AP72" t="str">
        <v>STM-A40_0095</v>
      </c>
      <c r="AQ72" t="str">
        <v>STM-A40_0096</v>
      </c>
      <c r="AR72" t="str">
        <v>STM-A40_0097</v>
      </c>
      <c r="AS72" t="str">
        <v>STM-A40_0103</v>
      </c>
      <c r="AT72" t="str">
        <v>STM-A40_0131</v>
      </c>
      <c r="AU72" t="str">
        <v>STM-A40_0135</v>
      </c>
      <c r="AV72" t="str">
        <v>STM-A40_2010</v>
      </c>
    </row>
    <row r="73" spans="4:48" ht="15.75" x14ac:dyDescent="0.25">
      <c r="D73" s="3">
        <v>1</v>
      </c>
      <c r="F73" s="16" cm="1">
        <f t="array" ref="F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73" s="31" cm="1">
        <f t="array" ref="G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79</v>
      </c>
      <c r="H73" s="33" t="str">
        <f>_xlfn.IFNA(IF(MOD(HLG_02[[#This Row],[Rit]],
    _xlfn.XLOOKUP($G$2,Int_Sample[Ore],Int_Sample[Inc])) = 0, "YES", "NO"),"")</f>
        <v>NO</v>
      </c>
      <c r="I73" s="32" t="str">
        <f>TEXT(HLG_02[[#This Row],[Batch]],"000")&amp; " / " &amp; TEXT(HLG_02[[#This Row],[Rit]],"000")</f>
        <v>002 / 079</v>
      </c>
      <c r="J73" s="34" t="s">
        <v>2624</v>
      </c>
      <c r="K73" s="38" t="s">
        <v>2614</v>
      </c>
      <c r="L73" s="35"/>
      <c r="M73" s="85"/>
      <c r="N73" s="85"/>
      <c r="O73" s="85"/>
      <c r="P73" s="85"/>
      <c r="Q73" s="85"/>
      <c r="R73" s="85"/>
      <c r="S73" s="100"/>
      <c r="T73" s="100"/>
      <c r="U73" s="85"/>
      <c r="V73" s="85"/>
      <c r="W73" s="85"/>
      <c r="X73" s="85"/>
      <c r="Z73" t="str">
        <v>46211/D|BR1/03</v>
      </c>
      <c r="AA73" t="str">
        <v>STM-A40_0131</v>
      </c>
      <c r="AB73" t="str">
        <v>LIM</v>
      </c>
      <c r="AC73" t="str">
        <v>LS_09</v>
      </c>
      <c r="AD73" t="str">
        <v>L9_26</v>
      </c>
      <c r="AE73" t="str">
        <v>002 / 082</v>
      </c>
      <c r="AF73" t="str">
        <v>No</v>
      </c>
      <c r="AG73" t="str">
        <v/>
      </c>
      <c r="AH73" t="str">
        <v/>
      </c>
      <c r="AP73" t="str">
        <v>STM-A40_0095</v>
      </c>
      <c r="AQ73" t="str">
        <v>STM-A40_0096</v>
      </c>
      <c r="AR73" t="str">
        <v>STM-A40_0097</v>
      </c>
      <c r="AS73" t="str">
        <v>STM-A40_0103</v>
      </c>
      <c r="AT73" t="str">
        <v>STM-A40_0131</v>
      </c>
      <c r="AU73" t="str">
        <v>STM-A40_0135</v>
      </c>
      <c r="AV73" t="str">
        <v>STM-A40_2010</v>
      </c>
    </row>
    <row r="74" spans="4:48" ht="15.75" x14ac:dyDescent="0.25">
      <c r="D74" s="3">
        <v>1</v>
      </c>
      <c r="F74" s="16" cm="1">
        <f t="array" ref="F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74" s="31" cm="1">
        <f t="array" ref="G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80</v>
      </c>
      <c r="H74" s="33" t="str">
        <f>_xlfn.IFNA(IF(MOD(HLG_02[[#This Row],[Rit]],
    _xlfn.XLOOKUP($G$2,Int_Sample[Ore],Int_Sample[Inc])) = 0, "YES", "NO"),"")</f>
        <v>YES</v>
      </c>
      <c r="I74" s="32" t="str">
        <f>TEXT(HLG_02[[#This Row],[Batch]],"000")&amp; " / " &amp; TEXT(HLG_02[[#This Row],[Rit]],"000")</f>
        <v>002 / 080</v>
      </c>
      <c r="J74" s="34" t="s">
        <v>2624</v>
      </c>
      <c r="K74" s="38" t="s">
        <v>2617</v>
      </c>
      <c r="L74" s="35"/>
      <c r="M74" s="85"/>
      <c r="N74" s="85"/>
      <c r="O74" s="85"/>
      <c r="P74" s="85"/>
      <c r="Q74" s="85"/>
      <c r="R74" s="85"/>
      <c r="S74" s="100"/>
      <c r="T74" s="100"/>
      <c r="U74" s="85"/>
      <c r="V74" s="85"/>
      <c r="W74" s="85"/>
      <c r="X74" s="85"/>
      <c r="Z74" t="str">
        <v>46211/D|BR1/03</v>
      </c>
      <c r="AA74" t="str">
        <v>STM-A40_0096</v>
      </c>
      <c r="AB74" t="str">
        <v>LIM</v>
      </c>
      <c r="AC74" t="str">
        <v>LS_09</v>
      </c>
      <c r="AD74" t="str">
        <v>L9_26</v>
      </c>
      <c r="AE74" t="str">
        <v>002 / 083</v>
      </c>
      <c r="AF74" t="str">
        <v>No</v>
      </c>
      <c r="AG74" t="str">
        <v/>
      </c>
      <c r="AH74" t="str">
        <v/>
      </c>
      <c r="AP74" t="str">
        <v>STM-A40_0095</v>
      </c>
      <c r="AQ74" t="str">
        <v>STM-A40_0096</v>
      </c>
      <c r="AR74" t="str">
        <v>STM-A40_0097</v>
      </c>
      <c r="AS74" t="str">
        <v>STM-A40_0103</v>
      </c>
      <c r="AT74" t="str">
        <v>STM-A40_0131</v>
      </c>
      <c r="AU74" t="str">
        <v>STM-A40_0135</v>
      </c>
      <c r="AV74" t="str">
        <v>STM-A40_2010</v>
      </c>
    </row>
    <row r="75" spans="4:48" ht="15.75" x14ac:dyDescent="0.25">
      <c r="D75" s="3">
        <v>1</v>
      </c>
      <c r="F75" s="16" cm="1">
        <f t="array" ref="F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75" s="31" cm="1">
        <f t="array" ref="G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81</v>
      </c>
      <c r="H75" s="33" t="str">
        <f>_xlfn.IFNA(IF(MOD(HLG_02[[#This Row],[Rit]],
    _xlfn.XLOOKUP($G$2,Int_Sample[Ore],Int_Sample[Inc])) = 0, "YES", "NO"),"")</f>
        <v>NO</v>
      </c>
      <c r="I75" s="32" t="str">
        <f>TEXT(HLG_02[[#This Row],[Batch]],"000")&amp; " / " &amp; TEXT(HLG_02[[#This Row],[Rit]],"000")</f>
        <v>002 / 081</v>
      </c>
      <c r="J75" s="34" t="s">
        <v>2624</v>
      </c>
      <c r="K75" s="38" t="s">
        <v>2619</v>
      </c>
      <c r="L75" s="35"/>
      <c r="M75" s="85"/>
      <c r="N75" s="85"/>
      <c r="O75" s="85"/>
      <c r="P75" s="85"/>
      <c r="Q75" s="85"/>
      <c r="R75" s="85"/>
      <c r="S75" s="100"/>
      <c r="T75" s="100"/>
      <c r="U75" s="85"/>
      <c r="V75" s="85"/>
      <c r="W75" s="85"/>
      <c r="X75" s="85"/>
      <c r="Z75" t="str">
        <v>46211/D|BR1/03</v>
      </c>
      <c r="AA75" t="str">
        <v>STM-A40_0097</v>
      </c>
      <c r="AB75" t="str">
        <v>LIM</v>
      </c>
      <c r="AC75" t="str">
        <v>LS_09</v>
      </c>
      <c r="AD75" t="str">
        <v>L9_26</v>
      </c>
      <c r="AE75" t="str">
        <v>002 / 084</v>
      </c>
      <c r="AF75" t="str">
        <v>No</v>
      </c>
      <c r="AG75" t="str">
        <v/>
      </c>
      <c r="AH75" t="str">
        <v/>
      </c>
      <c r="AP75" t="str">
        <v>STM-A40_0095</v>
      </c>
      <c r="AQ75" t="str">
        <v>STM-A40_0096</v>
      </c>
      <c r="AR75" t="str">
        <v>STM-A40_0097</v>
      </c>
      <c r="AS75" t="str">
        <v>STM-A40_0103</v>
      </c>
      <c r="AT75" t="str">
        <v>STM-A40_0131</v>
      </c>
      <c r="AU75" t="str">
        <v>STM-A40_0135</v>
      </c>
      <c r="AV75" t="str">
        <v>STM-A40_2010</v>
      </c>
    </row>
    <row r="76" spans="4:48" ht="15.75" x14ac:dyDescent="0.25">
      <c r="D76" s="3">
        <v>1</v>
      </c>
      <c r="F76" s="16" cm="1">
        <f t="array" ref="F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76" s="31" cm="1">
        <f t="array" ref="G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82</v>
      </c>
      <c r="H76" s="33" t="str">
        <f>_xlfn.IFNA(IF(MOD(HLG_02[[#This Row],[Rit]],
    _xlfn.XLOOKUP($G$2,Int_Sample[Ore],Int_Sample[Inc])) = 0, "YES", "NO"),"")</f>
        <v>NO</v>
      </c>
      <c r="I76" s="32" t="str">
        <f>TEXT(HLG_02[[#This Row],[Batch]],"000")&amp; " / " &amp; TEXT(HLG_02[[#This Row],[Rit]],"000")</f>
        <v>002 / 082</v>
      </c>
      <c r="J76" s="34" t="s">
        <v>2624</v>
      </c>
      <c r="K76" s="38" t="s">
        <v>2616</v>
      </c>
      <c r="L76" s="35"/>
      <c r="M76" s="85"/>
      <c r="N76" s="85"/>
      <c r="O76" s="85"/>
      <c r="P76" s="85"/>
      <c r="Q76" s="85"/>
      <c r="R76" s="85"/>
      <c r="S76" s="100"/>
      <c r="T76" s="100"/>
      <c r="U76" s="85"/>
      <c r="V76" s="85"/>
      <c r="W76" s="85"/>
      <c r="X76" s="85"/>
      <c r="Z76" t="str">
        <v>46211/D|BR1/03</v>
      </c>
      <c r="AA76" t="str">
        <v>STM-A40_0135</v>
      </c>
      <c r="AB76" t="str">
        <v>LIM</v>
      </c>
      <c r="AC76" t="str">
        <v>LS_09</v>
      </c>
      <c r="AD76" t="str">
        <v>L9_26</v>
      </c>
      <c r="AE76" t="str">
        <v>002 / 085</v>
      </c>
      <c r="AF76" t="str">
        <v>Yes</v>
      </c>
      <c r="AG76" t="str">
        <v/>
      </c>
      <c r="AH76" t="str">
        <v/>
      </c>
      <c r="AP76" t="str">
        <v>STM-A40_0095</v>
      </c>
      <c r="AQ76" t="str">
        <v>STM-A40_0096</v>
      </c>
      <c r="AR76" t="str">
        <v>STM-A40_0097</v>
      </c>
      <c r="AS76" t="str">
        <v>STM-A40_0103</v>
      </c>
      <c r="AT76" t="str">
        <v>STM-A40_0131</v>
      </c>
      <c r="AU76" t="str">
        <v>STM-A40_0135</v>
      </c>
      <c r="AV76" t="str">
        <v>STM-A40_2010</v>
      </c>
    </row>
    <row r="77" spans="4:48" ht="15.75" x14ac:dyDescent="0.25">
      <c r="D77" s="3">
        <v>1</v>
      </c>
      <c r="F77" s="16" cm="1">
        <f t="array" ref="F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77" s="31" cm="1">
        <f t="array" ref="G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83</v>
      </c>
      <c r="H77" s="33" t="str">
        <f>_xlfn.IFNA(IF(MOD(HLG_02[[#This Row],[Rit]],
    _xlfn.XLOOKUP($G$2,Int_Sample[Ore],Int_Sample[Inc])) = 0, "YES", "NO"),"")</f>
        <v>NO</v>
      </c>
      <c r="I77" s="32" t="str">
        <f>TEXT(HLG_02[[#This Row],[Batch]],"000")&amp; " / " &amp; TEXT(HLG_02[[#This Row],[Rit]],"000")</f>
        <v>002 / 083</v>
      </c>
      <c r="J77" s="34" t="s">
        <v>2624</v>
      </c>
      <c r="K77" s="38" t="s">
        <v>2614</v>
      </c>
      <c r="L77" s="35"/>
      <c r="M77" s="85"/>
      <c r="N77" s="85"/>
      <c r="O77" s="85"/>
      <c r="P77" s="85"/>
      <c r="Q77" s="85"/>
      <c r="R77" s="85"/>
      <c r="S77" s="100"/>
      <c r="T77" s="100"/>
      <c r="U77" s="85"/>
      <c r="V77" s="85"/>
      <c r="W77" s="85"/>
      <c r="X77" s="85"/>
      <c r="Z77" t="str">
        <v>46211/D|BR1/03</v>
      </c>
      <c r="AA77" t="str">
        <v>STM-A40_0103</v>
      </c>
      <c r="AB77" t="str">
        <v>LIM</v>
      </c>
      <c r="AC77" t="str">
        <v>LS_09</v>
      </c>
      <c r="AD77" t="str">
        <v>L9_26</v>
      </c>
      <c r="AE77" t="str">
        <v>002 / 086</v>
      </c>
      <c r="AF77" t="str">
        <v>No</v>
      </c>
      <c r="AG77" t="str">
        <v/>
      </c>
      <c r="AH77" t="str">
        <v/>
      </c>
      <c r="AP77" t="str">
        <v>STM-A40_0095</v>
      </c>
      <c r="AQ77" t="str">
        <v>STM-A40_0096</v>
      </c>
      <c r="AR77" t="str">
        <v>STM-A40_0097</v>
      </c>
      <c r="AS77" t="str">
        <v>STM-A40_0103</v>
      </c>
      <c r="AT77" t="str">
        <v>STM-A40_0131</v>
      </c>
      <c r="AU77" t="str">
        <v>STM-A40_0135</v>
      </c>
      <c r="AV77" t="str">
        <v>STM-A40_2010</v>
      </c>
    </row>
    <row r="78" spans="4:48" ht="15.75" x14ac:dyDescent="0.25">
      <c r="D78" s="3">
        <v>1</v>
      </c>
      <c r="F78" s="16" cm="1">
        <f t="array" ref="F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78" s="31" cm="1">
        <f t="array" ref="G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84</v>
      </c>
      <c r="H78" s="33" t="str">
        <f>_xlfn.IFNA(IF(MOD(HLG_02[[#This Row],[Rit]],
    _xlfn.XLOOKUP($G$2,Int_Sample[Ore],Int_Sample[Inc])) = 0, "YES", "NO"),"")</f>
        <v>NO</v>
      </c>
      <c r="I78" s="32" t="str">
        <f>TEXT(HLG_02[[#This Row],[Batch]],"000")&amp; " / " &amp; TEXT(HLG_02[[#This Row],[Rit]],"000")</f>
        <v>002 / 084</v>
      </c>
      <c r="J78" s="34" t="s">
        <v>2624</v>
      </c>
      <c r="K78" s="38" t="s">
        <v>2611</v>
      </c>
      <c r="L78" s="35"/>
      <c r="M78" s="85"/>
      <c r="N78" s="85"/>
      <c r="O78" s="85"/>
      <c r="P78" s="85"/>
      <c r="Q78" s="85"/>
      <c r="R78" s="85"/>
      <c r="S78" s="100"/>
      <c r="T78" s="100"/>
      <c r="U78" s="85"/>
      <c r="V78" s="85"/>
      <c r="W78" s="85"/>
      <c r="X78" s="85"/>
      <c r="Z78" t="str">
        <v>46211/D|BR1/03</v>
      </c>
      <c r="AA78" t="str">
        <v>STM-A40_0131</v>
      </c>
      <c r="AB78" t="str">
        <v>LIM</v>
      </c>
      <c r="AC78" t="str">
        <v>LS_09</v>
      </c>
      <c r="AD78" t="str">
        <v>L9_26</v>
      </c>
      <c r="AE78" t="str">
        <v>002 / 087</v>
      </c>
      <c r="AF78" t="str">
        <v>No</v>
      </c>
      <c r="AG78" t="str">
        <v/>
      </c>
      <c r="AH78" t="str">
        <v/>
      </c>
      <c r="AP78" t="str">
        <v>STM-A40_0095</v>
      </c>
      <c r="AQ78" t="str">
        <v>STM-A40_0096</v>
      </c>
      <c r="AR78" t="str">
        <v>STM-A40_0097</v>
      </c>
      <c r="AS78" t="str">
        <v>STM-A40_0103</v>
      </c>
      <c r="AT78" t="str">
        <v>STM-A40_0131</v>
      </c>
      <c r="AU78" t="str">
        <v>STM-A40_0135</v>
      </c>
      <c r="AV78" t="str">
        <v>STM-A40_2010</v>
      </c>
    </row>
    <row r="79" spans="4:48" ht="15.75" x14ac:dyDescent="0.25">
      <c r="D79" s="3">
        <v>1</v>
      </c>
      <c r="F79" s="16" cm="1">
        <f t="array" ref="F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79" s="31" cm="1">
        <f t="array" ref="G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85</v>
      </c>
      <c r="H79" s="33" t="str">
        <f>_xlfn.IFNA(IF(MOD(HLG_02[[#This Row],[Rit]],
    _xlfn.XLOOKUP($G$2,Int_Sample[Ore],Int_Sample[Inc])) = 0, "YES", "NO"),"")</f>
        <v>YES</v>
      </c>
      <c r="I79" s="32" t="str">
        <f>TEXT(HLG_02[[#This Row],[Batch]],"000")&amp; " / " &amp; TEXT(HLG_02[[#This Row],[Rit]],"000")</f>
        <v>002 / 085</v>
      </c>
      <c r="J79" s="34" t="s">
        <v>2624</v>
      </c>
      <c r="K79" s="38" t="s">
        <v>2617</v>
      </c>
      <c r="L79" s="35"/>
      <c r="M79" s="85"/>
      <c r="N79" s="85"/>
      <c r="O79" s="85"/>
      <c r="P79" s="85"/>
      <c r="Q79" s="85"/>
      <c r="R79" s="85"/>
      <c r="S79" s="100"/>
      <c r="T79" s="100"/>
      <c r="U79" s="85"/>
      <c r="V79" s="85"/>
      <c r="W79" s="85"/>
      <c r="X79" s="85"/>
      <c r="Z79" t="str">
        <v>46211/D|BR1/03</v>
      </c>
      <c r="AA79" t="str">
        <v>STM-A40_0096</v>
      </c>
      <c r="AB79" t="str">
        <v>LIM</v>
      </c>
      <c r="AC79" t="str">
        <v>LS_09</v>
      </c>
      <c r="AD79" t="str">
        <v>L9_26</v>
      </c>
      <c r="AE79" t="str">
        <v>002 / 088</v>
      </c>
      <c r="AF79" t="str">
        <v>No</v>
      </c>
      <c r="AG79" t="str">
        <v/>
      </c>
      <c r="AH79" t="str">
        <v/>
      </c>
      <c r="AP79" t="str">
        <v>STM-A40_0095</v>
      </c>
      <c r="AQ79" t="str">
        <v>STM-A40_0096</v>
      </c>
      <c r="AR79" t="str">
        <v>STM-A40_0097</v>
      </c>
      <c r="AS79" t="str">
        <v>STM-A40_0103</v>
      </c>
      <c r="AT79" t="str">
        <v>STM-A40_0131</v>
      </c>
      <c r="AU79" t="str">
        <v>STM-A40_0135</v>
      </c>
      <c r="AV79" t="str">
        <v>STM-A40_2010</v>
      </c>
    </row>
    <row r="80" spans="4:48" ht="15.75" x14ac:dyDescent="0.25">
      <c r="D80" s="3">
        <v>1</v>
      </c>
      <c r="F80" s="16" cm="1">
        <f t="array" ref="F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80" s="31" cm="1">
        <f t="array" ref="G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86</v>
      </c>
      <c r="H80" s="33" t="str">
        <f>_xlfn.IFNA(IF(MOD(HLG_02[[#This Row],[Rit]],
    _xlfn.XLOOKUP($G$2,Int_Sample[Ore],Int_Sample[Inc])) = 0, "YES", "NO"),"")</f>
        <v>NO</v>
      </c>
      <c r="I80" s="32" t="str">
        <f>TEXT(HLG_02[[#This Row],[Batch]],"000")&amp; " / " &amp; TEXT(HLG_02[[#This Row],[Rit]],"000")</f>
        <v>002 / 086</v>
      </c>
      <c r="J80" s="34" t="s">
        <v>2624</v>
      </c>
      <c r="K80" s="38" t="s">
        <v>2618</v>
      </c>
      <c r="L80" s="35"/>
      <c r="M80" s="85"/>
      <c r="N80" s="85"/>
      <c r="O80" s="85"/>
      <c r="P80" s="85"/>
      <c r="Q80" s="85"/>
      <c r="R80" s="85"/>
      <c r="S80" s="100"/>
      <c r="T80" s="100"/>
      <c r="U80" s="85"/>
      <c r="V80" s="85"/>
      <c r="W80" s="85"/>
      <c r="X80" s="85"/>
      <c r="Z80" t="str">
        <v>46211/D|BR1/03</v>
      </c>
      <c r="AA80" t="str">
        <v>STM-A40_0097</v>
      </c>
      <c r="AB80" t="str">
        <v>LIM</v>
      </c>
      <c r="AC80" t="str">
        <v>LS_09</v>
      </c>
      <c r="AD80" t="str">
        <v>L9_26</v>
      </c>
      <c r="AE80" t="str">
        <v>002 / 089</v>
      </c>
      <c r="AF80" t="str">
        <v>No</v>
      </c>
      <c r="AG80" t="str">
        <v/>
      </c>
      <c r="AH80" t="str">
        <v/>
      </c>
      <c r="AP80" t="str">
        <v>STM-A40_0095</v>
      </c>
      <c r="AQ80" t="str">
        <v>STM-A40_0096</v>
      </c>
      <c r="AR80" t="str">
        <v>STM-A40_0097</v>
      </c>
      <c r="AS80" t="str">
        <v>STM-A40_0103</v>
      </c>
      <c r="AT80" t="str">
        <v>STM-A40_0131</v>
      </c>
      <c r="AU80" t="str">
        <v>STM-A40_0135</v>
      </c>
      <c r="AV80" t="str">
        <v>STM-A40_2010</v>
      </c>
    </row>
    <row r="81" spans="4:48" ht="15.75" x14ac:dyDescent="0.25">
      <c r="D81" s="3">
        <v>1</v>
      </c>
      <c r="F81" s="16" cm="1">
        <f t="array" ref="F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81" s="31" cm="1">
        <f t="array" ref="G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87</v>
      </c>
      <c r="H81" s="33" t="str">
        <f>_xlfn.IFNA(IF(MOD(HLG_02[[#This Row],[Rit]],
    _xlfn.XLOOKUP($G$2,Int_Sample[Ore],Int_Sample[Inc])) = 0, "YES", "NO"),"")</f>
        <v>NO</v>
      </c>
      <c r="I81" s="32" t="str">
        <f>TEXT(HLG_02[[#This Row],[Batch]],"000")&amp; " / " &amp; TEXT(HLG_02[[#This Row],[Rit]],"000")</f>
        <v>002 / 087</v>
      </c>
      <c r="J81" s="34" t="s">
        <v>2624</v>
      </c>
      <c r="K81" s="38" t="s">
        <v>2616</v>
      </c>
      <c r="L81" s="35"/>
      <c r="M81" s="85"/>
      <c r="N81" s="85"/>
      <c r="O81" s="85"/>
      <c r="P81" s="85"/>
      <c r="Q81" s="85"/>
      <c r="R81" s="85"/>
      <c r="S81" s="100"/>
      <c r="T81" s="100"/>
      <c r="U81" s="85"/>
      <c r="V81" s="85"/>
      <c r="W81" s="85"/>
      <c r="X81" s="85"/>
      <c r="Z81" t="str">
        <v>46211/D|BR1/03</v>
      </c>
      <c r="AA81" t="str">
        <v>STM-A40_0135</v>
      </c>
      <c r="AB81" t="str">
        <v>LIM</v>
      </c>
      <c r="AC81" t="str">
        <v>LS_09</v>
      </c>
      <c r="AD81" t="str">
        <v>L9_26</v>
      </c>
      <c r="AE81" t="str">
        <v>002 / 090</v>
      </c>
      <c r="AF81" t="str">
        <v>Yes</v>
      </c>
      <c r="AG81" t="str">
        <v/>
      </c>
      <c r="AH81" t="str">
        <v/>
      </c>
      <c r="AP81" t="str">
        <v>STM-A40_0095</v>
      </c>
      <c r="AQ81" t="str">
        <v>STM-A40_0096</v>
      </c>
      <c r="AR81" t="str">
        <v>STM-A40_0097</v>
      </c>
      <c r="AS81" t="str">
        <v>STM-A40_0103</v>
      </c>
      <c r="AT81" t="str">
        <v>STM-A40_0131</v>
      </c>
      <c r="AU81" t="str">
        <v>STM-A40_0135</v>
      </c>
      <c r="AV81" t="str">
        <v>STM-A40_2010</v>
      </c>
    </row>
    <row r="82" spans="4:48" ht="15.75" x14ac:dyDescent="0.25">
      <c r="D82" s="3">
        <v>1</v>
      </c>
      <c r="F82" s="16" cm="1">
        <f t="array" ref="F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82" s="31" cm="1">
        <f t="array" ref="G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88</v>
      </c>
      <c r="H82" s="33" t="str">
        <f>_xlfn.IFNA(IF(MOD(HLG_02[[#This Row],[Rit]],
    _xlfn.XLOOKUP($G$2,Int_Sample[Ore],Int_Sample[Inc])) = 0, "YES", "NO"),"")</f>
        <v>NO</v>
      </c>
      <c r="I82" s="32" t="str">
        <f>TEXT(HLG_02[[#This Row],[Batch]],"000")&amp; " / " &amp; TEXT(HLG_02[[#This Row],[Rit]],"000")</f>
        <v>002 / 088</v>
      </c>
      <c r="J82" s="34" t="s">
        <v>2624</v>
      </c>
      <c r="K82" s="38" t="s">
        <v>2614</v>
      </c>
      <c r="L82" s="35"/>
      <c r="M82" s="85"/>
      <c r="N82" s="85"/>
      <c r="O82" s="85"/>
      <c r="P82" s="85"/>
      <c r="Q82" s="85"/>
      <c r="R82" s="85"/>
      <c r="S82" s="100"/>
      <c r="T82" s="100"/>
      <c r="U82" s="85"/>
      <c r="V82" s="85"/>
      <c r="W82" s="85"/>
      <c r="X82" s="85"/>
      <c r="Z82" t="str">
        <v>46211/D|BR1/03</v>
      </c>
      <c r="AA82" t="str">
        <v>STM-A40_0131</v>
      </c>
      <c r="AB82" t="str">
        <v>LIM</v>
      </c>
      <c r="AC82" t="str">
        <v>LS_09</v>
      </c>
      <c r="AD82" t="str">
        <v>L9_26</v>
      </c>
      <c r="AE82" t="str">
        <v>002 / 091</v>
      </c>
      <c r="AF82" t="str">
        <v>No</v>
      </c>
      <c r="AG82" t="str">
        <v/>
      </c>
      <c r="AH82" t="str">
        <v/>
      </c>
      <c r="AP82" t="str">
        <v>STM-A40_0095</v>
      </c>
      <c r="AQ82" t="str">
        <v>STM-A40_0096</v>
      </c>
      <c r="AR82" t="str">
        <v>STM-A40_0097</v>
      </c>
      <c r="AS82" t="str">
        <v>STM-A40_0103</v>
      </c>
      <c r="AT82" t="str">
        <v>STM-A40_0131</v>
      </c>
      <c r="AU82" t="str">
        <v>STM-A40_0135</v>
      </c>
      <c r="AV82" t="str">
        <v>STM-A40_2010</v>
      </c>
    </row>
    <row r="83" spans="4:48" ht="15.75" x14ac:dyDescent="0.25">
      <c r="D83" s="3">
        <v>1</v>
      </c>
      <c r="F83" s="16" cm="1">
        <f t="array" ref="F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83" s="31" cm="1">
        <f t="array" ref="G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89</v>
      </c>
      <c r="H83" s="33" t="str">
        <f>_xlfn.IFNA(IF(MOD(HLG_02[[#This Row],[Rit]],
    _xlfn.XLOOKUP($G$2,Int_Sample[Ore],Int_Sample[Inc])) = 0, "YES", "NO"),"")</f>
        <v>NO</v>
      </c>
      <c r="I83" s="32" t="str">
        <f>TEXT(HLG_02[[#This Row],[Batch]],"000")&amp; " / " &amp; TEXT(HLG_02[[#This Row],[Rit]],"000")</f>
        <v>002 / 089</v>
      </c>
      <c r="J83" s="34" t="s">
        <v>2624</v>
      </c>
      <c r="K83" s="38" t="s">
        <v>2611</v>
      </c>
      <c r="L83" s="35"/>
      <c r="M83" s="85"/>
      <c r="N83" s="85"/>
      <c r="O83" s="85"/>
      <c r="P83" s="85"/>
      <c r="Q83" s="85"/>
      <c r="R83" s="85"/>
      <c r="S83" s="100"/>
      <c r="T83" s="100"/>
      <c r="U83" s="85"/>
      <c r="V83" s="85"/>
      <c r="W83" s="85"/>
      <c r="X83" s="85"/>
      <c r="Z83" t="str">
        <v>46211/D|BR1/03</v>
      </c>
      <c r="AA83" t="str">
        <v>STM-A40_0103</v>
      </c>
      <c r="AB83" t="str">
        <v>LIM</v>
      </c>
      <c r="AC83" t="str">
        <v>LS_09</v>
      </c>
      <c r="AD83" t="str">
        <v>L9_26</v>
      </c>
      <c r="AE83" t="str">
        <v>002 / 092</v>
      </c>
      <c r="AF83" t="str">
        <v>No</v>
      </c>
      <c r="AG83" t="str">
        <v/>
      </c>
      <c r="AH83" t="str">
        <v/>
      </c>
      <c r="AP83" t="str">
        <v>STM-A40_0095</v>
      </c>
      <c r="AQ83" t="str">
        <v>STM-A40_0096</v>
      </c>
      <c r="AR83" t="str">
        <v>STM-A40_0097</v>
      </c>
      <c r="AS83" t="str">
        <v>STM-A40_0103</v>
      </c>
      <c r="AT83" t="str">
        <v>STM-A40_0131</v>
      </c>
      <c r="AU83" t="str">
        <v>STM-A40_0135</v>
      </c>
      <c r="AV83" t="str">
        <v>STM-A40_2010</v>
      </c>
    </row>
    <row r="84" spans="4:48" ht="15.75" x14ac:dyDescent="0.25">
      <c r="D84" s="3">
        <v>1</v>
      </c>
      <c r="F84" s="16" cm="1">
        <f t="array" ref="F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84" s="31" cm="1">
        <f t="array" ref="G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90</v>
      </c>
      <c r="H84" s="33" t="str">
        <f>_xlfn.IFNA(IF(MOD(HLG_02[[#This Row],[Rit]],
    _xlfn.XLOOKUP($G$2,Int_Sample[Ore],Int_Sample[Inc])) = 0, "YES", "NO"),"")</f>
        <v>YES</v>
      </c>
      <c r="I84" s="32" t="str">
        <f>TEXT(HLG_02[[#This Row],[Batch]],"000")&amp; " / " &amp; TEXT(HLG_02[[#This Row],[Rit]],"000")</f>
        <v>002 / 090</v>
      </c>
      <c r="J84" s="34" t="s">
        <v>2624</v>
      </c>
      <c r="K84" s="38" t="s">
        <v>2617</v>
      </c>
      <c r="L84" s="35"/>
      <c r="M84" s="85"/>
      <c r="N84" s="85"/>
      <c r="O84" s="85"/>
      <c r="P84" s="85"/>
      <c r="Q84" s="85"/>
      <c r="R84" s="85"/>
      <c r="S84" s="100"/>
      <c r="T84" s="100"/>
      <c r="U84" s="85"/>
      <c r="V84" s="85"/>
      <c r="W84" s="85"/>
      <c r="X84" s="85"/>
      <c r="Z84" t="str">
        <v>46211/D|BR1/03</v>
      </c>
      <c r="AA84" t="str">
        <v>STM-A40_2010</v>
      </c>
      <c r="AB84" t="str">
        <v>LIM</v>
      </c>
      <c r="AC84" t="str">
        <v>LS_09</v>
      </c>
      <c r="AD84" t="str">
        <v>L9_26</v>
      </c>
      <c r="AE84" t="str">
        <v>002 / 093</v>
      </c>
      <c r="AF84" t="str">
        <v>No</v>
      </c>
      <c r="AG84" t="str">
        <v/>
      </c>
      <c r="AH84" t="str">
        <v/>
      </c>
      <c r="AP84" t="str">
        <v>STM-A40_0095</v>
      </c>
      <c r="AQ84" t="str">
        <v>STM-A40_0096</v>
      </c>
      <c r="AR84" t="str">
        <v>STM-A40_0097</v>
      </c>
      <c r="AS84" t="str">
        <v>STM-A40_0103</v>
      </c>
      <c r="AT84" t="str">
        <v>STM-A40_0131</v>
      </c>
      <c r="AU84" t="str">
        <v>STM-A40_0135</v>
      </c>
      <c r="AV84" t="str">
        <v>STM-A40_2010</v>
      </c>
    </row>
    <row r="85" spans="4:48" ht="15.75" x14ac:dyDescent="0.25">
      <c r="D85" s="3">
        <v>1</v>
      </c>
      <c r="F85" s="16" cm="1">
        <f t="array" ref="F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85" s="31" cm="1">
        <f t="array" ref="G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91</v>
      </c>
      <c r="H85" s="33" t="str">
        <f>_xlfn.IFNA(IF(MOD(HLG_02[[#This Row],[Rit]],
    _xlfn.XLOOKUP($G$2,Int_Sample[Ore],Int_Sample[Inc])) = 0, "YES", "NO"),"")</f>
        <v>NO</v>
      </c>
      <c r="I85" s="32" t="str">
        <f>TEXT(HLG_02[[#This Row],[Batch]],"000")&amp; " / " &amp; TEXT(HLG_02[[#This Row],[Rit]],"000")</f>
        <v>002 / 091</v>
      </c>
      <c r="J85" s="34" t="s">
        <v>2624</v>
      </c>
      <c r="K85" s="38" t="s">
        <v>2616</v>
      </c>
      <c r="L85" s="35"/>
      <c r="M85" s="85"/>
      <c r="N85" s="85"/>
      <c r="O85" s="85"/>
      <c r="P85" s="85"/>
      <c r="Q85" s="85"/>
      <c r="R85" s="85"/>
      <c r="S85" s="100"/>
      <c r="T85" s="100"/>
      <c r="U85" s="85"/>
      <c r="V85" s="85"/>
      <c r="W85" s="85"/>
      <c r="X85" s="85"/>
      <c r="Z85" t="str">
        <v>46211/D|BR1/03</v>
      </c>
      <c r="AA85" t="str">
        <v>STM-A40_0135</v>
      </c>
      <c r="AB85" t="str">
        <v>LIM</v>
      </c>
      <c r="AC85" t="str">
        <v>LS_09</v>
      </c>
      <c r="AD85" t="str">
        <v>L9_26</v>
      </c>
      <c r="AE85" t="str">
        <v>002 / 094</v>
      </c>
      <c r="AF85" t="str">
        <v>No</v>
      </c>
      <c r="AG85" t="str">
        <v/>
      </c>
      <c r="AH85" t="str">
        <v/>
      </c>
      <c r="AP85" t="str">
        <v>STM-A40_0095</v>
      </c>
      <c r="AQ85" t="str">
        <v>STM-A40_0096</v>
      </c>
      <c r="AR85" t="str">
        <v>STM-A40_0097</v>
      </c>
      <c r="AS85" t="str">
        <v>STM-A40_0103</v>
      </c>
      <c r="AT85" t="str">
        <v>STM-A40_0131</v>
      </c>
      <c r="AU85" t="str">
        <v>STM-A40_0135</v>
      </c>
      <c r="AV85" t="str">
        <v>STM-A40_2010</v>
      </c>
    </row>
    <row r="86" spans="4:48" ht="15.75" x14ac:dyDescent="0.25">
      <c r="D86" s="3">
        <v>1</v>
      </c>
      <c r="F86" s="16" cm="1">
        <f t="array" ref="F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86" s="31" cm="1">
        <f t="array" ref="G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92</v>
      </c>
      <c r="H86" s="33" t="str">
        <f>_xlfn.IFNA(IF(MOD(HLG_02[[#This Row],[Rit]],
    _xlfn.XLOOKUP($G$2,Int_Sample[Ore],Int_Sample[Inc])) = 0, "YES", "NO"),"")</f>
        <v>NO</v>
      </c>
      <c r="I86" s="32" t="str">
        <f>TEXT(HLG_02[[#This Row],[Batch]],"000")&amp; " / " &amp; TEXT(HLG_02[[#This Row],[Rit]],"000")</f>
        <v>002 / 092</v>
      </c>
      <c r="J86" s="34" t="s">
        <v>2624</v>
      </c>
      <c r="K86" s="38" t="s">
        <v>2618</v>
      </c>
      <c r="L86" s="35"/>
      <c r="M86" s="85"/>
      <c r="N86" s="85"/>
      <c r="O86" s="85"/>
      <c r="P86" s="85"/>
      <c r="Q86" s="85"/>
      <c r="R86" s="85"/>
      <c r="S86" s="100"/>
      <c r="T86" s="100"/>
      <c r="U86" s="85"/>
      <c r="V86" s="85"/>
      <c r="W86" s="85"/>
      <c r="X86" s="85"/>
      <c r="Z86" t="str">
        <v>46211/D|BR1/03</v>
      </c>
      <c r="AA86" t="str">
        <v>STM-A40_0096</v>
      </c>
      <c r="AB86" t="str">
        <v>LIM</v>
      </c>
      <c r="AC86" t="str">
        <v>LS_09</v>
      </c>
      <c r="AD86" t="str">
        <v>L9_26</v>
      </c>
      <c r="AE86" t="str">
        <v>002 / 095</v>
      </c>
      <c r="AF86" t="str">
        <v>Yes</v>
      </c>
      <c r="AG86" t="str">
        <v/>
      </c>
      <c r="AH86" t="str">
        <v/>
      </c>
      <c r="AP86" t="str">
        <v>STM-A40_0095</v>
      </c>
      <c r="AQ86" t="str">
        <v>STM-A40_0096</v>
      </c>
      <c r="AR86" t="str">
        <v>STM-A40_0097</v>
      </c>
      <c r="AS86" t="str">
        <v>STM-A40_0103</v>
      </c>
      <c r="AT86" t="str">
        <v>STM-A40_0131</v>
      </c>
      <c r="AU86" t="str">
        <v>STM-A40_0135</v>
      </c>
      <c r="AV86" t="str">
        <v>STM-A40_2010</v>
      </c>
    </row>
    <row r="87" spans="4:48" ht="15.75" x14ac:dyDescent="0.25">
      <c r="D87" s="3">
        <v>1</v>
      </c>
      <c r="F87" s="16" cm="1">
        <f t="array" ref="F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87" s="31" cm="1">
        <f t="array" ref="G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93</v>
      </c>
      <c r="H87" s="33" t="str">
        <f>_xlfn.IFNA(IF(MOD(HLG_02[[#This Row],[Rit]],
    _xlfn.XLOOKUP($G$2,Int_Sample[Ore],Int_Sample[Inc])) = 0, "YES", "NO"),"")</f>
        <v>NO</v>
      </c>
      <c r="I87" s="32" t="str">
        <f>TEXT(HLG_02[[#This Row],[Batch]],"000")&amp; " / " &amp; TEXT(HLG_02[[#This Row],[Rit]],"000")</f>
        <v>002 / 093</v>
      </c>
      <c r="J87" s="34" t="s">
        <v>2624</v>
      </c>
      <c r="K87" s="38" t="s">
        <v>2619</v>
      </c>
      <c r="L87" s="35"/>
      <c r="M87" s="85"/>
      <c r="N87" s="85"/>
      <c r="O87" s="85"/>
      <c r="P87" s="85"/>
      <c r="Q87" s="85"/>
      <c r="R87" s="85"/>
      <c r="S87" s="100"/>
      <c r="T87" s="100"/>
      <c r="U87" s="85"/>
      <c r="V87" s="85"/>
      <c r="W87" s="85"/>
      <c r="X87" s="85"/>
      <c r="Z87" t="str">
        <v>46211/D|BR1/03</v>
      </c>
      <c r="AA87" t="str">
        <v>STM-A40_0097</v>
      </c>
      <c r="AB87" t="str">
        <v>LIM</v>
      </c>
      <c r="AC87" t="str">
        <v>LS_09</v>
      </c>
      <c r="AD87" t="str">
        <v>L9_26</v>
      </c>
      <c r="AE87" t="str">
        <v>002 / 096</v>
      </c>
      <c r="AF87" t="str">
        <v>No</v>
      </c>
      <c r="AG87" t="str">
        <v/>
      </c>
      <c r="AH87" t="str">
        <v/>
      </c>
      <c r="AP87" t="str">
        <v>STM-A40_0095</v>
      </c>
      <c r="AQ87" t="str">
        <v>STM-A40_0096</v>
      </c>
      <c r="AR87" t="str">
        <v>STM-A40_0097</v>
      </c>
      <c r="AS87" t="str">
        <v>STM-A40_0103</v>
      </c>
      <c r="AT87" t="str">
        <v>STM-A40_0131</v>
      </c>
      <c r="AU87" t="str">
        <v>STM-A40_0135</v>
      </c>
      <c r="AV87" t="str">
        <v>STM-A40_2010</v>
      </c>
    </row>
    <row r="88" spans="4:48" ht="15.75" x14ac:dyDescent="0.25">
      <c r="D88" s="3">
        <v>1</v>
      </c>
      <c r="F88" s="16" cm="1">
        <f t="array" ref="F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88" s="31" cm="1">
        <f t="array" ref="G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94</v>
      </c>
      <c r="H88" s="33" t="str">
        <f>_xlfn.IFNA(IF(MOD(HLG_02[[#This Row],[Rit]],
    _xlfn.XLOOKUP($G$2,Int_Sample[Ore],Int_Sample[Inc])) = 0, "YES", "NO"),"")</f>
        <v>NO</v>
      </c>
      <c r="I88" s="32" t="str">
        <f>TEXT(HLG_02[[#This Row],[Batch]],"000")&amp; " / " &amp; TEXT(HLG_02[[#This Row],[Rit]],"000")</f>
        <v>002 / 094</v>
      </c>
      <c r="J88" s="34" t="s">
        <v>2624</v>
      </c>
      <c r="K88" s="38" t="s">
        <v>2617</v>
      </c>
      <c r="L88" s="35"/>
      <c r="M88" s="85"/>
      <c r="N88" s="85"/>
      <c r="O88" s="85"/>
      <c r="P88" s="85"/>
      <c r="Q88" s="85"/>
      <c r="R88" s="85"/>
      <c r="S88" s="100"/>
      <c r="T88" s="100"/>
      <c r="U88" s="85"/>
      <c r="V88" s="85"/>
      <c r="W88" s="85"/>
      <c r="X88" s="85"/>
      <c r="Z88" t="str">
        <v>46211/D|BR1/03</v>
      </c>
      <c r="AA88" t="str">
        <v>STM-A40_2010</v>
      </c>
      <c r="AB88" t="str">
        <v>LIM</v>
      </c>
      <c r="AC88" t="str">
        <v>LS_09</v>
      </c>
      <c r="AD88" t="str">
        <v>L9_26</v>
      </c>
      <c r="AE88" t="str">
        <v>002 / 097</v>
      </c>
      <c r="AF88" t="str">
        <v>No</v>
      </c>
      <c r="AG88" t="str">
        <v/>
      </c>
      <c r="AH88" t="str">
        <v/>
      </c>
      <c r="AP88" t="str">
        <v>STM-A40_0095</v>
      </c>
      <c r="AQ88" t="str">
        <v>STM-A40_0096</v>
      </c>
      <c r="AR88" t="str">
        <v>STM-A40_0097</v>
      </c>
      <c r="AS88" t="str">
        <v>STM-A40_0103</v>
      </c>
      <c r="AT88" t="str">
        <v>STM-A40_0131</v>
      </c>
      <c r="AU88" t="str">
        <v>STM-A40_0135</v>
      </c>
      <c r="AV88" t="str">
        <v>STM-A40_2010</v>
      </c>
    </row>
    <row r="89" spans="4:48" ht="15.75" x14ac:dyDescent="0.25">
      <c r="D89" s="3">
        <v>1</v>
      </c>
      <c r="F89" s="16" cm="1">
        <f t="array" ref="F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89" s="31" cm="1">
        <f t="array" ref="G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95</v>
      </c>
      <c r="H89" s="33" t="str">
        <f>_xlfn.IFNA(IF(MOD(HLG_02[[#This Row],[Rit]],
    _xlfn.XLOOKUP($G$2,Int_Sample[Ore],Int_Sample[Inc])) = 0, "YES", "NO"),"")</f>
        <v>YES</v>
      </c>
      <c r="I89" s="32" t="str">
        <f>TEXT(HLG_02[[#This Row],[Batch]],"000")&amp; " / " &amp; TEXT(HLG_02[[#This Row],[Rit]],"000")</f>
        <v>002 / 095</v>
      </c>
      <c r="J89" s="34" t="s">
        <v>2624</v>
      </c>
      <c r="K89" s="38" t="s">
        <v>2614</v>
      </c>
      <c r="L89" s="35"/>
      <c r="M89" s="85"/>
      <c r="N89" s="85"/>
      <c r="O89" s="85"/>
      <c r="P89" s="85"/>
      <c r="Q89" s="85"/>
      <c r="R89" s="85"/>
      <c r="S89" s="100"/>
      <c r="T89" s="100"/>
      <c r="U89" s="85"/>
      <c r="V89" s="85"/>
      <c r="W89" s="85"/>
      <c r="X89" s="85"/>
      <c r="Z89" t="str">
        <v>46211/D|BR1/03</v>
      </c>
      <c r="AA89" t="str">
        <v>STM-A40_0103</v>
      </c>
      <c r="AB89" t="str">
        <v>LIM</v>
      </c>
      <c r="AC89" t="str">
        <v>LS_09</v>
      </c>
      <c r="AD89" t="str">
        <v>L9_26</v>
      </c>
      <c r="AE89" t="str">
        <v>002 / 098</v>
      </c>
      <c r="AF89" t="str">
        <v>No</v>
      </c>
      <c r="AG89" t="str">
        <v/>
      </c>
      <c r="AH89" t="str">
        <v/>
      </c>
      <c r="AP89" t="str">
        <v>STM-A40_0095</v>
      </c>
      <c r="AQ89" t="str">
        <v>STM-A40_0096</v>
      </c>
      <c r="AR89" t="str">
        <v>STM-A40_0097</v>
      </c>
      <c r="AS89" t="str">
        <v>STM-A40_0103</v>
      </c>
      <c r="AT89" t="str">
        <v>STM-A40_0131</v>
      </c>
      <c r="AU89" t="str">
        <v>STM-A40_0135</v>
      </c>
      <c r="AV89" t="str">
        <v>STM-A40_2010</v>
      </c>
    </row>
    <row r="90" spans="4:48" ht="15.75" x14ac:dyDescent="0.25">
      <c r="D90" s="3">
        <v>1</v>
      </c>
      <c r="F90" s="16" cm="1">
        <f t="array" ref="F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90" s="31" cm="1">
        <f t="array" ref="G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96</v>
      </c>
      <c r="H90" s="33" t="str">
        <f>_xlfn.IFNA(IF(MOD(HLG_02[[#This Row],[Rit]],
    _xlfn.XLOOKUP($G$2,Int_Sample[Ore],Int_Sample[Inc])) = 0, "YES", "NO"),"")</f>
        <v>NO</v>
      </c>
      <c r="I90" s="32" t="str">
        <f>TEXT(HLG_02[[#This Row],[Batch]],"000")&amp; " / " &amp; TEXT(HLG_02[[#This Row],[Rit]],"000")</f>
        <v>002 / 096</v>
      </c>
      <c r="J90" s="34" t="s">
        <v>2624</v>
      </c>
      <c r="K90" s="38" t="s">
        <v>2611</v>
      </c>
      <c r="L90" s="35"/>
      <c r="M90" s="85"/>
      <c r="N90" s="85"/>
      <c r="O90" s="85"/>
      <c r="P90" s="85"/>
      <c r="Q90" s="85"/>
      <c r="R90" s="85"/>
      <c r="S90" s="100"/>
      <c r="T90" s="100"/>
      <c r="U90" s="85"/>
      <c r="V90" s="85"/>
      <c r="W90" s="85"/>
      <c r="X90" s="85"/>
      <c r="Z90" t="str">
        <v>46211/D|BR1/03</v>
      </c>
      <c r="AA90" t="str">
        <v>STM-A40_0131</v>
      </c>
      <c r="AB90" t="str">
        <v>LIM</v>
      </c>
      <c r="AC90" t="str">
        <v>LS_09</v>
      </c>
      <c r="AD90" t="str">
        <v>L9_26</v>
      </c>
      <c r="AE90" t="str">
        <v>002 / 099</v>
      </c>
      <c r="AF90" t="str">
        <v>No</v>
      </c>
      <c r="AG90" t="str">
        <v/>
      </c>
      <c r="AH90" t="str">
        <v/>
      </c>
      <c r="AP90" t="str">
        <v>STM-A40_0095</v>
      </c>
      <c r="AQ90" t="str">
        <v>STM-A40_0096</v>
      </c>
      <c r="AR90" t="str">
        <v>STM-A40_0097</v>
      </c>
      <c r="AS90" t="str">
        <v>STM-A40_0103</v>
      </c>
      <c r="AT90" t="str">
        <v>STM-A40_0131</v>
      </c>
      <c r="AU90" t="str">
        <v>STM-A40_0135</v>
      </c>
      <c r="AV90" t="str">
        <v>STM-A40_2010</v>
      </c>
    </row>
    <row r="91" spans="4:48" ht="15.75" x14ac:dyDescent="0.25">
      <c r="D91" s="3">
        <v>1</v>
      </c>
      <c r="F91" s="16" cm="1">
        <f t="array" ref="F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91" s="31" cm="1">
        <f t="array" ref="G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97</v>
      </c>
      <c r="H91" s="33" t="str">
        <f>_xlfn.IFNA(IF(MOD(HLG_02[[#This Row],[Rit]],
    _xlfn.XLOOKUP($G$2,Int_Sample[Ore],Int_Sample[Inc])) = 0, "YES", "NO"),"")</f>
        <v>NO</v>
      </c>
      <c r="I91" s="32" t="str">
        <f>TEXT(HLG_02[[#This Row],[Batch]],"000")&amp; " / " &amp; TEXT(HLG_02[[#This Row],[Rit]],"000")</f>
        <v>002 / 097</v>
      </c>
      <c r="J91" s="34" t="s">
        <v>2624</v>
      </c>
      <c r="K91" s="38" t="s">
        <v>2619</v>
      </c>
      <c r="L91" s="35"/>
      <c r="M91" s="85"/>
      <c r="N91" s="85"/>
      <c r="O91" s="85"/>
      <c r="P91" s="85"/>
      <c r="Q91" s="85"/>
      <c r="R91" s="85"/>
      <c r="S91" s="100"/>
      <c r="T91" s="100"/>
      <c r="U91" s="85"/>
      <c r="V91" s="85"/>
      <c r="W91" s="85"/>
      <c r="X91" s="85"/>
      <c r="Z91" t="str">
        <v>46211/D|BR1/03</v>
      </c>
      <c r="AA91" t="str">
        <v>STM-A40_0097</v>
      </c>
      <c r="AB91" t="str">
        <v>LIM</v>
      </c>
      <c r="AC91" t="str">
        <v>LS_09</v>
      </c>
      <c r="AD91" t="str">
        <v>L9_26</v>
      </c>
      <c r="AE91" t="str">
        <v>002 / 100</v>
      </c>
      <c r="AF91" t="str">
        <v>Yes</v>
      </c>
      <c r="AG91" t="str">
        <v/>
      </c>
      <c r="AH91" t="str">
        <v/>
      </c>
      <c r="AP91" t="str">
        <v>STM-A40_0095</v>
      </c>
      <c r="AQ91" t="str">
        <v>STM-A40_0096</v>
      </c>
      <c r="AR91" t="str">
        <v>STM-A40_0097</v>
      </c>
      <c r="AS91" t="str">
        <v>STM-A40_0103</v>
      </c>
      <c r="AT91" t="str">
        <v>STM-A40_0131</v>
      </c>
      <c r="AU91" t="str">
        <v>STM-A40_0135</v>
      </c>
      <c r="AV91" t="str">
        <v>STM-A40_2010</v>
      </c>
    </row>
    <row r="92" spans="4:48" ht="15.75" x14ac:dyDescent="0.25">
      <c r="D92" s="3">
        <v>1</v>
      </c>
      <c r="F92" s="16" cm="1">
        <f t="array" ref="F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92" s="31" cm="1">
        <f t="array" ref="G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98</v>
      </c>
      <c r="H92" s="33" t="str">
        <f>_xlfn.IFNA(IF(MOD(HLG_02[[#This Row],[Rit]],
    _xlfn.XLOOKUP($G$2,Int_Sample[Ore],Int_Sample[Inc])) = 0, "YES", "NO"),"")</f>
        <v>NO</v>
      </c>
      <c r="I92" s="32" t="str">
        <f>TEXT(HLG_02[[#This Row],[Batch]],"000")&amp; " / " &amp; TEXT(HLG_02[[#This Row],[Rit]],"000")</f>
        <v>002 / 098</v>
      </c>
      <c r="J92" s="34" t="s">
        <v>2624</v>
      </c>
      <c r="K92" s="38" t="s">
        <v>2618</v>
      </c>
      <c r="L92" s="35"/>
      <c r="M92" s="85"/>
      <c r="N92" s="85"/>
      <c r="O92" s="85"/>
      <c r="P92" s="85"/>
      <c r="Q92" s="85"/>
      <c r="R92" s="85"/>
      <c r="S92" s="100"/>
      <c r="T92" s="100"/>
      <c r="U92" s="85"/>
      <c r="V92" s="85"/>
      <c r="W92" s="85"/>
      <c r="X92" s="85"/>
      <c r="Z92" t="str">
        <v>46211/D|BR1/03</v>
      </c>
      <c r="AA92" t="str">
        <v>STM-A40_0131</v>
      </c>
      <c r="AB92" t="str">
        <v>LIM</v>
      </c>
      <c r="AC92" t="str">
        <v>LS_09</v>
      </c>
      <c r="AD92" t="str">
        <v>L9_26</v>
      </c>
      <c r="AE92" t="str">
        <v>003 / 001</v>
      </c>
      <c r="AF92" t="str">
        <v>No</v>
      </c>
      <c r="AG92" t="str">
        <v/>
      </c>
      <c r="AH92" t="str">
        <v/>
      </c>
      <c r="AP92" t="str">
        <v>STM-A40_0095</v>
      </c>
      <c r="AQ92" t="str">
        <v>STM-A40_0096</v>
      </c>
      <c r="AR92" t="str">
        <v>STM-A40_0097</v>
      </c>
      <c r="AS92" t="str">
        <v>STM-A40_0103</v>
      </c>
      <c r="AT92" t="str">
        <v>STM-A40_0131</v>
      </c>
      <c r="AU92" t="str">
        <v>STM-A40_0135</v>
      </c>
      <c r="AV92" t="str">
        <v>STM-A40_2010</v>
      </c>
    </row>
    <row r="93" spans="4:48" ht="15.75" x14ac:dyDescent="0.25">
      <c r="D93" s="3">
        <v>1</v>
      </c>
      <c r="F93" s="16" cm="1">
        <f t="array" ref="F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93" s="31" cm="1">
        <f t="array" ref="G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99</v>
      </c>
      <c r="H93" s="33" t="str">
        <f>_xlfn.IFNA(IF(MOD(HLG_02[[#This Row],[Rit]],
    _xlfn.XLOOKUP($G$2,Int_Sample[Ore],Int_Sample[Inc])) = 0, "YES", "NO"),"")</f>
        <v>NO</v>
      </c>
      <c r="I93" s="32" t="str">
        <f>TEXT(HLG_02[[#This Row],[Batch]],"000")&amp; " / " &amp; TEXT(HLG_02[[#This Row],[Rit]],"000")</f>
        <v>002 / 099</v>
      </c>
      <c r="J93" s="34" t="s">
        <v>2624</v>
      </c>
      <c r="K93" s="38" t="s">
        <v>2616</v>
      </c>
      <c r="L93" s="35"/>
      <c r="M93" s="85"/>
      <c r="N93" s="85"/>
      <c r="O93" s="85"/>
      <c r="P93" s="85"/>
      <c r="Q93" s="85"/>
      <c r="R93" s="85"/>
      <c r="S93" s="100"/>
      <c r="T93" s="100"/>
      <c r="U93" s="85"/>
      <c r="V93" s="85"/>
      <c r="W93" s="85"/>
      <c r="X93" s="85"/>
      <c r="Z93" t="str">
        <v>46211/D|BR1/03</v>
      </c>
      <c r="AA93" t="str">
        <v>STM-A40_0135</v>
      </c>
      <c r="AB93" t="str">
        <v>LIM</v>
      </c>
      <c r="AC93" t="str">
        <v>LS_09</v>
      </c>
      <c r="AD93" t="str">
        <v>L9_26</v>
      </c>
      <c r="AE93" t="str">
        <v>003 / 002</v>
      </c>
      <c r="AF93" t="str">
        <v>No</v>
      </c>
      <c r="AG93" t="str">
        <v/>
      </c>
      <c r="AH93" t="str">
        <v/>
      </c>
      <c r="AP93" t="str">
        <v>STM-A40_0095</v>
      </c>
      <c r="AQ93" t="str">
        <v>STM-A40_0096</v>
      </c>
      <c r="AR93" t="str">
        <v>STM-A40_0097</v>
      </c>
      <c r="AS93" t="str">
        <v>STM-A40_0103</v>
      </c>
      <c r="AT93" t="str">
        <v>STM-A40_0131</v>
      </c>
      <c r="AU93" t="str">
        <v>STM-A40_0135</v>
      </c>
      <c r="AV93" t="str">
        <v>STM-A40_2010</v>
      </c>
    </row>
    <row r="94" spans="4:48" ht="15.75" x14ac:dyDescent="0.25">
      <c r="D94" s="3">
        <v>1</v>
      </c>
      <c r="F94" s="16" cm="1">
        <f t="array" ref="F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2</v>
      </c>
      <c r="G94" s="31" cm="1">
        <f t="array" ref="G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100</v>
      </c>
      <c r="H94" s="33" t="str">
        <f>_xlfn.IFNA(IF(MOD(HLG_02[[#This Row],[Rit]],
    _xlfn.XLOOKUP($G$2,Int_Sample[Ore],Int_Sample[Inc])) = 0, "YES", "NO"),"")</f>
        <v>YES</v>
      </c>
      <c r="I94" s="32" t="str">
        <f>TEXT(HLG_02[[#This Row],[Batch]],"000")&amp; " / " &amp; TEXT(HLG_02[[#This Row],[Rit]],"000")</f>
        <v>002 / 100</v>
      </c>
      <c r="J94" s="34" t="s">
        <v>2624</v>
      </c>
      <c r="K94" s="38" t="s">
        <v>2611</v>
      </c>
      <c r="L94" s="35"/>
      <c r="M94" s="85"/>
      <c r="N94" s="85"/>
      <c r="O94" s="85"/>
      <c r="P94" s="85"/>
      <c r="Q94" s="85"/>
      <c r="R94" s="85"/>
      <c r="S94" s="100"/>
      <c r="T94" s="100"/>
      <c r="U94" s="85"/>
      <c r="V94" s="85"/>
      <c r="W94" s="85"/>
      <c r="X94" s="85"/>
      <c r="Z94" t="str">
        <v>46211/D|BR1/03</v>
      </c>
      <c r="AA94" t="str">
        <v>STM-A40_0096</v>
      </c>
      <c r="AB94" t="str">
        <v>LIM</v>
      </c>
      <c r="AC94" t="str">
        <v>LS_09</v>
      </c>
      <c r="AD94" t="str">
        <v>L9_26</v>
      </c>
      <c r="AE94" t="str">
        <v>003 / 003</v>
      </c>
      <c r="AF94" t="str">
        <v>No</v>
      </c>
      <c r="AG94" t="str">
        <v/>
      </c>
      <c r="AH94" t="str">
        <v/>
      </c>
      <c r="AP94" t="str">
        <v>STM-A40_0095</v>
      </c>
      <c r="AQ94" t="str">
        <v>STM-A40_0096</v>
      </c>
      <c r="AR94" t="str">
        <v>STM-A40_0097</v>
      </c>
      <c r="AS94" t="str">
        <v>STM-A40_0103</v>
      </c>
      <c r="AT94" t="str">
        <v>STM-A40_0131</v>
      </c>
      <c r="AU94" t="str">
        <v>STM-A40_0135</v>
      </c>
      <c r="AV94" t="str">
        <v>STM-A40_2010</v>
      </c>
    </row>
    <row r="95" spans="4:48" ht="15.75" x14ac:dyDescent="0.25">
      <c r="D95" s="3">
        <v>2</v>
      </c>
      <c r="F95" s="16" cm="1">
        <f t="array" ref="F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95" s="31" cm="1">
        <f t="array" ref="G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95" s="33" t="str">
        <f>_xlfn.IFNA(IF(MOD(HLG_02[[#This Row],[Rit]],
    _xlfn.XLOOKUP($G$2,Int_Sample[Ore],Int_Sample[Inc])) = 0, "YES", "NO"),"")</f>
        <v>NO</v>
      </c>
      <c r="I95" s="32" t="str">
        <f>TEXT(HLG_02[[#This Row],[Batch]],"000")&amp; " / " &amp; TEXT(HLG_02[[#This Row],[Rit]],"000")</f>
        <v>003 / 001</v>
      </c>
      <c r="J95" s="34" t="s">
        <v>2624</v>
      </c>
      <c r="K95" s="38" t="s">
        <v>2616</v>
      </c>
      <c r="L95" s="35"/>
      <c r="M95" s="85"/>
      <c r="N95" s="85"/>
      <c r="O95" s="85"/>
      <c r="P95" s="85"/>
      <c r="Q95" s="85"/>
      <c r="R95" s="85"/>
      <c r="S95" s="100"/>
      <c r="T95" s="100"/>
      <c r="U95" s="85"/>
      <c r="V95" s="85"/>
      <c r="W95" s="85"/>
      <c r="X95" s="85"/>
      <c r="Z95" t="str">
        <v>46211/D|BR1/03</v>
      </c>
      <c r="AA95" t="str">
        <v>STM-A40_0096</v>
      </c>
      <c r="AB95" t="str">
        <v>LIM</v>
      </c>
      <c r="AC95" t="str">
        <v>LS_09</v>
      </c>
      <c r="AD95" t="str">
        <v>L9_26</v>
      </c>
      <c r="AE95" t="str">
        <v>003 / 004</v>
      </c>
      <c r="AF95" t="str">
        <v>No</v>
      </c>
      <c r="AG95" t="str">
        <v/>
      </c>
      <c r="AH95" t="str">
        <v/>
      </c>
      <c r="AP95" t="str">
        <v>STM-A40_0095</v>
      </c>
      <c r="AQ95" t="str">
        <v>STM-A40_0096</v>
      </c>
      <c r="AR95" t="str">
        <v>STM-A40_0097</v>
      </c>
      <c r="AS95" t="str">
        <v>STM-A40_0103</v>
      </c>
      <c r="AT95" t="str">
        <v>STM-A40_0131</v>
      </c>
      <c r="AU95" t="str">
        <v>STM-A40_0135</v>
      </c>
      <c r="AV95" t="str">
        <v>STM-A40_2010</v>
      </c>
    </row>
    <row r="96" spans="4:48" ht="15.75" x14ac:dyDescent="0.25">
      <c r="D96" s="3">
        <v>2</v>
      </c>
      <c r="F96" s="16" cm="1">
        <f t="array" ref="F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96" s="31" cm="1">
        <f t="array" ref="G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96" s="33" t="str">
        <f>_xlfn.IFNA(IF(MOD(HLG_02[[#This Row],[Rit]],
    _xlfn.XLOOKUP($G$2,Int_Sample[Ore],Int_Sample[Inc])) = 0, "YES", "NO"),"")</f>
        <v>NO</v>
      </c>
      <c r="I96" s="32" t="str">
        <f>TEXT(HLG_02[[#This Row],[Batch]],"000")&amp; " / " &amp; TEXT(HLG_02[[#This Row],[Rit]],"000")</f>
        <v>003 / 002</v>
      </c>
      <c r="J96" s="34" t="s">
        <v>2624</v>
      </c>
      <c r="K96" s="38" t="s">
        <v>2617</v>
      </c>
      <c r="L96" s="35"/>
      <c r="M96" s="85"/>
      <c r="N96" s="85"/>
      <c r="O96" s="85"/>
      <c r="P96" s="85"/>
      <c r="Q96" s="85"/>
      <c r="R96" s="85"/>
      <c r="S96" s="100"/>
      <c r="T96" s="100"/>
      <c r="U96" s="85"/>
      <c r="V96" s="85"/>
      <c r="W96" s="85"/>
      <c r="X96" s="85"/>
      <c r="Z96" t="str">
        <v>46211/D|BR1/03</v>
      </c>
      <c r="AA96" t="str">
        <v>STM-A40_0103</v>
      </c>
      <c r="AB96" t="str">
        <v>LIM</v>
      </c>
      <c r="AC96" t="str">
        <v>LS_09</v>
      </c>
      <c r="AD96" t="str">
        <v>L9_26</v>
      </c>
      <c r="AE96" t="str">
        <v>003 / 005</v>
      </c>
      <c r="AF96" t="str">
        <v>Yes</v>
      </c>
      <c r="AG96" t="str">
        <v/>
      </c>
      <c r="AH96" t="str">
        <v/>
      </c>
      <c r="AP96" t="str">
        <v>STM-A40_0095</v>
      </c>
      <c r="AQ96" t="str">
        <v>STM-A40_0096</v>
      </c>
      <c r="AR96" t="str">
        <v>STM-A40_0097</v>
      </c>
      <c r="AS96" t="str">
        <v>STM-A40_0103</v>
      </c>
      <c r="AT96" t="str">
        <v>STM-A40_0131</v>
      </c>
      <c r="AU96" t="str">
        <v>STM-A40_0135</v>
      </c>
      <c r="AV96" t="str">
        <v>STM-A40_2010</v>
      </c>
    </row>
    <row r="97" spans="4:48" ht="15.75" x14ac:dyDescent="0.25">
      <c r="D97" s="3">
        <v>2</v>
      </c>
      <c r="F97" s="16" cm="1">
        <f t="array" ref="F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97" s="31" cm="1">
        <f t="array" ref="G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97" s="33" t="str">
        <f>_xlfn.IFNA(IF(MOD(HLG_02[[#This Row],[Rit]],
    _xlfn.XLOOKUP($G$2,Int_Sample[Ore],Int_Sample[Inc])) = 0, "YES", "NO"),"")</f>
        <v>NO</v>
      </c>
      <c r="I97" s="32" t="str">
        <f>TEXT(HLG_02[[#This Row],[Batch]],"000")&amp; " / " &amp; TEXT(HLG_02[[#This Row],[Rit]],"000")</f>
        <v>003 / 003</v>
      </c>
      <c r="J97" s="34" t="s">
        <v>2624</v>
      </c>
      <c r="K97" s="38" t="s">
        <v>2614</v>
      </c>
      <c r="L97" s="35"/>
      <c r="M97" s="85"/>
      <c r="N97" s="85"/>
      <c r="O97" s="85"/>
      <c r="P97" s="85"/>
      <c r="Q97" s="85"/>
      <c r="R97" s="85"/>
      <c r="S97" s="100"/>
      <c r="T97" s="100"/>
      <c r="U97" s="85"/>
      <c r="V97" s="85"/>
      <c r="W97" s="85"/>
      <c r="X97" s="85"/>
      <c r="Z97" t="str">
        <v>46211/D|BR1/03</v>
      </c>
      <c r="AA97" t="str">
        <v>STM-A40_2010</v>
      </c>
      <c r="AB97" t="str">
        <v>LIM</v>
      </c>
      <c r="AC97" t="str">
        <v>LS_09</v>
      </c>
      <c r="AD97" t="str">
        <v>L9_26</v>
      </c>
      <c r="AE97" t="str">
        <v>003 / 006</v>
      </c>
      <c r="AF97" t="str">
        <v>No</v>
      </c>
      <c r="AG97" t="str">
        <v/>
      </c>
      <c r="AH97" t="str">
        <v/>
      </c>
      <c r="AP97" t="str">
        <v>STM-A40_0095</v>
      </c>
      <c r="AQ97" t="str">
        <v>STM-A40_0096</v>
      </c>
      <c r="AR97" t="str">
        <v>STM-A40_0097</v>
      </c>
      <c r="AS97" t="str">
        <v>STM-A40_0103</v>
      </c>
      <c r="AT97" t="str">
        <v>STM-A40_0131</v>
      </c>
      <c r="AU97" t="str">
        <v>STM-A40_0135</v>
      </c>
      <c r="AV97" t="str">
        <v>STM-A40_2010</v>
      </c>
    </row>
    <row r="98" spans="4:48" ht="15.75" x14ac:dyDescent="0.25">
      <c r="D98" s="3">
        <v>2</v>
      </c>
      <c r="F98" s="16" cm="1">
        <f t="array" ref="F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98" s="31" cm="1">
        <f t="array" ref="G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98" s="33" t="str">
        <f>_xlfn.IFNA(IF(MOD(HLG_02[[#This Row],[Rit]],
    _xlfn.XLOOKUP($G$2,Int_Sample[Ore],Int_Sample[Inc])) = 0, "YES", "NO"),"")</f>
        <v>NO</v>
      </c>
      <c r="I98" s="32" t="str">
        <f>TEXT(HLG_02[[#This Row],[Batch]],"000")&amp; " / " &amp; TEXT(HLG_02[[#This Row],[Rit]],"000")</f>
        <v>003 / 004</v>
      </c>
      <c r="J98" s="34" t="s">
        <v>2624</v>
      </c>
      <c r="K98" s="38" t="s">
        <v>2614</v>
      </c>
      <c r="L98" s="35"/>
      <c r="M98" s="85"/>
      <c r="N98" s="85"/>
      <c r="O98" s="85"/>
      <c r="P98" s="85"/>
      <c r="Q98" s="85"/>
      <c r="R98" s="85"/>
      <c r="S98" s="100"/>
      <c r="T98" s="100"/>
      <c r="U98" s="85"/>
      <c r="V98" s="85"/>
      <c r="W98" s="85"/>
      <c r="X98" s="85"/>
      <c r="Z98" t="str">
        <v>46211/D|BR1/03</v>
      </c>
      <c r="AA98" t="str">
        <v>STM-A40_0131</v>
      </c>
      <c r="AB98" t="str">
        <v>LIM</v>
      </c>
      <c r="AC98" t="str">
        <v>LS_09</v>
      </c>
      <c r="AD98" t="str">
        <v>L9_26</v>
      </c>
      <c r="AE98" t="str">
        <v>003 / 007</v>
      </c>
      <c r="AF98" t="str">
        <v>No</v>
      </c>
      <c r="AG98" t="str">
        <v/>
      </c>
      <c r="AH98" t="str">
        <v/>
      </c>
      <c r="AP98" t="str">
        <v>STM-A40_0095</v>
      </c>
      <c r="AQ98" t="str">
        <v>STM-A40_0096</v>
      </c>
      <c r="AR98" t="str">
        <v>STM-A40_0097</v>
      </c>
      <c r="AS98" t="str">
        <v>STM-A40_0103</v>
      </c>
      <c r="AT98" t="str">
        <v>STM-A40_0131</v>
      </c>
      <c r="AU98" t="str">
        <v>STM-A40_0135</v>
      </c>
      <c r="AV98" t="str">
        <v>STM-A40_2010</v>
      </c>
    </row>
    <row r="99" spans="4:48" ht="15.75" x14ac:dyDescent="0.25">
      <c r="D99" s="3">
        <v>2</v>
      </c>
      <c r="F99" s="16" cm="1">
        <f t="array" ref="F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99" s="31" cm="1">
        <f t="array" ref="G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99" s="33" t="str">
        <f>_xlfn.IFNA(IF(MOD(HLG_02[[#This Row],[Rit]],
    _xlfn.XLOOKUP($G$2,Int_Sample[Ore],Int_Sample[Inc])) = 0, "YES", "NO"),"")</f>
        <v>YES</v>
      </c>
      <c r="I99" s="32" t="str">
        <f>TEXT(HLG_02[[#This Row],[Batch]],"000")&amp; " / " &amp; TEXT(HLG_02[[#This Row],[Rit]],"000")</f>
        <v>003 / 005</v>
      </c>
      <c r="J99" s="34" t="s">
        <v>2624</v>
      </c>
      <c r="K99" s="38" t="s">
        <v>2618</v>
      </c>
      <c r="L99" s="35"/>
      <c r="M99" s="85"/>
      <c r="N99" s="85"/>
      <c r="O99" s="85"/>
      <c r="P99" s="85"/>
      <c r="Q99" s="85"/>
      <c r="R99" s="85"/>
      <c r="S99" s="100"/>
      <c r="T99" s="100"/>
      <c r="U99" s="85"/>
      <c r="V99" s="85"/>
      <c r="W99" s="85"/>
      <c r="X99" s="85"/>
      <c r="Z99" t="str">
        <v>46211/D|BR1/03</v>
      </c>
      <c r="AA99" t="str">
        <v>STM-A40_0135</v>
      </c>
      <c r="AB99" t="str">
        <v>LIM</v>
      </c>
      <c r="AC99" t="str">
        <v>LS_09</v>
      </c>
      <c r="AD99" t="str">
        <v>L9_26</v>
      </c>
      <c r="AE99" t="str">
        <v>003 / 008</v>
      </c>
      <c r="AF99" t="str">
        <v>No</v>
      </c>
      <c r="AG99" t="str">
        <v/>
      </c>
      <c r="AH99" t="str">
        <v/>
      </c>
      <c r="AP99" t="str">
        <v>STM-A40_0095</v>
      </c>
      <c r="AQ99" t="str">
        <v>STM-A40_0096</v>
      </c>
      <c r="AR99" t="str">
        <v>STM-A40_0097</v>
      </c>
      <c r="AS99" t="str">
        <v>STM-A40_0103</v>
      </c>
      <c r="AT99" t="str">
        <v>STM-A40_0131</v>
      </c>
      <c r="AU99" t="str">
        <v>STM-A40_0135</v>
      </c>
      <c r="AV99" t="str">
        <v>STM-A40_2010</v>
      </c>
    </row>
    <row r="100" spans="4:48" ht="15.75" x14ac:dyDescent="0.25">
      <c r="D100" s="3">
        <v>2</v>
      </c>
      <c r="F100" s="16" cm="1">
        <f t="array" ref="F1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00" s="31" cm="1">
        <f t="array" ref="G1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100" s="33" t="str">
        <f>_xlfn.IFNA(IF(MOD(HLG_02[[#This Row],[Rit]],
    _xlfn.XLOOKUP($G$2,Int_Sample[Ore],Int_Sample[Inc])) = 0, "YES", "NO"),"")</f>
        <v>NO</v>
      </c>
      <c r="I100" s="32" t="str">
        <f>TEXT(HLG_02[[#This Row],[Batch]],"000")&amp; " / " &amp; TEXT(HLG_02[[#This Row],[Rit]],"000")</f>
        <v>003 / 006</v>
      </c>
      <c r="J100" s="34" t="s">
        <v>2624</v>
      </c>
      <c r="K100" s="38" t="s">
        <v>2619</v>
      </c>
      <c r="L100" s="35"/>
      <c r="M100" s="85"/>
      <c r="N100" s="85"/>
      <c r="O100" s="85"/>
      <c r="P100" s="85"/>
      <c r="Q100" s="85"/>
      <c r="R100" s="85"/>
      <c r="S100" s="100"/>
      <c r="T100" s="100"/>
      <c r="U100" s="85"/>
      <c r="V100" s="85"/>
      <c r="W100" s="85"/>
      <c r="X100" s="85"/>
      <c r="Z100" t="str">
        <v>46211/D|BR1/03</v>
      </c>
      <c r="AA100" t="str">
        <v>STM-A40_0103</v>
      </c>
      <c r="AB100" t="str">
        <v>LIM</v>
      </c>
      <c r="AC100" t="str">
        <v>LS_09</v>
      </c>
      <c r="AD100" t="str">
        <v>L9_26</v>
      </c>
      <c r="AE100" t="str">
        <v>003 / 009</v>
      </c>
      <c r="AF100" t="str">
        <v>No</v>
      </c>
      <c r="AG100" t="str">
        <v/>
      </c>
      <c r="AH100" t="str">
        <v/>
      </c>
      <c r="AP100" t="str">
        <v>STM-A40_0095</v>
      </c>
      <c r="AQ100" t="str">
        <v>STM-A40_0096</v>
      </c>
      <c r="AR100" t="str">
        <v>STM-A40_0097</v>
      </c>
      <c r="AS100" t="str">
        <v>STM-A40_0103</v>
      </c>
      <c r="AT100" t="str">
        <v>STM-A40_0131</v>
      </c>
      <c r="AU100" t="str">
        <v>STM-A40_0135</v>
      </c>
      <c r="AV100" t="str">
        <v>STM-A40_2010</v>
      </c>
    </row>
    <row r="101" spans="4:48" ht="15.75" x14ac:dyDescent="0.25">
      <c r="D101" s="3">
        <v>2</v>
      </c>
      <c r="F101" s="16" cm="1">
        <f t="array" ref="F1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01" s="31" cm="1">
        <f t="array" ref="G1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101" s="33" t="str">
        <f>_xlfn.IFNA(IF(MOD(HLG_02[[#This Row],[Rit]],
    _xlfn.XLOOKUP($G$2,Int_Sample[Ore],Int_Sample[Inc])) = 0, "YES", "NO"),"")</f>
        <v>NO</v>
      </c>
      <c r="I101" s="32" t="str">
        <f>TEXT(HLG_02[[#This Row],[Batch]],"000")&amp; " / " &amp; TEXT(HLG_02[[#This Row],[Rit]],"000")</f>
        <v>003 / 007</v>
      </c>
      <c r="J101" s="34" t="s">
        <v>2624</v>
      </c>
      <c r="K101" s="38" t="s">
        <v>2616</v>
      </c>
      <c r="L101" s="35"/>
      <c r="M101" s="66"/>
      <c r="N101" s="66"/>
      <c r="O101" s="66"/>
      <c r="P101" s="66"/>
      <c r="Q101" s="66"/>
      <c r="R101" s="67"/>
      <c r="S101" s="67"/>
      <c r="T101" s="67"/>
      <c r="U101" s="66"/>
      <c r="V101" s="66"/>
      <c r="W101" s="66"/>
      <c r="X101" s="85"/>
      <c r="Z101" t="str">
        <v>46211/D|BR1/03</v>
      </c>
      <c r="AA101" t="str">
        <v>STM-A40_0135</v>
      </c>
      <c r="AB101" t="str">
        <v>LIM</v>
      </c>
      <c r="AC101" t="str">
        <v>LS_09</v>
      </c>
      <c r="AD101" t="str">
        <v>L9_26</v>
      </c>
      <c r="AE101" t="str">
        <v>003 / 010</v>
      </c>
      <c r="AF101" t="str">
        <v>Yes</v>
      </c>
      <c r="AG101" t="str">
        <v/>
      </c>
      <c r="AH101" t="str">
        <v/>
      </c>
      <c r="AP101" t="str">
        <v>STM-A40_0095</v>
      </c>
      <c r="AQ101" t="str">
        <v>STM-A40_0096</v>
      </c>
      <c r="AR101" t="str">
        <v>STM-A40_0097</v>
      </c>
      <c r="AS101" t="str">
        <v>STM-A40_0103</v>
      </c>
      <c r="AT101" t="str">
        <v>STM-A40_0131</v>
      </c>
      <c r="AU101" t="str">
        <v>STM-A40_0135</v>
      </c>
      <c r="AV101" t="str">
        <v>STM-A40_2010</v>
      </c>
    </row>
    <row r="102" spans="4:48" ht="15.75" x14ac:dyDescent="0.25">
      <c r="D102" s="3">
        <v>2</v>
      </c>
      <c r="F102" s="16" cm="1">
        <f t="array" ref="F1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02" s="31" cm="1">
        <f t="array" ref="G1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102" s="33" t="str">
        <f>_xlfn.IFNA(IF(MOD(HLG_02[[#This Row],[Rit]],
    _xlfn.XLOOKUP($G$2,Int_Sample[Ore],Int_Sample[Inc])) = 0, "YES", "NO"),"")</f>
        <v>NO</v>
      </c>
      <c r="I102" s="32" t="str">
        <f>TEXT(HLG_02[[#This Row],[Batch]],"000")&amp; " / " &amp; TEXT(HLG_02[[#This Row],[Rit]],"000")</f>
        <v>003 / 008</v>
      </c>
      <c r="J102" s="34" t="s">
        <v>2624</v>
      </c>
      <c r="K102" s="38" t="s">
        <v>2617</v>
      </c>
      <c r="L102" s="35"/>
      <c r="M102" s="66"/>
      <c r="N102" s="66"/>
      <c r="O102" s="66"/>
      <c r="P102" s="66"/>
      <c r="Q102" s="66"/>
      <c r="R102" s="67"/>
      <c r="S102" s="67"/>
      <c r="T102" s="67"/>
      <c r="U102" s="66"/>
      <c r="V102" s="66"/>
      <c r="W102" s="66"/>
      <c r="X102" s="85"/>
      <c r="Z102" t="str">
        <v>46211/D|BR1/03</v>
      </c>
      <c r="AA102" t="str">
        <v>STM-A40_0097</v>
      </c>
      <c r="AB102" t="str">
        <v>LIM</v>
      </c>
      <c r="AC102" t="str">
        <v>LS_09</v>
      </c>
      <c r="AD102" t="str">
        <v>L9_26</v>
      </c>
      <c r="AE102" t="str">
        <v>003 / 011</v>
      </c>
      <c r="AF102" t="str">
        <v>No</v>
      </c>
      <c r="AG102" t="str">
        <v/>
      </c>
      <c r="AH102" t="str">
        <v/>
      </c>
      <c r="AP102" t="str">
        <v>STM-A40_0095</v>
      </c>
      <c r="AQ102" t="str">
        <v>STM-A40_0096</v>
      </c>
      <c r="AR102" t="str">
        <v>STM-A40_0097</v>
      </c>
      <c r="AS102" t="str">
        <v>STM-A40_0103</v>
      </c>
      <c r="AT102" t="str">
        <v>STM-A40_0131</v>
      </c>
      <c r="AU102" t="str">
        <v>STM-A40_0135</v>
      </c>
      <c r="AV102" t="str">
        <v>STM-A40_2010</v>
      </c>
    </row>
    <row r="103" spans="4:48" ht="15.75" x14ac:dyDescent="0.25">
      <c r="D103" s="3">
        <v>2</v>
      </c>
      <c r="F103" s="16" cm="1">
        <f t="array" ref="F1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03" s="31" cm="1">
        <f t="array" ref="G1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103" s="33" t="str">
        <f>_xlfn.IFNA(IF(MOD(HLG_02[[#This Row],[Rit]],
    _xlfn.XLOOKUP($G$2,Int_Sample[Ore],Int_Sample[Inc])) = 0, "YES", "NO"),"")</f>
        <v>NO</v>
      </c>
      <c r="I103" s="32" t="str">
        <f>TEXT(HLG_02[[#This Row],[Batch]],"000")&amp; " / " &amp; TEXT(HLG_02[[#This Row],[Rit]],"000")</f>
        <v>003 / 009</v>
      </c>
      <c r="J103" s="34" t="s">
        <v>2624</v>
      </c>
      <c r="K103" s="38" t="s">
        <v>2618</v>
      </c>
      <c r="L103" s="35"/>
      <c r="M103" s="66"/>
      <c r="N103" s="66"/>
      <c r="O103" s="66"/>
      <c r="P103" s="66"/>
      <c r="Q103" s="66"/>
      <c r="R103" s="67"/>
      <c r="S103" s="67"/>
      <c r="T103" s="67"/>
      <c r="U103" s="66"/>
      <c r="V103" s="66"/>
      <c r="W103" s="66"/>
      <c r="X103" s="85"/>
      <c r="Z103" t="str">
        <v>46211/D|BR1/03</v>
      </c>
      <c r="AA103" t="str">
        <v>STM-A40_0096</v>
      </c>
      <c r="AB103" t="str">
        <v>LIM</v>
      </c>
      <c r="AC103" t="str">
        <v>LS_09</v>
      </c>
      <c r="AD103" t="str">
        <v>L9_26</v>
      </c>
      <c r="AE103" t="str">
        <v>003 / 012</v>
      </c>
      <c r="AF103" t="str">
        <v>No</v>
      </c>
      <c r="AG103" t="str">
        <v/>
      </c>
      <c r="AH103" t="str">
        <v/>
      </c>
      <c r="AP103" t="str">
        <v>STM-A40_0095</v>
      </c>
      <c r="AQ103" t="str">
        <v>STM-A40_0096</v>
      </c>
      <c r="AR103" t="str">
        <v>STM-A40_0097</v>
      </c>
      <c r="AS103" t="str">
        <v>STM-A40_0103</v>
      </c>
      <c r="AT103" t="str">
        <v>STM-A40_0131</v>
      </c>
      <c r="AU103" t="str">
        <v>STM-A40_0135</v>
      </c>
      <c r="AV103" t="str">
        <v>STM-A40_2010</v>
      </c>
    </row>
    <row r="104" spans="4:48" ht="15.75" x14ac:dyDescent="0.25">
      <c r="D104" s="3">
        <v>2</v>
      </c>
      <c r="F104" s="16" cm="1">
        <f t="array" ref="F1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04" s="31" cm="1">
        <f t="array" ref="G1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104" s="33" t="str">
        <f>_xlfn.IFNA(IF(MOD(HLG_02[[#This Row],[Rit]],
    _xlfn.XLOOKUP($G$2,Int_Sample[Ore],Int_Sample[Inc])) = 0, "YES", "NO"),"")</f>
        <v>YES</v>
      </c>
      <c r="I104" s="32" t="str">
        <f>TEXT(HLG_02[[#This Row],[Batch]],"000")&amp; " / " &amp; TEXT(HLG_02[[#This Row],[Rit]],"000")</f>
        <v>003 / 010</v>
      </c>
      <c r="J104" s="34" t="s">
        <v>2624</v>
      </c>
      <c r="K104" s="38" t="s">
        <v>2617</v>
      </c>
      <c r="L104" s="35"/>
      <c r="M104" s="66"/>
      <c r="N104" s="66"/>
      <c r="O104" s="66"/>
      <c r="P104" s="66"/>
      <c r="Q104" s="66"/>
      <c r="R104" s="67"/>
      <c r="S104" s="67"/>
      <c r="T104" s="67"/>
      <c r="U104" s="66"/>
      <c r="V104" s="66"/>
      <c r="W104" s="66"/>
      <c r="X104" s="85"/>
      <c r="Z104" t="str">
        <v>46211/D|BR1/03</v>
      </c>
      <c r="AA104" t="str">
        <v>STM-A40_0103</v>
      </c>
      <c r="AB104" t="str">
        <v>LIM</v>
      </c>
      <c r="AC104" t="str">
        <v>LS_09</v>
      </c>
      <c r="AD104" t="str">
        <v>L9_26</v>
      </c>
      <c r="AE104" t="str">
        <v>003 / 013</v>
      </c>
      <c r="AF104" t="str">
        <v>No</v>
      </c>
      <c r="AG104" t="str">
        <v/>
      </c>
      <c r="AH104" t="str">
        <v/>
      </c>
      <c r="AP104" t="str">
        <v>STM-A40_0095</v>
      </c>
      <c r="AQ104" t="str">
        <v>STM-A40_0096</v>
      </c>
      <c r="AR104" t="str">
        <v>STM-A40_0097</v>
      </c>
      <c r="AS104" t="str">
        <v>STM-A40_0103</v>
      </c>
      <c r="AT104" t="str">
        <v>STM-A40_0131</v>
      </c>
      <c r="AU104" t="str">
        <v>STM-A40_0135</v>
      </c>
      <c r="AV104" t="str">
        <v>STM-A40_2010</v>
      </c>
    </row>
    <row r="105" spans="4:48" ht="15.75" x14ac:dyDescent="0.25">
      <c r="D105" s="3">
        <v>2</v>
      </c>
      <c r="F105" s="16" cm="1">
        <f t="array" ref="F1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05" s="31" cm="1">
        <f t="array" ref="G1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105" s="33" t="str">
        <f>_xlfn.IFNA(IF(MOD(HLG_02[[#This Row],[Rit]],
    _xlfn.XLOOKUP($G$2,Int_Sample[Ore],Int_Sample[Inc])) = 0, "YES", "NO"),"")</f>
        <v>NO</v>
      </c>
      <c r="I105" s="32" t="str">
        <f>TEXT(HLG_02[[#This Row],[Batch]],"000")&amp; " / " &amp; TEXT(HLG_02[[#This Row],[Rit]],"000")</f>
        <v>003 / 011</v>
      </c>
      <c r="J105" s="34" t="s">
        <v>2624</v>
      </c>
      <c r="K105" s="38" t="s">
        <v>2611</v>
      </c>
      <c r="L105" s="35"/>
      <c r="M105" s="66"/>
      <c r="N105" s="66"/>
      <c r="O105" s="66"/>
      <c r="P105" s="66"/>
      <c r="Q105" s="66"/>
      <c r="R105" s="67"/>
      <c r="S105" s="67"/>
      <c r="T105" s="67"/>
      <c r="U105" s="66"/>
      <c r="V105" s="66"/>
      <c r="W105" s="66"/>
      <c r="X105" s="85"/>
      <c r="Z105" t="str">
        <v>46211/D|BR1/03</v>
      </c>
      <c r="AA105" t="str">
        <v>STM-A40_2010</v>
      </c>
      <c r="AB105" t="str">
        <v>LIM</v>
      </c>
      <c r="AC105" t="str">
        <v>LS_09</v>
      </c>
      <c r="AD105" t="str">
        <v>L9_26</v>
      </c>
      <c r="AE105" t="str">
        <v>003 / 014</v>
      </c>
      <c r="AF105" t="str">
        <v>No</v>
      </c>
      <c r="AG105" t="str">
        <v/>
      </c>
      <c r="AH105" t="str">
        <v/>
      </c>
      <c r="AP105" t="str">
        <v>STM-A40_0095</v>
      </c>
      <c r="AQ105" t="str">
        <v>STM-A40_0096</v>
      </c>
      <c r="AR105" t="str">
        <v>STM-A40_0097</v>
      </c>
      <c r="AS105" t="str">
        <v>STM-A40_0103</v>
      </c>
      <c r="AT105" t="str">
        <v>STM-A40_0131</v>
      </c>
      <c r="AU105" t="str">
        <v>STM-A40_0135</v>
      </c>
      <c r="AV105" t="str">
        <v>STM-A40_2010</v>
      </c>
    </row>
    <row r="106" spans="4:48" ht="15.75" x14ac:dyDescent="0.25">
      <c r="D106" s="3">
        <v>2</v>
      </c>
      <c r="F106" s="16" cm="1">
        <f t="array" ref="F1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06" s="31" cm="1">
        <f t="array" ref="G1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106" s="33" t="str">
        <f>_xlfn.IFNA(IF(MOD(HLG_02[[#This Row],[Rit]],
    _xlfn.XLOOKUP($G$2,Int_Sample[Ore],Int_Sample[Inc])) = 0, "YES", "NO"),"")</f>
        <v>NO</v>
      </c>
      <c r="I106" s="32" t="str">
        <f>TEXT(HLG_02[[#This Row],[Batch]],"000")&amp; " / " &amp; TEXT(HLG_02[[#This Row],[Rit]],"000")</f>
        <v>003 / 012</v>
      </c>
      <c r="J106" s="34" t="s">
        <v>2624</v>
      </c>
      <c r="K106" s="38" t="s">
        <v>2614</v>
      </c>
      <c r="L106" s="35"/>
      <c r="M106" s="66"/>
      <c r="N106" s="66"/>
      <c r="O106" s="66"/>
      <c r="P106" s="66"/>
      <c r="Q106" s="66"/>
      <c r="R106" s="67"/>
      <c r="S106" s="67"/>
      <c r="T106" s="67"/>
      <c r="U106" s="66"/>
      <c r="V106" s="66"/>
      <c r="W106" s="66"/>
      <c r="X106" s="85"/>
      <c r="Z106" t="str">
        <v>46211/D|BR1/03</v>
      </c>
      <c r="AA106" t="str">
        <v>STM-A40_0131</v>
      </c>
      <c r="AB106" t="str">
        <v>LIM</v>
      </c>
      <c r="AC106" t="str">
        <v>LS_09</v>
      </c>
      <c r="AD106" t="str">
        <v>L9_26</v>
      </c>
      <c r="AE106" t="str">
        <v>003 / 015</v>
      </c>
      <c r="AF106" t="str">
        <v>Yes</v>
      </c>
      <c r="AG106" t="str">
        <v/>
      </c>
      <c r="AH106" t="str">
        <v/>
      </c>
      <c r="AP106" t="str">
        <v>STM-A40_0095</v>
      </c>
      <c r="AQ106" t="str">
        <v>STM-A40_0096</v>
      </c>
      <c r="AR106" t="str">
        <v>STM-A40_0097</v>
      </c>
      <c r="AS106" t="str">
        <v>STM-A40_0103</v>
      </c>
      <c r="AT106" t="str">
        <v>STM-A40_0131</v>
      </c>
      <c r="AU106" t="str">
        <v>STM-A40_0135</v>
      </c>
      <c r="AV106" t="str">
        <v>STM-A40_2010</v>
      </c>
    </row>
    <row r="107" spans="4:48" ht="15.75" x14ac:dyDescent="0.25">
      <c r="D107" s="3">
        <v>2</v>
      </c>
      <c r="F107" s="16" cm="1">
        <f t="array" ref="F1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07" s="31" cm="1">
        <f t="array" ref="G1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107" s="33" t="str">
        <f>_xlfn.IFNA(IF(MOD(HLG_02[[#This Row],[Rit]],
    _xlfn.XLOOKUP($G$2,Int_Sample[Ore],Int_Sample[Inc])) = 0, "YES", "NO"),"")</f>
        <v>NO</v>
      </c>
      <c r="I107" s="32" t="str">
        <f>TEXT(HLG_02[[#This Row],[Batch]],"000")&amp; " / " &amp; TEXT(HLG_02[[#This Row],[Rit]],"000")</f>
        <v>003 / 013</v>
      </c>
      <c r="J107" s="34" t="s">
        <v>2624</v>
      </c>
      <c r="K107" s="38" t="s">
        <v>2618</v>
      </c>
      <c r="L107" s="35"/>
      <c r="M107" s="66"/>
      <c r="N107" s="66"/>
      <c r="O107" s="66"/>
      <c r="P107" s="66"/>
      <c r="Q107" s="66"/>
      <c r="R107" s="67"/>
      <c r="S107" s="67"/>
      <c r="T107" s="67"/>
      <c r="U107" s="66"/>
      <c r="V107" s="66"/>
      <c r="W107" s="66"/>
      <c r="X107" s="85"/>
      <c r="Z107" t="str">
        <v>46211/D|BR1/03</v>
      </c>
      <c r="AA107" t="str">
        <v>STM-A40_0095</v>
      </c>
      <c r="AB107" t="str">
        <v>LIM</v>
      </c>
      <c r="AC107" t="str">
        <v>LS_09</v>
      </c>
      <c r="AD107" t="str">
        <v>L9_26</v>
      </c>
      <c r="AE107" t="str">
        <v>003 / 016</v>
      </c>
      <c r="AF107" t="str">
        <v>No</v>
      </c>
      <c r="AG107" t="str">
        <v/>
      </c>
      <c r="AH107" t="str">
        <v/>
      </c>
      <c r="AP107" t="str">
        <v>STM-A40_0095</v>
      </c>
      <c r="AQ107" t="str">
        <v>STM-A40_0096</v>
      </c>
      <c r="AR107" t="str">
        <v>STM-A40_0097</v>
      </c>
      <c r="AS107" t="str">
        <v>STM-A40_0103</v>
      </c>
      <c r="AT107" t="str">
        <v>STM-A40_0131</v>
      </c>
      <c r="AU107" t="str">
        <v>STM-A40_0135</v>
      </c>
      <c r="AV107" t="str">
        <v>STM-A40_2010</v>
      </c>
    </row>
    <row r="108" spans="4:48" ht="15.75" x14ac:dyDescent="0.25">
      <c r="D108" s="3">
        <v>2</v>
      </c>
      <c r="F108" s="16" cm="1">
        <f t="array" ref="F1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08" s="31" cm="1">
        <f t="array" ref="G1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108" s="33" t="str">
        <f>_xlfn.IFNA(IF(MOD(HLG_02[[#This Row],[Rit]],
    _xlfn.XLOOKUP($G$2,Int_Sample[Ore],Int_Sample[Inc])) = 0, "YES", "NO"),"")</f>
        <v>NO</v>
      </c>
      <c r="I108" s="32" t="str">
        <f>TEXT(HLG_02[[#This Row],[Batch]],"000")&amp; " / " &amp; TEXT(HLG_02[[#This Row],[Rit]],"000")</f>
        <v>003 / 014</v>
      </c>
      <c r="J108" s="34" t="s">
        <v>2624</v>
      </c>
      <c r="K108" s="38" t="s">
        <v>2619</v>
      </c>
      <c r="L108" s="35"/>
      <c r="M108" s="66"/>
      <c r="N108" s="66"/>
      <c r="O108" s="66"/>
      <c r="P108" s="66"/>
      <c r="Q108" s="66"/>
      <c r="R108" s="67"/>
      <c r="S108" s="67"/>
      <c r="T108" s="67"/>
      <c r="U108" s="66"/>
      <c r="V108" s="66"/>
      <c r="W108" s="66"/>
      <c r="X108" s="85"/>
      <c r="Z108" t="str">
        <v>46211/D|BR1/03</v>
      </c>
      <c r="AA108" t="str">
        <v>STM-A40_0103</v>
      </c>
      <c r="AB108" t="str">
        <v>LIM</v>
      </c>
      <c r="AC108" t="str">
        <v>LS_09</v>
      </c>
      <c r="AD108" t="str">
        <v>L9_26</v>
      </c>
      <c r="AE108" t="str">
        <v>003 / 017</v>
      </c>
      <c r="AF108" t="str">
        <v>No</v>
      </c>
      <c r="AG108" t="str">
        <v/>
      </c>
      <c r="AH108" t="str">
        <v/>
      </c>
      <c r="AP108" t="str">
        <v>STM-A40_0095</v>
      </c>
      <c r="AQ108" t="str">
        <v>STM-A40_0096</v>
      </c>
      <c r="AR108" t="str">
        <v>STM-A40_0097</v>
      </c>
      <c r="AS108" t="str">
        <v>STM-A40_0103</v>
      </c>
      <c r="AT108" t="str">
        <v>STM-A40_0131</v>
      </c>
      <c r="AU108" t="str">
        <v>STM-A40_0135</v>
      </c>
      <c r="AV108" t="str">
        <v>STM-A40_2010</v>
      </c>
    </row>
    <row r="109" spans="4:48" ht="15.75" x14ac:dyDescent="0.25">
      <c r="D109" s="3">
        <v>2</v>
      </c>
      <c r="F109" s="16" cm="1">
        <f t="array" ref="F1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09" s="31" cm="1">
        <f t="array" ref="G1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109" s="33" t="str">
        <f>_xlfn.IFNA(IF(MOD(HLG_02[[#This Row],[Rit]],
    _xlfn.XLOOKUP($G$2,Int_Sample[Ore],Int_Sample[Inc])) = 0, "YES", "NO"),"")</f>
        <v>YES</v>
      </c>
      <c r="I109" s="32" t="str">
        <f>TEXT(HLG_02[[#This Row],[Batch]],"000")&amp; " / " &amp; TEXT(HLG_02[[#This Row],[Rit]],"000")</f>
        <v>003 / 015</v>
      </c>
      <c r="J109" s="34" t="s">
        <v>2624</v>
      </c>
      <c r="K109" s="38" t="s">
        <v>2616</v>
      </c>
      <c r="L109" s="35"/>
      <c r="M109" s="66"/>
      <c r="N109" s="66"/>
      <c r="O109" s="66"/>
      <c r="P109" s="66"/>
      <c r="Q109" s="66"/>
      <c r="R109" s="67"/>
      <c r="S109" s="67"/>
      <c r="T109" s="67"/>
      <c r="U109" s="66"/>
      <c r="V109" s="66"/>
      <c r="W109" s="66"/>
      <c r="X109" s="85"/>
      <c r="Z109" t="str">
        <v>46211/D|BR1/03</v>
      </c>
      <c r="AA109" t="str">
        <v>STM-A40_0096</v>
      </c>
      <c r="AB109" t="str">
        <v>LIM</v>
      </c>
      <c r="AC109" t="str">
        <v>LS_09</v>
      </c>
      <c r="AD109" t="str">
        <v>L9_26</v>
      </c>
      <c r="AE109" t="str">
        <v>003 / 018</v>
      </c>
      <c r="AF109" t="str">
        <v>No</v>
      </c>
      <c r="AG109" t="str">
        <v/>
      </c>
      <c r="AH109" t="str">
        <v/>
      </c>
      <c r="AP109" t="str">
        <v>STM-A40_0095</v>
      </c>
      <c r="AQ109" t="str">
        <v>STM-A40_0096</v>
      </c>
      <c r="AR109" t="str">
        <v>STM-A40_0097</v>
      </c>
      <c r="AS109" t="str">
        <v>STM-A40_0103</v>
      </c>
      <c r="AT109" t="str">
        <v>STM-A40_0131</v>
      </c>
      <c r="AU109" t="str">
        <v>STM-A40_0135</v>
      </c>
      <c r="AV109" t="str">
        <v>STM-A40_2010</v>
      </c>
    </row>
    <row r="110" spans="4:48" ht="15.75" x14ac:dyDescent="0.25">
      <c r="D110" s="3">
        <v>2</v>
      </c>
      <c r="F110" s="16" cm="1">
        <f t="array" ref="F1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10" s="31" cm="1">
        <f t="array" ref="G1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110" s="33" t="str">
        <f>_xlfn.IFNA(IF(MOD(HLG_02[[#This Row],[Rit]],
    _xlfn.XLOOKUP($G$2,Int_Sample[Ore],Int_Sample[Inc])) = 0, "YES", "NO"),"")</f>
        <v>NO</v>
      </c>
      <c r="I110" s="32" t="str">
        <f>TEXT(HLG_02[[#This Row],[Batch]],"000")&amp; " / " &amp; TEXT(HLG_02[[#This Row],[Rit]],"000")</f>
        <v>003 / 016</v>
      </c>
      <c r="J110" s="34" t="s">
        <v>2624</v>
      </c>
      <c r="K110" s="38" t="s">
        <v>2615</v>
      </c>
      <c r="L110" s="35"/>
      <c r="M110" s="66"/>
      <c r="N110" s="66"/>
      <c r="O110" s="66"/>
      <c r="P110" s="66"/>
      <c r="Q110" s="66"/>
      <c r="R110" s="67"/>
      <c r="S110" s="67"/>
      <c r="T110" s="67"/>
      <c r="U110" s="66"/>
      <c r="V110" s="66"/>
      <c r="W110" s="66"/>
      <c r="X110" s="85"/>
      <c r="Z110" t="str">
        <v>46211/D|BR1/03</v>
      </c>
      <c r="AA110" t="str">
        <v>STM-A40_2010</v>
      </c>
      <c r="AB110" t="str">
        <v>LIM</v>
      </c>
      <c r="AC110" t="str">
        <v>LS_09</v>
      </c>
      <c r="AD110" t="str">
        <v>L9_26</v>
      </c>
      <c r="AE110" t="str">
        <v>003 / 019</v>
      </c>
      <c r="AF110" t="str">
        <v>No</v>
      </c>
      <c r="AG110" t="str">
        <v/>
      </c>
      <c r="AH110" t="str">
        <v/>
      </c>
      <c r="AP110" t="str">
        <v>STM-A40_0095</v>
      </c>
      <c r="AQ110" t="str">
        <v>STM-A40_0096</v>
      </c>
      <c r="AR110" t="str">
        <v>STM-A40_0097</v>
      </c>
      <c r="AS110" t="str">
        <v>STM-A40_0103</v>
      </c>
      <c r="AT110" t="str">
        <v>STM-A40_0131</v>
      </c>
      <c r="AU110" t="str">
        <v>STM-A40_0135</v>
      </c>
      <c r="AV110" t="str">
        <v>STM-A40_2010</v>
      </c>
    </row>
    <row r="111" spans="4:48" ht="15.75" x14ac:dyDescent="0.25">
      <c r="D111" s="3">
        <v>2</v>
      </c>
      <c r="F111" s="16" cm="1">
        <f t="array" ref="F1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11" s="31" cm="1">
        <f t="array" ref="G1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111" s="33" t="str">
        <f>_xlfn.IFNA(IF(MOD(HLG_02[[#This Row],[Rit]],
    _xlfn.XLOOKUP($G$2,Int_Sample[Ore],Int_Sample[Inc])) = 0, "YES", "NO"),"")</f>
        <v>NO</v>
      </c>
      <c r="I111" s="32" t="str">
        <f>TEXT(HLG_02[[#This Row],[Batch]],"000")&amp; " / " &amp; TEXT(HLG_02[[#This Row],[Rit]],"000")</f>
        <v>003 / 017</v>
      </c>
      <c r="J111" s="34" t="s">
        <v>2624</v>
      </c>
      <c r="K111" s="38" t="s">
        <v>2618</v>
      </c>
      <c r="L111" s="35"/>
      <c r="M111" s="66"/>
      <c r="N111" s="66"/>
      <c r="O111" s="66"/>
      <c r="P111" s="66"/>
      <c r="Q111" s="66"/>
      <c r="R111" s="67"/>
      <c r="S111" s="67"/>
      <c r="T111" s="67"/>
      <c r="U111" s="66"/>
      <c r="V111" s="66"/>
      <c r="W111" s="66"/>
      <c r="X111" s="85"/>
      <c r="Z111" t="str">
        <v>46211/D|BR1/03</v>
      </c>
      <c r="AA111" t="str">
        <v>STM-A40_0131</v>
      </c>
      <c r="AB111" t="str">
        <v>LIM</v>
      </c>
      <c r="AC111" t="str">
        <v>LS_09</v>
      </c>
      <c r="AD111" t="str">
        <v>L9_26</v>
      </c>
      <c r="AE111" t="str">
        <v>003 / 020</v>
      </c>
      <c r="AF111" t="str">
        <v>Yes</v>
      </c>
      <c r="AG111" t="str">
        <v/>
      </c>
      <c r="AH111" t="str">
        <v/>
      </c>
      <c r="AP111" t="str">
        <v>STM-A40_0095</v>
      </c>
      <c r="AQ111" t="str">
        <v>STM-A40_0096</v>
      </c>
      <c r="AR111" t="str">
        <v>STM-A40_0097</v>
      </c>
      <c r="AS111" t="str">
        <v>STM-A40_0103</v>
      </c>
      <c r="AT111" t="str">
        <v>STM-A40_0131</v>
      </c>
      <c r="AU111" t="str">
        <v>STM-A40_0135</v>
      </c>
      <c r="AV111" t="str">
        <v>STM-A40_2010</v>
      </c>
    </row>
    <row r="112" spans="4:48" ht="15.75" x14ac:dyDescent="0.25">
      <c r="D112" s="3">
        <v>2</v>
      </c>
      <c r="F112" s="16" cm="1">
        <f t="array" ref="F1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12" s="31" cm="1">
        <f t="array" ref="G1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112" s="33" t="str">
        <f>_xlfn.IFNA(IF(MOD(HLG_02[[#This Row],[Rit]],
    _xlfn.XLOOKUP($G$2,Int_Sample[Ore],Int_Sample[Inc])) = 0, "YES", "NO"),"")</f>
        <v>NO</v>
      </c>
      <c r="I112" s="32" t="str">
        <f>TEXT(HLG_02[[#This Row],[Batch]],"000")&amp; " / " &amp; TEXT(HLG_02[[#This Row],[Rit]],"000")</f>
        <v>003 / 018</v>
      </c>
      <c r="J112" s="34" t="s">
        <v>2624</v>
      </c>
      <c r="K112" s="38" t="s">
        <v>2614</v>
      </c>
      <c r="L112" s="35"/>
      <c r="M112" s="66"/>
      <c r="N112" s="66"/>
      <c r="O112" s="66"/>
      <c r="P112" s="66"/>
      <c r="Q112" s="66"/>
      <c r="R112" s="67"/>
      <c r="S112" s="67"/>
      <c r="T112" s="67"/>
      <c r="U112" s="66"/>
      <c r="V112" s="66"/>
      <c r="W112" s="66"/>
      <c r="X112" s="85"/>
      <c r="Z112" t="str">
        <v>46211/D|BR1/03</v>
      </c>
      <c r="AA112" t="str">
        <v>STM-A40_0097</v>
      </c>
      <c r="AB112" t="str">
        <v>LIM</v>
      </c>
      <c r="AC112" t="str">
        <v>LS_09</v>
      </c>
      <c r="AD112" t="str">
        <v>L9_26</v>
      </c>
      <c r="AE112" t="str">
        <v>003 / 021</v>
      </c>
      <c r="AF112" t="str">
        <v>No</v>
      </c>
      <c r="AG112" t="str">
        <v/>
      </c>
      <c r="AH112" t="str">
        <v/>
      </c>
      <c r="AP112" t="str">
        <v>STM-A40_0095</v>
      </c>
      <c r="AQ112" t="str">
        <v>STM-A40_0096</v>
      </c>
      <c r="AR112" t="str">
        <v>STM-A40_0097</v>
      </c>
      <c r="AS112" t="str">
        <v>STM-A40_0103</v>
      </c>
      <c r="AT112" t="str">
        <v>STM-A40_0131</v>
      </c>
      <c r="AU112" t="str">
        <v>STM-A40_0135</v>
      </c>
      <c r="AV112" t="str">
        <v>STM-A40_2010</v>
      </c>
    </row>
    <row r="113" spans="4:48" ht="15.75" x14ac:dyDescent="0.25">
      <c r="D113" s="3">
        <v>2</v>
      </c>
      <c r="F113" s="16" cm="1">
        <f t="array" ref="F1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13" s="31" cm="1">
        <f t="array" ref="G1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113" s="33" t="str">
        <f>_xlfn.IFNA(IF(MOD(HLG_02[[#This Row],[Rit]],
    _xlfn.XLOOKUP($G$2,Int_Sample[Ore],Int_Sample[Inc])) = 0, "YES", "NO"),"")</f>
        <v>NO</v>
      </c>
      <c r="I113" s="32" t="str">
        <f>TEXT(HLG_02[[#This Row],[Batch]],"000")&amp; " / " &amp; TEXT(HLG_02[[#This Row],[Rit]],"000")</f>
        <v>003 / 019</v>
      </c>
      <c r="J113" s="34" t="s">
        <v>2624</v>
      </c>
      <c r="K113" s="38" t="s">
        <v>2619</v>
      </c>
      <c r="L113" s="35"/>
      <c r="M113" s="66"/>
      <c r="N113" s="66"/>
      <c r="O113" s="66"/>
      <c r="P113" s="66"/>
      <c r="Q113" s="66"/>
      <c r="R113" s="67"/>
      <c r="S113" s="67"/>
      <c r="T113" s="67"/>
      <c r="U113" s="66"/>
      <c r="V113" s="66"/>
      <c r="W113" s="66"/>
      <c r="X113" s="85"/>
      <c r="Z113" t="str">
        <v>46211/D|BR1/03</v>
      </c>
      <c r="AA113" t="str">
        <v>STM-A40_0103</v>
      </c>
      <c r="AB113" t="str">
        <v>LIM</v>
      </c>
      <c r="AC113" t="str">
        <v>LS_09</v>
      </c>
      <c r="AD113" t="str">
        <v>L9_26</v>
      </c>
      <c r="AE113" t="str">
        <v>003 / 022</v>
      </c>
      <c r="AF113" t="str">
        <v>No</v>
      </c>
      <c r="AG113" t="str">
        <v/>
      </c>
      <c r="AH113" t="str">
        <v/>
      </c>
      <c r="AP113" t="str">
        <v>STM-A40_0095</v>
      </c>
      <c r="AQ113" t="str">
        <v>STM-A40_0096</v>
      </c>
      <c r="AR113" t="str">
        <v>STM-A40_0097</v>
      </c>
      <c r="AS113" t="str">
        <v>STM-A40_0103</v>
      </c>
      <c r="AT113" t="str">
        <v>STM-A40_0131</v>
      </c>
      <c r="AU113" t="str">
        <v>STM-A40_0135</v>
      </c>
      <c r="AV113" t="str">
        <v>STM-A40_2010</v>
      </c>
    </row>
    <row r="114" spans="4:48" ht="15.75" x14ac:dyDescent="0.25">
      <c r="D114" s="3">
        <v>2</v>
      </c>
      <c r="F114" s="16" cm="1">
        <f t="array" ref="F1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14" s="31" cm="1">
        <f t="array" ref="G1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114" s="33" t="str">
        <f>_xlfn.IFNA(IF(MOD(HLG_02[[#This Row],[Rit]],
    _xlfn.XLOOKUP($G$2,Int_Sample[Ore],Int_Sample[Inc])) = 0, "YES", "NO"),"")</f>
        <v>YES</v>
      </c>
      <c r="I114" s="32" t="str">
        <f>TEXT(HLG_02[[#This Row],[Batch]],"000")&amp; " / " &amp; TEXT(HLG_02[[#This Row],[Rit]],"000")</f>
        <v>003 / 020</v>
      </c>
      <c r="J114" s="34" t="s">
        <v>2624</v>
      </c>
      <c r="K114" s="38" t="s">
        <v>2616</v>
      </c>
      <c r="L114" s="35"/>
      <c r="M114" s="66"/>
      <c r="N114" s="66"/>
      <c r="O114" s="66"/>
      <c r="P114" s="66"/>
      <c r="Q114" s="66"/>
      <c r="R114" s="67"/>
      <c r="S114" s="67"/>
      <c r="T114" s="67"/>
      <c r="U114" s="66"/>
      <c r="V114" s="66"/>
      <c r="W114" s="66"/>
      <c r="X114" s="85"/>
      <c r="Z114" t="str">
        <v>46211/D|BR1/03</v>
      </c>
      <c r="AA114" t="str">
        <v>STM-A40_0135</v>
      </c>
      <c r="AB114" t="str">
        <v>LIM</v>
      </c>
      <c r="AC114" t="str">
        <v>LS_09</v>
      </c>
      <c r="AD114" t="str">
        <v>L9_26</v>
      </c>
      <c r="AE114" t="str">
        <v>003 / 023</v>
      </c>
      <c r="AF114" t="str">
        <v>No</v>
      </c>
      <c r="AG114" t="str">
        <v/>
      </c>
      <c r="AH114" t="str">
        <v/>
      </c>
      <c r="AP114" t="str">
        <v>STM-A40_0095</v>
      </c>
      <c r="AQ114" t="str">
        <v>STM-A40_0096</v>
      </c>
      <c r="AR114" t="str">
        <v>STM-A40_0097</v>
      </c>
      <c r="AS114" t="str">
        <v>STM-A40_0103</v>
      </c>
      <c r="AT114" t="str">
        <v>STM-A40_0131</v>
      </c>
      <c r="AU114" t="str">
        <v>STM-A40_0135</v>
      </c>
      <c r="AV114" t="str">
        <v>STM-A40_2010</v>
      </c>
    </row>
    <row r="115" spans="4:48" ht="15.75" x14ac:dyDescent="0.25">
      <c r="D115" s="3">
        <v>2</v>
      </c>
      <c r="F115" s="16" cm="1">
        <f t="array" ref="F1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15" s="31" cm="1">
        <f t="array" ref="G1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21</v>
      </c>
      <c r="H115" s="33" t="str">
        <f>_xlfn.IFNA(IF(MOD(HLG_02[[#This Row],[Rit]],
    _xlfn.XLOOKUP($G$2,Int_Sample[Ore],Int_Sample[Inc])) = 0, "YES", "NO"),"")</f>
        <v>NO</v>
      </c>
      <c r="I115" s="32" t="str">
        <f>TEXT(HLG_02[[#This Row],[Batch]],"000")&amp; " / " &amp; TEXT(HLG_02[[#This Row],[Rit]],"000")</f>
        <v>003 / 021</v>
      </c>
      <c r="J115" s="34" t="s">
        <v>2624</v>
      </c>
      <c r="K115" s="38" t="s">
        <v>2611</v>
      </c>
      <c r="L115" s="35"/>
      <c r="M115" s="66"/>
      <c r="N115" s="66"/>
      <c r="O115" s="66"/>
      <c r="P115" s="66"/>
      <c r="Q115" s="66"/>
      <c r="R115" s="67"/>
      <c r="S115" s="67"/>
      <c r="T115" s="67"/>
      <c r="U115" s="66"/>
      <c r="V115" s="66"/>
      <c r="W115" s="66"/>
      <c r="X115" s="85"/>
      <c r="Z115" t="str">
        <v>46211/D|BR1/03</v>
      </c>
      <c r="AA115" t="str">
        <v>STM-A40_0131</v>
      </c>
      <c r="AB115" t="str">
        <v>LIM</v>
      </c>
      <c r="AC115" t="str">
        <v>LS_09</v>
      </c>
      <c r="AD115" t="str">
        <v>L9_26</v>
      </c>
      <c r="AE115" t="str">
        <v>003 / 024</v>
      </c>
      <c r="AF115" t="str">
        <v>No</v>
      </c>
      <c r="AG115" t="str">
        <v/>
      </c>
      <c r="AH115" t="str">
        <v/>
      </c>
      <c r="AP115" t="str">
        <v>STM-A40_0095</v>
      </c>
      <c r="AQ115" t="str">
        <v>STM-A40_0096</v>
      </c>
      <c r="AR115" t="str">
        <v>STM-A40_0097</v>
      </c>
      <c r="AS115" t="str">
        <v>STM-A40_0103</v>
      </c>
      <c r="AT115" t="str">
        <v>STM-A40_0131</v>
      </c>
      <c r="AU115" t="str">
        <v>STM-A40_0135</v>
      </c>
      <c r="AV115" t="str">
        <v>STM-A40_2010</v>
      </c>
    </row>
    <row r="116" spans="4:48" ht="15.75" x14ac:dyDescent="0.25">
      <c r="D116" s="3">
        <v>2</v>
      </c>
      <c r="F116" s="16" cm="1">
        <f t="array" ref="F1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16" s="31" cm="1">
        <f t="array" ref="G1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22</v>
      </c>
      <c r="H116" s="33" t="str">
        <f>_xlfn.IFNA(IF(MOD(HLG_02[[#This Row],[Rit]],
    _xlfn.XLOOKUP($G$2,Int_Sample[Ore],Int_Sample[Inc])) = 0, "YES", "NO"),"")</f>
        <v>NO</v>
      </c>
      <c r="I116" s="32" t="str">
        <f>TEXT(HLG_02[[#This Row],[Batch]],"000")&amp; " / " &amp; TEXT(HLG_02[[#This Row],[Rit]],"000")</f>
        <v>003 / 022</v>
      </c>
      <c r="J116" s="34" t="s">
        <v>2624</v>
      </c>
      <c r="K116" s="38" t="s">
        <v>2618</v>
      </c>
      <c r="L116" s="35"/>
      <c r="M116" s="66"/>
      <c r="N116" s="66"/>
      <c r="O116" s="66"/>
      <c r="P116" s="66"/>
      <c r="Q116" s="66"/>
      <c r="R116" s="67"/>
      <c r="S116" s="67"/>
      <c r="T116" s="67"/>
      <c r="U116" s="66"/>
      <c r="V116" s="66"/>
      <c r="W116" s="66"/>
      <c r="X116" s="85"/>
      <c r="Z116" t="str">
        <v>46211/D|BR1/03</v>
      </c>
      <c r="AA116" t="str">
        <v>STM-A40_2010</v>
      </c>
      <c r="AB116" t="str">
        <v>LIM</v>
      </c>
      <c r="AC116" t="str">
        <v>LS_09</v>
      </c>
      <c r="AD116" t="str">
        <v>L9_26</v>
      </c>
      <c r="AE116" t="str">
        <v>003 / 025</v>
      </c>
      <c r="AF116" t="str">
        <v>Yes</v>
      </c>
      <c r="AG116" t="str">
        <v/>
      </c>
      <c r="AH116" t="str">
        <v/>
      </c>
      <c r="AP116" t="str">
        <v>STM-A40_0095</v>
      </c>
      <c r="AQ116" t="str">
        <v>STM-A40_0096</v>
      </c>
      <c r="AR116" t="str">
        <v>STM-A40_0097</v>
      </c>
      <c r="AS116" t="str">
        <v>STM-A40_0103</v>
      </c>
      <c r="AT116" t="str">
        <v>STM-A40_0131</v>
      </c>
      <c r="AU116" t="str">
        <v>STM-A40_0135</v>
      </c>
      <c r="AV116" t="str">
        <v>STM-A40_2010</v>
      </c>
    </row>
    <row r="117" spans="4:48" ht="15.75" x14ac:dyDescent="0.25">
      <c r="D117" s="3">
        <v>2</v>
      </c>
      <c r="F117" s="16" cm="1">
        <f t="array" ref="F1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17" s="31" cm="1">
        <f t="array" ref="G1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23</v>
      </c>
      <c r="H117" s="33" t="str">
        <f>_xlfn.IFNA(IF(MOD(HLG_02[[#This Row],[Rit]],
    _xlfn.XLOOKUP($G$2,Int_Sample[Ore],Int_Sample[Inc])) = 0, "YES", "NO"),"")</f>
        <v>NO</v>
      </c>
      <c r="I117" s="32" t="str">
        <f>TEXT(HLG_02[[#This Row],[Batch]],"000")&amp; " / " &amp; TEXT(HLG_02[[#This Row],[Rit]],"000")</f>
        <v>003 / 023</v>
      </c>
      <c r="J117" s="34" t="s">
        <v>2624</v>
      </c>
      <c r="K117" s="38" t="s">
        <v>2617</v>
      </c>
      <c r="L117" s="35"/>
      <c r="M117" s="66"/>
      <c r="N117" s="66"/>
      <c r="O117" s="66"/>
      <c r="P117" s="66"/>
      <c r="Q117" s="66"/>
      <c r="R117" s="67"/>
      <c r="S117" s="67"/>
      <c r="T117" s="67"/>
      <c r="U117" s="66"/>
      <c r="V117" s="66"/>
      <c r="W117" s="66"/>
      <c r="X117" s="85"/>
      <c r="Z117" t="str">
        <v>46211/D|BR1/03</v>
      </c>
      <c r="AA117" t="str">
        <v>STM-A40_0097</v>
      </c>
      <c r="AB117" t="str">
        <v>LIM</v>
      </c>
      <c r="AC117" t="str">
        <v>LS_09</v>
      </c>
      <c r="AD117" t="str">
        <v>L9_26</v>
      </c>
      <c r="AE117" t="str">
        <v>003 / 026</v>
      </c>
      <c r="AF117" t="str">
        <v>No</v>
      </c>
      <c r="AG117" t="str">
        <v/>
      </c>
      <c r="AH117" t="str">
        <v/>
      </c>
      <c r="AP117" t="str">
        <v>STM-A40_0095</v>
      </c>
      <c r="AQ117" t="str">
        <v>STM-A40_0096</v>
      </c>
      <c r="AR117" t="str">
        <v>STM-A40_0097</v>
      </c>
      <c r="AS117" t="str">
        <v>STM-A40_0103</v>
      </c>
      <c r="AT117" t="str">
        <v>STM-A40_0131</v>
      </c>
      <c r="AU117" t="str">
        <v>STM-A40_0135</v>
      </c>
      <c r="AV117" t="str">
        <v>STM-A40_2010</v>
      </c>
    </row>
    <row r="118" spans="4:48" ht="15.75" x14ac:dyDescent="0.25">
      <c r="D118" s="3">
        <v>2</v>
      </c>
      <c r="F118" s="16" cm="1">
        <f t="array" ref="F1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18" s="31" cm="1">
        <f t="array" ref="G1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24</v>
      </c>
      <c r="H118" s="33" t="str">
        <f>_xlfn.IFNA(IF(MOD(HLG_02[[#This Row],[Rit]],
    _xlfn.XLOOKUP($G$2,Int_Sample[Ore],Int_Sample[Inc])) = 0, "YES", "NO"),"")</f>
        <v>NO</v>
      </c>
      <c r="I118" s="32" t="str">
        <f>TEXT(HLG_02[[#This Row],[Batch]],"000")&amp; " / " &amp; TEXT(HLG_02[[#This Row],[Rit]],"000")</f>
        <v>003 / 024</v>
      </c>
      <c r="J118" s="34" t="s">
        <v>2624</v>
      </c>
      <c r="K118" s="38" t="s">
        <v>2616</v>
      </c>
      <c r="L118" s="35"/>
      <c r="M118" s="66"/>
      <c r="N118" s="66"/>
      <c r="O118" s="66"/>
      <c r="P118" s="66"/>
      <c r="Q118" s="66"/>
      <c r="R118" s="67"/>
      <c r="S118" s="67"/>
      <c r="T118" s="67"/>
      <c r="U118" s="66"/>
      <c r="V118" s="66"/>
      <c r="W118" s="66"/>
      <c r="X118" s="85"/>
      <c r="Z118" t="str">
        <v>46211/D|BR1/03</v>
      </c>
      <c r="AA118" t="str">
        <v>STM-A40_0103</v>
      </c>
      <c r="AB118" t="str">
        <v>LIM</v>
      </c>
      <c r="AC118" t="str">
        <v>LS_09</v>
      </c>
      <c r="AD118" t="str">
        <v>L9_26</v>
      </c>
      <c r="AE118" t="str">
        <v>003 / 027</v>
      </c>
      <c r="AF118" t="str">
        <v>No</v>
      </c>
      <c r="AG118" t="str">
        <v/>
      </c>
      <c r="AH118" t="str">
        <v/>
      </c>
      <c r="AP118" t="str">
        <v>STM-A40_0095</v>
      </c>
      <c r="AQ118" t="str">
        <v>STM-A40_0096</v>
      </c>
      <c r="AR118" t="str">
        <v>STM-A40_0097</v>
      </c>
      <c r="AS118" t="str">
        <v>STM-A40_0103</v>
      </c>
      <c r="AT118" t="str">
        <v>STM-A40_0131</v>
      </c>
      <c r="AU118" t="str">
        <v>STM-A40_0135</v>
      </c>
      <c r="AV118" t="str">
        <v>STM-A40_2010</v>
      </c>
    </row>
    <row r="119" spans="4:48" ht="15.75" x14ac:dyDescent="0.25">
      <c r="D119" s="3">
        <v>2</v>
      </c>
      <c r="F119" s="16" cm="1">
        <f t="array" ref="F1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19" s="31" cm="1">
        <f t="array" ref="G1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25</v>
      </c>
      <c r="H119" s="33" t="str">
        <f>_xlfn.IFNA(IF(MOD(HLG_02[[#This Row],[Rit]],
    _xlfn.XLOOKUP($G$2,Int_Sample[Ore],Int_Sample[Inc])) = 0, "YES", "NO"),"")</f>
        <v>YES</v>
      </c>
      <c r="I119" s="32" t="str">
        <f>TEXT(HLG_02[[#This Row],[Batch]],"000")&amp; " / " &amp; TEXT(HLG_02[[#This Row],[Rit]],"000")</f>
        <v>003 / 025</v>
      </c>
      <c r="J119" s="34" t="s">
        <v>2624</v>
      </c>
      <c r="K119" s="38" t="s">
        <v>2619</v>
      </c>
      <c r="L119" s="35"/>
      <c r="M119" s="66"/>
      <c r="N119" s="66"/>
      <c r="O119" s="66"/>
      <c r="P119" s="66"/>
      <c r="Q119" s="66"/>
      <c r="R119" s="67"/>
      <c r="S119" s="67"/>
      <c r="T119" s="67"/>
      <c r="U119" s="66"/>
      <c r="V119" s="66"/>
      <c r="W119" s="66"/>
      <c r="X119" s="85"/>
      <c r="Z119" t="str">
        <v>46211/D|BR1/03</v>
      </c>
      <c r="AA119" t="str">
        <v>STM-A40_0135</v>
      </c>
      <c r="AB119" t="str">
        <v>LIM</v>
      </c>
      <c r="AC119" t="str">
        <v>LS_09</v>
      </c>
      <c r="AD119" t="str">
        <v>L9_26</v>
      </c>
      <c r="AE119" t="str">
        <v>003 / 028</v>
      </c>
      <c r="AF119" t="str">
        <v>No</v>
      </c>
      <c r="AG119" t="str">
        <v/>
      </c>
      <c r="AH119" t="str">
        <v/>
      </c>
      <c r="AP119" t="str">
        <v>STM-A40_0095</v>
      </c>
      <c r="AQ119" t="str">
        <v>STM-A40_0096</v>
      </c>
      <c r="AR119" t="str">
        <v>STM-A40_0097</v>
      </c>
      <c r="AS119" t="str">
        <v>STM-A40_0103</v>
      </c>
      <c r="AT119" t="str">
        <v>STM-A40_0131</v>
      </c>
      <c r="AU119" t="str">
        <v>STM-A40_0135</v>
      </c>
      <c r="AV119" t="str">
        <v>STM-A40_2010</v>
      </c>
    </row>
    <row r="120" spans="4:48" ht="15.75" x14ac:dyDescent="0.25">
      <c r="D120" s="3">
        <v>2</v>
      </c>
      <c r="F120" s="16" cm="1">
        <f t="array" ref="F1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20" s="31" cm="1">
        <f t="array" ref="G1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26</v>
      </c>
      <c r="H120" s="33" t="str">
        <f>_xlfn.IFNA(IF(MOD(HLG_02[[#This Row],[Rit]],
    _xlfn.XLOOKUP($G$2,Int_Sample[Ore],Int_Sample[Inc])) = 0, "YES", "NO"),"")</f>
        <v>NO</v>
      </c>
      <c r="I120" s="32" t="str">
        <f>TEXT(HLG_02[[#This Row],[Batch]],"000")&amp; " / " &amp; TEXT(HLG_02[[#This Row],[Rit]],"000")</f>
        <v>003 / 026</v>
      </c>
      <c r="J120" s="34" t="s">
        <v>2624</v>
      </c>
      <c r="K120" s="38" t="s">
        <v>2611</v>
      </c>
      <c r="L120" s="35"/>
      <c r="M120" s="66"/>
      <c r="N120" s="66"/>
      <c r="O120" s="66"/>
      <c r="P120" s="66"/>
      <c r="Q120" s="66"/>
      <c r="R120" s="67"/>
      <c r="S120" s="67"/>
      <c r="T120" s="67"/>
      <c r="U120" s="66"/>
      <c r="V120" s="66"/>
      <c r="W120" s="66"/>
      <c r="X120" s="85"/>
      <c r="Z120" t="str">
        <v>46211/D|BR1/03</v>
      </c>
      <c r="AA120" t="str">
        <v>STM-A40_0131</v>
      </c>
      <c r="AB120" t="str">
        <v>LIM</v>
      </c>
      <c r="AC120" t="str">
        <v>LS_09</v>
      </c>
      <c r="AD120" t="str">
        <v>L9_26</v>
      </c>
      <c r="AE120" t="str">
        <v>003 / 029</v>
      </c>
      <c r="AF120" t="str">
        <v>No</v>
      </c>
      <c r="AG120" t="str">
        <v/>
      </c>
      <c r="AH120" t="str">
        <v/>
      </c>
      <c r="AP120" t="str">
        <v>STM-A40_0095</v>
      </c>
      <c r="AQ120" t="str">
        <v>STM-A40_0096</v>
      </c>
      <c r="AR120" t="str">
        <v>STM-A40_0097</v>
      </c>
      <c r="AS120" t="str">
        <v>STM-A40_0103</v>
      </c>
      <c r="AT120" t="str">
        <v>STM-A40_0131</v>
      </c>
      <c r="AU120" t="str">
        <v>STM-A40_0135</v>
      </c>
      <c r="AV120" t="str">
        <v>STM-A40_2010</v>
      </c>
    </row>
    <row r="121" spans="4:48" ht="15.75" x14ac:dyDescent="0.25">
      <c r="D121" s="3">
        <v>2</v>
      </c>
      <c r="F121" s="16" cm="1">
        <f t="array" ref="F1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21" s="31" cm="1">
        <f t="array" ref="G1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27</v>
      </c>
      <c r="H121" s="33" t="str">
        <f>_xlfn.IFNA(IF(MOD(HLG_02[[#This Row],[Rit]],
    _xlfn.XLOOKUP($G$2,Int_Sample[Ore],Int_Sample[Inc])) = 0, "YES", "NO"),"")</f>
        <v>NO</v>
      </c>
      <c r="I121" s="32" t="str">
        <f>TEXT(HLG_02[[#This Row],[Batch]],"000")&amp; " / " &amp; TEXT(HLG_02[[#This Row],[Rit]],"000")</f>
        <v>003 / 027</v>
      </c>
      <c r="J121" s="34" t="s">
        <v>2624</v>
      </c>
      <c r="K121" s="38" t="s">
        <v>2618</v>
      </c>
      <c r="L121" s="35"/>
      <c r="M121" s="66"/>
      <c r="N121" s="66"/>
      <c r="O121" s="66"/>
      <c r="P121" s="66"/>
      <c r="Q121" s="66"/>
      <c r="R121" s="67"/>
      <c r="S121" s="67"/>
      <c r="T121" s="67"/>
      <c r="U121" s="66"/>
      <c r="V121" s="66"/>
      <c r="W121" s="66"/>
      <c r="X121" s="85"/>
      <c r="Z121" t="str">
        <v>46211/D|BR1/03</v>
      </c>
      <c r="AA121" t="str">
        <v>STM-A40_0103</v>
      </c>
      <c r="AB121" t="str">
        <v>LIM</v>
      </c>
      <c r="AC121" t="str">
        <v>LS_09</v>
      </c>
      <c r="AD121" t="str">
        <v>L9_26</v>
      </c>
      <c r="AE121" t="str">
        <v>003 / 030</v>
      </c>
      <c r="AF121" t="str">
        <v>Yes</v>
      </c>
      <c r="AG121" t="str">
        <v/>
      </c>
      <c r="AH121" t="str">
        <v/>
      </c>
      <c r="AP121" t="str">
        <v>STM-A40_0095</v>
      </c>
      <c r="AQ121" t="str">
        <v>STM-A40_0096</v>
      </c>
      <c r="AR121" t="str">
        <v>STM-A40_0097</v>
      </c>
      <c r="AS121" t="str">
        <v>STM-A40_0103</v>
      </c>
      <c r="AT121" t="str">
        <v>STM-A40_0131</v>
      </c>
      <c r="AU121" t="str">
        <v>STM-A40_0135</v>
      </c>
      <c r="AV121" t="str">
        <v>STM-A40_2010</v>
      </c>
    </row>
    <row r="122" spans="4:48" ht="15.75" x14ac:dyDescent="0.25">
      <c r="D122" s="3">
        <v>2</v>
      </c>
      <c r="F122" s="16" cm="1">
        <f t="array" ref="F1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22" s="31" cm="1">
        <f t="array" ref="G1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28</v>
      </c>
      <c r="H122" s="33" t="str">
        <f>_xlfn.IFNA(IF(MOD(HLG_02[[#This Row],[Rit]],
    _xlfn.XLOOKUP($G$2,Int_Sample[Ore],Int_Sample[Inc])) = 0, "YES", "NO"),"")</f>
        <v>NO</v>
      </c>
      <c r="I122" s="32" t="str">
        <f>TEXT(HLG_02[[#This Row],[Batch]],"000")&amp; " / " &amp; TEXT(HLG_02[[#This Row],[Rit]],"000")</f>
        <v>003 / 028</v>
      </c>
      <c r="J122" s="34" t="s">
        <v>2624</v>
      </c>
      <c r="K122" s="38" t="s">
        <v>2617</v>
      </c>
      <c r="L122" s="35"/>
      <c r="M122" s="66"/>
      <c r="N122" s="66"/>
      <c r="O122" s="66"/>
      <c r="P122" s="66"/>
      <c r="Q122" s="66"/>
      <c r="R122" s="67"/>
      <c r="S122" s="67"/>
      <c r="T122" s="67"/>
      <c r="U122" s="66"/>
      <c r="V122" s="66"/>
      <c r="W122" s="66"/>
      <c r="X122" s="85"/>
      <c r="Z122" t="str">
        <v>46211/D|BR1/03</v>
      </c>
      <c r="AA122" t="str">
        <v>STM-A40_0097</v>
      </c>
      <c r="AB122" t="str">
        <v>LIM</v>
      </c>
      <c r="AC122" t="str">
        <v>LS_09</v>
      </c>
      <c r="AD122" t="str">
        <v>L9_26</v>
      </c>
      <c r="AE122" t="str">
        <v>003 / 031</v>
      </c>
      <c r="AF122" t="str">
        <v>No</v>
      </c>
      <c r="AG122" t="str">
        <v/>
      </c>
      <c r="AH122" t="str">
        <v/>
      </c>
      <c r="AP122" t="str">
        <v>STM-A40_0095</v>
      </c>
      <c r="AQ122" t="str">
        <v>STM-A40_0096</v>
      </c>
      <c r="AR122" t="str">
        <v>STM-A40_0097</v>
      </c>
      <c r="AS122" t="str">
        <v>STM-A40_0103</v>
      </c>
      <c r="AT122" t="str">
        <v>STM-A40_0131</v>
      </c>
      <c r="AU122" t="str">
        <v>STM-A40_0135</v>
      </c>
      <c r="AV122" t="str">
        <v>STM-A40_2010</v>
      </c>
    </row>
    <row r="123" spans="4:48" ht="15.75" x14ac:dyDescent="0.25">
      <c r="D123" s="3">
        <v>2</v>
      </c>
      <c r="F123" s="16" cm="1">
        <f t="array" ref="F1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23" s="31" cm="1">
        <f t="array" ref="G1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29</v>
      </c>
      <c r="H123" s="33" t="str">
        <f>_xlfn.IFNA(IF(MOD(HLG_02[[#This Row],[Rit]],
    _xlfn.XLOOKUP($G$2,Int_Sample[Ore],Int_Sample[Inc])) = 0, "YES", "NO"),"")</f>
        <v>NO</v>
      </c>
      <c r="I123" s="32" t="str">
        <f>TEXT(HLG_02[[#This Row],[Batch]],"000")&amp; " / " &amp; TEXT(HLG_02[[#This Row],[Rit]],"000")</f>
        <v>003 / 029</v>
      </c>
      <c r="J123" s="34" t="s">
        <v>2624</v>
      </c>
      <c r="K123" s="38" t="s">
        <v>2616</v>
      </c>
      <c r="L123" s="35"/>
      <c r="M123" s="66"/>
      <c r="N123" s="66"/>
      <c r="O123" s="66"/>
      <c r="P123" s="66"/>
      <c r="Q123" s="66"/>
      <c r="R123" s="67"/>
      <c r="S123" s="67"/>
      <c r="T123" s="67"/>
      <c r="U123" s="66"/>
      <c r="V123" s="66"/>
      <c r="W123" s="66"/>
      <c r="X123" s="85"/>
      <c r="Z123" t="str">
        <v>46211/D|BR1/03</v>
      </c>
      <c r="AA123" t="str">
        <v>STM-A40_0135</v>
      </c>
      <c r="AB123" t="str">
        <v>LIM</v>
      </c>
      <c r="AC123" t="str">
        <v>LS_09</v>
      </c>
      <c r="AD123" t="str">
        <v>L9_26</v>
      </c>
      <c r="AE123" t="str">
        <v>003 / 032</v>
      </c>
      <c r="AF123" t="str">
        <v>No</v>
      </c>
      <c r="AG123" t="str">
        <v/>
      </c>
      <c r="AH123" t="str">
        <v/>
      </c>
      <c r="AP123" t="str">
        <v>STM-A40_0095</v>
      </c>
      <c r="AQ123" t="str">
        <v>STM-A40_0096</v>
      </c>
      <c r="AR123" t="str">
        <v>STM-A40_0097</v>
      </c>
      <c r="AS123" t="str">
        <v>STM-A40_0103</v>
      </c>
      <c r="AT123" t="str">
        <v>STM-A40_0131</v>
      </c>
      <c r="AU123" t="str">
        <v>STM-A40_0135</v>
      </c>
      <c r="AV123" t="str">
        <v>STM-A40_2010</v>
      </c>
    </row>
    <row r="124" spans="4:48" ht="15.75" x14ac:dyDescent="0.25">
      <c r="D124" s="3">
        <v>2</v>
      </c>
      <c r="F124" s="16" cm="1">
        <f t="array" ref="F1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24" s="31" cm="1">
        <f t="array" ref="G1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30</v>
      </c>
      <c r="H124" s="33" t="str">
        <f>_xlfn.IFNA(IF(MOD(HLG_02[[#This Row],[Rit]],
    _xlfn.XLOOKUP($G$2,Int_Sample[Ore],Int_Sample[Inc])) = 0, "YES", "NO"),"")</f>
        <v>YES</v>
      </c>
      <c r="I124" s="32" t="str">
        <f>TEXT(HLG_02[[#This Row],[Batch]],"000")&amp; " / " &amp; TEXT(HLG_02[[#This Row],[Rit]],"000")</f>
        <v>003 / 030</v>
      </c>
      <c r="J124" s="34" t="s">
        <v>2624</v>
      </c>
      <c r="K124" s="38" t="s">
        <v>2618</v>
      </c>
      <c r="L124" s="35"/>
      <c r="M124" s="66"/>
      <c r="N124" s="66"/>
      <c r="O124" s="66"/>
      <c r="P124" s="66"/>
      <c r="Q124" s="66"/>
      <c r="R124" s="67"/>
      <c r="S124" s="67"/>
      <c r="T124" s="67"/>
      <c r="U124" s="66"/>
      <c r="V124" s="66"/>
      <c r="W124" s="66"/>
      <c r="X124" s="85"/>
      <c r="Z124" t="str">
        <v>46211/D|BR1/03</v>
      </c>
      <c r="AA124" t="str">
        <v>STM-A40_2010</v>
      </c>
      <c r="AB124" t="str">
        <v>LIM</v>
      </c>
      <c r="AC124" t="str">
        <v>LS_09</v>
      </c>
      <c r="AD124" t="str">
        <v>L9_26</v>
      </c>
      <c r="AE124" t="str">
        <v>003 / 033</v>
      </c>
      <c r="AF124" t="str">
        <v>No</v>
      </c>
      <c r="AG124" t="str">
        <v/>
      </c>
      <c r="AH124" t="str">
        <v/>
      </c>
      <c r="AP124" t="str">
        <v>STM-A40_0095</v>
      </c>
      <c r="AQ124" t="str">
        <v>STM-A40_0096</v>
      </c>
      <c r="AR124" t="str">
        <v>STM-A40_0097</v>
      </c>
      <c r="AS124" t="str">
        <v>STM-A40_0103</v>
      </c>
      <c r="AT124" t="str">
        <v>STM-A40_0131</v>
      </c>
      <c r="AU124" t="str">
        <v>STM-A40_0135</v>
      </c>
      <c r="AV124" t="str">
        <v>STM-A40_2010</v>
      </c>
    </row>
    <row r="125" spans="4:48" ht="15.75" x14ac:dyDescent="0.25">
      <c r="D125" s="3">
        <v>2</v>
      </c>
      <c r="F125" s="16" cm="1">
        <f t="array" ref="F1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25" s="31" cm="1">
        <f t="array" ref="G1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31</v>
      </c>
      <c r="H125" s="33" t="str">
        <f>_xlfn.IFNA(IF(MOD(HLG_02[[#This Row],[Rit]],
    _xlfn.XLOOKUP($G$2,Int_Sample[Ore],Int_Sample[Inc])) = 0, "YES", "NO"),"")</f>
        <v>NO</v>
      </c>
      <c r="I125" s="32" t="str">
        <f>TEXT(HLG_02[[#This Row],[Batch]],"000")&amp; " / " &amp; TEXT(HLG_02[[#This Row],[Rit]],"000")</f>
        <v>003 / 031</v>
      </c>
      <c r="J125" s="34" t="s">
        <v>2624</v>
      </c>
      <c r="K125" s="38" t="s">
        <v>2611</v>
      </c>
      <c r="L125" s="35"/>
      <c r="M125" s="66"/>
      <c r="N125" s="66"/>
      <c r="O125" s="66"/>
      <c r="P125" s="66"/>
      <c r="Q125" s="66"/>
      <c r="R125" s="67"/>
      <c r="S125" s="67"/>
      <c r="T125" s="67"/>
      <c r="U125" s="66"/>
      <c r="V125" s="66"/>
      <c r="W125" s="66"/>
      <c r="X125" s="85"/>
      <c r="Z125" t="str">
        <v>46211/D|BR1/03</v>
      </c>
      <c r="AA125" t="str">
        <v>STM-A40_0131</v>
      </c>
      <c r="AB125" t="str">
        <v>LIM</v>
      </c>
      <c r="AC125" t="str">
        <v>LS_09</v>
      </c>
      <c r="AD125" t="str">
        <v>L9_26</v>
      </c>
      <c r="AE125" t="str">
        <v>003 / 034</v>
      </c>
      <c r="AF125" t="str">
        <v>No</v>
      </c>
      <c r="AG125" t="str">
        <v/>
      </c>
      <c r="AH125" t="str">
        <v/>
      </c>
      <c r="AP125" t="str">
        <v>STM-A40_0095</v>
      </c>
      <c r="AQ125" t="str">
        <v>STM-A40_0096</v>
      </c>
      <c r="AR125" t="str">
        <v>STM-A40_0097</v>
      </c>
      <c r="AS125" t="str">
        <v>STM-A40_0103</v>
      </c>
      <c r="AT125" t="str">
        <v>STM-A40_0131</v>
      </c>
      <c r="AU125" t="str">
        <v>STM-A40_0135</v>
      </c>
      <c r="AV125" t="str">
        <v>STM-A40_2010</v>
      </c>
    </row>
    <row r="126" spans="4:48" ht="15.75" x14ac:dyDescent="0.25">
      <c r="D126" s="3">
        <v>2</v>
      </c>
      <c r="F126" s="16" cm="1">
        <f t="array" ref="F1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26" s="31" cm="1">
        <f t="array" ref="G1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32</v>
      </c>
      <c r="H126" s="33" t="str">
        <f>_xlfn.IFNA(IF(MOD(HLG_02[[#This Row],[Rit]],
    _xlfn.XLOOKUP($G$2,Int_Sample[Ore],Int_Sample[Inc])) = 0, "YES", "NO"),"")</f>
        <v>NO</v>
      </c>
      <c r="I126" s="32" t="str">
        <f>TEXT(HLG_02[[#This Row],[Batch]],"000")&amp; " / " &amp; TEXT(HLG_02[[#This Row],[Rit]],"000")</f>
        <v>003 / 032</v>
      </c>
      <c r="J126" s="34" t="s">
        <v>2624</v>
      </c>
      <c r="K126" s="38" t="s">
        <v>2617</v>
      </c>
      <c r="L126" s="35"/>
      <c r="M126" s="66"/>
      <c r="N126" s="66"/>
      <c r="O126" s="66"/>
      <c r="P126" s="66"/>
      <c r="Q126" s="66"/>
      <c r="R126" s="67"/>
      <c r="S126" s="67"/>
      <c r="T126" s="67"/>
      <c r="U126" s="66"/>
      <c r="V126" s="66"/>
      <c r="W126" s="66"/>
      <c r="X126" s="85"/>
      <c r="Z126" t="str">
        <v>46211/D|BR1/03</v>
      </c>
      <c r="AA126" t="str">
        <v>STM-A40_0103</v>
      </c>
      <c r="AB126" t="str">
        <v>LIM</v>
      </c>
      <c r="AC126" t="str">
        <v>LS_09</v>
      </c>
      <c r="AD126" t="str">
        <v>L9_26</v>
      </c>
      <c r="AE126" t="str">
        <v>003 / 035</v>
      </c>
      <c r="AF126" t="str">
        <v>Yes</v>
      </c>
      <c r="AG126" t="str">
        <v/>
      </c>
      <c r="AH126" t="str">
        <v/>
      </c>
      <c r="AP126" t="str">
        <v>STM-A40_0095</v>
      </c>
      <c r="AQ126" t="str">
        <v>STM-A40_0096</v>
      </c>
      <c r="AR126" t="str">
        <v>STM-A40_0097</v>
      </c>
      <c r="AS126" t="str">
        <v>STM-A40_0103</v>
      </c>
      <c r="AT126" t="str">
        <v>STM-A40_0131</v>
      </c>
      <c r="AU126" t="str">
        <v>STM-A40_0135</v>
      </c>
      <c r="AV126" t="str">
        <v>STM-A40_2010</v>
      </c>
    </row>
    <row r="127" spans="4:48" ht="15.75" x14ac:dyDescent="0.25">
      <c r="D127" s="3">
        <v>2</v>
      </c>
      <c r="F127" s="16" cm="1">
        <f t="array" ref="F1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27" s="31" cm="1">
        <f t="array" ref="G1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33</v>
      </c>
      <c r="H127" s="33" t="str">
        <f>_xlfn.IFNA(IF(MOD(HLG_02[[#This Row],[Rit]],
    _xlfn.XLOOKUP($G$2,Int_Sample[Ore],Int_Sample[Inc])) = 0, "YES", "NO"),"")</f>
        <v>NO</v>
      </c>
      <c r="I127" s="32" t="str">
        <f>TEXT(HLG_02[[#This Row],[Batch]],"000")&amp; " / " &amp; TEXT(HLG_02[[#This Row],[Rit]],"000")</f>
        <v>003 / 033</v>
      </c>
      <c r="J127" s="34" t="s">
        <v>2624</v>
      </c>
      <c r="K127" s="38" t="s">
        <v>2619</v>
      </c>
      <c r="L127" s="35"/>
      <c r="M127" s="66"/>
      <c r="N127" s="66"/>
      <c r="O127" s="66"/>
      <c r="P127" s="66"/>
      <c r="Q127" s="66"/>
      <c r="R127" s="67"/>
      <c r="S127" s="67"/>
      <c r="T127" s="67"/>
      <c r="U127" s="66"/>
      <c r="V127" s="66"/>
      <c r="W127" s="66"/>
      <c r="X127" s="85"/>
      <c r="Z127" t="str">
        <v>46211/D|BR1/03</v>
      </c>
      <c r="AA127" t="str">
        <v>STM-A40_0097</v>
      </c>
      <c r="AB127" t="str">
        <v>LIM</v>
      </c>
      <c r="AC127" t="str">
        <v>LS_09</v>
      </c>
      <c r="AD127" t="str">
        <v>L9_26</v>
      </c>
      <c r="AE127" t="str">
        <v>003 / 036</v>
      </c>
      <c r="AF127" t="str">
        <v>No</v>
      </c>
      <c r="AG127" t="str">
        <v/>
      </c>
      <c r="AH127" t="str">
        <v/>
      </c>
      <c r="AP127" t="str">
        <v>STM-A40_0095</v>
      </c>
      <c r="AQ127" t="str">
        <v>STM-A40_0096</v>
      </c>
      <c r="AR127" t="str">
        <v>STM-A40_0097</v>
      </c>
      <c r="AS127" t="str">
        <v>STM-A40_0103</v>
      </c>
      <c r="AT127" t="str">
        <v>STM-A40_0131</v>
      </c>
      <c r="AU127" t="str">
        <v>STM-A40_0135</v>
      </c>
      <c r="AV127" t="str">
        <v>STM-A40_2010</v>
      </c>
    </row>
    <row r="128" spans="4:48" ht="15.75" x14ac:dyDescent="0.25">
      <c r="D128" s="3">
        <v>2</v>
      </c>
      <c r="F128" s="16" cm="1">
        <f t="array" ref="F1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28" s="31" cm="1">
        <f t="array" ref="G1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34</v>
      </c>
      <c r="H128" s="33" t="str">
        <f>_xlfn.IFNA(IF(MOD(HLG_02[[#This Row],[Rit]],
    _xlfn.XLOOKUP($G$2,Int_Sample[Ore],Int_Sample[Inc])) = 0, "YES", "NO"),"")</f>
        <v>NO</v>
      </c>
      <c r="I128" s="32" t="str">
        <f>TEXT(HLG_02[[#This Row],[Batch]],"000")&amp; " / " &amp; TEXT(HLG_02[[#This Row],[Rit]],"000")</f>
        <v>003 / 034</v>
      </c>
      <c r="J128" s="34" t="s">
        <v>2624</v>
      </c>
      <c r="K128" s="38" t="s">
        <v>2616</v>
      </c>
      <c r="L128" s="35"/>
      <c r="M128" s="66"/>
      <c r="N128" s="66"/>
      <c r="O128" s="66"/>
      <c r="P128" s="66"/>
      <c r="Q128" s="66"/>
      <c r="R128" s="67"/>
      <c r="S128" s="67"/>
      <c r="T128" s="67"/>
      <c r="U128" s="66"/>
      <c r="V128" s="66"/>
      <c r="W128" s="66"/>
      <c r="X128" s="85"/>
      <c r="Z128" t="str">
        <v>46211/D|BR1/03</v>
      </c>
      <c r="AA128" t="str">
        <v>STM-A40_0135</v>
      </c>
      <c r="AB128" t="str">
        <v>LIM</v>
      </c>
      <c r="AC128" t="str">
        <v>LS_09</v>
      </c>
      <c r="AD128" t="str">
        <v>L9_26</v>
      </c>
      <c r="AE128" t="str">
        <v>003 / 037</v>
      </c>
      <c r="AF128" t="str">
        <v>No</v>
      </c>
      <c r="AG128" t="str">
        <v/>
      </c>
      <c r="AH128" t="str">
        <v/>
      </c>
      <c r="AP128" t="str">
        <v>STM-A40_0095</v>
      </c>
      <c r="AQ128" t="str">
        <v>STM-A40_0096</v>
      </c>
      <c r="AR128" t="str">
        <v>STM-A40_0097</v>
      </c>
      <c r="AS128" t="str">
        <v>STM-A40_0103</v>
      </c>
      <c r="AT128" t="str">
        <v>STM-A40_0131</v>
      </c>
      <c r="AU128" t="str">
        <v>STM-A40_0135</v>
      </c>
      <c r="AV128" t="str">
        <v>STM-A40_2010</v>
      </c>
    </row>
    <row r="129" spans="4:48" ht="15.75" x14ac:dyDescent="0.25">
      <c r="D129" s="3">
        <v>2</v>
      </c>
      <c r="F129" s="16" cm="1">
        <f t="array" ref="F1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29" s="31" cm="1">
        <f t="array" ref="G1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35</v>
      </c>
      <c r="H129" s="33" t="str">
        <f>_xlfn.IFNA(IF(MOD(HLG_02[[#This Row],[Rit]],
    _xlfn.XLOOKUP($G$2,Int_Sample[Ore],Int_Sample[Inc])) = 0, "YES", "NO"),"")</f>
        <v>YES</v>
      </c>
      <c r="I129" s="32" t="str">
        <f>TEXT(HLG_02[[#This Row],[Batch]],"000")&amp; " / " &amp; TEXT(HLG_02[[#This Row],[Rit]],"000")</f>
        <v>003 / 035</v>
      </c>
      <c r="J129" s="34" t="s">
        <v>2624</v>
      </c>
      <c r="K129" s="38" t="s">
        <v>2618</v>
      </c>
      <c r="L129" s="35"/>
      <c r="M129" s="66"/>
      <c r="N129" s="66"/>
      <c r="O129" s="66"/>
      <c r="P129" s="66"/>
      <c r="Q129" s="66"/>
      <c r="R129" s="67"/>
      <c r="S129" s="67"/>
      <c r="T129" s="67"/>
      <c r="U129" s="66"/>
      <c r="V129" s="66"/>
      <c r="W129" s="66"/>
      <c r="X129" s="85"/>
      <c r="Z129" t="str">
        <v>46211/D|BR1/03</v>
      </c>
      <c r="AA129" t="str">
        <v>STM-A40_0103</v>
      </c>
      <c r="AB129" t="str">
        <v>LIM</v>
      </c>
      <c r="AC129" t="str">
        <v>LS_09</v>
      </c>
      <c r="AD129" t="str">
        <v>L9_26</v>
      </c>
      <c r="AE129" t="str">
        <v>003 / 038</v>
      </c>
      <c r="AF129" t="str">
        <v>No</v>
      </c>
      <c r="AG129" t="str">
        <v/>
      </c>
      <c r="AH129" t="str">
        <v/>
      </c>
      <c r="AP129" t="str">
        <v>STM-A40_0095</v>
      </c>
      <c r="AQ129" t="str">
        <v>STM-A40_0096</v>
      </c>
      <c r="AR129" t="str">
        <v>STM-A40_0097</v>
      </c>
      <c r="AS129" t="str">
        <v>STM-A40_0103</v>
      </c>
      <c r="AT129" t="str">
        <v>STM-A40_0131</v>
      </c>
      <c r="AU129" t="str">
        <v>STM-A40_0135</v>
      </c>
      <c r="AV129" t="str">
        <v>STM-A40_2010</v>
      </c>
    </row>
    <row r="130" spans="4:48" ht="15.75" x14ac:dyDescent="0.25">
      <c r="D130" s="3">
        <v>2</v>
      </c>
      <c r="F130" s="16" cm="1">
        <f t="array" ref="F1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30" s="31" cm="1">
        <f t="array" ref="G1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36</v>
      </c>
      <c r="H130" s="33" t="str">
        <f>_xlfn.IFNA(IF(MOD(HLG_02[[#This Row],[Rit]],
    _xlfn.XLOOKUP($G$2,Int_Sample[Ore],Int_Sample[Inc])) = 0, "YES", "NO"),"")</f>
        <v>NO</v>
      </c>
      <c r="I130" s="32" t="str">
        <f>TEXT(HLG_02[[#This Row],[Batch]],"000")&amp; " / " &amp; TEXT(HLG_02[[#This Row],[Rit]],"000")</f>
        <v>003 / 036</v>
      </c>
      <c r="J130" s="34" t="s">
        <v>2624</v>
      </c>
      <c r="K130" s="38" t="s">
        <v>2611</v>
      </c>
      <c r="L130" s="35"/>
      <c r="M130" s="66"/>
      <c r="N130" s="66"/>
      <c r="O130" s="66"/>
      <c r="P130" s="66"/>
      <c r="Q130" s="66"/>
      <c r="R130" s="67"/>
      <c r="S130" s="67"/>
      <c r="T130" s="67"/>
      <c r="U130" s="66"/>
      <c r="V130" s="66"/>
      <c r="W130" s="66"/>
      <c r="X130" s="85"/>
      <c r="Z130" t="str">
        <v>46211/D|BR1/03</v>
      </c>
      <c r="AA130" t="str">
        <v>STM-A40_2010</v>
      </c>
      <c r="AB130" t="str">
        <v>LIM</v>
      </c>
      <c r="AC130" t="str">
        <v>LS_09</v>
      </c>
      <c r="AD130" t="str">
        <v>L9_26</v>
      </c>
      <c r="AE130" t="str">
        <v>003 / 039</v>
      </c>
      <c r="AF130" t="str">
        <v>No</v>
      </c>
      <c r="AG130" t="str">
        <v/>
      </c>
      <c r="AH130" t="str">
        <v/>
      </c>
      <c r="AP130" t="str">
        <v>STM-A40_0095</v>
      </c>
      <c r="AQ130" t="str">
        <v>STM-A40_0096</v>
      </c>
      <c r="AR130" t="str">
        <v>STM-A40_0097</v>
      </c>
      <c r="AS130" t="str">
        <v>STM-A40_0103</v>
      </c>
      <c r="AT130" t="str">
        <v>STM-A40_0131</v>
      </c>
      <c r="AU130" t="str">
        <v>STM-A40_0135</v>
      </c>
      <c r="AV130" t="str">
        <v>STM-A40_2010</v>
      </c>
    </row>
    <row r="131" spans="4:48" ht="15.75" x14ac:dyDescent="0.25">
      <c r="D131" s="3">
        <v>2</v>
      </c>
      <c r="F131" s="16" cm="1">
        <f t="array" ref="F1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31" s="31" cm="1">
        <f t="array" ref="G1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37</v>
      </c>
      <c r="H131" s="33" t="str">
        <f>_xlfn.IFNA(IF(MOD(HLG_02[[#This Row],[Rit]],
    _xlfn.XLOOKUP($G$2,Int_Sample[Ore],Int_Sample[Inc])) = 0, "YES", "NO"),"")</f>
        <v>NO</v>
      </c>
      <c r="I131" s="32" t="str">
        <f>TEXT(HLG_02[[#This Row],[Batch]],"000")&amp; " / " &amp; TEXT(HLG_02[[#This Row],[Rit]],"000")</f>
        <v>003 / 037</v>
      </c>
      <c r="J131" s="34" t="s">
        <v>2624</v>
      </c>
      <c r="K131" s="38" t="s">
        <v>2617</v>
      </c>
      <c r="L131" s="35"/>
      <c r="M131" s="66"/>
      <c r="N131" s="66"/>
      <c r="O131" s="66"/>
      <c r="P131" s="66"/>
      <c r="Q131" s="66"/>
      <c r="R131" s="67"/>
      <c r="S131" s="67"/>
      <c r="T131" s="67"/>
      <c r="U131" s="66"/>
      <c r="V131" s="66"/>
      <c r="W131" s="66"/>
      <c r="X131" s="85"/>
      <c r="Z131" t="str">
        <v>46211/D|BR1/03</v>
      </c>
      <c r="AA131" t="str">
        <v>STM-A40_0131</v>
      </c>
      <c r="AB131" t="str">
        <v>LIM</v>
      </c>
      <c r="AC131" t="str">
        <v>LS_09</v>
      </c>
      <c r="AD131" t="str">
        <v>L9_26</v>
      </c>
      <c r="AE131" t="str">
        <v>003 / 040</v>
      </c>
      <c r="AF131" t="str">
        <v>Yes</v>
      </c>
      <c r="AG131" t="str">
        <v/>
      </c>
      <c r="AH131" t="str">
        <v/>
      </c>
      <c r="AP131" t="str">
        <v>STM-A40_0095</v>
      </c>
      <c r="AQ131" t="str">
        <v>STM-A40_0096</v>
      </c>
      <c r="AR131" t="str">
        <v>STM-A40_0097</v>
      </c>
      <c r="AS131" t="str">
        <v>STM-A40_0103</v>
      </c>
      <c r="AT131" t="str">
        <v>STM-A40_0131</v>
      </c>
      <c r="AU131" t="str">
        <v>STM-A40_0135</v>
      </c>
      <c r="AV131" t="str">
        <v>STM-A40_2010</v>
      </c>
    </row>
    <row r="132" spans="4:48" ht="15.75" x14ac:dyDescent="0.25">
      <c r="D132" s="3">
        <v>2</v>
      </c>
      <c r="F132" s="16" cm="1">
        <f t="array" ref="F1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32" s="31" cm="1">
        <f t="array" ref="G1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38</v>
      </c>
      <c r="H132" s="33" t="str">
        <f>_xlfn.IFNA(IF(MOD(HLG_02[[#This Row],[Rit]],
    _xlfn.XLOOKUP($G$2,Int_Sample[Ore],Int_Sample[Inc])) = 0, "YES", "NO"),"")</f>
        <v>NO</v>
      </c>
      <c r="I132" s="32" t="str">
        <f>TEXT(HLG_02[[#This Row],[Batch]],"000")&amp; " / " &amp; TEXT(HLG_02[[#This Row],[Rit]],"000")</f>
        <v>003 / 038</v>
      </c>
      <c r="J132" s="34" t="s">
        <v>2624</v>
      </c>
      <c r="K132" s="38" t="s">
        <v>2618</v>
      </c>
      <c r="L132" s="35"/>
      <c r="M132" s="66"/>
      <c r="N132" s="66"/>
      <c r="O132" s="66"/>
      <c r="P132" s="66"/>
      <c r="Q132" s="66"/>
      <c r="R132" s="67"/>
      <c r="S132" s="67"/>
      <c r="T132" s="67"/>
      <c r="U132" s="66"/>
      <c r="V132" s="66"/>
      <c r="W132" s="66"/>
      <c r="X132" s="85"/>
      <c r="Z132" t="str">
        <v>46211/D|BR1/03</v>
      </c>
      <c r="AA132" t="str">
        <v>STM-A40_0097</v>
      </c>
      <c r="AB132" t="str">
        <v>LIM</v>
      </c>
      <c r="AC132" t="str">
        <v>LS_09</v>
      </c>
      <c r="AD132" t="str">
        <v>L9_26</v>
      </c>
      <c r="AE132" t="str">
        <v>003 / 041</v>
      </c>
      <c r="AF132" t="str">
        <v>No</v>
      </c>
      <c r="AG132" t="str">
        <v/>
      </c>
      <c r="AH132" t="str">
        <v/>
      </c>
      <c r="AP132" t="str">
        <v>STM-A40_0095</v>
      </c>
      <c r="AQ132" t="str">
        <v>STM-A40_0096</v>
      </c>
      <c r="AR132" t="str">
        <v>STM-A40_0097</v>
      </c>
      <c r="AS132" t="str">
        <v>STM-A40_0103</v>
      </c>
      <c r="AT132" t="str">
        <v>STM-A40_0131</v>
      </c>
      <c r="AU132" t="str">
        <v>STM-A40_0135</v>
      </c>
      <c r="AV132" t="str">
        <v>STM-A40_2010</v>
      </c>
    </row>
    <row r="133" spans="4:48" ht="15.75" x14ac:dyDescent="0.25">
      <c r="D133" s="3">
        <v>2</v>
      </c>
      <c r="F133" s="16" cm="1">
        <f t="array" ref="F1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33" s="31" cm="1">
        <f t="array" ref="G1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39</v>
      </c>
      <c r="H133" s="33" t="str">
        <f>_xlfn.IFNA(IF(MOD(HLG_02[[#This Row],[Rit]],
    _xlfn.XLOOKUP($G$2,Int_Sample[Ore],Int_Sample[Inc])) = 0, "YES", "NO"),"")</f>
        <v>NO</v>
      </c>
      <c r="I133" s="32" t="str">
        <f>TEXT(HLG_02[[#This Row],[Batch]],"000")&amp; " / " &amp; TEXT(HLG_02[[#This Row],[Rit]],"000")</f>
        <v>003 / 039</v>
      </c>
      <c r="J133" s="34" t="s">
        <v>2624</v>
      </c>
      <c r="K133" s="38" t="s">
        <v>2619</v>
      </c>
      <c r="L133" s="35"/>
      <c r="M133" s="66"/>
      <c r="N133" s="66"/>
      <c r="O133" s="66"/>
      <c r="P133" s="66"/>
      <c r="Q133" s="66"/>
      <c r="R133" s="67"/>
      <c r="S133" s="67"/>
      <c r="T133" s="67"/>
      <c r="U133" s="66"/>
      <c r="V133" s="66"/>
      <c r="W133" s="66"/>
      <c r="X133" s="85"/>
      <c r="Z133" t="str">
        <v>46211/D|BR1/03</v>
      </c>
      <c r="AA133" t="str">
        <v>STM-A40_0103</v>
      </c>
      <c r="AB133" t="str">
        <v>LIM</v>
      </c>
      <c r="AC133" t="str">
        <v>LS_09</v>
      </c>
      <c r="AD133" t="str">
        <v>L9_26</v>
      </c>
      <c r="AE133" t="str">
        <v>003 / 042</v>
      </c>
      <c r="AF133" t="str">
        <v>No</v>
      </c>
      <c r="AG133" t="str">
        <v/>
      </c>
      <c r="AH133" t="str">
        <v/>
      </c>
      <c r="AP133" t="str">
        <v>STM-A40_0095</v>
      </c>
      <c r="AQ133" t="str">
        <v>STM-A40_0096</v>
      </c>
      <c r="AR133" t="str">
        <v>STM-A40_0097</v>
      </c>
      <c r="AS133" t="str">
        <v>STM-A40_0103</v>
      </c>
      <c r="AT133" t="str">
        <v>STM-A40_0131</v>
      </c>
      <c r="AU133" t="str">
        <v>STM-A40_0135</v>
      </c>
      <c r="AV133" t="str">
        <v>STM-A40_2010</v>
      </c>
    </row>
    <row r="134" spans="4:48" ht="15.75" x14ac:dyDescent="0.25">
      <c r="D134" s="3">
        <v>2</v>
      </c>
      <c r="F134" s="16" cm="1">
        <f t="array" ref="F1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34" s="31" cm="1">
        <f t="array" ref="G1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40</v>
      </c>
      <c r="H134" s="33" t="str">
        <f>_xlfn.IFNA(IF(MOD(HLG_02[[#This Row],[Rit]],
    _xlfn.XLOOKUP($G$2,Int_Sample[Ore],Int_Sample[Inc])) = 0, "YES", "NO"),"")</f>
        <v>YES</v>
      </c>
      <c r="I134" s="32" t="str">
        <f>TEXT(HLG_02[[#This Row],[Batch]],"000")&amp; " / " &amp; TEXT(HLG_02[[#This Row],[Rit]],"000")</f>
        <v>003 / 040</v>
      </c>
      <c r="J134" s="34" t="s">
        <v>2624</v>
      </c>
      <c r="K134" s="38" t="s">
        <v>2616</v>
      </c>
      <c r="L134" s="35"/>
      <c r="M134" s="66"/>
      <c r="N134" s="66"/>
      <c r="O134" s="66"/>
      <c r="P134" s="66"/>
      <c r="Q134" s="66"/>
      <c r="R134" s="67"/>
      <c r="S134" s="67"/>
      <c r="T134" s="67"/>
      <c r="U134" s="66"/>
      <c r="V134" s="66"/>
      <c r="W134" s="66"/>
      <c r="X134" s="85"/>
      <c r="Z134" t="str">
        <v>46211/D|BR1/03</v>
      </c>
      <c r="AA134" t="str">
        <v>STM-A40_2010</v>
      </c>
      <c r="AB134" t="str">
        <v>LIM</v>
      </c>
      <c r="AC134" t="str">
        <v>LS_09</v>
      </c>
      <c r="AD134" t="str">
        <v>L9_26</v>
      </c>
      <c r="AE134" t="str">
        <v>003 / 043</v>
      </c>
      <c r="AF134" t="str">
        <v>No</v>
      </c>
      <c r="AG134" t="str">
        <v/>
      </c>
      <c r="AH134" t="str">
        <v/>
      </c>
      <c r="AP134" t="str">
        <v>STM-A40_0095</v>
      </c>
      <c r="AQ134" t="str">
        <v>STM-A40_0096</v>
      </c>
      <c r="AR134" t="str">
        <v>STM-A40_0097</v>
      </c>
      <c r="AS134" t="str">
        <v>STM-A40_0103</v>
      </c>
      <c r="AT134" t="str">
        <v>STM-A40_0131</v>
      </c>
      <c r="AU134" t="str">
        <v>STM-A40_0135</v>
      </c>
      <c r="AV134" t="str">
        <v>STM-A40_2010</v>
      </c>
    </row>
    <row r="135" spans="4:48" ht="15.75" x14ac:dyDescent="0.25">
      <c r="D135" s="3">
        <v>2</v>
      </c>
      <c r="F135" s="16" cm="1">
        <f t="array" ref="F1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35" s="31" cm="1">
        <f t="array" ref="G1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41</v>
      </c>
      <c r="H135" s="33" t="str">
        <f>_xlfn.IFNA(IF(MOD(HLG_02[[#This Row],[Rit]],
    _xlfn.XLOOKUP($G$2,Int_Sample[Ore],Int_Sample[Inc])) = 0, "YES", "NO"),"")</f>
        <v>NO</v>
      </c>
      <c r="I135" s="32" t="str">
        <f>TEXT(HLG_02[[#This Row],[Batch]],"000")&amp; " / " &amp; TEXT(HLG_02[[#This Row],[Rit]],"000")</f>
        <v>003 / 041</v>
      </c>
      <c r="J135" s="34" t="s">
        <v>2624</v>
      </c>
      <c r="K135" s="38" t="s">
        <v>2611</v>
      </c>
      <c r="L135" s="35"/>
      <c r="M135" s="66"/>
      <c r="N135" s="66"/>
      <c r="O135" s="66"/>
      <c r="P135" s="66"/>
      <c r="Q135" s="66"/>
      <c r="R135" s="67"/>
      <c r="S135" s="67"/>
      <c r="T135" s="67"/>
      <c r="U135" s="66"/>
      <c r="V135" s="66"/>
      <c r="W135" s="66"/>
      <c r="X135" s="85"/>
      <c r="Z135" t="str">
        <v>46211/D|BR1/03</v>
      </c>
      <c r="AA135" t="str">
        <v>STM-A40_0131</v>
      </c>
      <c r="AB135" t="str">
        <v>LIM</v>
      </c>
      <c r="AC135" t="str">
        <v>LS_09</v>
      </c>
      <c r="AD135" t="str">
        <v>L9_26</v>
      </c>
      <c r="AE135" t="str">
        <v>003 / 044</v>
      </c>
      <c r="AF135" t="str">
        <v>No</v>
      </c>
      <c r="AG135" t="str">
        <v/>
      </c>
      <c r="AH135" t="str">
        <v/>
      </c>
      <c r="AP135" t="str">
        <v>STM-A40_0095</v>
      </c>
      <c r="AQ135" t="str">
        <v>STM-A40_0096</v>
      </c>
      <c r="AR135" t="str">
        <v>STM-A40_0097</v>
      </c>
      <c r="AS135" t="str">
        <v>STM-A40_0103</v>
      </c>
      <c r="AT135" t="str">
        <v>STM-A40_0131</v>
      </c>
      <c r="AU135" t="str">
        <v>STM-A40_0135</v>
      </c>
      <c r="AV135" t="str">
        <v>STM-A40_2010</v>
      </c>
    </row>
    <row r="136" spans="4:48" ht="15.75" x14ac:dyDescent="0.25">
      <c r="D136" s="3">
        <v>2</v>
      </c>
      <c r="F136" s="16" cm="1">
        <f t="array" ref="F1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36" s="31" cm="1">
        <f t="array" ref="G1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42</v>
      </c>
      <c r="H136" s="33" t="str">
        <f>_xlfn.IFNA(IF(MOD(HLG_02[[#This Row],[Rit]],
    _xlfn.XLOOKUP($G$2,Int_Sample[Ore],Int_Sample[Inc])) = 0, "YES", "NO"),"")</f>
        <v>NO</v>
      </c>
      <c r="I136" s="32" t="str">
        <f>TEXT(HLG_02[[#This Row],[Batch]],"000")&amp; " / " &amp; TEXT(HLG_02[[#This Row],[Rit]],"000")</f>
        <v>003 / 042</v>
      </c>
      <c r="J136" s="34" t="s">
        <v>2624</v>
      </c>
      <c r="K136" s="38" t="s">
        <v>2618</v>
      </c>
      <c r="L136" s="35"/>
      <c r="M136" s="66"/>
      <c r="N136" s="66"/>
      <c r="O136" s="66"/>
      <c r="P136" s="66"/>
      <c r="Q136" s="66"/>
      <c r="R136" s="67"/>
      <c r="S136" s="67"/>
      <c r="T136" s="67"/>
      <c r="U136" s="66"/>
      <c r="V136" s="66"/>
      <c r="W136" s="66"/>
      <c r="X136" s="85"/>
      <c r="Z136" t="str">
        <v>46211/D|BR1/03</v>
      </c>
      <c r="AA136" t="str">
        <v>STM-A40_0135</v>
      </c>
      <c r="AB136" t="str">
        <v>LIM</v>
      </c>
      <c r="AC136" t="str">
        <v>LS_09</v>
      </c>
      <c r="AD136" t="str">
        <v>L9_26</v>
      </c>
      <c r="AE136" t="str">
        <v>003 / 045</v>
      </c>
      <c r="AF136" t="str">
        <v>Yes</v>
      </c>
      <c r="AG136" t="str">
        <v/>
      </c>
      <c r="AH136" t="str">
        <v/>
      </c>
      <c r="AP136" t="str">
        <v>STM-A40_0095</v>
      </c>
      <c r="AQ136" t="str">
        <v>STM-A40_0096</v>
      </c>
      <c r="AR136" t="str">
        <v>STM-A40_0097</v>
      </c>
      <c r="AS136" t="str">
        <v>STM-A40_0103</v>
      </c>
      <c r="AT136" t="str">
        <v>STM-A40_0131</v>
      </c>
      <c r="AU136" t="str">
        <v>STM-A40_0135</v>
      </c>
      <c r="AV136" t="str">
        <v>STM-A40_2010</v>
      </c>
    </row>
    <row r="137" spans="4:48" ht="15.75" x14ac:dyDescent="0.25">
      <c r="D137" s="3">
        <v>2</v>
      </c>
      <c r="F137" s="16" cm="1">
        <f t="array" ref="F1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37" s="31" cm="1">
        <f t="array" ref="G1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43</v>
      </c>
      <c r="H137" s="33" t="str">
        <f>_xlfn.IFNA(IF(MOD(HLG_02[[#This Row],[Rit]],
    _xlfn.XLOOKUP($G$2,Int_Sample[Ore],Int_Sample[Inc])) = 0, "YES", "NO"),"")</f>
        <v>NO</v>
      </c>
      <c r="I137" s="32" t="str">
        <f>TEXT(HLG_02[[#This Row],[Batch]],"000")&amp; " / " &amp; TEXT(HLG_02[[#This Row],[Rit]],"000")</f>
        <v>003 / 043</v>
      </c>
      <c r="J137" s="34" t="s">
        <v>2624</v>
      </c>
      <c r="K137" s="38" t="s">
        <v>2619</v>
      </c>
      <c r="L137" s="35"/>
      <c r="M137" s="66"/>
      <c r="N137" s="66"/>
      <c r="O137" s="66"/>
      <c r="P137" s="66"/>
      <c r="Q137" s="66"/>
      <c r="R137" s="67"/>
      <c r="S137" s="67"/>
      <c r="T137" s="67"/>
      <c r="U137" s="66"/>
      <c r="V137" s="66"/>
      <c r="W137" s="66"/>
      <c r="X137" s="85"/>
      <c r="Z137" t="str">
        <v>46211/D|BR1/03</v>
      </c>
      <c r="AA137" t="str">
        <v>STM-A40_0103</v>
      </c>
      <c r="AB137" t="str">
        <v>LIM</v>
      </c>
      <c r="AC137" t="str">
        <v>LS_09</v>
      </c>
      <c r="AD137" t="str">
        <v>L9_26</v>
      </c>
      <c r="AE137" t="str">
        <v>003 / 046</v>
      </c>
      <c r="AF137" t="str">
        <v>No</v>
      </c>
      <c r="AG137" t="str">
        <v/>
      </c>
      <c r="AH137" t="str">
        <v/>
      </c>
      <c r="AP137" t="str">
        <v>STM-A40_0095</v>
      </c>
      <c r="AQ137" t="str">
        <v>STM-A40_0096</v>
      </c>
      <c r="AR137" t="str">
        <v>STM-A40_0097</v>
      </c>
      <c r="AS137" t="str">
        <v>STM-A40_0103</v>
      </c>
      <c r="AT137" t="str">
        <v>STM-A40_0131</v>
      </c>
      <c r="AU137" t="str">
        <v>STM-A40_0135</v>
      </c>
      <c r="AV137" t="str">
        <v>STM-A40_2010</v>
      </c>
    </row>
    <row r="138" spans="4:48" ht="15.75" x14ac:dyDescent="0.25">
      <c r="D138" s="3">
        <v>2</v>
      </c>
      <c r="F138" s="16" cm="1">
        <f t="array" ref="F1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38" s="31" cm="1">
        <f t="array" ref="G1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44</v>
      </c>
      <c r="H138" s="33" t="str">
        <f>_xlfn.IFNA(IF(MOD(HLG_02[[#This Row],[Rit]],
    _xlfn.XLOOKUP($G$2,Int_Sample[Ore],Int_Sample[Inc])) = 0, "YES", "NO"),"")</f>
        <v>NO</v>
      </c>
      <c r="I138" s="32" t="str">
        <f>TEXT(HLG_02[[#This Row],[Batch]],"000")&amp; " / " &amp; TEXT(HLG_02[[#This Row],[Rit]],"000")</f>
        <v>003 / 044</v>
      </c>
      <c r="J138" s="34" t="s">
        <v>2624</v>
      </c>
      <c r="K138" s="38" t="s">
        <v>2616</v>
      </c>
      <c r="L138" s="35"/>
      <c r="M138" s="66"/>
      <c r="N138" s="66"/>
      <c r="O138" s="66"/>
      <c r="P138" s="66"/>
      <c r="Q138" s="66"/>
      <c r="R138" s="67"/>
      <c r="S138" s="67"/>
      <c r="T138" s="67"/>
      <c r="U138" s="66"/>
      <c r="V138" s="66"/>
      <c r="W138" s="66"/>
      <c r="X138" s="85"/>
      <c r="Z138" t="str">
        <v>46211/D|BR1/03</v>
      </c>
      <c r="AA138" t="str">
        <v>STM-A40_2010</v>
      </c>
      <c r="AB138" t="str">
        <v>LIM</v>
      </c>
      <c r="AC138" t="str">
        <v>LS_09</v>
      </c>
      <c r="AD138" t="str">
        <v>L9_26</v>
      </c>
      <c r="AE138" t="str">
        <v>003 / 047</v>
      </c>
      <c r="AF138" t="str">
        <v>No</v>
      </c>
      <c r="AG138" t="str">
        <v/>
      </c>
      <c r="AH138" t="str">
        <v/>
      </c>
      <c r="AP138" t="str">
        <v>STM-A40_0095</v>
      </c>
      <c r="AQ138" t="str">
        <v>STM-A40_0096</v>
      </c>
      <c r="AR138" t="str">
        <v>STM-A40_0097</v>
      </c>
      <c r="AS138" t="str">
        <v>STM-A40_0103</v>
      </c>
      <c r="AT138" t="str">
        <v>STM-A40_0131</v>
      </c>
      <c r="AU138" t="str">
        <v>STM-A40_0135</v>
      </c>
      <c r="AV138" t="str">
        <v>STM-A40_2010</v>
      </c>
    </row>
    <row r="139" spans="4:48" ht="15.75" x14ac:dyDescent="0.25">
      <c r="D139" s="3">
        <v>2</v>
      </c>
      <c r="F139" s="16" cm="1">
        <f t="array" ref="F1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39" s="31" cm="1">
        <f t="array" ref="G1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45</v>
      </c>
      <c r="H139" s="33" t="str">
        <f>_xlfn.IFNA(IF(MOD(HLG_02[[#This Row],[Rit]],
    _xlfn.XLOOKUP($G$2,Int_Sample[Ore],Int_Sample[Inc])) = 0, "YES", "NO"),"")</f>
        <v>YES</v>
      </c>
      <c r="I139" s="32" t="str">
        <f>TEXT(HLG_02[[#This Row],[Batch]],"000")&amp; " / " &amp; TEXT(HLG_02[[#This Row],[Rit]],"000")</f>
        <v>003 / 045</v>
      </c>
      <c r="J139" s="34" t="s">
        <v>2624</v>
      </c>
      <c r="K139" s="38" t="s">
        <v>2617</v>
      </c>
      <c r="L139" s="35"/>
      <c r="M139" s="66"/>
      <c r="N139" s="66"/>
      <c r="O139" s="66"/>
      <c r="P139" s="66"/>
      <c r="Q139" s="66"/>
      <c r="R139" s="67"/>
      <c r="S139" s="67"/>
      <c r="T139" s="67"/>
      <c r="U139" s="66"/>
      <c r="V139" s="66"/>
      <c r="W139" s="66"/>
      <c r="X139" s="85"/>
      <c r="Z139" t="str">
        <v>46211/D|BR1/03</v>
      </c>
      <c r="AA139" t="str">
        <v>STM-A40_0135</v>
      </c>
      <c r="AB139" t="str">
        <v>LIM</v>
      </c>
      <c r="AC139" t="str">
        <v>LS_09</v>
      </c>
      <c r="AD139" t="str">
        <v>L9_26</v>
      </c>
      <c r="AE139" t="str">
        <v>003 / 048</v>
      </c>
      <c r="AF139" t="str">
        <v>No</v>
      </c>
      <c r="AG139" t="str">
        <v/>
      </c>
      <c r="AH139" t="str">
        <v/>
      </c>
      <c r="AP139" t="str">
        <v>STM-A40_0095</v>
      </c>
      <c r="AQ139" t="str">
        <v>STM-A40_0096</v>
      </c>
      <c r="AR139" t="str">
        <v>STM-A40_0097</v>
      </c>
      <c r="AS139" t="str">
        <v>STM-A40_0103</v>
      </c>
      <c r="AT139" t="str">
        <v>STM-A40_0131</v>
      </c>
      <c r="AU139" t="str">
        <v>STM-A40_0135</v>
      </c>
      <c r="AV139" t="str">
        <v>STM-A40_2010</v>
      </c>
    </row>
    <row r="140" spans="4:48" ht="15.75" x14ac:dyDescent="0.25">
      <c r="D140" s="3">
        <v>2</v>
      </c>
      <c r="F140" s="16" cm="1">
        <f t="array" ref="F1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40" s="31" cm="1">
        <f t="array" ref="G1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46</v>
      </c>
      <c r="H140" s="33" t="str">
        <f>_xlfn.IFNA(IF(MOD(HLG_02[[#This Row],[Rit]],
    _xlfn.XLOOKUP($G$2,Int_Sample[Ore],Int_Sample[Inc])) = 0, "YES", "NO"),"")</f>
        <v>NO</v>
      </c>
      <c r="I140" s="32" t="str">
        <f>TEXT(HLG_02[[#This Row],[Batch]],"000")&amp; " / " &amp; TEXT(HLG_02[[#This Row],[Rit]],"000")</f>
        <v>003 / 046</v>
      </c>
      <c r="J140" s="34" t="s">
        <v>2624</v>
      </c>
      <c r="K140" s="38" t="s">
        <v>2618</v>
      </c>
      <c r="L140" s="35"/>
      <c r="M140" s="66"/>
      <c r="N140" s="66"/>
      <c r="O140" s="66"/>
      <c r="P140" s="66"/>
      <c r="Q140" s="66"/>
      <c r="R140" s="67"/>
      <c r="S140" s="67"/>
      <c r="T140" s="67"/>
      <c r="U140" s="66"/>
      <c r="V140" s="66"/>
      <c r="W140" s="66"/>
      <c r="X140" s="85"/>
      <c r="Z140" t="str">
        <v>46211/D|BR1/03</v>
      </c>
      <c r="AA140" t="str">
        <v>STM-A40_0131</v>
      </c>
      <c r="AB140" t="str">
        <v>LIM</v>
      </c>
      <c r="AC140" t="str">
        <v>LS_09</v>
      </c>
      <c r="AD140" t="str">
        <v>L9_26</v>
      </c>
      <c r="AE140" t="str">
        <v>003 / 049</v>
      </c>
      <c r="AF140" t="str">
        <v>No</v>
      </c>
      <c r="AG140" t="str">
        <v/>
      </c>
      <c r="AH140" t="str">
        <v/>
      </c>
      <c r="AP140" t="str">
        <v>STM-A40_0095</v>
      </c>
      <c r="AQ140" t="str">
        <v>STM-A40_0096</v>
      </c>
      <c r="AR140" t="str">
        <v>STM-A40_0097</v>
      </c>
      <c r="AS140" t="str">
        <v>STM-A40_0103</v>
      </c>
      <c r="AT140" t="str">
        <v>STM-A40_0131</v>
      </c>
      <c r="AU140" t="str">
        <v>STM-A40_0135</v>
      </c>
      <c r="AV140" t="str">
        <v>STM-A40_2010</v>
      </c>
    </row>
    <row r="141" spans="4:48" ht="15.75" x14ac:dyDescent="0.25">
      <c r="D141" s="3">
        <v>2</v>
      </c>
      <c r="F141" s="16" cm="1">
        <f t="array" ref="F1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41" s="31" cm="1">
        <f t="array" ref="G1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47</v>
      </c>
      <c r="H141" s="33" t="str">
        <f>_xlfn.IFNA(IF(MOD(HLG_02[[#This Row],[Rit]],
    _xlfn.XLOOKUP($G$2,Int_Sample[Ore],Int_Sample[Inc])) = 0, "YES", "NO"),"")</f>
        <v>NO</v>
      </c>
      <c r="I141" s="32" t="str">
        <f>TEXT(HLG_02[[#This Row],[Batch]],"000")&amp; " / " &amp; TEXT(HLG_02[[#This Row],[Rit]],"000")</f>
        <v>003 / 047</v>
      </c>
      <c r="J141" s="34" t="s">
        <v>2624</v>
      </c>
      <c r="K141" s="38" t="s">
        <v>2619</v>
      </c>
      <c r="L141" s="35"/>
      <c r="M141" s="66"/>
      <c r="N141" s="66"/>
      <c r="O141" s="66"/>
      <c r="P141" s="66"/>
      <c r="Q141" s="66"/>
      <c r="R141" s="67"/>
      <c r="S141" s="67"/>
      <c r="T141" s="67"/>
      <c r="U141" s="66"/>
      <c r="V141" s="66"/>
      <c r="W141" s="66"/>
      <c r="X141" s="85"/>
      <c r="Z141" t="str">
        <v>46211/D|BR1/03</v>
      </c>
      <c r="AA141" t="str">
        <v>STM-A40_0097</v>
      </c>
      <c r="AB141" t="str">
        <v>LIM</v>
      </c>
      <c r="AC141" t="str">
        <v>LS_09</v>
      </c>
      <c r="AD141" t="str">
        <v>L9_26</v>
      </c>
      <c r="AE141" t="str">
        <v>003 / 050</v>
      </c>
      <c r="AF141" t="str">
        <v>Yes</v>
      </c>
      <c r="AG141" t="str">
        <v/>
      </c>
      <c r="AH141" t="str">
        <v/>
      </c>
      <c r="AP141" t="str">
        <v>STM-A40_0095</v>
      </c>
      <c r="AQ141" t="str">
        <v>STM-A40_0096</v>
      </c>
      <c r="AR141" t="str">
        <v>STM-A40_0097</v>
      </c>
      <c r="AS141" t="str">
        <v>STM-A40_0103</v>
      </c>
      <c r="AT141" t="str">
        <v>STM-A40_0131</v>
      </c>
      <c r="AU141" t="str">
        <v>STM-A40_0135</v>
      </c>
      <c r="AV141" t="str">
        <v>STM-A40_2010</v>
      </c>
    </row>
    <row r="142" spans="4:48" ht="15.75" x14ac:dyDescent="0.25">
      <c r="D142" s="3">
        <v>2</v>
      </c>
      <c r="F142" s="16" cm="1">
        <f t="array" ref="F1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42" s="31" cm="1">
        <f t="array" ref="G1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48</v>
      </c>
      <c r="H142" s="33" t="str">
        <f>_xlfn.IFNA(IF(MOD(HLG_02[[#This Row],[Rit]],
    _xlfn.XLOOKUP($G$2,Int_Sample[Ore],Int_Sample[Inc])) = 0, "YES", "NO"),"")</f>
        <v>NO</v>
      </c>
      <c r="I142" s="32" t="str">
        <f>TEXT(HLG_02[[#This Row],[Batch]],"000")&amp; " / " &amp; TEXT(HLG_02[[#This Row],[Rit]],"000")</f>
        <v>003 / 048</v>
      </c>
      <c r="J142" s="34" t="s">
        <v>2624</v>
      </c>
      <c r="K142" s="38" t="s">
        <v>2617</v>
      </c>
      <c r="L142" s="35"/>
      <c r="M142" s="66"/>
      <c r="N142" s="66"/>
      <c r="O142" s="66"/>
      <c r="P142" s="66"/>
      <c r="Q142" s="66"/>
      <c r="R142" s="67"/>
      <c r="S142" s="67"/>
      <c r="T142" s="67"/>
      <c r="U142" s="66"/>
      <c r="V142" s="66"/>
      <c r="W142" s="66"/>
      <c r="X142" s="85"/>
      <c r="AP142" t="str">
        <v>STM-A40_0095</v>
      </c>
      <c r="AQ142" t="str">
        <v>STM-A40_0096</v>
      </c>
      <c r="AR142" t="str">
        <v>STM-A40_0097</v>
      </c>
      <c r="AS142" t="str">
        <v>STM-A40_0103</v>
      </c>
      <c r="AT142" t="str">
        <v>STM-A40_0131</v>
      </c>
      <c r="AU142" t="str">
        <v>STM-A40_0135</v>
      </c>
      <c r="AV142" t="str">
        <v>STM-A40_2010</v>
      </c>
    </row>
    <row r="143" spans="4:48" ht="15.75" x14ac:dyDescent="0.25">
      <c r="D143" s="3">
        <v>2</v>
      </c>
      <c r="F143" s="16" cm="1">
        <f t="array" ref="F1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43" s="31" cm="1">
        <f t="array" ref="G1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49</v>
      </c>
      <c r="H143" s="33" t="str">
        <f>_xlfn.IFNA(IF(MOD(HLG_02[[#This Row],[Rit]],
    _xlfn.XLOOKUP($G$2,Int_Sample[Ore],Int_Sample[Inc])) = 0, "YES", "NO"),"")</f>
        <v>NO</v>
      </c>
      <c r="I143" s="32" t="str">
        <f>TEXT(HLG_02[[#This Row],[Batch]],"000")&amp; " / " &amp; TEXT(HLG_02[[#This Row],[Rit]],"000")</f>
        <v>003 / 049</v>
      </c>
      <c r="J143" s="34" t="s">
        <v>2624</v>
      </c>
      <c r="K143" s="38" t="s">
        <v>2616</v>
      </c>
      <c r="L143" s="35"/>
      <c r="M143" s="66"/>
      <c r="N143" s="66"/>
      <c r="O143" s="66"/>
      <c r="P143" s="66"/>
      <c r="Q143" s="66"/>
      <c r="R143" s="67"/>
      <c r="S143" s="67"/>
      <c r="T143" s="67"/>
      <c r="U143" s="66"/>
      <c r="V143" s="66"/>
      <c r="W143" s="66"/>
      <c r="X143" s="85"/>
      <c r="AP143" t="str">
        <v>STM-A40_0095</v>
      </c>
      <c r="AQ143" t="str">
        <v>STM-A40_0096</v>
      </c>
      <c r="AR143" t="str">
        <v>STM-A40_0097</v>
      </c>
      <c r="AS143" t="str">
        <v>STM-A40_0103</v>
      </c>
      <c r="AT143" t="str">
        <v>STM-A40_0131</v>
      </c>
      <c r="AU143" t="str">
        <v>STM-A40_0135</v>
      </c>
      <c r="AV143" t="str">
        <v>STM-A40_2010</v>
      </c>
    </row>
    <row r="144" spans="4:48" ht="15.75" x14ac:dyDescent="0.25">
      <c r="D144" s="3">
        <v>2</v>
      </c>
      <c r="F144" s="16" cm="1">
        <f t="array" ref="F1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44" s="31" cm="1">
        <f t="array" ref="G1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50</v>
      </c>
      <c r="H144" s="33" t="str">
        <f>_xlfn.IFNA(IF(MOD(HLG_02[[#This Row],[Rit]],
    _xlfn.XLOOKUP($G$2,Int_Sample[Ore],Int_Sample[Inc])) = 0, "YES", "NO"),"")</f>
        <v>YES</v>
      </c>
      <c r="I144" s="32" t="str">
        <f>TEXT(HLG_02[[#This Row],[Batch]],"000")&amp; " / " &amp; TEXT(HLG_02[[#This Row],[Rit]],"000")</f>
        <v>003 / 050</v>
      </c>
      <c r="J144" s="34" t="s">
        <v>2624</v>
      </c>
      <c r="K144" s="38" t="s">
        <v>2611</v>
      </c>
      <c r="L144" s="35"/>
      <c r="M144" s="66"/>
      <c r="N144" s="66"/>
      <c r="O144" s="66"/>
      <c r="P144" s="66"/>
      <c r="Q144" s="66"/>
      <c r="R144" s="67"/>
      <c r="S144" s="67"/>
      <c r="T144" s="67"/>
      <c r="U144" s="66"/>
      <c r="V144" s="66"/>
      <c r="W144" s="66"/>
      <c r="X144" s="85"/>
      <c r="AP144" t="str">
        <v>STM-A40_0095</v>
      </c>
      <c r="AQ144" t="str">
        <v>STM-A40_0096</v>
      </c>
      <c r="AR144" t="str">
        <v>STM-A40_0097</v>
      </c>
      <c r="AS144" t="str">
        <v>STM-A40_0103</v>
      </c>
      <c r="AT144" t="str">
        <v>STM-A40_0131</v>
      </c>
      <c r="AU144" t="str">
        <v>STM-A40_0135</v>
      </c>
      <c r="AV144" t="str">
        <v>STM-A40_2010</v>
      </c>
    </row>
    <row r="145" spans="4:48" ht="15.75" x14ac:dyDescent="0.25">
      <c r="D145" s="3">
        <v>2</v>
      </c>
      <c r="F145" s="16" cm="1">
        <f t="array" ref="F1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45" s="31" cm="1">
        <f t="array" ref="G1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51</v>
      </c>
      <c r="H145" s="33" t="str">
        <f>_xlfn.IFNA(IF(MOD(HLG_02[[#This Row],[Rit]],
    _xlfn.XLOOKUP($G$2,Int_Sample[Ore],Int_Sample[Inc])) = 0, "YES", "NO"),"")</f>
        <v>NO</v>
      </c>
      <c r="I145" s="32" t="str">
        <f>TEXT(HLG_02[[#This Row],[Batch]],"000")&amp; " / " &amp; TEXT(HLG_02[[#This Row],[Rit]],"000")</f>
        <v>003 / 051</v>
      </c>
      <c r="J145" s="34"/>
      <c r="K145" s="38"/>
      <c r="L145" s="35"/>
      <c r="M145" s="66"/>
      <c r="N145" s="66"/>
      <c r="O145" s="66"/>
      <c r="P145" s="66"/>
      <c r="Q145" s="66"/>
      <c r="R145" s="67"/>
      <c r="S145" s="67"/>
      <c r="T145" s="67"/>
      <c r="U145" s="66"/>
      <c r="V145" s="66"/>
      <c r="W145" s="66"/>
      <c r="X145" s="85"/>
      <c r="AP145" t="str">
        <v/>
      </c>
      <c r="AQ145" t="e">
        <v>#N/A</v>
      </c>
      <c r="AR145" t="e">
        <v>#N/A</v>
      </c>
      <c r="AS145" t="e">
        <v>#N/A</v>
      </c>
      <c r="AT145" t="e">
        <v>#N/A</v>
      </c>
      <c r="AU145" t="e">
        <v>#N/A</v>
      </c>
      <c r="AV145" t="e">
        <v>#N/A</v>
      </c>
    </row>
    <row r="146" spans="4:48" ht="15.75" x14ac:dyDescent="0.25">
      <c r="D146" s="3">
        <v>2</v>
      </c>
      <c r="F146" s="16" cm="1">
        <f t="array" ref="F1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46" s="31" cm="1">
        <f t="array" ref="G1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52</v>
      </c>
      <c r="H146" s="33" t="str">
        <f>_xlfn.IFNA(IF(MOD(HLG_02[[#This Row],[Rit]],
    _xlfn.XLOOKUP($G$2,Int_Sample[Ore],Int_Sample[Inc])) = 0, "YES", "NO"),"")</f>
        <v>NO</v>
      </c>
      <c r="I146" s="32" t="str">
        <f>TEXT(HLG_02[[#This Row],[Batch]],"000")&amp; " / " &amp; TEXT(HLG_02[[#This Row],[Rit]],"000")</f>
        <v>003 / 052</v>
      </c>
      <c r="J146" s="34"/>
      <c r="K146" s="38"/>
      <c r="L146" s="35"/>
      <c r="M146" s="66"/>
      <c r="N146" s="66"/>
      <c r="O146" s="66"/>
      <c r="P146" s="66"/>
      <c r="Q146" s="66"/>
      <c r="R146" s="67"/>
      <c r="S146" s="67"/>
      <c r="T146" s="67"/>
      <c r="U146" s="66"/>
      <c r="V146" s="66"/>
      <c r="W146" s="66"/>
      <c r="X146" s="85"/>
      <c r="AP146" t="str">
        <v/>
      </c>
      <c r="AQ146" t="e">
        <v>#N/A</v>
      </c>
      <c r="AR146" t="e">
        <v>#N/A</v>
      </c>
      <c r="AS146" t="e">
        <v>#N/A</v>
      </c>
      <c r="AT146" t="e">
        <v>#N/A</v>
      </c>
      <c r="AU146" t="e">
        <v>#N/A</v>
      </c>
      <c r="AV146" t="e">
        <v>#N/A</v>
      </c>
    </row>
    <row r="147" spans="4:48" ht="15.75" x14ac:dyDescent="0.25">
      <c r="D147" s="3">
        <v>2</v>
      </c>
      <c r="F147" s="16" cm="1">
        <f t="array" ref="F1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47" s="31" cm="1">
        <f t="array" ref="G1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53</v>
      </c>
      <c r="H147" s="33" t="str">
        <f>_xlfn.IFNA(IF(MOD(HLG_02[[#This Row],[Rit]],
    _xlfn.XLOOKUP($G$2,Int_Sample[Ore],Int_Sample[Inc])) = 0, "YES", "NO"),"")</f>
        <v>NO</v>
      </c>
      <c r="I147" s="32" t="str">
        <f>TEXT(HLG_02[[#This Row],[Batch]],"000")&amp; " / " &amp; TEXT(HLG_02[[#This Row],[Rit]],"000")</f>
        <v>003 / 053</v>
      </c>
      <c r="J147" s="34"/>
      <c r="K147" s="38"/>
      <c r="L147" s="35"/>
      <c r="M147" s="66"/>
      <c r="N147" s="66"/>
      <c r="O147" s="66"/>
      <c r="P147" s="66"/>
      <c r="Q147" s="66"/>
      <c r="R147" s="67"/>
      <c r="S147" s="67"/>
      <c r="T147" s="67"/>
      <c r="U147" s="66"/>
      <c r="V147" s="66"/>
      <c r="W147" s="66"/>
      <c r="X147" s="85"/>
      <c r="AP147" t="str">
        <v/>
      </c>
      <c r="AQ147" t="e">
        <v>#N/A</v>
      </c>
      <c r="AR147" t="e">
        <v>#N/A</v>
      </c>
      <c r="AS147" t="e">
        <v>#N/A</v>
      </c>
      <c r="AT147" t="e">
        <v>#N/A</v>
      </c>
      <c r="AU147" t="e">
        <v>#N/A</v>
      </c>
      <c r="AV147" t="e">
        <v>#N/A</v>
      </c>
    </row>
    <row r="148" spans="4:48" ht="15.75" x14ac:dyDescent="0.25">
      <c r="D148" s="3">
        <v>2</v>
      </c>
      <c r="F148" s="16" cm="1">
        <f t="array" ref="F1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48" s="31" cm="1">
        <f t="array" ref="G1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54</v>
      </c>
      <c r="H148" s="33" t="str">
        <f>_xlfn.IFNA(IF(MOD(HLG_02[[#This Row],[Rit]],
    _xlfn.XLOOKUP($G$2,Int_Sample[Ore],Int_Sample[Inc])) = 0, "YES", "NO"),"")</f>
        <v>NO</v>
      </c>
      <c r="I148" s="32" t="str">
        <f>TEXT(HLG_02[[#This Row],[Batch]],"000")&amp; " / " &amp; TEXT(HLG_02[[#This Row],[Rit]],"000")</f>
        <v>003 / 054</v>
      </c>
      <c r="J148" s="34"/>
      <c r="K148" s="38"/>
      <c r="L148" s="35"/>
      <c r="M148" s="66"/>
      <c r="N148" s="66"/>
      <c r="O148" s="66"/>
      <c r="P148" s="66"/>
      <c r="Q148" s="66"/>
      <c r="R148" s="67"/>
      <c r="S148" s="67"/>
      <c r="T148" s="67"/>
      <c r="U148" s="66"/>
      <c r="V148" s="66"/>
      <c r="W148" s="66"/>
      <c r="X148" s="85"/>
      <c r="AP148" t="str">
        <v/>
      </c>
      <c r="AQ148" t="e">
        <v>#N/A</v>
      </c>
      <c r="AR148" t="e">
        <v>#N/A</v>
      </c>
      <c r="AS148" t="e">
        <v>#N/A</v>
      </c>
      <c r="AT148" t="e">
        <v>#N/A</v>
      </c>
      <c r="AU148" t="e">
        <v>#N/A</v>
      </c>
      <c r="AV148" t="e">
        <v>#N/A</v>
      </c>
    </row>
    <row r="149" spans="4:48" ht="15.75" x14ac:dyDescent="0.25">
      <c r="D149" s="3">
        <v>2</v>
      </c>
      <c r="F149" s="16" cm="1">
        <f t="array" ref="F1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49" s="31" cm="1">
        <f t="array" ref="G1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55</v>
      </c>
      <c r="H149" s="33" t="str">
        <f>_xlfn.IFNA(IF(MOD(HLG_02[[#This Row],[Rit]],
    _xlfn.XLOOKUP($G$2,Int_Sample[Ore],Int_Sample[Inc])) = 0, "YES", "NO"),"")</f>
        <v>YES</v>
      </c>
      <c r="I149" s="32" t="str">
        <f>TEXT(HLG_02[[#This Row],[Batch]],"000")&amp; " / " &amp; TEXT(HLG_02[[#This Row],[Rit]],"000")</f>
        <v>003 / 055</v>
      </c>
      <c r="J149" s="34"/>
      <c r="K149" s="38"/>
      <c r="L149" s="35"/>
      <c r="M149" s="66"/>
      <c r="N149" s="66"/>
      <c r="O149" s="66"/>
      <c r="P149" s="66"/>
      <c r="Q149" s="66"/>
      <c r="R149" s="67"/>
      <c r="S149" s="67"/>
      <c r="T149" s="67"/>
      <c r="U149" s="66"/>
      <c r="V149" s="66"/>
      <c r="W149" s="66"/>
      <c r="X149" s="85"/>
      <c r="AP149" t="str">
        <v/>
      </c>
      <c r="AQ149" t="e">
        <v>#N/A</v>
      </c>
      <c r="AR149" t="e">
        <v>#N/A</v>
      </c>
      <c r="AS149" t="e">
        <v>#N/A</v>
      </c>
      <c r="AT149" t="e">
        <v>#N/A</v>
      </c>
      <c r="AU149" t="e">
        <v>#N/A</v>
      </c>
      <c r="AV149" t="e">
        <v>#N/A</v>
      </c>
    </row>
    <row r="150" spans="4:48" ht="15.75" x14ac:dyDescent="0.25">
      <c r="D150" s="3">
        <v>2</v>
      </c>
      <c r="F150" s="16" cm="1">
        <f t="array" ref="F1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50" s="31" cm="1">
        <f t="array" ref="G1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56</v>
      </c>
      <c r="H150" s="33" t="str">
        <f>_xlfn.IFNA(IF(MOD(HLG_02[[#This Row],[Rit]],
    _xlfn.XLOOKUP($G$2,Int_Sample[Ore],Int_Sample[Inc])) = 0, "YES", "NO"),"")</f>
        <v>NO</v>
      </c>
      <c r="I150" s="32" t="str">
        <f>TEXT(HLG_02[[#This Row],[Batch]],"000")&amp; " / " &amp; TEXT(HLG_02[[#This Row],[Rit]],"000")</f>
        <v>003 / 056</v>
      </c>
      <c r="J150" s="34"/>
      <c r="K150" s="38"/>
      <c r="L150" s="35"/>
      <c r="M150" s="66"/>
      <c r="N150" s="66"/>
      <c r="O150" s="66"/>
      <c r="P150" s="66"/>
      <c r="Q150" s="66"/>
      <c r="R150" s="67"/>
      <c r="S150" s="67"/>
      <c r="T150" s="67"/>
      <c r="U150" s="66"/>
      <c r="V150" s="66"/>
      <c r="W150" s="66"/>
      <c r="X150" s="85"/>
      <c r="AP150" t="str">
        <v/>
      </c>
      <c r="AQ150" t="e">
        <v>#N/A</v>
      </c>
      <c r="AR150" t="e">
        <v>#N/A</v>
      </c>
      <c r="AS150" t="e">
        <v>#N/A</v>
      </c>
      <c r="AT150" t="e">
        <v>#N/A</v>
      </c>
      <c r="AU150" t="e">
        <v>#N/A</v>
      </c>
      <c r="AV150" t="e">
        <v>#N/A</v>
      </c>
    </row>
    <row r="151" spans="4:48" ht="15.75" x14ac:dyDescent="0.25">
      <c r="D151" s="3">
        <v>2</v>
      </c>
      <c r="F151" s="16" cm="1">
        <f t="array" ref="F1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51" s="31" cm="1">
        <f t="array" ref="G1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57</v>
      </c>
      <c r="H151" s="33" t="str">
        <f>_xlfn.IFNA(IF(MOD(HLG_02[[#This Row],[Rit]],
    _xlfn.XLOOKUP($G$2,Int_Sample[Ore],Int_Sample[Inc])) = 0, "YES", "NO"),"")</f>
        <v>NO</v>
      </c>
      <c r="I151" s="32" t="str">
        <f>TEXT(HLG_02[[#This Row],[Batch]],"000")&amp; " / " &amp; TEXT(HLG_02[[#This Row],[Rit]],"000")</f>
        <v>003 / 057</v>
      </c>
      <c r="J151" s="34"/>
      <c r="K151" s="38"/>
      <c r="L151" s="35"/>
      <c r="M151" s="66"/>
      <c r="N151" s="66"/>
      <c r="O151" s="66"/>
      <c r="P151" s="66"/>
      <c r="Q151" s="66"/>
      <c r="R151" s="67"/>
      <c r="S151" s="67"/>
      <c r="T151" s="67"/>
      <c r="U151" s="66"/>
      <c r="V151" s="66"/>
      <c r="W151" s="66"/>
      <c r="X151" s="85"/>
      <c r="AP151" t="str">
        <v/>
      </c>
      <c r="AQ151" t="e">
        <v>#N/A</v>
      </c>
      <c r="AR151" t="e">
        <v>#N/A</v>
      </c>
      <c r="AS151" t="e">
        <v>#N/A</v>
      </c>
      <c r="AT151" t="e">
        <v>#N/A</v>
      </c>
      <c r="AU151" t="e">
        <v>#N/A</v>
      </c>
      <c r="AV151" t="e">
        <v>#N/A</v>
      </c>
    </row>
    <row r="152" spans="4:48" ht="15.75" x14ac:dyDescent="0.25">
      <c r="D152" s="3">
        <v>2</v>
      </c>
      <c r="F152" s="16" cm="1">
        <f t="array" ref="F1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52" s="31" cm="1">
        <f t="array" ref="G1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58</v>
      </c>
      <c r="H152" s="33" t="str">
        <f>_xlfn.IFNA(IF(MOD(HLG_02[[#This Row],[Rit]],
    _xlfn.XLOOKUP($G$2,Int_Sample[Ore],Int_Sample[Inc])) = 0, "YES", "NO"),"")</f>
        <v>NO</v>
      </c>
      <c r="I152" s="32" t="str">
        <f>TEXT(HLG_02[[#This Row],[Batch]],"000")&amp; " / " &amp; TEXT(HLG_02[[#This Row],[Rit]],"000")</f>
        <v>003 / 058</v>
      </c>
      <c r="J152" s="34"/>
      <c r="K152" s="38"/>
      <c r="L152" s="35"/>
      <c r="M152" s="66"/>
      <c r="N152" s="66"/>
      <c r="O152" s="66"/>
      <c r="P152" s="66"/>
      <c r="Q152" s="66"/>
      <c r="R152" s="67"/>
      <c r="S152" s="67"/>
      <c r="T152" s="67"/>
      <c r="U152" s="66"/>
      <c r="V152" s="66"/>
      <c r="W152" s="66"/>
      <c r="X152" s="85"/>
      <c r="AP152" t="str">
        <v/>
      </c>
      <c r="AQ152" t="e">
        <v>#N/A</v>
      </c>
      <c r="AR152" t="e">
        <v>#N/A</v>
      </c>
      <c r="AS152" t="e">
        <v>#N/A</v>
      </c>
      <c r="AT152" t="e">
        <v>#N/A</v>
      </c>
      <c r="AU152" t="e">
        <v>#N/A</v>
      </c>
      <c r="AV152" t="e">
        <v>#N/A</v>
      </c>
    </row>
    <row r="153" spans="4:48" ht="15.75" x14ac:dyDescent="0.25">
      <c r="D153" s="3">
        <v>2</v>
      </c>
      <c r="F153" s="16" cm="1">
        <f t="array" ref="F1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53" s="31" cm="1">
        <f t="array" ref="G1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59</v>
      </c>
      <c r="H153" s="33" t="str">
        <f>_xlfn.IFNA(IF(MOD(HLG_02[[#This Row],[Rit]],
    _xlfn.XLOOKUP($G$2,Int_Sample[Ore],Int_Sample[Inc])) = 0, "YES", "NO"),"")</f>
        <v>NO</v>
      </c>
      <c r="I153" s="32" t="str">
        <f>TEXT(HLG_02[[#This Row],[Batch]],"000")&amp; " / " &amp; TEXT(HLG_02[[#This Row],[Rit]],"000")</f>
        <v>003 / 059</v>
      </c>
      <c r="J153" s="34"/>
      <c r="K153" s="38"/>
      <c r="L153" s="35"/>
      <c r="M153" s="66"/>
      <c r="N153" s="66"/>
      <c r="O153" s="66"/>
      <c r="P153" s="66"/>
      <c r="Q153" s="66"/>
      <c r="R153" s="67"/>
      <c r="S153" s="67"/>
      <c r="T153" s="67"/>
      <c r="U153" s="66"/>
      <c r="V153" s="66"/>
      <c r="W153" s="66"/>
      <c r="X153" s="85"/>
      <c r="AP153" t="str">
        <v/>
      </c>
      <c r="AQ153" t="e">
        <v>#N/A</v>
      </c>
      <c r="AR153" t="e">
        <v>#N/A</v>
      </c>
      <c r="AS153" t="e">
        <v>#N/A</v>
      </c>
      <c r="AT153" t="e">
        <v>#N/A</v>
      </c>
      <c r="AU153" t="e">
        <v>#N/A</v>
      </c>
      <c r="AV153" t="e">
        <v>#N/A</v>
      </c>
    </row>
    <row r="154" spans="4:48" ht="15.75" x14ac:dyDescent="0.25">
      <c r="D154" s="3">
        <v>2</v>
      </c>
      <c r="F154" s="16" cm="1">
        <f t="array" ref="F1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54" s="31" cm="1">
        <f t="array" ref="G1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60</v>
      </c>
      <c r="H154" s="33" t="str">
        <f>_xlfn.IFNA(IF(MOD(HLG_02[[#This Row],[Rit]],
    _xlfn.XLOOKUP($G$2,Int_Sample[Ore],Int_Sample[Inc])) = 0, "YES", "NO"),"")</f>
        <v>YES</v>
      </c>
      <c r="I154" s="32" t="str">
        <f>TEXT(HLG_02[[#This Row],[Batch]],"000")&amp; " / " &amp; TEXT(HLG_02[[#This Row],[Rit]],"000")</f>
        <v>003 / 060</v>
      </c>
      <c r="J154" s="34"/>
      <c r="K154" s="38"/>
      <c r="L154" s="35"/>
      <c r="M154" s="66"/>
      <c r="N154" s="66"/>
      <c r="O154" s="66"/>
      <c r="P154" s="66"/>
      <c r="Q154" s="66"/>
      <c r="R154" s="67"/>
      <c r="S154" s="67"/>
      <c r="T154" s="67"/>
      <c r="U154" s="66"/>
      <c r="V154" s="66"/>
      <c r="W154" s="66"/>
      <c r="X154" s="85"/>
      <c r="AP154" t="str">
        <v/>
      </c>
      <c r="AQ154" t="e">
        <v>#N/A</v>
      </c>
      <c r="AR154" t="e">
        <v>#N/A</v>
      </c>
      <c r="AS154" t="e">
        <v>#N/A</v>
      </c>
      <c r="AT154" t="e">
        <v>#N/A</v>
      </c>
      <c r="AU154" t="e">
        <v>#N/A</v>
      </c>
      <c r="AV154" t="e">
        <v>#N/A</v>
      </c>
    </row>
    <row r="155" spans="4:48" ht="15.75" x14ac:dyDescent="0.25">
      <c r="D155" s="3">
        <v>2</v>
      </c>
      <c r="F155" s="16" cm="1">
        <f t="array" ref="F1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55" s="31" cm="1">
        <f t="array" ref="G1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61</v>
      </c>
      <c r="H155" s="33" t="str">
        <f>_xlfn.IFNA(IF(MOD(HLG_02[[#This Row],[Rit]],
    _xlfn.XLOOKUP($G$2,Int_Sample[Ore],Int_Sample[Inc])) = 0, "YES", "NO"),"")</f>
        <v>NO</v>
      </c>
      <c r="I155" s="32" t="str">
        <f>TEXT(HLG_02[[#This Row],[Batch]],"000")&amp; " / " &amp; TEXT(HLG_02[[#This Row],[Rit]],"000")</f>
        <v>003 / 061</v>
      </c>
      <c r="J155" s="34"/>
      <c r="K155" s="38"/>
      <c r="L155" s="35"/>
      <c r="M155" s="66"/>
      <c r="N155" s="66"/>
      <c r="O155" s="66"/>
      <c r="P155" s="66"/>
      <c r="Q155" s="66"/>
      <c r="R155" s="67"/>
      <c r="S155" s="67"/>
      <c r="T155" s="67"/>
      <c r="U155" s="66"/>
      <c r="V155" s="66"/>
      <c r="W155" s="66"/>
      <c r="X155" s="85"/>
      <c r="AP155" t="str">
        <v/>
      </c>
      <c r="AQ155" t="e">
        <v>#N/A</v>
      </c>
      <c r="AR155" t="e">
        <v>#N/A</v>
      </c>
      <c r="AS155" t="e">
        <v>#N/A</v>
      </c>
      <c r="AT155" t="e">
        <v>#N/A</v>
      </c>
      <c r="AU155" t="e">
        <v>#N/A</v>
      </c>
      <c r="AV155" t="e">
        <v>#N/A</v>
      </c>
    </row>
    <row r="156" spans="4:48" ht="15.75" x14ac:dyDescent="0.25">
      <c r="D156" s="3">
        <v>2</v>
      </c>
      <c r="F156" s="16" cm="1">
        <f t="array" ref="F1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56" s="31" cm="1">
        <f t="array" ref="G1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62</v>
      </c>
      <c r="H156" s="33" t="str">
        <f>_xlfn.IFNA(IF(MOD(HLG_02[[#This Row],[Rit]],
    _xlfn.XLOOKUP($G$2,Int_Sample[Ore],Int_Sample[Inc])) = 0, "YES", "NO"),"")</f>
        <v>NO</v>
      </c>
      <c r="I156" s="32" t="str">
        <f>TEXT(HLG_02[[#This Row],[Batch]],"000")&amp; " / " &amp; TEXT(HLG_02[[#This Row],[Rit]],"000")</f>
        <v>003 / 062</v>
      </c>
      <c r="J156" s="34"/>
      <c r="K156" s="38"/>
      <c r="L156" s="35"/>
      <c r="M156" s="66"/>
      <c r="N156" s="66"/>
      <c r="O156" s="66"/>
      <c r="P156" s="66"/>
      <c r="Q156" s="66"/>
      <c r="R156" s="67"/>
      <c r="S156" s="67"/>
      <c r="T156" s="67"/>
      <c r="U156" s="66"/>
      <c r="V156" s="66"/>
      <c r="W156" s="66"/>
      <c r="X156" s="85"/>
      <c r="AP156" t="str">
        <v/>
      </c>
      <c r="AQ156" t="e">
        <v>#N/A</v>
      </c>
      <c r="AR156" t="e">
        <v>#N/A</v>
      </c>
      <c r="AS156" t="e">
        <v>#N/A</v>
      </c>
      <c r="AT156" t="e">
        <v>#N/A</v>
      </c>
      <c r="AU156" t="e">
        <v>#N/A</v>
      </c>
      <c r="AV156" t="e">
        <v>#N/A</v>
      </c>
    </row>
    <row r="157" spans="4:48" ht="15.75" x14ac:dyDescent="0.25">
      <c r="D157" s="3">
        <v>2</v>
      </c>
      <c r="F157" s="16" cm="1">
        <f t="array" ref="F1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57" s="31" cm="1">
        <f t="array" ref="G1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63</v>
      </c>
      <c r="H157" s="33" t="str">
        <f>_xlfn.IFNA(IF(MOD(HLG_02[[#This Row],[Rit]],
    _xlfn.XLOOKUP($G$2,Int_Sample[Ore],Int_Sample[Inc])) = 0, "YES", "NO"),"")</f>
        <v>NO</v>
      </c>
      <c r="I157" s="32" t="str">
        <f>TEXT(HLG_02[[#This Row],[Batch]],"000")&amp; " / " &amp; TEXT(HLG_02[[#This Row],[Rit]],"000")</f>
        <v>003 / 063</v>
      </c>
      <c r="J157" s="34"/>
      <c r="K157" s="38"/>
      <c r="L157" s="35"/>
      <c r="M157" s="66"/>
      <c r="N157" s="66"/>
      <c r="O157" s="66"/>
      <c r="P157" s="66"/>
      <c r="Q157" s="66"/>
      <c r="R157" s="67"/>
      <c r="S157" s="67"/>
      <c r="T157" s="67"/>
      <c r="U157" s="66"/>
      <c r="V157" s="66"/>
      <c r="W157" s="66"/>
      <c r="X157" s="85"/>
      <c r="AP157" t="str">
        <v/>
      </c>
      <c r="AQ157" t="e">
        <v>#N/A</v>
      </c>
      <c r="AR157" t="e">
        <v>#N/A</v>
      </c>
      <c r="AS157" t="e">
        <v>#N/A</v>
      </c>
      <c r="AT157" t="e">
        <v>#N/A</v>
      </c>
      <c r="AU157" t="e">
        <v>#N/A</v>
      </c>
      <c r="AV157" t="e">
        <v>#N/A</v>
      </c>
    </row>
    <row r="158" spans="4:48" ht="15.75" x14ac:dyDescent="0.25">
      <c r="D158" s="3">
        <v>2</v>
      </c>
      <c r="F158" s="16" cm="1">
        <f t="array" ref="F1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58" s="31" cm="1">
        <f t="array" ref="G1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64</v>
      </c>
      <c r="H158" s="33" t="str">
        <f>_xlfn.IFNA(IF(MOD(HLG_02[[#This Row],[Rit]],
    _xlfn.XLOOKUP($G$2,Int_Sample[Ore],Int_Sample[Inc])) = 0, "YES", "NO"),"")</f>
        <v>NO</v>
      </c>
      <c r="I158" s="32" t="str">
        <f>TEXT(HLG_02[[#This Row],[Batch]],"000")&amp; " / " &amp; TEXT(HLG_02[[#This Row],[Rit]],"000")</f>
        <v>003 / 064</v>
      </c>
      <c r="J158" s="34"/>
      <c r="K158" s="38"/>
      <c r="L158" s="35"/>
      <c r="M158" s="66"/>
      <c r="N158" s="66"/>
      <c r="O158" s="66"/>
      <c r="P158" s="66"/>
      <c r="Q158" s="66"/>
      <c r="R158" s="67"/>
      <c r="S158" s="67"/>
      <c r="T158" s="67"/>
      <c r="U158" s="66"/>
      <c r="V158" s="66"/>
      <c r="W158" s="66"/>
      <c r="X158" s="85"/>
      <c r="AP158" t="str">
        <v/>
      </c>
      <c r="AQ158" t="e">
        <v>#N/A</v>
      </c>
      <c r="AR158" t="e">
        <v>#N/A</v>
      </c>
      <c r="AS158" t="e">
        <v>#N/A</v>
      </c>
      <c r="AT158" t="e">
        <v>#N/A</v>
      </c>
      <c r="AU158" t="e">
        <v>#N/A</v>
      </c>
      <c r="AV158" t="e">
        <v>#N/A</v>
      </c>
    </row>
    <row r="159" spans="4:48" ht="15.75" x14ac:dyDescent="0.25">
      <c r="D159" s="3">
        <v>2</v>
      </c>
      <c r="F159" s="16" cm="1">
        <f t="array" ref="F1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59" s="31" cm="1">
        <f t="array" ref="G1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65</v>
      </c>
      <c r="H159" s="33" t="str">
        <f>_xlfn.IFNA(IF(MOD(HLG_02[[#This Row],[Rit]],
    _xlfn.XLOOKUP($G$2,Int_Sample[Ore],Int_Sample[Inc])) = 0, "YES", "NO"),"")</f>
        <v>YES</v>
      </c>
      <c r="I159" s="32" t="str">
        <f>TEXT(HLG_02[[#This Row],[Batch]],"000")&amp; " / " &amp; TEXT(HLG_02[[#This Row],[Rit]],"000")</f>
        <v>003 / 065</v>
      </c>
      <c r="J159" s="34"/>
      <c r="K159" s="38"/>
      <c r="L159" s="35"/>
      <c r="M159" s="66"/>
      <c r="N159" s="66"/>
      <c r="O159" s="66"/>
      <c r="P159" s="66"/>
      <c r="Q159" s="66"/>
      <c r="R159" s="67"/>
      <c r="S159" s="67"/>
      <c r="T159" s="67"/>
      <c r="U159" s="66"/>
      <c r="V159" s="66"/>
      <c r="W159" s="66"/>
      <c r="X159" s="85"/>
      <c r="AP159" t="str">
        <v/>
      </c>
      <c r="AQ159" t="e">
        <v>#N/A</v>
      </c>
      <c r="AR159" t="e">
        <v>#N/A</v>
      </c>
      <c r="AS159" t="e">
        <v>#N/A</v>
      </c>
      <c r="AT159" t="e">
        <v>#N/A</v>
      </c>
      <c r="AU159" t="e">
        <v>#N/A</v>
      </c>
      <c r="AV159" t="e">
        <v>#N/A</v>
      </c>
    </row>
    <row r="160" spans="4:48" ht="15.75" x14ac:dyDescent="0.25">
      <c r="D160" s="3">
        <v>2</v>
      </c>
      <c r="F160" s="16" cm="1">
        <f t="array" ref="F1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60" s="31" cm="1">
        <f t="array" ref="G1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66</v>
      </c>
      <c r="H160" s="33" t="str">
        <f>_xlfn.IFNA(IF(MOD(HLG_02[[#This Row],[Rit]],
    _xlfn.XLOOKUP($G$2,Int_Sample[Ore],Int_Sample[Inc])) = 0, "YES", "NO"),"")</f>
        <v>NO</v>
      </c>
      <c r="I160" s="32" t="str">
        <f>TEXT(HLG_02[[#This Row],[Batch]],"000")&amp; " / " &amp; TEXT(HLG_02[[#This Row],[Rit]],"000")</f>
        <v>003 / 066</v>
      </c>
      <c r="J160" s="34"/>
      <c r="K160" s="38"/>
      <c r="L160" s="35"/>
      <c r="M160" s="66"/>
      <c r="N160" s="66"/>
      <c r="O160" s="66"/>
      <c r="P160" s="66"/>
      <c r="Q160" s="66"/>
      <c r="R160" s="67"/>
      <c r="S160" s="67"/>
      <c r="T160" s="67"/>
      <c r="U160" s="66"/>
      <c r="V160" s="66"/>
      <c r="W160" s="66"/>
      <c r="X160" s="85"/>
      <c r="AP160" t="str">
        <v/>
      </c>
      <c r="AQ160" t="e">
        <v>#N/A</v>
      </c>
      <c r="AR160" t="e">
        <v>#N/A</v>
      </c>
      <c r="AS160" t="e">
        <v>#N/A</v>
      </c>
      <c r="AT160" t="e">
        <v>#N/A</v>
      </c>
      <c r="AU160" t="e">
        <v>#N/A</v>
      </c>
      <c r="AV160" t="e">
        <v>#N/A</v>
      </c>
    </row>
    <row r="161" spans="4:48" ht="15.75" x14ac:dyDescent="0.25">
      <c r="D161" s="3">
        <v>2</v>
      </c>
      <c r="F161" s="16" cm="1">
        <f t="array" ref="F1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61" s="31" cm="1">
        <f t="array" ref="G1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67</v>
      </c>
      <c r="H161" s="33" t="str">
        <f>_xlfn.IFNA(IF(MOD(HLG_02[[#This Row],[Rit]],
    _xlfn.XLOOKUP($G$2,Int_Sample[Ore],Int_Sample[Inc])) = 0, "YES", "NO"),"")</f>
        <v>NO</v>
      </c>
      <c r="I161" s="32" t="str">
        <f>TEXT(HLG_02[[#This Row],[Batch]],"000")&amp; " / " &amp; TEXT(HLG_02[[#This Row],[Rit]],"000")</f>
        <v>003 / 067</v>
      </c>
      <c r="J161" s="34"/>
      <c r="K161" s="38"/>
      <c r="L161" s="35"/>
      <c r="M161" s="66"/>
      <c r="N161" s="66"/>
      <c r="O161" s="66"/>
      <c r="P161" s="66"/>
      <c r="Q161" s="66"/>
      <c r="R161" s="67"/>
      <c r="S161" s="67"/>
      <c r="T161" s="67"/>
      <c r="U161" s="66"/>
      <c r="V161" s="66"/>
      <c r="W161" s="66"/>
      <c r="X161" s="85"/>
      <c r="AP161" t="str">
        <v/>
      </c>
      <c r="AQ161" t="e">
        <v>#N/A</v>
      </c>
      <c r="AR161" t="e">
        <v>#N/A</v>
      </c>
      <c r="AS161" t="e">
        <v>#N/A</v>
      </c>
      <c r="AT161" t="e">
        <v>#N/A</v>
      </c>
      <c r="AU161" t="e">
        <v>#N/A</v>
      </c>
      <c r="AV161" t="e">
        <v>#N/A</v>
      </c>
    </row>
    <row r="162" spans="4:48" ht="15.75" x14ac:dyDescent="0.25">
      <c r="D162" s="3">
        <v>2</v>
      </c>
      <c r="F162" s="16" cm="1">
        <f t="array" ref="F1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62" s="31" cm="1">
        <f t="array" ref="G1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68</v>
      </c>
      <c r="H162" s="33" t="str">
        <f>_xlfn.IFNA(IF(MOD(HLG_02[[#This Row],[Rit]],
    _xlfn.XLOOKUP($G$2,Int_Sample[Ore],Int_Sample[Inc])) = 0, "YES", "NO"),"")</f>
        <v>NO</v>
      </c>
      <c r="I162" s="32" t="str">
        <f>TEXT(HLG_02[[#This Row],[Batch]],"000")&amp; " / " &amp; TEXT(HLG_02[[#This Row],[Rit]],"000")</f>
        <v>003 / 068</v>
      </c>
      <c r="J162" s="34"/>
      <c r="K162" s="38"/>
      <c r="L162" s="35"/>
      <c r="M162" s="66"/>
      <c r="N162" s="66"/>
      <c r="O162" s="66"/>
      <c r="P162" s="66"/>
      <c r="Q162" s="66"/>
      <c r="R162" s="67"/>
      <c r="S162" s="67"/>
      <c r="T162" s="67"/>
      <c r="U162" s="66"/>
      <c r="V162" s="66"/>
      <c r="W162" s="66"/>
      <c r="X162" s="85"/>
      <c r="AP162" t="str">
        <v/>
      </c>
      <c r="AQ162" t="e">
        <v>#N/A</v>
      </c>
      <c r="AR162" t="e">
        <v>#N/A</v>
      </c>
      <c r="AS162" t="e">
        <v>#N/A</v>
      </c>
      <c r="AT162" t="e">
        <v>#N/A</v>
      </c>
      <c r="AU162" t="e">
        <v>#N/A</v>
      </c>
      <c r="AV162" t="e">
        <v>#N/A</v>
      </c>
    </row>
    <row r="163" spans="4:48" ht="15.75" x14ac:dyDescent="0.25">
      <c r="D163" s="3">
        <v>2</v>
      </c>
      <c r="F163" s="16" cm="1">
        <f t="array" ref="F1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63" s="31" cm="1">
        <f t="array" ref="G1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69</v>
      </c>
      <c r="H163" s="33" t="str">
        <f>_xlfn.IFNA(IF(MOD(HLG_02[[#This Row],[Rit]],
    _xlfn.XLOOKUP($G$2,Int_Sample[Ore],Int_Sample[Inc])) = 0, "YES", "NO"),"")</f>
        <v>NO</v>
      </c>
      <c r="I163" s="32" t="str">
        <f>TEXT(HLG_02[[#This Row],[Batch]],"000")&amp; " / " &amp; TEXT(HLG_02[[#This Row],[Rit]],"000")</f>
        <v>003 / 069</v>
      </c>
      <c r="J163" s="34"/>
      <c r="K163" s="38"/>
      <c r="L163" s="35"/>
      <c r="M163" s="66"/>
      <c r="N163" s="66"/>
      <c r="O163" s="66"/>
      <c r="P163" s="66"/>
      <c r="Q163" s="66"/>
      <c r="R163" s="67"/>
      <c r="S163" s="67"/>
      <c r="T163" s="67"/>
      <c r="U163" s="66"/>
      <c r="V163" s="66"/>
      <c r="W163" s="66"/>
      <c r="X163" s="85"/>
      <c r="AP163" t="str">
        <v/>
      </c>
      <c r="AQ163" t="e">
        <v>#N/A</v>
      </c>
      <c r="AR163" t="e">
        <v>#N/A</v>
      </c>
      <c r="AS163" t="e">
        <v>#N/A</v>
      </c>
      <c r="AT163" t="e">
        <v>#N/A</v>
      </c>
      <c r="AU163" t="e">
        <v>#N/A</v>
      </c>
      <c r="AV163" t="e">
        <v>#N/A</v>
      </c>
    </row>
    <row r="164" spans="4:48" ht="15.75" x14ac:dyDescent="0.25">
      <c r="D164" s="3">
        <v>2</v>
      </c>
      <c r="F164" s="16" cm="1">
        <f t="array" ref="F1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64" s="31" cm="1">
        <f t="array" ref="G1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70</v>
      </c>
      <c r="H164" s="33" t="str">
        <f>_xlfn.IFNA(IF(MOD(HLG_02[[#This Row],[Rit]],
    _xlfn.XLOOKUP($G$2,Int_Sample[Ore],Int_Sample[Inc])) = 0, "YES", "NO"),"")</f>
        <v>YES</v>
      </c>
      <c r="I164" s="32" t="str">
        <f>TEXT(HLG_02[[#This Row],[Batch]],"000")&amp; " / " &amp; TEXT(HLG_02[[#This Row],[Rit]],"000")</f>
        <v>003 / 070</v>
      </c>
      <c r="J164" s="34"/>
      <c r="K164" s="38"/>
      <c r="L164" s="35"/>
      <c r="M164" s="66"/>
      <c r="N164" s="66"/>
      <c r="O164" s="66"/>
      <c r="P164" s="66"/>
      <c r="Q164" s="66"/>
      <c r="R164" s="67"/>
      <c r="S164" s="67"/>
      <c r="T164" s="67"/>
      <c r="U164" s="66"/>
      <c r="V164" s="66"/>
      <c r="W164" s="66"/>
      <c r="X164" s="85"/>
      <c r="AP164" t="str">
        <v/>
      </c>
      <c r="AQ164" t="e">
        <v>#N/A</v>
      </c>
      <c r="AR164" t="e">
        <v>#N/A</v>
      </c>
      <c r="AS164" t="e">
        <v>#N/A</v>
      </c>
      <c r="AT164" t="e">
        <v>#N/A</v>
      </c>
      <c r="AU164" t="e">
        <v>#N/A</v>
      </c>
      <c r="AV164" t="e">
        <v>#N/A</v>
      </c>
    </row>
    <row r="165" spans="4:48" ht="15.75" x14ac:dyDescent="0.25">
      <c r="D165" s="3">
        <v>2</v>
      </c>
      <c r="F165" s="16" cm="1">
        <f t="array" ref="F1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65" s="31" cm="1">
        <f t="array" ref="G1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71</v>
      </c>
      <c r="H165" s="33" t="str">
        <f>_xlfn.IFNA(IF(MOD(HLG_02[[#This Row],[Rit]],
    _xlfn.XLOOKUP($G$2,Int_Sample[Ore],Int_Sample[Inc])) = 0, "YES", "NO"),"")</f>
        <v>NO</v>
      </c>
      <c r="I165" s="32" t="str">
        <f>TEXT(HLG_02[[#This Row],[Batch]],"000")&amp; " / " &amp; TEXT(HLG_02[[#This Row],[Rit]],"000")</f>
        <v>003 / 071</v>
      </c>
      <c r="J165" s="34"/>
      <c r="K165" s="38"/>
      <c r="L165" s="35"/>
      <c r="M165" s="66"/>
      <c r="N165" s="66"/>
      <c r="O165" s="66"/>
      <c r="P165" s="66"/>
      <c r="Q165" s="66"/>
      <c r="R165" s="67"/>
      <c r="S165" s="67"/>
      <c r="T165" s="67"/>
      <c r="U165" s="66"/>
      <c r="V165" s="66"/>
      <c r="W165" s="66"/>
      <c r="X165" s="85"/>
      <c r="AP165" t="str">
        <v/>
      </c>
      <c r="AQ165" t="e">
        <v>#N/A</v>
      </c>
      <c r="AR165" t="e">
        <v>#N/A</v>
      </c>
      <c r="AS165" t="e">
        <v>#N/A</v>
      </c>
      <c r="AT165" t="e">
        <v>#N/A</v>
      </c>
      <c r="AU165" t="e">
        <v>#N/A</v>
      </c>
      <c r="AV165" t="e">
        <v>#N/A</v>
      </c>
    </row>
    <row r="166" spans="4:48" ht="15.75" x14ac:dyDescent="0.25">
      <c r="D166" s="3">
        <v>2</v>
      </c>
      <c r="F166" s="16" cm="1">
        <f t="array" ref="F1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66" s="31" cm="1">
        <f t="array" ref="G1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72</v>
      </c>
      <c r="H166" s="33" t="str">
        <f>_xlfn.IFNA(IF(MOD(HLG_02[[#This Row],[Rit]],
    _xlfn.XLOOKUP($G$2,Int_Sample[Ore],Int_Sample[Inc])) = 0, "YES", "NO"),"")</f>
        <v>NO</v>
      </c>
      <c r="I166" s="32" t="str">
        <f>TEXT(HLG_02[[#This Row],[Batch]],"000")&amp; " / " &amp; TEXT(HLG_02[[#This Row],[Rit]],"000")</f>
        <v>003 / 072</v>
      </c>
      <c r="J166" s="34"/>
      <c r="K166" s="38"/>
      <c r="L166" s="35"/>
      <c r="M166" s="66"/>
      <c r="N166" s="66"/>
      <c r="O166" s="66"/>
      <c r="P166" s="66"/>
      <c r="Q166" s="66"/>
      <c r="R166" s="67"/>
      <c r="S166" s="67"/>
      <c r="T166" s="67"/>
      <c r="U166" s="66"/>
      <c r="V166" s="66"/>
      <c r="W166" s="66"/>
      <c r="X166" s="85"/>
      <c r="AP166" t="str">
        <v/>
      </c>
      <c r="AQ166" t="e">
        <v>#N/A</v>
      </c>
      <c r="AR166" t="e">
        <v>#N/A</v>
      </c>
      <c r="AS166" t="e">
        <v>#N/A</v>
      </c>
      <c r="AT166" t="e">
        <v>#N/A</v>
      </c>
      <c r="AU166" t="e">
        <v>#N/A</v>
      </c>
      <c r="AV166" t="e">
        <v>#N/A</v>
      </c>
    </row>
    <row r="167" spans="4:48" ht="15.75" x14ac:dyDescent="0.25">
      <c r="D167" s="3">
        <v>2</v>
      </c>
      <c r="F167" s="16" cm="1">
        <f t="array" ref="F1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67" s="31" cm="1">
        <f t="array" ref="G1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73</v>
      </c>
      <c r="H167" s="33" t="str">
        <f>_xlfn.IFNA(IF(MOD(HLG_02[[#This Row],[Rit]],
    _xlfn.XLOOKUP($G$2,Int_Sample[Ore],Int_Sample[Inc])) = 0, "YES", "NO"),"")</f>
        <v>NO</v>
      </c>
      <c r="I167" s="32" t="str">
        <f>TEXT(HLG_02[[#This Row],[Batch]],"000")&amp; " / " &amp; TEXT(HLG_02[[#This Row],[Rit]],"000")</f>
        <v>003 / 073</v>
      </c>
      <c r="J167" s="34"/>
      <c r="K167" s="38"/>
      <c r="L167" s="35"/>
      <c r="M167" s="66"/>
      <c r="N167" s="66"/>
      <c r="O167" s="66"/>
      <c r="P167" s="66"/>
      <c r="Q167" s="66"/>
      <c r="R167" s="67"/>
      <c r="S167" s="67"/>
      <c r="T167" s="67"/>
      <c r="U167" s="66"/>
      <c r="V167" s="66"/>
      <c r="W167" s="66"/>
      <c r="X167" s="85"/>
      <c r="AP167" t="str">
        <v/>
      </c>
      <c r="AQ167" t="e">
        <v>#N/A</v>
      </c>
      <c r="AR167" t="e">
        <v>#N/A</v>
      </c>
      <c r="AS167" t="e">
        <v>#N/A</v>
      </c>
      <c r="AT167" t="e">
        <v>#N/A</v>
      </c>
      <c r="AU167" t="e">
        <v>#N/A</v>
      </c>
      <c r="AV167" t="e">
        <v>#N/A</v>
      </c>
    </row>
    <row r="168" spans="4:48" ht="15.75" x14ac:dyDescent="0.25">
      <c r="D168" s="3">
        <v>2</v>
      </c>
      <c r="F168" s="16" cm="1">
        <f t="array" ref="F1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68" s="31" cm="1">
        <f t="array" ref="G1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74</v>
      </c>
      <c r="H168" s="33" t="str">
        <f>_xlfn.IFNA(IF(MOD(HLG_02[[#This Row],[Rit]],
    _xlfn.XLOOKUP($G$2,Int_Sample[Ore],Int_Sample[Inc])) = 0, "YES", "NO"),"")</f>
        <v>NO</v>
      </c>
      <c r="I168" s="32" t="str">
        <f>TEXT(HLG_02[[#This Row],[Batch]],"000")&amp; " / " &amp; TEXT(HLG_02[[#This Row],[Rit]],"000")</f>
        <v>003 / 074</v>
      </c>
      <c r="J168" s="34"/>
      <c r="K168" s="38"/>
      <c r="L168" s="35"/>
      <c r="M168" s="66"/>
      <c r="N168" s="66"/>
      <c r="O168" s="66"/>
      <c r="P168" s="66"/>
      <c r="Q168" s="66"/>
      <c r="R168" s="67"/>
      <c r="S168" s="67"/>
      <c r="T168" s="67"/>
      <c r="U168" s="66"/>
      <c r="V168" s="66"/>
      <c r="W168" s="66"/>
      <c r="X168" s="85"/>
      <c r="AP168" t="str">
        <v/>
      </c>
      <c r="AQ168" t="e">
        <v>#N/A</v>
      </c>
      <c r="AR168" t="e">
        <v>#N/A</v>
      </c>
      <c r="AS168" t="e">
        <v>#N/A</v>
      </c>
      <c r="AT168" t="e">
        <v>#N/A</v>
      </c>
      <c r="AU168" t="e">
        <v>#N/A</v>
      </c>
      <c r="AV168" t="e">
        <v>#N/A</v>
      </c>
    </row>
    <row r="169" spans="4:48" ht="15.75" x14ac:dyDescent="0.25">
      <c r="D169" s="3">
        <v>2</v>
      </c>
      <c r="F169" s="16" cm="1">
        <f t="array" ref="F1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69" s="31" cm="1">
        <f t="array" ref="G1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75</v>
      </c>
      <c r="H169" s="33" t="str">
        <f>_xlfn.IFNA(IF(MOD(HLG_02[[#This Row],[Rit]],
    _xlfn.XLOOKUP($G$2,Int_Sample[Ore],Int_Sample[Inc])) = 0, "YES", "NO"),"")</f>
        <v>YES</v>
      </c>
      <c r="I169" s="32" t="str">
        <f>TEXT(HLG_02[[#This Row],[Batch]],"000")&amp; " / " &amp; TEXT(HLG_02[[#This Row],[Rit]],"000")</f>
        <v>003 / 075</v>
      </c>
      <c r="J169" s="34"/>
      <c r="K169" s="38"/>
      <c r="L169" s="35"/>
      <c r="M169" s="66"/>
      <c r="N169" s="66"/>
      <c r="O169" s="66"/>
      <c r="P169" s="66"/>
      <c r="Q169" s="66"/>
      <c r="R169" s="67"/>
      <c r="S169" s="67"/>
      <c r="T169" s="67"/>
      <c r="U169" s="66"/>
      <c r="V169" s="66"/>
      <c r="W169" s="66"/>
      <c r="X169" s="85"/>
      <c r="AP169" t="str">
        <v/>
      </c>
      <c r="AQ169" t="e">
        <v>#N/A</v>
      </c>
      <c r="AR169" t="e">
        <v>#N/A</v>
      </c>
      <c r="AS169" t="e">
        <v>#N/A</v>
      </c>
      <c r="AT169" t="e">
        <v>#N/A</v>
      </c>
      <c r="AU169" t="e">
        <v>#N/A</v>
      </c>
      <c r="AV169" t="e">
        <v>#N/A</v>
      </c>
    </row>
    <row r="170" spans="4:48" ht="15.75" x14ac:dyDescent="0.25">
      <c r="D170" s="3">
        <v>2</v>
      </c>
      <c r="F170" s="16" cm="1">
        <f t="array" ref="F1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70" s="31" cm="1">
        <f t="array" ref="G1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76</v>
      </c>
      <c r="H170" s="33" t="str">
        <f>_xlfn.IFNA(IF(MOD(HLG_02[[#This Row],[Rit]],
    _xlfn.XLOOKUP($G$2,Int_Sample[Ore],Int_Sample[Inc])) = 0, "YES", "NO"),"")</f>
        <v>NO</v>
      </c>
      <c r="I170" s="32" t="str">
        <f>TEXT(HLG_02[[#This Row],[Batch]],"000")&amp; " / " &amp; TEXT(HLG_02[[#This Row],[Rit]],"000")</f>
        <v>003 / 076</v>
      </c>
      <c r="J170" s="34"/>
      <c r="K170" s="38"/>
      <c r="L170" s="35"/>
      <c r="M170" s="66"/>
      <c r="N170" s="66"/>
      <c r="O170" s="66"/>
      <c r="P170" s="66"/>
      <c r="Q170" s="66"/>
      <c r="R170" s="67"/>
      <c r="S170" s="67"/>
      <c r="T170" s="67"/>
      <c r="U170" s="66"/>
      <c r="V170" s="66"/>
      <c r="W170" s="66"/>
      <c r="X170" s="85"/>
      <c r="AP170" t="str">
        <v/>
      </c>
      <c r="AQ170" t="e">
        <v>#N/A</v>
      </c>
      <c r="AR170" t="e">
        <v>#N/A</v>
      </c>
      <c r="AS170" t="e">
        <v>#N/A</v>
      </c>
      <c r="AT170" t="e">
        <v>#N/A</v>
      </c>
      <c r="AU170" t="e">
        <v>#N/A</v>
      </c>
      <c r="AV170" t="e">
        <v>#N/A</v>
      </c>
    </row>
    <row r="171" spans="4:48" ht="15.75" x14ac:dyDescent="0.25">
      <c r="D171" s="3">
        <v>2</v>
      </c>
      <c r="F171" s="16" cm="1">
        <f t="array" ref="F1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71" s="31" cm="1">
        <f t="array" ref="G1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77</v>
      </c>
      <c r="H171" s="33" t="str">
        <f>_xlfn.IFNA(IF(MOD(HLG_02[[#This Row],[Rit]],
    _xlfn.XLOOKUP($G$2,Int_Sample[Ore],Int_Sample[Inc])) = 0, "YES", "NO"),"")</f>
        <v>NO</v>
      </c>
      <c r="I171" s="32" t="str">
        <f>TEXT(HLG_02[[#This Row],[Batch]],"000")&amp; " / " &amp; TEXT(HLG_02[[#This Row],[Rit]],"000")</f>
        <v>003 / 077</v>
      </c>
      <c r="J171" s="34"/>
      <c r="K171" s="38"/>
      <c r="L171" s="35"/>
      <c r="M171" s="66"/>
      <c r="N171" s="66"/>
      <c r="O171" s="66"/>
      <c r="P171" s="66"/>
      <c r="Q171" s="66"/>
      <c r="R171" s="67"/>
      <c r="S171" s="67"/>
      <c r="T171" s="67"/>
      <c r="U171" s="66"/>
      <c r="V171" s="66"/>
      <c r="W171" s="66"/>
      <c r="X171" s="85"/>
      <c r="AP171" t="str">
        <v/>
      </c>
      <c r="AQ171" t="e">
        <v>#N/A</v>
      </c>
      <c r="AR171" t="e">
        <v>#N/A</v>
      </c>
      <c r="AS171" t="e">
        <v>#N/A</v>
      </c>
      <c r="AT171" t="e">
        <v>#N/A</v>
      </c>
      <c r="AU171" t="e">
        <v>#N/A</v>
      </c>
      <c r="AV171" t="e">
        <v>#N/A</v>
      </c>
    </row>
    <row r="172" spans="4:48" ht="15.75" x14ac:dyDescent="0.25">
      <c r="D172" s="3">
        <v>2</v>
      </c>
      <c r="F172" s="16" cm="1">
        <f t="array" ref="F1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72" s="31" cm="1">
        <f t="array" ref="G1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78</v>
      </c>
      <c r="H172" s="33" t="str">
        <f>_xlfn.IFNA(IF(MOD(HLG_02[[#This Row],[Rit]],
    _xlfn.XLOOKUP($G$2,Int_Sample[Ore],Int_Sample[Inc])) = 0, "YES", "NO"),"")</f>
        <v>NO</v>
      </c>
      <c r="I172" s="32" t="str">
        <f>TEXT(HLG_02[[#This Row],[Batch]],"000")&amp; " / " &amp; TEXT(HLG_02[[#This Row],[Rit]],"000")</f>
        <v>003 / 078</v>
      </c>
      <c r="J172" s="34"/>
      <c r="K172" s="38"/>
      <c r="L172" s="35"/>
      <c r="M172" s="66"/>
      <c r="N172" s="66"/>
      <c r="O172" s="66"/>
      <c r="P172" s="66"/>
      <c r="Q172" s="66"/>
      <c r="R172" s="67"/>
      <c r="S172" s="67"/>
      <c r="T172" s="67"/>
      <c r="U172" s="66"/>
      <c r="V172" s="66"/>
      <c r="W172" s="66"/>
      <c r="X172" s="85"/>
      <c r="AP172" t="str">
        <v/>
      </c>
      <c r="AQ172" t="e">
        <v>#N/A</v>
      </c>
      <c r="AR172" t="e">
        <v>#N/A</v>
      </c>
      <c r="AS172" t="e">
        <v>#N/A</v>
      </c>
      <c r="AT172" t="e">
        <v>#N/A</v>
      </c>
      <c r="AU172" t="e">
        <v>#N/A</v>
      </c>
      <c r="AV172" t="e">
        <v>#N/A</v>
      </c>
    </row>
    <row r="173" spans="4:48" ht="15.75" x14ac:dyDescent="0.25">
      <c r="D173" s="3">
        <v>2</v>
      </c>
      <c r="F173" s="16" cm="1">
        <f t="array" ref="F1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73" s="31" cm="1">
        <f t="array" ref="G1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79</v>
      </c>
      <c r="H173" s="33" t="str">
        <f>_xlfn.IFNA(IF(MOD(HLG_02[[#This Row],[Rit]],
    _xlfn.XLOOKUP($G$2,Int_Sample[Ore],Int_Sample[Inc])) = 0, "YES", "NO"),"")</f>
        <v>NO</v>
      </c>
      <c r="I173" s="32" t="str">
        <f>TEXT(HLG_02[[#This Row],[Batch]],"000")&amp; " / " &amp; TEXT(HLG_02[[#This Row],[Rit]],"000")</f>
        <v>003 / 079</v>
      </c>
      <c r="J173" s="34"/>
      <c r="K173" s="38"/>
      <c r="L173" s="35"/>
      <c r="M173" s="66"/>
      <c r="N173" s="66"/>
      <c r="O173" s="66"/>
      <c r="P173" s="66"/>
      <c r="Q173" s="66"/>
      <c r="R173" s="67"/>
      <c r="S173" s="67"/>
      <c r="T173" s="67"/>
      <c r="U173" s="66"/>
      <c r="V173" s="66"/>
      <c r="W173" s="66"/>
      <c r="X173" s="85"/>
      <c r="AP173" t="str">
        <v/>
      </c>
      <c r="AQ173" t="e">
        <v>#N/A</v>
      </c>
      <c r="AR173" t="e">
        <v>#N/A</v>
      </c>
      <c r="AS173" t="e">
        <v>#N/A</v>
      </c>
      <c r="AT173" t="e">
        <v>#N/A</v>
      </c>
      <c r="AU173" t="e">
        <v>#N/A</v>
      </c>
      <c r="AV173" t="e">
        <v>#N/A</v>
      </c>
    </row>
    <row r="174" spans="4:48" ht="15.75" x14ac:dyDescent="0.25">
      <c r="D174" s="3">
        <v>2</v>
      </c>
      <c r="F174" s="16" cm="1">
        <f t="array" ref="F1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74" s="31" cm="1">
        <f t="array" ref="G1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80</v>
      </c>
      <c r="H174" s="33" t="str">
        <f>_xlfn.IFNA(IF(MOD(HLG_02[[#This Row],[Rit]],
    _xlfn.XLOOKUP($G$2,Int_Sample[Ore],Int_Sample[Inc])) = 0, "YES", "NO"),"")</f>
        <v>YES</v>
      </c>
      <c r="I174" s="32" t="str">
        <f>TEXT(HLG_02[[#This Row],[Batch]],"000")&amp; " / " &amp; TEXT(HLG_02[[#This Row],[Rit]],"000")</f>
        <v>003 / 080</v>
      </c>
      <c r="J174" s="34"/>
      <c r="K174" s="38"/>
      <c r="L174" s="35"/>
      <c r="M174" s="66"/>
      <c r="N174" s="66"/>
      <c r="O174" s="66"/>
      <c r="P174" s="66"/>
      <c r="Q174" s="66"/>
      <c r="R174" s="67"/>
      <c r="S174" s="67"/>
      <c r="T174" s="67"/>
      <c r="U174" s="66"/>
      <c r="V174" s="66"/>
      <c r="W174" s="66"/>
      <c r="X174" s="85"/>
      <c r="AP174" t="str">
        <v/>
      </c>
      <c r="AQ174" t="e">
        <v>#N/A</v>
      </c>
      <c r="AR174" t="e">
        <v>#N/A</v>
      </c>
      <c r="AS174" t="e">
        <v>#N/A</v>
      </c>
      <c r="AT174" t="e">
        <v>#N/A</v>
      </c>
      <c r="AU174" t="e">
        <v>#N/A</v>
      </c>
      <c r="AV174" t="e">
        <v>#N/A</v>
      </c>
    </row>
    <row r="175" spans="4:48" ht="15.75" x14ac:dyDescent="0.25">
      <c r="D175" s="3">
        <v>2</v>
      </c>
      <c r="F175" s="16" cm="1">
        <f t="array" ref="F1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75" s="31" cm="1">
        <f t="array" ref="G1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81</v>
      </c>
      <c r="H175" s="33" t="str">
        <f>_xlfn.IFNA(IF(MOD(HLG_02[[#This Row],[Rit]],
    _xlfn.XLOOKUP($G$2,Int_Sample[Ore],Int_Sample[Inc])) = 0, "YES", "NO"),"")</f>
        <v>NO</v>
      </c>
      <c r="I175" s="32" t="str">
        <f>TEXT(HLG_02[[#This Row],[Batch]],"000")&amp; " / " &amp; TEXT(HLG_02[[#This Row],[Rit]],"000")</f>
        <v>003 / 081</v>
      </c>
      <c r="J175" s="34"/>
      <c r="K175" s="38"/>
      <c r="L175" s="35"/>
      <c r="M175" s="66"/>
      <c r="N175" s="66"/>
      <c r="O175" s="66"/>
      <c r="P175" s="66"/>
      <c r="Q175" s="66"/>
      <c r="R175" s="67"/>
      <c r="S175" s="67"/>
      <c r="T175" s="67"/>
      <c r="U175" s="66"/>
      <c r="V175" s="66"/>
      <c r="W175" s="66"/>
      <c r="X175" s="85"/>
      <c r="AP175" t="str">
        <v/>
      </c>
      <c r="AQ175" t="e">
        <v>#N/A</v>
      </c>
      <c r="AR175" t="e">
        <v>#N/A</v>
      </c>
      <c r="AS175" t="e">
        <v>#N/A</v>
      </c>
      <c r="AT175" t="e">
        <v>#N/A</v>
      </c>
      <c r="AU175" t="e">
        <v>#N/A</v>
      </c>
      <c r="AV175" t="e">
        <v>#N/A</v>
      </c>
    </row>
    <row r="176" spans="4:48" ht="15.75" x14ac:dyDescent="0.25">
      <c r="D176" s="3">
        <v>2</v>
      </c>
      <c r="F176" s="16" cm="1">
        <f t="array" ref="F1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76" s="31" cm="1">
        <f t="array" ref="G1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82</v>
      </c>
      <c r="H176" s="33" t="str">
        <f>_xlfn.IFNA(IF(MOD(HLG_02[[#This Row],[Rit]],
    _xlfn.XLOOKUP($G$2,Int_Sample[Ore],Int_Sample[Inc])) = 0, "YES", "NO"),"")</f>
        <v>NO</v>
      </c>
      <c r="I176" s="32" t="str">
        <f>TEXT(HLG_02[[#This Row],[Batch]],"000")&amp; " / " &amp; TEXT(HLG_02[[#This Row],[Rit]],"000")</f>
        <v>003 / 082</v>
      </c>
      <c r="J176" s="34"/>
      <c r="K176" s="38"/>
      <c r="L176" s="35"/>
      <c r="M176" s="66"/>
      <c r="N176" s="66"/>
      <c r="O176" s="66"/>
      <c r="P176" s="66"/>
      <c r="Q176" s="66"/>
      <c r="R176" s="67"/>
      <c r="S176" s="67"/>
      <c r="T176" s="67"/>
      <c r="U176" s="66"/>
      <c r="V176" s="66"/>
      <c r="W176" s="66"/>
      <c r="X176" s="85"/>
      <c r="AP176" t="str">
        <v/>
      </c>
      <c r="AQ176" t="e">
        <v>#N/A</v>
      </c>
      <c r="AR176" t="e">
        <v>#N/A</v>
      </c>
      <c r="AS176" t="e">
        <v>#N/A</v>
      </c>
      <c r="AT176" t="e">
        <v>#N/A</v>
      </c>
      <c r="AU176" t="e">
        <v>#N/A</v>
      </c>
      <c r="AV176" t="e">
        <v>#N/A</v>
      </c>
    </row>
    <row r="177" spans="4:48" ht="15.75" x14ac:dyDescent="0.25">
      <c r="D177" s="3">
        <v>2</v>
      </c>
      <c r="F177" s="16" cm="1">
        <f t="array" ref="F1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77" s="31" cm="1">
        <f t="array" ref="G1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83</v>
      </c>
      <c r="H177" s="33" t="str">
        <f>_xlfn.IFNA(IF(MOD(HLG_02[[#This Row],[Rit]],
    _xlfn.XLOOKUP($G$2,Int_Sample[Ore],Int_Sample[Inc])) = 0, "YES", "NO"),"")</f>
        <v>NO</v>
      </c>
      <c r="I177" s="32" t="str">
        <f>TEXT(HLG_02[[#This Row],[Batch]],"000")&amp; " / " &amp; TEXT(HLG_02[[#This Row],[Rit]],"000")</f>
        <v>003 / 083</v>
      </c>
      <c r="J177" s="34"/>
      <c r="K177" s="38"/>
      <c r="L177" s="35"/>
      <c r="M177" s="66"/>
      <c r="N177" s="66"/>
      <c r="O177" s="66"/>
      <c r="P177" s="66"/>
      <c r="Q177" s="66"/>
      <c r="R177" s="67"/>
      <c r="S177" s="67"/>
      <c r="T177" s="67"/>
      <c r="U177" s="66"/>
      <c r="V177" s="66"/>
      <c r="W177" s="66"/>
      <c r="X177" s="85"/>
      <c r="AP177" t="str">
        <v/>
      </c>
      <c r="AQ177" t="e">
        <v>#N/A</v>
      </c>
      <c r="AR177" t="e">
        <v>#N/A</v>
      </c>
      <c r="AS177" t="e">
        <v>#N/A</v>
      </c>
      <c r="AT177" t="e">
        <v>#N/A</v>
      </c>
      <c r="AU177" t="e">
        <v>#N/A</v>
      </c>
      <c r="AV177" t="e">
        <v>#N/A</v>
      </c>
    </row>
    <row r="178" spans="4:48" ht="15.75" x14ac:dyDescent="0.25">
      <c r="D178" s="3">
        <v>2</v>
      </c>
      <c r="F178" s="16" cm="1">
        <f t="array" ref="F1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78" s="31" cm="1">
        <f t="array" ref="G1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84</v>
      </c>
      <c r="H178" s="33" t="str">
        <f>_xlfn.IFNA(IF(MOD(HLG_02[[#This Row],[Rit]],
    _xlfn.XLOOKUP($G$2,Int_Sample[Ore],Int_Sample[Inc])) = 0, "YES", "NO"),"")</f>
        <v>NO</v>
      </c>
      <c r="I178" s="32" t="str">
        <f>TEXT(HLG_02[[#This Row],[Batch]],"000")&amp; " / " &amp; TEXT(HLG_02[[#This Row],[Rit]],"000")</f>
        <v>003 / 084</v>
      </c>
      <c r="J178" s="34"/>
      <c r="K178" s="38"/>
      <c r="L178" s="35"/>
      <c r="M178" s="66"/>
      <c r="N178" s="66"/>
      <c r="O178" s="66"/>
      <c r="P178" s="66"/>
      <c r="Q178" s="66"/>
      <c r="R178" s="67"/>
      <c r="S178" s="67"/>
      <c r="T178" s="67"/>
      <c r="U178" s="66"/>
      <c r="V178" s="66"/>
      <c r="W178" s="66"/>
      <c r="X178" s="85"/>
      <c r="AP178" t="str">
        <v/>
      </c>
      <c r="AQ178" t="e">
        <v>#N/A</v>
      </c>
      <c r="AR178" t="e">
        <v>#N/A</v>
      </c>
      <c r="AS178" t="e">
        <v>#N/A</v>
      </c>
      <c r="AT178" t="e">
        <v>#N/A</v>
      </c>
      <c r="AU178" t="e">
        <v>#N/A</v>
      </c>
      <c r="AV178" t="e">
        <v>#N/A</v>
      </c>
    </row>
    <row r="179" spans="4:48" ht="15.75" x14ac:dyDescent="0.25">
      <c r="D179" s="3">
        <v>2</v>
      </c>
      <c r="F179" s="16" cm="1">
        <f t="array" ref="F1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79" s="31" cm="1">
        <f t="array" ref="G1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85</v>
      </c>
      <c r="H179" s="33" t="str">
        <f>_xlfn.IFNA(IF(MOD(HLG_02[[#This Row],[Rit]],
    _xlfn.XLOOKUP($G$2,Int_Sample[Ore],Int_Sample[Inc])) = 0, "YES", "NO"),"")</f>
        <v>YES</v>
      </c>
      <c r="I179" s="32" t="str">
        <f>TEXT(HLG_02[[#This Row],[Batch]],"000")&amp; " / " &amp; TEXT(HLG_02[[#This Row],[Rit]],"000")</f>
        <v>003 / 085</v>
      </c>
      <c r="J179" s="34"/>
      <c r="K179" s="38"/>
      <c r="L179" s="35"/>
      <c r="M179" s="66"/>
      <c r="N179" s="66"/>
      <c r="O179" s="66"/>
      <c r="P179" s="66"/>
      <c r="Q179" s="66"/>
      <c r="R179" s="67"/>
      <c r="S179" s="67"/>
      <c r="T179" s="67"/>
      <c r="U179" s="66"/>
      <c r="V179" s="66"/>
      <c r="W179" s="66"/>
      <c r="X179" s="85"/>
      <c r="AP179" t="str">
        <v/>
      </c>
      <c r="AQ179" t="e">
        <v>#N/A</v>
      </c>
      <c r="AR179" t="e">
        <v>#N/A</v>
      </c>
      <c r="AS179" t="e">
        <v>#N/A</v>
      </c>
      <c r="AT179" t="e">
        <v>#N/A</v>
      </c>
      <c r="AU179" t="e">
        <v>#N/A</v>
      </c>
      <c r="AV179" t="e">
        <v>#N/A</v>
      </c>
    </row>
    <row r="180" spans="4:48" ht="15.75" x14ac:dyDescent="0.25">
      <c r="D180" s="3">
        <v>2</v>
      </c>
      <c r="F180" s="16" cm="1">
        <f t="array" ref="F1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80" s="31" cm="1">
        <f t="array" ref="G1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86</v>
      </c>
      <c r="H180" s="33" t="str">
        <f>_xlfn.IFNA(IF(MOD(HLG_02[[#This Row],[Rit]],
    _xlfn.XLOOKUP($G$2,Int_Sample[Ore],Int_Sample[Inc])) = 0, "YES", "NO"),"")</f>
        <v>NO</v>
      </c>
      <c r="I180" s="32" t="str">
        <f>TEXT(HLG_02[[#This Row],[Batch]],"000")&amp; " / " &amp; TEXT(HLG_02[[#This Row],[Rit]],"000")</f>
        <v>003 / 086</v>
      </c>
      <c r="J180" s="34"/>
      <c r="K180" s="38"/>
      <c r="L180" s="35"/>
      <c r="M180" s="66"/>
      <c r="N180" s="66"/>
      <c r="O180" s="66"/>
      <c r="P180" s="66"/>
      <c r="Q180" s="66"/>
      <c r="R180" s="67"/>
      <c r="S180" s="67"/>
      <c r="T180" s="67"/>
      <c r="U180" s="66"/>
      <c r="V180" s="66"/>
      <c r="W180" s="66"/>
      <c r="X180" s="85"/>
      <c r="AP180" t="str">
        <v/>
      </c>
      <c r="AQ180" t="e">
        <v>#N/A</v>
      </c>
      <c r="AR180" t="e">
        <v>#N/A</v>
      </c>
      <c r="AS180" t="e">
        <v>#N/A</v>
      </c>
      <c r="AT180" t="e">
        <v>#N/A</v>
      </c>
      <c r="AU180" t="e">
        <v>#N/A</v>
      </c>
      <c r="AV180" t="e">
        <v>#N/A</v>
      </c>
    </row>
    <row r="181" spans="4:48" ht="15.75" x14ac:dyDescent="0.25">
      <c r="D181" s="3">
        <v>2</v>
      </c>
      <c r="F181" s="16" cm="1">
        <f t="array" ref="F1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81" s="31" cm="1">
        <f t="array" ref="G1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87</v>
      </c>
      <c r="H181" s="33" t="str">
        <f>_xlfn.IFNA(IF(MOD(HLG_02[[#This Row],[Rit]],
    _xlfn.XLOOKUP($G$2,Int_Sample[Ore],Int_Sample[Inc])) = 0, "YES", "NO"),"")</f>
        <v>NO</v>
      </c>
      <c r="I181" s="32" t="str">
        <f>TEXT(HLG_02[[#This Row],[Batch]],"000")&amp; " / " &amp; TEXT(HLG_02[[#This Row],[Rit]],"000")</f>
        <v>003 / 087</v>
      </c>
      <c r="J181" s="34"/>
      <c r="K181" s="38"/>
      <c r="L181" s="35"/>
      <c r="M181" s="66"/>
      <c r="N181" s="66"/>
      <c r="O181" s="66"/>
      <c r="P181" s="66"/>
      <c r="Q181" s="66"/>
      <c r="R181" s="67"/>
      <c r="S181" s="67"/>
      <c r="T181" s="67"/>
      <c r="U181" s="66"/>
      <c r="V181" s="66"/>
      <c r="W181" s="66"/>
      <c r="X181" s="85"/>
      <c r="AP181" t="str">
        <v/>
      </c>
      <c r="AQ181" t="e">
        <v>#N/A</v>
      </c>
      <c r="AR181" t="e">
        <v>#N/A</v>
      </c>
      <c r="AS181" t="e">
        <v>#N/A</v>
      </c>
      <c r="AT181" t="e">
        <v>#N/A</v>
      </c>
      <c r="AU181" t="e">
        <v>#N/A</v>
      </c>
      <c r="AV181" t="e">
        <v>#N/A</v>
      </c>
    </row>
    <row r="182" spans="4:48" ht="15.75" x14ac:dyDescent="0.25">
      <c r="D182" s="3">
        <v>2</v>
      </c>
      <c r="F182" s="16" cm="1">
        <f t="array" ref="F1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82" s="31" cm="1">
        <f t="array" ref="G1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88</v>
      </c>
      <c r="H182" s="33" t="str">
        <f>_xlfn.IFNA(IF(MOD(HLG_02[[#This Row],[Rit]],
    _xlfn.XLOOKUP($G$2,Int_Sample[Ore],Int_Sample[Inc])) = 0, "YES", "NO"),"")</f>
        <v>NO</v>
      </c>
      <c r="I182" s="32" t="str">
        <f>TEXT(HLG_02[[#This Row],[Batch]],"000")&amp; " / " &amp; TEXT(HLG_02[[#This Row],[Rit]],"000")</f>
        <v>003 / 088</v>
      </c>
      <c r="J182" s="34"/>
      <c r="K182" s="38"/>
      <c r="L182" s="35"/>
      <c r="M182" s="66"/>
      <c r="N182" s="66"/>
      <c r="O182" s="66"/>
      <c r="P182" s="66"/>
      <c r="Q182" s="66"/>
      <c r="R182" s="67"/>
      <c r="S182" s="67"/>
      <c r="T182" s="67"/>
      <c r="U182" s="66"/>
      <c r="V182" s="66"/>
      <c r="W182" s="66"/>
      <c r="X182" s="85"/>
      <c r="AP182" t="str">
        <v/>
      </c>
      <c r="AQ182" t="e">
        <v>#N/A</v>
      </c>
      <c r="AR182" t="e">
        <v>#N/A</v>
      </c>
      <c r="AS182" t="e">
        <v>#N/A</v>
      </c>
      <c r="AT182" t="e">
        <v>#N/A</v>
      </c>
      <c r="AU182" t="e">
        <v>#N/A</v>
      </c>
      <c r="AV182" t="e">
        <v>#N/A</v>
      </c>
    </row>
    <row r="183" spans="4:48" ht="15.75" x14ac:dyDescent="0.25">
      <c r="D183" s="3">
        <v>2</v>
      </c>
      <c r="F183" s="16" cm="1">
        <f t="array" ref="F1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83" s="31" cm="1">
        <f t="array" ref="G1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89</v>
      </c>
      <c r="H183" s="33" t="str">
        <f>_xlfn.IFNA(IF(MOD(HLG_02[[#This Row],[Rit]],
    _xlfn.XLOOKUP($G$2,Int_Sample[Ore],Int_Sample[Inc])) = 0, "YES", "NO"),"")</f>
        <v>NO</v>
      </c>
      <c r="I183" s="32" t="str">
        <f>TEXT(HLG_02[[#This Row],[Batch]],"000")&amp; " / " &amp; TEXT(HLG_02[[#This Row],[Rit]],"000")</f>
        <v>003 / 089</v>
      </c>
      <c r="J183" s="34"/>
      <c r="K183" s="38"/>
      <c r="L183" s="35"/>
      <c r="M183" s="66"/>
      <c r="N183" s="66"/>
      <c r="O183" s="66"/>
      <c r="P183" s="66"/>
      <c r="Q183" s="66"/>
      <c r="R183" s="67"/>
      <c r="S183" s="67"/>
      <c r="T183" s="67"/>
      <c r="U183" s="66"/>
      <c r="V183" s="66"/>
      <c r="W183" s="66"/>
      <c r="X183" s="85"/>
      <c r="AP183" t="str">
        <v/>
      </c>
      <c r="AQ183" t="e">
        <v>#N/A</v>
      </c>
      <c r="AR183" t="e">
        <v>#N/A</v>
      </c>
      <c r="AS183" t="e">
        <v>#N/A</v>
      </c>
      <c r="AT183" t="e">
        <v>#N/A</v>
      </c>
      <c r="AU183" t="e">
        <v>#N/A</v>
      </c>
      <c r="AV183" t="e">
        <v>#N/A</v>
      </c>
    </row>
    <row r="184" spans="4:48" ht="15.75" x14ac:dyDescent="0.25">
      <c r="D184" s="3">
        <v>2</v>
      </c>
      <c r="F184" s="16" cm="1">
        <f t="array" ref="F1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84" s="31" cm="1">
        <f t="array" ref="G1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90</v>
      </c>
      <c r="H184" s="33" t="str">
        <f>_xlfn.IFNA(IF(MOD(HLG_02[[#This Row],[Rit]],
    _xlfn.XLOOKUP($G$2,Int_Sample[Ore],Int_Sample[Inc])) = 0, "YES", "NO"),"")</f>
        <v>YES</v>
      </c>
      <c r="I184" s="32" t="str">
        <f>TEXT(HLG_02[[#This Row],[Batch]],"000")&amp; " / " &amp; TEXT(HLG_02[[#This Row],[Rit]],"000")</f>
        <v>003 / 090</v>
      </c>
      <c r="J184" s="34"/>
      <c r="K184" s="38"/>
      <c r="L184" s="35"/>
      <c r="M184" s="66"/>
      <c r="N184" s="66"/>
      <c r="O184" s="66"/>
      <c r="P184" s="66"/>
      <c r="Q184" s="66"/>
      <c r="R184" s="67"/>
      <c r="S184" s="67"/>
      <c r="T184" s="67"/>
      <c r="U184" s="66"/>
      <c r="V184" s="66"/>
      <c r="W184" s="66"/>
      <c r="X184" s="85"/>
      <c r="AP184" t="str">
        <v/>
      </c>
      <c r="AQ184" t="e">
        <v>#N/A</v>
      </c>
      <c r="AR184" t="e">
        <v>#N/A</v>
      </c>
      <c r="AS184" t="e">
        <v>#N/A</v>
      </c>
      <c r="AT184" t="e">
        <v>#N/A</v>
      </c>
      <c r="AU184" t="e">
        <v>#N/A</v>
      </c>
      <c r="AV184" t="e">
        <v>#N/A</v>
      </c>
    </row>
    <row r="185" spans="4:48" ht="15.75" x14ac:dyDescent="0.25">
      <c r="D185" s="3">
        <v>2</v>
      </c>
      <c r="F185" s="16" cm="1">
        <f t="array" ref="F1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85" s="31" cm="1">
        <f t="array" ref="G1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91</v>
      </c>
      <c r="H185" s="33" t="str">
        <f>_xlfn.IFNA(IF(MOD(HLG_02[[#This Row],[Rit]],
    _xlfn.XLOOKUP($G$2,Int_Sample[Ore],Int_Sample[Inc])) = 0, "YES", "NO"),"")</f>
        <v>NO</v>
      </c>
      <c r="I185" s="32" t="str">
        <f>TEXT(HLG_02[[#This Row],[Batch]],"000")&amp; " / " &amp; TEXT(HLG_02[[#This Row],[Rit]],"000")</f>
        <v>003 / 091</v>
      </c>
      <c r="J185" s="34"/>
      <c r="K185" s="38"/>
      <c r="L185" s="35"/>
      <c r="M185" s="66"/>
      <c r="N185" s="66"/>
      <c r="O185" s="66"/>
      <c r="P185" s="66"/>
      <c r="Q185" s="66"/>
      <c r="R185" s="67"/>
      <c r="S185" s="67"/>
      <c r="T185" s="67"/>
      <c r="U185" s="66"/>
      <c r="V185" s="66"/>
      <c r="W185" s="66"/>
      <c r="X185" s="85"/>
      <c r="AP185" t="str">
        <v/>
      </c>
      <c r="AQ185" t="e">
        <v>#N/A</v>
      </c>
      <c r="AR185" t="e">
        <v>#N/A</v>
      </c>
      <c r="AS185" t="e">
        <v>#N/A</v>
      </c>
      <c r="AT185" t="e">
        <v>#N/A</v>
      </c>
      <c r="AU185" t="e">
        <v>#N/A</v>
      </c>
      <c r="AV185" t="e">
        <v>#N/A</v>
      </c>
    </row>
    <row r="186" spans="4:48" ht="15.75" x14ac:dyDescent="0.25">
      <c r="D186" s="3">
        <v>2</v>
      </c>
      <c r="F186" s="16" cm="1">
        <f t="array" ref="F1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86" s="31" cm="1">
        <f t="array" ref="G1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92</v>
      </c>
      <c r="H186" s="33" t="str">
        <f>_xlfn.IFNA(IF(MOD(HLG_02[[#This Row],[Rit]],
    _xlfn.XLOOKUP($G$2,Int_Sample[Ore],Int_Sample[Inc])) = 0, "YES", "NO"),"")</f>
        <v>NO</v>
      </c>
      <c r="I186" s="32" t="str">
        <f>TEXT(HLG_02[[#This Row],[Batch]],"000")&amp; " / " &amp; TEXT(HLG_02[[#This Row],[Rit]],"000")</f>
        <v>003 / 092</v>
      </c>
      <c r="J186" s="34"/>
      <c r="K186" s="38"/>
      <c r="L186" s="35"/>
      <c r="M186" s="66"/>
      <c r="N186" s="66"/>
      <c r="O186" s="66"/>
      <c r="P186" s="66"/>
      <c r="Q186" s="66"/>
      <c r="R186" s="67"/>
      <c r="S186" s="67"/>
      <c r="T186" s="67"/>
      <c r="U186" s="66"/>
      <c r="V186" s="66"/>
      <c r="W186" s="66"/>
      <c r="X186" s="85"/>
      <c r="AP186" t="str">
        <v/>
      </c>
      <c r="AQ186" t="e">
        <v>#N/A</v>
      </c>
      <c r="AR186" t="e">
        <v>#N/A</v>
      </c>
      <c r="AS186" t="e">
        <v>#N/A</v>
      </c>
      <c r="AT186" t="e">
        <v>#N/A</v>
      </c>
      <c r="AU186" t="e">
        <v>#N/A</v>
      </c>
      <c r="AV186" t="e">
        <v>#N/A</v>
      </c>
    </row>
    <row r="187" spans="4:48" ht="15.75" x14ac:dyDescent="0.25">
      <c r="D187" s="3">
        <v>2</v>
      </c>
      <c r="F187" s="16" cm="1">
        <f t="array" ref="F1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87" s="31" cm="1">
        <f t="array" ref="G1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93</v>
      </c>
      <c r="H187" s="33" t="str">
        <f>_xlfn.IFNA(IF(MOD(HLG_02[[#This Row],[Rit]],
    _xlfn.XLOOKUP($G$2,Int_Sample[Ore],Int_Sample[Inc])) = 0, "YES", "NO"),"")</f>
        <v>NO</v>
      </c>
      <c r="I187" s="32" t="str">
        <f>TEXT(HLG_02[[#This Row],[Batch]],"000")&amp; " / " &amp; TEXT(HLG_02[[#This Row],[Rit]],"000")</f>
        <v>003 / 093</v>
      </c>
      <c r="J187" s="34"/>
      <c r="K187" s="38"/>
      <c r="L187" s="35"/>
      <c r="M187" s="66"/>
      <c r="N187" s="66"/>
      <c r="O187" s="66"/>
      <c r="P187" s="66"/>
      <c r="Q187" s="66"/>
      <c r="R187" s="67"/>
      <c r="S187" s="67"/>
      <c r="T187" s="67"/>
      <c r="U187" s="66"/>
      <c r="V187" s="66"/>
      <c r="W187" s="66"/>
      <c r="X187" s="85"/>
      <c r="AP187" t="str">
        <v/>
      </c>
      <c r="AQ187" t="e">
        <v>#N/A</v>
      </c>
      <c r="AR187" t="e">
        <v>#N/A</v>
      </c>
      <c r="AS187" t="e">
        <v>#N/A</v>
      </c>
      <c r="AT187" t="e">
        <v>#N/A</v>
      </c>
      <c r="AU187" t="e">
        <v>#N/A</v>
      </c>
      <c r="AV187" t="e">
        <v>#N/A</v>
      </c>
    </row>
    <row r="188" spans="4:48" ht="15.75" x14ac:dyDescent="0.25">
      <c r="D188" s="3">
        <v>2</v>
      </c>
      <c r="F188" s="16" cm="1">
        <f t="array" ref="F1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88" s="31" cm="1">
        <f t="array" ref="G1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94</v>
      </c>
      <c r="H188" s="33" t="str">
        <f>_xlfn.IFNA(IF(MOD(HLG_02[[#This Row],[Rit]],
    _xlfn.XLOOKUP($G$2,Int_Sample[Ore],Int_Sample[Inc])) = 0, "YES", "NO"),"")</f>
        <v>NO</v>
      </c>
      <c r="I188" s="32" t="str">
        <f>TEXT(HLG_02[[#This Row],[Batch]],"000")&amp; " / " &amp; TEXT(HLG_02[[#This Row],[Rit]],"000")</f>
        <v>003 / 094</v>
      </c>
      <c r="J188" s="34"/>
      <c r="K188" s="38"/>
      <c r="L188" s="35"/>
      <c r="M188" s="66"/>
      <c r="N188" s="66"/>
      <c r="O188" s="66"/>
      <c r="P188" s="66"/>
      <c r="Q188" s="66"/>
      <c r="R188" s="67"/>
      <c r="S188" s="67"/>
      <c r="T188" s="67"/>
      <c r="U188" s="66"/>
      <c r="V188" s="66"/>
      <c r="W188" s="66"/>
      <c r="X188" s="85"/>
      <c r="AP188" t="str">
        <v/>
      </c>
      <c r="AQ188" t="e">
        <v>#N/A</v>
      </c>
      <c r="AR188" t="e">
        <v>#N/A</v>
      </c>
      <c r="AS188" t="e">
        <v>#N/A</v>
      </c>
      <c r="AT188" t="e">
        <v>#N/A</v>
      </c>
      <c r="AU188" t="e">
        <v>#N/A</v>
      </c>
      <c r="AV188" t="e">
        <v>#N/A</v>
      </c>
    </row>
    <row r="189" spans="4:48" ht="15.75" x14ac:dyDescent="0.25">
      <c r="D189" s="3">
        <v>2</v>
      </c>
      <c r="F189" s="16" cm="1">
        <f t="array" ref="F1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89" s="31" cm="1">
        <f t="array" ref="G1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95</v>
      </c>
      <c r="H189" s="33" t="str">
        <f>_xlfn.IFNA(IF(MOD(HLG_02[[#This Row],[Rit]],
    _xlfn.XLOOKUP($G$2,Int_Sample[Ore],Int_Sample[Inc])) = 0, "YES", "NO"),"")</f>
        <v>YES</v>
      </c>
      <c r="I189" s="32" t="str">
        <f>TEXT(HLG_02[[#This Row],[Batch]],"000")&amp; " / " &amp; TEXT(HLG_02[[#This Row],[Rit]],"000")</f>
        <v>003 / 095</v>
      </c>
      <c r="J189" s="34"/>
      <c r="K189" s="38"/>
      <c r="L189" s="35"/>
      <c r="M189" s="66"/>
      <c r="N189" s="66"/>
      <c r="O189" s="66"/>
      <c r="P189" s="66"/>
      <c r="Q189" s="66"/>
      <c r="R189" s="67"/>
      <c r="S189" s="67"/>
      <c r="T189" s="67"/>
      <c r="U189" s="66"/>
      <c r="V189" s="66"/>
      <c r="W189" s="66"/>
      <c r="X189" s="85"/>
      <c r="AP189" t="str">
        <v/>
      </c>
      <c r="AQ189" t="e">
        <v>#N/A</v>
      </c>
      <c r="AR189" t="e">
        <v>#N/A</v>
      </c>
      <c r="AS189" t="e">
        <v>#N/A</v>
      </c>
      <c r="AT189" t="e">
        <v>#N/A</v>
      </c>
      <c r="AU189" t="e">
        <v>#N/A</v>
      </c>
      <c r="AV189" t="e">
        <v>#N/A</v>
      </c>
    </row>
    <row r="190" spans="4:48" ht="15.75" x14ac:dyDescent="0.25">
      <c r="D190" s="3">
        <v>2</v>
      </c>
      <c r="F190" s="16" cm="1">
        <f t="array" ref="F1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90" s="31" cm="1">
        <f t="array" ref="G1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96</v>
      </c>
      <c r="H190" s="33" t="str">
        <f>_xlfn.IFNA(IF(MOD(HLG_02[[#This Row],[Rit]],
    _xlfn.XLOOKUP($G$2,Int_Sample[Ore],Int_Sample[Inc])) = 0, "YES", "NO"),"")</f>
        <v>NO</v>
      </c>
      <c r="I190" s="32" t="str">
        <f>TEXT(HLG_02[[#This Row],[Batch]],"000")&amp; " / " &amp; TEXT(HLG_02[[#This Row],[Rit]],"000")</f>
        <v>003 / 096</v>
      </c>
      <c r="J190" s="34"/>
      <c r="K190" s="38"/>
      <c r="L190" s="35"/>
      <c r="M190" s="66"/>
      <c r="N190" s="66"/>
      <c r="O190" s="66"/>
      <c r="P190" s="66"/>
      <c r="Q190" s="66"/>
      <c r="R190" s="67"/>
      <c r="S190" s="67"/>
      <c r="T190" s="67"/>
      <c r="U190" s="66"/>
      <c r="V190" s="66"/>
      <c r="W190" s="66"/>
      <c r="X190" s="85"/>
      <c r="AP190" t="str">
        <v/>
      </c>
      <c r="AQ190" t="e">
        <v>#N/A</v>
      </c>
      <c r="AR190" t="e">
        <v>#N/A</v>
      </c>
      <c r="AS190" t="e">
        <v>#N/A</v>
      </c>
      <c r="AT190" t="e">
        <v>#N/A</v>
      </c>
      <c r="AU190" t="e">
        <v>#N/A</v>
      </c>
      <c r="AV190" t="e">
        <v>#N/A</v>
      </c>
    </row>
    <row r="191" spans="4:48" ht="15.75" x14ac:dyDescent="0.25">
      <c r="D191" s="3">
        <v>2</v>
      </c>
      <c r="F191" s="16" cm="1">
        <f t="array" ref="F1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91" s="31" cm="1">
        <f t="array" ref="G1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97</v>
      </c>
      <c r="H191" s="33" t="str">
        <f>_xlfn.IFNA(IF(MOD(HLG_02[[#This Row],[Rit]],
    _xlfn.XLOOKUP($G$2,Int_Sample[Ore],Int_Sample[Inc])) = 0, "YES", "NO"),"")</f>
        <v>NO</v>
      </c>
      <c r="I191" s="32" t="str">
        <f>TEXT(HLG_02[[#This Row],[Batch]],"000")&amp; " / " &amp; TEXT(HLG_02[[#This Row],[Rit]],"000")</f>
        <v>003 / 097</v>
      </c>
      <c r="J191" s="34"/>
      <c r="K191" s="38"/>
      <c r="L191" s="35"/>
      <c r="M191" s="66"/>
      <c r="N191" s="66"/>
      <c r="O191" s="66"/>
      <c r="P191" s="66"/>
      <c r="Q191" s="66"/>
      <c r="R191" s="67"/>
      <c r="S191" s="67"/>
      <c r="T191" s="67"/>
      <c r="U191" s="66"/>
      <c r="V191" s="66"/>
      <c r="W191" s="66"/>
      <c r="X191" s="85"/>
      <c r="AP191" t="str">
        <v/>
      </c>
      <c r="AQ191" t="e">
        <v>#N/A</v>
      </c>
      <c r="AR191" t="e">
        <v>#N/A</v>
      </c>
      <c r="AS191" t="e">
        <v>#N/A</v>
      </c>
      <c r="AT191" t="e">
        <v>#N/A</v>
      </c>
      <c r="AU191" t="e">
        <v>#N/A</v>
      </c>
      <c r="AV191" t="e">
        <v>#N/A</v>
      </c>
    </row>
    <row r="192" spans="4:48" ht="15.75" x14ac:dyDescent="0.25">
      <c r="D192" s="3">
        <v>2</v>
      </c>
      <c r="F192" s="16" cm="1">
        <f t="array" ref="F1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92" s="31" cm="1">
        <f t="array" ref="G1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98</v>
      </c>
      <c r="H192" s="33" t="str">
        <f>_xlfn.IFNA(IF(MOD(HLG_02[[#This Row],[Rit]],
    _xlfn.XLOOKUP($G$2,Int_Sample[Ore],Int_Sample[Inc])) = 0, "YES", "NO"),"")</f>
        <v>NO</v>
      </c>
      <c r="I192" s="32" t="str">
        <f>TEXT(HLG_02[[#This Row],[Batch]],"000")&amp; " / " &amp; TEXT(HLG_02[[#This Row],[Rit]],"000")</f>
        <v>003 / 098</v>
      </c>
      <c r="J192" s="34"/>
      <c r="K192" s="38"/>
      <c r="L192" s="35"/>
      <c r="M192" s="66"/>
      <c r="N192" s="66"/>
      <c r="O192" s="66"/>
      <c r="P192" s="66"/>
      <c r="Q192" s="66"/>
      <c r="R192" s="67"/>
      <c r="S192" s="67"/>
      <c r="T192" s="67"/>
      <c r="U192" s="66"/>
      <c r="V192" s="66"/>
      <c r="W192" s="66"/>
      <c r="X192" s="85"/>
      <c r="AP192" t="str">
        <v/>
      </c>
      <c r="AQ192" t="e">
        <v>#N/A</v>
      </c>
      <c r="AR192" t="e">
        <v>#N/A</v>
      </c>
      <c r="AS192" t="e">
        <v>#N/A</v>
      </c>
      <c r="AT192" t="e">
        <v>#N/A</v>
      </c>
      <c r="AU192" t="e">
        <v>#N/A</v>
      </c>
      <c r="AV192" t="e">
        <v>#N/A</v>
      </c>
    </row>
    <row r="193" spans="4:48" ht="15.75" x14ac:dyDescent="0.25">
      <c r="D193" s="3">
        <v>2</v>
      </c>
      <c r="F193" s="16" cm="1">
        <f t="array" ref="F1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93" s="31" cm="1">
        <f t="array" ref="G1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99</v>
      </c>
      <c r="H193" s="33" t="str">
        <f>_xlfn.IFNA(IF(MOD(HLG_02[[#This Row],[Rit]],
    _xlfn.XLOOKUP($G$2,Int_Sample[Ore],Int_Sample[Inc])) = 0, "YES", "NO"),"")</f>
        <v>NO</v>
      </c>
      <c r="I193" s="32" t="str">
        <f>TEXT(HLG_02[[#This Row],[Batch]],"000")&amp; " / " &amp; TEXT(HLG_02[[#This Row],[Rit]],"000")</f>
        <v>003 / 099</v>
      </c>
      <c r="J193" s="34"/>
      <c r="K193" s="38"/>
      <c r="L193" s="35"/>
      <c r="M193" s="66"/>
      <c r="N193" s="66"/>
      <c r="O193" s="66"/>
      <c r="P193" s="66"/>
      <c r="Q193" s="66"/>
      <c r="R193" s="67"/>
      <c r="S193" s="67"/>
      <c r="T193" s="67"/>
      <c r="U193" s="66"/>
      <c r="V193" s="66"/>
      <c r="W193" s="66"/>
      <c r="X193" s="85"/>
      <c r="AP193" t="str">
        <v/>
      </c>
      <c r="AQ193" t="e">
        <v>#N/A</v>
      </c>
      <c r="AR193" t="e">
        <v>#N/A</v>
      </c>
      <c r="AS193" t="e">
        <v>#N/A</v>
      </c>
      <c r="AT193" t="e">
        <v>#N/A</v>
      </c>
      <c r="AU193" t="e">
        <v>#N/A</v>
      </c>
      <c r="AV193" t="e">
        <v>#N/A</v>
      </c>
    </row>
    <row r="194" spans="4:48" ht="15.75" x14ac:dyDescent="0.25">
      <c r="D194" s="3">
        <v>2</v>
      </c>
      <c r="F194" s="16" cm="1">
        <f t="array" ref="F1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3</v>
      </c>
      <c r="G194" s="31" cm="1">
        <f t="array" ref="G1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100</v>
      </c>
      <c r="H194" s="33" t="str">
        <f>_xlfn.IFNA(IF(MOD(HLG_02[[#This Row],[Rit]],
    _xlfn.XLOOKUP($G$2,Int_Sample[Ore],Int_Sample[Inc])) = 0, "YES", "NO"),"")</f>
        <v>YES</v>
      </c>
      <c r="I194" s="32" t="str">
        <f>TEXT(HLG_02[[#This Row],[Batch]],"000")&amp; " / " &amp; TEXT(HLG_02[[#This Row],[Rit]],"000")</f>
        <v>003 / 100</v>
      </c>
      <c r="J194" s="34"/>
      <c r="K194" s="38"/>
      <c r="L194" s="35"/>
      <c r="M194" s="66"/>
      <c r="N194" s="66"/>
      <c r="O194" s="66"/>
      <c r="P194" s="66"/>
      <c r="Q194" s="66"/>
      <c r="R194" s="67"/>
      <c r="S194" s="67"/>
      <c r="T194" s="67"/>
      <c r="U194" s="66"/>
      <c r="V194" s="66"/>
      <c r="W194" s="66"/>
      <c r="X194" s="85"/>
      <c r="AP194" t="str">
        <v/>
      </c>
      <c r="AQ194" t="e">
        <v>#N/A</v>
      </c>
      <c r="AR194" t="e">
        <v>#N/A</v>
      </c>
      <c r="AS194" t="e">
        <v>#N/A</v>
      </c>
      <c r="AT194" t="e">
        <v>#N/A</v>
      </c>
      <c r="AU194" t="e">
        <v>#N/A</v>
      </c>
      <c r="AV194" t="e">
        <v>#N/A</v>
      </c>
    </row>
    <row r="195" spans="4:48" ht="15.75" x14ac:dyDescent="0.25">
      <c r="D195" s="3">
        <v>3</v>
      </c>
      <c r="F195" s="16" cm="1">
        <f t="array" ref="F1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195" s="31" cm="1">
        <f t="array" ref="G1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195" s="33" t="str">
        <f>_xlfn.IFNA(IF(MOD(HLG_02[[#This Row],[Rit]],
    _xlfn.XLOOKUP($G$2,Int_Sample[Ore],Int_Sample[Inc])) = 0, "YES", "NO"),"")</f>
        <v>NO</v>
      </c>
      <c r="I195" s="32" t="str">
        <f>TEXT(HLG_02[[#This Row],[Batch]],"000")&amp; " / " &amp; TEXT(HLG_02[[#This Row],[Rit]],"000")</f>
        <v>004 / 001</v>
      </c>
      <c r="J195" s="34"/>
      <c r="K195" s="38"/>
      <c r="L195" s="35"/>
      <c r="M195" s="66"/>
      <c r="N195" s="66"/>
      <c r="O195" s="66"/>
      <c r="P195" s="66"/>
      <c r="Q195" s="66"/>
      <c r="R195" s="67"/>
      <c r="S195" s="67"/>
      <c r="T195" s="67"/>
      <c r="U195" s="66"/>
      <c r="V195" s="66"/>
      <c r="W195" s="66"/>
      <c r="X195" s="85"/>
      <c r="AP195" t="str">
        <v/>
      </c>
      <c r="AQ195" t="e">
        <v>#N/A</v>
      </c>
      <c r="AR195" t="e">
        <v>#N/A</v>
      </c>
      <c r="AS195" t="e">
        <v>#N/A</v>
      </c>
      <c r="AT195" t="e">
        <v>#N/A</v>
      </c>
      <c r="AU195" t="e">
        <v>#N/A</v>
      </c>
      <c r="AV195" t="e">
        <v>#N/A</v>
      </c>
    </row>
    <row r="196" spans="4:48" ht="15.75" x14ac:dyDescent="0.25">
      <c r="D196" s="3">
        <v>3</v>
      </c>
      <c r="F196" s="16" cm="1">
        <f t="array" ref="F1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196" s="31" cm="1">
        <f t="array" ref="G1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196" s="33" t="str">
        <f>_xlfn.IFNA(IF(MOD(HLG_02[[#This Row],[Rit]],
    _xlfn.XLOOKUP($G$2,Int_Sample[Ore],Int_Sample[Inc])) = 0, "YES", "NO"),"")</f>
        <v>NO</v>
      </c>
      <c r="I196" s="32" t="str">
        <f>TEXT(HLG_02[[#This Row],[Batch]],"000")&amp; " / " &amp; TEXT(HLG_02[[#This Row],[Rit]],"000")</f>
        <v>004 / 002</v>
      </c>
      <c r="J196" s="34"/>
      <c r="K196" s="38"/>
      <c r="L196" s="35"/>
      <c r="M196" s="66"/>
      <c r="N196" s="66"/>
      <c r="O196" s="66"/>
      <c r="P196" s="66"/>
      <c r="Q196" s="66"/>
      <c r="R196" s="67"/>
      <c r="S196" s="67"/>
      <c r="T196" s="67"/>
      <c r="U196" s="66"/>
      <c r="V196" s="66"/>
      <c r="W196" s="66"/>
      <c r="X196" s="85"/>
      <c r="AP196" t="str">
        <v/>
      </c>
      <c r="AQ196" t="e">
        <v>#N/A</v>
      </c>
      <c r="AR196" t="e">
        <v>#N/A</v>
      </c>
      <c r="AS196" t="e">
        <v>#N/A</v>
      </c>
      <c r="AT196" t="e">
        <v>#N/A</v>
      </c>
      <c r="AU196" t="e">
        <v>#N/A</v>
      </c>
      <c r="AV196" t="e">
        <v>#N/A</v>
      </c>
    </row>
    <row r="197" spans="4:48" ht="15.75" x14ac:dyDescent="0.25">
      <c r="D197" s="3">
        <v>3</v>
      </c>
      <c r="F197" s="16" cm="1">
        <f t="array" ref="F1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197" s="31" cm="1">
        <f t="array" ref="G1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197" s="33" t="str">
        <f>_xlfn.IFNA(IF(MOD(HLG_02[[#This Row],[Rit]],
    _xlfn.XLOOKUP($G$2,Int_Sample[Ore],Int_Sample[Inc])) = 0, "YES", "NO"),"")</f>
        <v>NO</v>
      </c>
      <c r="I197" s="32" t="str">
        <f>TEXT(HLG_02[[#This Row],[Batch]],"000")&amp; " / " &amp; TEXT(HLG_02[[#This Row],[Rit]],"000")</f>
        <v>004 / 003</v>
      </c>
      <c r="J197" s="34"/>
      <c r="K197" s="38"/>
      <c r="L197" s="35"/>
      <c r="M197" s="66"/>
      <c r="N197" s="66"/>
      <c r="O197" s="66"/>
      <c r="P197" s="66"/>
      <c r="Q197" s="66"/>
      <c r="R197" s="67"/>
      <c r="S197" s="67"/>
      <c r="T197" s="67"/>
      <c r="U197" s="66"/>
      <c r="V197" s="66"/>
      <c r="W197" s="66"/>
      <c r="X197" s="85"/>
      <c r="AP197" t="str">
        <v/>
      </c>
      <c r="AQ197" t="e">
        <v>#N/A</v>
      </c>
      <c r="AR197" t="e">
        <v>#N/A</v>
      </c>
      <c r="AS197" t="e">
        <v>#N/A</v>
      </c>
      <c r="AT197" t="e">
        <v>#N/A</v>
      </c>
      <c r="AU197" t="e">
        <v>#N/A</v>
      </c>
      <c r="AV197" t="e">
        <v>#N/A</v>
      </c>
    </row>
    <row r="198" spans="4:48" ht="15.75" x14ac:dyDescent="0.25">
      <c r="D198" s="3">
        <v>3</v>
      </c>
      <c r="F198" s="16" cm="1">
        <f t="array" ref="F1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198" s="31" cm="1">
        <f t="array" ref="G1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198" s="33" t="str">
        <f>_xlfn.IFNA(IF(MOD(HLG_02[[#This Row],[Rit]],
    _xlfn.XLOOKUP($G$2,Int_Sample[Ore],Int_Sample[Inc])) = 0, "YES", "NO"),"")</f>
        <v>NO</v>
      </c>
      <c r="I198" s="32" t="str">
        <f>TEXT(HLG_02[[#This Row],[Batch]],"000")&amp; " / " &amp; TEXT(HLG_02[[#This Row],[Rit]],"000")</f>
        <v>004 / 004</v>
      </c>
      <c r="J198" s="34"/>
      <c r="K198" s="38"/>
      <c r="L198" s="35"/>
      <c r="M198" s="66"/>
      <c r="N198" s="66"/>
      <c r="O198" s="66"/>
      <c r="P198" s="66"/>
      <c r="Q198" s="66"/>
      <c r="R198" s="67"/>
      <c r="S198" s="67"/>
      <c r="T198" s="67"/>
      <c r="U198" s="66"/>
      <c r="V198" s="66"/>
      <c r="W198" s="66"/>
      <c r="X198" s="85"/>
      <c r="AP198" t="str">
        <v/>
      </c>
      <c r="AQ198" t="e">
        <v>#N/A</v>
      </c>
      <c r="AR198" t="e">
        <v>#N/A</v>
      </c>
      <c r="AS198" t="e">
        <v>#N/A</v>
      </c>
      <c r="AT198" t="e">
        <v>#N/A</v>
      </c>
      <c r="AU198" t="e">
        <v>#N/A</v>
      </c>
      <c r="AV198" t="e">
        <v>#N/A</v>
      </c>
    </row>
    <row r="199" spans="4:48" ht="15.75" x14ac:dyDescent="0.25">
      <c r="D199" s="3">
        <v>3</v>
      </c>
      <c r="F199" s="16" cm="1">
        <f t="array" ref="F1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199" s="31" cm="1">
        <f t="array" ref="G1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199" s="33" t="str">
        <f>_xlfn.IFNA(IF(MOD(HLG_02[[#This Row],[Rit]],
    _xlfn.XLOOKUP($G$2,Int_Sample[Ore],Int_Sample[Inc])) = 0, "YES", "NO"),"")</f>
        <v>YES</v>
      </c>
      <c r="I199" s="32" t="str">
        <f>TEXT(HLG_02[[#This Row],[Batch]],"000")&amp; " / " &amp; TEXT(HLG_02[[#This Row],[Rit]],"000")</f>
        <v>004 / 005</v>
      </c>
      <c r="J199" s="34"/>
      <c r="K199" s="38"/>
      <c r="L199" s="35"/>
      <c r="M199" s="66"/>
      <c r="N199" s="66"/>
      <c r="O199" s="66"/>
      <c r="P199" s="66"/>
      <c r="Q199" s="66"/>
      <c r="R199" s="67"/>
      <c r="S199" s="67"/>
      <c r="T199" s="67"/>
      <c r="U199" s="66"/>
      <c r="V199" s="66"/>
      <c r="W199" s="66"/>
      <c r="X199" s="85"/>
      <c r="AP199" t="str">
        <v/>
      </c>
      <c r="AQ199" t="e">
        <v>#N/A</v>
      </c>
      <c r="AR199" t="e">
        <v>#N/A</v>
      </c>
      <c r="AS199" t="e">
        <v>#N/A</v>
      </c>
      <c r="AT199" t="e">
        <v>#N/A</v>
      </c>
      <c r="AU199" t="e">
        <v>#N/A</v>
      </c>
      <c r="AV199" t="e">
        <v>#N/A</v>
      </c>
    </row>
    <row r="200" spans="4:48" ht="15.75" x14ac:dyDescent="0.25">
      <c r="D200" s="3">
        <v>3</v>
      </c>
      <c r="F200" s="16" cm="1">
        <f t="array" ref="F2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00" s="31" cm="1">
        <f t="array" ref="G2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200" s="33" t="str">
        <f>_xlfn.IFNA(IF(MOD(HLG_02[[#This Row],[Rit]],
    _xlfn.XLOOKUP($G$2,Int_Sample[Ore],Int_Sample[Inc])) = 0, "YES", "NO"),"")</f>
        <v>NO</v>
      </c>
      <c r="I200" s="32" t="str">
        <f>TEXT(HLG_02[[#This Row],[Batch]],"000")&amp; " / " &amp; TEXT(HLG_02[[#This Row],[Rit]],"000")</f>
        <v>004 / 006</v>
      </c>
      <c r="J200" s="34"/>
      <c r="K200" s="38"/>
      <c r="L200" s="35"/>
      <c r="M200" s="66"/>
      <c r="N200" s="66"/>
      <c r="O200" s="66"/>
      <c r="P200" s="66"/>
      <c r="Q200" s="66"/>
      <c r="R200" s="67"/>
      <c r="S200" s="67"/>
      <c r="T200" s="67"/>
      <c r="U200" s="66"/>
      <c r="V200" s="66"/>
      <c r="W200" s="66"/>
      <c r="X200" s="85"/>
      <c r="AP200" t="str">
        <v/>
      </c>
      <c r="AQ200" t="e">
        <v>#N/A</v>
      </c>
      <c r="AR200" t="e">
        <v>#N/A</v>
      </c>
      <c r="AS200" t="e">
        <v>#N/A</v>
      </c>
      <c r="AT200" t="e">
        <v>#N/A</v>
      </c>
      <c r="AU200" t="e">
        <v>#N/A</v>
      </c>
      <c r="AV200" t="e">
        <v>#N/A</v>
      </c>
    </row>
    <row r="201" spans="4:48" ht="15.75" x14ac:dyDescent="0.25">
      <c r="D201" s="3">
        <v>3</v>
      </c>
      <c r="F201" s="16" cm="1">
        <f t="array" ref="F2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01" s="31" cm="1">
        <f t="array" ref="G2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201" s="33" t="str">
        <f>_xlfn.IFNA(IF(MOD(HLG_02[[#This Row],[Rit]],
    _xlfn.XLOOKUP($G$2,Int_Sample[Ore],Int_Sample[Inc])) = 0, "YES", "NO"),"")</f>
        <v>NO</v>
      </c>
      <c r="I201" s="32" t="str">
        <f>TEXT(HLG_02[[#This Row],[Batch]],"000")&amp; " / " &amp; TEXT(HLG_02[[#This Row],[Rit]],"000")</f>
        <v>004 / 007</v>
      </c>
      <c r="J201" s="34"/>
      <c r="K201" s="38"/>
      <c r="L201" s="35"/>
      <c r="M201" s="66"/>
      <c r="N201" s="66"/>
      <c r="O201" s="66"/>
      <c r="P201" s="66"/>
      <c r="Q201" s="66"/>
      <c r="R201" s="67"/>
      <c r="S201" s="67"/>
      <c r="T201" s="67"/>
      <c r="U201" s="66"/>
      <c r="V201" s="66"/>
      <c r="W201" s="66"/>
      <c r="X201" s="85"/>
      <c r="AP201" t="str">
        <v/>
      </c>
      <c r="AQ201" t="e">
        <v>#N/A</v>
      </c>
      <c r="AR201" t="e">
        <v>#N/A</v>
      </c>
      <c r="AS201" t="e">
        <v>#N/A</v>
      </c>
      <c r="AT201" t="e">
        <v>#N/A</v>
      </c>
      <c r="AU201" t="e">
        <v>#N/A</v>
      </c>
      <c r="AV201" t="e">
        <v>#N/A</v>
      </c>
    </row>
    <row r="202" spans="4:48" ht="15.75" x14ac:dyDescent="0.25">
      <c r="D202" s="3">
        <v>3</v>
      </c>
      <c r="F202" s="16" cm="1">
        <f t="array" ref="F2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02" s="31" cm="1">
        <f t="array" ref="G2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202" s="33" t="str">
        <f>_xlfn.IFNA(IF(MOD(HLG_02[[#This Row],[Rit]],
    _xlfn.XLOOKUP($G$2,Int_Sample[Ore],Int_Sample[Inc])) = 0, "YES", "NO"),"")</f>
        <v>NO</v>
      </c>
      <c r="I202" s="32" t="str">
        <f>TEXT(HLG_02[[#This Row],[Batch]],"000")&amp; " / " &amp; TEXT(HLG_02[[#This Row],[Rit]],"000")</f>
        <v>004 / 008</v>
      </c>
      <c r="J202" s="34"/>
      <c r="K202" s="38"/>
      <c r="L202" s="35"/>
      <c r="M202" s="66"/>
      <c r="N202" s="66"/>
      <c r="O202" s="66"/>
      <c r="P202" s="66"/>
      <c r="Q202" s="66"/>
      <c r="R202" s="67"/>
      <c r="S202" s="67"/>
      <c r="T202" s="67"/>
      <c r="U202" s="66"/>
      <c r="V202" s="66"/>
      <c r="W202" s="66"/>
      <c r="X202" s="85"/>
      <c r="AP202" t="str">
        <v/>
      </c>
      <c r="AQ202" t="e">
        <v>#N/A</v>
      </c>
      <c r="AR202" t="e">
        <v>#N/A</v>
      </c>
      <c r="AS202" t="e">
        <v>#N/A</v>
      </c>
      <c r="AT202" t="e">
        <v>#N/A</v>
      </c>
      <c r="AU202" t="e">
        <v>#N/A</v>
      </c>
      <c r="AV202" t="e">
        <v>#N/A</v>
      </c>
    </row>
    <row r="203" spans="4:48" ht="15.75" x14ac:dyDescent="0.25">
      <c r="D203" s="3">
        <v>3</v>
      </c>
      <c r="F203" s="16" cm="1">
        <f t="array" ref="F2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03" s="31" cm="1">
        <f t="array" ref="G2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203" s="33" t="str">
        <f>_xlfn.IFNA(IF(MOD(HLG_02[[#This Row],[Rit]],
    _xlfn.XLOOKUP($G$2,Int_Sample[Ore],Int_Sample[Inc])) = 0, "YES", "NO"),"")</f>
        <v>NO</v>
      </c>
      <c r="I203" s="32" t="str">
        <f>TEXT(HLG_02[[#This Row],[Batch]],"000")&amp; " / " &amp; TEXT(HLG_02[[#This Row],[Rit]],"000")</f>
        <v>004 / 009</v>
      </c>
      <c r="J203" s="34"/>
      <c r="K203" s="38"/>
      <c r="L203" s="35"/>
      <c r="M203" s="66"/>
      <c r="N203" s="66"/>
      <c r="O203" s="66"/>
      <c r="P203" s="66"/>
      <c r="Q203" s="66"/>
      <c r="R203" s="67"/>
      <c r="S203" s="67"/>
      <c r="T203" s="67"/>
      <c r="U203" s="66"/>
      <c r="V203" s="66"/>
      <c r="W203" s="66"/>
      <c r="X203" s="85"/>
      <c r="AP203" t="str">
        <v/>
      </c>
      <c r="AQ203" t="e">
        <v>#N/A</v>
      </c>
      <c r="AR203" t="e">
        <v>#N/A</v>
      </c>
      <c r="AS203" t="e">
        <v>#N/A</v>
      </c>
      <c r="AT203" t="e">
        <v>#N/A</v>
      </c>
      <c r="AU203" t="e">
        <v>#N/A</v>
      </c>
      <c r="AV203" t="e">
        <v>#N/A</v>
      </c>
    </row>
    <row r="204" spans="4:48" ht="15.75" x14ac:dyDescent="0.25">
      <c r="D204" s="3">
        <v>3</v>
      </c>
      <c r="F204" s="16" cm="1">
        <f t="array" ref="F2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04" s="31" cm="1">
        <f t="array" ref="G2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204" s="33" t="str">
        <f>_xlfn.IFNA(IF(MOD(HLG_02[[#This Row],[Rit]],
    _xlfn.XLOOKUP($G$2,Int_Sample[Ore],Int_Sample[Inc])) = 0, "YES", "NO"),"")</f>
        <v>YES</v>
      </c>
      <c r="I204" s="32" t="str">
        <f>TEXT(HLG_02[[#This Row],[Batch]],"000")&amp; " / " &amp; TEXT(HLG_02[[#This Row],[Rit]],"000")</f>
        <v>004 / 010</v>
      </c>
      <c r="J204" s="34"/>
      <c r="K204" s="38"/>
      <c r="L204" s="35"/>
      <c r="M204" s="66"/>
      <c r="N204" s="66"/>
      <c r="O204" s="66"/>
      <c r="P204" s="66"/>
      <c r="Q204" s="66"/>
      <c r="R204" s="67"/>
      <c r="S204" s="67"/>
      <c r="T204" s="67"/>
      <c r="U204" s="66"/>
      <c r="V204" s="66"/>
      <c r="W204" s="66"/>
      <c r="X204" s="85"/>
      <c r="AP204" t="str">
        <v/>
      </c>
      <c r="AQ204" t="e">
        <v>#N/A</v>
      </c>
      <c r="AR204" t="e">
        <v>#N/A</v>
      </c>
      <c r="AS204" t="e">
        <v>#N/A</v>
      </c>
      <c r="AT204" t="e">
        <v>#N/A</v>
      </c>
      <c r="AU204" t="e">
        <v>#N/A</v>
      </c>
      <c r="AV204" t="e">
        <v>#N/A</v>
      </c>
    </row>
    <row r="205" spans="4:48" ht="15.75" x14ac:dyDescent="0.25">
      <c r="D205" s="3">
        <v>3</v>
      </c>
      <c r="F205" s="16" cm="1">
        <f t="array" ref="F2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05" s="31" cm="1">
        <f t="array" ref="G2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205" s="33" t="str">
        <f>_xlfn.IFNA(IF(MOD(HLG_02[[#This Row],[Rit]],
    _xlfn.XLOOKUP($G$2,Int_Sample[Ore],Int_Sample[Inc])) = 0, "YES", "NO"),"")</f>
        <v>NO</v>
      </c>
      <c r="I205" s="32" t="str">
        <f>TEXT(HLG_02[[#This Row],[Batch]],"000")&amp; " / " &amp; TEXT(HLG_02[[#This Row],[Rit]],"000")</f>
        <v>004 / 011</v>
      </c>
      <c r="J205" s="34"/>
      <c r="K205" s="38"/>
      <c r="L205" s="35"/>
      <c r="M205" s="66"/>
      <c r="N205" s="66"/>
      <c r="O205" s="66"/>
      <c r="P205" s="66"/>
      <c r="Q205" s="66"/>
      <c r="R205" s="67"/>
      <c r="S205" s="67"/>
      <c r="T205" s="67"/>
      <c r="U205" s="66"/>
      <c r="V205" s="66"/>
      <c r="W205" s="66"/>
      <c r="X205" s="85"/>
      <c r="AP205" t="str">
        <v/>
      </c>
      <c r="AQ205" t="e">
        <v>#N/A</v>
      </c>
      <c r="AR205" t="e">
        <v>#N/A</v>
      </c>
      <c r="AS205" t="e">
        <v>#N/A</v>
      </c>
      <c r="AT205" t="e">
        <v>#N/A</v>
      </c>
      <c r="AU205" t="e">
        <v>#N/A</v>
      </c>
      <c r="AV205" t="e">
        <v>#N/A</v>
      </c>
    </row>
    <row r="206" spans="4:48" ht="15.75" x14ac:dyDescent="0.25">
      <c r="D206" s="3">
        <v>3</v>
      </c>
      <c r="F206" s="16" cm="1">
        <f t="array" ref="F2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06" s="31" cm="1">
        <f t="array" ref="G2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206" s="33" t="str">
        <f>_xlfn.IFNA(IF(MOD(HLG_02[[#This Row],[Rit]],
    _xlfn.XLOOKUP($G$2,Int_Sample[Ore],Int_Sample[Inc])) = 0, "YES", "NO"),"")</f>
        <v>NO</v>
      </c>
      <c r="I206" s="32" t="str">
        <f>TEXT(HLG_02[[#This Row],[Batch]],"000")&amp; " / " &amp; TEXT(HLG_02[[#This Row],[Rit]],"000")</f>
        <v>004 / 012</v>
      </c>
      <c r="J206" s="34"/>
      <c r="K206" s="38"/>
      <c r="L206" s="35"/>
      <c r="M206" s="66"/>
      <c r="N206" s="66"/>
      <c r="O206" s="66"/>
      <c r="P206" s="66"/>
      <c r="Q206" s="66"/>
      <c r="R206" s="67"/>
      <c r="S206" s="67"/>
      <c r="T206" s="67"/>
      <c r="U206" s="66"/>
      <c r="V206" s="66"/>
      <c r="W206" s="66"/>
      <c r="X206" s="85"/>
      <c r="AP206" t="str">
        <v/>
      </c>
      <c r="AQ206" t="e">
        <v>#N/A</v>
      </c>
      <c r="AR206" t="e">
        <v>#N/A</v>
      </c>
      <c r="AS206" t="e">
        <v>#N/A</v>
      </c>
      <c r="AT206" t="e">
        <v>#N/A</v>
      </c>
      <c r="AU206" t="e">
        <v>#N/A</v>
      </c>
      <c r="AV206" t="e">
        <v>#N/A</v>
      </c>
    </row>
    <row r="207" spans="4:48" ht="15.75" x14ac:dyDescent="0.25">
      <c r="D207" s="3">
        <v>3</v>
      </c>
      <c r="F207" s="16" cm="1">
        <f t="array" ref="F2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07" s="31" cm="1">
        <f t="array" ref="G2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207" s="33" t="str">
        <f>_xlfn.IFNA(IF(MOD(HLG_02[[#This Row],[Rit]],
    _xlfn.XLOOKUP($G$2,Int_Sample[Ore],Int_Sample[Inc])) = 0, "YES", "NO"),"")</f>
        <v>NO</v>
      </c>
      <c r="I207" s="32" t="str">
        <f>TEXT(HLG_02[[#This Row],[Batch]],"000")&amp; " / " &amp; TEXT(HLG_02[[#This Row],[Rit]],"000")</f>
        <v>004 / 013</v>
      </c>
      <c r="J207" s="34"/>
      <c r="K207" s="38"/>
      <c r="L207" s="35"/>
      <c r="M207" s="66"/>
      <c r="N207" s="66"/>
      <c r="O207" s="66"/>
      <c r="P207" s="66"/>
      <c r="Q207" s="66"/>
      <c r="R207" s="67"/>
      <c r="S207" s="67"/>
      <c r="T207" s="67"/>
      <c r="U207" s="66"/>
      <c r="V207" s="66"/>
      <c r="W207" s="66"/>
      <c r="X207" s="85"/>
      <c r="AP207" t="str">
        <v/>
      </c>
      <c r="AQ207" t="e">
        <v>#N/A</v>
      </c>
      <c r="AR207" t="e">
        <v>#N/A</v>
      </c>
      <c r="AS207" t="e">
        <v>#N/A</v>
      </c>
      <c r="AT207" t="e">
        <v>#N/A</v>
      </c>
      <c r="AU207" t="e">
        <v>#N/A</v>
      </c>
      <c r="AV207" t="e">
        <v>#N/A</v>
      </c>
    </row>
    <row r="208" spans="4:48" ht="15.75" x14ac:dyDescent="0.25">
      <c r="D208" s="3">
        <v>3</v>
      </c>
      <c r="F208" s="16" cm="1">
        <f t="array" ref="F2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08" s="31" cm="1">
        <f t="array" ref="G2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208" s="33" t="str">
        <f>_xlfn.IFNA(IF(MOD(HLG_02[[#This Row],[Rit]],
    _xlfn.XLOOKUP($G$2,Int_Sample[Ore],Int_Sample[Inc])) = 0, "YES", "NO"),"")</f>
        <v>NO</v>
      </c>
      <c r="I208" s="32" t="str">
        <f>TEXT(HLG_02[[#This Row],[Batch]],"000")&amp; " / " &amp; TEXT(HLG_02[[#This Row],[Rit]],"000")</f>
        <v>004 / 014</v>
      </c>
      <c r="J208" s="34"/>
      <c r="K208" s="38"/>
      <c r="L208" s="35"/>
      <c r="M208" s="66"/>
      <c r="N208" s="66"/>
      <c r="O208" s="66"/>
      <c r="P208" s="66"/>
      <c r="Q208" s="66"/>
      <c r="R208" s="67"/>
      <c r="S208" s="67"/>
      <c r="T208" s="67"/>
      <c r="U208" s="66"/>
      <c r="V208" s="66"/>
      <c r="W208" s="66"/>
      <c r="X208" s="85"/>
      <c r="AP208" t="str">
        <v/>
      </c>
      <c r="AQ208" t="e">
        <v>#N/A</v>
      </c>
      <c r="AR208" t="e">
        <v>#N/A</v>
      </c>
      <c r="AS208" t="e">
        <v>#N/A</v>
      </c>
      <c r="AT208" t="e">
        <v>#N/A</v>
      </c>
      <c r="AU208" t="e">
        <v>#N/A</v>
      </c>
      <c r="AV208" t="e">
        <v>#N/A</v>
      </c>
    </row>
    <row r="209" spans="4:48" ht="15.75" x14ac:dyDescent="0.25">
      <c r="D209" s="3">
        <v>3</v>
      </c>
      <c r="F209" s="16" cm="1">
        <f t="array" ref="F2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09" s="31" cm="1">
        <f t="array" ref="G2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209" s="33" t="str">
        <f>_xlfn.IFNA(IF(MOD(HLG_02[[#This Row],[Rit]],
    _xlfn.XLOOKUP($G$2,Int_Sample[Ore],Int_Sample[Inc])) = 0, "YES", "NO"),"")</f>
        <v>YES</v>
      </c>
      <c r="I209" s="32" t="str">
        <f>TEXT(HLG_02[[#This Row],[Batch]],"000")&amp; " / " &amp; TEXT(HLG_02[[#This Row],[Rit]],"000")</f>
        <v>004 / 015</v>
      </c>
      <c r="J209" s="34"/>
      <c r="K209" s="38"/>
      <c r="L209" s="35"/>
      <c r="M209" s="66"/>
      <c r="N209" s="66"/>
      <c r="O209" s="66"/>
      <c r="P209" s="66"/>
      <c r="Q209" s="66"/>
      <c r="R209" s="67"/>
      <c r="S209" s="67"/>
      <c r="T209" s="67"/>
      <c r="U209" s="66"/>
      <c r="V209" s="66"/>
      <c r="W209" s="66"/>
      <c r="X209" s="85"/>
      <c r="AP209" t="str">
        <v/>
      </c>
      <c r="AQ209" t="e">
        <v>#N/A</v>
      </c>
      <c r="AR209" t="e">
        <v>#N/A</v>
      </c>
      <c r="AS209" t="e">
        <v>#N/A</v>
      </c>
      <c r="AT209" t="e">
        <v>#N/A</v>
      </c>
      <c r="AU209" t="e">
        <v>#N/A</v>
      </c>
      <c r="AV209" t="e">
        <v>#N/A</v>
      </c>
    </row>
    <row r="210" spans="4:48" ht="15.75" x14ac:dyDescent="0.25">
      <c r="D210" s="3">
        <v>3</v>
      </c>
      <c r="F210" s="16" cm="1">
        <f t="array" ref="F2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10" s="31" cm="1">
        <f t="array" ref="G2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210" s="33" t="str">
        <f>_xlfn.IFNA(IF(MOD(HLG_02[[#This Row],[Rit]],
    _xlfn.XLOOKUP($G$2,Int_Sample[Ore],Int_Sample[Inc])) = 0, "YES", "NO"),"")</f>
        <v>NO</v>
      </c>
      <c r="I210" s="32" t="str">
        <f>TEXT(HLG_02[[#This Row],[Batch]],"000")&amp; " / " &amp; TEXT(HLG_02[[#This Row],[Rit]],"000")</f>
        <v>004 / 016</v>
      </c>
      <c r="J210" s="34"/>
      <c r="K210" s="38"/>
      <c r="L210" s="35"/>
      <c r="M210" s="66"/>
      <c r="N210" s="66"/>
      <c r="O210" s="66"/>
      <c r="P210" s="66"/>
      <c r="Q210" s="66"/>
      <c r="R210" s="67"/>
      <c r="S210" s="67"/>
      <c r="T210" s="67"/>
      <c r="U210" s="66"/>
      <c r="V210" s="66"/>
      <c r="W210" s="66"/>
      <c r="X210" s="85"/>
      <c r="AP210" t="str">
        <v/>
      </c>
      <c r="AQ210" t="e">
        <v>#N/A</v>
      </c>
      <c r="AR210" t="e">
        <v>#N/A</v>
      </c>
      <c r="AS210" t="e">
        <v>#N/A</v>
      </c>
      <c r="AT210" t="e">
        <v>#N/A</v>
      </c>
      <c r="AU210" t="e">
        <v>#N/A</v>
      </c>
      <c r="AV210" t="e">
        <v>#N/A</v>
      </c>
    </row>
    <row r="211" spans="4:48" ht="15.75" x14ac:dyDescent="0.25">
      <c r="D211" s="3">
        <v>3</v>
      </c>
      <c r="F211" s="16" cm="1">
        <f t="array" ref="F2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11" s="31" cm="1">
        <f t="array" ref="G2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211" s="33" t="str">
        <f>_xlfn.IFNA(IF(MOD(HLG_02[[#This Row],[Rit]],
    _xlfn.XLOOKUP($G$2,Int_Sample[Ore],Int_Sample[Inc])) = 0, "YES", "NO"),"")</f>
        <v>NO</v>
      </c>
      <c r="I211" s="32" t="str">
        <f>TEXT(HLG_02[[#This Row],[Batch]],"000")&amp; " / " &amp; TEXT(HLG_02[[#This Row],[Rit]],"000")</f>
        <v>004 / 017</v>
      </c>
      <c r="J211" s="34"/>
      <c r="K211" s="38"/>
      <c r="L211" s="35"/>
      <c r="M211" s="66"/>
      <c r="N211" s="66"/>
      <c r="O211" s="66"/>
      <c r="P211" s="66"/>
      <c r="Q211" s="66"/>
      <c r="R211" s="67"/>
      <c r="S211" s="67"/>
      <c r="T211" s="67"/>
      <c r="U211" s="66"/>
      <c r="V211" s="66"/>
      <c r="W211" s="66"/>
      <c r="X211" s="85"/>
      <c r="AP211" t="str">
        <v/>
      </c>
      <c r="AQ211" t="e">
        <v>#N/A</v>
      </c>
      <c r="AR211" t="e">
        <v>#N/A</v>
      </c>
      <c r="AS211" t="e">
        <v>#N/A</v>
      </c>
      <c r="AT211" t="e">
        <v>#N/A</v>
      </c>
      <c r="AU211" t="e">
        <v>#N/A</v>
      </c>
      <c r="AV211" t="e">
        <v>#N/A</v>
      </c>
    </row>
    <row r="212" spans="4:48" ht="15.75" x14ac:dyDescent="0.25">
      <c r="D212" s="3">
        <v>3</v>
      </c>
      <c r="F212" s="16" cm="1">
        <f t="array" ref="F2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12" s="31" cm="1">
        <f t="array" ref="G2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212" s="33" t="str">
        <f>_xlfn.IFNA(IF(MOD(HLG_02[[#This Row],[Rit]],
    _xlfn.XLOOKUP($G$2,Int_Sample[Ore],Int_Sample[Inc])) = 0, "YES", "NO"),"")</f>
        <v>NO</v>
      </c>
      <c r="I212" s="32" t="str">
        <f>TEXT(HLG_02[[#This Row],[Batch]],"000")&amp; " / " &amp; TEXT(HLG_02[[#This Row],[Rit]],"000")</f>
        <v>004 / 018</v>
      </c>
      <c r="J212" s="34"/>
      <c r="K212" s="38"/>
      <c r="L212" s="35"/>
      <c r="M212" s="66"/>
      <c r="N212" s="66"/>
      <c r="O212" s="66"/>
      <c r="P212" s="66"/>
      <c r="Q212" s="66"/>
      <c r="R212" s="67"/>
      <c r="S212" s="67"/>
      <c r="T212" s="67"/>
      <c r="U212" s="66"/>
      <c r="V212" s="66"/>
      <c r="W212" s="66"/>
      <c r="X212" s="85"/>
      <c r="AP212" t="str">
        <v/>
      </c>
      <c r="AQ212" t="e">
        <v>#N/A</v>
      </c>
      <c r="AR212" t="e">
        <v>#N/A</v>
      </c>
      <c r="AS212" t="e">
        <v>#N/A</v>
      </c>
      <c r="AT212" t="e">
        <v>#N/A</v>
      </c>
      <c r="AU212" t="e">
        <v>#N/A</v>
      </c>
      <c r="AV212" t="e">
        <v>#N/A</v>
      </c>
    </row>
    <row r="213" spans="4:48" ht="15.75" x14ac:dyDescent="0.25">
      <c r="D213" s="3">
        <v>3</v>
      </c>
      <c r="F213" s="16" cm="1">
        <f t="array" ref="F2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13" s="31" cm="1">
        <f t="array" ref="G2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213" s="33" t="str">
        <f>_xlfn.IFNA(IF(MOD(HLG_02[[#This Row],[Rit]],
    _xlfn.XLOOKUP($G$2,Int_Sample[Ore],Int_Sample[Inc])) = 0, "YES", "NO"),"")</f>
        <v>NO</v>
      </c>
      <c r="I213" s="32" t="str">
        <f>TEXT(HLG_02[[#This Row],[Batch]],"000")&amp; " / " &amp; TEXT(HLG_02[[#This Row],[Rit]],"000")</f>
        <v>004 / 019</v>
      </c>
      <c r="J213" s="34"/>
      <c r="K213" s="38"/>
      <c r="L213" s="35"/>
      <c r="M213" s="66"/>
      <c r="N213" s="66"/>
      <c r="O213" s="66"/>
      <c r="P213" s="66"/>
      <c r="Q213" s="66"/>
      <c r="R213" s="67"/>
      <c r="S213" s="67"/>
      <c r="T213" s="67"/>
      <c r="U213" s="66"/>
      <c r="V213" s="66"/>
      <c r="W213" s="66"/>
      <c r="X213" s="85"/>
      <c r="AP213" t="str">
        <v/>
      </c>
      <c r="AQ213" t="e">
        <v>#N/A</v>
      </c>
      <c r="AR213" t="e">
        <v>#N/A</v>
      </c>
      <c r="AS213" t="e">
        <v>#N/A</v>
      </c>
      <c r="AT213" t="e">
        <v>#N/A</v>
      </c>
      <c r="AU213" t="e">
        <v>#N/A</v>
      </c>
      <c r="AV213" t="e">
        <v>#N/A</v>
      </c>
    </row>
    <row r="214" spans="4:48" ht="15.75" x14ac:dyDescent="0.25">
      <c r="D214" s="3">
        <v>3</v>
      </c>
      <c r="F214" s="16" cm="1">
        <f t="array" ref="F2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14" s="31" cm="1">
        <f t="array" ref="G2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214" s="33" t="str">
        <f>_xlfn.IFNA(IF(MOD(HLG_02[[#This Row],[Rit]],
    _xlfn.XLOOKUP($G$2,Int_Sample[Ore],Int_Sample[Inc])) = 0, "YES", "NO"),"")</f>
        <v>YES</v>
      </c>
      <c r="I214" s="32" t="str">
        <f>TEXT(HLG_02[[#This Row],[Batch]],"000")&amp; " / " &amp; TEXT(HLG_02[[#This Row],[Rit]],"000")</f>
        <v>004 / 020</v>
      </c>
      <c r="J214" s="34"/>
      <c r="K214" s="38"/>
      <c r="L214" s="35"/>
      <c r="M214" s="66"/>
      <c r="N214" s="66"/>
      <c r="O214" s="66"/>
      <c r="P214" s="66"/>
      <c r="Q214" s="66"/>
      <c r="R214" s="67"/>
      <c r="S214" s="67"/>
      <c r="T214" s="67"/>
      <c r="U214" s="66"/>
      <c r="V214" s="66"/>
      <c r="W214" s="66"/>
      <c r="X214" s="85"/>
      <c r="AP214" t="str">
        <v/>
      </c>
      <c r="AQ214" t="e">
        <v>#N/A</v>
      </c>
      <c r="AR214" t="e">
        <v>#N/A</v>
      </c>
      <c r="AS214" t="e">
        <v>#N/A</v>
      </c>
      <c r="AT214" t="e">
        <v>#N/A</v>
      </c>
      <c r="AU214" t="e">
        <v>#N/A</v>
      </c>
      <c r="AV214" t="e">
        <v>#N/A</v>
      </c>
    </row>
    <row r="215" spans="4:48" ht="15.75" x14ac:dyDescent="0.25">
      <c r="D215" s="3">
        <v>3</v>
      </c>
      <c r="F215" s="16" cm="1">
        <f t="array" ref="F2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15" s="31" cm="1">
        <f t="array" ref="G2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21</v>
      </c>
      <c r="H215" s="33" t="str">
        <f>_xlfn.IFNA(IF(MOD(HLG_02[[#This Row],[Rit]],
    _xlfn.XLOOKUP($G$2,Int_Sample[Ore],Int_Sample[Inc])) = 0, "YES", "NO"),"")</f>
        <v>NO</v>
      </c>
      <c r="I215" s="32" t="str">
        <f>TEXT(HLG_02[[#This Row],[Batch]],"000")&amp; " / " &amp; TEXT(HLG_02[[#This Row],[Rit]],"000")</f>
        <v>004 / 021</v>
      </c>
      <c r="J215" s="34"/>
      <c r="K215" s="38"/>
      <c r="L215" s="35"/>
      <c r="M215" s="66"/>
      <c r="N215" s="66"/>
      <c r="O215" s="66"/>
      <c r="P215" s="66"/>
      <c r="Q215" s="66"/>
      <c r="R215" s="67"/>
      <c r="S215" s="67"/>
      <c r="T215" s="67"/>
      <c r="U215" s="66"/>
      <c r="V215" s="66"/>
      <c r="W215" s="66"/>
      <c r="X215" s="85"/>
      <c r="AP215" t="str">
        <v/>
      </c>
      <c r="AQ215" t="e">
        <v>#N/A</v>
      </c>
      <c r="AR215" t="e">
        <v>#N/A</v>
      </c>
      <c r="AS215" t="e">
        <v>#N/A</v>
      </c>
      <c r="AT215" t="e">
        <v>#N/A</v>
      </c>
      <c r="AU215" t="e">
        <v>#N/A</v>
      </c>
      <c r="AV215" t="e">
        <v>#N/A</v>
      </c>
    </row>
    <row r="216" spans="4:48" ht="15.75" x14ac:dyDescent="0.25">
      <c r="D216" s="3">
        <v>3</v>
      </c>
      <c r="F216" s="16" cm="1">
        <f t="array" ref="F2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16" s="31" cm="1">
        <f t="array" ref="G2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22</v>
      </c>
      <c r="H216" s="33" t="str">
        <f>_xlfn.IFNA(IF(MOD(HLG_02[[#This Row],[Rit]],
    _xlfn.XLOOKUP($G$2,Int_Sample[Ore],Int_Sample[Inc])) = 0, "YES", "NO"),"")</f>
        <v>NO</v>
      </c>
      <c r="I216" s="32" t="str">
        <f>TEXT(HLG_02[[#This Row],[Batch]],"000")&amp; " / " &amp; TEXT(HLG_02[[#This Row],[Rit]],"000")</f>
        <v>004 / 022</v>
      </c>
      <c r="J216" s="34"/>
      <c r="K216" s="38"/>
      <c r="L216" s="35"/>
      <c r="M216" s="66"/>
      <c r="N216" s="66"/>
      <c r="O216" s="66"/>
      <c r="P216" s="66"/>
      <c r="Q216" s="66"/>
      <c r="R216" s="67"/>
      <c r="S216" s="67"/>
      <c r="T216" s="67"/>
      <c r="U216" s="66"/>
      <c r="V216" s="66"/>
      <c r="W216" s="66"/>
      <c r="X216" s="85"/>
      <c r="AP216" t="str">
        <v/>
      </c>
      <c r="AQ216" t="e">
        <v>#N/A</v>
      </c>
      <c r="AR216" t="e">
        <v>#N/A</v>
      </c>
      <c r="AS216" t="e">
        <v>#N/A</v>
      </c>
      <c r="AT216" t="e">
        <v>#N/A</v>
      </c>
      <c r="AU216" t="e">
        <v>#N/A</v>
      </c>
      <c r="AV216" t="e">
        <v>#N/A</v>
      </c>
    </row>
    <row r="217" spans="4:48" ht="15.75" x14ac:dyDescent="0.25">
      <c r="D217" s="3">
        <v>3</v>
      </c>
      <c r="F217" s="16" cm="1">
        <f t="array" ref="F2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17" s="31" cm="1">
        <f t="array" ref="G2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23</v>
      </c>
      <c r="H217" s="33" t="str">
        <f>_xlfn.IFNA(IF(MOD(HLG_02[[#This Row],[Rit]],
    _xlfn.XLOOKUP($G$2,Int_Sample[Ore],Int_Sample[Inc])) = 0, "YES", "NO"),"")</f>
        <v>NO</v>
      </c>
      <c r="I217" s="32" t="str">
        <f>TEXT(HLG_02[[#This Row],[Batch]],"000")&amp; " / " &amp; TEXT(HLG_02[[#This Row],[Rit]],"000")</f>
        <v>004 / 023</v>
      </c>
      <c r="J217" s="34"/>
      <c r="K217" s="38"/>
      <c r="L217" s="35"/>
      <c r="M217" s="66"/>
      <c r="N217" s="66"/>
      <c r="O217" s="66"/>
      <c r="P217" s="66"/>
      <c r="Q217" s="66"/>
      <c r="R217" s="67"/>
      <c r="S217" s="67"/>
      <c r="T217" s="67"/>
      <c r="U217" s="66"/>
      <c r="V217" s="66"/>
      <c r="W217" s="66"/>
      <c r="X217" s="85"/>
      <c r="AP217" t="str">
        <v/>
      </c>
      <c r="AQ217" t="e">
        <v>#N/A</v>
      </c>
      <c r="AR217" t="e">
        <v>#N/A</v>
      </c>
      <c r="AS217" t="e">
        <v>#N/A</v>
      </c>
      <c r="AT217" t="e">
        <v>#N/A</v>
      </c>
      <c r="AU217" t="e">
        <v>#N/A</v>
      </c>
      <c r="AV217" t="e">
        <v>#N/A</v>
      </c>
    </row>
    <row r="218" spans="4:48" ht="15.75" x14ac:dyDescent="0.25">
      <c r="D218" s="3">
        <v>3</v>
      </c>
      <c r="F218" s="16" cm="1">
        <f t="array" ref="F2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18" s="31" cm="1">
        <f t="array" ref="G2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24</v>
      </c>
      <c r="H218" s="33" t="str">
        <f>_xlfn.IFNA(IF(MOD(HLG_02[[#This Row],[Rit]],
    _xlfn.XLOOKUP($G$2,Int_Sample[Ore],Int_Sample[Inc])) = 0, "YES", "NO"),"")</f>
        <v>NO</v>
      </c>
      <c r="I218" s="32" t="str">
        <f>TEXT(HLG_02[[#This Row],[Batch]],"000")&amp; " / " &amp; TEXT(HLG_02[[#This Row],[Rit]],"000")</f>
        <v>004 / 024</v>
      </c>
      <c r="J218" s="34"/>
      <c r="K218" s="38"/>
      <c r="L218" s="35"/>
      <c r="M218" s="66"/>
      <c r="N218" s="66"/>
      <c r="O218" s="66"/>
      <c r="P218" s="66"/>
      <c r="Q218" s="66"/>
      <c r="R218" s="67"/>
      <c r="S218" s="67"/>
      <c r="T218" s="67"/>
      <c r="U218" s="66"/>
      <c r="V218" s="66"/>
      <c r="W218" s="66"/>
      <c r="X218" s="85"/>
      <c r="AP218" t="str">
        <v/>
      </c>
      <c r="AQ218" t="e">
        <v>#N/A</v>
      </c>
      <c r="AR218" t="e">
        <v>#N/A</v>
      </c>
      <c r="AS218" t="e">
        <v>#N/A</v>
      </c>
      <c r="AT218" t="e">
        <v>#N/A</v>
      </c>
      <c r="AU218" t="e">
        <v>#N/A</v>
      </c>
      <c r="AV218" t="e">
        <v>#N/A</v>
      </c>
    </row>
    <row r="219" spans="4:48" ht="15.75" x14ac:dyDescent="0.25">
      <c r="D219" s="3">
        <v>3</v>
      </c>
      <c r="F219" s="16" cm="1">
        <f t="array" ref="F2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19" s="31" cm="1">
        <f t="array" ref="G2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25</v>
      </c>
      <c r="H219" s="33" t="str">
        <f>_xlfn.IFNA(IF(MOD(HLG_02[[#This Row],[Rit]],
    _xlfn.XLOOKUP($G$2,Int_Sample[Ore],Int_Sample[Inc])) = 0, "YES", "NO"),"")</f>
        <v>YES</v>
      </c>
      <c r="I219" s="32" t="str">
        <f>TEXT(HLG_02[[#This Row],[Batch]],"000")&amp; " / " &amp; TEXT(HLG_02[[#This Row],[Rit]],"000")</f>
        <v>004 / 025</v>
      </c>
      <c r="J219" s="34"/>
      <c r="K219" s="38"/>
      <c r="L219" s="35"/>
      <c r="M219" s="66"/>
      <c r="N219" s="66"/>
      <c r="O219" s="66"/>
      <c r="P219" s="66"/>
      <c r="Q219" s="66"/>
      <c r="R219" s="67"/>
      <c r="S219" s="67"/>
      <c r="T219" s="67"/>
      <c r="U219" s="66"/>
      <c r="V219" s="66"/>
      <c r="W219" s="66"/>
      <c r="X219" s="85"/>
      <c r="AP219" t="str">
        <v/>
      </c>
      <c r="AQ219" t="e">
        <v>#N/A</v>
      </c>
      <c r="AR219" t="e">
        <v>#N/A</v>
      </c>
      <c r="AS219" t="e">
        <v>#N/A</v>
      </c>
      <c r="AT219" t="e">
        <v>#N/A</v>
      </c>
      <c r="AU219" t="e">
        <v>#N/A</v>
      </c>
      <c r="AV219" t="e">
        <v>#N/A</v>
      </c>
    </row>
    <row r="220" spans="4:48" ht="15.75" x14ac:dyDescent="0.25">
      <c r="D220" s="3">
        <v>3</v>
      </c>
      <c r="F220" s="16" cm="1">
        <f t="array" ref="F2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20" s="31" cm="1">
        <f t="array" ref="G2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26</v>
      </c>
      <c r="H220" s="33" t="str">
        <f>_xlfn.IFNA(IF(MOD(HLG_02[[#This Row],[Rit]],
    _xlfn.XLOOKUP($G$2,Int_Sample[Ore],Int_Sample[Inc])) = 0, "YES", "NO"),"")</f>
        <v>NO</v>
      </c>
      <c r="I220" s="32" t="str">
        <f>TEXT(HLG_02[[#This Row],[Batch]],"000")&amp; " / " &amp; TEXT(HLG_02[[#This Row],[Rit]],"000")</f>
        <v>004 / 026</v>
      </c>
      <c r="J220" s="34"/>
      <c r="K220" s="38"/>
      <c r="L220" s="35"/>
      <c r="M220" s="66"/>
      <c r="N220" s="66"/>
      <c r="O220" s="66"/>
      <c r="P220" s="66"/>
      <c r="Q220" s="66"/>
      <c r="R220" s="67"/>
      <c r="S220" s="67"/>
      <c r="T220" s="67"/>
      <c r="U220" s="66"/>
      <c r="V220" s="66"/>
      <c r="W220" s="66"/>
      <c r="X220" s="85"/>
      <c r="AP220" t="str">
        <v/>
      </c>
      <c r="AQ220" t="e">
        <v>#N/A</v>
      </c>
      <c r="AR220" t="e">
        <v>#N/A</v>
      </c>
      <c r="AS220" t="e">
        <v>#N/A</v>
      </c>
      <c r="AT220" t="e">
        <v>#N/A</v>
      </c>
      <c r="AU220" t="e">
        <v>#N/A</v>
      </c>
      <c r="AV220" t="e">
        <v>#N/A</v>
      </c>
    </row>
    <row r="221" spans="4:48" ht="15.75" x14ac:dyDescent="0.25">
      <c r="D221" s="3">
        <v>3</v>
      </c>
      <c r="F221" s="16" cm="1">
        <f t="array" ref="F2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21" s="31" cm="1">
        <f t="array" ref="G2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27</v>
      </c>
      <c r="H221" s="33" t="str">
        <f>_xlfn.IFNA(IF(MOD(HLG_02[[#This Row],[Rit]],
    _xlfn.XLOOKUP($G$2,Int_Sample[Ore],Int_Sample[Inc])) = 0, "YES", "NO"),"")</f>
        <v>NO</v>
      </c>
      <c r="I221" s="32" t="str">
        <f>TEXT(HLG_02[[#This Row],[Batch]],"000")&amp; " / " &amp; TEXT(HLG_02[[#This Row],[Rit]],"000")</f>
        <v>004 / 027</v>
      </c>
      <c r="J221" s="34"/>
      <c r="K221" s="38"/>
      <c r="L221" s="35"/>
      <c r="M221" s="66"/>
      <c r="N221" s="66"/>
      <c r="O221" s="66"/>
      <c r="P221" s="66"/>
      <c r="Q221" s="66"/>
      <c r="R221" s="67"/>
      <c r="S221" s="67"/>
      <c r="T221" s="67"/>
      <c r="U221" s="66"/>
      <c r="V221" s="66"/>
      <c r="W221" s="66"/>
      <c r="X221" s="85"/>
      <c r="AP221" t="str">
        <v/>
      </c>
      <c r="AQ221" t="e">
        <v>#N/A</v>
      </c>
      <c r="AR221" t="e">
        <v>#N/A</v>
      </c>
      <c r="AS221" t="e">
        <v>#N/A</v>
      </c>
      <c r="AT221" t="e">
        <v>#N/A</v>
      </c>
      <c r="AU221" t="e">
        <v>#N/A</v>
      </c>
      <c r="AV221" t="e">
        <v>#N/A</v>
      </c>
    </row>
    <row r="222" spans="4:48" ht="15.75" x14ac:dyDescent="0.25">
      <c r="D222" s="3">
        <v>3</v>
      </c>
      <c r="F222" s="16" cm="1">
        <f t="array" ref="F2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22" s="31" cm="1">
        <f t="array" ref="G2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28</v>
      </c>
      <c r="H222" s="33" t="str">
        <f>_xlfn.IFNA(IF(MOD(HLG_02[[#This Row],[Rit]],
    _xlfn.XLOOKUP($G$2,Int_Sample[Ore],Int_Sample[Inc])) = 0, "YES", "NO"),"")</f>
        <v>NO</v>
      </c>
      <c r="I222" s="32" t="str">
        <f>TEXT(HLG_02[[#This Row],[Batch]],"000")&amp; " / " &amp; TEXT(HLG_02[[#This Row],[Rit]],"000")</f>
        <v>004 / 028</v>
      </c>
      <c r="J222" s="34"/>
      <c r="K222" s="38"/>
      <c r="L222" s="35"/>
      <c r="M222" s="66"/>
      <c r="N222" s="66"/>
      <c r="O222" s="66"/>
      <c r="P222" s="66"/>
      <c r="Q222" s="66"/>
      <c r="R222" s="67"/>
      <c r="S222" s="67"/>
      <c r="T222" s="67"/>
      <c r="U222" s="66"/>
      <c r="V222" s="66"/>
      <c r="W222" s="66"/>
      <c r="X222" s="85"/>
      <c r="AP222" t="str">
        <v/>
      </c>
      <c r="AQ222" t="e">
        <v>#N/A</v>
      </c>
      <c r="AR222" t="e">
        <v>#N/A</v>
      </c>
      <c r="AS222" t="e">
        <v>#N/A</v>
      </c>
      <c r="AT222" t="e">
        <v>#N/A</v>
      </c>
      <c r="AU222" t="e">
        <v>#N/A</v>
      </c>
      <c r="AV222" t="e">
        <v>#N/A</v>
      </c>
    </row>
    <row r="223" spans="4:48" ht="15.75" x14ac:dyDescent="0.25">
      <c r="D223" s="3">
        <v>3</v>
      </c>
      <c r="F223" s="16" cm="1">
        <f t="array" ref="F2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23" s="31" cm="1">
        <f t="array" ref="G2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29</v>
      </c>
      <c r="H223" s="33" t="str">
        <f>_xlfn.IFNA(IF(MOD(HLG_02[[#This Row],[Rit]],
    _xlfn.XLOOKUP($G$2,Int_Sample[Ore],Int_Sample[Inc])) = 0, "YES", "NO"),"")</f>
        <v>NO</v>
      </c>
      <c r="I223" s="32" t="str">
        <f>TEXT(HLG_02[[#This Row],[Batch]],"000")&amp; " / " &amp; TEXT(HLG_02[[#This Row],[Rit]],"000")</f>
        <v>004 / 029</v>
      </c>
      <c r="J223" s="34"/>
      <c r="K223" s="38"/>
      <c r="L223" s="35"/>
      <c r="M223" s="66"/>
      <c r="N223" s="66"/>
      <c r="O223" s="66"/>
      <c r="P223" s="66"/>
      <c r="Q223" s="66"/>
      <c r="R223" s="67"/>
      <c r="S223" s="67"/>
      <c r="T223" s="67"/>
      <c r="U223" s="66"/>
      <c r="V223" s="66"/>
      <c r="W223" s="66"/>
      <c r="X223" s="85"/>
      <c r="AP223" t="str">
        <v/>
      </c>
      <c r="AQ223" t="e">
        <v>#N/A</v>
      </c>
      <c r="AR223" t="e">
        <v>#N/A</v>
      </c>
      <c r="AS223" t="e">
        <v>#N/A</v>
      </c>
      <c r="AT223" t="e">
        <v>#N/A</v>
      </c>
      <c r="AU223" t="e">
        <v>#N/A</v>
      </c>
      <c r="AV223" t="e">
        <v>#N/A</v>
      </c>
    </row>
    <row r="224" spans="4:48" ht="15.75" x14ac:dyDescent="0.25">
      <c r="D224" s="3">
        <v>3</v>
      </c>
      <c r="F224" s="16" cm="1">
        <f t="array" ref="F2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24" s="31" cm="1">
        <f t="array" ref="G2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30</v>
      </c>
      <c r="H224" s="33" t="str">
        <f>_xlfn.IFNA(IF(MOD(HLG_02[[#This Row],[Rit]],
    _xlfn.XLOOKUP($G$2,Int_Sample[Ore],Int_Sample[Inc])) = 0, "YES", "NO"),"")</f>
        <v>YES</v>
      </c>
      <c r="I224" s="32" t="str">
        <f>TEXT(HLG_02[[#This Row],[Batch]],"000")&amp; " / " &amp; TEXT(HLG_02[[#This Row],[Rit]],"000")</f>
        <v>004 / 030</v>
      </c>
      <c r="J224" s="34"/>
      <c r="K224" s="38"/>
      <c r="L224" s="35"/>
      <c r="M224" s="66"/>
      <c r="N224" s="66"/>
      <c r="O224" s="66"/>
      <c r="P224" s="66"/>
      <c r="Q224" s="66"/>
      <c r="R224" s="67"/>
      <c r="S224" s="67"/>
      <c r="T224" s="67"/>
      <c r="U224" s="66"/>
      <c r="V224" s="66"/>
      <c r="W224" s="66"/>
      <c r="X224" s="85"/>
      <c r="AP224" t="str">
        <v/>
      </c>
      <c r="AQ224" t="e">
        <v>#N/A</v>
      </c>
      <c r="AR224" t="e">
        <v>#N/A</v>
      </c>
      <c r="AS224" t="e">
        <v>#N/A</v>
      </c>
      <c r="AT224" t="e">
        <v>#N/A</v>
      </c>
      <c r="AU224" t="e">
        <v>#N/A</v>
      </c>
      <c r="AV224" t="e">
        <v>#N/A</v>
      </c>
    </row>
    <row r="225" spans="4:48" ht="15.75" x14ac:dyDescent="0.25">
      <c r="D225" s="3">
        <v>3</v>
      </c>
      <c r="F225" s="16" cm="1">
        <f t="array" ref="F2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25" s="31" cm="1">
        <f t="array" ref="G2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31</v>
      </c>
      <c r="H225" s="33" t="str">
        <f>_xlfn.IFNA(IF(MOD(HLG_02[[#This Row],[Rit]],
    _xlfn.XLOOKUP($G$2,Int_Sample[Ore],Int_Sample[Inc])) = 0, "YES", "NO"),"")</f>
        <v>NO</v>
      </c>
      <c r="I225" s="32" t="str">
        <f>TEXT(HLG_02[[#This Row],[Batch]],"000")&amp; " / " &amp; TEXT(HLG_02[[#This Row],[Rit]],"000")</f>
        <v>004 / 031</v>
      </c>
      <c r="J225" s="34"/>
      <c r="K225" s="38"/>
      <c r="L225" s="35"/>
      <c r="M225" s="66"/>
      <c r="N225" s="66"/>
      <c r="O225" s="66"/>
      <c r="P225" s="66"/>
      <c r="Q225" s="66"/>
      <c r="R225" s="67"/>
      <c r="S225" s="67"/>
      <c r="T225" s="67"/>
      <c r="U225" s="66"/>
      <c r="V225" s="66"/>
      <c r="W225" s="66"/>
      <c r="X225" s="85"/>
      <c r="AP225" t="str">
        <v/>
      </c>
      <c r="AQ225" t="e">
        <v>#N/A</v>
      </c>
      <c r="AR225" t="e">
        <v>#N/A</v>
      </c>
      <c r="AS225" t="e">
        <v>#N/A</v>
      </c>
      <c r="AT225" t="e">
        <v>#N/A</v>
      </c>
      <c r="AU225" t="e">
        <v>#N/A</v>
      </c>
      <c r="AV225" t="e">
        <v>#N/A</v>
      </c>
    </row>
    <row r="226" spans="4:48" ht="15.75" x14ac:dyDescent="0.25">
      <c r="D226" s="3">
        <v>3</v>
      </c>
      <c r="F226" s="16" cm="1">
        <f t="array" ref="F2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26" s="31" cm="1">
        <f t="array" ref="G2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32</v>
      </c>
      <c r="H226" s="33" t="str">
        <f>_xlfn.IFNA(IF(MOD(HLG_02[[#This Row],[Rit]],
    _xlfn.XLOOKUP($G$2,Int_Sample[Ore],Int_Sample[Inc])) = 0, "YES", "NO"),"")</f>
        <v>NO</v>
      </c>
      <c r="I226" s="32" t="str">
        <f>TEXT(HLG_02[[#This Row],[Batch]],"000")&amp; " / " &amp; TEXT(HLG_02[[#This Row],[Rit]],"000")</f>
        <v>004 / 032</v>
      </c>
      <c r="J226" s="34"/>
      <c r="K226" s="38"/>
      <c r="L226" s="35"/>
      <c r="M226" s="66"/>
      <c r="N226" s="66"/>
      <c r="O226" s="66"/>
      <c r="P226" s="66"/>
      <c r="Q226" s="66"/>
      <c r="R226" s="67"/>
      <c r="S226" s="67"/>
      <c r="T226" s="67"/>
      <c r="U226" s="66"/>
      <c r="V226" s="66"/>
      <c r="W226" s="66"/>
      <c r="X226" s="85"/>
      <c r="AP226" t="str">
        <v/>
      </c>
      <c r="AQ226" t="e">
        <v>#N/A</v>
      </c>
      <c r="AR226" t="e">
        <v>#N/A</v>
      </c>
      <c r="AS226" t="e">
        <v>#N/A</v>
      </c>
      <c r="AT226" t="e">
        <v>#N/A</v>
      </c>
      <c r="AU226" t="e">
        <v>#N/A</v>
      </c>
      <c r="AV226" t="e">
        <v>#N/A</v>
      </c>
    </row>
    <row r="227" spans="4:48" ht="15.75" x14ac:dyDescent="0.25">
      <c r="D227" s="3">
        <v>3</v>
      </c>
      <c r="F227" s="16" cm="1">
        <f t="array" ref="F2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27" s="31" cm="1">
        <f t="array" ref="G2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33</v>
      </c>
      <c r="H227" s="33" t="str">
        <f>_xlfn.IFNA(IF(MOD(HLG_02[[#This Row],[Rit]],
    _xlfn.XLOOKUP($G$2,Int_Sample[Ore],Int_Sample[Inc])) = 0, "YES", "NO"),"")</f>
        <v>NO</v>
      </c>
      <c r="I227" s="32" t="str">
        <f>TEXT(HLG_02[[#This Row],[Batch]],"000")&amp; " / " &amp; TEXT(HLG_02[[#This Row],[Rit]],"000")</f>
        <v>004 / 033</v>
      </c>
      <c r="J227" s="34"/>
      <c r="K227" s="38"/>
      <c r="L227" s="35"/>
      <c r="M227" s="66"/>
      <c r="N227" s="66"/>
      <c r="O227" s="66"/>
      <c r="P227" s="66"/>
      <c r="Q227" s="66"/>
      <c r="R227" s="67"/>
      <c r="S227" s="67"/>
      <c r="T227" s="67"/>
      <c r="U227" s="66"/>
      <c r="V227" s="66"/>
      <c r="W227" s="66"/>
      <c r="X227" s="85"/>
      <c r="AP227" t="str">
        <v/>
      </c>
      <c r="AQ227" t="e">
        <v>#N/A</v>
      </c>
      <c r="AR227" t="e">
        <v>#N/A</v>
      </c>
      <c r="AS227" t="e">
        <v>#N/A</v>
      </c>
      <c r="AT227" t="e">
        <v>#N/A</v>
      </c>
      <c r="AU227" t="e">
        <v>#N/A</v>
      </c>
      <c r="AV227" t="e">
        <v>#N/A</v>
      </c>
    </row>
    <row r="228" spans="4:48" ht="15.75" x14ac:dyDescent="0.25">
      <c r="D228" s="3">
        <v>3</v>
      </c>
      <c r="F228" s="16" cm="1">
        <f t="array" ref="F2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28" s="31" cm="1">
        <f t="array" ref="G2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34</v>
      </c>
      <c r="H228" s="33" t="str">
        <f>_xlfn.IFNA(IF(MOD(HLG_02[[#This Row],[Rit]],
    _xlfn.XLOOKUP($G$2,Int_Sample[Ore],Int_Sample[Inc])) = 0, "YES", "NO"),"")</f>
        <v>NO</v>
      </c>
      <c r="I228" s="32" t="str">
        <f>TEXT(HLG_02[[#This Row],[Batch]],"000")&amp; " / " &amp; TEXT(HLG_02[[#This Row],[Rit]],"000")</f>
        <v>004 / 034</v>
      </c>
      <c r="J228" s="34"/>
      <c r="K228" s="38"/>
      <c r="L228" s="35"/>
      <c r="M228" s="66"/>
      <c r="N228" s="66"/>
      <c r="O228" s="66"/>
      <c r="P228" s="66"/>
      <c r="Q228" s="66"/>
      <c r="R228" s="67"/>
      <c r="S228" s="67"/>
      <c r="T228" s="67"/>
      <c r="U228" s="66"/>
      <c r="V228" s="66"/>
      <c r="W228" s="66"/>
      <c r="X228" s="85"/>
      <c r="AP228" t="str">
        <v/>
      </c>
      <c r="AQ228" t="e">
        <v>#N/A</v>
      </c>
      <c r="AR228" t="e">
        <v>#N/A</v>
      </c>
      <c r="AS228" t="e">
        <v>#N/A</v>
      </c>
      <c r="AT228" t="e">
        <v>#N/A</v>
      </c>
      <c r="AU228" t="e">
        <v>#N/A</v>
      </c>
      <c r="AV228" t="e">
        <v>#N/A</v>
      </c>
    </row>
    <row r="229" spans="4:48" ht="15.75" x14ac:dyDescent="0.25">
      <c r="D229" s="3">
        <v>3</v>
      </c>
      <c r="F229" s="16" cm="1">
        <f t="array" ref="F2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29" s="31" cm="1">
        <f t="array" ref="G2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35</v>
      </c>
      <c r="H229" s="33" t="str">
        <f>_xlfn.IFNA(IF(MOD(HLG_02[[#This Row],[Rit]],
    _xlfn.XLOOKUP($G$2,Int_Sample[Ore],Int_Sample[Inc])) = 0, "YES", "NO"),"")</f>
        <v>YES</v>
      </c>
      <c r="I229" s="32" t="str">
        <f>TEXT(HLG_02[[#This Row],[Batch]],"000")&amp; " / " &amp; TEXT(HLG_02[[#This Row],[Rit]],"000")</f>
        <v>004 / 035</v>
      </c>
      <c r="J229" s="34"/>
      <c r="K229" s="38"/>
      <c r="L229" s="35"/>
      <c r="M229" s="66"/>
      <c r="N229" s="66"/>
      <c r="O229" s="66"/>
      <c r="P229" s="66"/>
      <c r="Q229" s="66"/>
      <c r="R229" s="67"/>
      <c r="S229" s="67"/>
      <c r="T229" s="67"/>
      <c r="U229" s="66"/>
      <c r="V229" s="66"/>
      <c r="W229" s="66"/>
      <c r="X229" s="85"/>
      <c r="AP229" t="str">
        <v/>
      </c>
      <c r="AQ229" t="e">
        <v>#N/A</v>
      </c>
      <c r="AR229" t="e">
        <v>#N/A</v>
      </c>
      <c r="AS229" t="e">
        <v>#N/A</v>
      </c>
      <c r="AT229" t="e">
        <v>#N/A</v>
      </c>
      <c r="AU229" t="e">
        <v>#N/A</v>
      </c>
      <c r="AV229" t="e">
        <v>#N/A</v>
      </c>
    </row>
    <row r="230" spans="4:48" ht="15.75" x14ac:dyDescent="0.25">
      <c r="D230" s="3">
        <v>3</v>
      </c>
      <c r="F230" s="16" cm="1">
        <f t="array" ref="F2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30" s="31" cm="1">
        <f t="array" ref="G2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36</v>
      </c>
      <c r="H230" s="33" t="str">
        <f>_xlfn.IFNA(IF(MOD(HLG_02[[#This Row],[Rit]],
    _xlfn.XLOOKUP($G$2,Int_Sample[Ore],Int_Sample[Inc])) = 0, "YES", "NO"),"")</f>
        <v>NO</v>
      </c>
      <c r="I230" s="32" t="str">
        <f>TEXT(HLG_02[[#This Row],[Batch]],"000")&amp; " / " &amp; TEXT(HLG_02[[#This Row],[Rit]],"000")</f>
        <v>004 / 036</v>
      </c>
      <c r="J230" s="34"/>
      <c r="K230" s="38"/>
      <c r="L230" s="35"/>
      <c r="M230" s="66"/>
      <c r="N230" s="66"/>
      <c r="O230" s="66"/>
      <c r="P230" s="66"/>
      <c r="Q230" s="66"/>
      <c r="R230" s="67"/>
      <c r="S230" s="67"/>
      <c r="T230" s="67"/>
      <c r="U230" s="66"/>
      <c r="V230" s="66"/>
      <c r="W230" s="66"/>
      <c r="X230" s="85"/>
      <c r="AP230" t="str">
        <v/>
      </c>
      <c r="AQ230" t="e">
        <v>#N/A</v>
      </c>
      <c r="AR230" t="e">
        <v>#N/A</v>
      </c>
      <c r="AS230" t="e">
        <v>#N/A</v>
      </c>
      <c r="AT230" t="e">
        <v>#N/A</v>
      </c>
      <c r="AU230" t="e">
        <v>#N/A</v>
      </c>
      <c r="AV230" t="e">
        <v>#N/A</v>
      </c>
    </row>
    <row r="231" spans="4:48" ht="15.75" x14ac:dyDescent="0.25">
      <c r="D231" s="3">
        <v>3</v>
      </c>
      <c r="F231" s="16" cm="1">
        <f t="array" ref="F2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31" s="31" cm="1">
        <f t="array" ref="G2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37</v>
      </c>
      <c r="H231" s="33" t="str">
        <f>_xlfn.IFNA(IF(MOD(HLG_02[[#This Row],[Rit]],
    _xlfn.XLOOKUP($G$2,Int_Sample[Ore],Int_Sample[Inc])) = 0, "YES", "NO"),"")</f>
        <v>NO</v>
      </c>
      <c r="I231" s="32" t="str">
        <f>TEXT(HLG_02[[#This Row],[Batch]],"000")&amp; " / " &amp; TEXT(HLG_02[[#This Row],[Rit]],"000")</f>
        <v>004 / 037</v>
      </c>
      <c r="J231" s="34"/>
      <c r="K231" s="38"/>
      <c r="L231" s="35"/>
      <c r="M231" s="66"/>
      <c r="N231" s="66"/>
      <c r="O231" s="66"/>
      <c r="P231" s="66"/>
      <c r="Q231" s="66"/>
      <c r="R231" s="67"/>
      <c r="S231" s="67"/>
      <c r="T231" s="67"/>
      <c r="U231" s="66"/>
      <c r="V231" s="66"/>
      <c r="W231" s="66"/>
      <c r="X231" s="85"/>
      <c r="AP231" t="str">
        <v/>
      </c>
      <c r="AQ231" t="e">
        <v>#N/A</v>
      </c>
      <c r="AR231" t="e">
        <v>#N/A</v>
      </c>
      <c r="AS231" t="e">
        <v>#N/A</v>
      </c>
      <c r="AT231" t="e">
        <v>#N/A</v>
      </c>
      <c r="AU231" t="e">
        <v>#N/A</v>
      </c>
      <c r="AV231" t="e">
        <v>#N/A</v>
      </c>
    </row>
    <row r="232" spans="4:48" ht="15.75" x14ac:dyDescent="0.25">
      <c r="D232" s="3">
        <v>3</v>
      </c>
      <c r="F232" s="16" cm="1">
        <f t="array" ref="F2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32" s="31" cm="1">
        <f t="array" ref="G2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38</v>
      </c>
      <c r="H232" s="33" t="str">
        <f>_xlfn.IFNA(IF(MOD(HLG_02[[#This Row],[Rit]],
    _xlfn.XLOOKUP($G$2,Int_Sample[Ore],Int_Sample[Inc])) = 0, "YES", "NO"),"")</f>
        <v>NO</v>
      </c>
      <c r="I232" s="32" t="str">
        <f>TEXT(HLG_02[[#This Row],[Batch]],"000")&amp; " / " &amp; TEXT(HLG_02[[#This Row],[Rit]],"000")</f>
        <v>004 / 038</v>
      </c>
      <c r="J232" s="34"/>
      <c r="K232" s="38"/>
      <c r="L232" s="35"/>
      <c r="M232" s="66"/>
      <c r="N232" s="66"/>
      <c r="O232" s="66"/>
      <c r="P232" s="66"/>
      <c r="Q232" s="66"/>
      <c r="R232" s="67"/>
      <c r="S232" s="67"/>
      <c r="T232" s="67"/>
      <c r="U232" s="66"/>
      <c r="V232" s="66"/>
      <c r="W232" s="66"/>
      <c r="X232" s="85"/>
      <c r="AP232" t="str">
        <v/>
      </c>
      <c r="AQ232" t="e">
        <v>#N/A</v>
      </c>
      <c r="AR232" t="e">
        <v>#N/A</v>
      </c>
      <c r="AS232" t="e">
        <v>#N/A</v>
      </c>
      <c r="AT232" t="e">
        <v>#N/A</v>
      </c>
      <c r="AU232" t="e">
        <v>#N/A</v>
      </c>
      <c r="AV232" t="e">
        <v>#N/A</v>
      </c>
    </row>
    <row r="233" spans="4:48" ht="15.75" x14ac:dyDescent="0.25">
      <c r="D233" s="3">
        <v>3</v>
      </c>
      <c r="F233" s="16" cm="1">
        <f t="array" ref="F2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33" s="31" cm="1">
        <f t="array" ref="G2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39</v>
      </c>
      <c r="H233" s="33" t="str">
        <f>_xlfn.IFNA(IF(MOD(HLG_02[[#This Row],[Rit]],
    _xlfn.XLOOKUP($G$2,Int_Sample[Ore],Int_Sample[Inc])) = 0, "YES", "NO"),"")</f>
        <v>NO</v>
      </c>
      <c r="I233" s="32" t="str">
        <f>TEXT(HLG_02[[#This Row],[Batch]],"000")&amp; " / " &amp; TEXT(HLG_02[[#This Row],[Rit]],"000")</f>
        <v>004 / 039</v>
      </c>
      <c r="J233" s="34"/>
      <c r="K233" s="38"/>
      <c r="L233" s="35"/>
      <c r="M233" s="66"/>
      <c r="N233" s="66"/>
      <c r="O233" s="66"/>
      <c r="P233" s="66"/>
      <c r="Q233" s="66"/>
      <c r="R233" s="67"/>
      <c r="S233" s="67"/>
      <c r="T233" s="67"/>
      <c r="U233" s="66"/>
      <c r="V233" s="66"/>
      <c r="W233" s="66"/>
      <c r="X233" s="85"/>
      <c r="AP233" t="str">
        <v/>
      </c>
      <c r="AQ233" t="e">
        <v>#N/A</v>
      </c>
      <c r="AR233" t="e">
        <v>#N/A</v>
      </c>
      <c r="AS233" t="e">
        <v>#N/A</v>
      </c>
      <c r="AT233" t="e">
        <v>#N/A</v>
      </c>
      <c r="AU233" t="e">
        <v>#N/A</v>
      </c>
      <c r="AV233" t="e">
        <v>#N/A</v>
      </c>
    </row>
    <row r="234" spans="4:48" ht="15.75" x14ac:dyDescent="0.25">
      <c r="D234" s="3">
        <v>3</v>
      </c>
      <c r="F234" s="16" cm="1">
        <f t="array" ref="F2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34" s="31" cm="1">
        <f t="array" ref="G2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40</v>
      </c>
      <c r="H234" s="33" t="str">
        <f>_xlfn.IFNA(IF(MOD(HLG_02[[#This Row],[Rit]],
    _xlfn.XLOOKUP($G$2,Int_Sample[Ore],Int_Sample[Inc])) = 0, "YES", "NO"),"")</f>
        <v>YES</v>
      </c>
      <c r="I234" s="32" t="str">
        <f>TEXT(HLG_02[[#This Row],[Batch]],"000")&amp; " / " &amp; TEXT(HLG_02[[#This Row],[Rit]],"000")</f>
        <v>004 / 040</v>
      </c>
      <c r="J234" s="34"/>
      <c r="K234" s="38"/>
      <c r="L234" s="35"/>
      <c r="M234" s="66"/>
      <c r="N234" s="66"/>
      <c r="O234" s="66"/>
      <c r="P234" s="66"/>
      <c r="Q234" s="66"/>
      <c r="R234" s="67"/>
      <c r="S234" s="67"/>
      <c r="T234" s="67"/>
      <c r="U234" s="66"/>
      <c r="V234" s="66"/>
      <c r="W234" s="66"/>
      <c r="X234" s="85"/>
      <c r="AP234" t="str">
        <v/>
      </c>
      <c r="AQ234" t="e">
        <v>#N/A</v>
      </c>
      <c r="AR234" t="e">
        <v>#N/A</v>
      </c>
      <c r="AS234" t="e">
        <v>#N/A</v>
      </c>
      <c r="AT234" t="e">
        <v>#N/A</v>
      </c>
      <c r="AU234" t="e">
        <v>#N/A</v>
      </c>
      <c r="AV234" t="e">
        <v>#N/A</v>
      </c>
    </row>
    <row r="235" spans="4:48" ht="15.75" x14ac:dyDescent="0.25">
      <c r="D235" s="3">
        <v>3</v>
      </c>
      <c r="F235" s="16" cm="1">
        <f t="array" ref="F2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35" s="31" cm="1">
        <f t="array" ref="G2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41</v>
      </c>
      <c r="H235" s="33" t="str">
        <f>_xlfn.IFNA(IF(MOD(HLG_02[[#This Row],[Rit]],
    _xlfn.XLOOKUP($G$2,Int_Sample[Ore],Int_Sample[Inc])) = 0, "YES", "NO"),"")</f>
        <v>NO</v>
      </c>
      <c r="I235" s="32" t="str">
        <f>TEXT(HLG_02[[#This Row],[Batch]],"000")&amp; " / " &amp; TEXT(HLG_02[[#This Row],[Rit]],"000")</f>
        <v>004 / 041</v>
      </c>
      <c r="J235" s="34"/>
      <c r="K235" s="38"/>
      <c r="L235" s="35"/>
      <c r="M235" s="66"/>
      <c r="N235" s="66"/>
      <c r="O235" s="66"/>
      <c r="P235" s="66"/>
      <c r="Q235" s="66"/>
      <c r="R235" s="67"/>
      <c r="S235" s="67"/>
      <c r="T235" s="67"/>
      <c r="U235" s="66"/>
      <c r="V235" s="66"/>
      <c r="W235" s="66"/>
      <c r="X235" s="85"/>
      <c r="AP235" t="str">
        <v/>
      </c>
      <c r="AQ235" t="e">
        <v>#N/A</v>
      </c>
      <c r="AR235" t="e">
        <v>#N/A</v>
      </c>
      <c r="AS235" t="e">
        <v>#N/A</v>
      </c>
      <c r="AT235" t="e">
        <v>#N/A</v>
      </c>
      <c r="AU235" t="e">
        <v>#N/A</v>
      </c>
      <c r="AV235" t="e">
        <v>#N/A</v>
      </c>
    </row>
    <row r="236" spans="4:48" ht="15.75" x14ac:dyDescent="0.25">
      <c r="D236" s="3">
        <v>3</v>
      </c>
      <c r="F236" s="16" cm="1">
        <f t="array" ref="F2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36" s="31" cm="1">
        <f t="array" ref="G2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42</v>
      </c>
      <c r="H236" s="33" t="str">
        <f>_xlfn.IFNA(IF(MOD(HLG_02[[#This Row],[Rit]],
    _xlfn.XLOOKUP($G$2,Int_Sample[Ore],Int_Sample[Inc])) = 0, "YES", "NO"),"")</f>
        <v>NO</v>
      </c>
      <c r="I236" s="32" t="str">
        <f>TEXT(HLG_02[[#This Row],[Batch]],"000")&amp; " / " &amp; TEXT(HLG_02[[#This Row],[Rit]],"000")</f>
        <v>004 / 042</v>
      </c>
      <c r="J236" s="34"/>
      <c r="K236" s="38"/>
      <c r="L236" s="35"/>
      <c r="M236" s="66"/>
      <c r="N236" s="66"/>
      <c r="O236" s="66"/>
      <c r="P236" s="66"/>
      <c r="Q236" s="66"/>
      <c r="R236" s="67"/>
      <c r="S236" s="67"/>
      <c r="T236" s="67"/>
      <c r="U236" s="66"/>
      <c r="V236" s="66"/>
      <c r="W236" s="66"/>
      <c r="X236" s="85"/>
      <c r="AP236" t="str">
        <v/>
      </c>
      <c r="AQ236" t="e">
        <v>#N/A</v>
      </c>
      <c r="AR236" t="e">
        <v>#N/A</v>
      </c>
      <c r="AS236" t="e">
        <v>#N/A</v>
      </c>
      <c r="AT236" t="e">
        <v>#N/A</v>
      </c>
      <c r="AU236" t="e">
        <v>#N/A</v>
      </c>
      <c r="AV236" t="e">
        <v>#N/A</v>
      </c>
    </row>
    <row r="237" spans="4:48" ht="15.75" x14ac:dyDescent="0.25">
      <c r="D237" s="3">
        <v>3</v>
      </c>
      <c r="F237" s="16" cm="1">
        <f t="array" ref="F2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37" s="31" cm="1">
        <f t="array" ref="G2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43</v>
      </c>
      <c r="H237" s="33" t="str">
        <f>_xlfn.IFNA(IF(MOD(HLG_02[[#This Row],[Rit]],
    _xlfn.XLOOKUP($G$2,Int_Sample[Ore],Int_Sample[Inc])) = 0, "YES", "NO"),"")</f>
        <v>NO</v>
      </c>
      <c r="I237" s="32" t="str">
        <f>TEXT(HLG_02[[#This Row],[Batch]],"000")&amp; " / " &amp; TEXT(HLG_02[[#This Row],[Rit]],"000")</f>
        <v>004 / 043</v>
      </c>
      <c r="J237" s="34"/>
      <c r="K237" s="38"/>
      <c r="L237" s="35"/>
      <c r="M237" s="66"/>
      <c r="N237" s="66"/>
      <c r="O237" s="66"/>
      <c r="P237" s="66"/>
      <c r="Q237" s="66"/>
      <c r="R237" s="67"/>
      <c r="S237" s="67"/>
      <c r="T237" s="67"/>
      <c r="U237" s="66"/>
      <c r="V237" s="66"/>
      <c r="W237" s="66"/>
      <c r="X237" s="85"/>
      <c r="AP237" t="str">
        <v/>
      </c>
      <c r="AQ237" t="e">
        <v>#N/A</v>
      </c>
      <c r="AR237" t="e">
        <v>#N/A</v>
      </c>
      <c r="AS237" t="e">
        <v>#N/A</v>
      </c>
      <c r="AT237" t="e">
        <v>#N/A</v>
      </c>
      <c r="AU237" t="e">
        <v>#N/A</v>
      </c>
      <c r="AV237" t="e">
        <v>#N/A</v>
      </c>
    </row>
    <row r="238" spans="4:48" ht="15.75" x14ac:dyDescent="0.25">
      <c r="D238" s="3">
        <v>3</v>
      </c>
      <c r="F238" s="16" cm="1">
        <f t="array" ref="F2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38" s="31" cm="1">
        <f t="array" ref="G2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44</v>
      </c>
      <c r="H238" s="33" t="str">
        <f>_xlfn.IFNA(IF(MOD(HLG_02[[#This Row],[Rit]],
    _xlfn.XLOOKUP($G$2,Int_Sample[Ore],Int_Sample[Inc])) = 0, "YES", "NO"),"")</f>
        <v>NO</v>
      </c>
      <c r="I238" s="32" t="str">
        <f>TEXT(HLG_02[[#This Row],[Batch]],"000")&amp; " / " &amp; TEXT(HLG_02[[#This Row],[Rit]],"000")</f>
        <v>004 / 044</v>
      </c>
      <c r="J238" s="34"/>
      <c r="K238" s="38"/>
      <c r="L238" s="35"/>
      <c r="M238" s="66"/>
      <c r="N238" s="66"/>
      <c r="O238" s="66"/>
      <c r="P238" s="66"/>
      <c r="Q238" s="66"/>
      <c r="R238" s="67"/>
      <c r="S238" s="67"/>
      <c r="T238" s="67"/>
      <c r="U238" s="66"/>
      <c r="V238" s="66"/>
      <c r="W238" s="66"/>
      <c r="X238" s="85"/>
      <c r="AP238" t="str">
        <v/>
      </c>
      <c r="AQ238" t="e">
        <v>#N/A</v>
      </c>
      <c r="AR238" t="e">
        <v>#N/A</v>
      </c>
      <c r="AS238" t="e">
        <v>#N/A</v>
      </c>
      <c r="AT238" t="e">
        <v>#N/A</v>
      </c>
      <c r="AU238" t="e">
        <v>#N/A</v>
      </c>
      <c r="AV238" t="e">
        <v>#N/A</v>
      </c>
    </row>
    <row r="239" spans="4:48" ht="15.75" x14ac:dyDescent="0.25">
      <c r="D239" s="3">
        <v>3</v>
      </c>
      <c r="F239" s="16" cm="1">
        <f t="array" ref="F2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39" s="31" cm="1">
        <f t="array" ref="G2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45</v>
      </c>
      <c r="H239" s="33" t="str">
        <f>_xlfn.IFNA(IF(MOD(HLG_02[[#This Row],[Rit]],
    _xlfn.XLOOKUP($G$2,Int_Sample[Ore],Int_Sample[Inc])) = 0, "YES", "NO"),"")</f>
        <v>YES</v>
      </c>
      <c r="I239" s="32" t="str">
        <f>TEXT(HLG_02[[#This Row],[Batch]],"000")&amp; " / " &amp; TEXT(HLG_02[[#This Row],[Rit]],"000")</f>
        <v>004 / 045</v>
      </c>
      <c r="J239" s="34"/>
      <c r="K239" s="38"/>
      <c r="L239" s="35"/>
      <c r="M239" s="66"/>
      <c r="N239" s="66"/>
      <c r="O239" s="66"/>
      <c r="P239" s="66"/>
      <c r="Q239" s="66"/>
      <c r="R239" s="67"/>
      <c r="S239" s="67"/>
      <c r="T239" s="67"/>
      <c r="U239" s="66"/>
      <c r="V239" s="66"/>
      <c r="W239" s="66"/>
      <c r="X239" s="85"/>
      <c r="AP239" t="str">
        <v/>
      </c>
      <c r="AQ239" t="e">
        <v>#N/A</v>
      </c>
      <c r="AR239" t="e">
        <v>#N/A</v>
      </c>
      <c r="AS239" t="e">
        <v>#N/A</v>
      </c>
      <c r="AT239" t="e">
        <v>#N/A</v>
      </c>
      <c r="AU239" t="e">
        <v>#N/A</v>
      </c>
      <c r="AV239" t="e">
        <v>#N/A</v>
      </c>
    </row>
    <row r="240" spans="4:48" ht="15.75" x14ac:dyDescent="0.25">
      <c r="D240" s="3">
        <v>3</v>
      </c>
      <c r="F240" s="16" cm="1">
        <f t="array" ref="F2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40" s="31" cm="1">
        <f t="array" ref="G2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46</v>
      </c>
      <c r="H240" s="33" t="str">
        <f>_xlfn.IFNA(IF(MOD(HLG_02[[#This Row],[Rit]],
    _xlfn.XLOOKUP($G$2,Int_Sample[Ore],Int_Sample[Inc])) = 0, "YES", "NO"),"")</f>
        <v>NO</v>
      </c>
      <c r="I240" s="32" t="str">
        <f>TEXT(HLG_02[[#This Row],[Batch]],"000")&amp; " / " &amp; TEXT(HLG_02[[#This Row],[Rit]],"000")</f>
        <v>004 / 046</v>
      </c>
      <c r="J240" s="34"/>
      <c r="K240" s="38"/>
      <c r="L240" s="35"/>
      <c r="M240" s="66"/>
      <c r="N240" s="66"/>
      <c r="O240" s="66"/>
      <c r="P240" s="66"/>
      <c r="Q240" s="66"/>
      <c r="R240" s="67"/>
      <c r="S240" s="67"/>
      <c r="T240" s="67"/>
      <c r="U240" s="66"/>
      <c r="V240" s="66"/>
      <c r="W240" s="66"/>
      <c r="X240" s="85"/>
      <c r="AP240" t="str">
        <v/>
      </c>
      <c r="AQ240" t="e">
        <v>#N/A</v>
      </c>
      <c r="AR240" t="e">
        <v>#N/A</v>
      </c>
      <c r="AS240" t="e">
        <v>#N/A</v>
      </c>
      <c r="AT240" t="e">
        <v>#N/A</v>
      </c>
      <c r="AU240" t="e">
        <v>#N/A</v>
      </c>
      <c r="AV240" t="e">
        <v>#N/A</v>
      </c>
    </row>
    <row r="241" spans="4:48" ht="15.75" x14ac:dyDescent="0.25">
      <c r="D241" s="3">
        <v>3</v>
      </c>
      <c r="F241" s="16" cm="1">
        <f t="array" ref="F2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41" s="31" cm="1">
        <f t="array" ref="G2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47</v>
      </c>
      <c r="H241" s="33" t="str">
        <f>_xlfn.IFNA(IF(MOD(HLG_02[[#This Row],[Rit]],
    _xlfn.XLOOKUP($G$2,Int_Sample[Ore],Int_Sample[Inc])) = 0, "YES", "NO"),"")</f>
        <v>NO</v>
      </c>
      <c r="I241" s="32" t="str">
        <f>TEXT(HLG_02[[#This Row],[Batch]],"000")&amp; " / " &amp; TEXT(HLG_02[[#This Row],[Rit]],"000")</f>
        <v>004 / 047</v>
      </c>
      <c r="J241" s="34"/>
      <c r="K241" s="38"/>
      <c r="L241" s="35"/>
      <c r="M241" s="66"/>
      <c r="N241" s="66"/>
      <c r="O241" s="66"/>
      <c r="P241" s="66"/>
      <c r="Q241" s="66"/>
      <c r="R241" s="67"/>
      <c r="S241" s="67"/>
      <c r="T241" s="67"/>
      <c r="U241" s="66"/>
      <c r="V241" s="66"/>
      <c r="W241" s="66"/>
      <c r="X241" s="85"/>
      <c r="AP241" t="str">
        <v/>
      </c>
      <c r="AQ241" t="e">
        <v>#N/A</v>
      </c>
      <c r="AR241" t="e">
        <v>#N/A</v>
      </c>
      <c r="AS241" t="e">
        <v>#N/A</v>
      </c>
      <c r="AT241" t="e">
        <v>#N/A</v>
      </c>
      <c r="AU241" t="e">
        <v>#N/A</v>
      </c>
      <c r="AV241" t="e">
        <v>#N/A</v>
      </c>
    </row>
    <row r="242" spans="4:48" ht="15.75" x14ac:dyDescent="0.25">
      <c r="D242" s="3">
        <v>3</v>
      </c>
      <c r="F242" s="16" cm="1">
        <f t="array" ref="F2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42" s="31" cm="1">
        <f t="array" ref="G2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48</v>
      </c>
      <c r="H242" s="33" t="str">
        <f>_xlfn.IFNA(IF(MOD(HLG_02[[#This Row],[Rit]],
    _xlfn.XLOOKUP($G$2,Int_Sample[Ore],Int_Sample[Inc])) = 0, "YES", "NO"),"")</f>
        <v>NO</v>
      </c>
      <c r="I242" s="32" t="str">
        <f>TEXT(HLG_02[[#This Row],[Batch]],"000")&amp; " / " &amp; TEXT(HLG_02[[#This Row],[Rit]],"000")</f>
        <v>004 / 048</v>
      </c>
      <c r="J242" s="34"/>
      <c r="K242" s="38"/>
      <c r="L242" s="35"/>
      <c r="M242" s="66"/>
      <c r="N242" s="66"/>
      <c r="O242" s="66"/>
      <c r="P242" s="66"/>
      <c r="Q242" s="66"/>
      <c r="R242" s="67"/>
      <c r="S242" s="67"/>
      <c r="T242" s="67"/>
      <c r="U242" s="66"/>
      <c r="V242" s="66"/>
      <c r="W242" s="66"/>
      <c r="X242" s="85"/>
      <c r="AP242" t="str">
        <v/>
      </c>
      <c r="AQ242" t="e">
        <v>#N/A</v>
      </c>
      <c r="AR242" t="e">
        <v>#N/A</v>
      </c>
      <c r="AS242" t="e">
        <v>#N/A</v>
      </c>
      <c r="AT242" t="e">
        <v>#N/A</v>
      </c>
      <c r="AU242" t="e">
        <v>#N/A</v>
      </c>
      <c r="AV242" t="e">
        <v>#N/A</v>
      </c>
    </row>
    <row r="243" spans="4:48" ht="15.75" x14ac:dyDescent="0.25">
      <c r="D243" s="3">
        <v>3</v>
      </c>
      <c r="F243" s="16" cm="1">
        <f t="array" ref="F2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43" s="31" cm="1">
        <f t="array" ref="G2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49</v>
      </c>
      <c r="H243" s="33" t="str">
        <f>_xlfn.IFNA(IF(MOD(HLG_02[[#This Row],[Rit]],
    _xlfn.XLOOKUP($G$2,Int_Sample[Ore],Int_Sample[Inc])) = 0, "YES", "NO"),"")</f>
        <v>NO</v>
      </c>
      <c r="I243" s="32" t="str">
        <f>TEXT(HLG_02[[#This Row],[Batch]],"000")&amp; " / " &amp; TEXT(HLG_02[[#This Row],[Rit]],"000")</f>
        <v>004 / 049</v>
      </c>
      <c r="J243" s="34"/>
      <c r="K243" s="38"/>
      <c r="L243" s="35"/>
      <c r="M243" s="66"/>
      <c r="N243" s="66"/>
      <c r="O243" s="66"/>
      <c r="P243" s="66"/>
      <c r="Q243" s="66"/>
      <c r="R243" s="67"/>
      <c r="S243" s="67"/>
      <c r="T243" s="67"/>
      <c r="U243" s="66"/>
      <c r="V243" s="66"/>
      <c r="W243" s="66"/>
      <c r="X243" s="85"/>
      <c r="AP243" t="str">
        <v/>
      </c>
      <c r="AQ243" t="e">
        <v>#N/A</v>
      </c>
      <c r="AR243" t="e">
        <v>#N/A</v>
      </c>
      <c r="AS243" t="e">
        <v>#N/A</v>
      </c>
      <c r="AT243" t="e">
        <v>#N/A</v>
      </c>
      <c r="AU243" t="e">
        <v>#N/A</v>
      </c>
      <c r="AV243" t="e">
        <v>#N/A</v>
      </c>
    </row>
    <row r="244" spans="4:48" ht="15.75" x14ac:dyDescent="0.25">
      <c r="D244" s="3">
        <v>3</v>
      </c>
      <c r="F244" s="16" cm="1">
        <f t="array" ref="F2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44" s="31" cm="1">
        <f t="array" ref="G2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50</v>
      </c>
      <c r="H244" s="33" t="str">
        <f>_xlfn.IFNA(IF(MOD(HLG_02[[#This Row],[Rit]],
    _xlfn.XLOOKUP($G$2,Int_Sample[Ore],Int_Sample[Inc])) = 0, "YES", "NO"),"")</f>
        <v>YES</v>
      </c>
      <c r="I244" s="32" t="str">
        <f>TEXT(HLG_02[[#This Row],[Batch]],"000")&amp; " / " &amp; TEXT(HLG_02[[#This Row],[Rit]],"000")</f>
        <v>004 / 050</v>
      </c>
      <c r="J244" s="34"/>
      <c r="K244" s="38"/>
      <c r="L244" s="35"/>
      <c r="M244" s="66"/>
      <c r="N244" s="66"/>
      <c r="O244" s="66"/>
      <c r="P244" s="66"/>
      <c r="Q244" s="66"/>
      <c r="R244" s="67"/>
      <c r="S244" s="67"/>
      <c r="T244" s="67"/>
      <c r="U244" s="66"/>
      <c r="V244" s="66"/>
      <c r="W244" s="66"/>
      <c r="X244" s="85"/>
      <c r="AP244" t="str">
        <v/>
      </c>
      <c r="AQ244" t="e">
        <v>#N/A</v>
      </c>
      <c r="AR244" t="e">
        <v>#N/A</v>
      </c>
      <c r="AS244" t="e">
        <v>#N/A</v>
      </c>
      <c r="AT244" t="e">
        <v>#N/A</v>
      </c>
      <c r="AU244" t="e">
        <v>#N/A</v>
      </c>
      <c r="AV244" t="e">
        <v>#N/A</v>
      </c>
    </row>
    <row r="245" spans="4:48" ht="15.75" x14ac:dyDescent="0.25">
      <c r="D245" s="3">
        <v>3</v>
      </c>
      <c r="F245" s="16" cm="1">
        <f t="array" ref="F2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45" s="31" cm="1">
        <f t="array" ref="G2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51</v>
      </c>
      <c r="H245" s="33" t="str">
        <f>_xlfn.IFNA(IF(MOD(HLG_02[[#This Row],[Rit]],
    _xlfn.XLOOKUP($G$2,Int_Sample[Ore],Int_Sample[Inc])) = 0, "YES", "NO"),"")</f>
        <v>NO</v>
      </c>
      <c r="I245" s="32" t="str">
        <f>TEXT(HLG_02[[#This Row],[Batch]],"000")&amp; " / " &amp; TEXT(HLG_02[[#This Row],[Rit]],"000")</f>
        <v>004 / 051</v>
      </c>
      <c r="J245" s="34"/>
      <c r="K245" s="38"/>
      <c r="L245" s="35"/>
      <c r="M245" s="66"/>
      <c r="N245" s="66"/>
      <c r="O245" s="66"/>
      <c r="P245" s="66"/>
      <c r="Q245" s="66"/>
      <c r="R245" s="67"/>
      <c r="S245" s="67"/>
      <c r="T245" s="67"/>
      <c r="U245" s="66"/>
      <c r="V245" s="66"/>
      <c r="W245" s="66"/>
      <c r="X245" s="85"/>
      <c r="AP245" t="str">
        <v/>
      </c>
      <c r="AQ245" t="e">
        <v>#N/A</v>
      </c>
      <c r="AR245" t="e">
        <v>#N/A</v>
      </c>
      <c r="AS245" t="e">
        <v>#N/A</v>
      </c>
      <c r="AT245" t="e">
        <v>#N/A</v>
      </c>
      <c r="AU245" t="e">
        <v>#N/A</v>
      </c>
      <c r="AV245" t="e">
        <v>#N/A</v>
      </c>
    </row>
    <row r="246" spans="4:48" ht="15.75" x14ac:dyDescent="0.25">
      <c r="D246" s="3">
        <v>3</v>
      </c>
      <c r="F246" s="16" cm="1">
        <f t="array" ref="F2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46" s="31" cm="1">
        <f t="array" ref="G2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52</v>
      </c>
      <c r="H246" s="33" t="str">
        <f>_xlfn.IFNA(IF(MOD(HLG_02[[#This Row],[Rit]],
    _xlfn.XLOOKUP($G$2,Int_Sample[Ore],Int_Sample[Inc])) = 0, "YES", "NO"),"")</f>
        <v>NO</v>
      </c>
      <c r="I246" s="32" t="str">
        <f>TEXT(HLG_02[[#This Row],[Batch]],"000")&amp; " / " &amp; TEXT(HLG_02[[#This Row],[Rit]],"000")</f>
        <v>004 / 052</v>
      </c>
      <c r="J246" s="34"/>
      <c r="K246" s="38"/>
      <c r="L246" s="35"/>
      <c r="M246" s="66"/>
      <c r="N246" s="66"/>
      <c r="O246" s="66"/>
      <c r="P246" s="66"/>
      <c r="Q246" s="66"/>
      <c r="R246" s="67"/>
      <c r="S246" s="67"/>
      <c r="T246" s="67"/>
      <c r="U246" s="66"/>
      <c r="V246" s="66"/>
      <c r="W246" s="66"/>
      <c r="X246" s="85"/>
      <c r="AP246" t="str">
        <v/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</row>
    <row r="247" spans="4:48" ht="15.75" x14ac:dyDescent="0.25">
      <c r="D247" s="3">
        <v>3</v>
      </c>
      <c r="F247" s="16" cm="1">
        <f t="array" ref="F2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47" s="31" cm="1">
        <f t="array" ref="G2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53</v>
      </c>
      <c r="H247" s="33" t="str">
        <f>_xlfn.IFNA(IF(MOD(HLG_02[[#This Row],[Rit]],
    _xlfn.XLOOKUP($G$2,Int_Sample[Ore],Int_Sample[Inc])) = 0, "YES", "NO"),"")</f>
        <v>NO</v>
      </c>
      <c r="I247" s="32" t="str">
        <f>TEXT(HLG_02[[#This Row],[Batch]],"000")&amp; " / " &amp; TEXT(HLG_02[[#This Row],[Rit]],"000")</f>
        <v>004 / 053</v>
      </c>
      <c r="J247" s="34"/>
      <c r="K247" s="38"/>
      <c r="L247" s="35"/>
      <c r="M247" s="66"/>
      <c r="N247" s="66"/>
      <c r="O247" s="66"/>
      <c r="P247" s="66"/>
      <c r="Q247" s="66"/>
      <c r="R247" s="67"/>
      <c r="S247" s="67"/>
      <c r="T247" s="67"/>
      <c r="U247" s="66"/>
      <c r="V247" s="66"/>
      <c r="W247" s="66"/>
      <c r="X247" s="85"/>
      <c r="AP247" t="str">
        <v/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</row>
    <row r="248" spans="4:48" ht="15.75" x14ac:dyDescent="0.25">
      <c r="D248" s="3">
        <v>3</v>
      </c>
      <c r="F248" s="16" cm="1">
        <f t="array" ref="F2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48" s="31" cm="1">
        <f t="array" ref="G2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54</v>
      </c>
      <c r="H248" s="33" t="str">
        <f>_xlfn.IFNA(IF(MOD(HLG_02[[#This Row],[Rit]],
    _xlfn.XLOOKUP($G$2,Int_Sample[Ore],Int_Sample[Inc])) = 0, "YES", "NO"),"")</f>
        <v>NO</v>
      </c>
      <c r="I248" s="32" t="str">
        <f>TEXT(HLG_02[[#This Row],[Batch]],"000")&amp; " / " &amp; TEXT(HLG_02[[#This Row],[Rit]],"000")</f>
        <v>004 / 054</v>
      </c>
      <c r="J248" s="34"/>
      <c r="K248" s="38"/>
      <c r="L248" s="35"/>
      <c r="M248" s="66"/>
      <c r="N248" s="66"/>
      <c r="O248" s="66"/>
      <c r="P248" s="66"/>
      <c r="Q248" s="66"/>
      <c r="R248" s="67"/>
      <c r="S248" s="67"/>
      <c r="T248" s="67"/>
      <c r="U248" s="66"/>
      <c r="V248" s="66"/>
      <c r="W248" s="66"/>
      <c r="X248" s="85"/>
      <c r="AP248" t="str">
        <v/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</row>
    <row r="249" spans="4:48" ht="15.75" x14ac:dyDescent="0.25">
      <c r="D249" s="3">
        <v>3</v>
      </c>
      <c r="F249" s="16" cm="1">
        <f t="array" ref="F2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49" s="31" cm="1">
        <f t="array" ref="G2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55</v>
      </c>
      <c r="H249" s="33" t="str">
        <f>_xlfn.IFNA(IF(MOD(HLG_02[[#This Row],[Rit]],
    _xlfn.XLOOKUP($G$2,Int_Sample[Ore],Int_Sample[Inc])) = 0, "YES", "NO"),"")</f>
        <v>YES</v>
      </c>
      <c r="I249" s="32" t="str">
        <f>TEXT(HLG_02[[#This Row],[Batch]],"000")&amp; " / " &amp; TEXT(HLG_02[[#This Row],[Rit]],"000")</f>
        <v>004 / 055</v>
      </c>
      <c r="J249" s="34"/>
      <c r="K249" s="38"/>
      <c r="L249" s="35"/>
      <c r="M249" s="66"/>
      <c r="N249" s="66"/>
      <c r="O249" s="66"/>
      <c r="P249" s="66"/>
      <c r="Q249" s="66"/>
      <c r="R249" s="67"/>
      <c r="S249" s="67"/>
      <c r="T249" s="67"/>
      <c r="U249" s="66"/>
      <c r="V249" s="66"/>
      <c r="W249" s="66"/>
      <c r="X249" s="85"/>
      <c r="AP249" t="str">
        <v/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</row>
    <row r="250" spans="4:48" ht="15.75" x14ac:dyDescent="0.25">
      <c r="D250" s="3">
        <v>3</v>
      </c>
      <c r="F250" s="16" cm="1">
        <f t="array" ref="F2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50" s="31" cm="1">
        <f t="array" ref="G2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56</v>
      </c>
      <c r="H250" s="33" t="str">
        <f>_xlfn.IFNA(IF(MOD(HLG_02[[#This Row],[Rit]],
    _xlfn.XLOOKUP($G$2,Int_Sample[Ore],Int_Sample[Inc])) = 0, "YES", "NO"),"")</f>
        <v>NO</v>
      </c>
      <c r="I250" s="32" t="str">
        <f>TEXT(HLG_02[[#This Row],[Batch]],"000")&amp; " / " &amp; TEXT(HLG_02[[#This Row],[Rit]],"000")</f>
        <v>004 / 056</v>
      </c>
      <c r="J250" s="34"/>
      <c r="K250" s="38"/>
      <c r="L250" s="35"/>
      <c r="M250" s="66"/>
      <c r="N250" s="66"/>
      <c r="O250" s="66"/>
      <c r="P250" s="66"/>
      <c r="Q250" s="66"/>
      <c r="R250" s="67"/>
      <c r="S250" s="67"/>
      <c r="T250" s="67"/>
      <c r="U250" s="66"/>
      <c r="V250" s="66"/>
      <c r="W250" s="66"/>
      <c r="X250" s="85"/>
      <c r="AP250" t="str">
        <v/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</row>
    <row r="251" spans="4:48" ht="15.75" x14ac:dyDescent="0.25">
      <c r="D251" s="3">
        <v>3</v>
      </c>
      <c r="F251" s="16" cm="1">
        <f t="array" ref="F2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51" s="31" cm="1">
        <f t="array" ref="G2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57</v>
      </c>
      <c r="H251" s="33" t="str">
        <f>_xlfn.IFNA(IF(MOD(HLG_02[[#This Row],[Rit]],
    _xlfn.XLOOKUP($G$2,Int_Sample[Ore],Int_Sample[Inc])) = 0, "YES", "NO"),"")</f>
        <v>NO</v>
      </c>
      <c r="I251" s="32" t="str">
        <f>TEXT(HLG_02[[#This Row],[Batch]],"000")&amp; " / " &amp; TEXT(HLG_02[[#This Row],[Rit]],"000")</f>
        <v>004 / 057</v>
      </c>
      <c r="J251" s="34"/>
      <c r="K251" s="38"/>
      <c r="L251" s="35"/>
      <c r="M251" s="66"/>
      <c r="N251" s="66"/>
      <c r="O251" s="66"/>
      <c r="P251" s="66"/>
      <c r="Q251" s="66"/>
      <c r="R251" s="67"/>
      <c r="S251" s="67"/>
      <c r="T251" s="67"/>
      <c r="U251" s="66"/>
      <c r="V251" s="66"/>
      <c r="W251" s="66"/>
      <c r="X251" s="85"/>
      <c r="AP251" t="str">
        <v/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</row>
    <row r="252" spans="4:48" ht="15.75" x14ac:dyDescent="0.25">
      <c r="D252" s="3">
        <v>3</v>
      </c>
      <c r="F252" s="16" cm="1">
        <f t="array" ref="F2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52" s="31" cm="1">
        <f t="array" ref="G2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58</v>
      </c>
      <c r="H252" s="33" t="str">
        <f>_xlfn.IFNA(IF(MOD(HLG_02[[#This Row],[Rit]],
    _xlfn.XLOOKUP($G$2,Int_Sample[Ore],Int_Sample[Inc])) = 0, "YES", "NO"),"")</f>
        <v>NO</v>
      </c>
      <c r="I252" s="32" t="str">
        <f>TEXT(HLG_02[[#This Row],[Batch]],"000")&amp; " / " &amp; TEXT(HLG_02[[#This Row],[Rit]],"000")</f>
        <v>004 / 058</v>
      </c>
      <c r="J252" s="34"/>
      <c r="K252" s="38"/>
      <c r="L252" s="35"/>
      <c r="M252" s="66"/>
      <c r="N252" s="66"/>
      <c r="O252" s="66"/>
      <c r="P252" s="66"/>
      <c r="Q252" s="66"/>
      <c r="R252" s="67"/>
      <c r="S252" s="67"/>
      <c r="T252" s="67"/>
      <c r="U252" s="66"/>
      <c r="V252" s="66"/>
      <c r="W252" s="66"/>
      <c r="X252" s="85"/>
      <c r="AP252" t="str">
        <v/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</row>
    <row r="253" spans="4:48" ht="15.75" x14ac:dyDescent="0.25">
      <c r="D253" s="3">
        <v>3</v>
      </c>
      <c r="F253" s="16" cm="1">
        <f t="array" ref="F2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53" s="31" cm="1">
        <f t="array" ref="G2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59</v>
      </c>
      <c r="H253" s="33" t="str">
        <f>_xlfn.IFNA(IF(MOD(HLG_02[[#This Row],[Rit]],
    _xlfn.XLOOKUP($G$2,Int_Sample[Ore],Int_Sample[Inc])) = 0, "YES", "NO"),"")</f>
        <v>NO</v>
      </c>
      <c r="I253" s="32" t="str">
        <f>TEXT(HLG_02[[#This Row],[Batch]],"000")&amp; " / " &amp; TEXT(HLG_02[[#This Row],[Rit]],"000")</f>
        <v>004 / 059</v>
      </c>
      <c r="J253" s="34"/>
      <c r="K253" s="38"/>
      <c r="L253" s="35"/>
      <c r="M253" s="66"/>
      <c r="N253" s="66"/>
      <c r="O253" s="66"/>
      <c r="P253" s="66"/>
      <c r="Q253" s="66"/>
      <c r="R253" s="67"/>
      <c r="S253" s="67"/>
      <c r="T253" s="67"/>
      <c r="U253" s="66"/>
      <c r="V253" s="66"/>
      <c r="W253" s="66"/>
      <c r="X253" s="85"/>
      <c r="AP253" t="str">
        <v/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</row>
    <row r="254" spans="4:48" ht="15.75" x14ac:dyDescent="0.25">
      <c r="D254" s="3">
        <v>3</v>
      </c>
      <c r="F254" s="16" cm="1">
        <f t="array" ref="F2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54" s="31" cm="1">
        <f t="array" ref="G2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60</v>
      </c>
      <c r="H254" s="33" t="str">
        <f>_xlfn.IFNA(IF(MOD(HLG_02[[#This Row],[Rit]],
    _xlfn.XLOOKUP($G$2,Int_Sample[Ore],Int_Sample[Inc])) = 0, "YES", "NO"),"")</f>
        <v>YES</v>
      </c>
      <c r="I254" s="32" t="str">
        <f>TEXT(HLG_02[[#This Row],[Batch]],"000")&amp; " / " &amp; TEXT(HLG_02[[#This Row],[Rit]],"000")</f>
        <v>004 / 060</v>
      </c>
      <c r="J254" s="34"/>
      <c r="K254" s="38"/>
      <c r="L254" s="35"/>
      <c r="M254" s="66"/>
      <c r="N254" s="66"/>
      <c r="O254" s="66"/>
      <c r="P254" s="66"/>
      <c r="Q254" s="66"/>
      <c r="R254" s="67"/>
      <c r="S254" s="67"/>
      <c r="T254" s="67"/>
      <c r="U254" s="66"/>
      <c r="V254" s="66"/>
      <c r="W254" s="66"/>
      <c r="X254" s="85"/>
      <c r="AP254" t="str">
        <v/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</row>
    <row r="255" spans="4:48" ht="15.75" x14ac:dyDescent="0.25">
      <c r="D255" s="3">
        <v>3</v>
      </c>
      <c r="F255" s="16" cm="1">
        <f t="array" ref="F2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55" s="31" cm="1">
        <f t="array" ref="G2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61</v>
      </c>
      <c r="H255" s="33" t="str">
        <f>_xlfn.IFNA(IF(MOD(HLG_02[[#This Row],[Rit]],
    _xlfn.XLOOKUP($G$2,Int_Sample[Ore],Int_Sample[Inc])) = 0, "YES", "NO"),"")</f>
        <v>NO</v>
      </c>
      <c r="I255" s="32" t="str">
        <f>TEXT(HLG_02[[#This Row],[Batch]],"000")&amp; " / " &amp; TEXT(HLG_02[[#This Row],[Rit]],"000")</f>
        <v>004 / 061</v>
      </c>
      <c r="J255" s="34"/>
      <c r="K255" s="38"/>
      <c r="L255" s="35"/>
      <c r="M255" s="66"/>
      <c r="N255" s="66"/>
      <c r="O255" s="66"/>
      <c r="P255" s="66"/>
      <c r="Q255" s="66"/>
      <c r="R255" s="67"/>
      <c r="S255" s="67"/>
      <c r="T255" s="67"/>
      <c r="U255" s="66"/>
      <c r="V255" s="66"/>
      <c r="W255" s="66"/>
      <c r="X255" s="85"/>
      <c r="AP255" t="str">
        <v/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</row>
    <row r="256" spans="4:48" ht="15.75" x14ac:dyDescent="0.25">
      <c r="D256" s="3">
        <v>3</v>
      </c>
      <c r="F256" s="16" cm="1">
        <f t="array" ref="F2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56" s="31" cm="1">
        <f t="array" ref="G2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62</v>
      </c>
      <c r="H256" s="33" t="str">
        <f>_xlfn.IFNA(IF(MOD(HLG_02[[#This Row],[Rit]],
    _xlfn.XLOOKUP($G$2,Int_Sample[Ore],Int_Sample[Inc])) = 0, "YES", "NO"),"")</f>
        <v>NO</v>
      </c>
      <c r="I256" s="32" t="str">
        <f>TEXT(HLG_02[[#This Row],[Batch]],"000")&amp; " / " &amp; TEXT(HLG_02[[#This Row],[Rit]],"000")</f>
        <v>004 / 062</v>
      </c>
      <c r="J256" s="34"/>
      <c r="K256" s="38"/>
      <c r="L256" s="35"/>
      <c r="M256" s="66"/>
      <c r="N256" s="66"/>
      <c r="O256" s="66"/>
      <c r="P256" s="66"/>
      <c r="Q256" s="66"/>
      <c r="R256" s="67"/>
      <c r="S256" s="67"/>
      <c r="T256" s="67"/>
      <c r="U256" s="66"/>
      <c r="V256" s="66"/>
      <c r="W256" s="66"/>
      <c r="X256" s="85"/>
      <c r="AP256" t="str">
        <v/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</row>
    <row r="257" spans="4:48" ht="15.75" x14ac:dyDescent="0.25">
      <c r="D257" s="3">
        <v>3</v>
      </c>
      <c r="F257" s="16" cm="1">
        <f t="array" ref="F2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57" s="31" cm="1">
        <f t="array" ref="G2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63</v>
      </c>
      <c r="H257" s="33" t="str">
        <f>_xlfn.IFNA(IF(MOD(HLG_02[[#This Row],[Rit]],
    _xlfn.XLOOKUP($G$2,Int_Sample[Ore],Int_Sample[Inc])) = 0, "YES", "NO"),"")</f>
        <v>NO</v>
      </c>
      <c r="I257" s="32" t="str">
        <f>TEXT(HLG_02[[#This Row],[Batch]],"000")&amp; " / " &amp; TEXT(HLG_02[[#This Row],[Rit]],"000")</f>
        <v>004 / 063</v>
      </c>
      <c r="J257" s="34"/>
      <c r="K257" s="38"/>
      <c r="L257" s="35"/>
      <c r="M257" s="66"/>
      <c r="N257" s="66"/>
      <c r="O257" s="66"/>
      <c r="P257" s="66"/>
      <c r="Q257" s="66"/>
      <c r="R257" s="67"/>
      <c r="S257" s="67"/>
      <c r="T257" s="67"/>
      <c r="U257" s="66"/>
      <c r="V257" s="66"/>
      <c r="W257" s="66"/>
      <c r="X257" s="85"/>
      <c r="AP257" t="str">
        <v/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</row>
    <row r="258" spans="4:48" ht="15.75" x14ac:dyDescent="0.25">
      <c r="D258" s="3">
        <v>3</v>
      </c>
      <c r="F258" s="16" cm="1">
        <f t="array" ref="F2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58" s="31" cm="1">
        <f t="array" ref="G2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64</v>
      </c>
      <c r="H258" s="33" t="str">
        <f>_xlfn.IFNA(IF(MOD(HLG_02[[#This Row],[Rit]],
    _xlfn.XLOOKUP($G$2,Int_Sample[Ore],Int_Sample[Inc])) = 0, "YES", "NO"),"")</f>
        <v>NO</v>
      </c>
      <c r="I258" s="32" t="str">
        <f>TEXT(HLG_02[[#This Row],[Batch]],"000")&amp; " / " &amp; TEXT(HLG_02[[#This Row],[Rit]],"000")</f>
        <v>004 / 064</v>
      </c>
      <c r="J258" s="34"/>
      <c r="K258" s="38"/>
      <c r="L258" s="35"/>
      <c r="M258" s="66"/>
      <c r="N258" s="66"/>
      <c r="O258" s="66"/>
      <c r="P258" s="66"/>
      <c r="Q258" s="66"/>
      <c r="R258" s="67"/>
      <c r="S258" s="67"/>
      <c r="T258" s="67"/>
      <c r="U258" s="66"/>
      <c r="V258" s="66"/>
      <c r="W258" s="66"/>
      <c r="X258" s="85"/>
      <c r="AP258" t="str">
        <v/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</row>
    <row r="259" spans="4:48" ht="15.75" x14ac:dyDescent="0.25">
      <c r="D259" s="3">
        <v>3</v>
      </c>
      <c r="F259" s="16" cm="1">
        <f t="array" ref="F2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59" s="31" cm="1">
        <f t="array" ref="G2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65</v>
      </c>
      <c r="H259" s="33" t="str">
        <f>_xlfn.IFNA(IF(MOD(HLG_02[[#This Row],[Rit]],
    _xlfn.XLOOKUP($G$2,Int_Sample[Ore],Int_Sample[Inc])) = 0, "YES", "NO"),"")</f>
        <v>YES</v>
      </c>
      <c r="I259" s="32" t="str">
        <f>TEXT(HLG_02[[#This Row],[Batch]],"000")&amp; " / " &amp; TEXT(HLG_02[[#This Row],[Rit]],"000")</f>
        <v>004 / 065</v>
      </c>
      <c r="J259" s="34"/>
      <c r="K259" s="38"/>
      <c r="L259" s="35"/>
      <c r="M259" s="66"/>
      <c r="N259" s="66"/>
      <c r="O259" s="66"/>
      <c r="P259" s="66"/>
      <c r="Q259" s="66"/>
      <c r="R259" s="67"/>
      <c r="S259" s="67"/>
      <c r="T259" s="67"/>
      <c r="U259" s="66"/>
      <c r="V259" s="66"/>
      <c r="W259" s="66"/>
      <c r="X259" s="85"/>
      <c r="AP259" t="str">
        <v/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</row>
    <row r="260" spans="4:48" ht="15.75" x14ac:dyDescent="0.25">
      <c r="D260" s="3">
        <v>3</v>
      </c>
      <c r="F260" s="16" cm="1">
        <f t="array" ref="F2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60" s="31" cm="1">
        <f t="array" ref="G2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66</v>
      </c>
      <c r="H260" s="33" t="str">
        <f>_xlfn.IFNA(IF(MOD(HLG_02[[#This Row],[Rit]],
    _xlfn.XLOOKUP($G$2,Int_Sample[Ore],Int_Sample[Inc])) = 0, "YES", "NO"),"")</f>
        <v>NO</v>
      </c>
      <c r="I260" s="32" t="str">
        <f>TEXT(HLG_02[[#This Row],[Batch]],"000")&amp; " / " &amp; TEXT(HLG_02[[#This Row],[Rit]],"000")</f>
        <v>004 / 066</v>
      </c>
      <c r="J260" s="34"/>
      <c r="K260" s="38"/>
      <c r="L260" s="35"/>
      <c r="M260" s="66"/>
      <c r="N260" s="66"/>
      <c r="O260" s="66"/>
      <c r="P260" s="66"/>
      <c r="Q260" s="66"/>
      <c r="R260" s="67"/>
      <c r="S260" s="67"/>
      <c r="T260" s="67"/>
      <c r="U260" s="66"/>
      <c r="V260" s="66"/>
      <c r="W260" s="66"/>
      <c r="X260" s="85"/>
      <c r="AP260" t="str">
        <v/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</row>
    <row r="261" spans="4:48" ht="15.75" x14ac:dyDescent="0.25">
      <c r="D261" s="3">
        <v>3</v>
      </c>
      <c r="F261" s="16" cm="1">
        <f t="array" ref="F2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61" s="31" cm="1">
        <f t="array" ref="G2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67</v>
      </c>
      <c r="H261" s="33" t="str">
        <f>_xlfn.IFNA(IF(MOD(HLG_02[[#This Row],[Rit]],
    _xlfn.XLOOKUP($G$2,Int_Sample[Ore],Int_Sample[Inc])) = 0, "YES", "NO"),"")</f>
        <v>NO</v>
      </c>
      <c r="I261" s="32" t="str">
        <f>TEXT(HLG_02[[#This Row],[Batch]],"000")&amp; " / " &amp; TEXT(HLG_02[[#This Row],[Rit]],"000")</f>
        <v>004 / 067</v>
      </c>
      <c r="J261" s="34"/>
      <c r="K261" s="38"/>
      <c r="L261" s="35"/>
      <c r="M261" s="66"/>
      <c r="N261" s="66"/>
      <c r="O261" s="66"/>
      <c r="P261" s="66"/>
      <c r="Q261" s="66"/>
      <c r="R261" s="67"/>
      <c r="S261" s="67"/>
      <c r="T261" s="67"/>
      <c r="U261" s="66"/>
      <c r="V261" s="66"/>
      <c r="W261" s="66"/>
      <c r="X261" s="85"/>
      <c r="AP261" t="str">
        <v/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</row>
    <row r="262" spans="4:48" ht="15.75" x14ac:dyDescent="0.25">
      <c r="D262" s="3">
        <v>3</v>
      </c>
      <c r="F262" s="16" cm="1">
        <f t="array" ref="F2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62" s="31" cm="1">
        <f t="array" ref="G2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68</v>
      </c>
      <c r="H262" s="33" t="str">
        <f>_xlfn.IFNA(IF(MOD(HLG_02[[#This Row],[Rit]],
    _xlfn.XLOOKUP($G$2,Int_Sample[Ore],Int_Sample[Inc])) = 0, "YES", "NO"),"")</f>
        <v>NO</v>
      </c>
      <c r="I262" s="32" t="str">
        <f>TEXT(HLG_02[[#This Row],[Batch]],"000")&amp; " / " &amp; TEXT(HLG_02[[#This Row],[Rit]],"000")</f>
        <v>004 / 068</v>
      </c>
      <c r="J262" s="34"/>
      <c r="K262" s="38"/>
      <c r="L262" s="35"/>
      <c r="M262" s="66"/>
      <c r="N262" s="66"/>
      <c r="O262" s="66"/>
      <c r="P262" s="66"/>
      <c r="Q262" s="66"/>
      <c r="R262" s="67"/>
      <c r="S262" s="67"/>
      <c r="T262" s="67"/>
      <c r="U262" s="66"/>
      <c r="V262" s="66"/>
      <c r="W262" s="66"/>
      <c r="X262" s="85"/>
      <c r="AP262" t="str">
        <v/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</row>
    <row r="263" spans="4:48" ht="15.75" x14ac:dyDescent="0.25">
      <c r="D263" s="3">
        <v>3</v>
      </c>
      <c r="F263" s="16" cm="1">
        <f t="array" ref="F2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63" s="31" cm="1">
        <f t="array" ref="G2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69</v>
      </c>
      <c r="H263" s="33" t="str">
        <f>_xlfn.IFNA(IF(MOD(HLG_02[[#This Row],[Rit]],
    _xlfn.XLOOKUP($G$2,Int_Sample[Ore],Int_Sample[Inc])) = 0, "YES", "NO"),"")</f>
        <v>NO</v>
      </c>
      <c r="I263" s="32" t="str">
        <f>TEXT(HLG_02[[#This Row],[Batch]],"000")&amp; " / " &amp; TEXT(HLG_02[[#This Row],[Rit]],"000")</f>
        <v>004 / 069</v>
      </c>
      <c r="J263" s="34"/>
      <c r="K263" s="38"/>
      <c r="L263" s="35"/>
      <c r="M263" s="66"/>
      <c r="N263" s="66"/>
      <c r="O263" s="66"/>
      <c r="P263" s="66"/>
      <c r="Q263" s="66"/>
      <c r="R263" s="67"/>
      <c r="S263" s="67"/>
      <c r="T263" s="67"/>
      <c r="U263" s="66"/>
      <c r="V263" s="66"/>
      <c r="W263" s="66"/>
      <c r="X263" s="85"/>
      <c r="AP263" t="str">
        <v/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</row>
    <row r="264" spans="4:48" ht="15.75" x14ac:dyDescent="0.25">
      <c r="D264" s="3">
        <v>3</v>
      </c>
      <c r="F264" s="16" cm="1">
        <f t="array" ref="F2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64" s="31" cm="1">
        <f t="array" ref="G2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70</v>
      </c>
      <c r="H264" s="33" t="str">
        <f>_xlfn.IFNA(IF(MOD(HLG_02[[#This Row],[Rit]],
    _xlfn.XLOOKUP($G$2,Int_Sample[Ore],Int_Sample[Inc])) = 0, "YES", "NO"),"")</f>
        <v>YES</v>
      </c>
      <c r="I264" s="32" t="str">
        <f>TEXT(HLG_02[[#This Row],[Batch]],"000")&amp; " / " &amp; TEXT(HLG_02[[#This Row],[Rit]],"000")</f>
        <v>004 / 070</v>
      </c>
      <c r="J264" s="34"/>
      <c r="K264" s="38"/>
      <c r="L264" s="35"/>
      <c r="M264" s="66"/>
      <c r="N264" s="66"/>
      <c r="O264" s="66"/>
      <c r="P264" s="66"/>
      <c r="Q264" s="66"/>
      <c r="R264" s="67"/>
      <c r="S264" s="67"/>
      <c r="T264" s="67"/>
      <c r="U264" s="66"/>
      <c r="V264" s="66"/>
      <c r="W264" s="66"/>
      <c r="X264" s="85"/>
      <c r="AP264" t="str">
        <v/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</row>
    <row r="265" spans="4:48" ht="15.75" x14ac:dyDescent="0.25">
      <c r="D265" s="3">
        <v>3</v>
      </c>
      <c r="F265" s="16" cm="1">
        <f t="array" ref="F2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65" s="31" cm="1">
        <f t="array" ref="G2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71</v>
      </c>
      <c r="H265" s="33" t="str">
        <f>_xlfn.IFNA(IF(MOD(HLG_02[[#This Row],[Rit]],
    _xlfn.XLOOKUP($G$2,Int_Sample[Ore],Int_Sample[Inc])) = 0, "YES", "NO"),"")</f>
        <v>NO</v>
      </c>
      <c r="I265" s="32" t="str">
        <f>TEXT(HLG_02[[#This Row],[Batch]],"000")&amp; " / " &amp; TEXT(HLG_02[[#This Row],[Rit]],"000")</f>
        <v>004 / 071</v>
      </c>
      <c r="J265" s="34"/>
      <c r="K265" s="38"/>
      <c r="L265" s="35"/>
      <c r="M265" s="66"/>
      <c r="N265" s="66"/>
      <c r="O265" s="66"/>
      <c r="P265" s="66"/>
      <c r="Q265" s="66"/>
      <c r="R265" s="67"/>
      <c r="S265" s="67"/>
      <c r="T265" s="67"/>
      <c r="U265" s="66"/>
      <c r="V265" s="66"/>
      <c r="W265" s="66"/>
      <c r="X265" s="85"/>
      <c r="AP265" t="str">
        <v/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</row>
    <row r="266" spans="4:48" ht="15.75" x14ac:dyDescent="0.25">
      <c r="D266" s="3">
        <v>3</v>
      </c>
      <c r="F266" s="16" cm="1">
        <f t="array" ref="F2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66" s="31" cm="1">
        <f t="array" ref="G2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72</v>
      </c>
      <c r="H266" s="33" t="str">
        <f>_xlfn.IFNA(IF(MOD(HLG_02[[#This Row],[Rit]],
    _xlfn.XLOOKUP($G$2,Int_Sample[Ore],Int_Sample[Inc])) = 0, "YES", "NO"),"")</f>
        <v>NO</v>
      </c>
      <c r="I266" s="32" t="str">
        <f>TEXT(HLG_02[[#This Row],[Batch]],"000")&amp; " / " &amp; TEXT(HLG_02[[#This Row],[Rit]],"000")</f>
        <v>004 / 072</v>
      </c>
      <c r="J266" s="34"/>
      <c r="K266" s="38"/>
      <c r="L266" s="35"/>
      <c r="M266" s="66"/>
      <c r="N266" s="66"/>
      <c r="O266" s="66"/>
      <c r="P266" s="66"/>
      <c r="Q266" s="66"/>
      <c r="R266" s="67"/>
      <c r="S266" s="67"/>
      <c r="T266" s="67"/>
      <c r="U266" s="66"/>
      <c r="V266" s="66"/>
      <c r="W266" s="66"/>
      <c r="X266" s="85"/>
      <c r="AP266" t="str">
        <v/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</row>
    <row r="267" spans="4:48" ht="15.75" x14ac:dyDescent="0.25">
      <c r="D267" s="3">
        <v>3</v>
      </c>
      <c r="F267" s="16" cm="1">
        <f t="array" ref="F2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67" s="31" cm="1">
        <f t="array" ref="G2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73</v>
      </c>
      <c r="H267" s="33" t="str">
        <f>_xlfn.IFNA(IF(MOD(HLG_02[[#This Row],[Rit]],
    _xlfn.XLOOKUP($G$2,Int_Sample[Ore],Int_Sample[Inc])) = 0, "YES", "NO"),"")</f>
        <v>NO</v>
      </c>
      <c r="I267" s="32" t="str">
        <f>TEXT(HLG_02[[#This Row],[Batch]],"000")&amp; " / " &amp; TEXT(HLG_02[[#This Row],[Rit]],"000")</f>
        <v>004 / 073</v>
      </c>
      <c r="J267" s="34"/>
      <c r="K267" s="38"/>
      <c r="L267" s="35"/>
      <c r="M267" s="66"/>
      <c r="N267" s="66"/>
      <c r="O267" s="66"/>
      <c r="P267" s="66"/>
      <c r="Q267" s="66"/>
      <c r="R267" s="67"/>
      <c r="S267" s="67"/>
      <c r="T267" s="67"/>
      <c r="U267" s="66"/>
      <c r="V267" s="66"/>
      <c r="W267" s="66"/>
      <c r="X267" s="85"/>
      <c r="AP267" t="str">
        <v/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</row>
    <row r="268" spans="4:48" ht="15.75" x14ac:dyDescent="0.25">
      <c r="D268" s="3">
        <v>3</v>
      </c>
      <c r="F268" s="16" cm="1">
        <f t="array" ref="F2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68" s="31" cm="1">
        <f t="array" ref="G2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74</v>
      </c>
      <c r="H268" s="33" t="str">
        <f>_xlfn.IFNA(IF(MOD(HLG_02[[#This Row],[Rit]],
    _xlfn.XLOOKUP($G$2,Int_Sample[Ore],Int_Sample[Inc])) = 0, "YES", "NO"),"")</f>
        <v>NO</v>
      </c>
      <c r="I268" s="32" t="str">
        <f>TEXT(HLG_02[[#This Row],[Batch]],"000")&amp; " / " &amp; TEXT(HLG_02[[#This Row],[Rit]],"000")</f>
        <v>004 / 074</v>
      </c>
      <c r="J268" s="34"/>
      <c r="K268" s="38"/>
      <c r="L268" s="35"/>
      <c r="M268" s="66"/>
      <c r="N268" s="66"/>
      <c r="O268" s="66"/>
      <c r="P268" s="66"/>
      <c r="Q268" s="66"/>
      <c r="R268" s="67"/>
      <c r="S268" s="67"/>
      <c r="T268" s="67"/>
      <c r="U268" s="66"/>
      <c r="V268" s="66"/>
      <c r="W268" s="66"/>
      <c r="X268" s="85"/>
      <c r="AP268" t="str">
        <v/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</row>
    <row r="269" spans="4:48" ht="15.75" x14ac:dyDescent="0.25">
      <c r="D269" s="3">
        <v>3</v>
      </c>
      <c r="F269" s="16" cm="1">
        <f t="array" ref="F2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69" s="31" cm="1">
        <f t="array" ref="G2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75</v>
      </c>
      <c r="H269" s="33" t="str">
        <f>_xlfn.IFNA(IF(MOD(HLG_02[[#This Row],[Rit]],
    _xlfn.XLOOKUP($G$2,Int_Sample[Ore],Int_Sample[Inc])) = 0, "YES", "NO"),"")</f>
        <v>YES</v>
      </c>
      <c r="I269" s="32" t="str">
        <f>TEXT(HLG_02[[#This Row],[Batch]],"000")&amp; " / " &amp; TEXT(HLG_02[[#This Row],[Rit]],"000")</f>
        <v>004 / 075</v>
      </c>
      <c r="J269" s="34"/>
      <c r="K269" s="38"/>
      <c r="L269" s="35"/>
      <c r="M269" s="66"/>
      <c r="N269" s="66"/>
      <c r="O269" s="66"/>
      <c r="P269" s="66"/>
      <c r="Q269" s="66"/>
      <c r="R269" s="67"/>
      <c r="S269" s="67"/>
      <c r="T269" s="67"/>
      <c r="U269" s="66"/>
      <c r="V269" s="66"/>
      <c r="W269" s="66"/>
      <c r="X269" s="85"/>
      <c r="AP269" t="str">
        <v/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</row>
    <row r="270" spans="4:48" ht="15.75" x14ac:dyDescent="0.25">
      <c r="D270" s="3">
        <v>3</v>
      </c>
      <c r="F270" s="16" cm="1">
        <f t="array" ref="F2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70" s="31" cm="1">
        <f t="array" ref="G2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76</v>
      </c>
      <c r="H270" s="33" t="str">
        <f>_xlfn.IFNA(IF(MOD(HLG_02[[#This Row],[Rit]],
    _xlfn.XLOOKUP($G$2,Int_Sample[Ore],Int_Sample[Inc])) = 0, "YES", "NO"),"")</f>
        <v>NO</v>
      </c>
      <c r="I270" s="32" t="str">
        <f>TEXT(HLG_02[[#This Row],[Batch]],"000")&amp; " / " &amp; TEXT(HLG_02[[#This Row],[Rit]],"000")</f>
        <v>004 / 076</v>
      </c>
      <c r="J270" s="34"/>
      <c r="K270" s="38"/>
      <c r="L270" s="35"/>
      <c r="M270" s="66"/>
      <c r="N270" s="66"/>
      <c r="O270" s="66"/>
      <c r="P270" s="66"/>
      <c r="Q270" s="66"/>
      <c r="R270" s="67"/>
      <c r="S270" s="67"/>
      <c r="T270" s="67"/>
      <c r="U270" s="66"/>
      <c r="V270" s="66"/>
      <c r="W270" s="66"/>
      <c r="X270" s="85"/>
      <c r="AP270" t="str">
        <v/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</row>
    <row r="271" spans="4:48" ht="15.75" x14ac:dyDescent="0.25">
      <c r="D271" s="3">
        <v>3</v>
      </c>
      <c r="F271" s="16" cm="1">
        <f t="array" ref="F2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71" s="31" cm="1">
        <f t="array" ref="G2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77</v>
      </c>
      <c r="H271" s="33" t="str">
        <f>_xlfn.IFNA(IF(MOD(HLG_02[[#This Row],[Rit]],
    _xlfn.XLOOKUP($G$2,Int_Sample[Ore],Int_Sample[Inc])) = 0, "YES", "NO"),"")</f>
        <v>NO</v>
      </c>
      <c r="I271" s="32" t="str">
        <f>TEXT(HLG_02[[#This Row],[Batch]],"000")&amp; " / " &amp; TEXT(HLG_02[[#This Row],[Rit]],"000")</f>
        <v>004 / 077</v>
      </c>
      <c r="J271" s="34"/>
      <c r="K271" s="38"/>
      <c r="L271" s="35"/>
      <c r="M271" s="66"/>
      <c r="N271" s="66"/>
      <c r="O271" s="66"/>
      <c r="P271" s="66"/>
      <c r="Q271" s="66"/>
      <c r="R271" s="67"/>
      <c r="S271" s="67"/>
      <c r="T271" s="67"/>
      <c r="U271" s="66"/>
      <c r="V271" s="66"/>
      <c r="W271" s="66"/>
      <c r="X271" s="85"/>
      <c r="AP271" t="str">
        <v/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</row>
    <row r="272" spans="4:48" ht="15.75" x14ac:dyDescent="0.25">
      <c r="D272" s="3">
        <v>3</v>
      </c>
      <c r="F272" s="16" cm="1">
        <f t="array" ref="F2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72" s="31" cm="1">
        <f t="array" ref="G2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78</v>
      </c>
      <c r="H272" s="33" t="str">
        <f>_xlfn.IFNA(IF(MOD(HLG_02[[#This Row],[Rit]],
    _xlfn.XLOOKUP($G$2,Int_Sample[Ore],Int_Sample[Inc])) = 0, "YES", "NO"),"")</f>
        <v>NO</v>
      </c>
      <c r="I272" s="32" t="str">
        <f>TEXT(HLG_02[[#This Row],[Batch]],"000")&amp; " / " &amp; TEXT(HLG_02[[#This Row],[Rit]],"000")</f>
        <v>004 / 078</v>
      </c>
      <c r="J272" s="34"/>
      <c r="K272" s="38"/>
      <c r="L272" s="35"/>
      <c r="M272" s="66"/>
      <c r="N272" s="66"/>
      <c r="O272" s="66"/>
      <c r="P272" s="66"/>
      <c r="Q272" s="66"/>
      <c r="R272" s="67"/>
      <c r="S272" s="67"/>
      <c r="T272" s="67"/>
      <c r="U272" s="66"/>
      <c r="V272" s="66"/>
      <c r="W272" s="66"/>
      <c r="X272" s="85"/>
      <c r="AP272" t="str">
        <v/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</row>
    <row r="273" spans="4:48" ht="15.75" x14ac:dyDescent="0.25">
      <c r="D273" s="3">
        <v>3</v>
      </c>
      <c r="F273" s="16" cm="1">
        <f t="array" ref="F2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73" s="31" cm="1">
        <f t="array" ref="G2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79</v>
      </c>
      <c r="H273" s="33" t="str">
        <f>_xlfn.IFNA(IF(MOD(HLG_02[[#This Row],[Rit]],
    _xlfn.XLOOKUP($G$2,Int_Sample[Ore],Int_Sample[Inc])) = 0, "YES", "NO"),"")</f>
        <v>NO</v>
      </c>
      <c r="I273" s="32" t="str">
        <f>TEXT(HLG_02[[#This Row],[Batch]],"000")&amp; " / " &amp; TEXT(HLG_02[[#This Row],[Rit]],"000")</f>
        <v>004 / 079</v>
      </c>
      <c r="J273" s="34"/>
      <c r="K273" s="38"/>
      <c r="L273" s="35"/>
      <c r="M273" s="66"/>
      <c r="N273" s="66"/>
      <c r="O273" s="66"/>
      <c r="P273" s="66"/>
      <c r="Q273" s="66"/>
      <c r="R273" s="67"/>
      <c r="S273" s="67"/>
      <c r="T273" s="67"/>
      <c r="U273" s="66"/>
      <c r="V273" s="66"/>
      <c r="W273" s="66"/>
      <c r="X273" s="85"/>
      <c r="AP273" t="str">
        <v/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</row>
    <row r="274" spans="4:48" ht="15.75" x14ac:dyDescent="0.25">
      <c r="D274" s="3">
        <v>3</v>
      </c>
      <c r="F274" s="16" cm="1">
        <f t="array" ref="F2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74" s="31" cm="1">
        <f t="array" ref="G2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80</v>
      </c>
      <c r="H274" s="33" t="str">
        <f>_xlfn.IFNA(IF(MOD(HLG_02[[#This Row],[Rit]],
    _xlfn.XLOOKUP($G$2,Int_Sample[Ore],Int_Sample[Inc])) = 0, "YES", "NO"),"")</f>
        <v>YES</v>
      </c>
      <c r="I274" s="32" t="str">
        <f>TEXT(HLG_02[[#This Row],[Batch]],"000")&amp; " / " &amp; TEXT(HLG_02[[#This Row],[Rit]],"000")</f>
        <v>004 / 080</v>
      </c>
      <c r="J274" s="34"/>
      <c r="K274" s="38"/>
      <c r="L274" s="35"/>
      <c r="M274" s="66"/>
      <c r="N274" s="66"/>
      <c r="O274" s="66"/>
      <c r="P274" s="66"/>
      <c r="Q274" s="66"/>
      <c r="R274" s="67"/>
      <c r="S274" s="67"/>
      <c r="T274" s="67"/>
      <c r="U274" s="66"/>
      <c r="V274" s="66"/>
      <c r="W274" s="66"/>
      <c r="X274" s="85"/>
      <c r="AP274" t="str">
        <v/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</row>
    <row r="275" spans="4:48" ht="15.75" x14ac:dyDescent="0.25">
      <c r="D275" s="3">
        <v>3</v>
      </c>
      <c r="F275" s="16" cm="1">
        <f t="array" ref="F2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75" s="31" cm="1">
        <f t="array" ref="G2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81</v>
      </c>
      <c r="H275" s="33" t="str">
        <f>_xlfn.IFNA(IF(MOD(HLG_02[[#This Row],[Rit]],
    _xlfn.XLOOKUP($G$2,Int_Sample[Ore],Int_Sample[Inc])) = 0, "YES", "NO"),"")</f>
        <v>NO</v>
      </c>
      <c r="I275" s="32" t="str">
        <f>TEXT(HLG_02[[#This Row],[Batch]],"000")&amp; " / " &amp; TEXT(HLG_02[[#This Row],[Rit]],"000")</f>
        <v>004 / 081</v>
      </c>
      <c r="J275" s="34"/>
      <c r="K275" s="38"/>
      <c r="L275" s="35"/>
      <c r="M275" s="66"/>
      <c r="N275" s="66"/>
      <c r="O275" s="66"/>
      <c r="P275" s="66"/>
      <c r="Q275" s="66"/>
      <c r="R275" s="67"/>
      <c r="S275" s="67"/>
      <c r="T275" s="67"/>
      <c r="U275" s="66"/>
      <c r="V275" s="66"/>
      <c r="W275" s="66"/>
      <c r="X275" s="85"/>
      <c r="AP275" t="str">
        <v/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</row>
    <row r="276" spans="4:48" ht="15.75" x14ac:dyDescent="0.25">
      <c r="D276" s="3">
        <v>3</v>
      </c>
      <c r="F276" s="16" cm="1">
        <f t="array" ref="F2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76" s="31" cm="1">
        <f t="array" ref="G2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82</v>
      </c>
      <c r="H276" s="33" t="str">
        <f>_xlfn.IFNA(IF(MOD(HLG_02[[#This Row],[Rit]],
    _xlfn.XLOOKUP($G$2,Int_Sample[Ore],Int_Sample[Inc])) = 0, "YES", "NO"),"")</f>
        <v>NO</v>
      </c>
      <c r="I276" s="32" t="str">
        <f>TEXT(HLG_02[[#This Row],[Batch]],"000")&amp; " / " &amp; TEXT(HLG_02[[#This Row],[Rit]],"000")</f>
        <v>004 / 082</v>
      </c>
      <c r="J276" s="34"/>
      <c r="K276" s="38"/>
      <c r="L276" s="35"/>
      <c r="M276" s="66"/>
      <c r="N276" s="66"/>
      <c r="O276" s="66"/>
      <c r="P276" s="66"/>
      <c r="Q276" s="66"/>
      <c r="R276" s="67"/>
      <c r="S276" s="67"/>
      <c r="T276" s="67"/>
      <c r="U276" s="66"/>
      <c r="V276" s="66"/>
      <c r="W276" s="66"/>
      <c r="X276" s="85"/>
      <c r="AP276" t="str">
        <v/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</row>
    <row r="277" spans="4:48" ht="15.75" x14ac:dyDescent="0.25">
      <c r="D277" s="3">
        <v>3</v>
      </c>
      <c r="F277" s="16" cm="1">
        <f t="array" ref="F2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77" s="31" cm="1">
        <f t="array" ref="G2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83</v>
      </c>
      <c r="H277" s="33" t="str">
        <f>_xlfn.IFNA(IF(MOD(HLG_02[[#This Row],[Rit]],
    _xlfn.XLOOKUP($G$2,Int_Sample[Ore],Int_Sample[Inc])) = 0, "YES", "NO"),"")</f>
        <v>NO</v>
      </c>
      <c r="I277" s="32" t="str">
        <f>TEXT(HLG_02[[#This Row],[Batch]],"000")&amp; " / " &amp; TEXT(HLG_02[[#This Row],[Rit]],"000")</f>
        <v>004 / 083</v>
      </c>
      <c r="J277" s="34"/>
      <c r="K277" s="38"/>
      <c r="L277" s="35"/>
      <c r="M277" s="66"/>
      <c r="N277" s="66"/>
      <c r="O277" s="66"/>
      <c r="P277" s="66"/>
      <c r="Q277" s="66"/>
      <c r="R277" s="67"/>
      <c r="S277" s="67"/>
      <c r="T277" s="67"/>
      <c r="U277" s="66"/>
      <c r="V277" s="66"/>
      <c r="W277" s="66"/>
      <c r="X277" s="85"/>
      <c r="AP277" t="str">
        <v/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</row>
    <row r="278" spans="4:48" ht="15.75" x14ac:dyDescent="0.25">
      <c r="D278" s="3">
        <v>3</v>
      </c>
      <c r="F278" s="16" cm="1">
        <f t="array" ref="F2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78" s="31" cm="1">
        <f t="array" ref="G2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84</v>
      </c>
      <c r="H278" s="33" t="str">
        <f>_xlfn.IFNA(IF(MOD(HLG_02[[#This Row],[Rit]],
    _xlfn.XLOOKUP($G$2,Int_Sample[Ore],Int_Sample[Inc])) = 0, "YES", "NO"),"")</f>
        <v>NO</v>
      </c>
      <c r="I278" s="32" t="str">
        <f>TEXT(HLG_02[[#This Row],[Batch]],"000")&amp; " / " &amp; TEXT(HLG_02[[#This Row],[Rit]],"000")</f>
        <v>004 / 084</v>
      </c>
      <c r="J278" s="34"/>
      <c r="K278" s="38"/>
      <c r="L278" s="35"/>
      <c r="M278" s="66"/>
      <c r="N278" s="66"/>
      <c r="O278" s="66"/>
      <c r="P278" s="66"/>
      <c r="Q278" s="66"/>
      <c r="R278" s="67"/>
      <c r="S278" s="67"/>
      <c r="T278" s="67"/>
      <c r="U278" s="66"/>
      <c r="V278" s="66"/>
      <c r="W278" s="66"/>
      <c r="X278" s="85"/>
      <c r="AP278" t="str">
        <v/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</row>
    <row r="279" spans="4:48" ht="15.75" x14ac:dyDescent="0.25">
      <c r="D279" s="3">
        <v>3</v>
      </c>
      <c r="F279" s="16" cm="1">
        <f t="array" ref="F2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79" s="31" cm="1">
        <f t="array" ref="G2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85</v>
      </c>
      <c r="H279" s="33" t="str">
        <f>_xlfn.IFNA(IF(MOD(HLG_02[[#This Row],[Rit]],
    _xlfn.XLOOKUP($G$2,Int_Sample[Ore],Int_Sample[Inc])) = 0, "YES", "NO"),"")</f>
        <v>YES</v>
      </c>
      <c r="I279" s="32" t="str">
        <f>TEXT(HLG_02[[#This Row],[Batch]],"000")&amp; " / " &amp; TEXT(HLG_02[[#This Row],[Rit]],"000")</f>
        <v>004 / 085</v>
      </c>
      <c r="J279" s="34"/>
      <c r="K279" s="38"/>
      <c r="L279" s="35"/>
      <c r="M279" s="66"/>
      <c r="N279" s="66"/>
      <c r="O279" s="66"/>
      <c r="P279" s="66"/>
      <c r="Q279" s="66"/>
      <c r="R279" s="67"/>
      <c r="S279" s="67"/>
      <c r="T279" s="67"/>
      <c r="U279" s="66"/>
      <c r="V279" s="66"/>
      <c r="W279" s="66"/>
      <c r="X279" s="85"/>
      <c r="AP279" t="str">
        <v/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</row>
    <row r="280" spans="4:48" ht="15.75" x14ac:dyDescent="0.25">
      <c r="D280" s="3">
        <v>3</v>
      </c>
      <c r="F280" s="16" cm="1">
        <f t="array" ref="F2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80" s="31" cm="1">
        <f t="array" ref="G2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86</v>
      </c>
      <c r="H280" s="33" t="str">
        <f>_xlfn.IFNA(IF(MOD(HLG_02[[#This Row],[Rit]],
    _xlfn.XLOOKUP($G$2,Int_Sample[Ore],Int_Sample[Inc])) = 0, "YES", "NO"),"")</f>
        <v>NO</v>
      </c>
      <c r="I280" s="32" t="str">
        <f>TEXT(HLG_02[[#This Row],[Batch]],"000")&amp; " / " &amp; TEXT(HLG_02[[#This Row],[Rit]],"000")</f>
        <v>004 / 086</v>
      </c>
      <c r="J280" s="34"/>
      <c r="K280" s="38"/>
      <c r="L280" s="35"/>
      <c r="M280" s="66"/>
      <c r="N280" s="66"/>
      <c r="O280" s="66"/>
      <c r="P280" s="66"/>
      <c r="Q280" s="66"/>
      <c r="R280" s="67"/>
      <c r="S280" s="67"/>
      <c r="T280" s="67"/>
      <c r="U280" s="66"/>
      <c r="V280" s="66"/>
      <c r="W280" s="66"/>
      <c r="X280" s="85"/>
      <c r="AP280" t="str">
        <v/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</row>
    <row r="281" spans="4:48" ht="15.75" x14ac:dyDescent="0.25">
      <c r="D281" s="3">
        <v>3</v>
      </c>
      <c r="F281" s="16" cm="1">
        <f t="array" ref="F2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81" s="31" cm="1">
        <f t="array" ref="G2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87</v>
      </c>
      <c r="H281" s="33" t="str">
        <f>_xlfn.IFNA(IF(MOD(HLG_02[[#This Row],[Rit]],
    _xlfn.XLOOKUP($G$2,Int_Sample[Ore],Int_Sample[Inc])) = 0, "YES", "NO"),"")</f>
        <v>NO</v>
      </c>
      <c r="I281" s="32" t="str">
        <f>TEXT(HLG_02[[#This Row],[Batch]],"000")&amp; " / " &amp; TEXT(HLG_02[[#This Row],[Rit]],"000")</f>
        <v>004 / 087</v>
      </c>
      <c r="J281" s="34"/>
      <c r="K281" s="38"/>
      <c r="L281" s="35"/>
      <c r="M281" s="66"/>
      <c r="N281" s="66"/>
      <c r="O281" s="66"/>
      <c r="P281" s="66"/>
      <c r="Q281" s="66"/>
      <c r="R281" s="67"/>
      <c r="S281" s="67"/>
      <c r="T281" s="67"/>
      <c r="U281" s="66"/>
      <c r="V281" s="66"/>
      <c r="W281" s="66"/>
      <c r="X281" s="85"/>
      <c r="AP281" t="str">
        <v/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</row>
    <row r="282" spans="4:48" ht="15.75" x14ac:dyDescent="0.25">
      <c r="D282" s="3">
        <v>3</v>
      </c>
      <c r="F282" s="16" cm="1">
        <f t="array" ref="F2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82" s="31" cm="1">
        <f t="array" ref="G2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88</v>
      </c>
      <c r="H282" s="33" t="str">
        <f>_xlfn.IFNA(IF(MOD(HLG_02[[#This Row],[Rit]],
    _xlfn.XLOOKUP($G$2,Int_Sample[Ore],Int_Sample[Inc])) = 0, "YES", "NO"),"")</f>
        <v>NO</v>
      </c>
      <c r="I282" s="32" t="str">
        <f>TEXT(HLG_02[[#This Row],[Batch]],"000")&amp; " / " &amp; TEXT(HLG_02[[#This Row],[Rit]],"000")</f>
        <v>004 / 088</v>
      </c>
      <c r="J282" s="34"/>
      <c r="K282" s="38"/>
      <c r="L282" s="35"/>
      <c r="M282" s="66"/>
      <c r="N282" s="66"/>
      <c r="O282" s="66"/>
      <c r="P282" s="66"/>
      <c r="Q282" s="66"/>
      <c r="R282" s="67"/>
      <c r="S282" s="67"/>
      <c r="T282" s="67"/>
      <c r="U282" s="66"/>
      <c r="V282" s="66"/>
      <c r="W282" s="66"/>
      <c r="X282" s="85"/>
      <c r="AP282" t="str">
        <v/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</row>
    <row r="283" spans="4:48" ht="15.75" x14ac:dyDescent="0.25">
      <c r="D283" s="3">
        <v>3</v>
      </c>
      <c r="F283" s="16" cm="1">
        <f t="array" ref="F2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83" s="31" cm="1">
        <f t="array" ref="G2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89</v>
      </c>
      <c r="H283" s="33" t="str">
        <f>_xlfn.IFNA(IF(MOD(HLG_02[[#This Row],[Rit]],
    _xlfn.XLOOKUP($G$2,Int_Sample[Ore],Int_Sample[Inc])) = 0, "YES", "NO"),"")</f>
        <v>NO</v>
      </c>
      <c r="I283" s="32" t="str">
        <f>TEXT(HLG_02[[#This Row],[Batch]],"000")&amp; " / " &amp; TEXT(HLG_02[[#This Row],[Rit]],"000")</f>
        <v>004 / 089</v>
      </c>
      <c r="J283" s="34"/>
      <c r="K283" s="38"/>
      <c r="L283" s="35"/>
      <c r="M283" s="66"/>
      <c r="N283" s="66"/>
      <c r="O283" s="66"/>
      <c r="P283" s="66"/>
      <c r="Q283" s="66"/>
      <c r="R283" s="67"/>
      <c r="S283" s="67"/>
      <c r="T283" s="67"/>
      <c r="U283" s="66"/>
      <c r="V283" s="66"/>
      <c r="W283" s="66"/>
      <c r="X283" s="85"/>
      <c r="AP283" t="str">
        <v/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</row>
    <row r="284" spans="4:48" ht="15.75" x14ac:dyDescent="0.25">
      <c r="D284" s="3">
        <v>3</v>
      </c>
      <c r="F284" s="16" cm="1">
        <f t="array" ref="F2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84" s="31" cm="1">
        <f t="array" ref="G2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90</v>
      </c>
      <c r="H284" s="33" t="str">
        <f>_xlfn.IFNA(IF(MOD(HLG_02[[#This Row],[Rit]],
    _xlfn.XLOOKUP($G$2,Int_Sample[Ore],Int_Sample[Inc])) = 0, "YES", "NO"),"")</f>
        <v>YES</v>
      </c>
      <c r="I284" s="32" t="str">
        <f>TEXT(HLG_02[[#This Row],[Batch]],"000")&amp; " / " &amp; TEXT(HLG_02[[#This Row],[Rit]],"000")</f>
        <v>004 / 090</v>
      </c>
      <c r="J284" s="34"/>
      <c r="K284" s="38"/>
      <c r="L284" s="35"/>
      <c r="M284" s="66"/>
      <c r="N284" s="66"/>
      <c r="O284" s="66"/>
      <c r="P284" s="66"/>
      <c r="Q284" s="66"/>
      <c r="R284" s="67"/>
      <c r="S284" s="67"/>
      <c r="T284" s="67"/>
      <c r="U284" s="66"/>
      <c r="V284" s="66"/>
      <c r="W284" s="66"/>
      <c r="X284" s="85"/>
      <c r="AP284" t="str">
        <v/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</row>
    <row r="285" spans="4:48" ht="15.75" x14ac:dyDescent="0.25">
      <c r="D285" s="3">
        <v>3</v>
      </c>
      <c r="F285" s="16" cm="1">
        <f t="array" ref="F2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85" s="31" cm="1">
        <f t="array" ref="G2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91</v>
      </c>
      <c r="H285" s="33" t="str">
        <f>_xlfn.IFNA(IF(MOD(HLG_02[[#This Row],[Rit]],
    _xlfn.XLOOKUP($G$2,Int_Sample[Ore],Int_Sample[Inc])) = 0, "YES", "NO"),"")</f>
        <v>NO</v>
      </c>
      <c r="I285" s="32" t="str">
        <f>TEXT(HLG_02[[#This Row],[Batch]],"000")&amp; " / " &amp; TEXT(HLG_02[[#This Row],[Rit]],"000")</f>
        <v>004 / 091</v>
      </c>
      <c r="J285" s="34"/>
      <c r="K285" s="38"/>
      <c r="L285" s="35"/>
      <c r="M285" s="66"/>
      <c r="N285" s="66"/>
      <c r="O285" s="66"/>
      <c r="P285" s="66"/>
      <c r="Q285" s="66"/>
      <c r="R285" s="67"/>
      <c r="S285" s="67"/>
      <c r="T285" s="67"/>
      <c r="U285" s="66"/>
      <c r="V285" s="66"/>
      <c r="W285" s="66"/>
      <c r="X285" s="85"/>
      <c r="AP285" t="str">
        <v/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</row>
    <row r="286" spans="4:48" ht="15.75" x14ac:dyDescent="0.25">
      <c r="D286" s="3">
        <v>3</v>
      </c>
      <c r="F286" s="16" cm="1">
        <f t="array" ref="F2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86" s="31" cm="1">
        <f t="array" ref="G2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92</v>
      </c>
      <c r="H286" s="33" t="str">
        <f>_xlfn.IFNA(IF(MOD(HLG_02[[#This Row],[Rit]],
    _xlfn.XLOOKUP($G$2,Int_Sample[Ore],Int_Sample[Inc])) = 0, "YES", "NO"),"")</f>
        <v>NO</v>
      </c>
      <c r="I286" s="32" t="str">
        <f>TEXT(HLG_02[[#This Row],[Batch]],"000")&amp; " / " &amp; TEXT(HLG_02[[#This Row],[Rit]],"000")</f>
        <v>004 / 092</v>
      </c>
      <c r="J286" s="34"/>
      <c r="K286" s="38"/>
      <c r="L286" s="35"/>
      <c r="M286" s="66"/>
      <c r="N286" s="66"/>
      <c r="O286" s="66"/>
      <c r="P286" s="66"/>
      <c r="Q286" s="66"/>
      <c r="R286" s="67"/>
      <c r="S286" s="67"/>
      <c r="T286" s="67"/>
      <c r="U286" s="66"/>
      <c r="V286" s="66"/>
      <c r="W286" s="66"/>
      <c r="X286" s="85"/>
      <c r="AP286" t="str">
        <v/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</row>
    <row r="287" spans="4:48" ht="15.75" x14ac:dyDescent="0.25">
      <c r="D287" s="3">
        <v>3</v>
      </c>
      <c r="F287" s="16" cm="1">
        <f t="array" ref="F2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87" s="31" cm="1">
        <f t="array" ref="G2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93</v>
      </c>
      <c r="H287" s="33" t="str">
        <f>_xlfn.IFNA(IF(MOD(HLG_02[[#This Row],[Rit]],
    _xlfn.XLOOKUP($G$2,Int_Sample[Ore],Int_Sample[Inc])) = 0, "YES", "NO"),"")</f>
        <v>NO</v>
      </c>
      <c r="I287" s="32" t="str">
        <f>TEXT(HLG_02[[#This Row],[Batch]],"000")&amp; " / " &amp; TEXT(HLG_02[[#This Row],[Rit]],"000")</f>
        <v>004 / 093</v>
      </c>
      <c r="J287" s="34"/>
      <c r="K287" s="38"/>
      <c r="L287" s="35"/>
      <c r="M287" s="66"/>
      <c r="N287" s="66"/>
      <c r="O287" s="66"/>
      <c r="P287" s="66"/>
      <c r="Q287" s="66"/>
      <c r="R287" s="67"/>
      <c r="S287" s="67"/>
      <c r="T287" s="67"/>
      <c r="U287" s="66"/>
      <c r="V287" s="66"/>
      <c r="W287" s="66"/>
      <c r="X287" s="85"/>
      <c r="AP287" t="str">
        <v/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</row>
    <row r="288" spans="4:48" ht="15.75" x14ac:dyDescent="0.25">
      <c r="D288" s="3">
        <v>3</v>
      </c>
      <c r="F288" s="16" cm="1">
        <f t="array" ref="F2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88" s="31" cm="1">
        <f t="array" ref="G2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94</v>
      </c>
      <c r="H288" s="33" t="str">
        <f>_xlfn.IFNA(IF(MOD(HLG_02[[#This Row],[Rit]],
    _xlfn.XLOOKUP($G$2,Int_Sample[Ore],Int_Sample[Inc])) = 0, "YES", "NO"),"")</f>
        <v>NO</v>
      </c>
      <c r="I288" s="32" t="str">
        <f>TEXT(HLG_02[[#This Row],[Batch]],"000")&amp; " / " &amp; TEXT(HLG_02[[#This Row],[Rit]],"000")</f>
        <v>004 / 094</v>
      </c>
      <c r="J288" s="34"/>
      <c r="K288" s="38"/>
      <c r="L288" s="35"/>
      <c r="M288" s="66"/>
      <c r="N288" s="66"/>
      <c r="O288" s="66"/>
      <c r="P288" s="66"/>
      <c r="Q288" s="66"/>
      <c r="R288" s="67"/>
      <c r="S288" s="67"/>
      <c r="T288" s="67"/>
      <c r="U288" s="66"/>
      <c r="V288" s="66"/>
      <c r="W288" s="66"/>
      <c r="X288" s="85"/>
      <c r="AP288" t="str">
        <v/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</row>
    <row r="289" spans="4:48" ht="15.75" x14ac:dyDescent="0.25">
      <c r="D289" s="3">
        <v>3</v>
      </c>
      <c r="F289" s="16" cm="1">
        <f t="array" ref="F2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89" s="31" cm="1">
        <f t="array" ref="G2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95</v>
      </c>
      <c r="H289" s="33" t="str">
        <f>_xlfn.IFNA(IF(MOD(HLG_02[[#This Row],[Rit]],
    _xlfn.XLOOKUP($G$2,Int_Sample[Ore],Int_Sample[Inc])) = 0, "YES", "NO"),"")</f>
        <v>YES</v>
      </c>
      <c r="I289" s="32" t="str">
        <f>TEXT(HLG_02[[#This Row],[Batch]],"000")&amp; " / " &amp; TEXT(HLG_02[[#This Row],[Rit]],"000")</f>
        <v>004 / 095</v>
      </c>
      <c r="J289" s="34"/>
      <c r="K289" s="38"/>
      <c r="L289" s="35"/>
      <c r="M289" s="66"/>
      <c r="N289" s="66"/>
      <c r="O289" s="66"/>
      <c r="P289" s="66"/>
      <c r="Q289" s="66"/>
      <c r="R289" s="67"/>
      <c r="S289" s="67"/>
      <c r="T289" s="67"/>
      <c r="U289" s="66"/>
      <c r="V289" s="66"/>
      <c r="W289" s="66"/>
      <c r="X289" s="85"/>
      <c r="AP289" t="str">
        <v/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</row>
    <row r="290" spans="4:48" ht="15.75" x14ac:dyDescent="0.25">
      <c r="D290" s="3">
        <v>3</v>
      </c>
      <c r="F290" s="16" cm="1">
        <f t="array" ref="F2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90" s="31" cm="1">
        <f t="array" ref="G2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96</v>
      </c>
      <c r="H290" s="33" t="str">
        <f>_xlfn.IFNA(IF(MOD(HLG_02[[#This Row],[Rit]],
    _xlfn.XLOOKUP($G$2,Int_Sample[Ore],Int_Sample[Inc])) = 0, "YES", "NO"),"")</f>
        <v>NO</v>
      </c>
      <c r="I290" s="32" t="str">
        <f>TEXT(HLG_02[[#This Row],[Batch]],"000")&amp; " / " &amp; TEXT(HLG_02[[#This Row],[Rit]],"000")</f>
        <v>004 / 096</v>
      </c>
      <c r="J290" s="34"/>
      <c r="K290" s="38"/>
      <c r="L290" s="35"/>
      <c r="M290" s="66"/>
      <c r="N290" s="66"/>
      <c r="O290" s="66"/>
      <c r="P290" s="66"/>
      <c r="Q290" s="66"/>
      <c r="R290" s="67"/>
      <c r="S290" s="67"/>
      <c r="T290" s="67"/>
      <c r="U290" s="66"/>
      <c r="V290" s="66"/>
      <c r="W290" s="66"/>
      <c r="X290" s="85"/>
      <c r="AP290" t="str">
        <v/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</row>
    <row r="291" spans="4:48" ht="15.75" x14ac:dyDescent="0.25">
      <c r="D291" s="3">
        <v>3</v>
      </c>
      <c r="F291" s="16" cm="1">
        <f t="array" ref="F2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91" s="31" cm="1">
        <f t="array" ref="G2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97</v>
      </c>
      <c r="H291" s="33" t="str">
        <f>_xlfn.IFNA(IF(MOD(HLG_02[[#This Row],[Rit]],
    _xlfn.XLOOKUP($G$2,Int_Sample[Ore],Int_Sample[Inc])) = 0, "YES", "NO"),"")</f>
        <v>NO</v>
      </c>
      <c r="I291" s="32" t="str">
        <f>TEXT(HLG_02[[#This Row],[Batch]],"000")&amp; " / " &amp; TEXT(HLG_02[[#This Row],[Rit]],"000")</f>
        <v>004 / 097</v>
      </c>
      <c r="J291" s="34"/>
      <c r="K291" s="38"/>
      <c r="L291" s="35"/>
      <c r="M291" s="66"/>
      <c r="N291" s="66"/>
      <c r="O291" s="66"/>
      <c r="P291" s="66"/>
      <c r="Q291" s="66"/>
      <c r="R291" s="67"/>
      <c r="S291" s="67"/>
      <c r="T291" s="67"/>
      <c r="U291" s="66"/>
      <c r="V291" s="66"/>
      <c r="W291" s="66"/>
      <c r="X291" s="85"/>
      <c r="AP291" t="str">
        <v/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</row>
    <row r="292" spans="4:48" ht="15.75" x14ac:dyDescent="0.25">
      <c r="D292" s="3">
        <v>3</v>
      </c>
      <c r="F292" s="16" cm="1">
        <f t="array" ref="F2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92" s="31" cm="1">
        <f t="array" ref="G2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98</v>
      </c>
      <c r="H292" s="33" t="str">
        <f>_xlfn.IFNA(IF(MOD(HLG_02[[#This Row],[Rit]],
    _xlfn.XLOOKUP($G$2,Int_Sample[Ore],Int_Sample[Inc])) = 0, "YES", "NO"),"")</f>
        <v>NO</v>
      </c>
      <c r="I292" s="32" t="str">
        <f>TEXT(HLG_02[[#This Row],[Batch]],"000")&amp; " / " &amp; TEXT(HLG_02[[#This Row],[Rit]],"000")</f>
        <v>004 / 098</v>
      </c>
      <c r="J292" s="34"/>
      <c r="K292" s="38"/>
      <c r="L292" s="35"/>
      <c r="M292" s="66"/>
      <c r="N292" s="66"/>
      <c r="O292" s="66"/>
      <c r="P292" s="66"/>
      <c r="Q292" s="66"/>
      <c r="R292" s="67"/>
      <c r="S292" s="67"/>
      <c r="T292" s="67"/>
      <c r="U292" s="66"/>
      <c r="V292" s="66"/>
      <c r="W292" s="66"/>
      <c r="X292" s="85"/>
      <c r="AP292" t="str">
        <v/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</row>
    <row r="293" spans="4:48" ht="15.75" x14ac:dyDescent="0.25">
      <c r="D293" s="3">
        <v>3</v>
      </c>
      <c r="F293" s="16" cm="1">
        <f t="array" ref="F2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93" s="31" cm="1">
        <f t="array" ref="G2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99</v>
      </c>
      <c r="H293" s="33" t="str">
        <f>_xlfn.IFNA(IF(MOD(HLG_02[[#This Row],[Rit]],
    _xlfn.XLOOKUP($G$2,Int_Sample[Ore],Int_Sample[Inc])) = 0, "YES", "NO"),"")</f>
        <v>NO</v>
      </c>
      <c r="I293" s="32" t="str">
        <f>TEXT(HLG_02[[#This Row],[Batch]],"000")&amp; " / " &amp; TEXT(HLG_02[[#This Row],[Rit]],"000")</f>
        <v>004 / 099</v>
      </c>
      <c r="J293" s="34"/>
      <c r="K293" s="38"/>
      <c r="L293" s="35"/>
      <c r="M293" s="66"/>
      <c r="N293" s="66"/>
      <c r="O293" s="66"/>
      <c r="P293" s="66"/>
      <c r="Q293" s="66"/>
      <c r="R293" s="67"/>
      <c r="S293" s="67"/>
      <c r="T293" s="67"/>
      <c r="U293" s="66"/>
      <c r="V293" s="66"/>
      <c r="W293" s="66"/>
      <c r="X293" s="85"/>
      <c r="AP293" t="str">
        <v/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</row>
    <row r="294" spans="4:48" ht="15.75" x14ac:dyDescent="0.25">
      <c r="D294" s="3">
        <v>3</v>
      </c>
      <c r="F294" s="16" cm="1">
        <f t="array" ref="F2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4</v>
      </c>
      <c r="G294" s="31" cm="1">
        <f t="array" ref="G2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100</v>
      </c>
      <c r="H294" s="33" t="str">
        <f>_xlfn.IFNA(IF(MOD(HLG_02[[#This Row],[Rit]],
    _xlfn.XLOOKUP($G$2,Int_Sample[Ore],Int_Sample[Inc])) = 0, "YES", "NO"),"")</f>
        <v>YES</v>
      </c>
      <c r="I294" s="32" t="str">
        <f>TEXT(HLG_02[[#This Row],[Batch]],"000")&amp; " / " &amp; TEXT(HLG_02[[#This Row],[Rit]],"000")</f>
        <v>004 / 100</v>
      </c>
      <c r="J294" s="34"/>
      <c r="K294" s="38"/>
      <c r="L294" s="35"/>
      <c r="M294" s="66"/>
      <c r="N294" s="66"/>
      <c r="O294" s="66"/>
      <c r="P294" s="66"/>
      <c r="Q294" s="66"/>
      <c r="R294" s="67"/>
      <c r="S294" s="67"/>
      <c r="T294" s="67"/>
      <c r="U294" s="66"/>
      <c r="V294" s="66"/>
      <c r="W294" s="66"/>
      <c r="X294" s="85"/>
      <c r="AP294" t="str">
        <v/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</row>
    <row r="295" spans="4:48" ht="15.75" x14ac:dyDescent="0.25">
      <c r="D295" s="3">
        <v>4</v>
      </c>
      <c r="F295" s="16" cm="1">
        <f t="array" ref="F2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295" s="31" cm="1">
        <f t="array" ref="G2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295" s="33" t="str">
        <f>_xlfn.IFNA(IF(MOD(HLG_02[[#This Row],[Rit]],
    _xlfn.XLOOKUP($G$2,Int_Sample[Ore],Int_Sample[Inc])) = 0, "YES", "NO"),"")</f>
        <v>NO</v>
      </c>
      <c r="I295" s="32" t="str">
        <f>TEXT(HLG_02[[#This Row],[Batch]],"000")&amp; " / " &amp; TEXT(HLG_02[[#This Row],[Rit]],"000")</f>
        <v>005 / 001</v>
      </c>
      <c r="J295" s="34"/>
      <c r="K295" s="38"/>
      <c r="L295" s="35"/>
      <c r="M295" s="66"/>
      <c r="N295" s="66"/>
      <c r="O295" s="66"/>
      <c r="P295" s="66"/>
      <c r="Q295" s="66"/>
      <c r="R295" s="67"/>
      <c r="S295" s="67"/>
      <c r="T295" s="67"/>
      <c r="U295" s="66"/>
      <c r="V295" s="66"/>
      <c r="W295" s="66"/>
      <c r="X295" s="85"/>
      <c r="AP295" t="str">
        <v/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</row>
    <row r="296" spans="4:48" ht="15.75" x14ac:dyDescent="0.25">
      <c r="D296" s="3">
        <v>4</v>
      </c>
      <c r="F296" s="16" cm="1">
        <f t="array" ref="F2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296" s="31" cm="1">
        <f t="array" ref="G2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296" s="33" t="str">
        <f>_xlfn.IFNA(IF(MOD(HLG_02[[#This Row],[Rit]],
    _xlfn.XLOOKUP($G$2,Int_Sample[Ore],Int_Sample[Inc])) = 0, "YES", "NO"),"")</f>
        <v>NO</v>
      </c>
      <c r="I296" s="32" t="str">
        <f>TEXT(HLG_02[[#This Row],[Batch]],"000")&amp; " / " &amp; TEXT(HLG_02[[#This Row],[Rit]],"000")</f>
        <v>005 / 002</v>
      </c>
      <c r="J296" s="34"/>
      <c r="K296" s="38"/>
      <c r="L296" s="35"/>
      <c r="M296" s="66"/>
      <c r="N296" s="66"/>
      <c r="O296" s="66"/>
      <c r="P296" s="66"/>
      <c r="Q296" s="66"/>
      <c r="R296" s="67"/>
      <c r="S296" s="67"/>
      <c r="T296" s="67"/>
      <c r="U296" s="66"/>
      <c r="V296" s="66"/>
      <c r="W296" s="66"/>
      <c r="X296" s="85"/>
      <c r="AP296" t="str">
        <v/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</row>
    <row r="297" spans="4:48" ht="15.75" x14ac:dyDescent="0.25">
      <c r="D297" s="3">
        <v>4</v>
      </c>
      <c r="F297" s="16" cm="1">
        <f t="array" ref="F2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297" s="31" cm="1">
        <f t="array" ref="G2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297" s="33" t="str">
        <f>_xlfn.IFNA(IF(MOD(HLG_02[[#This Row],[Rit]],
    _xlfn.XLOOKUP($G$2,Int_Sample[Ore],Int_Sample[Inc])) = 0, "YES", "NO"),"")</f>
        <v>NO</v>
      </c>
      <c r="I297" s="32" t="str">
        <f>TEXT(HLG_02[[#This Row],[Batch]],"000")&amp; " / " &amp; TEXT(HLG_02[[#This Row],[Rit]],"000")</f>
        <v>005 / 003</v>
      </c>
      <c r="J297" s="34"/>
      <c r="K297" s="38"/>
      <c r="L297" s="35"/>
      <c r="M297" s="66"/>
      <c r="N297" s="66"/>
      <c r="O297" s="66"/>
      <c r="P297" s="66"/>
      <c r="Q297" s="66"/>
      <c r="R297" s="67"/>
      <c r="S297" s="67"/>
      <c r="T297" s="67"/>
      <c r="U297" s="66"/>
      <c r="V297" s="66"/>
      <c r="W297" s="66"/>
      <c r="X297" s="85"/>
      <c r="AP297" t="str">
        <v/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</row>
    <row r="298" spans="4:48" ht="15.75" x14ac:dyDescent="0.25">
      <c r="D298" s="3">
        <v>4</v>
      </c>
      <c r="F298" s="16" cm="1">
        <f t="array" ref="F2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298" s="31" cm="1">
        <f t="array" ref="G2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298" s="33" t="str">
        <f>_xlfn.IFNA(IF(MOD(HLG_02[[#This Row],[Rit]],
    _xlfn.XLOOKUP($G$2,Int_Sample[Ore],Int_Sample[Inc])) = 0, "YES", "NO"),"")</f>
        <v>NO</v>
      </c>
      <c r="I298" s="32" t="str">
        <f>TEXT(HLG_02[[#This Row],[Batch]],"000")&amp; " / " &amp; TEXT(HLG_02[[#This Row],[Rit]],"000")</f>
        <v>005 / 004</v>
      </c>
      <c r="J298" s="34"/>
      <c r="K298" s="38"/>
      <c r="L298" s="35"/>
      <c r="M298" s="66"/>
      <c r="N298" s="66"/>
      <c r="O298" s="66"/>
      <c r="P298" s="66"/>
      <c r="Q298" s="66"/>
      <c r="R298" s="67"/>
      <c r="S298" s="67"/>
      <c r="T298" s="67"/>
      <c r="U298" s="66"/>
      <c r="V298" s="66"/>
      <c r="W298" s="66"/>
      <c r="X298" s="85"/>
      <c r="AP298" t="str">
        <v/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</row>
    <row r="299" spans="4:48" ht="15.75" x14ac:dyDescent="0.25">
      <c r="D299" s="3">
        <v>4</v>
      </c>
      <c r="F299" s="16" cm="1">
        <f t="array" ref="F2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299" s="31" cm="1">
        <f t="array" ref="G2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299" s="33" t="str">
        <f>_xlfn.IFNA(IF(MOD(HLG_02[[#This Row],[Rit]],
    _xlfn.XLOOKUP($G$2,Int_Sample[Ore],Int_Sample[Inc])) = 0, "YES", "NO"),"")</f>
        <v>YES</v>
      </c>
      <c r="I299" s="32" t="str">
        <f>TEXT(HLG_02[[#This Row],[Batch]],"000")&amp; " / " &amp; TEXT(HLG_02[[#This Row],[Rit]],"000")</f>
        <v>005 / 005</v>
      </c>
      <c r="J299" s="34"/>
      <c r="K299" s="38"/>
      <c r="L299" s="35"/>
      <c r="M299" s="66"/>
      <c r="N299" s="66"/>
      <c r="O299" s="66"/>
      <c r="P299" s="66"/>
      <c r="Q299" s="66"/>
      <c r="R299" s="67"/>
      <c r="S299" s="67"/>
      <c r="T299" s="67"/>
      <c r="U299" s="66"/>
      <c r="V299" s="66"/>
      <c r="W299" s="66"/>
      <c r="X299" s="85"/>
      <c r="AP299" t="str">
        <v/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</row>
    <row r="300" spans="4:48" ht="15.75" x14ac:dyDescent="0.25">
      <c r="D300" s="3">
        <v>4</v>
      </c>
      <c r="F300" s="16" cm="1">
        <f t="array" ref="F3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00" s="31" cm="1">
        <f t="array" ref="G3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300" s="33" t="str">
        <f>_xlfn.IFNA(IF(MOD(HLG_02[[#This Row],[Rit]],
    _xlfn.XLOOKUP($G$2,Int_Sample[Ore],Int_Sample[Inc])) = 0, "YES", "NO"),"")</f>
        <v>NO</v>
      </c>
      <c r="I300" s="32" t="str">
        <f>TEXT(HLG_02[[#This Row],[Batch]],"000")&amp; " / " &amp; TEXT(HLG_02[[#This Row],[Rit]],"000")</f>
        <v>005 / 006</v>
      </c>
      <c r="J300" s="34"/>
      <c r="K300" s="38"/>
      <c r="L300" s="35"/>
      <c r="M300" s="66"/>
      <c r="N300" s="66"/>
      <c r="O300" s="66"/>
      <c r="P300" s="66"/>
      <c r="Q300" s="66"/>
      <c r="R300" s="67"/>
      <c r="S300" s="67"/>
      <c r="T300" s="67"/>
      <c r="U300" s="66"/>
      <c r="V300" s="66"/>
      <c r="W300" s="66"/>
      <c r="X300" s="85"/>
      <c r="AP300" t="str">
        <v/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</row>
    <row r="301" spans="4:48" ht="15.75" x14ac:dyDescent="0.25">
      <c r="D301" s="3">
        <v>4</v>
      </c>
      <c r="F301" s="16" cm="1">
        <f t="array" ref="F3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01" s="31" cm="1">
        <f t="array" ref="G3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301" s="33" t="str">
        <f>_xlfn.IFNA(IF(MOD(HLG_02[[#This Row],[Rit]],
    _xlfn.XLOOKUP($G$2,Int_Sample[Ore],Int_Sample[Inc])) = 0, "YES", "NO"),"")</f>
        <v>NO</v>
      </c>
      <c r="I301" s="32" t="str">
        <f>TEXT(HLG_02[[#This Row],[Batch]],"000")&amp; " / " &amp; TEXT(HLG_02[[#This Row],[Rit]],"000")</f>
        <v>005 / 007</v>
      </c>
      <c r="J301" s="34"/>
      <c r="K301" s="38"/>
      <c r="L301" s="35"/>
      <c r="M301" s="66"/>
      <c r="N301" s="66"/>
      <c r="O301" s="66"/>
      <c r="P301" s="66"/>
      <c r="Q301" s="66"/>
      <c r="R301" s="67"/>
      <c r="S301" s="67"/>
      <c r="T301" s="67"/>
      <c r="U301" s="66"/>
      <c r="V301" s="66"/>
      <c r="W301" s="66"/>
      <c r="X301" s="85"/>
      <c r="AP301" t="str">
        <v/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</row>
    <row r="302" spans="4:48" ht="15.75" x14ac:dyDescent="0.25">
      <c r="D302" s="3">
        <v>4</v>
      </c>
      <c r="F302" s="16" cm="1">
        <f t="array" ref="F3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02" s="31" cm="1">
        <f t="array" ref="G3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302" s="33" t="str">
        <f>_xlfn.IFNA(IF(MOD(HLG_02[[#This Row],[Rit]],
    _xlfn.XLOOKUP($G$2,Int_Sample[Ore],Int_Sample[Inc])) = 0, "YES", "NO"),"")</f>
        <v>NO</v>
      </c>
      <c r="I302" s="32" t="str">
        <f>TEXT(HLG_02[[#This Row],[Batch]],"000")&amp; " / " &amp; TEXT(HLG_02[[#This Row],[Rit]],"000")</f>
        <v>005 / 008</v>
      </c>
      <c r="J302" s="34"/>
      <c r="K302" s="38"/>
      <c r="L302" s="35"/>
      <c r="M302" s="66"/>
      <c r="N302" s="66"/>
      <c r="O302" s="66"/>
      <c r="P302" s="66"/>
      <c r="Q302" s="66"/>
      <c r="R302" s="67"/>
      <c r="S302" s="67"/>
      <c r="T302" s="67"/>
      <c r="U302" s="66"/>
      <c r="V302" s="66"/>
      <c r="W302" s="66"/>
      <c r="X302" s="85"/>
      <c r="AP302" t="str">
        <v/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</row>
    <row r="303" spans="4:48" ht="15.75" x14ac:dyDescent="0.25">
      <c r="D303" s="3">
        <v>4</v>
      </c>
      <c r="F303" s="16" cm="1">
        <f t="array" ref="F3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03" s="31" cm="1">
        <f t="array" ref="G3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303" s="33" t="str">
        <f>_xlfn.IFNA(IF(MOD(HLG_02[[#This Row],[Rit]],
    _xlfn.XLOOKUP($G$2,Int_Sample[Ore],Int_Sample[Inc])) = 0, "YES", "NO"),"")</f>
        <v>NO</v>
      </c>
      <c r="I303" s="32" t="str">
        <f>TEXT(HLG_02[[#This Row],[Batch]],"000")&amp; " / " &amp; TEXT(HLG_02[[#This Row],[Rit]],"000")</f>
        <v>005 / 009</v>
      </c>
      <c r="J303" s="34"/>
      <c r="K303" s="38"/>
      <c r="L303" s="35"/>
      <c r="M303" s="66"/>
      <c r="N303" s="66"/>
      <c r="O303" s="66"/>
      <c r="P303" s="66"/>
      <c r="Q303" s="66"/>
      <c r="R303" s="67"/>
      <c r="S303" s="67"/>
      <c r="T303" s="67"/>
      <c r="U303" s="66"/>
      <c r="V303" s="66"/>
      <c r="W303" s="66"/>
      <c r="X303" s="85"/>
      <c r="AP303" t="str">
        <v/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</row>
    <row r="304" spans="4:48" ht="15.75" x14ac:dyDescent="0.25">
      <c r="D304" s="3">
        <v>4</v>
      </c>
      <c r="F304" s="16" cm="1">
        <f t="array" ref="F3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04" s="31" cm="1">
        <f t="array" ref="G3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304" s="33" t="str">
        <f>_xlfn.IFNA(IF(MOD(HLG_02[[#This Row],[Rit]],
    _xlfn.XLOOKUP($G$2,Int_Sample[Ore],Int_Sample[Inc])) = 0, "YES", "NO"),"")</f>
        <v>YES</v>
      </c>
      <c r="I304" s="32" t="str">
        <f>TEXT(HLG_02[[#This Row],[Batch]],"000")&amp; " / " &amp; TEXT(HLG_02[[#This Row],[Rit]],"000")</f>
        <v>005 / 010</v>
      </c>
      <c r="J304" s="34"/>
      <c r="K304" s="38"/>
      <c r="L304" s="35"/>
      <c r="M304" s="66"/>
      <c r="N304" s="66"/>
      <c r="O304" s="66"/>
      <c r="P304" s="66"/>
      <c r="Q304" s="66"/>
      <c r="R304" s="67"/>
      <c r="S304" s="67"/>
      <c r="T304" s="67"/>
      <c r="U304" s="66"/>
      <c r="V304" s="66"/>
      <c r="W304" s="66"/>
      <c r="X304" s="85"/>
      <c r="AP304" t="str">
        <v/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</row>
    <row r="305" spans="4:48" ht="15.75" x14ac:dyDescent="0.25">
      <c r="D305" s="3">
        <v>4</v>
      </c>
      <c r="F305" s="16" cm="1">
        <f t="array" ref="F3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05" s="31" cm="1">
        <f t="array" ref="G3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305" s="33" t="str">
        <f>_xlfn.IFNA(IF(MOD(HLG_02[[#This Row],[Rit]],
    _xlfn.XLOOKUP($G$2,Int_Sample[Ore],Int_Sample[Inc])) = 0, "YES", "NO"),"")</f>
        <v>NO</v>
      </c>
      <c r="I305" s="32" t="str">
        <f>TEXT(HLG_02[[#This Row],[Batch]],"000")&amp; " / " &amp; TEXT(HLG_02[[#This Row],[Rit]],"000")</f>
        <v>005 / 011</v>
      </c>
      <c r="J305" s="34"/>
      <c r="K305" s="38"/>
      <c r="L305" s="35"/>
      <c r="M305" s="66"/>
      <c r="N305" s="66"/>
      <c r="O305" s="66"/>
      <c r="P305" s="66"/>
      <c r="Q305" s="66"/>
      <c r="R305" s="67"/>
      <c r="S305" s="67"/>
      <c r="T305" s="67"/>
      <c r="U305" s="66"/>
      <c r="V305" s="66"/>
      <c r="W305" s="66"/>
      <c r="X305" s="85"/>
      <c r="AP305" t="str">
        <v/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</row>
    <row r="306" spans="4:48" ht="15.75" x14ac:dyDescent="0.25">
      <c r="D306" s="3">
        <v>4</v>
      </c>
      <c r="F306" s="16" cm="1">
        <f t="array" ref="F3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06" s="31" cm="1">
        <f t="array" ref="G3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306" s="33" t="str">
        <f>_xlfn.IFNA(IF(MOD(HLG_02[[#This Row],[Rit]],
    _xlfn.XLOOKUP($G$2,Int_Sample[Ore],Int_Sample[Inc])) = 0, "YES", "NO"),"")</f>
        <v>NO</v>
      </c>
      <c r="I306" s="32" t="str">
        <f>TEXT(HLG_02[[#This Row],[Batch]],"000")&amp; " / " &amp; TEXT(HLG_02[[#This Row],[Rit]],"000")</f>
        <v>005 / 012</v>
      </c>
      <c r="J306" s="34"/>
      <c r="K306" s="38"/>
      <c r="L306" s="35"/>
      <c r="M306" s="66"/>
      <c r="N306" s="66"/>
      <c r="O306" s="66"/>
      <c r="P306" s="66"/>
      <c r="Q306" s="66"/>
      <c r="R306" s="67"/>
      <c r="S306" s="67"/>
      <c r="T306" s="67"/>
      <c r="U306" s="66"/>
      <c r="V306" s="66"/>
      <c r="W306" s="66"/>
      <c r="X306" s="85"/>
      <c r="AP306" t="str">
        <v/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</row>
    <row r="307" spans="4:48" ht="15.75" x14ac:dyDescent="0.25">
      <c r="D307" s="3">
        <v>4</v>
      </c>
      <c r="F307" s="16" cm="1">
        <f t="array" ref="F3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07" s="31" cm="1">
        <f t="array" ref="G3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307" s="33" t="str">
        <f>_xlfn.IFNA(IF(MOD(HLG_02[[#This Row],[Rit]],
    _xlfn.XLOOKUP($G$2,Int_Sample[Ore],Int_Sample[Inc])) = 0, "YES", "NO"),"")</f>
        <v>NO</v>
      </c>
      <c r="I307" s="32" t="str">
        <f>TEXT(HLG_02[[#This Row],[Batch]],"000")&amp; " / " &amp; TEXT(HLG_02[[#This Row],[Rit]],"000")</f>
        <v>005 / 013</v>
      </c>
      <c r="J307" s="34"/>
      <c r="K307" s="38"/>
      <c r="L307" s="35"/>
      <c r="M307" s="66"/>
      <c r="N307" s="66"/>
      <c r="O307" s="66"/>
      <c r="P307" s="66"/>
      <c r="Q307" s="66"/>
      <c r="R307" s="67"/>
      <c r="S307" s="67"/>
      <c r="T307" s="67"/>
      <c r="U307" s="66"/>
      <c r="V307" s="66"/>
      <c r="W307" s="66"/>
      <c r="X307" s="85"/>
      <c r="AP307" t="str">
        <v/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</row>
    <row r="308" spans="4:48" ht="15.75" x14ac:dyDescent="0.25">
      <c r="D308" s="3">
        <v>4</v>
      </c>
      <c r="F308" s="16" cm="1">
        <f t="array" ref="F3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08" s="31" cm="1">
        <f t="array" ref="G3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308" s="33" t="str">
        <f>_xlfn.IFNA(IF(MOD(HLG_02[[#This Row],[Rit]],
    _xlfn.XLOOKUP($G$2,Int_Sample[Ore],Int_Sample[Inc])) = 0, "YES", "NO"),"")</f>
        <v>NO</v>
      </c>
      <c r="I308" s="32" t="str">
        <f>TEXT(HLG_02[[#This Row],[Batch]],"000")&amp; " / " &amp; TEXT(HLG_02[[#This Row],[Rit]],"000")</f>
        <v>005 / 014</v>
      </c>
      <c r="J308" s="34"/>
      <c r="K308" s="38"/>
      <c r="L308" s="35"/>
      <c r="M308" s="66"/>
      <c r="N308" s="66"/>
      <c r="O308" s="66"/>
      <c r="P308" s="66"/>
      <c r="Q308" s="66"/>
      <c r="R308" s="67"/>
      <c r="S308" s="67"/>
      <c r="T308" s="67"/>
      <c r="U308" s="66"/>
      <c r="V308" s="66"/>
      <c r="W308" s="66"/>
      <c r="X308" s="85"/>
      <c r="AP308" t="str">
        <v/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</row>
    <row r="309" spans="4:48" ht="15.75" x14ac:dyDescent="0.25">
      <c r="D309" s="3">
        <v>4</v>
      </c>
      <c r="F309" s="16" cm="1">
        <f t="array" ref="F3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09" s="31" cm="1">
        <f t="array" ref="G3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309" s="33" t="str">
        <f>_xlfn.IFNA(IF(MOD(HLG_02[[#This Row],[Rit]],
    _xlfn.XLOOKUP($G$2,Int_Sample[Ore],Int_Sample[Inc])) = 0, "YES", "NO"),"")</f>
        <v>YES</v>
      </c>
      <c r="I309" s="32" t="str">
        <f>TEXT(HLG_02[[#This Row],[Batch]],"000")&amp; " / " &amp; TEXT(HLG_02[[#This Row],[Rit]],"000")</f>
        <v>005 / 015</v>
      </c>
      <c r="J309" s="34"/>
      <c r="K309" s="38"/>
      <c r="L309" s="35"/>
      <c r="M309" s="66"/>
      <c r="N309" s="66"/>
      <c r="O309" s="66"/>
      <c r="P309" s="66"/>
      <c r="Q309" s="66"/>
      <c r="R309" s="67"/>
      <c r="S309" s="67"/>
      <c r="T309" s="67"/>
      <c r="U309" s="66"/>
      <c r="V309" s="66"/>
      <c r="W309" s="66"/>
      <c r="X309" s="85"/>
      <c r="AP309" t="str">
        <v/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</row>
    <row r="310" spans="4:48" ht="15.75" x14ac:dyDescent="0.25">
      <c r="D310" s="3">
        <v>4</v>
      </c>
      <c r="F310" s="16" cm="1">
        <f t="array" ref="F3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10" s="31" cm="1">
        <f t="array" ref="G3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310" s="33" t="str">
        <f>_xlfn.IFNA(IF(MOD(HLG_02[[#This Row],[Rit]],
    _xlfn.XLOOKUP($G$2,Int_Sample[Ore],Int_Sample[Inc])) = 0, "YES", "NO"),"")</f>
        <v>NO</v>
      </c>
      <c r="I310" s="32" t="str">
        <f>TEXT(HLG_02[[#This Row],[Batch]],"000")&amp; " / " &amp; TEXT(HLG_02[[#This Row],[Rit]],"000")</f>
        <v>005 / 016</v>
      </c>
      <c r="J310" s="34"/>
      <c r="K310" s="38"/>
      <c r="L310" s="35"/>
      <c r="M310" s="66"/>
      <c r="N310" s="66"/>
      <c r="O310" s="66"/>
      <c r="P310" s="66"/>
      <c r="Q310" s="66"/>
      <c r="R310" s="67"/>
      <c r="S310" s="67"/>
      <c r="T310" s="67"/>
      <c r="U310" s="66"/>
      <c r="V310" s="66"/>
      <c r="W310" s="66"/>
      <c r="X310" s="85"/>
      <c r="AP310" t="str">
        <v/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</row>
    <row r="311" spans="4:48" ht="15.75" x14ac:dyDescent="0.25">
      <c r="D311" s="3">
        <v>4</v>
      </c>
      <c r="F311" s="16" cm="1">
        <f t="array" ref="F3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11" s="31" cm="1">
        <f t="array" ref="G3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311" s="33" t="str">
        <f>_xlfn.IFNA(IF(MOD(HLG_02[[#This Row],[Rit]],
    _xlfn.XLOOKUP($G$2,Int_Sample[Ore],Int_Sample[Inc])) = 0, "YES", "NO"),"")</f>
        <v>NO</v>
      </c>
      <c r="I311" s="32" t="str">
        <f>TEXT(HLG_02[[#This Row],[Batch]],"000")&amp; " / " &amp; TEXT(HLG_02[[#This Row],[Rit]],"000")</f>
        <v>005 / 017</v>
      </c>
      <c r="J311" s="34"/>
      <c r="K311" s="38"/>
      <c r="L311" s="35"/>
      <c r="M311" s="66"/>
      <c r="N311" s="66"/>
      <c r="O311" s="66"/>
      <c r="P311" s="66"/>
      <c r="Q311" s="66"/>
      <c r="R311" s="67"/>
      <c r="S311" s="67"/>
      <c r="T311" s="67"/>
      <c r="U311" s="66"/>
      <c r="V311" s="66"/>
      <c r="W311" s="66"/>
      <c r="X311" s="85"/>
      <c r="AP311" t="str">
        <v/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</row>
    <row r="312" spans="4:48" ht="15.75" x14ac:dyDescent="0.25">
      <c r="D312" s="3">
        <v>4</v>
      </c>
      <c r="F312" s="16" cm="1">
        <f t="array" ref="F3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12" s="31" cm="1">
        <f t="array" ref="G3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312" s="33" t="str">
        <f>_xlfn.IFNA(IF(MOD(HLG_02[[#This Row],[Rit]],
    _xlfn.XLOOKUP($G$2,Int_Sample[Ore],Int_Sample[Inc])) = 0, "YES", "NO"),"")</f>
        <v>NO</v>
      </c>
      <c r="I312" s="32" t="str">
        <f>TEXT(HLG_02[[#This Row],[Batch]],"000")&amp; " / " &amp; TEXT(HLG_02[[#This Row],[Rit]],"000")</f>
        <v>005 / 018</v>
      </c>
      <c r="J312" s="34"/>
      <c r="K312" s="38"/>
      <c r="L312" s="35"/>
      <c r="M312" s="66"/>
      <c r="N312" s="66"/>
      <c r="O312" s="66"/>
      <c r="P312" s="66"/>
      <c r="Q312" s="66"/>
      <c r="R312" s="67"/>
      <c r="S312" s="67"/>
      <c r="T312" s="67"/>
      <c r="U312" s="66"/>
      <c r="V312" s="66"/>
      <c r="W312" s="66"/>
      <c r="X312" s="85"/>
      <c r="AP312" t="str">
        <v/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</row>
    <row r="313" spans="4:48" ht="15.75" x14ac:dyDescent="0.25">
      <c r="D313" s="3">
        <v>4</v>
      </c>
      <c r="F313" s="16" cm="1">
        <f t="array" ref="F3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13" s="31" cm="1">
        <f t="array" ref="G3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313" s="33" t="str">
        <f>_xlfn.IFNA(IF(MOD(HLG_02[[#This Row],[Rit]],
    _xlfn.XLOOKUP($G$2,Int_Sample[Ore],Int_Sample[Inc])) = 0, "YES", "NO"),"")</f>
        <v>NO</v>
      </c>
      <c r="I313" s="32" t="str">
        <f>TEXT(HLG_02[[#This Row],[Batch]],"000")&amp; " / " &amp; TEXT(HLG_02[[#This Row],[Rit]],"000")</f>
        <v>005 / 019</v>
      </c>
      <c r="J313" s="34"/>
      <c r="K313" s="38"/>
      <c r="L313" s="35"/>
      <c r="M313" s="66"/>
      <c r="N313" s="66"/>
      <c r="O313" s="66"/>
      <c r="P313" s="66"/>
      <c r="Q313" s="66"/>
      <c r="R313" s="67"/>
      <c r="S313" s="67"/>
      <c r="T313" s="67"/>
      <c r="U313" s="66"/>
      <c r="V313" s="66"/>
      <c r="W313" s="66"/>
      <c r="X313" s="85"/>
      <c r="AP313" t="str">
        <v/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</row>
    <row r="314" spans="4:48" ht="15.75" x14ac:dyDescent="0.25">
      <c r="D314" s="3">
        <v>4</v>
      </c>
      <c r="F314" s="16" cm="1">
        <f t="array" ref="F3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14" s="31" cm="1">
        <f t="array" ref="G3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314" s="33" t="str">
        <f>_xlfn.IFNA(IF(MOD(HLG_02[[#This Row],[Rit]],
    _xlfn.XLOOKUP($G$2,Int_Sample[Ore],Int_Sample[Inc])) = 0, "YES", "NO"),"")</f>
        <v>YES</v>
      </c>
      <c r="I314" s="32" t="str">
        <f>TEXT(HLG_02[[#This Row],[Batch]],"000")&amp; " / " &amp; TEXT(HLG_02[[#This Row],[Rit]],"000")</f>
        <v>005 / 020</v>
      </c>
      <c r="J314" s="34"/>
      <c r="K314" s="38"/>
      <c r="L314" s="35"/>
      <c r="M314" s="66"/>
      <c r="N314" s="66"/>
      <c r="O314" s="66"/>
      <c r="P314" s="66"/>
      <c r="Q314" s="66"/>
      <c r="R314" s="67"/>
      <c r="S314" s="67"/>
      <c r="T314" s="67"/>
      <c r="U314" s="66"/>
      <c r="V314" s="66"/>
      <c r="W314" s="66"/>
      <c r="X314" s="85"/>
      <c r="AP314" t="str">
        <v/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</row>
    <row r="315" spans="4:48" ht="15.75" x14ac:dyDescent="0.25">
      <c r="D315" s="3">
        <v>4</v>
      </c>
      <c r="F315" s="16" cm="1">
        <f t="array" ref="F3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15" s="31" cm="1">
        <f t="array" ref="G3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21</v>
      </c>
      <c r="H315" s="33" t="str">
        <f>_xlfn.IFNA(IF(MOD(HLG_02[[#This Row],[Rit]],
    _xlfn.XLOOKUP($G$2,Int_Sample[Ore],Int_Sample[Inc])) = 0, "YES", "NO"),"")</f>
        <v>NO</v>
      </c>
      <c r="I315" s="32" t="str">
        <f>TEXT(HLG_02[[#This Row],[Batch]],"000")&amp; " / " &amp; TEXT(HLG_02[[#This Row],[Rit]],"000")</f>
        <v>005 / 021</v>
      </c>
      <c r="J315" s="34"/>
      <c r="K315" s="38"/>
      <c r="L315" s="35"/>
      <c r="M315" s="66"/>
      <c r="N315" s="66"/>
      <c r="O315" s="66"/>
      <c r="P315" s="66"/>
      <c r="Q315" s="66"/>
      <c r="R315" s="67"/>
      <c r="S315" s="67"/>
      <c r="T315" s="67"/>
      <c r="U315" s="66"/>
      <c r="V315" s="66"/>
      <c r="W315" s="66"/>
      <c r="X315" s="85"/>
      <c r="AP315" t="str">
        <v/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</row>
    <row r="316" spans="4:48" ht="15.75" x14ac:dyDescent="0.25">
      <c r="D316" s="3">
        <v>4</v>
      </c>
      <c r="F316" s="16" cm="1">
        <f t="array" ref="F3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16" s="31" cm="1">
        <f t="array" ref="G3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22</v>
      </c>
      <c r="H316" s="33" t="str">
        <f>_xlfn.IFNA(IF(MOD(HLG_02[[#This Row],[Rit]],
    _xlfn.XLOOKUP($G$2,Int_Sample[Ore],Int_Sample[Inc])) = 0, "YES", "NO"),"")</f>
        <v>NO</v>
      </c>
      <c r="I316" s="32" t="str">
        <f>TEXT(HLG_02[[#This Row],[Batch]],"000")&amp; " / " &amp; TEXT(HLG_02[[#This Row],[Rit]],"000")</f>
        <v>005 / 022</v>
      </c>
      <c r="J316" s="34"/>
      <c r="K316" s="38"/>
      <c r="L316" s="35"/>
      <c r="M316" s="66"/>
      <c r="N316" s="66"/>
      <c r="O316" s="66"/>
      <c r="P316" s="66"/>
      <c r="Q316" s="66"/>
      <c r="R316" s="67"/>
      <c r="S316" s="67"/>
      <c r="T316" s="67"/>
      <c r="U316" s="66"/>
      <c r="V316" s="66"/>
      <c r="W316" s="66"/>
      <c r="X316" s="85"/>
      <c r="AP316" t="str">
        <v/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</row>
    <row r="317" spans="4:48" ht="15.75" x14ac:dyDescent="0.25">
      <c r="D317" s="3">
        <v>4</v>
      </c>
      <c r="F317" s="16" cm="1">
        <f t="array" ref="F3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17" s="31" cm="1">
        <f t="array" ref="G3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23</v>
      </c>
      <c r="H317" s="33" t="str">
        <f>_xlfn.IFNA(IF(MOD(HLG_02[[#This Row],[Rit]],
    _xlfn.XLOOKUP($G$2,Int_Sample[Ore],Int_Sample[Inc])) = 0, "YES", "NO"),"")</f>
        <v>NO</v>
      </c>
      <c r="I317" s="32" t="str">
        <f>TEXT(HLG_02[[#This Row],[Batch]],"000")&amp; " / " &amp; TEXT(HLG_02[[#This Row],[Rit]],"000")</f>
        <v>005 / 023</v>
      </c>
      <c r="J317" s="34"/>
      <c r="K317" s="38"/>
      <c r="L317" s="35"/>
      <c r="M317" s="66"/>
      <c r="N317" s="66"/>
      <c r="O317" s="66"/>
      <c r="P317" s="66"/>
      <c r="Q317" s="66"/>
      <c r="R317" s="67"/>
      <c r="S317" s="67"/>
      <c r="T317" s="67"/>
      <c r="U317" s="66"/>
      <c r="V317" s="66"/>
      <c r="W317" s="66"/>
      <c r="X317" s="85"/>
      <c r="AP317" t="str">
        <v/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</row>
    <row r="318" spans="4:48" ht="15.75" x14ac:dyDescent="0.25">
      <c r="D318" s="3">
        <v>4</v>
      </c>
      <c r="F318" s="16" cm="1">
        <f t="array" ref="F3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18" s="31" cm="1">
        <f t="array" ref="G3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24</v>
      </c>
      <c r="H318" s="33" t="str">
        <f>_xlfn.IFNA(IF(MOD(HLG_02[[#This Row],[Rit]],
    _xlfn.XLOOKUP($G$2,Int_Sample[Ore],Int_Sample[Inc])) = 0, "YES", "NO"),"")</f>
        <v>NO</v>
      </c>
      <c r="I318" s="32" t="str">
        <f>TEXT(HLG_02[[#This Row],[Batch]],"000")&amp; " / " &amp; TEXT(HLG_02[[#This Row],[Rit]],"000")</f>
        <v>005 / 024</v>
      </c>
      <c r="J318" s="34"/>
      <c r="K318" s="38"/>
      <c r="L318" s="35"/>
      <c r="M318" s="66"/>
      <c r="N318" s="66"/>
      <c r="O318" s="66"/>
      <c r="P318" s="66"/>
      <c r="Q318" s="66"/>
      <c r="R318" s="67"/>
      <c r="S318" s="67"/>
      <c r="T318" s="67"/>
      <c r="U318" s="66"/>
      <c r="V318" s="66"/>
      <c r="W318" s="66"/>
      <c r="X318" s="85"/>
      <c r="AP318" t="str">
        <v/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</row>
    <row r="319" spans="4:48" ht="15.75" x14ac:dyDescent="0.25">
      <c r="D319" s="3">
        <v>4</v>
      </c>
      <c r="F319" s="16" cm="1">
        <f t="array" ref="F3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19" s="31" cm="1">
        <f t="array" ref="G3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25</v>
      </c>
      <c r="H319" s="33" t="str">
        <f>_xlfn.IFNA(IF(MOD(HLG_02[[#This Row],[Rit]],
    _xlfn.XLOOKUP($G$2,Int_Sample[Ore],Int_Sample[Inc])) = 0, "YES", "NO"),"")</f>
        <v>YES</v>
      </c>
      <c r="I319" s="32" t="str">
        <f>TEXT(HLG_02[[#This Row],[Batch]],"000")&amp; " / " &amp; TEXT(HLG_02[[#This Row],[Rit]],"000")</f>
        <v>005 / 025</v>
      </c>
      <c r="J319" s="34"/>
      <c r="K319" s="38"/>
      <c r="L319" s="35"/>
      <c r="M319" s="66"/>
      <c r="N319" s="66"/>
      <c r="O319" s="66"/>
      <c r="P319" s="66"/>
      <c r="Q319" s="66"/>
      <c r="R319" s="67"/>
      <c r="S319" s="67"/>
      <c r="T319" s="67"/>
      <c r="U319" s="66"/>
      <c r="V319" s="66"/>
      <c r="W319" s="66"/>
      <c r="X319" s="85"/>
      <c r="AP319" t="str">
        <v/>
      </c>
      <c r="AQ319" t="e">
        <v>#N/A</v>
      </c>
      <c r="AR319" t="e">
        <v>#N/A</v>
      </c>
      <c r="AS319" t="e">
        <v>#N/A</v>
      </c>
      <c r="AT319" t="e">
        <v>#N/A</v>
      </c>
      <c r="AU319" t="e">
        <v>#N/A</v>
      </c>
      <c r="AV319" t="e">
        <v>#N/A</v>
      </c>
    </row>
    <row r="320" spans="4:48" ht="15.75" x14ac:dyDescent="0.25">
      <c r="D320" s="3">
        <v>4</v>
      </c>
      <c r="F320" s="16" cm="1">
        <f t="array" ref="F3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20" s="31" cm="1">
        <f t="array" ref="G3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26</v>
      </c>
      <c r="H320" s="33" t="str">
        <f>_xlfn.IFNA(IF(MOD(HLG_02[[#This Row],[Rit]],
    _xlfn.XLOOKUP($G$2,Int_Sample[Ore],Int_Sample[Inc])) = 0, "YES", "NO"),"")</f>
        <v>NO</v>
      </c>
      <c r="I320" s="32" t="str">
        <f>TEXT(HLG_02[[#This Row],[Batch]],"000")&amp; " / " &amp; TEXT(HLG_02[[#This Row],[Rit]],"000")</f>
        <v>005 / 026</v>
      </c>
      <c r="J320" s="34"/>
      <c r="K320" s="38"/>
      <c r="L320" s="35"/>
      <c r="M320" s="66"/>
      <c r="N320" s="66"/>
      <c r="O320" s="66"/>
      <c r="P320" s="66"/>
      <c r="Q320" s="66"/>
      <c r="R320" s="67"/>
      <c r="S320" s="67"/>
      <c r="T320" s="67"/>
      <c r="U320" s="66"/>
      <c r="V320" s="66"/>
      <c r="W320" s="66"/>
      <c r="X320" s="85"/>
      <c r="AP320" t="str">
        <v/>
      </c>
      <c r="AQ320" t="e">
        <v>#N/A</v>
      </c>
      <c r="AR320" t="e">
        <v>#N/A</v>
      </c>
      <c r="AS320" t="e">
        <v>#N/A</v>
      </c>
      <c r="AT320" t="e">
        <v>#N/A</v>
      </c>
      <c r="AU320" t="e">
        <v>#N/A</v>
      </c>
      <c r="AV320" t="e">
        <v>#N/A</v>
      </c>
    </row>
    <row r="321" spans="4:48" ht="15.75" x14ac:dyDescent="0.25">
      <c r="D321" s="3">
        <v>4</v>
      </c>
      <c r="F321" s="16" cm="1">
        <f t="array" ref="F3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21" s="31" cm="1">
        <f t="array" ref="G3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27</v>
      </c>
      <c r="H321" s="33" t="str">
        <f>_xlfn.IFNA(IF(MOD(HLG_02[[#This Row],[Rit]],
    _xlfn.XLOOKUP($G$2,Int_Sample[Ore],Int_Sample[Inc])) = 0, "YES", "NO"),"")</f>
        <v>NO</v>
      </c>
      <c r="I321" s="32" t="str">
        <f>TEXT(HLG_02[[#This Row],[Batch]],"000")&amp; " / " &amp; TEXT(HLG_02[[#This Row],[Rit]],"000")</f>
        <v>005 / 027</v>
      </c>
      <c r="J321" s="34"/>
      <c r="K321" s="38"/>
      <c r="L321" s="35"/>
      <c r="M321" s="66"/>
      <c r="N321" s="66"/>
      <c r="O321" s="66"/>
      <c r="P321" s="66"/>
      <c r="Q321" s="66"/>
      <c r="R321" s="67"/>
      <c r="S321" s="67"/>
      <c r="T321" s="67"/>
      <c r="U321" s="66"/>
      <c r="V321" s="66"/>
      <c r="W321" s="66"/>
      <c r="X321" s="85"/>
      <c r="AP321" t="str">
        <v/>
      </c>
      <c r="AQ321" t="e">
        <v>#N/A</v>
      </c>
      <c r="AR321" t="e">
        <v>#N/A</v>
      </c>
      <c r="AS321" t="e">
        <v>#N/A</v>
      </c>
      <c r="AT321" t="e">
        <v>#N/A</v>
      </c>
      <c r="AU321" t="e">
        <v>#N/A</v>
      </c>
      <c r="AV321" t="e">
        <v>#N/A</v>
      </c>
    </row>
    <row r="322" spans="4:48" ht="15.75" x14ac:dyDescent="0.25">
      <c r="D322" s="3">
        <v>4</v>
      </c>
      <c r="F322" s="16" cm="1">
        <f t="array" ref="F3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22" s="31" cm="1">
        <f t="array" ref="G3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28</v>
      </c>
      <c r="H322" s="33" t="str">
        <f>_xlfn.IFNA(IF(MOD(HLG_02[[#This Row],[Rit]],
    _xlfn.XLOOKUP($G$2,Int_Sample[Ore],Int_Sample[Inc])) = 0, "YES", "NO"),"")</f>
        <v>NO</v>
      </c>
      <c r="I322" s="32" t="str">
        <f>TEXT(HLG_02[[#This Row],[Batch]],"000")&amp; " / " &amp; TEXT(HLG_02[[#This Row],[Rit]],"000")</f>
        <v>005 / 028</v>
      </c>
      <c r="J322" s="34"/>
      <c r="K322" s="38"/>
      <c r="L322" s="35"/>
      <c r="M322" s="66"/>
      <c r="N322" s="66"/>
      <c r="O322" s="66"/>
      <c r="P322" s="66"/>
      <c r="Q322" s="66"/>
      <c r="R322" s="67"/>
      <c r="S322" s="67"/>
      <c r="T322" s="67"/>
      <c r="U322" s="66"/>
      <c r="V322" s="66"/>
      <c r="W322" s="66"/>
      <c r="X322" s="85"/>
      <c r="AP322" t="str">
        <v/>
      </c>
      <c r="AQ322" t="e">
        <v>#N/A</v>
      </c>
      <c r="AR322" t="e">
        <v>#N/A</v>
      </c>
      <c r="AS322" t="e">
        <v>#N/A</v>
      </c>
      <c r="AT322" t="e">
        <v>#N/A</v>
      </c>
      <c r="AU322" t="e">
        <v>#N/A</v>
      </c>
      <c r="AV322" t="e">
        <v>#N/A</v>
      </c>
    </row>
    <row r="323" spans="4:48" ht="15.75" x14ac:dyDescent="0.25">
      <c r="D323" s="3">
        <v>4</v>
      </c>
      <c r="F323" s="16" cm="1">
        <f t="array" ref="F3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23" s="31" cm="1">
        <f t="array" ref="G3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29</v>
      </c>
      <c r="H323" s="33" t="str">
        <f>_xlfn.IFNA(IF(MOD(HLG_02[[#This Row],[Rit]],
    _xlfn.XLOOKUP($G$2,Int_Sample[Ore],Int_Sample[Inc])) = 0, "YES", "NO"),"")</f>
        <v>NO</v>
      </c>
      <c r="I323" s="32" t="str">
        <f>TEXT(HLG_02[[#This Row],[Batch]],"000")&amp; " / " &amp; TEXT(HLG_02[[#This Row],[Rit]],"000")</f>
        <v>005 / 029</v>
      </c>
      <c r="J323" s="34"/>
      <c r="K323" s="38"/>
      <c r="L323" s="35"/>
      <c r="M323" s="66"/>
      <c r="N323" s="66"/>
      <c r="O323" s="66"/>
      <c r="P323" s="66"/>
      <c r="Q323" s="66"/>
      <c r="R323" s="67"/>
      <c r="S323" s="67"/>
      <c r="T323" s="67"/>
      <c r="U323" s="66"/>
      <c r="V323" s="66"/>
      <c r="W323" s="66"/>
      <c r="X323" s="85"/>
      <c r="AP323" t="str">
        <v/>
      </c>
      <c r="AQ323" t="e">
        <v>#N/A</v>
      </c>
      <c r="AR323" t="e">
        <v>#N/A</v>
      </c>
      <c r="AS323" t="e">
        <v>#N/A</v>
      </c>
      <c r="AT323" t="e">
        <v>#N/A</v>
      </c>
      <c r="AU323" t="e">
        <v>#N/A</v>
      </c>
      <c r="AV323" t="e">
        <v>#N/A</v>
      </c>
    </row>
    <row r="324" spans="4:48" ht="15.75" x14ac:dyDescent="0.25">
      <c r="D324" s="3">
        <v>4</v>
      </c>
      <c r="F324" s="16" cm="1">
        <f t="array" ref="F3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24" s="31" cm="1">
        <f t="array" ref="G3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30</v>
      </c>
      <c r="H324" s="33" t="str">
        <f>_xlfn.IFNA(IF(MOD(HLG_02[[#This Row],[Rit]],
    _xlfn.XLOOKUP($G$2,Int_Sample[Ore],Int_Sample[Inc])) = 0, "YES", "NO"),"")</f>
        <v>YES</v>
      </c>
      <c r="I324" s="32" t="str">
        <f>TEXT(HLG_02[[#This Row],[Batch]],"000")&amp; " / " &amp; TEXT(HLG_02[[#This Row],[Rit]],"000")</f>
        <v>005 / 030</v>
      </c>
      <c r="J324" s="34"/>
      <c r="K324" s="38"/>
      <c r="L324" s="35"/>
      <c r="M324" s="66"/>
      <c r="N324" s="66"/>
      <c r="O324" s="66"/>
      <c r="P324" s="66"/>
      <c r="Q324" s="66"/>
      <c r="R324" s="67"/>
      <c r="S324" s="67"/>
      <c r="T324" s="67"/>
      <c r="U324" s="66"/>
      <c r="V324" s="66"/>
      <c r="W324" s="66"/>
      <c r="X324" s="85"/>
      <c r="AP324" t="str">
        <v/>
      </c>
      <c r="AQ324" t="e">
        <v>#N/A</v>
      </c>
      <c r="AR324" t="e">
        <v>#N/A</v>
      </c>
      <c r="AS324" t="e">
        <v>#N/A</v>
      </c>
      <c r="AT324" t="e">
        <v>#N/A</v>
      </c>
      <c r="AU324" t="e">
        <v>#N/A</v>
      </c>
      <c r="AV324" t="e">
        <v>#N/A</v>
      </c>
    </row>
    <row r="325" spans="4:48" ht="15.75" x14ac:dyDescent="0.25">
      <c r="D325" s="3">
        <v>4</v>
      </c>
      <c r="F325" s="16" cm="1">
        <f t="array" ref="F3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25" s="31" cm="1">
        <f t="array" ref="G3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31</v>
      </c>
      <c r="H325" s="33" t="str">
        <f>_xlfn.IFNA(IF(MOD(HLG_02[[#This Row],[Rit]],
    _xlfn.XLOOKUP($G$2,Int_Sample[Ore],Int_Sample[Inc])) = 0, "YES", "NO"),"")</f>
        <v>NO</v>
      </c>
      <c r="I325" s="32" t="str">
        <f>TEXT(HLG_02[[#This Row],[Batch]],"000")&amp; " / " &amp; TEXT(HLG_02[[#This Row],[Rit]],"000")</f>
        <v>005 / 031</v>
      </c>
      <c r="J325" s="34"/>
      <c r="K325" s="38"/>
      <c r="L325" s="35"/>
      <c r="M325" s="66"/>
      <c r="N325" s="66"/>
      <c r="O325" s="66"/>
      <c r="P325" s="66"/>
      <c r="Q325" s="66"/>
      <c r="R325" s="67"/>
      <c r="S325" s="67"/>
      <c r="T325" s="67"/>
      <c r="U325" s="66"/>
      <c r="V325" s="66"/>
      <c r="W325" s="66"/>
      <c r="X325" s="85"/>
      <c r="AP325" t="str">
        <v/>
      </c>
      <c r="AQ325" t="e">
        <v>#N/A</v>
      </c>
      <c r="AR325" t="e">
        <v>#N/A</v>
      </c>
      <c r="AS325" t="e">
        <v>#N/A</v>
      </c>
      <c r="AT325" t="e">
        <v>#N/A</v>
      </c>
      <c r="AU325" t="e">
        <v>#N/A</v>
      </c>
      <c r="AV325" t="e">
        <v>#N/A</v>
      </c>
    </row>
    <row r="326" spans="4:48" ht="15.75" x14ac:dyDescent="0.25">
      <c r="D326" s="3">
        <v>4</v>
      </c>
      <c r="F326" s="16" cm="1">
        <f t="array" ref="F3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26" s="31" cm="1">
        <f t="array" ref="G3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32</v>
      </c>
      <c r="H326" s="33" t="str">
        <f>_xlfn.IFNA(IF(MOD(HLG_02[[#This Row],[Rit]],
    _xlfn.XLOOKUP($G$2,Int_Sample[Ore],Int_Sample[Inc])) = 0, "YES", "NO"),"")</f>
        <v>NO</v>
      </c>
      <c r="I326" s="32" t="str">
        <f>TEXT(HLG_02[[#This Row],[Batch]],"000")&amp; " / " &amp; TEXT(HLG_02[[#This Row],[Rit]],"000")</f>
        <v>005 / 032</v>
      </c>
      <c r="J326" s="34"/>
      <c r="K326" s="38"/>
      <c r="L326" s="35"/>
      <c r="M326" s="66"/>
      <c r="N326" s="66"/>
      <c r="O326" s="66"/>
      <c r="P326" s="66"/>
      <c r="Q326" s="66"/>
      <c r="R326" s="67"/>
      <c r="S326" s="67"/>
      <c r="T326" s="67"/>
      <c r="U326" s="66"/>
      <c r="V326" s="66"/>
      <c r="W326" s="66"/>
      <c r="X326" s="85"/>
      <c r="AP326" t="str">
        <v/>
      </c>
      <c r="AQ326" t="e">
        <v>#N/A</v>
      </c>
      <c r="AR326" t="e">
        <v>#N/A</v>
      </c>
      <c r="AS326" t="e">
        <v>#N/A</v>
      </c>
      <c r="AT326" t="e">
        <v>#N/A</v>
      </c>
      <c r="AU326" t="e">
        <v>#N/A</v>
      </c>
      <c r="AV326" t="e">
        <v>#N/A</v>
      </c>
    </row>
    <row r="327" spans="4:48" ht="15.75" x14ac:dyDescent="0.25">
      <c r="D327" s="3">
        <v>4</v>
      </c>
      <c r="F327" s="16" cm="1">
        <f t="array" ref="F3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27" s="31" cm="1">
        <f t="array" ref="G3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33</v>
      </c>
      <c r="H327" s="33" t="str">
        <f>_xlfn.IFNA(IF(MOD(HLG_02[[#This Row],[Rit]],
    _xlfn.XLOOKUP($G$2,Int_Sample[Ore],Int_Sample[Inc])) = 0, "YES", "NO"),"")</f>
        <v>NO</v>
      </c>
      <c r="I327" s="32" t="str">
        <f>TEXT(HLG_02[[#This Row],[Batch]],"000")&amp; " / " &amp; TEXT(HLG_02[[#This Row],[Rit]],"000")</f>
        <v>005 / 033</v>
      </c>
      <c r="J327" s="34"/>
      <c r="K327" s="38"/>
      <c r="L327" s="35"/>
      <c r="M327" s="66"/>
      <c r="N327" s="66"/>
      <c r="O327" s="66"/>
      <c r="P327" s="66"/>
      <c r="Q327" s="66"/>
      <c r="R327" s="67"/>
      <c r="S327" s="67"/>
      <c r="T327" s="67"/>
      <c r="U327" s="66"/>
      <c r="V327" s="66"/>
      <c r="W327" s="66"/>
      <c r="X327" s="85"/>
      <c r="AP327" t="str">
        <v/>
      </c>
      <c r="AQ327" t="e">
        <v>#N/A</v>
      </c>
      <c r="AR327" t="e">
        <v>#N/A</v>
      </c>
      <c r="AS327" t="e">
        <v>#N/A</v>
      </c>
      <c r="AT327" t="e">
        <v>#N/A</v>
      </c>
      <c r="AU327" t="e">
        <v>#N/A</v>
      </c>
      <c r="AV327" t="e">
        <v>#N/A</v>
      </c>
    </row>
    <row r="328" spans="4:48" ht="15.75" x14ac:dyDescent="0.25">
      <c r="D328" s="3">
        <v>4</v>
      </c>
      <c r="F328" s="16" cm="1">
        <f t="array" ref="F3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28" s="31" cm="1">
        <f t="array" ref="G3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34</v>
      </c>
      <c r="H328" s="33" t="str">
        <f>_xlfn.IFNA(IF(MOD(HLG_02[[#This Row],[Rit]],
    _xlfn.XLOOKUP($G$2,Int_Sample[Ore],Int_Sample[Inc])) = 0, "YES", "NO"),"")</f>
        <v>NO</v>
      </c>
      <c r="I328" s="32" t="str">
        <f>TEXT(HLG_02[[#This Row],[Batch]],"000")&amp; " / " &amp; TEXT(HLG_02[[#This Row],[Rit]],"000")</f>
        <v>005 / 034</v>
      </c>
      <c r="J328" s="34"/>
      <c r="K328" s="38"/>
      <c r="L328" s="35"/>
      <c r="M328" s="66"/>
      <c r="N328" s="66"/>
      <c r="O328" s="66"/>
      <c r="P328" s="66"/>
      <c r="Q328" s="66"/>
      <c r="R328" s="67"/>
      <c r="S328" s="67"/>
      <c r="T328" s="67"/>
      <c r="U328" s="66"/>
      <c r="V328" s="66"/>
      <c r="W328" s="66"/>
      <c r="X328" s="85"/>
      <c r="AP328" t="str">
        <v/>
      </c>
      <c r="AQ328" t="e">
        <v>#N/A</v>
      </c>
      <c r="AR328" t="e">
        <v>#N/A</v>
      </c>
      <c r="AS328" t="e">
        <v>#N/A</v>
      </c>
      <c r="AT328" t="e">
        <v>#N/A</v>
      </c>
      <c r="AU328" t="e">
        <v>#N/A</v>
      </c>
      <c r="AV328" t="e">
        <v>#N/A</v>
      </c>
    </row>
    <row r="329" spans="4:48" ht="15.75" x14ac:dyDescent="0.25">
      <c r="D329" s="3">
        <v>4</v>
      </c>
      <c r="F329" s="16" cm="1">
        <f t="array" ref="F3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29" s="31" cm="1">
        <f t="array" ref="G3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35</v>
      </c>
      <c r="H329" s="33" t="str">
        <f>_xlfn.IFNA(IF(MOD(HLG_02[[#This Row],[Rit]],
    _xlfn.XLOOKUP($G$2,Int_Sample[Ore],Int_Sample[Inc])) = 0, "YES", "NO"),"")</f>
        <v>YES</v>
      </c>
      <c r="I329" s="32" t="str">
        <f>TEXT(HLG_02[[#This Row],[Batch]],"000")&amp; " / " &amp; TEXT(HLG_02[[#This Row],[Rit]],"000")</f>
        <v>005 / 035</v>
      </c>
      <c r="J329" s="34"/>
      <c r="K329" s="38"/>
      <c r="L329" s="35"/>
      <c r="M329" s="66"/>
      <c r="N329" s="66"/>
      <c r="O329" s="66"/>
      <c r="P329" s="66"/>
      <c r="Q329" s="66"/>
      <c r="R329" s="67"/>
      <c r="S329" s="67"/>
      <c r="T329" s="67"/>
      <c r="U329" s="66"/>
      <c r="V329" s="66"/>
      <c r="W329" s="66"/>
      <c r="X329" s="85"/>
      <c r="AP329" t="str">
        <v/>
      </c>
      <c r="AQ329" t="e">
        <v>#N/A</v>
      </c>
      <c r="AR329" t="e">
        <v>#N/A</v>
      </c>
      <c r="AS329" t="e">
        <v>#N/A</v>
      </c>
      <c r="AT329" t="e">
        <v>#N/A</v>
      </c>
      <c r="AU329" t="e">
        <v>#N/A</v>
      </c>
      <c r="AV329" t="e">
        <v>#N/A</v>
      </c>
    </row>
    <row r="330" spans="4:48" ht="15.75" x14ac:dyDescent="0.25">
      <c r="D330" s="3">
        <v>4</v>
      </c>
      <c r="F330" s="16" cm="1">
        <f t="array" ref="F3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30" s="31" cm="1">
        <f t="array" ref="G3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36</v>
      </c>
      <c r="H330" s="33" t="str">
        <f>_xlfn.IFNA(IF(MOD(HLG_02[[#This Row],[Rit]],
    _xlfn.XLOOKUP($G$2,Int_Sample[Ore],Int_Sample[Inc])) = 0, "YES", "NO"),"")</f>
        <v>NO</v>
      </c>
      <c r="I330" s="32" t="str">
        <f>TEXT(HLG_02[[#This Row],[Batch]],"000")&amp; " / " &amp; TEXT(HLG_02[[#This Row],[Rit]],"000")</f>
        <v>005 / 036</v>
      </c>
      <c r="J330" s="34"/>
      <c r="K330" s="38"/>
      <c r="L330" s="35"/>
      <c r="M330" s="66"/>
      <c r="N330" s="66"/>
      <c r="O330" s="66"/>
      <c r="P330" s="66"/>
      <c r="Q330" s="66"/>
      <c r="R330" s="67"/>
      <c r="S330" s="67"/>
      <c r="T330" s="67"/>
      <c r="U330" s="66"/>
      <c r="V330" s="66"/>
      <c r="W330" s="66"/>
      <c r="X330" s="85"/>
      <c r="AP330" t="str">
        <v/>
      </c>
      <c r="AQ330" t="e">
        <v>#N/A</v>
      </c>
      <c r="AR330" t="e">
        <v>#N/A</v>
      </c>
      <c r="AS330" t="e">
        <v>#N/A</v>
      </c>
      <c r="AT330" t="e">
        <v>#N/A</v>
      </c>
      <c r="AU330" t="e">
        <v>#N/A</v>
      </c>
      <c r="AV330" t="e">
        <v>#N/A</v>
      </c>
    </row>
    <row r="331" spans="4:48" ht="15.75" x14ac:dyDescent="0.25">
      <c r="D331" s="3">
        <v>4</v>
      </c>
      <c r="F331" s="16" cm="1">
        <f t="array" ref="F3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31" s="31" cm="1">
        <f t="array" ref="G3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37</v>
      </c>
      <c r="H331" s="33" t="str">
        <f>_xlfn.IFNA(IF(MOD(HLG_02[[#This Row],[Rit]],
    _xlfn.XLOOKUP($G$2,Int_Sample[Ore],Int_Sample[Inc])) = 0, "YES", "NO"),"")</f>
        <v>NO</v>
      </c>
      <c r="I331" s="32" t="str">
        <f>TEXT(HLG_02[[#This Row],[Batch]],"000")&amp; " / " &amp; TEXT(HLG_02[[#This Row],[Rit]],"000")</f>
        <v>005 / 037</v>
      </c>
      <c r="J331" s="34"/>
      <c r="K331" s="38"/>
      <c r="L331" s="35"/>
      <c r="M331" s="66"/>
      <c r="N331" s="66"/>
      <c r="O331" s="66"/>
      <c r="P331" s="66"/>
      <c r="Q331" s="66"/>
      <c r="R331" s="67"/>
      <c r="S331" s="67"/>
      <c r="T331" s="67"/>
      <c r="U331" s="66"/>
      <c r="V331" s="66"/>
      <c r="W331" s="66"/>
      <c r="X331" s="85"/>
      <c r="AP331" t="str">
        <v/>
      </c>
      <c r="AQ331" t="e">
        <v>#N/A</v>
      </c>
      <c r="AR331" t="e">
        <v>#N/A</v>
      </c>
      <c r="AS331" t="e">
        <v>#N/A</v>
      </c>
      <c r="AT331" t="e">
        <v>#N/A</v>
      </c>
      <c r="AU331" t="e">
        <v>#N/A</v>
      </c>
      <c r="AV331" t="e">
        <v>#N/A</v>
      </c>
    </row>
    <row r="332" spans="4:48" ht="15.75" x14ac:dyDescent="0.25">
      <c r="D332" s="3">
        <v>4</v>
      </c>
      <c r="F332" s="16" cm="1">
        <f t="array" ref="F3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32" s="31" cm="1">
        <f t="array" ref="G3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38</v>
      </c>
      <c r="H332" s="33" t="str">
        <f>_xlfn.IFNA(IF(MOD(HLG_02[[#This Row],[Rit]],
    _xlfn.XLOOKUP($G$2,Int_Sample[Ore],Int_Sample[Inc])) = 0, "YES", "NO"),"")</f>
        <v>NO</v>
      </c>
      <c r="I332" s="32" t="str">
        <f>TEXT(HLG_02[[#This Row],[Batch]],"000")&amp; " / " &amp; TEXT(HLG_02[[#This Row],[Rit]],"000")</f>
        <v>005 / 038</v>
      </c>
      <c r="J332" s="34"/>
      <c r="K332" s="38"/>
      <c r="L332" s="35"/>
      <c r="M332" s="66"/>
      <c r="N332" s="66"/>
      <c r="O332" s="66"/>
      <c r="P332" s="66"/>
      <c r="Q332" s="66"/>
      <c r="R332" s="67"/>
      <c r="S332" s="67"/>
      <c r="T332" s="67"/>
      <c r="U332" s="66"/>
      <c r="V332" s="66"/>
      <c r="W332" s="66"/>
      <c r="X332" s="85"/>
      <c r="AP332" t="str">
        <v/>
      </c>
      <c r="AQ332" t="e">
        <v>#N/A</v>
      </c>
      <c r="AR332" t="e">
        <v>#N/A</v>
      </c>
      <c r="AS332" t="e">
        <v>#N/A</v>
      </c>
      <c r="AT332" t="e">
        <v>#N/A</v>
      </c>
      <c r="AU332" t="e">
        <v>#N/A</v>
      </c>
      <c r="AV332" t="e">
        <v>#N/A</v>
      </c>
    </row>
    <row r="333" spans="4:48" ht="15.75" x14ac:dyDescent="0.25">
      <c r="D333" s="3">
        <v>4</v>
      </c>
      <c r="F333" s="16" cm="1">
        <f t="array" ref="F3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33" s="31" cm="1">
        <f t="array" ref="G3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39</v>
      </c>
      <c r="H333" s="33" t="str">
        <f>_xlfn.IFNA(IF(MOD(HLG_02[[#This Row],[Rit]],
    _xlfn.XLOOKUP($G$2,Int_Sample[Ore],Int_Sample[Inc])) = 0, "YES", "NO"),"")</f>
        <v>NO</v>
      </c>
      <c r="I333" s="32" t="str">
        <f>TEXT(HLG_02[[#This Row],[Batch]],"000")&amp; " / " &amp; TEXT(HLG_02[[#This Row],[Rit]],"000")</f>
        <v>005 / 039</v>
      </c>
      <c r="J333" s="34"/>
      <c r="K333" s="38"/>
      <c r="L333" s="35"/>
      <c r="M333" s="66"/>
      <c r="N333" s="66"/>
      <c r="O333" s="66"/>
      <c r="P333" s="66"/>
      <c r="Q333" s="66"/>
      <c r="R333" s="67"/>
      <c r="S333" s="67"/>
      <c r="T333" s="67"/>
      <c r="U333" s="66"/>
      <c r="V333" s="66"/>
      <c r="W333" s="66"/>
      <c r="X333" s="85"/>
      <c r="AP333" t="str">
        <v/>
      </c>
      <c r="AQ333" t="e">
        <v>#N/A</v>
      </c>
      <c r="AR333" t="e">
        <v>#N/A</v>
      </c>
      <c r="AS333" t="e">
        <v>#N/A</v>
      </c>
      <c r="AT333" t="e">
        <v>#N/A</v>
      </c>
      <c r="AU333" t="e">
        <v>#N/A</v>
      </c>
      <c r="AV333" t="e">
        <v>#N/A</v>
      </c>
    </row>
    <row r="334" spans="4:48" ht="15.75" x14ac:dyDescent="0.25">
      <c r="D334" s="3">
        <v>4</v>
      </c>
      <c r="F334" s="16" cm="1">
        <f t="array" ref="F3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34" s="31" cm="1">
        <f t="array" ref="G3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40</v>
      </c>
      <c r="H334" s="33" t="str">
        <f>_xlfn.IFNA(IF(MOD(HLG_02[[#This Row],[Rit]],
    _xlfn.XLOOKUP($G$2,Int_Sample[Ore],Int_Sample[Inc])) = 0, "YES", "NO"),"")</f>
        <v>YES</v>
      </c>
      <c r="I334" s="32" t="str">
        <f>TEXT(HLG_02[[#This Row],[Batch]],"000")&amp; " / " &amp; TEXT(HLG_02[[#This Row],[Rit]],"000")</f>
        <v>005 / 040</v>
      </c>
      <c r="J334" s="34"/>
      <c r="K334" s="38"/>
      <c r="L334" s="35"/>
      <c r="M334" s="66"/>
      <c r="N334" s="66"/>
      <c r="O334" s="66"/>
      <c r="P334" s="66"/>
      <c r="Q334" s="66"/>
      <c r="R334" s="67"/>
      <c r="S334" s="67"/>
      <c r="T334" s="67"/>
      <c r="U334" s="66"/>
      <c r="V334" s="66"/>
      <c r="W334" s="66"/>
      <c r="X334" s="85"/>
      <c r="AP334" t="str">
        <v/>
      </c>
      <c r="AQ334" t="e">
        <v>#N/A</v>
      </c>
      <c r="AR334" t="e">
        <v>#N/A</v>
      </c>
      <c r="AS334" t="e">
        <v>#N/A</v>
      </c>
      <c r="AT334" t="e">
        <v>#N/A</v>
      </c>
      <c r="AU334" t="e">
        <v>#N/A</v>
      </c>
      <c r="AV334" t="e">
        <v>#N/A</v>
      </c>
    </row>
    <row r="335" spans="4:48" ht="15.75" x14ac:dyDescent="0.25">
      <c r="D335" s="3">
        <v>4</v>
      </c>
      <c r="F335" s="16" cm="1">
        <f t="array" ref="F3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35" s="31" cm="1">
        <f t="array" ref="G3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41</v>
      </c>
      <c r="H335" s="33" t="str">
        <f>_xlfn.IFNA(IF(MOD(HLG_02[[#This Row],[Rit]],
    _xlfn.XLOOKUP($G$2,Int_Sample[Ore],Int_Sample[Inc])) = 0, "YES", "NO"),"")</f>
        <v>NO</v>
      </c>
      <c r="I335" s="32" t="str">
        <f>TEXT(HLG_02[[#This Row],[Batch]],"000")&amp; " / " &amp; TEXT(HLG_02[[#This Row],[Rit]],"000")</f>
        <v>005 / 041</v>
      </c>
      <c r="J335" s="34"/>
      <c r="K335" s="38"/>
      <c r="L335" s="35"/>
      <c r="M335" s="66"/>
      <c r="N335" s="66"/>
      <c r="O335" s="66"/>
      <c r="P335" s="66"/>
      <c r="Q335" s="66"/>
      <c r="R335" s="67"/>
      <c r="S335" s="67"/>
      <c r="T335" s="67"/>
      <c r="U335" s="66"/>
      <c r="V335" s="66"/>
      <c r="W335" s="66"/>
      <c r="X335" s="85"/>
      <c r="AP335" t="str">
        <v/>
      </c>
      <c r="AQ335" t="e">
        <v>#N/A</v>
      </c>
      <c r="AR335" t="e">
        <v>#N/A</v>
      </c>
      <c r="AS335" t="e">
        <v>#N/A</v>
      </c>
      <c r="AT335" t="e">
        <v>#N/A</v>
      </c>
      <c r="AU335" t="e">
        <v>#N/A</v>
      </c>
      <c r="AV335" t="e">
        <v>#N/A</v>
      </c>
    </row>
    <row r="336" spans="4:48" ht="15.75" x14ac:dyDescent="0.25">
      <c r="D336" s="3">
        <v>4</v>
      </c>
      <c r="F336" s="16" cm="1">
        <f t="array" ref="F3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36" s="31" cm="1">
        <f t="array" ref="G3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42</v>
      </c>
      <c r="H336" s="33" t="str">
        <f>_xlfn.IFNA(IF(MOD(HLG_02[[#This Row],[Rit]],
    _xlfn.XLOOKUP($G$2,Int_Sample[Ore],Int_Sample[Inc])) = 0, "YES", "NO"),"")</f>
        <v>NO</v>
      </c>
      <c r="I336" s="32" t="str">
        <f>TEXT(HLG_02[[#This Row],[Batch]],"000")&amp; " / " &amp; TEXT(HLG_02[[#This Row],[Rit]],"000")</f>
        <v>005 / 042</v>
      </c>
      <c r="J336" s="34"/>
      <c r="K336" s="38"/>
      <c r="L336" s="35"/>
      <c r="M336" s="66"/>
      <c r="N336" s="66"/>
      <c r="O336" s="66"/>
      <c r="P336" s="66"/>
      <c r="Q336" s="66"/>
      <c r="R336" s="67"/>
      <c r="S336" s="67"/>
      <c r="T336" s="67"/>
      <c r="U336" s="66"/>
      <c r="V336" s="66"/>
      <c r="W336" s="66"/>
      <c r="X336" s="85"/>
      <c r="AP336" t="str">
        <v/>
      </c>
      <c r="AQ336" t="e">
        <v>#N/A</v>
      </c>
      <c r="AR336" t="e">
        <v>#N/A</v>
      </c>
      <c r="AS336" t="e">
        <v>#N/A</v>
      </c>
      <c r="AT336" t="e">
        <v>#N/A</v>
      </c>
      <c r="AU336" t="e">
        <v>#N/A</v>
      </c>
      <c r="AV336" t="e">
        <v>#N/A</v>
      </c>
    </row>
    <row r="337" spans="4:48" ht="15.75" x14ac:dyDescent="0.25">
      <c r="D337" s="3">
        <v>4</v>
      </c>
      <c r="F337" s="16" cm="1">
        <f t="array" ref="F3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37" s="31" cm="1">
        <f t="array" ref="G3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43</v>
      </c>
      <c r="H337" s="33" t="str">
        <f>_xlfn.IFNA(IF(MOD(HLG_02[[#This Row],[Rit]],
    _xlfn.XLOOKUP($G$2,Int_Sample[Ore],Int_Sample[Inc])) = 0, "YES", "NO"),"")</f>
        <v>NO</v>
      </c>
      <c r="I337" s="32" t="str">
        <f>TEXT(HLG_02[[#This Row],[Batch]],"000")&amp; " / " &amp; TEXT(HLG_02[[#This Row],[Rit]],"000")</f>
        <v>005 / 043</v>
      </c>
      <c r="J337" s="34"/>
      <c r="K337" s="38"/>
      <c r="L337" s="35"/>
      <c r="M337" s="66"/>
      <c r="N337" s="66"/>
      <c r="O337" s="66"/>
      <c r="P337" s="66"/>
      <c r="Q337" s="66"/>
      <c r="R337" s="67"/>
      <c r="S337" s="67"/>
      <c r="T337" s="67"/>
      <c r="U337" s="66"/>
      <c r="V337" s="66"/>
      <c r="W337" s="66"/>
      <c r="X337" s="85"/>
      <c r="AP337" t="str">
        <v/>
      </c>
      <c r="AQ337" t="e">
        <v>#N/A</v>
      </c>
      <c r="AR337" t="e">
        <v>#N/A</v>
      </c>
      <c r="AS337" t="e">
        <v>#N/A</v>
      </c>
      <c r="AT337" t="e">
        <v>#N/A</v>
      </c>
      <c r="AU337" t="e">
        <v>#N/A</v>
      </c>
      <c r="AV337" t="e">
        <v>#N/A</v>
      </c>
    </row>
    <row r="338" spans="4:48" ht="15.75" x14ac:dyDescent="0.25">
      <c r="D338" s="3">
        <v>4</v>
      </c>
      <c r="F338" s="16" cm="1">
        <f t="array" ref="F3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38" s="31" cm="1">
        <f t="array" ref="G3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44</v>
      </c>
      <c r="H338" s="33" t="str">
        <f>_xlfn.IFNA(IF(MOD(HLG_02[[#This Row],[Rit]],
    _xlfn.XLOOKUP($G$2,Int_Sample[Ore],Int_Sample[Inc])) = 0, "YES", "NO"),"")</f>
        <v>NO</v>
      </c>
      <c r="I338" s="32" t="str">
        <f>TEXT(HLG_02[[#This Row],[Batch]],"000")&amp; " / " &amp; TEXT(HLG_02[[#This Row],[Rit]],"000")</f>
        <v>005 / 044</v>
      </c>
      <c r="J338" s="34"/>
      <c r="K338" s="38"/>
      <c r="L338" s="35"/>
      <c r="M338" s="66"/>
      <c r="N338" s="66"/>
      <c r="O338" s="66"/>
      <c r="P338" s="66"/>
      <c r="Q338" s="66"/>
      <c r="R338" s="67"/>
      <c r="S338" s="67"/>
      <c r="T338" s="67"/>
      <c r="U338" s="66"/>
      <c r="V338" s="66"/>
      <c r="W338" s="66"/>
      <c r="X338" s="85"/>
      <c r="AP338" t="str">
        <v/>
      </c>
      <c r="AQ338" t="e">
        <v>#N/A</v>
      </c>
      <c r="AR338" t="e">
        <v>#N/A</v>
      </c>
      <c r="AS338" t="e">
        <v>#N/A</v>
      </c>
      <c r="AT338" t="e">
        <v>#N/A</v>
      </c>
      <c r="AU338" t="e">
        <v>#N/A</v>
      </c>
      <c r="AV338" t="e">
        <v>#N/A</v>
      </c>
    </row>
    <row r="339" spans="4:48" ht="15.75" x14ac:dyDescent="0.25">
      <c r="D339" s="3">
        <v>4</v>
      </c>
      <c r="F339" s="16" cm="1">
        <f t="array" ref="F3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39" s="31" cm="1">
        <f t="array" ref="G3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45</v>
      </c>
      <c r="H339" s="33" t="str">
        <f>_xlfn.IFNA(IF(MOD(HLG_02[[#This Row],[Rit]],
    _xlfn.XLOOKUP($G$2,Int_Sample[Ore],Int_Sample[Inc])) = 0, "YES", "NO"),"")</f>
        <v>YES</v>
      </c>
      <c r="I339" s="32" t="str">
        <f>TEXT(HLG_02[[#This Row],[Batch]],"000")&amp; " / " &amp; TEXT(HLG_02[[#This Row],[Rit]],"000")</f>
        <v>005 / 045</v>
      </c>
      <c r="J339" s="34"/>
      <c r="K339" s="38"/>
      <c r="L339" s="35"/>
      <c r="M339" s="66"/>
      <c r="N339" s="66"/>
      <c r="O339" s="66"/>
      <c r="P339" s="66"/>
      <c r="Q339" s="66"/>
      <c r="R339" s="67"/>
      <c r="S339" s="67"/>
      <c r="T339" s="67"/>
      <c r="U339" s="66"/>
      <c r="V339" s="66"/>
      <c r="W339" s="66"/>
      <c r="X339" s="85"/>
      <c r="AP339" t="str">
        <v/>
      </c>
      <c r="AQ339" t="e">
        <v>#N/A</v>
      </c>
      <c r="AR339" t="e">
        <v>#N/A</v>
      </c>
      <c r="AS339" t="e">
        <v>#N/A</v>
      </c>
      <c r="AT339" t="e">
        <v>#N/A</v>
      </c>
      <c r="AU339" t="e">
        <v>#N/A</v>
      </c>
      <c r="AV339" t="e">
        <v>#N/A</v>
      </c>
    </row>
    <row r="340" spans="4:48" ht="15.75" x14ac:dyDescent="0.25">
      <c r="D340" s="3">
        <v>4</v>
      </c>
      <c r="F340" s="16" cm="1">
        <f t="array" ref="F3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40" s="31" cm="1">
        <f t="array" ref="G3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46</v>
      </c>
      <c r="H340" s="33" t="str">
        <f>_xlfn.IFNA(IF(MOD(HLG_02[[#This Row],[Rit]],
    _xlfn.XLOOKUP($G$2,Int_Sample[Ore],Int_Sample[Inc])) = 0, "YES", "NO"),"")</f>
        <v>NO</v>
      </c>
      <c r="I340" s="32" t="str">
        <f>TEXT(HLG_02[[#This Row],[Batch]],"000")&amp; " / " &amp; TEXT(HLG_02[[#This Row],[Rit]],"000")</f>
        <v>005 / 046</v>
      </c>
      <c r="J340" s="34"/>
      <c r="K340" s="38"/>
      <c r="L340" s="35"/>
      <c r="M340" s="66"/>
      <c r="N340" s="66"/>
      <c r="O340" s="66"/>
      <c r="P340" s="66"/>
      <c r="Q340" s="66"/>
      <c r="R340" s="67"/>
      <c r="S340" s="67"/>
      <c r="T340" s="67"/>
      <c r="U340" s="66"/>
      <c r="V340" s="66"/>
      <c r="W340" s="66"/>
      <c r="X340" s="85"/>
      <c r="AP340" t="str">
        <v/>
      </c>
      <c r="AQ340" t="e">
        <v>#N/A</v>
      </c>
      <c r="AR340" t="e">
        <v>#N/A</v>
      </c>
      <c r="AS340" t="e">
        <v>#N/A</v>
      </c>
      <c r="AT340" t="e">
        <v>#N/A</v>
      </c>
      <c r="AU340" t="e">
        <v>#N/A</v>
      </c>
      <c r="AV340" t="e">
        <v>#N/A</v>
      </c>
    </row>
    <row r="341" spans="4:48" ht="15.75" x14ac:dyDescent="0.25">
      <c r="D341" s="3">
        <v>4</v>
      </c>
      <c r="F341" s="16" cm="1">
        <f t="array" ref="F3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41" s="31" cm="1">
        <f t="array" ref="G3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47</v>
      </c>
      <c r="H341" s="33" t="str">
        <f>_xlfn.IFNA(IF(MOD(HLG_02[[#This Row],[Rit]],
    _xlfn.XLOOKUP($G$2,Int_Sample[Ore],Int_Sample[Inc])) = 0, "YES", "NO"),"")</f>
        <v>NO</v>
      </c>
      <c r="I341" s="32" t="str">
        <f>TEXT(HLG_02[[#This Row],[Batch]],"000")&amp; " / " &amp; TEXT(HLG_02[[#This Row],[Rit]],"000")</f>
        <v>005 / 047</v>
      </c>
      <c r="J341" s="34"/>
      <c r="K341" s="38"/>
      <c r="L341" s="35"/>
      <c r="M341" s="66"/>
      <c r="N341" s="66"/>
      <c r="O341" s="66"/>
      <c r="P341" s="66"/>
      <c r="Q341" s="66"/>
      <c r="R341" s="67"/>
      <c r="S341" s="67"/>
      <c r="T341" s="67"/>
      <c r="U341" s="66"/>
      <c r="V341" s="66"/>
      <c r="W341" s="66"/>
      <c r="X341" s="85"/>
      <c r="AP341" t="str">
        <v/>
      </c>
      <c r="AQ341" t="e">
        <v>#N/A</v>
      </c>
      <c r="AR341" t="e">
        <v>#N/A</v>
      </c>
      <c r="AS341" t="e">
        <v>#N/A</v>
      </c>
      <c r="AT341" t="e">
        <v>#N/A</v>
      </c>
      <c r="AU341" t="e">
        <v>#N/A</v>
      </c>
      <c r="AV341" t="e">
        <v>#N/A</v>
      </c>
    </row>
    <row r="342" spans="4:48" ht="15.75" x14ac:dyDescent="0.25">
      <c r="D342" s="3">
        <v>4</v>
      </c>
      <c r="F342" s="16" cm="1">
        <f t="array" ref="F3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42" s="31" cm="1">
        <f t="array" ref="G3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48</v>
      </c>
      <c r="H342" s="33" t="str">
        <f>_xlfn.IFNA(IF(MOD(HLG_02[[#This Row],[Rit]],
    _xlfn.XLOOKUP($G$2,Int_Sample[Ore],Int_Sample[Inc])) = 0, "YES", "NO"),"")</f>
        <v>NO</v>
      </c>
      <c r="I342" s="32" t="str">
        <f>TEXT(HLG_02[[#This Row],[Batch]],"000")&amp; " / " &amp; TEXT(HLG_02[[#This Row],[Rit]],"000")</f>
        <v>005 / 048</v>
      </c>
      <c r="J342" s="34"/>
      <c r="K342" s="38"/>
      <c r="L342" s="35"/>
      <c r="M342" s="66"/>
      <c r="N342" s="66"/>
      <c r="O342" s="66"/>
      <c r="P342" s="66"/>
      <c r="Q342" s="66"/>
      <c r="R342" s="67"/>
      <c r="S342" s="67"/>
      <c r="T342" s="67"/>
      <c r="U342" s="66"/>
      <c r="V342" s="66"/>
      <c r="W342" s="66"/>
      <c r="X342" s="85"/>
      <c r="AP342" t="str">
        <v/>
      </c>
      <c r="AQ342" t="e">
        <v>#N/A</v>
      </c>
      <c r="AR342" t="e">
        <v>#N/A</v>
      </c>
      <c r="AS342" t="e">
        <v>#N/A</v>
      </c>
      <c r="AT342" t="e">
        <v>#N/A</v>
      </c>
      <c r="AU342" t="e">
        <v>#N/A</v>
      </c>
      <c r="AV342" t="e">
        <v>#N/A</v>
      </c>
    </row>
    <row r="343" spans="4:48" ht="15.75" x14ac:dyDescent="0.25">
      <c r="D343" s="3">
        <v>4</v>
      </c>
      <c r="F343" s="16" cm="1">
        <f t="array" ref="F3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43" s="31" cm="1">
        <f t="array" ref="G3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49</v>
      </c>
      <c r="H343" s="33" t="str">
        <f>_xlfn.IFNA(IF(MOD(HLG_02[[#This Row],[Rit]],
    _xlfn.XLOOKUP($G$2,Int_Sample[Ore],Int_Sample[Inc])) = 0, "YES", "NO"),"")</f>
        <v>NO</v>
      </c>
      <c r="I343" s="32" t="str">
        <f>TEXT(HLG_02[[#This Row],[Batch]],"000")&amp; " / " &amp; TEXT(HLG_02[[#This Row],[Rit]],"000")</f>
        <v>005 / 049</v>
      </c>
      <c r="J343" s="34"/>
      <c r="K343" s="38"/>
      <c r="L343" s="35"/>
      <c r="M343" s="66"/>
      <c r="N343" s="66"/>
      <c r="O343" s="66"/>
      <c r="P343" s="66"/>
      <c r="Q343" s="66"/>
      <c r="R343" s="67"/>
      <c r="S343" s="67"/>
      <c r="T343" s="67"/>
      <c r="U343" s="66"/>
      <c r="V343" s="66"/>
      <c r="W343" s="66"/>
      <c r="X343" s="85"/>
      <c r="AP343" t="str">
        <v/>
      </c>
      <c r="AQ343" t="e">
        <v>#N/A</v>
      </c>
      <c r="AR343" t="e">
        <v>#N/A</v>
      </c>
      <c r="AS343" t="e">
        <v>#N/A</v>
      </c>
      <c r="AT343" t="e">
        <v>#N/A</v>
      </c>
      <c r="AU343" t="e">
        <v>#N/A</v>
      </c>
      <c r="AV343" t="e">
        <v>#N/A</v>
      </c>
    </row>
    <row r="344" spans="4:48" ht="15.75" x14ac:dyDescent="0.25">
      <c r="D344" s="3">
        <v>4</v>
      </c>
      <c r="F344" s="16" cm="1">
        <f t="array" ref="F3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44" s="31" cm="1">
        <f t="array" ref="G3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50</v>
      </c>
      <c r="H344" s="33" t="str">
        <f>_xlfn.IFNA(IF(MOD(HLG_02[[#This Row],[Rit]],
    _xlfn.XLOOKUP($G$2,Int_Sample[Ore],Int_Sample[Inc])) = 0, "YES", "NO"),"")</f>
        <v>YES</v>
      </c>
      <c r="I344" s="32" t="str">
        <f>TEXT(HLG_02[[#This Row],[Batch]],"000")&amp; " / " &amp; TEXT(HLG_02[[#This Row],[Rit]],"000")</f>
        <v>005 / 050</v>
      </c>
      <c r="J344" s="34"/>
      <c r="K344" s="38"/>
      <c r="L344" s="35"/>
      <c r="M344" s="66"/>
      <c r="N344" s="66"/>
      <c r="O344" s="66"/>
      <c r="P344" s="66"/>
      <c r="Q344" s="66"/>
      <c r="R344" s="67"/>
      <c r="S344" s="67"/>
      <c r="T344" s="67"/>
      <c r="U344" s="66"/>
      <c r="V344" s="66"/>
      <c r="W344" s="66"/>
      <c r="X344" s="85"/>
      <c r="AP344" t="str">
        <v/>
      </c>
      <c r="AQ344" t="e">
        <v>#N/A</v>
      </c>
      <c r="AR344" t="e">
        <v>#N/A</v>
      </c>
      <c r="AS344" t="e">
        <v>#N/A</v>
      </c>
      <c r="AT344" t="e">
        <v>#N/A</v>
      </c>
      <c r="AU344" t="e">
        <v>#N/A</v>
      </c>
      <c r="AV344" t="e">
        <v>#N/A</v>
      </c>
    </row>
    <row r="345" spans="4:48" ht="15.75" x14ac:dyDescent="0.25">
      <c r="D345" s="3">
        <v>4</v>
      </c>
      <c r="F345" s="16" cm="1">
        <f t="array" ref="F3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45" s="31" cm="1">
        <f t="array" ref="G3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51</v>
      </c>
      <c r="H345" s="33" t="str">
        <f>_xlfn.IFNA(IF(MOD(HLG_02[[#This Row],[Rit]],
    _xlfn.XLOOKUP($G$2,Int_Sample[Ore],Int_Sample[Inc])) = 0, "YES", "NO"),"")</f>
        <v>NO</v>
      </c>
      <c r="I345" s="32" t="str">
        <f>TEXT(HLG_02[[#This Row],[Batch]],"000")&amp; " / " &amp; TEXT(HLG_02[[#This Row],[Rit]],"000")</f>
        <v>005 / 051</v>
      </c>
      <c r="J345" s="34"/>
      <c r="K345" s="38"/>
      <c r="L345" s="35"/>
      <c r="M345" s="66"/>
      <c r="N345" s="66"/>
      <c r="O345" s="66"/>
      <c r="P345" s="66"/>
      <c r="Q345" s="66"/>
      <c r="R345" s="67"/>
      <c r="S345" s="67"/>
      <c r="T345" s="67"/>
      <c r="U345" s="66"/>
      <c r="V345" s="66"/>
      <c r="W345" s="66"/>
      <c r="X345" s="85"/>
      <c r="AP345" t="str">
        <v/>
      </c>
      <c r="AQ345" t="e">
        <v>#N/A</v>
      </c>
      <c r="AR345" t="e">
        <v>#N/A</v>
      </c>
      <c r="AS345" t="e">
        <v>#N/A</v>
      </c>
      <c r="AT345" t="e">
        <v>#N/A</v>
      </c>
      <c r="AU345" t="e">
        <v>#N/A</v>
      </c>
      <c r="AV345" t="e">
        <v>#N/A</v>
      </c>
    </row>
    <row r="346" spans="4:48" ht="15.75" x14ac:dyDescent="0.25">
      <c r="D346" s="3">
        <v>4</v>
      </c>
      <c r="F346" s="16" cm="1">
        <f t="array" ref="F3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46" s="31" cm="1">
        <f t="array" ref="G3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52</v>
      </c>
      <c r="H346" s="33" t="str">
        <f>_xlfn.IFNA(IF(MOD(HLG_02[[#This Row],[Rit]],
    _xlfn.XLOOKUP($G$2,Int_Sample[Ore],Int_Sample[Inc])) = 0, "YES", "NO"),"")</f>
        <v>NO</v>
      </c>
      <c r="I346" s="32" t="str">
        <f>TEXT(HLG_02[[#This Row],[Batch]],"000")&amp; " / " &amp; TEXT(HLG_02[[#This Row],[Rit]],"000")</f>
        <v>005 / 052</v>
      </c>
      <c r="J346" s="34"/>
      <c r="K346" s="38"/>
      <c r="L346" s="35"/>
      <c r="M346" s="66"/>
      <c r="N346" s="66"/>
      <c r="O346" s="66"/>
      <c r="P346" s="66"/>
      <c r="Q346" s="66"/>
      <c r="R346" s="67"/>
      <c r="S346" s="67"/>
      <c r="T346" s="67"/>
      <c r="U346" s="66"/>
      <c r="V346" s="66"/>
      <c r="W346" s="66"/>
      <c r="X346" s="85"/>
      <c r="AP346" t="str">
        <v/>
      </c>
      <c r="AQ346" t="e">
        <v>#N/A</v>
      </c>
      <c r="AR346" t="e">
        <v>#N/A</v>
      </c>
      <c r="AS346" t="e">
        <v>#N/A</v>
      </c>
      <c r="AT346" t="e">
        <v>#N/A</v>
      </c>
      <c r="AU346" t="e">
        <v>#N/A</v>
      </c>
      <c r="AV346" t="e">
        <v>#N/A</v>
      </c>
    </row>
    <row r="347" spans="4:48" ht="15.75" x14ac:dyDescent="0.25">
      <c r="D347" s="3">
        <v>4</v>
      </c>
      <c r="F347" s="16" cm="1">
        <f t="array" ref="F3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47" s="31" cm="1">
        <f t="array" ref="G3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53</v>
      </c>
      <c r="H347" s="33" t="str">
        <f>_xlfn.IFNA(IF(MOD(HLG_02[[#This Row],[Rit]],
    _xlfn.XLOOKUP($G$2,Int_Sample[Ore],Int_Sample[Inc])) = 0, "YES", "NO"),"")</f>
        <v>NO</v>
      </c>
      <c r="I347" s="32" t="str">
        <f>TEXT(HLG_02[[#This Row],[Batch]],"000")&amp; " / " &amp; TEXT(HLG_02[[#This Row],[Rit]],"000")</f>
        <v>005 / 053</v>
      </c>
      <c r="J347" s="34"/>
      <c r="K347" s="38"/>
      <c r="L347" s="35"/>
      <c r="M347" s="66"/>
      <c r="N347" s="66"/>
      <c r="O347" s="66"/>
      <c r="P347" s="66"/>
      <c r="Q347" s="66"/>
      <c r="R347" s="67"/>
      <c r="S347" s="67"/>
      <c r="T347" s="67"/>
      <c r="U347" s="66"/>
      <c r="V347" s="66"/>
      <c r="W347" s="66"/>
      <c r="X347" s="85"/>
      <c r="AP347" t="str">
        <v/>
      </c>
      <c r="AQ347" t="e">
        <v>#N/A</v>
      </c>
      <c r="AR347" t="e">
        <v>#N/A</v>
      </c>
      <c r="AS347" t="e">
        <v>#N/A</v>
      </c>
      <c r="AT347" t="e">
        <v>#N/A</v>
      </c>
      <c r="AU347" t="e">
        <v>#N/A</v>
      </c>
      <c r="AV347" t="e">
        <v>#N/A</v>
      </c>
    </row>
    <row r="348" spans="4:48" ht="15.75" x14ac:dyDescent="0.25">
      <c r="D348" s="3">
        <v>4</v>
      </c>
      <c r="F348" s="16" cm="1">
        <f t="array" ref="F3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48" s="31" cm="1">
        <f t="array" ref="G3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54</v>
      </c>
      <c r="H348" s="33" t="str">
        <f>_xlfn.IFNA(IF(MOD(HLG_02[[#This Row],[Rit]],
    _xlfn.XLOOKUP($G$2,Int_Sample[Ore],Int_Sample[Inc])) = 0, "YES", "NO"),"")</f>
        <v>NO</v>
      </c>
      <c r="I348" s="32" t="str">
        <f>TEXT(HLG_02[[#This Row],[Batch]],"000")&amp; " / " &amp; TEXT(HLG_02[[#This Row],[Rit]],"000")</f>
        <v>005 / 054</v>
      </c>
      <c r="J348" s="34"/>
      <c r="K348" s="38"/>
      <c r="L348" s="35"/>
      <c r="M348" s="66"/>
      <c r="N348" s="66"/>
      <c r="O348" s="66"/>
      <c r="P348" s="66"/>
      <c r="Q348" s="66"/>
      <c r="R348" s="67"/>
      <c r="S348" s="67"/>
      <c r="T348" s="67"/>
      <c r="U348" s="66"/>
      <c r="V348" s="66"/>
      <c r="W348" s="66"/>
      <c r="X348" s="85"/>
      <c r="AP348" t="str">
        <v/>
      </c>
      <c r="AQ348" t="e">
        <v>#N/A</v>
      </c>
      <c r="AR348" t="e">
        <v>#N/A</v>
      </c>
      <c r="AS348" t="e">
        <v>#N/A</v>
      </c>
      <c r="AT348" t="e">
        <v>#N/A</v>
      </c>
      <c r="AU348" t="e">
        <v>#N/A</v>
      </c>
      <c r="AV348" t="e">
        <v>#N/A</v>
      </c>
    </row>
    <row r="349" spans="4:48" ht="15.75" x14ac:dyDescent="0.25">
      <c r="D349" s="3">
        <v>4</v>
      </c>
      <c r="F349" s="16" cm="1">
        <f t="array" ref="F3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49" s="31" cm="1">
        <f t="array" ref="G3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55</v>
      </c>
      <c r="H349" s="33" t="str">
        <f>_xlfn.IFNA(IF(MOD(HLG_02[[#This Row],[Rit]],
    _xlfn.XLOOKUP($G$2,Int_Sample[Ore],Int_Sample[Inc])) = 0, "YES", "NO"),"")</f>
        <v>YES</v>
      </c>
      <c r="I349" s="32" t="str">
        <f>TEXT(HLG_02[[#This Row],[Batch]],"000")&amp; " / " &amp; TEXT(HLG_02[[#This Row],[Rit]],"000")</f>
        <v>005 / 055</v>
      </c>
      <c r="J349" s="34"/>
      <c r="K349" s="38"/>
      <c r="L349" s="35"/>
      <c r="M349" s="66"/>
      <c r="N349" s="66"/>
      <c r="O349" s="66"/>
      <c r="P349" s="66"/>
      <c r="Q349" s="66"/>
      <c r="R349" s="67"/>
      <c r="S349" s="67"/>
      <c r="T349" s="67"/>
      <c r="U349" s="66"/>
      <c r="V349" s="66"/>
      <c r="W349" s="66"/>
      <c r="X349" s="85"/>
      <c r="AP349" t="str">
        <v/>
      </c>
      <c r="AQ349" t="e">
        <v>#N/A</v>
      </c>
      <c r="AR349" t="e">
        <v>#N/A</v>
      </c>
      <c r="AS349" t="e">
        <v>#N/A</v>
      </c>
      <c r="AT349" t="e">
        <v>#N/A</v>
      </c>
      <c r="AU349" t="e">
        <v>#N/A</v>
      </c>
      <c r="AV349" t="e">
        <v>#N/A</v>
      </c>
    </row>
    <row r="350" spans="4:48" ht="15.75" x14ac:dyDescent="0.25">
      <c r="D350" s="3">
        <v>4</v>
      </c>
      <c r="F350" s="16" cm="1">
        <f t="array" ref="F3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50" s="31" cm="1">
        <f t="array" ref="G3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56</v>
      </c>
      <c r="H350" s="33" t="str">
        <f>_xlfn.IFNA(IF(MOD(HLG_02[[#This Row],[Rit]],
    _xlfn.XLOOKUP($G$2,Int_Sample[Ore],Int_Sample[Inc])) = 0, "YES", "NO"),"")</f>
        <v>NO</v>
      </c>
      <c r="I350" s="32" t="str">
        <f>TEXT(HLG_02[[#This Row],[Batch]],"000")&amp; " / " &amp; TEXT(HLG_02[[#This Row],[Rit]],"000")</f>
        <v>005 / 056</v>
      </c>
      <c r="J350" s="34"/>
      <c r="K350" s="38"/>
      <c r="L350" s="35"/>
      <c r="M350" s="66"/>
      <c r="N350" s="66"/>
      <c r="O350" s="66"/>
      <c r="P350" s="66"/>
      <c r="Q350" s="66"/>
      <c r="R350" s="67"/>
      <c r="S350" s="67"/>
      <c r="T350" s="67"/>
      <c r="U350" s="66"/>
      <c r="V350" s="66"/>
      <c r="W350" s="66"/>
      <c r="X350" s="85"/>
      <c r="AP350" t="str">
        <v/>
      </c>
      <c r="AQ350" t="e">
        <v>#N/A</v>
      </c>
      <c r="AR350" t="e">
        <v>#N/A</v>
      </c>
      <c r="AS350" t="e">
        <v>#N/A</v>
      </c>
      <c r="AT350" t="e">
        <v>#N/A</v>
      </c>
      <c r="AU350" t="e">
        <v>#N/A</v>
      </c>
      <c r="AV350" t="e">
        <v>#N/A</v>
      </c>
    </row>
    <row r="351" spans="4:48" ht="15.75" x14ac:dyDescent="0.25">
      <c r="D351" s="3">
        <v>4</v>
      </c>
      <c r="F351" s="16" cm="1">
        <f t="array" ref="F3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51" s="31" cm="1">
        <f t="array" ref="G3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57</v>
      </c>
      <c r="H351" s="33" t="str">
        <f>_xlfn.IFNA(IF(MOD(HLG_02[[#This Row],[Rit]],
    _xlfn.XLOOKUP($G$2,Int_Sample[Ore],Int_Sample[Inc])) = 0, "YES", "NO"),"")</f>
        <v>NO</v>
      </c>
      <c r="I351" s="32" t="str">
        <f>TEXT(HLG_02[[#This Row],[Batch]],"000")&amp; " / " &amp; TEXT(HLG_02[[#This Row],[Rit]],"000")</f>
        <v>005 / 057</v>
      </c>
      <c r="J351" s="34"/>
      <c r="K351" s="38"/>
      <c r="L351" s="35"/>
      <c r="M351" s="66"/>
      <c r="N351" s="66"/>
      <c r="O351" s="66"/>
      <c r="P351" s="66"/>
      <c r="Q351" s="66"/>
      <c r="R351" s="67"/>
      <c r="S351" s="67"/>
      <c r="T351" s="67"/>
      <c r="U351" s="66"/>
      <c r="V351" s="66"/>
      <c r="W351" s="66"/>
      <c r="X351" s="85"/>
      <c r="AP351" t="str">
        <v/>
      </c>
      <c r="AQ351" t="e">
        <v>#N/A</v>
      </c>
      <c r="AR351" t="e">
        <v>#N/A</v>
      </c>
      <c r="AS351" t="e">
        <v>#N/A</v>
      </c>
      <c r="AT351" t="e">
        <v>#N/A</v>
      </c>
      <c r="AU351" t="e">
        <v>#N/A</v>
      </c>
      <c r="AV351" t="e">
        <v>#N/A</v>
      </c>
    </row>
    <row r="352" spans="4:48" ht="15.75" x14ac:dyDescent="0.25">
      <c r="D352" s="3">
        <v>4</v>
      </c>
      <c r="F352" s="16" cm="1">
        <f t="array" ref="F3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52" s="31" cm="1">
        <f t="array" ref="G3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58</v>
      </c>
      <c r="H352" s="33" t="str">
        <f>_xlfn.IFNA(IF(MOD(HLG_02[[#This Row],[Rit]],
    _xlfn.XLOOKUP($G$2,Int_Sample[Ore],Int_Sample[Inc])) = 0, "YES", "NO"),"")</f>
        <v>NO</v>
      </c>
      <c r="I352" s="32" t="str">
        <f>TEXT(HLG_02[[#This Row],[Batch]],"000")&amp; " / " &amp; TEXT(HLG_02[[#This Row],[Rit]],"000")</f>
        <v>005 / 058</v>
      </c>
      <c r="J352" s="34"/>
      <c r="K352" s="38"/>
      <c r="L352" s="35"/>
      <c r="M352" s="66"/>
      <c r="N352" s="66"/>
      <c r="O352" s="66"/>
      <c r="P352" s="66"/>
      <c r="Q352" s="66"/>
      <c r="R352" s="67"/>
      <c r="S352" s="67"/>
      <c r="T352" s="67"/>
      <c r="U352" s="66"/>
      <c r="V352" s="66"/>
      <c r="W352" s="66"/>
      <c r="X352" s="85"/>
      <c r="AP352" t="str">
        <v/>
      </c>
      <c r="AQ352" t="e">
        <v>#N/A</v>
      </c>
      <c r="AR352" t="e">
        <v>#N/A</v>
      </c>
      <c r="AS352" t="e">
        <v>#N/A</v>
      </c>
      <c r="AT352" t="e">
        <v>#N/A</v>
      </c>
      <c r="AU352" t="e">
        <v>#N/A</v>
      </c>
      <c r="AV352" t="e">
        <v>#N/A</v>
      </c>
    </row>
    <row r="353" spans="4:48" ht="15.75" x14ac:dyDescent="0.25">
      <c r="D353" s="3">
        <v>4</v>
      </c>
      <c r="F353" s="16" cm="1">
        <f t="array" ref="F3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53" s="31" cm="1">
        <f t="array" ref="G3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59</v>
      </c>
      <c r="H353" s="33" t="str">
        <f>_xlfn.IFNA(IF(MOD(HLG_02[[#This Row],[Rit]],
    _xlfn.XLOOKUP($G$2,Int_Sample[Ore],Int_Sample[Inc])) = 0, "YES", "NO"),"")</f>
        <v>NO</v>
      </c>
      <c r="I353" s="32" t="str">
        <f>TEXT(HLG_02[[#This Row],[Batch]],"000")&amp; " / " &amp; TEXT(HLG_02[[#This Row],[Rit]],"000")</f>
        <v>005 / 059</v>
      </c>
      <c r="J353" s="34"/>
      <c r="K353" s="38"/>
      <c r="L353" s="35"/>
      <c r="M353" s="66"/>
      <c r="N353" s="66"/>
      <c r="O353" s="66"/>
      <c r="P353" s="66"/>
      <c r="Q353" s="66"/>
      <c r="R353" s="67"/>
      <c r="S353" s="67"/>
      <c r="T353" s="67"/>
      <c r="U353" s="66"/>
      <c r="V353" s="66"/>
      <c r="W353" s="66"/>
      <c r="X353" s="85"/>
      <c r="AP353" t="str">
        <v/>
      </c>
      <c r="AQ353" t="e">
        <v>#N/A</v>
      </c>
      <c r="AR353" t="e">
        <v>#N/A</v>
      </c>
      <c r="AS353" t="e">
        <v>#N/A</v>
      </c>
      <c r="AT353" t="e">
        <v>#N/A</v>
      </c>
      <c r="AU353" t="e">
        <v>#N/A</v>
      </c>
      <c r="AV353" t="e">
        <v>#N/A</v>
      </c>
    </row>
    <row r="354" spans="4:48" ht="15.75" x14ac:dyDescent="0.25">
      <c r="D354" s="3">
        <v>4</v>
      </c>
      <c r="F354" s="16" cm="1">
        <f t="array" ref="F3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54" s="31" cm="1">
        <f t="array" ref="G3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60</v>
      </c>
      <c r="H354" s="33" t="str">
        <f>_xlfn.IFNA(IF(MOD(HLG_02[[#This Row],[Rit]],
    _xlfn.XLOOKUP($G$2,Int_Sample[Ore],Int_Sample[Inc])) = 0, "YES", "NO"),"")</f>
        <v>YES</v>
      </c>
      <c r="I354" s="32" t="str">
        <f>TEXT(HLG_02[[#This Row],[Batch]],"000")&amp; " / " &amp; TEXT(HLG_02[[#This Row],[Rit]],"000")</f>
        <v>005 / 060</v>
      </c>
      <c r="J354" s="34"/>
      <c r="K354" s="38"/>
      <c r="L354" s="35"/>
      <c r="M354" s="66"/>
      <c r="N354" s="66"/>
      <c r="O354" s="66"/>
      <c r="P354" s="66"/>
      <c r="Q354" s="66"/>
      <c r="R354" s="67"/>
      <c r="S354" s="67"/>
      <c r="T354" s="67"/>
      <c r="U354" s="66"/>
      <c r="V354" s="66"/>
      <c r="W354" s="66"/>
      <c r="X354" s="85"/>
      <c r="AP354" t="str">
        <v/>
      </c>
      <c r="AQ354" t="e">
        <v>#N/A</v>
      </c>
      <c r="AR354" t="e">
        <v>#N/A</v>
      </c>
      <c r="AS354" t="e">
        <v>#N/A</v>
      </c>
      <c r="AT354" t="e">
        <v>#N/A</v>
      </c>
      <c r="AU354" t="e">
        <v>#N/A</v>
      </c>
      <c r="AV354" t="e">
        <v>#N/A</v>
      </c>
    </row>
    <row r="355" spans="4:48" ht="15.75" x14ac:dyDescent="0.25">
      <c r="D355" s="3">
        <v>4</v>
      </c>
      <c r="F355" s="16" cm="1">
        <f t="array" ref="F3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55" s="31" cm="1">
        <f t="array" ref="G3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61</v>
      </c>
      <c r="H355" s="33" t="str">
        <f>_xlfn.IFNA(IF(MOD(HLG_02[[#This Row],[Rit]],
    _xlfn.XLOOKUP($G$2,Int_Sample[Ore],Int_Sample[Inc])) = 0, "YES", "NO"),"")</f>
        <v>NO</v>
      </c>
      <c r="I355" s="32" t="str">
        <f>TEXT(HLG_02[[#This Row],[Batch]],"000")&amp; " / " &amp; TEXT(HLG_02[[#This Row],[Rit]],"000")</f>
        <v>005 / 061</v>
      </c>
      <c r="J355" s="34"/>
      <c r="K355" s="38"/>
      <c r="L355" s="35"/>
      <c r="M355" s="66"/>
      <c r="N355" s="66"/>
      <c r="O355" s="66"/>
      <c r="P355" s="66"/>
      <c r="Q355" s="66"/>
      <c r="R355" s="67"/>
      <c r="S355" s="67"/>
      <c r="T355" s="67"/>
      <c r="U355" s="66"/>
      <c r="V355" s="66"/>
      <c r="W355" s="66"/>
      <c r="X355" s="85"/>
      <c r="AP355" t="str">
        <v/>
      </c>
      <c r="AQ355" t="e">
        <v>#N/A</v>
      </c>
      <c r="AR355" t="e">
        <v>#N/A</v>
      </c>
      <c r="AS355" t="e">
        <v>#N/A</v>
      </c>
      <c r="AT355" t="e">
        <v>#N/A</v>
      </c>
      <c r="AU355" t="e">
        <v>#N/A</v>
      </c>
      <c r="AV355" t="e">
        <v>#N/A</v>
      </c>
    </row>
    <row r="356" spans="4:48" ht="15.75" x14ac:dyDescent="0.25">
      <c r="D356" s="3">
        <v>4</v>
      </c>
      <c r="F356" s="16" cm="1">
        <f t="array" ref="F3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56" s="31" cm="1">
        <f t="array" ref="G3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62</v>
      </c>
      <c r="H356" s="33" t="str">
        <f>_xlfn.IFNA(IF(MOD(HLG_02[[#This Row],[Rit]],
    _xlfn.XLOOKUP($G$2,Int_Sample[Ore],Int_Sample[Inc])) = 0, "YES", "NO"),"")</f>
        <v>NO</v>
      </c>
      <c r="I356" s="32" t="str">
        <f>TEXT(HLG_02[[#This Row],[Batch]],"000")&amp; " / " &amp; TEXT(HLG_02[[#This Row],[Rit]],"000")</f>
        <v>005 / 062</v>
      </c>
      <c r="J356" s="34"/>
      <c r="K356" s="38"/>
      <c r="L356" s="35"/>
      <c r="M356" s="66"/>
      <c r="N356" s="66"/>
      <c r="O356" s="66"/>
      <c r="P356" s="66"/>
      <c r="Q356" s="66"/>
      <c r="R356" s="67"/>
      <c r="S356" s="67"/>
      <c r="T356" s="67"/>
      <c r="U356" s="66"/>
      <c r="V356" s="66"/>
      <c r="W356" s="66"/>
      <c r="X356" s="85"/>
      <c r="AP356" t="str">
        <v/>
      </c>
      <c r="AQ356" t="e">
        <v>#N/A</v>
      </c>
      <c r="AR356" t="e">
        <v>#N/A</v>
      </c>
      <c r="AS356" t="e">
        <v>#N/A</v>
      </c>
      <c r="AT356" t="e">
        <v>#N/A</v>
      </c>
      <c r="AU356" t="e">
        <v>#N/A</v>
      </c>
      <c r="AV356" t="e">
        <v>#N/A</v>
      </c>
    </row>
    <row r="357" spans="4:48" ht="15.75" x14ac:dyDescent="0.25">
      <c r="D357" s="3">
        <v>4</v>
      </c>
      <c r="F357" s="16" cm="1">
        <f t="array" ref="F3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57" s="31" cm="1">
        <f t="array" ref="G3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63</v>
      </c>
      <c r="H357" s="33" t="str">
        <f>_xlfn.IFNA(IF(MOD(HLG_02[[#This Row],[Rit]],
    _xlfn.XLOOKUP($G$2,Int_Sample[Ore],Int_Sample[Inc])) = 0, "YES", "NO"),"")</f>
        <v>NO</v>
      </c>
      <c r="I357" s="32" t="str">
        <f>TEXT(HLG_02[[#This Row],[Batch]],"000")&amp; " / " &amp; TEXT(HLG_02[[#This Row],[Rit]],"000")</f>
        <v>005 / 063</v>
      </c>
      <c r="J357" s="34"/>
      <c r="K357" s="38"/>
      <c r="L357" s="35"/>
      <c r="M357" s="66"/>
      <c r="N357" s="66"/>
      <c r="O357" s="66"/>
      <c r="P357" s="66"/>
      <c r="Q357" s="66"/>
      <c r="R357" s="67"/>
      <c r="S357" s="67"/>
      <c r="T357" s="67"/>
      <c r="U357" s="66"/>
      <c r="V357" s="66"/>
      <c r="W357" s="66"/>
      <c r="X357" s="85"/>
      <c r="AP357" t="str">
        <v/>
      </c>
      <c r="AQ357" t="e">
        <v>#N/A</v>
      </c>
      <c r="AR357" t="e">
        <v>#N/A</v>
      </c>
      <c r="AS357" t="e">
        <v>#N/A</v>
      </c>
      <c r="AT357" t="e">
        <v>#N/A</v>
      </c>
      <c r="AU357" t="e">
        <v>#N/A</v>
      </c>
      <c r="AV357" t="e">
        <v>#N/A</v>
      </c>
    </row>
    <row r="358" spans="4:48" ht="15.75" x14ac:dyDescent="0.25">
      <c r="D358" s="3">
        <v>4</v>
      </c>
      <c r="F358" s="16" cm="1">
        <f t="array" ref="F3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58" s="31" cm="1">
        <f t="array" ref="G3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64</v>
      </c>
      <c r="H358" s="33" t="str">
        <f>_xlfn.IFNA(IF(MOD(HLG_02[[#This Row],[Rit]],
    _xlfn.XLOOKUP($G$2,Int_Sample[Ore],Int_Sample[Inc])) = 0, "YES", "NO"),"")</f>
        <v>NO</v>
      </c>
      <c r="I358" s="32" t="str">
        <f>TEXT(HLG_02[[#This Row],[Batch]],"000")&amp; " / " &amp; TEXT(HLG_02[[#This Row],[Rit]],"000")</f>
        <v>005 / 064</v>
      </c>
      <c r="J358" s="34"/>
      <c r="K358" s="38"/>
      <c r="L358" s="35"/>
      <c r="M358" s="66"/>
      <c r="N358" s="66"/>
      <c r="O358" s="66"/>
      <c r="P358" s="66"/>
      <c r="Q358" s="66"/>
      <c r="R358" s="67"/>
      <c r="S358" s="67"/>
      <c r="T358" s="67"/>
      <c r="U358" s="66"/>
      <c r="V358" s="66"/>
      <c r="W358" s="66"/>
      <c r="X358" s="85"/>
      <c r="AP358" t="str">
        <v/>
      </c>
      <c r="AQ358" t="e">
        <v>#N/A</v>
      </c>
      <c r="AR358" t="e">
        <v>#N/A</v>
      </c>
      <c r="AS358" t="e">
        <v>#N/A</v>
      </c>
      <c r="AT358" t="e">
        <v>#N/A</v>
      </c>
      <c r="AU358" t="e">
        <v>#N/A</v>
      </c>
      <c r="AV358" t="e">
        <v>#N/A</v>
      </c>
    </row>
    <row r="359" spans="4:48" ht="15.75" x14ac:dyDescent="0.25">
      <c r="D359" s="3">
        <v>4</v>
      </c>
      <c r="F359" s="16" cm="1">
        <f t="array" ref="F3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59" s="31" cm="1">
        <f t="array" ref="G3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65</v>
      </c>
      <c r="H359" s="33" t="str">
        <f>_xlfn.IFNA(IF(MOD(HLG_02[[#This Row],[Rit]],
    _xlfn.XLOOKUP($G$2,Int_Sample[Ore],Int_Sample[Inc])) = 0, "YES", "NO"),"")</f>
        <v>YES</v>
      </c>
      <c r="I359" s="32" t="str">
        <f>TEXT(HLG_02[[#This Row],[Batch]],"000")&amp; " / " &amp; TEXT(HLG_02[[#This Row],[Rit]],"000")</f>
        <v>005 / 065</v>
      </c>
      <c r="J359" s="34"/>
      <c r="K359" s="38"/>
      <c r="L359" s="35"/>
      <c r="M359" s="66"/>
      <c r="N359" s="66"/>
      <c r="O359" s="66"/>
      <c r="P359" s="66"/>
      <c r="Q359" s="66"/>
      <c r="R359" s="67"/>
      <c r="S359" s="67"/>
      <c r="T359" s="67"/>
      <c r="U359" s="66"/>
      <c r="V359" s="66"/>
      <c r="W359" s="66"/>
      <c r="X359" s="85"/>
      <c r="AP359" t="str">
        <v/>
      </c>
      <c r="AQ359" t="e">
        <v>#N/A</v>
      </c>
      <c r="AR359" t="e">
        <v>#N/A</v>
      </c>
      <c r="AS359" t="e">
        <v>#N/A</v>
      </c>
      <c r="AT359" t="e">
        <v>#N/A</v>
      </c>
      <c r="AU359" t="e">
        <v>#N/A</v>
      </c>
      <c r="AV359" t="e">
        <v>#N/A</v>
      </c>
    </row>
    <row r="360" spans="4:48" ht="15.75" x14ac:dyDescent="0.25">
      <c r="D360" s="3">
        <v>4</v>
      </c>
      <c r="F360" s="16" cm="1">
        <f t="array" ref="F3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60" s="31" cm="1">
        <f t="array" ref="G3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66</v>
      </c>
      <c r="H360" s="33" t="str">
        <f>_xlfn.IFNA(IF(MOD(HLG_02[[#This Row],[Rit]],
    _xlfn.XLOOKUP($G$2,Int_Sample[Ore],Int_Sample[Inc])) = 0, "YES", "NO"),"")</f>
        <v>NO</v>
      </c>
      <c r="I360" s="32" t="str">
        <f>TEXT(HLG_02[[#This Row],[Batch]],"000")&amp; " / " &amp; TEXT(HLG_02[[#This Row],[Rit]],"000")</f>
        <v>005 / 066</v>
      </c>
      <c r="J360" s="34"/>
      <c r="K360" s="38"/>
      <c r="L360" s="35"/>
      <c r="M360" s="66"/>
      <c r="N360" s="66"/>
      <c r="O360" s="66"/>
      <c r="P360" s="66"/>
      <c r="Q360" s="66"/>
      <c r="R360" s="67"/>
      <c r="S360" s="67"/>
      <c r="T360" s="67"/>
      <c r="U360" s="66"/>
      <c r="V360" s="66"/>
      <c r="W360" s="66"/>
      <c r="X360" s="85"/>
      <c r="AP360" t="str">
        <v/>
      </c>
      <c r="AQ360" t="e">
        <v>#N/A</v>
      </c>
      <c r="AR360" t="e">
        <v>#N/A</v>
      </c>
      <c r="AS360" t="e">
        <v>#N/A</v>
      </c>
      <c r="AT360" t="e">
        <v>#N/A</v>
      </c>
      <c r="AU360" t="e">
        <v>#N/A</v>
      </c>
      <c r="AV360" t="e">
        <v>#N/A</v>
      </c>
    </row>
    <row r="361" spans="4:48" ht="15.75" x14ac:dyDescent="0.25">
      <c r="D361" s="3">
        <v>4</v>
      </c>
      <c r="F361" s="16" cm="1">
        <f t="array" ref="F3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61" s="31" cm="1">
        <f t="array" ref="G3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67</v>
      </c>
      <c r="H361" s="33" t="str">
        <f>_xlfn.IFNA(IF(MOD(HLG_02[[#This Row],[Rit]],
    _xlfn.XLOOKUP($G$2,Int_Sample[Ore],Int_Sample[Inc])) = 0, "YES", "NO"),"")</f>
        <v>NO</v>
      </c>
      <c r="I361" s="32" t="str">
        <f>TEXT(HLG_02[[#This Row],[Batch]],"000")&amp; " / " &amp; TEXT(HLG_02[[#This Row],[Rit]],"000")</f>
        <v>005 / 067</v>
      </c>
      <c r="J361" s="34"/>
      <c r="K361" s="38"/>
      <c r="L361" s="35"/>
      <c r="M361" s="66"/>
      <c r="N361" s="66"/>
      <c r="O361" s="66"/>
      <c r="P361" s="66"/>
      <c r="Q361" s="66"/>
      <c r="R361" s="67"/>
      <c r="S361" s="67"/>
      <c r="T361" s="67"/>
      <c r="U361" s="66"/>
      <c r="V361" s="66"/>
      <c r="W361" s="66"/>
      <c r="X361" s="85"/>
      <c r="AP361" t="str">
        <v/>
      </c>
      <c r="AQ361" t="e">
        <v>#N/A</v>
      </c>
      <c r="AR361" t="e">
        <v>#N/A</v>
      </c>
      <c r="AS361" t="e">
        <v>#N/A</v>
      </c>
      <c r="AT361" t="e">
        <v>#N/A</v>
      </c>
      <c r="AU361" t="e">
        <v>#N/A</v>
      </c>
      <c r="AV361" t="e">
        <v>#N/A</v>
      </c>
    </row>
    <row r="362" spans="4:48" ht="15.75" x14ac:dyDescent="0.25">
      <c r="D362" s="3">
        <v>4</v>
      </c>
      <c r="F362" s="16" cm="1">
        <f t="array" ref="F3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62" s="31" cm="1">
        <f t="array" ref="G3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68</v>
      </c>
      <c r="H362" s="33" t="str">
        <f>_xlfn.IFNA(IF(MOD(HLG_02[[#This Row],[Rit]],
    _xlfn.XLOOKUP($G$2,Int_Sample[Ore],Int_Sample[Inc])) = 0, "YES", "NO"),"")</f>
        <v>NO</v>
      </c>
      <c r="I362" s="32" t="str">
        <f>TEXT(HLG_02[[#This Row],[Batch]],"000")&amp; " / " &amp; TEXT(HLG_02[[#This Row],[Rit]],"000")</f>
        <v>005 / 068</v>
      </c>
      <c r="J362" s="34"/>
      <c r="K362" s="38"/>
      <c r="L362" s="35"/>
      <c r="M362" s="66"/>
      <c r="N362" s="66"/>
      <c r="O362" s="66"/>
      <c r="P362" s="66"/>
      <c r="Q362" s="66"/>
      <c r="R362" s="67"/>
      <c r="S362" s="67"/>
      <c r="T362" s="67"/>
      <c r="U362" s="66"/>
      <c r="V362" s="66"/>
      <c r="W362" s="66"/>
      <c r="X362" s="85"/>
      <c r="AP362" t="str">
        <v/>
      </c>
      <c r="AQ362" t="e">
        <v>#N/A</v>
      </c>
      <c r="AR362" t="e">
        <v>#N/A</v>
      </c>
      <c r="AS362" t="e">
        <v>#N/A</v>
      </c>
      <c r="AT362" t="e">
        <v>#N/A</v>
      </c>
      <c r="AU362" t="e">
        <v>#N/A</v>
      </c>
      <c r="AV362" t="e">
        <v>#N/A</v>
      </c>
    </row>
    <row r="363" spans="4:48" ht="15.75" x14ac:dyDescent="0.25">
      <c r="D363" s="3">
        <v>4</v>
      </c>
      <c r="F363" s="16" cm="1">
        <f t="array" ref="F3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63" s="31" cm="1">
        <f t="array" ref="G3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69</v>
      </c>
      <c r="H363" s="33" t="str">
        <f>_xlfn.IFNA(IF(MOD(HLG_02[[#This Row],[Rit]],
    _xlfn.XLOOKUP($G$2,Int_Sample[Ore],Int_Sample[Inc])) = 0, "YES", "NO"),"")</f>
        <v>NO</v>
      </c>
      <c r="I363" s="32" t="str">
        <f>TEXT(HLG_02[[#This Row],[Batch]],"000")&amp; " / " &amp; TEXT(HLG_02[[#This Row],[Rit]],"000")</f>
        <v>005 / 069</v>
      </c>
      <c r="J363" s="34"/>
      <c r="K363" s="38"/>
      <c r="L363" s="35"/>
      <c r="M363" s="66"/>
      <c r="N363" s="66"/>
      <c r="O363" s="66"/>
      <c r="P363" s="66"/>
      <c r="Q363" s="66"/>
      <c r="R363" s="67"/>
      <c r="S363" s="67"/>
      <c r="T363" s="67"/>
      <c r="U363" s="66"/>
      <c r="V363" s="66"/>
      <c r="W363" s="66"/>
      <c r="X363" s="85"/>
      <c r="AP363" t="str">
        <v/>
      </c>
      <c r="AQ363" t="e">
        <v>#N/A</v>
      </c>
      <c r="AR363" t="e">
        <v>#N/A</v>
      </c>
      <c r="AS363" t="e">
        <v>#N/A</v>
      </c>
      <c r="AT363" t="e">
        <v>#N/A</v>
      </c>
      <c r="AU363" t="e">
        <v>#N/A</v>
      </c>
      <c r="AV363" t="e">
        <v>#N/A</v>
      </c>
    </row>
    <row r="364" spans="4:48" ht="15.75" x14ac:dyDescent="0.25">
      <c r="D364" s="3">
        <v>4</v>
      </c>
      <c r="F364" s="16" cm="1">
        <f t="array" ref="F3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64" s="31" cm="1">
        <f t="array" ref="G3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70</v>
      </c>
      <c r="H364" s="33" t="str">
        <f>_xlfn.IFNA(IF(MOD(HLG_02[[#This Row],[Rit]],
    _xlfn.XLOOKUP($G$2,Int_Sample[Ore],Int_Sample[Inc])) = 0, "YES", "NO"),"")</f>
        <v>YES</v>
      </c>
      <c r="I364" s="32" t="str">
        <f>TEXT(HLG_02[[#This Row],[Batch]],"000")&amp; " / " &amp; TEXT(HLG_02[[#This Row],[Rit]],"000")</f>
        <v>005 / 070</v>
      </c>
      <c r="J364" s="34"/>
      <c r="K364" s="38"/>
      <c r="L364" s="35"/>
      <c r="M364" s="66"/>
      <c r="N364" s="66"/>
      <c r="O364" s="66"/>
      <c r="P364" s="66"/>
      <c r="Q364" s="66"/>
      <c r="R364" s="67"/>
      <c r="S364" s="67"/>
      <c r="T364" s="67"/>
      <c r="U364" s="66"/>
      <c r="V364" s="66"/>
      <c r="W364" s="66"/>
      <c r="X364" s="85"/>
      <c r="AP364" t="str">
        <v/>
      </c>
      <c r="AQ364" t="e">
        <v>#N/A</v>
      </c>
      <c r="AR364" t="e">
        <v>#N/A</v>
      </c>
      <c r="AS364" t="e">
        <v>#N/A</v>
      </c>
      <c r="AT364" t="e">
        <v>#N/A</v>
      </c>
      <c r="AU364" t="e">
        <v>#N/A</v>
      </c>
      <c r="AV364" t="e">
        <v>#N/A</v>
      </c>
    </row>
    <row r="365" spans="4:48" ht="15.75" x14ac:dyDescent="0.25">
      <c r="D365" s="3">
        <v>4</v>
      </c>
      <c r="F365" s="16" cm="1">
        <f t="array" ref="F3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65" s="31" cm="1">
        <f t="array" ref="G3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71</v>
      </c>
      <c r="H365" s="33" t="str">
        <f>_xlfn.IFNA(IF(MOD(HLG_02[[#This Row],[Rit]],
    _xlfn.XLOOKUP($G$2,Int_Sample[Ore],Int_Sample[Inc])) = 0, "YES", "NO"),"")</f>
        <v>NO</v>
      </c>
      <c r="I365" s="32" t="str">
        <f>TEXT(HLG_02[[#This Row],[Batch]],"000")&amp; " / " &amp; TEXT(HLG_02[[#This Row],[Rit]],"000")</f>
        <v>005 / 071</v>
      </c>
      <c r="J365" s="34"/>
      <c r="K365" s="38"/>
      <c r="L365" s="35"/>
      <c r="M365" s="66"/>
      <c r="N365" s="66"/>
      <c r="O365" s="66"/>
      <c r="P365" s="66"/>
      <c r="Q365" s="66"/>
      <c r="R365" s="67"/>
      <c r="S365" s="67"/>
      <c r="T365" s="67"/>
      <c r="U365" s="66"/>
      <c r="V365" s="66"/>
      <c r="W365" s="66"/>
      <c r="X365" s="85"/>
      <c r="AP365" t="str">
        <v/>
      </c>
      <c r="AQ365" t="e">
        <v>#N/A</v>
      </c>
      <c r="AR365" t="e">
        <v>#N/A</v>
      </c>
      <c r="AS365" t="e">
        <v>#N/A</v>
      </c>
      <c r="AT365" t="e">
        <v>#N/A</v>
      </c>
      <c r="AU365" t="e">
        <v>#N/A</v>
      </c>
      <c r="AV365" t="e">
        <v>#N/A</v>
      </c>
    </row>
    <row r="366" spans="4:48" ht="15.75" x14ac:dyDescent="0.25">
      <c r="D366" s="3">
        <v>4</v>
      </c>
      <c r="F366" s="16" cm="1">
        <f t="array" ref="F3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66" s="31" cm="1">
        <f t="array" ref="G3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72</v>
      </c>
      <c r="H366" s="33" t="str">
        <f>_xlfn.IFNA(IF(MOD(HLG_02[[#This Row],[Rit]],
    _xlfn.XLOOKUP($G$2,Int_Sample[Ore],Int_Sample[Inc])) = 0, "YES", "NO"),"")</f>
        <v>NO</v>
      </c>
      <c r="I366" s="32" t="str">
        <f>TEXT(HLG_02[[#This Row],[Batch]],"000")&amp; " / " &amp; TEXT(HLG_02[[#This Row],[Rit]],"000")</f>
        <v>005 / 072</v>
      </c>
      <c r="J366" s="34"/>
      <c r="K366" s="38"/>
      <c r="L366" s="35"/>
      <c r="M366" s="66"/>
      <c r="N366" s="66"/>
      <c r="O366" s="66"/>
      <c r="P366" s="66"/>
      <c r="Q366" s="66"/>
      <c r="R366" s="67"/>
      <c r="S366" s="67"/>
      <c r="T366" s="67"/>
      <c r="U366" s="66"/>
      <c r="V366" s="66"/>
      <c r="W366" s="66"/>
      <c r="X366" s="85"/>
      <c r="AP366" t="str">
        <v/>
      </c>
      <c r="AQ366" t="e">
        <v>#N/A</v>
      </c>
      <c r="AR366" t="e">
        <v>#N/A</v>
      </c>
      <c r="AS366" t="e">
        <v>#N/A</v>
      </c>
      <c r="AT366" t="e">
        <v>#N/A</v>
      </c>
      <c r="AU366" t="e">
        <v>#N/A</v>
      </c>
      <c r="AV366" t="e">
        <v>#N/A</v>
      </c>
    </row>
    <row r="367" spans="4:48" ht="15.75" x14ac:dyDescent="0.25">
      <c r="D367" s="3">
        <v>4</v>
      </c>
      <c r="F367" s="16" cm="1">
        <f t="array" ref="F3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67" s="31" cm="1">
        <f t="array" ref="G3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73</v>
      </c>
      <c r="H367" s="33" t="str">
        <f>_xlfn.IFNA(IF(MOD(HLG_02[[#This Row],[Rit]],
    _xlfn.XLOOKUP($G$2,Int_Sample[Ore],Int_Sample[Inc])) = 0, "YES", "NO"),"")</f>
        <v>NO</v>
      </c>
      <c r="I367" s="32" t="str">
        <f>TEXT(HLG_02[[#This Row],[Batch]],"000")&amp; " / " &amp; TEXT(HLG_02[[#This Row],[Rit]],"000")</f>
        <v>005 / 073</v>
      </c>
      <c r="J367" s="34"/>
      <c r="K367" s="38"/>
      <c r="L367" s="35"/>
      <c r="M367" s="66"/>
      <c r="N367" s="66"/>
      <c r="O367" s="66"/>
      <c r="P367" s="66"/>
      <c r="Q367" s="66"/>
      <c r="R367" s="67"/>
      <c r="S367" s="67"/>
      <c r="T367" s="67"/>
      <c r="U367" s="66"/>
      <c r="V367" s="66"/>
      <c r="W367" s="66"/>
      <c r="X367" s="85"/>
      <c r="AP367" t="str">
        <v/>
      </c>
      <c r="AQ367" t="e">
        <v>#N/A</v>
      </c>
      <c r="AR367" t="e">
        <v>#N/A</v>
      </c>
      <c r="AS367" t="e">
        <v>#N/A</v>
      </c>
      <c r="AT367" t="e">
        <v>#N/A</v>
      </c>
      <c r="AU367" t="e">
        <v>#N/A</v>
      </c>
      <c r="AV367" t="e">
        <v>#N/A</v>
      </c>
    </row>
    <row r="368" spans="4:48" ht="15.75" x14ac:dyDescent="0.25">
      <c r="D368" s="3">
        <v>4</v>
      </c>
      <c r="F368" s="16" cm="1">
        <f t="array" ref="F3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68" s="31" cm="1">
        <f t="array" ref="G3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74</v>
      </c>
      <c r="H368" s="33" t="str">
        <f>_xlfn.IFNA(IF(MOD(HLG_02[[#This Row],[Rit]],
    _xlfn.XLOOKUP($G$2,Int_Sample[Ore],Int_Sample[Inc])) = 0, "YES", "NO"),"")</f>
        <v>NO</v>
      </c>
      <c r="I368" s="32" t="str">
        <f>TEXT(HLG_02[[#This Row],[Batch]],"000")&amp; " / " &amp; TEXT(HLG_02[[#This Row],[Rit]],"000")</f>
        <v>005 / 074</v>
      </c>
      <c r="J368" s="34"/>
      <c r="K368" s="38"/>
      <c r="L368" s="35"/>
      <c r="M368" s="66"/>
      <c r="N368" s="66"/>
      <c r="O368" s="66"/>
      <c r="P368" s="66"/>
      <c r="Q368" s="66"/>
      <c r="R368" s="67"/>
      <c r="S368" s="67"/>
      <c r="T368" s="67"/>
      <c r="U368" s="66"/>
      <c r="V368" s="66"/>
      <c r="W368" s="66"/>
      <c r="X368" s="85"/>
      <c r="AP368" t="str">
        <v/>
      </c>
      <c r="AQ368" t="e">
        <v>#N/A</v>
      </c>
      <c r="AR368" t="e">
        <v>#N/A</v>
      </c>
      <c r="AS368" t="e">
        <v>#N/A</v>
      </c>
      <c r="AT368" t="e">
        <v>#N/A</v>
      </c>
      <c r="AU368" t="e">
        <v>#N/A</v>
      </c>
      <c r="AV368" t="e">
        <v>#N/A</v>
      </c>
    </row>
    <row r="369" spans="4:48" ht="15.75" x14ac:dyDescent="0.25">
      <c r="D369" s="3">
        <v>4</v>
      </c>
      <c r="F369" s="16" cm="1">
        <f t="array" ref="F3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69" s="31" cm="1">
        <f t="array" ref="G3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75</v>
      </c>
      <c r="H369" s="33" t="str">
        <f>_xlfn.IFNA(IF(MOD(HLG_02[[#This Row],[Rit]],
    _xlfn.XLOOKUP($G$2,Int_Sample[Ore],Int_Sample[Inc])) = 0, "YES", "NO"),"")</f>
        <v>YES</v>
      </c>
      <c r="I369" s="32" t="str">
        <f>TEXT(HLG_02[[#This Row],[Batch]],"000")&amp; " / " &amp; TEXT(HLG_02[[#This Row],[Rit]],"000")</f>
        <v>005 / 075</v>
      </c>
      <c r="J369" s="34"/>
      <c r="K369" s="38"/>
      <c r="L369" s="35"/>
      <c r="M369" s="66"/>
      <c r="N369" s="66"/>
      <c r="O369" s="66"/>
      <c r="P369" s="66"/>
      <c r="Q369" s="66"/>
      <c r="R369" s="67"/>
      <c r="S369" s="67"/>
      <c r="T369" s="67"/>
      <c r="U369" s="66"/>
      <c r="V369" s="66"/>
      <c r="W369" s="66"/>
      <c r="X369" s="85"/>
      <c r="AP369" t="str">
        <v/>
      </c>
      <c r="AQ369" t="e">
        <v>#N/A</v>
      </c>
      <c r="AR369" t="e">
        <v>#N/A</v>
      </c>
      <c r="AS369" t="e">
        <v>#N/A</v>
      </c>
      <c r="AT369" t="e">
        <v>#N/A</v>
      </c>
      <c r="AU369" t="e">
        <v>#N/A</v>
      </c>
      <c r="AV369" t="e">
        <v>#N/A</v>
      </c>
    </row>
    <row r="370" spans="4:48" ht="15.75" x14ac:dyDescent="0.25">
      <c r="D370" s="3">
        <v>4</v>
      </c>
      <c r="F370" s="16" cm="1">
        <f t="array" ref="F3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70" s="31" cm="1">
        <f t="array" ref="G3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76</v>
      </c>
      <c r="H370" s="33" t="str">
        <f>_xlfn.IFNA(IF(MOD(HLG_02[[#This Row],[Rit]],
    _xlfn.XLOOKUP($G$2,Int_Sample[Ore],Int_Sample[Inc])) = 0, "YES", "NO"),"")</f>
        <v>NO</v>
      </c>
      <c r="I370" s="32" t="str">
        <f>TEXT(HLG_02[[#This Row],[Batch]],"000")&amp; " / " &amp; TEXT(HLG_02[[#This Row],[Rit]],"000")</f>
        <v>005 / 076</v>
      </c>
      <c r="J370" s="34"/>
      <c r="K370" s="38"/>
      <c r="L370" s="35"/>
      <c r="M370" s="66"/>
      <c r="N370" s="66"/>
      <c r="O370" s="66"/>
      <c r="P370" s="66"/>
      <c r="Q370" s="66"/>
      <c r="R370" s="67"/>
      <c r="S370" s="67"/>
      <c r="T370" s="67"/>
      <c r="U370" s="66"/>
      <c r="V370" s="66"/>
      <c r="W370" s="66"/>
      <c r="X370" s="85"/>
      <c r="AP370" t="str">
        <v/>
      </c>
      <c r="AQ370" t="e">
        <v>#N/A</v>
      </c>
      <c r="AR370" t="e">
        <v>#N/A</v>
      </c>
      <c r="AS370" t="e">
        <v>#N/A</v>
      </c>
      <c r="AT370" t="e">
        <v>#N/A</v>
      </c>
      <c r="AU370" t="e">
        <v>#N/A</v>
      </c>
      <c r="AV370" t="e">
        <v>#N/A</v>
      </c>
    </row>
    <row r="371" spans="4:48" ht="15.75" x14ac:dyDescent="0.25">
      <c r="D371" s="3">
        <v>4</v>
      </c>
      <c r="F371" s="16" cm="1">
        <f t="array" ref="F3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71" s="31" cm="1">
        <f t="array" ref="G3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77</v>
      </c>
      <c r="H371" s="33" t="str">
        <f>_xlfn.IFNA(IF(MOD(HLG_02[[#This Row],[Rit]],
    _xlfn.XLOOKUP($G$2,Int_Sample[Ore],Int_Sample[Inc])) = 0, "YES", "NO"),"")</f>
        <v>NO</v>
      </c>
      <c r="I371" s="32" t="str">
        <f>TEXT(HLG_02[[#This Row],[Batch]],"000")&amp; " / " &amp; TEXT(HLG_02[[#This Row],[Rit]],"000")</f>
        <v>005 / 077</v>
      </c>
      <c r="J371" s="34"/>
      <c r="K371" s="38"/>
      <c r="L371" s="35"/>
      <c r="M371" s="66"/>
      <c r="N371" s="66"/>
      <c r="O371" s="66"/>
      <c r="P371" s="66"/>
      <c r="Q371" s="66"/>
      <c r="R371" s="67"/>
      <c r="S371" s="67"/>
      <c r="T371" s="67"/>
      <c r="U371" s="66"/>
      <c r="V371" s="66"/>
      <c r="W371" s="66"/>
      <c r="X371" s="85"/>
      <c r="AP371" t="str">
        <v/>
      </c>
      <c r="AQ371" t="e">
        <v>#N/A</v>
      </c>
      <c r="AR371" t="e">
        <v>#N/A</v>
      </c>
      <c r="AS371" t="e">
        <v>#N/A</v>
      </c>
      <c r="AT371" t="e">
        <v>#N/A</v>
      </c>
      <c r="AU371" t="e">
        <v>#N/A</v>
      </c>
      <c r="AV371" t="e">
        <v>#N/A</v>
      </c>
    </row>
    <row r="372" spans="4:48" ht="15.75" x14ac:dyDescent="0.25">
      <c r="D372" s="3">
        <v>4</v>
      </c>
      <c r="F372" s="16" cm="1">
        <f t="array" ref="F3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72" s="31" cm="1">
        <f t="array" ref="G3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78</v>
      </c>
      <c r="H372" s="33" t="str">
        <f>_xlfn.IFNA(IF(MOD(HLG_02[[#This Row],[Rit]],
    _xlfn.XLOOKUP($G$2,Int_Sample[Ore],Int_Sample[Inc])) = 0, "YES", "NO"),"")</f>
        <v>NO</v>
      </c>
      <c r="I372" s="32" t="str">
        <f>TEXT(HLG_02[[#This Row],[Batch]],"000")&amp; " / " &amp; TEXT(HLG_02[[#This Row],[Rit]],"000")</f>
        <v>005 / 078</v>
      </c>
      <c r="J372" s="34"/>
      <c r="K372" s="38"/>
      <c r="L372" s="35"/>
      <c r="M372" s="66"/>
      <c r="N372" s="66"/>
      <c r="O372" s="66"/>
      <c r="P372" s="66"/>
      <c r="Q372" s="66"/>
      <c r="R372" s="67"/>
      <c r="S372" s="67"/>
      <c r="T372" s="67"/>
      <c r="U372" s="66"/>
      <c r="V372" s="66"/>
      <c r="W372" s="66"/>
      <c r="X372" s="85"/>
      <c r="AP372" t="str">
        <v/>
      </c>
      <c r="AQ372" t="e">
        <v>#N/A</v>
      </c>
      <c r="AR372" t="e">
        <v>#N/A</v>
      </c>
      <c r="AS372" t="e">
        <v>#N/A</v>
      </c>
      <c r="AT372" t="e">
        <v>#N/A</v>
      </c>
      <c r="AU372" t="e">
        <v>#N/A</v>
      </c>
      <c r="AV372" t="e">
        <v>#N/A</v>
      </c>
    </row>
    <row r="373" spans="4:48" ht="15.75" x14ac:dyDescent="0.25">
      <c r="D373" s="3">
        <v>4</v>
      </c>
      <c r="F373" s="16" cm="1">
        <f t="array" ref="F3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73" s="31" cm="1">
        <f t="array" ref="G3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79</v>
      </c>
      <c r="H373" s="33" t="str">
        <f>_xlfn.IFNA(IF(MOD(HLG_02[[#This Row],[Rit]],
    _xlfn.XLOOKUP($G$2,Int_Sample[Ore],Int_Sample[Inc])) = 0, "YES", "NO"),"")</f>
        <v>NO</v>
      </c>
      <c r="I373" s="32" t="str">
        <f>TEXT(HLG_02[[#This Row],[Batch]],"000")&amp; " / " &amp; TEXT(HLG_02[[#This Row],[Rit]],"000")</f>
        <v>005 / 079</v>
      </c>
      <c r="J373" s="34"/>
      <c r="K373" s="38"/>
      <c r="L373" s="35"/>
      <c r="M373" s="66"/>
      <c r="N373" s="66"/>
      <c r="O373" s="66"/>
      <c r="P373" s="66"/>
      <c r="Q373" s="66"/>
      <c r="R373" s="67"/>
      <c r="S373" s="67"/>
      <c r="T373" s="67"/>
      <c r="U373" s="66"/>
      <c r="V373" s="66"/>
      <c r="W373" s="66"/>
      <c r="X373" s="85"/>
      <c r="AP373" t="str">
        <v/>
      </c>
      <c r="AQ373" t="e">
        <v>#N/A</v>
      </c>
      <c r="AR373" t="e">
        <v>#N/A</v>
      </c>
      <c r="AS373" t="e">
        <v>#N/A</v>
      </c>
      <c r="AT373" t="e">
        <v>#N/A</v>
      </c>
      <c r="AU373" t="e">
        <v>#N/A</v>
      </c>
      <c r="AV373" t="e">
        <v>#N/A</v>
      </c>
    </row>
    <row r="374" spans="4:48" ht="15.75" x14ac:dyDescent="0.25">
      <c r="D374" s="3">
        <v>4</v>
      </c>
      <c r="F374" s="16" cm="1">
        <f t="array" ref="F3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74" s="31" cm="1">
        <f t="array" ref="G3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80</v>
      </c>
      <c r="H374" s="33" t="str">
        <f>_xlfn.IFNA(IF(MOD(HLG_02[[#This Row],[Rit]],
    _xlfn.XLOOKUP($G$2,Int_Sample[Ore],Int_Sample[Inc])) = 0, "YES", "NO"),"")</f>
        <v>YES</v>
      </c>
      <c r="I374" s="32" t="str">
        <f>TEXT(HLG_02[[#This Row],[Batch]],"000")&amp; " / " &amp; TEXT(HLG_02[[#This Row],[Rit]],"000")</f>
        <v>005 / 080</v>
      </c>
      <c r="J374" s="34"/>
      <c r="K374" s="38"/>
      <c r="L374" s="35"/>
      <c r="M374" s="66"/>
      <c r="N374" s="66"/>
      <c r="O374" s="66"/>
      <c r="P374" s="66"/>
      <c r="Q374" s="66"/>
      <c r="R374" s="67"/>
      <c r="S374" s="67"/>
      <c r="T374" s="67"/>
      <c r="U374" s="66"/>
      <c r="V374" s="66"/>
      <c r="W374" s="66"/>
      <c r="X374" s="85"/>
      <c r="AP374" t="str">
        <v/>
      </c>
      <c r="AQ374" t="e">
        <v>#N/A</v>
      </c>
      <c r="AR374" t="e">
        <v>#N/A</v>
      </c>
      <c r="AS374" t="e">
        <v>#N/A</v>
      </c>
      <c r="AT374" t="e">
        <v>#N/A</v>
      </c>
      <c r="AU374" t="e">
        <v>#N/A</v>
      </c>
      <c r="AV374" t="e">
        <v>#N/A</v>
      </c>
    </row>
    <row r="375" spans="4:48" ht="15.75" x14ac:dyDescent="0.25">
      <c r="D375" s="3">
        <v>4</v>
      </c>
      <c r="F375" s="16" cm="1">
        <f t="array" ref="F3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75" s="31" cm="1">
        <f t="array" ref="G3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81</v>
      </c>
      <c r="H375" s="33" t="str">
        <f>_xlfn.IFNA(IF(MOD(HLG_02[[#This Row],[Rit]],
    _xlfn.XLOOKUP($G$2,Int_Sample[Ore],Int_Sample[Inc])) = 0, "YES", "NO"),"")</f>
        <v>NO</v>
      </c>
      <c r="I375" s="32" t="str">
        <f>TEXT(HLG_02[[#This Row],[Batch]],"000")&amp; " / " &amp; TEXT(HLG_02[[#This Row],[Rit]],"000")</f>
        <v>005 / 081</v>
      </c>
      <c r="J375" s="34"/>
      <c r="K375" s="38"/>
      <c r="L375" s="35"/>
      <c r="M375" s="66"/>
      <c r="N375" s="66"/>
      <c r="O375" s="66"/>
      <c r="P375" s="66"/>
      <c r="Q375" s="66"/>
      <c r="R375" s="67"/>
      <c r="S375" s="67"/>
      <c r="T375" s="67"/>
      <c r="U375" s="66"/>
      <c r="V375" s="66"/>
      <c r="W375" s="66"/>
      <c r="X375" s="85"/>
      <c r="AP375" t="str">
        <v/>
      </c>
      <c r="AQ375" t="e">
        <v>#N/A</v>
      </c>
      <c r="AR375" t="e">
        <v>#N/A</v>
      </c>
      <c r="AS375" t="e">
        <v>#N/A</v>
      </c>
      <c r="AT375" t="e">
        <v>#N/A</v>
      </c>
      <c r="AU375" t="e">
        <v>#N/A</v>
      </c>
      <c r="AV375" t="e">
        <v>#N/A</v>
      </c>
    </row>
    <row r="376" spans="4:48" ht="15.75" x14ac:dyDescent="0.25">
      <c r="D376" s="3">
        <v>4</v>
      </c>
      <c r="F376" s="16" cm="1">
        <f t="array" ref="F3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76" s="31" cm="1">
        <f t="array" ref="G3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82</v>
      </c>
      <c r="H376" s="33" t="str">
        <f>_xlfn.IFNA(IF(MOD(HLG_02[[#This Row],[Rit]],
    _xlfn.XLOOKUP($G$2,Int_Sample[Ore],Int_Sample[Inc])) = 0, "YES", "NO"),"")</f>
        <v>NO</v>
      </c>
      <c r="I376" s="32" t="str">
        <f>TEXT(HLG_02[[#This Row],[Batch]],"000")&amp; " / " &amp; TEXT(HLG_02[[#This Row],[Rit]],"000")</f>
        <v>005 / 082</v>
      </c>
      <c r="J376" s="34"/>
      <c r="K376" s="38"/>
      <c r="L376" s="35"/>
      <c r="M376" s="66"/>
      <c r="N376" s="66"/>
      <c r="O376" s="66"/>
      <c r="P376" s="66"/>
      <c r="Q376" s="66"/>
      <c r="R376" s="67"/>
      <c r="S376" s="67"/>
      <c r="T376" s="67"/>
      <c r="U376" s="66"/>
      <c r="V376" s="66"/>
      <c r="W376" s="66"/>
      <c r="X376" s="85"/>
      <c r="AP376" t="str">
        <v/>
      </c>
      <c r="AQ376" t="e">
        <v>#N/A</v>
      </c>
      <c r="AR376" t="e">
        <v>#N/A</v>
      </c>
      <c r="AS376" t="e">
        <v>#N/A</v>
      </c>
      <c r="AT376" t="e">
        <v>#N/A</v>
      </c>
      <c r="AU376" t="e">
        <v>#N/A</v>
      </c>
      <c r="AV376" t="e">
        <v>#N/A</v>
      </c>
    </row>
    <row r="377" spans="4:48" ht="15.75" x14ac:dyDescent="0.25">
      <c r="D377" s="3">
        <v>4</v>
      </c>
      <c r="F377" s="16" cm="1">
        <f t="array" ref="F3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77" s="31" cm="1">
        <f t="array" ref="G3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83</v>
      </c>
      <c r="H377" s="33" t="str">
        <f>_xlfn.IFNA(IF(MOD(HLG_02[[#This Row],[Rit]],
    _xlfn.XLOOKUP($G$2,Int_Sample[Ore],Int_Sample[Inc])) = 0, "YES", "NO"),"")</f>
        <v>NO</v>
      </c>
      <c r="I377" s="32" t="str">
        <f>TEXT(HLG_02[[#This Row],[Batch]],"000")&amp; " / " &amp; TEXT(HLG_02[[#This Row],[Rit]],"000")</f>
        <v>005 / 083</v>
      </c>
      <c r="J377" s="34"/>
      <c r="K377" s="38"/>
      <c r="L377" s="35"/>
      <c r="M377" s="66"/>
      <c r="N377" s="66"/>
      <c r="O377" s="66"/>
      <c r="P377" s="66"/>
      <c r="Q377" s="66"/>
      <c r="R377" s="67"/>
      <c r="S377" s="67"/>
      <c r="T377" s="67"/>
      <c r="U377" s="66"/>
      <c r="V377" s="66"/>
      <c r="W377" s="66"/>
      <c r="X377" s="85"/>
      <c r="AP377" t="str">
        <v/>
      </c>
      <c r="AQ377" t="e">
        <v>#N/A</v>
      </c>
      <c r="AR377" t="e">
        <v>#N/A</v>
      </c>
      <c r="AS377" t="e">
        <v>#N/A</v>
      </c>
      <c r="AT377" t="e">
        <v>#N/A</v>
      </c>
      <c r="AU377" t="e">
        <v>#N/A</v>
      </c>
      <c r="AV377" t="e">
        <v>#N/A</v>
      </c>
    </row>
    <row r="378" spans="4:48" ht="15.75" x14ac:dyDescent="0.25">
      <c r="D378" s="3">
        <v>4</v>
      </c>
      <c r="F378" s="16" cm="1">
        <f t="array" ref="F3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78" s="31" cm="1">
        <f t="array" ref="G3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84</v>
      </c>
      <c r="H378" s="33" t="str">
        <f>_xlfn.IFNA(IF(MOD(HLG_02[[#This Row],[Rit]],
    _xlfn.XLOOKUP($G$2,Int_Sample[Ore],Int_Sample[Inc])) = 0, "YES", "NO"),"")</f>
        <v>NO</v>
      </c>
      <c r="I378" s="32" t="str">
        <f>TEXT(HLG_02[[#This Row],[Batch]],"000")&amp; " / " &amp; TEXT(HLG_02[[#This Row],[Rit]],"000")</f>
        <v>005 / 084</v>
      </c>
      <c r="J378" s="34"/>
      <c r="K378" s="38"/>
      <c r="L378" s="35"/>
      <c r="M378" s="66"/>
      <c r="N378" s="66"/>
      <c r="O378" s="66"/>
      <c r="P378" s="66"/>
      <c r="Q378" s="66"/>
      <c r="R378" s="67"/>
      <c r="S378" s="67"/>
      <c r="T378" s="67"/>
      <c r="U378" s="66"/>
      <c r="V378" s="66"/>
      <c r="W378" s="66"/>
      <c r="X378" s="85"/>
      <c r="AP378" t="str">
        <v/>
      </c>
      <c r="AQ378" t="e">
        <v>#N/A</v>
      </c>
      <c r="AR378" t="e">
        <v>#N/A</v>
      </c>
      <c r="AS378" t="e">
        <v>#N/A</v>
      </c>
      <c r="AT378" t="e">
        <v>#N/A</v>
      </c>
      <c r="AU378" t="e">
        <v>#N/A</v>
      </c>
      <c r="AV378" t="e">
        <v>#N/A</v>
      </c>
    </row>
    <row r="379" spans="4:48" ht="15.75" x14ac:dyDescent="0.25">
      <c r="D379" s="3">
        <v>4</v>
      </c>
      <c r="F379" s="16" cm="1">
        <f t="array" ref="F3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79" s="31" cm="1">
        <f t="array" ref="G3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85</v>
      </c>
      <c r="H379" s="33" t="str">
        <f>_xlfn.IFNA(IF(MOD(HLG_02[[#This Row],[Rit]],
    _xlfn.XLOOKUP($G$2,Int_Sample[Ore],Int_Sample[Inc])) = 0, "YES", "NO"),"")</f>
        <v>YES</v>
      </c>
      <c r="I379" s="32" t="str">
        <f>TEXT(HLG_02[[#This Row],[Batch]],"000")&amp; " / " &amp; TEXT(HLG_02[[#This Row],[Rit]],"000")</f>
        <v>005 / 085</v>
      </c>
      <c r="J379" s="34"/>
      <c r="K379" s="38"/>
      <c r="L379" s="35"/>
      <c r="M379" s="66"/>
      <c r="N379" s="66"/>
      <c r="O379" s="66"/>
      <c r="P379" s="66"/>
      <c r="Q379" s="66"/>
      <c r="R379" s="67"/>
      <c r="S379" s="67"/>
      <c r="T379" s="67"/>
      <c r="U379" s="66"/>
      <c r="V379" s="66"/>
      <c r="W379" s="66"/>
      <c r="X379" s="85"/>
      <c r="AP379" t="str">
        <v/>
      </c>
      <c r="AQ379" t="e">
        <v>#N/A</v>
      </c>
      <c r="AR379" t="e">
        <v>#N/A</v>
      </c>
      <c r="AS379" t="e">
        <v>#N/A</v>
      </c>
      <c r="AT379" t="e">
        <v>#N/A</v>
      </c>
      <c r="AU379" t="e">
        <v>#N/A</v>
      </c>
      <c r="AV379" t="e">
        <v>#N/A</v>
      </c>
    </row>
    <row r="380" spans="4:48" ht="15.75" x14ac:dyDescent="0.25">
      <c r="D380" s="3">
        <v>4</v>
      </c>
      <c r="F380" s="16" cm="1">
        <f t="array" ref="F3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80" s="31" cm="1">
        <f t="array" ref="G3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86</v>
      </c>
      <c r="H380" s="33" t="str">
        <f>_xlfn.IFNA(IF(MOD(HLG_02[[#This Row],[Rit]],
    _xlfn.XLOOKUP($G$2,Int_Sample[Ore],Int_Sample[Inc])) = 0, "YES", "NO"),"")</f>
        <v>NO</v>
      </c>
      <c r="I380" s="32" t="str">
        <f>TEXT(HLG_02[[#This Row],[Batch]],"000")&amp; " / " &amp; TEXT(HLG_02[[#This Row],[Rit]],"000")</f>
        <v>005 / 086</v>
      </c>
      <c r="J380" s="34"/>
      <c r="K380" s="38"/>
      <c r="L380" s="35"/>
      <c r="M380" s="66"/>
      <c r="N380" s="66"/>
      <c r="O380" s="66"/>
      <c r="P380" s="66"/>
      <c r="Q380" s="66"/>
      <c r="R380" s="67"/>
      <c r="S380" s="67"/>
      <c r="T380" s="67"/>
      <c r="U380" s="66"/>
      <c r="V380" s="66"/>
      <c r="W380" s="66"/>
      <c r="X380" s="85"/>
      <c r="AP380" t="str">
        <v/>
      </c>
      <c r="AQ380" t="e">
        <v>#N/A</v>
      </c>
      <c r="AR380" t="e">
        <v>#N/A</v>
      </c>
      <c r="AS380" t="e">
        <v>#N/A</v>
      </c>
      <c r="AT380" t="e">
        <v>#N/A</v>
      </c>
      <c r="AU380" t="e">
        <v>#N/A</v>
      </c>
      <c r="AV380" t="e">
        <v>#N/A</v>
      </c>
    </row>
    <row r="381" spans="4:48" ht="15.75" x14ac:dyDescent="0.25">
      <c r="D381" s="3">
        <v>4</v>
      </c>
      <c r="F381" s="16" cm="1">
        <f t="array" ref="F3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81" s="31" cm="1">
        <f t="array" ref="G3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87</v>
      </c>
      <c r="H381" s="33" t="str">
        <f>_xlfn.IFNA(IF(MOD(HLG_02[[#This Row],[Rit]],
    _xlfn.XLOOKUP($G$2,Int_Sample[Ore],Int_Sample[Inc])) = 0, "YES", "NO"),"")</f>
        <v>NO</v>
      </c>
      <c r="I381" s="32" t="str">
        <f>TEXT(HLG_02[[#This Row],[Batch]],"000")&amp; " / " &amp; TEXT(HLG_02[[#This Row],[Rit]],"000")</f>
        <v>005 / 087</v>
      </c>
      <c r="J381" s="34"/>
      <c r="K381" s="38"/>
      <c r="L381" s="35"/>
      <c r="M381" s="66"/>
      <c r="N381" s="66"/>
      <c r="O381" s="66"/>
      <c r="P381" s="66"/>
      <c r="Q381" s="66"/>
      <c r="R381" s="67"/>
      <c r="S381" s="67"/>
      <c r="T381" s="67"/>
      <c r="U381" s="66"/>
      <c r="V381" s="66"/>
      <c r="W381" s="66"/>
      <c r="X381" s="85"/>
      <c r="AP381" t="str">
        <v/>
      </c>
      <c r="AQ381" t="e">
        <v>#N/A</v>
      </c>
      <c r="AR381" t="e">
        <v>#N/A</v>
      </c>
      <c r="AS381" t="e">
        <v>#N/A</v>
      </c>
      <c r="AT381" t="e">
        <v>#N/A</v>
      </c>
      <c r="AU381" t="e">
        <v>#N/A</v>
      </c>
      <c r="AV381" t="e">
        <v>#N/A</v>
      </c>
    </row>
    <row r="382" spans="4:48" ht="15.75" x14ac:dyDescent="0.25">
      <c r="D382" s="3">
        <v>4</v>
      </c>
      <c r="F382" s="16" cm="1">
        <f t="array" ref="F3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82" s="31" cm="1">
        <f t="array" ref="G3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88</v>
      </c>
      <c r="H382" s="33" t="str">
        <f>_xlfn.IFNA(IF(MOD(HLG_02[[#This Row],[Rit]],
    _xlfn.XLOOKUP($G$2,Int_Sample[Ore],Int_Sample[Inc])) = 0, "YES", "NO"),"")</f>
        <v>NO</v>
      </c>
      <c r="I382" s="32" t="str">
        <f>TEXT(HLG_02[[#This Row],[Batch]],"000")&amp; " / " &amp; TEXT(HLG_02[[#This Row],[Rit]],"000")</f>
        <v>005 / 088</v>
      </c>
      <c r="J382" s="34"/>
      <c r="K382" s="38"/>
      <c r="L382" s="35"/>
      <c r="M382" s="66"/>
      <c r="N382" s="66"/>
      <c r="O382" s="66"/>
      <c r="P382" s="66"/>
      <c r="Q382" s="66"/>
      <c r="R382" s="67"/>
      <c r="S382" s="67"/>
      <c r="T382" s="67"/>
      <c r="U382" s="66"/>
      <c r="V382" s="66"/>
      <c r="W382" s="66"/>
      <c r="X382" s="85"/>
      <c r="AP382" t="str">
        <v/>
      </c>
      <c r="AQ382" t="e">
        <v>#N/A</v>
      </c>
      <c r="AR382" t="e">
        <v>#N/A</v>
      </c>
      <c r="AS382" t="e">
        <v>#N/A</v>
      </c>
      <c r="AT382" t="e">
        <v>#N/A</v>
      </c>
      <c r="AU382" t="e">
        <v>#N/A</v>
      </c>
      <c r="AV382" t="e">
        <v>#N/A</v>
      </c>
    </row>
    <row r="383" spans="4:48" ht="15.75" x14ac:dyDescent="0.25">
      <c r="D383" s="3">
        <v>4</v>
      </c>
      <c r="F383" s="16" cm="1">
        <f t="array" ref="F3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83" s="31" cm="1">
        <f t="array" ref="G3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89</v>
      </c>
      <c r="H383" s="33" t="str">
        <f>_xlfn.IFNA(IF(MOD(HLG_02[[#This Row],[Rit]],
    _xlfn.XLOOKUP($G$2,Int_Sample[Ore],Int_Sample[Inc])) = 0, "YES", "NO"),"")</f>
        <v>NO</v>
      </c>
      <c r="I383" s="32" t="str">
        <f>TEXT(HLG_02[[#This Row],[Batch]],"000")&amp; " / " &amp; TEXT(HLG_02[[#This Row],[Rit]],"000")</f>
        <v>005 / 089</v>
      </c>
      <c r="J383" s="34"/>
      <c r="K383" s="38"/>
      <c r="L383" s="35"/>
      <c r="M383" s="66"/>
      <c r="N383" s="66"/>
      <c r="O383" s="66"/>
      <c r="P383" s="66"/>
      <c r="Q383" s="66"/>
      <c r="R383" s="67"/>
      <c r="S383" s="67"/>
      <c r="T383" s="67"/>
      <c r="U383" s="66"/>
      <c r="V383" s="66"/>
      <c r="W383" s="66"/>
      <c r="X383" s="85"/>
      <c r="AP383" t="str">
        <v/>
      </c>
      <c r="AQ383" t="e">
        <v>#N/A</v>
      </c>
      <c r="AR383" t="e">
        <v>#N/A</v>
      </c>
      <c r="AS383" t="e">
        <v>#N/A</v>
      </c>
      <c r="AT383" t="e">
        <v>#N/A</v>
      </c>
      <c r="AU383" t="e">
        <v>#N/A</v>
      </c>
      <c r="AV383" t="e">
        <v>#N/A</v>
      </c>
    </row>
    <row r="384" spans="4:48" ht="15.75" x14ac:dyDescent="0.25">
      <c r="D384" s="3">
        <v>4</v>
      </c>
      <c r="F384" s="16" cm="1">
        <f t="array" ref="F3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84" s="31" cm="1">
        <f t="array" ref="G3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90</v>
      </c>
      <c r="H384" s="33" t="str">
        <f>_xlfn.IFNA(IF(MOD(HLG_02[[#This Row],[Rit]],
    _xlfn.XLOOKUP($G$2,Int_Sample[Ore],Int_Sample[Inc])) = 0, "YES", "NO"),"")</f>
        <v>YES</v>
      </c>
      <c r="I384" s="32" t="str">
        <f>TEXT(HLG_02[[#This Row],[Batch]],"000")&amp; " / " &amp; TEXT(HLG_02[[#This Row],[Rit]],"000")</f>
        <v>005 / 090</v>
      </c>
      <c r="J384" s="34"/>
      <c r="K384" s="38"/>
      <c r="L384" s="35"/>
      <c r="M384" s="66"/>
      <c r="N384" s="66"/>
      <c r="O384" s="66"/>
      <c r="P384" s="66"/>
      <c r="Q384" s="66"/>
      <c r="R384" s="67"/>
      <c r="S384" s="67"/>
      <c r="T384" s="67"/>
      <c r="U384" s="66"/>
      <c r="V384" s="66"/>
      <c r="W384" s="66"/>
      <c r="X384" s="85"/>
      <c r="AP384" t="str">
        <v/>
      </c>
      <c r="AQ384" t="e">
        <v>#N/A</v>
      </c>
      <c r="AR384" t="e">
        <v>#N/A</v>
      </c>
      <c r="AS384" t="e">
        <v>#N/A</v>
      </c>
      <c r="AT384" t="e">
        <v>#N/A</v>
      </c>
      <c r="AU384" t="e">
        <v>#N/A</v>
      </c>
      <c r="AV384" t="e">
        <v>#N/A</v>
      </c>
    </row>
    <row r="385" spans="4:48" ht="15.75" x14ac:dyDescent="0.25">
      <c r="D385" s="3">
        <v>4</v>
      </c>
      <c r="F385" s="16" cm="1">
        <f t="array" ref="F3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85" s="31" cm="1">
        <f t="array" ref="G3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91</v>
      </c>
      <c r="H385" s="33" t="str">
        <f>_xlfn.IFNA(IF(MOD(HLG_02[[#This Row],[Rit]],
    _xlfn.XLOOKUP($G$2,Int_Sample[Ore],Int_Sample[Inc])) = 0, "YES", "NO"),"")</f>
        <v>NO</v>
      </c>
      <c r="I385" s="32" t="str">
        <f>TEXT(HLG_02[[#This Row],[Batch]],"000")&amp; " / " &amp; TEXT(HLG_02[[#This Row],[Rit]],"000")</f>
        <v>005 / 091</v>
      </c>
      <c r="J385" s="34"/>
      <c r="K385" s="38"/>
      <c r="L385" s="35"/>
      <c r="M385" s="66"/>
      <c r="N385" s="66"/>
      <c r="O385" s="66"/>
      <c r="P385" s="66"/>
      <c r="Q385" s="66"/>
      <c r="R385" s="67"/>
      <c r="S385" s="67"/>
      <c r="T385" s="67"/>
      <c r="U385" s="66"/>
      <c r="V385" s="66"/>
      <c r="W385" s="66"/>
      <c r="X385" s="85"/>
      <c r="AP385" t="str">
        <v/>
      </c>
      <c r="AQ385" t="e">
        <v>#N/A</v>
      </c>
      <c r="AR385" t="e">
        <v>#N/A</v>
      </c>
      <c r="AS385" t="e">
        <v>#N/A</v>
      </c>
      <c r="AT385" t="e">
        <v>#N/A</v>
      </c>
      <c r="AU385" t="e">
        <v>#N/A</v>
      </c>
      <c r="AV385" t="e">
        <v>#N/A</v>
      </c>
    </row>
    <row r="386" spans="4:48" ht="15.75" x14ac:dyDescent="0.25">
      <c r="D386" s="3">
        <v>4</v>
      </c>
      <c r="F386" s="16" cm="1">
        <f t="array" ref="F3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86" s="31" cm="1">
        <f t="array" ref="G3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92</v>
      </c>
      <c r="H386" s="33" t="str">
        <f>_xlfn.IFNA(IF(MOD(HLG_02[[#This Row],[Rit]],
    _xlfn.XLOOKUP($G$2,Int_Sample[Ore],Int_Sample[Inc])) = 0, "YES", "NO"),"")</f>
        <v>NO</v>
      </c>
      <c r="I386" s="32" t="str">
        <f>TEXT(HLG_02[[#This Row],[Batch]],"000")&amp; " / " &amp; TEXT(HLG_02[[#This Row],[Rit]],"000")</f>
        <v>005 / 092</v>
      </c>
      <c r="J386" s="34"/>
      <c r="K386" s="38"/>
      <c r="L386" s="35"/>
      <c r="M386" s="66"/>
      <c r="N386" s="66"/>
      <c r="O386" s="66"/>
      <c r="P386" s="66"/>
      <c r="Q386" s="66"/>
      <c r="R386" s="67"/>
      <c r="S386" s="67"/>
      <c r="T386" s="67"/>
      <c r="U386" s="66"/>
      <c r="V386" s="66"/>
      <c r="W386" s="66"/>
      <c r="X386" s="85"/>
      <c r="AP386" t="str">
        <v/>
      </c>
      <c r="AQ386" t="e">
        <v>#N/A</v>
      </c>
      <c r="AR386" t="e">
        <v>#N/A</v>
      </c>
      <c r="AS386" t="e">
        <v>#N/A</v>
      </c>
      <c r="AT386" t="e">
        <v>#N/A</v>
      </c>
      <c r="AU386" t="e">
        <v>#N/A</v>
      </c>
      <c r="AV386" t="e">
        <v>#N/A</v>
      </c>
    </row>
    <row r="387" spans="4:48" ht="15.75" x14ac:dyDescent="0.25">
      <c r="D387" s="3">
        <v>4</v>
      </c>
      <c r="F387" s="16" cm="1">
        <f t="array" ref="F3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87" s="31" cm="1">
        <f t="array" ref="G3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93</v>
      </c>
      <c r="H387" s="33" t="str">
        <f>_xlfn.IFNA(IF(MOD(HLG_02[[#This Row],[Rit]],
    _xlfn.XLOOKUP($G$2,Int_Sample[Ore],Int_Sample[Inc])) = 0, "YES", "NO"),"")</f>
        <v>NO</v>
      </c>
      <c r="I387" s="32" t="str">
        <f>TEXT(HLG_02[[#This Row],[Batch]],"000")&amp; " / " &amp; TEXT(HLG_02[[#This Row],[Rit]],"000")</f>
        <v>005 / 093</v>
      </c>
      <c r="J387" s="34"/>
      <c r="K387" s="38"/>
      <c r="L387" s="35"/>
      <c r="M387" s="66"/>
      <c r="N387" s="66"/>
      <c r="O387" s="66"/>
      <c r="P387" s="66"/>
      <c r="Q387" s="66"/>
      <c r="R387" s="67"/>
      <c r="S387" s="67"/>
      <c r="T387" s="67"/>
      <c r="U387" s="66"/>
      <c r="V387" s="66"/>
      <c r="W387" s="66"/>
      <c r="X387" s="85"/>
      <c r="AP387" t="str">
        <v/>
      </c>
      <c r="AQ387" t="e">
        <v>#N/A</v>
      </c>
      <c r="AR387" t="e">
        <v>#N/A</v>
      </c>
      <c r="AS387" t="e">
        <v>#N/A</v>
      </c>
      <c r="AT387" t="e">
        <v>#N/A</v>
      </c>
      <c r="AU387" t="e">
        <v>#N/A</v>
      </c>
      <c r="AV387" t="e">
        <v>#N/A</v>
      </c>
    </row>
    <row r="388" spans="4:48" ht="15.75" x14ac:dyDescent="0.25">
      <c r="D388" s="3">
        <v>4</v>
      </c>
      <c r="F388" s="16" cm="1">
        <f t="array" ref="F3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88" s="31" cm="1">
        <f t="array" ref="G3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94</v>
      </c>
      <c r="H388" s="33" t="str">
        <f>_xlfn.IFNA(IF(MOD(HLG_02[[#This Row],[Rit]],
    _xlfn.XLOOKUP($G$2,Int_Sample[Ore],Int_Sample[Inc])) = 0, "YES", "NO"),"")</f>
        <v>NO</v>
      </c>
      <c r="I388" s="32" t="str">
        <f>TEXT(HLG_02[[#This Row],[Batch]],"000")&amp; " / " &amp; TEXT(HLG_02[[#This Row],[Rit]],"000")</f>
        <v>005 / 094</v>
      </c>
      <c r="J388" s="34"/>
      <c r="K388" s="38"/>
      <c r="L388" s="35"/>
      <c r="M388" s="66"/>
      <c r="N388" s="66"/>
      <c r="O388" s="66"/>
      <c r="P388" s="66"/>
      <c r="Q388" s="66"/>
      <c r="R388" s="67"/>
      <c r="S388" s="67"/>
      <c r="T388" s="67"/>
      <c r="U388" s="66"/>
      <c r="V388" s="66"/>
      <c r="W388" s="66"/>
      <c r="X388" s="85"/>
      <c r="AP388" t="str">
        <v/>
      </c>
      <c r="AQ388" t="e">
        <v>#N/A</v>
      </c>
      <c r="AR388" t="e">
        <v>#N/A</v>
      </c>
      <c r="AS388" t="e">
        <v>#N/A</v>
      </c>
      <c r="AT388" t="e">
        <v>#N/A</v>
      </c>
      <c r="AU388" t="e">
        <v>#N/A</v>
      </c>
      <c r="AV388" t="e">
        <v>#N/A</v>
      </c>
    </row>
    <row r="389" spans="4:48" ht="15.75" x14ac:dyDescent="0.25">
      <c r="D389" s="3">
        <v>4</v>
      </c>
      <c r="F389" s="16" cm="1">
        <f t="array" ref="F3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89" s="31" cm="1">
        <f t="array" ref="G3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95</v>
      </c>
      <c r="H389" s="33" t="str">
        <f>_xlfn.IFNA(IF(MOD(HLG_02[[#This Row],[Rit]],
    _xlfn.XLOOKUP($G$2,Int_Sample[Ore],Int_Sample[Inc])) = 0, "YES", "NO"),"")</f>
        <v>YES</v>
      </c>
      <c r="I389" s="32" t="str">
        <f>TEXT(HLG_02[[#This Row],[Batch]],"000")&amp; " / " &amp; TEXT(HLG_02[[#This Row],[Rit]],"000")</f>
        <v>005 / 095</v>
      </c>
      <c r="J389" s="34"/>
      <c r="K389" s="38"/>
      <c r="L389" s="35"/>
      <c r="M389" s="66"/>
      <c r="N389" s="66"/>
      <c r="O389" s="66"/>
      <c r="P389" s="66"/>
      <c r="Q389" s="66"/>
      <c r="R389" s="67"/>
      <c r="S389" s="67"/>
      <c r="T389" s="67"/>
      <c r="U389" s="66"/>
      <c r="V389" s="66"/>
      <c r="W389" s="66"/>
      <c r="X389" s="85"/>
      <c r="AP389" t="str">
        <v/>
      </c>
      <c r="AQ389" t="e">
        <v>#N/A</v>
      </c>
      <c r="AR389" t="e">
        <v>#N/A</v>
      </c>
      <c r="AS389" t="e">
        <v>#N/A</v>
      </c>
      <c r="AT389" t="e">
        <v>#N/A</v>
      </c>
      <c r="AU389" t="e">
        <v>#N/A</v>
      </c>
      <c r="AV389" t="e">
        <v>#N/A</v>
      </c>
    </row>
    <row r="390" spans="4:48" ht="15.75" x14ac:dyDescent="0.25">
      <c r="D390" s="3">
        <v>4</v>
      </c>
      <c r="F390" s="16" cm="1">
        <f t="array" ref="F3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90" s="31" cm="1">
        <f t="array" ref="G3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96</v>
      </c>
      <c r="H390" s="33" t="str">
        <f>_xlfn.IFNA(IF(MOD(HLG_02[[#This Row],[Rit]],
    _xlfn.XLOOKUP($G$2,Int_Sample[Ore],Int_Sample[Inc])) = 0, "YES", "NO"),"")</f>
        <v>NO</v>
      </c>
      <c r="I390" s="32" t="str">
        <f>TEXT(HLG_02[[#This Row],[Batch]],"000")&amp; " / " &amp; TEXT(HLG_02[[#This Row],[Rit]],"000")</f>
        <v>005 / 096</v>
      </c>
      <c r="J390" s="34"/>
      <c r="K390" s="38"/>
      <c r="L390" s="35"/>
      <c r="M390" s="66"/>
      <c r="N390" s="66"/>
      <c r="O390" s="66"/>
      <c r="P390" s="66"/>
      <c r="Q390" s="66"/>
      <c r="R390" s="67"/>
      <c r="S390" s="67"/>
      <c r="T390" s="67"/>
      <c r="U390" s="66"/>
      <c r="V390" s="66"/>
      <c r="W390" s="66"/>
      <c r="X390" s="85"/>
      <c r="AP390" t="str">
        <v/>
      </c>
      <c r="AQ390" t="e">
        <v>#N/A</v>
      </c>
      <c r="AR390" t="e">
        <v>#N/A</v>
      </c>
      <c r="AS390" t="e">
        <v>#N/A</v>
      </c>
      <c r="AT390" t="e">
        <v>#N/A</v>
      </c>
      <c r="AU390" t="e">
        <v>#N/A</v>
      </c>
      <c r="AV390" t="e">
        <v>#N/A</v>
      </c>
    </row>
    <row r="391" spans="4:48" ht="15.75" x14ac:dyDescent="0.25">
      <c r="D391" s="3">
        <v>4</v>
      </c>
      <c r="F391" s="16" cm="1">
        <f t="array" ref="F3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91" s="31" cm="1">
        <f t="array" ref="G3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97</v>
      </c>
      <c r="H391" s="33" t="str">
        <f>_xlfn.IFNA(IF(MOD(HLG_02[[#This Row],[Rit]],
    _xlfn.XLOOKUP($G$2,Int_Sample[Ore],Int_Sample[Inc])) = 0, "YES", "NO"),"")</f>
        <v>NO</v>
      </c>
      <c r="I391" s="32" t="str">
        <f>TEXT(HLG_02[[#This Row],[Batch]],"000")&amp; " / " &amp; TEXT(HLG_02[[#This Row],[Rit]],"000")</f>
        <v>005 / 097</v>
      </c>
      <c r="J391" s="34"/>
      <c r="K391" s="38"/>
      <c r="L391" s="35"/>
      <c r="M391" s="66"/>
      <c r="N391" s="66"/>
      <c r="O391" s="66"/>
      <c r="P391" s="66"/>
      <c r="Q391" s="66"/>
      <c r="R391" s="67"/>
      <c r="S391" s="67"/>
      <c r="T391" s="67"/>
      <c r="U391" s="66"/>
      <c r="V391" s="66"/>
      <c r="W391" s="66"/>
      <c r="X391" s="85"/>
      <c r="AP391" t="str">
        <v/>
      </c>
      <c r="AQ391" t="e">
        <v>#N/A</v>
      </c>
      <c r="AR391" t="e">
        <v>#N/A</v>
      </c>
      <c r="AS391" t="e">
        <v>#N/A</v>
      </c>
      <c r="AT391" t="e">
        <v>#N/A</v>
      </c>
      <c r="AU391" t="e">
        <v>#N/A</v>
      </c>
      <c r="AV391" t="e">
        <v>#N/A</v>
      </c>
    </row>
    <row r="392" spans="4:48" ht="15.75" x14ac:dyDescent="0.25">
      <c r="D392" s="3">
        <v>4</v>
      </c>
      <c r="F392" s="16" cm="1">
        <f t="array" ref="F3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92" s="31" cm="1">
        <f t="array" ref="G3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98</v>
      </c>
      <c r="H392" s="33" t="str">
        <f>_xlfn.IFNA(IF(MOD(HLG_02[[#This Row],[Rit]],
    _xlfn.XLOOKUP($G$2,Int_Sample[Ore],Int_Sample[Inc])) = 0, "YES", "NO"),"")</f>
        <v>NO</v>
      </c>
      <c r="I392" s="32" t="str">
        <f>TEXT(HLG_02[[#This Row],[Batch]],"000")&amp; " / " &amp; TEXT(HLG_02[[#This Row],[Rit]],"000")</f>
        <v>005 / 098</v>
      </c>
      <c r="J392" s="34"/>
      <c r="K392" s="38"/>
      <c r="L392" s="35"/>
      <c r="M392" s="66"/>
      <c r="N392" s="66"/>
      <c r="O392" s="66"/>
      <c r="P392" s="66"/>
      <c r="Q392" s="66"/>
      <c r="R392" s="67"/>
      <c r="S392" s="67"/>
      <c r="T392" s="67"/>
      <c r="U392" s="66"/>
      <c r="V392" s="66"/>
      <c r="W392" s="66"/>
      <c r="X392" s="85"/>
      <c r="AP392" t="str">
        <v/>
      </c>
      <c r="AQ392" t="e">
        <v>#N/A</v>
      </c>
      <c r="AR392" t="e">
        <v>#N/A</v>
      </c>
      <c r="AS392" t="e">
        <v>#N/A</v>
      </c>
      <c r="AT392" t="e">
        <v>#N/A</v>
      </c>
      <c r="AU392" t="e">
        <v>#N/A</v>
      </c>
      <c r="AV392" t="e">
        <v>#N/A</v>
      </c>
    </row>
    <row r="393" spans="4:48" ht="15.75" x14ac:dyDescent="0.25">
      <c r="D393" s="3">
        <v>4</v>
      </c>
      <c r="F393" s="16" cm="1">
        <f t="array" ref="F3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93" s="31" cm="1">
        <f t="array" ref="G3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99</v>
      </c>
      <c r="H393" s="33" t="str">
        <f>_xlfn.IFNA(IF(MOD(HLG_02[[#This Row],[Rit]],
    _xlfn.XLOOKUP($G$2,Int_Sample[Ore],Int_Sample[Inc])) = 0, "YES", "NO"),"")</f>
        <v>NO</v>
      </c>
      <c r="I393" s="32" t="str">
        <f>TEXT(HLG_02[[#This Row],[Batch]],"000")&amp; " / " &amp; TEXT(HLG_02[[#This Row],[Rit]],"000")</f>
        <v>005 / 099</v>
      </c>
      <c r="J393" s="34"/>
      <c r="K393" s="38"/>
      <c r="L393" s="35"/>
      <c r="M393" s="66"/>
      <c r="N393" s="66"/>
      <c r="O393" s="66"/>
      <c r="P393" s="66"/>
      <c r="Q393" s="66"/>
      <c r="R393" s="67"/>
      <c r="S393" s="67"/>
      <c r="T393" s="67"/>
      <c r="U393" s="66"/>
      <c r="V393" s="66"/>
      <c r="W393" s="66"/>
      <c r="X393" s="85"/>
      <c r="AP393" t="str">
        <v/>
      </c>
      <c r="AQ393" t="e">
        <v>#N/A</v>
      </c>
      <c r="AR393" t="e">
        <v>#N/A</v>
      </c>
      <c r="AS393" t="e">
        <v>#N/A</v>
      </c>
      <c r="AT393" t="e">
        <v>#N/A</v>
      </c>
      <c r="AU393" t="e">
        <v>#N/A</v>
      </c>
      <c r="AV393" t="e">
        <v>#N/A</v>
      </c>
    </row>
    <row r="394" spans="4:48" ht="15.75" x14ac:dyDescent="0.25">
      <c r="D394" s="3">
        <v>4</v>
      </c>
      <c r="F394" s="16" cm="1">
        <f t="array" ref="F3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5</v>
      </c>
      <c r="G394" s="31" cm="1">
        <f t="array" ref="G3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100</v>
      </c>
      <c r="H394" s="33" t="str">
        <f>_xlfn.IFNA(IF(MOD(HLG_02[[#This Row],[Rit]],
    _xlfn.XLOOKUP($G$2,Int_Sample[Ore],Int_Sample[Inc])) = 0, "YES", "NO"),"")</f>
        <v>YES</v>
      </c>
      <c r="I394" s="32" t="str">
        <f>TEXT(HLG_02[[#This Row],[Batch]],"000")&amp; " / " &amp; TEXT(HLG_02[[#This Row],[Rit]],"000")</f>
        <v>005 / 100</v>
      </c>
      <c r="J394" s="34"/>
      <c r="K394" s="38"/>
      <c r="L394" s="35"/>
      <c r="M394" s="66"/>
      <c r="N394" s="66"/>
      <c r="O394" s="66"/>
      <c r="P394" s="66"/>
      <c r="Q394" s="66"/>
      <c r="R394" s="67"/>
      <c r="S394" s="67"/>
      <c r="T394" s="67"/>
      <c r="U394" s="66"/>
      <c r="V394" s="66"/>
      <c r="W394" s="66"/>
      <c r="X394" s="85"/>
      <c r="AP394" t="str">
        <v/>
      </c>
      <c r="AQ394" t="e">
        <v>#N/A</v>
      </c>
      <c r="AR394" t="e">
        <v>#N/A</v>
      </c>
      <c r="AS394" t="e">
        <v>#N/A</v>
      </c>
      <c r="AT394" t="e">
        <v>#N/A</v>
      </c>
      <c r="AU394" t="e">
        <v>#N/A</v>
      </c>
      <c r="AV394" t="e">
        <v>#N/A</v>
      </c>
    </row>
    <row r="395" spans="4:48" ht="15.75" x14ac:dyDescent="0.25">
      <c r="D395" s="3">
        <v>5</v>
      </c>
      <c r="F395" s="16" cm="1">
        <f t="array" ref="F3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395" s="31" cm="1">
        <f t="array" ref="G3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395" s="33" t="str">
        <f>_xlfn.IFNA(IF(MOD(HLG_02[[#This Row],[Rit]],
    _xlfn.XLOOKUP($G$2,Int_Sample[Ore],Int_Sample[Inc])) = 0, "YES", "NO"),"")</f>
        <v>NO</v>
      </c>
      <c r="I395" s="32" t="str">
        <f>TEXT(HLG_02[[#This Row],[Batch]],"000")&amp; " / " &amp; TEXT(HLG_02[[#This Row],[Rit]],"000")</f>
        <v>006 / 001</v>
      </c>
      <c r="J395" s="34"/>
      <c r="K395" s="38"/>
      <c r="L395" s="35"/>
      <c r="M395" s="66"/>
      <c r="N395" s="66"/>
      <c r="O395" s="66"/>
      <c r="P395" s="66"/>
      <c r="Q395" s="66"/>
      <c r="R395" s="67"/>
      <c r="S395" s="67"/>
      <c r="T395" s="67"/>
      <c r="U395" s="66"/>
      <c r="V395" s="66"/>
      <c r="W395" s="66"/>
      <c r="X395" s="85"/>
      <c r="AP395" t="str">
        <v/>
      </c>
      <c r="AQ395" t="e">
        <v>#N/A</v>
      </c>
      <c r="AR395" t="e">
        <v>#N/A</v>
      </c>
      <c r="AS395" t="e">
        <v>#N/A</v>
      </c>
      <c r="AT395" t="e">
        <v>#N/A</v>
      </c>
      <c r="AU395" t="e">
        <v>#N/A</v>
      </c>
      <c r="AV395" t="e">
        <v>#N/A</v>
      </c>
    </row>
    <row r="396" spans="4:48" ht="15.75" x14ac:dyDescent="0.25">
      <c r="D396" s="3">
        <v>5</v>
      </c>
      <c r="F396" s="16" cm="1">
        <f t="array" ref="F3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396" s="31" cm="1">
        <f t="array" ref="G3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396" s="33" t="str">
        <f>_xlfn.IFNA(IF(MOD(HLG_02[[#This Row],[Rit]],
    _xlfn.XLOOKUP($G$2,Int_Sample[Ore],Int_Sample[Inc])) = 0, "YES", "NO"),"")</f>
        <v>NO</v>
      </c>
      <c r="I396" s="32" t="str">
        <f>TEXT(HLG_02[[#This Row],[Batch]],"000")&amp; " / " &amp; TEXT(HLG_02[[#This Row],[Rit]],"000")</f>
        <v>006 / 002</v>
      </c>
      <c r="J396" s="34"/>
      <c r="K396" s="38"/>
      <c r="L396" s="35"/>
      <c r="M396" s="66"/>
      <c r="N396" s="66"/>
      <c r="O396" s="66"/>
      <c r="P396" s="66"/>
      <c r="Q396" s="66"/>
      <c r="R396" s="67"/>
      <c r="S396" s="67"/>
      <c r="T396" s="67"/>
      <c r="U396" s="66"/>
      <c r="V396" s="66"/>
      <c r="W396" s="66"/>
      <c r="X396" s="85"/>
      <c r="AP396" t="str">
        <v/>
      </c>
      <c r="AQ396" t="e">
        <v>#N/A</v>
      </c>
      <c r="AR396" t="e">
        <v>#N/A</v>
      </c>
      <c r="AS396" t="e">
        <v>#N/A</v>
      </c>
      <c r="AT396" t="e">
        <v>#N/A</v>
      </c>
      <c r="AU396" t="e">
        <v>#N/A</v>
      </c>
      <c r="AV396" t="e">
        <v>#N/A</v>
      </c>
    </row>
    <row r="397" spans="4:48" ht="15.75" x14ac:dyDescent="0.25">
      <c r="D397" s="3">
        <v>5</v>
      </c>
      <c r="F397" s="16" cm="1">
        <f t="array" ref="F3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397" s="31" cm="1">
        <f t="array" ref="G3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397" s="33" t="str">
        <f>_xlfn.IFNA(IF(MOD(HLG_02[[#This Row],[Rit]],
    _xlfn.XLOOKUP($G$2,Int_Sample[Ore],Int_Sample[Inc])) = 0, "YES", "NO"),"")</f>
        <v>NO</v>
      </c>
      <c r="I397" s="32" t="str">
        <f>TEXT(HLG_02[[#This Row],[Batch]],"000")&amp; " / " &amp; TEXT(HLG_02[[#This Row],[Rit]],"000")</f>
        <v>006 / 003</v>
      </c>
      <c r="J397" s="34"/>
      <c r="K397" s="38"/>
      <c r="L397" s="35"/>
      <c r="M397" s="66"/>
      <c r="N397" s="66"/>
      <c r="O397" s="66"/>
      <c r="P397" s="66"/>
      <c r="Q397" s="66"/>
      <c r="R397" s="67"/>
      <c r="S397" s="67"/>
      <c r="T397" s="67"/>
      <c r="U397" s="66"/>
      <c r="V397" s="66"/>
      <c r="W397" s="66"/>
      <c r="X397" s="85"/>
      <c r="AP397" t="str">
        <v/>
      </c>
      <c r="AQ397" t="e">
        <v>#N/A</v>
      </c>
      <c r="AR397" t="e">
        <v>#N/A</v>
      </c>
      <c r="AS397" t="e">
        <v>#N/A</v>
      </c>
      <c r="AT397" t="e">
        <v>#N/A</v>
      </c>
      <c r="AU397" t="e">
        <v>#N/A</v>
      </c>
      <c r="AV397" t="e">
        <v>#N/A</v>
      </c>
    </row>
    <row r="398" spans="4:48" ht="15.75" x14ac:dyDescent="0.25">
      <c r="D398" s="3">
        <v>5</v>
      </c>
      <c r="F398" s="16" cm="1">
        <f t="array" ref="F3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398" s="31" cm="1">
        <f t="array" ref="G3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398" s="33" t="str">
        <f>_xlfn.IFNA(IF(MOD(HLG_02[[#This Row],[Rit]],
    _xlfn.XLOOKUP($G$2,Int_Sample[Ore],Int_Sample[Inc])) = 0, "YES", "NO"),"")</f>
        <v>NO</v>
      </c>
      <c r="I398" s="32" t="str">
        <f>TEXT(HLG_02[[#This Row],[Batch]],"000")&amp; " / " &amp; TEXT(HLG_02[[#This Row],[Rit]],"000")</f>
        <v>006 / 004</v>
      </c>
      <c r="J398" s="34"/>
      <c r="K398" s="38"/>
      <c r="L398" s="35"/>
      <c r="M398" s="66"/>
      <c r="N398" s="66"/>
      <c r="O398" s="66"/>
      <c r="P398" s="66"/>
      <c r="Q398" s="66"/>
      <c r="R398" s="67"/>
      <c r="S398" s="67"/>
      <c r="T398" s="67"/>
      <c r="U398" s="66"/>
      <c r="V398" s="66"/>
      <c r="W398" s="66"/>
      <c r="X398" s="85"/>
      <c r="AP398" t="str">
        <v/>
      </c>
      <c r="AQ398" t="e">
        <v>#N/A</v>
      </c>
      <c r="AR398" t="e">
        <v>#N/A</v>
      </c>
      <c r="AS398" t="e">
        <v>#N/A</v>
      </c>
      <c r="AT398" t="e">
        <v>#N/A</v>
      </c>
      <c r="AU398" t="e">
        <v>#N/A</v>
      </c>
      <c r="AV398" t="e">
        <v>#N/A</v>
      </c>
    </row>
    <row r="399" spans="4:48" ht="15.75" x14ac:dyDescent="0.25">
      <c r="D399" s="3">
        <v>5</v>
      </c>
      <c r="F399" s="16" cm="1">
        <f t="array" ref="F3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399" s="31" cm="1">
        <f t="array" ref="G3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399" s="33" t="str">
        <f>_xlfn.IFNA(IF(MOD(HLG_02[[#This Row],[Rit]],
    _xlfn.XLOOKUP($G$2,Int_Sample[Ore],Int_Sample[Inc])) = 0, "YES", "NO"),"")</f>
        <v>YES</v>
      </c>
      <c r="I399" s="32" t="str">
        <f>TEXT(HLG_02[[#This Row],[Batch]],"000")&amp; " / " &amp; TEXT(HLG_02[[#This Row],[Rit]],"000")</f>
        <v>006 / 005</v>
      </c>
      <c r="J399" s="34"/>
      <c r="K399" s="38"/>
      <c r="L399" s="35"/>
      <c r="M399" s="66"/>
      <c r="N399" s="66"/>
      <c r="O399" s="66"/>
      <c r="P399" s="66"/>
      <c r="Q399" s="66"/>
      <c r="R399" s="67"/>
      <c r="S399" s="67"/>
      <c r="T399" s="67"/>
      <c r="U399" s="66"/>
      <c r="V399" s="66"/>
      <c r="W399" s="66"/>
      <c r="X399" s="85"/>
      <c r="AP399" t="str">
        <v/>
      </c>
      <c r="AQ399" t="e">
        <v>#N/A</v>
      </c>
      <c r="AR399" t="e">
        <v>#N/A</v>
      </c>
      <c r="AS399" t="e">
        <v>#N/A</v>
      </c>
      <c r="AT399" t="e">
        <v>#N/A</v>
      </c>
      <c r="AU399" t="e">
        <v>#N/A</v>
      </c>
      <c r="AV399" t="e">
        <v>#N/A</v>
      </c>
    </row>
    <row r="400" spans="4:48" ht="15.75" x14ac:dyDescent="0.25">
      <c r="D400" s="3">
        <v>5</v>
      </c>
      <c r="F400" s="16" cm="1">
        <f t="array" ref="F4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00" s="31" cm="1">
        <f t="array" ref="G4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400" s="33" t="str">
        <f>_xlfn.IFNA(IF(MOD(HLG_02[[#This Row],[Rit]],
    _xlfn.XLOOKUP($G$2,Int_Sample[Ore],Int_Sample[Inc])) = 0, "YES", "NO"),"")</f>
        <v>NO</v>
      </c>
      <c r="I400" s="32" t="str">
        <f>TEXT(HLG_02[[#This Row],[Batch]],"000")&amp; " / " &amp; TEXT(HLG_02[[#This Row],[Rit]],"000")</f>
        <v>006 / 006</v>
      </c>
      <c r="J400" s="34"/>
      <c r="K400" s="38"/>
      <c r="L400" s="35"/>
      <c r="M400" s="66"/>
      <c r="N400" s="66"/>
      <c r="O400" s="66"/>
      <c r="P400" s="66"/>
      <c r="Q400" s="66"/>
      <c r="R400" s="67"/>
      <c r="S400" s="67"/>
      <c r="T400" s="67"/>
      <c r="U400" s="66"/>
      <c r="V400" s="66"/>
      <c r="W400" s="66"/>
      <c r="X400" s="85"/>
      <c r="AP400" t="str">
        <v/>
      </c>
      <c r="AQ400" t="e">
        <v>#N/A</v>
      </c>
      <c r="AR400" t="e">
        <v>#N/A</v>
      </c>
      <c r="AS400" t="e">
        <v>#N/A</v>
      </c>
      <c r="AT400" t="e">
        <v>#N/A</v>
      </c>
      <c r="AU400" t="e">
        <v>#N/A</v>
      </c>
      <c r="AV400" t="e">
        <v>#N/A</v>
      </c>
    </row>
    <row r="401" spans="4:48" ht="15.75" x14ac:dyDescent="0.25">
      <c r="D401" s="3">
        <v>5</v>
      </c>
      <c r="F401" s="16" cm="1">
        <f t="array" ref="F4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01" s="31" cm="1">
        <f t="array" ref="G4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401" s="33" t="str">
        <f>_xlfn.IFNA(IF(MOD(HLG_02[[#This Row],[Rit]],
    _xlfn.XLOOKUP($G$2,Int_Sample[Ore],Int_Sample[Inc])) = 0, "YES", "NO"),"")</f>
        <v>NO</v>
      </c>
      <c r="I401" s="32" t="str">
        <f>TEXT(HLG_02[[#This Row],[Batch]],"000")&amp; " / " &amp; TEXT(HLG_02[[#This Row],[Rit]],"000")</f>
        <v>006 / 007</v>
      </c>
      <c r="J401" s="34"/>
      <c r="K401" s="38"/>
      <c r="L401" s="35"/>
      <c r="M401" s="66"/>
      <c r="N401" s="66"/>
      <c r="O401" s="66"/>
      <c r="P401" s="66"/>
      <c r="Q401" s="66"/>
      <c r="R401" s="67"/>
      <c r="S401" s="67"/>
      <c r="T401" s="67"/>
      <c r="U401" s="66"/>
      <c r="V401" s="66"/>
      <c r="W401" s="66"/>
      <c r="X401" s="85"/>
      <c r="AP401" t="str">
        <v/>
      </c>
      <c r="AQ401" t="e">
        <v>#N/A</v>
      </c>
      <c r="AR401" t="e">
        <v>#N/A</v>
      </c>
      <c r="AS401" t="e">
        <v>#N/A</v>
      </c>
      <c r="AT401" t="e">
        <v>#N/A</v>
      </c>
      <c r="AU401" t="e">
        <v>#N/A</v>
      </c>
      <c r="AV401" t="e">
        <v>#N/A</v>
      </c>
    </row>
    <row r="402" spans="4:48" ht="15.75" x14ac:dyDescent="0.25">
      <c r="D402" s="3">
        <v>5</v>
      </c>
      <c r="F402" s="16" cm="1">
        <f t="array" ref="F4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02" s="31" cm="1">
        <f t="array" ref="G4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402" s="33" t="str">
        <f>_xlfn.IFNA(IF(MOD(HLG_02[[#This Row],[Rit]],
    _xlfn.XLOOKUP($G$2,Int_Sample[Ore],Int_Sample[Inc])) = 0, "YES", "NO"),"")</f>
        <v>NO</v>
      </c>
      <c r="I402" s="32" t="str">
        <f>TEXT(HLG_02[[#This Row],[Batch]],"000")&amp; " / " &amp; TEXT(HLG_02[[#This Row],[Rit]],"000")</f>
        <v>006 / 008</v>
      </c>
      <c r="J402" s="34"/>
      <c r="K402" s="38"/>
      <c r="L402" s="35"/>
      <c r="M402" s="66"/>
      <c r="N402" s="66"/>
      <c r="O402" s="66"/>
      <c r="P402" s="66"/>
      <c r="Q402" s="66"/>
      <c r="R402" s="67"/>
      <c r="S402" s="67"/>
      <c r="T402" s="67"/>
      <c r="U402" s="66"/>
      <c r="V402" s="66"/>
      <c r="W402" s="66"/>
      <c r="X402" s="85"/>
      <c r="AP402" t="str">
        <v/>
      </c>
      <c r="AQ402" t="e">
        <v>#N/A</v>
      </c>
      <c r="AR402" t="e">
        <v>#N/A</v>
      </c>
      <c r="AS402" t="e">
        <v>#N/A</v>
      </c>
      <c r="AT402" t="e">
        <v>#N/A</v>
      </c>
      <c r="AU402" t="e">
        <v>#N/A</v>
      </c>
      <c r="AV402" t="e">
        <v>#N/A</v>
      </c>
    </row>
    <row r="403" spans="4:48" ht="15.75" x14ac:dyDescent="0.25">
      <c r="D403" s="3">
        <v>5</v>
      </c>
      <c r="F403" s="16" cm="1">
        <f t="array" ref="F4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03" s="31" cm="1">
        <f t="array" ref="G4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403" s="33" t="str">
        <f>_xlfn.IFNA(IF(MOD(HLG_02[[#This Row],[Rit]],
    _xlfn.XLOOKUP($G$2,Int_Sample[Ore],Int_Sample[Inc])) = 0, "YES", "NO"),"")</f>
        <v>NO</v>
      </c>
      <c r="I403" s="32" t="str">
        <f>TEXT(HLG_02[[#This Row],[Batch]],"000")&amp; " / " &amp; TEXT(HLG_02[[#This Row],[Rit]],"000")</f>
        <v>006 / 009</v>
      </c>
      <c r="J403" s="34"/>
      <c r="K403" s="38"/>
      <c r="L403" s="35"/>
      <c r="M403" s="66"/>
      <c r="N403" s="66"/>
      <c r="O403" s="66"/>
      <c r="P403" s="66"/>
      <c r="Q403" s="66"/>
      <c r="R403" s="67"/>
      <c r="S403" s="67"/>
      <c r="T403" s="67"/>
      <c r="U403" s="66"/>
      <c r="V403" s="66"/>
      <c r="W403" s="66"/>
      <c r="X403" s="85"/>
      <c r="AP403" t="str">
        <v/>
      </c>
      <c r="AQ403" t="e">
        <v>#N/A</v>
      </c>
      <c r="AR403" t="e">
        <v>#N/A</v>
      </c>
      <c r="AS403" t="e">
        <v>#N/A</v>
      </c>
      <c r="AT403" t="e">
        <v>#N/A</v>
      </c>
      <c r="AU403" t="e">
        <v>#N/A</v>
      </c>
      <c r="AV403" t="e">
        <v>#N/A</v>
      </c>
    </row>
    <row r="404" spans="4:48" ht="15.75" x14ac:dyDescent="0.25">
      <c r="D404" s="3">
        <v>5</v>
      </c>
      <c r="F404" s="16" cm="1">
        <f t="array" ref="F4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04" s="31" cm="1">
        <f t="array" ref="G4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404" s="33" t="str">
        <f>_xlfn.IFNA(IF(MOD(HLG_02[[#This Row],[Rit]],
    _xlfn.XLOOKUP($G$2,Int_Sample[Ore],Int_Sample[Inc])) = 0, "YES", "NO"),"")</f>
        <v>YES</v>
      </c>
      <c r="I404" s="32" t="str">
        <f>TEXT(HLG_02[[#This Row],[Batch]],"000")&amp; " / " &amp; TEXT(HLG_02[[#This Row],[Rit]],"000")</f>
        <v>006 / 010</v>
      </c>
      <c r="J404" s="34"/>
      <c r="K404" s="38"/>
      <c r="L404" s="35"/>
      <c r="M404" s="66"/>
      <c r="N404" s="66"/>
      <c r="O404" s="66"/>
      <c r="P404" s="66"/>
      <c r="Q404" s="66"/>
      <c r="R404" s="67"/>
      <c r="S404" s="67"/>
      <c r="T404" s="67"/>
      <c r="U404" s="66"/>
      <c r="V404" s="66"/>
      <c r="W404" s="66"/>
      <c r="X404" s="85"/>
      <c r="AP404" t="str">
        <v/>
      </c>
      <c r="AQ404" t="e">
        <v>#N/A</v>
      </c>
      <c r="AR404" t="e">
        <v>#N/A</v>
      </c>
      <c r="AS404" t="e">
        <v>#N/A</v>
      </c>
      <c r="AT404" t="e">
        <v>#N/A</v>
      </c>
      <c r="AU404" t="e">
        <v>#N/A</v>
      </c>
      <c r="AV404" t="e">
        <v>#N/A</v>
      </c>
    </row>
    <row r="405" spans="4:48" ht="15.75" x14ac:dyDescent="0.25">
      <c r="D405" s="3">
        <v>5</v>
      </c>
      <c r="F405" s="16" cm="1">
        <f t="array" ref="F4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05" s="31" cm="1">
        <f t="array" ref="G4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405" s="33" t="str">
        <f>_xlfn.IFNA(IF(MOD(HLG_02[[#This Row],[Rit]],
    _xlfn.XLOOKUP($G$2,Int_Sample[Ore],Int_Sample[Inc])) = 0, "YES", "NO"),"")</f>
        <v>NO</v>
      </c>
      <c r="I405" s="32" t="str">
        <f>TEXT(HLG_02[[#This Row],[Batch]],"000")&amp; " / " &amp; TEXT(HLG_02[[#This Row],[Rit]],"000")</f>
        <v>006 / 011</v>
      </c>
      <c r="J405" s="34"/>
      <c r="K405" s="38"/>
      <c r="L405" s="35"/>
      <c r="M405" s="66"/>
      <c r="N405" s="66"/>
      <c r="O405" s="66"/>
      <c r="P405" s="66"/>
      <c r="Q405" s="66"/>
      <c r="R405" s="67"/>
      <c r="S405" s="67"/>
      <c r="T405" s="67"/>
      <c r="U405" s="66"/>
      <c r="V405" s="66"/>
      <c r="W405" s="66"/>
      <c r="X405" s="85"/>
      <c r="AP405" t="str">
        <v/>
      </c>
      <c r="AQ405" t="e">
        <v>#N/A</v>
      </c>
      <c r="AR405" t="e">
        <v>#N/A</v>
      </c>
      <c r="AS405" t="e">
        <v>#N/A</v>
      </c>
      <c r="AT405" t="e">
        <v>#N/A</v>
      </c>
      <c r="AU405" t="e">
        <v>#N/A</v>
      </c>
      <c r="AV405" t="e">
        <v>#N/A</v>
      </c>
    </row>
    <row r="406" spans="4:48" ht="15.75" x14ac:dyDescent="0.25">
      <c r="D406" s="3">
        <v>5</v>
      </c>
      <c r="F406" s="16" cm="1">
        <f t="array" ref="F4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06" s="31" cm="1">
        <f t="array" ref="G4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406" s="33" t="str">
        <f>_xlfn.IFNA(IF(MOD(HLG_02[[#This Row],[Rit]],
    _xlfn.XLOOKUP($G$2,Int_Sample[Ore],Int_Sample[Inc])) = 0, "YES", "NO"),"")</f>
        <v>NO</v>
      </c>
      <c r="I406" s="32" t="str">
        <f>TEXT(HLG_02[[#This Row],[Batch]],"000")&amp; " / " &amp; TEXT(HLG_02[[#This Row],[Rit]],"000")</f>
        <v>006 / 012</v>
      </c>
      <c r="J406" s="34"/>
      <c r="K406" s="38"/>
      <c r="L406" s="35"/>
      <c r="M406" s="66"/>
      <c r="N406" s="66"/>
      <c r="O406" s="66"/>
      <c r="P406" s="66"/>
      <c r="Q406" s="66"/>
      <c r="R406" s="67"/>
      <c r="S406" s="67"/>
      <c r="T406" s="67"/>
      <c r="U406" s="66"/>
      <c r="V406" s="66"/>
      <c r="W406" s="66"/>
      <c r="X406" s="85"/>
      <c r="AP406" t="str">
        <v/>
      </c>
      <c r="AQ406" t="e">
        <v>#N/A</v>
      </c>
      <c r="AR406" t="e">
        <v>#N/A</v>
      </c>
      <c r="AS406" t="e">
        <v>#N/A</v>
      </c>
      <c r="AT406" t="e">
        <v>#N/A</v>
      </c>
      <c r="AU406" t="e">
        <v>#N/A</v>
      </c>
      <c r="AV406" t="e">
        <v>#N/A</v>
      </c>
    </row>
    <row r="407" spans="4:48" ht="15.75" x14ac:dyDescent="0.25">
      <c r="D407" s="3">
        <v>5</v>
      </c>
      <c r="F407" s="16" cm="1">
        <f t="array" ref="F4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07" s="31" cm="1">
        <f t="array" ref="G4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407" s="33" t="str">
        <f>_xlfn.IFNA(IF(MOD(HLG_02[[#This Row],[Rit]],
    _xlfn.XLOOKUP($G$2,Int_Sample[Ore],Int_Sample[Inc])) = 0, "YES", "NO"),"")</f>
        <v>NO</v>
      </c>
      <c r="I407" s="32" t="str">
        <f>TEXT(HLG_02[[#This Row],[Batch]],"000")&amp; " / " &amp; TEXT(HLG_02[[#This Row],[Rit]],"000")</f>
        <v>006 / 013</v>
      </c>
      <c r="J407" s="34"/>
      <c r="K407" s="38"/>
      <c r="L407" s="35"/>
      <c r="M407" s="66"/>
      <c r="N407" s="66"/>
      <c r="O407" s="66"/>
      <c r="P407" s="66"/>
      <c r="Q407" s="66"/>
      <c r="R407" s="67"/>
      <c r="S407" s="67"/>
      <c r="T407" s="67"/>
      <c r="U407" s="66"/>
      <c r="V407" s="66"/>
      <c r="W407" s="66"/>
      <c r="X407" s="85"/>
      <c r="AP407" t="str">
        <v/>
      </c>
      <c r="AQ407" t="e">
        <v>#N/A</v>
      </c>
      <c r="AR407" t="e">
        <v>#N/A</v>
      </c>
      <c r="AS407" t="e">
        <v>#N/A</v>
      </c>
      <c r="AT407" t="e">
        <v>#N/A</v>
      </c>
      <c r="AU407" t="e">
        <v>#N/A</v>
      </c>
      <c r="AV407" t="e">
        <v>#N/A</v>
      </c>
    </row>
    <row r="408" spans="4:48" ht="15.75" x14ac:dyDescent="0.25">
      <c r="D408" s="3">
        <v>5</v>
      </c>
      <c r="F408" s="16" cm="1">
        <f t="array" ref="F4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08" s="31" cm="1">
        <f t="array" ref="G4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408" s="33" t="str">
        <f>_xlfn.IFNA(IF(MOD(HLG_02[[#This Row],[Rit]],
    _xlfn.XLOOKUP($G$2,Int_Sample[Ore],Int_Sample[Inc])) = 0, "YES", "NO"),"")</f>
        <v>NO</v>
      </c>
      <c r="I408" s="32" t="str">
        <f>TEXT(HLG_02[[#This Row],[Batch]],"000")&amp; " / " &amp; TEXT(HLG_02[[#This Row],[Rit]],"000")</f>
        <v>006 / 014</v>
      </c>
      <c r="J408" s="34"/>
      <c r="K408" s="38"/>
      <c r="L408" s="35"/>
      <c r="M408" s="66"/>
      <c r="N408" s="66"/>
      <c r="O408" s="66"/>
      <c r="P408" s="66"/>
      <c r="Q408" s="66"/>
      <c r="R408" s="67"/>
      <c r="S408" s="67"/>
      <c r="T408" s="67"/>
      <c r="U408" s="66"/>
      <c r="V408" s="66"/>
      <c r="W408" s="66"/>
      <c r="X408" s="85"/>
      <c r="AP408" t="str">
        <v/>
      </c>
      <c r="AQ408" t="e">
        <v>#N/A</v>
      </c>
      <c r="AR408" t="e">
        <v>#N/A</v>
      </c>
      <c r="AS408" t="e">
        <v>#N/A</v>
      </c>
      <c r="AT408" t="e">
        <v>#N/A</v>
      </c>
      <c r="AU408" t="e">
        <v>#N/A</v>
      </c>
      <c r="AV408" t="e">
        <v>#N/A</v>
      </c>
    </row>
    <row r="409" spans="4:48" ht="15.75" x14ac:dyDescent="0.25">
      <c r="D409" s="3">
        <v>5</v>
      </c>
      <c r="F409" s="16" cm="1">
        <f t="array" ref="F4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09" s="31" cm="1">
        <f t="array" ref="G4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409" s="33" t="str">
        <f>_xlfn.IFNA(IF(MOD(HLG_02[[#This Row],[Rit]],
    _xlfn.XLOOKUP($G$2,Int_Sample[Ore],Int_Sample[Inc])) = 0, "YES", "NO"),"")</f>
        <v>YES</v>
      </c>
      <c r="I409" s="32" t="str">
        <f>TEXT(HLG_02[[#This Row],[Batch]],"000")&amp; " / " &amp; TEXT(HLG_02[[#This Row],[Rit]],"000")</f>
        <v>006 / 015</v>
      </c>
      <c r="J409" s="34"/>
      <c r="K409" s="38"/>
      <c r="L409" s="35"/>
      <c r="M409" s="66"/>
      <c r="N409" s="66"/>
      <c r="O409" s="66"/>
      <c r="P409" s="66"/>
      <c r="Q409" s="66"/>
      <c r="R409" s="67"/>
      <c r="S409" s="67"/>
      <c r="T409" s="67"/>
      <c r="U409" s="66"/>
      <c r="V409" s="66"/>
      <c r="W409" s="66"/>
      <c r="X409" s="85"/>
      <c r="AP409" t="str">
        <v/>
      </c>
      <c r="AQ409" t="e">
        <v>#N/A</v>
      </c>
      <c r="AR409" t="e">
        <v>#N/A</v>
      </c>
      <c r="AS409" t="e">
        <v>#N/A</v>
      </c>
      <c r="AT409" t="e">
        <v>#N/A</v>
      </c>
      <c r="AU409" t="e">
        <v>#N/A</v>
      </c>
      <c r="AV409" t="e">
        <v>#N/A</v>
      </c>
    </row>
    <row r="410" spans="4:48" ht="15.75" x14ac:dyDescent="0.25">
      <c r="D410" s="3">
        <v>5</v>
      </c>
      <c r="F410" s="16" cm="1">
        <f t="array" ref="F4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10" s="31" cm="1">
        <f t="array" ref="G4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410" s="33" t="str">
        <f>_xlfn.IFNA(IF(MOD(HLG_02[[#This Row],[Rit]],
    _xlfn.XLOOKUP($G$2,Int_Sample[Ore],Int_Sample[Inc])) = 0, "YES", "NO"),"")</f>
        <v>NO</v>
      </c>
      <c r="I410" s="32" t="str">
        <f>TEXT(HLG_02[[#This Row],[Batch]],"000")&amp; " / " &amp; TEXT(HLG_02[[#This Row],[Rit]],"000")</f>
        <v>006 / 016</v>
      </c>
      <c r="J410" s="34"/>
      <c r="K410" s="38"/>
      <c r="L410" s="35"/>
      <c r="M410" s="66"/>
      <c r="N410" s="66"/>
      <c r="O410" s="66"/>
      <c r="P410" s="66"/>
      <c r="Q410" s="66"/>
      <c r="R410" s="67"/>
      <c r="S410" s="67"/>
      <c r="T410" s="67"/>
      <c r="U410" s="66"/>
      <c r="V410" s="66"/>
      <c r="W410" s="66"/>
      <c r="X410" s="85"/>
      <c r="AP410" t="str">
        <v/>
      </c>
      <c r="AQ410" t="e">
        <v>#N/A</v>
      </c>
      <c r="AR410" t="e">
        <v>#N/A</v>
      </c>
      <c r="AS410" t="e">
        <v>#N/A</v>
      </c>
      <c r="AT410" t="e">
        <v>#N/A</v>
      </c>
      <c r="AU410" t="e">
        <v>#N/A</v>
      </c>
      <c r="AV410" t="e">
        <v>#N/A</v>
      </c>
    </row>
    <row r="411" spans="4:48" ht="15.75" x14ac:dyDescent="0.25">
      <c r="D411" s="3">
        <v>5</v>
      </c>
      <c r="F411" s="16" cm="1">
        <f t="array" ref="F4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11" s="31" cm="1">
        <f t="array" ref="G4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411" s="33" t="str">
        <f>_xlfn.IFNA(IF(MOD(HLG_02[[#This Row],[Rit]],
    _xlfn.XLOOKUP($G$2,Int_Sample[Ore],Int_Sample[Inc])) = 0, "YES", "NO"),"")</f>
        <v>NO</v>
      </c>
      <c r="I411" s="32" t="str">
        <f>TEXT(HLG_02[[#This Row],[Batch]],"000")&amp; " / " &amp; TEXT(HLG_02[[#This Row],[Rit]],"000")</f>
        <v>006 / 017</v>
      </c>
      <c r="J411" s="34"/>
      <c r="K411" s="38"/>
      <c r="L411" s="35"/>
      <c r="M411" s="66"/>
      <c r="N411" s="66"/>
      <c r="O411" s="66"/>
      <c r="P411" s="66"/>
      <c r="Q411" s="66"/>
      <c r="R411" s="67"/>
      <c r="S411" s="67"/>
      <c r="T411" s="67"/>
      <c r="U411" s="66"/>
      <c r="V411" s="66"/>
      <c r="W411" s="66"/>
      <c r="X411" s="85"/>
      <c r="AP411" t="str">
        <v/>
      </c>
      <c r="AQ411" t="e">
        <v>#N/A</v>
      </c>
      <c r="AR411" t="e">
        <v>#N/A</v>
      </c>
      <c r="AS411" t="e">
        <v>#N/A</v>
      </c>
      <c r="AT411" t="e">
        <v>#N/A</v>
      </c>
      <c r="AU411" t="e">
        <v>#N/A</v>
      </c>
      <c r="AV411" t="e">
        <v>#N/A</v>
      </c>
    </row>
    <row r="412" spans="4:48" ht="15.75" x14ac:dyDescent="0.25">
      <c r="D412" s="3">
        <v>5</v>
      </c>
      <c r="F412" s="16" cm="1">
        <f t="array" ref="F4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12" s="31" cm="1">
        <f t="array" ref="G4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412" s="33" t="str">
        <f>_xlfn.IFNA(IF(MOD(HLG_02[[#This Row],[Rit]],
    _xlfn.XLOOKUP($G$2,Int_Sample[Ore],Int_Sample[Inc])) = 0, "YES", "NO"),"")</f>
        <v>NO</v>
      </c>
      <c r="I412" s="32" t="str">
        <f>TEXT(HLG_02[[#This Row],[Batch]],"000")&amp; " / " &amp; TEXT(HLG_02[[#This Row],[Rit]],"000")</f>
        <v>006 / 018</v>
      </c>
      <c r="J412" s="34"/>
      <c r="K412" s="38"/>
      <c r="L412" s="35"/>
      <c r="M412" s="66"/>
      <c r="N412" s="66"/>
      <c r="O412" s="66"/>
      <c r="P412" s="66"/>
      <c r="Q412" s="66"/>
      <c r="R412" s="67"/>
      <c r="S412" s="67"/>
      <c r="T412" s="67"/>
      <c r="U412" s="66"/>
      <c r="V412" s="66"/>
      <c r="W412" s="66"/>
      <c r="X412" s="85"/>
      <c r="AP412" t="str">
        <v/>
      </c>
      <c r="AQ412" t="e">
        <v>#N/A</v>
      </c>
      <c r="AR412" t="e">
        <v>#N/A</v>
      </c>
      <c r="AS412" t="e">
        <v>#N/A</v>
      </c>
      <c r="AT412" t="e">
        <v>#N/A</v>
      </c>
      <c r="AU412" t="e">
        <v>#N/A</v>
      </c>
      <c r="AV412" t="e">
        <v>#N/A</v>
      </c>
    </row>
    <row r="413" spans="4:48" ht="15.75" x14ac:dyDescent="0.25">
      <c r="D413" s="3">
        <v>5</v>
      </c>
      <c r="F413" s="16" cm="1">
        <f t="array" ref="F4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13" s="31" cm="1">
        <f t="array" ref="G4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413" s="33" t="str">
        <f>_xlfn.IFNA(IF(MOD(HLG_02[[#This Row],[Rit]],
    _xlfn.XLOOKUP($G$2,Int_Sample[Ore],Int_Sample[Inc])) = 0, "YES", "NO"),"")</f>
        <v>NO</v>
      </c>
      <c r="I413" s="32" t="str">
        <f>TEXT(HLG_02[[#This Row],[Batch]],"000")&amp; " / " &amp; TEXT(HLG_02[[#This Row],[Rit]],"000")</f>
        <v>006 / 019</v>
      </c>
      <c r="J413" s="34"/>
      <c r="K413" s="38"/>
      <c r="L413" s="35"/>
      <c r="M413" s="66"/>
      <c r="N413" s="66"/>
      <c r="O413" s="66"/>
      <c r="P413" s="66"/>
      <c r="Q413" s="66"/>
      <c r="R413" s="67"/>
      <c r="S413" s="67"/>
      <c r="T413" s="67"/>
      <c r="U413" s="66"/>
      <c r="V413" s="66"/>
      <c r="W413" s="66"/>
      <c r="X413" s="85"/>
      <c r="AP413" t="str">
        <v/>
      </c>
      <c r="AQ413" t="e">
        <v>#N/A</v>
      </c>
      <c r="AR413" t="e">
        <v>#N/A</v>
      </c>
      <c r="AS413" t="e">
        <v>#N/A</v>
      </c>
      <c r="AT413" t="e">
        <v>#N/A</v>
      </c>
      <c r="AU413" t="e">
        <v>#N/A</v>
      </c>
      <c r="AV413" t="e">
        <v>#N/A</v>
      </c>
    </row>
    <row r="414" spans="4:48" ht="15.75" x14ac:dyDescent="0.25">
      <c r="D414" s="3">
        <v>5</v>
      </c>
      <c r="F414" s="16" cm="1">
        <f t="array" ref="F4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14" s="31" cm="1">
        <f t="array" ref="G4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414" s="33" t="str">
        <f>_xlfn.IFNA(IF(MOD(HLG_02[[#This Row],[Rit]],
    _xlfn.XLOOKUP($G$2,Int_Sample[Ore],Int_Sample[Inc])) = 0, "YES", "NO"),"")</f>
        <v>YES</v>
      </c>
      <c r="I414" s="32" t="str">
        <f>TEXT(HLG_02[[#This Row],[Batch]],"000")&amp; " / " &amp; TEXT(HLG_02[[#This Row],[Rit]],"000")</f>
        <v>006 / 020</v>
      </c>
      <c r="J414" s="34"/>
      <c r="K414" s="38"/>
      <c r="L414" s="35"/>
      <c r="M414" s="66"/>
      <c r="N414" s="66"/>
      <c r="O414" s="66"/>
      <c r="P414" s="66"/>
      <c r="Q414" s="66"/>
      <c r="R414" s="67"/>
      <c r="S414" s="67"/>
      <c r="T414" s="67"/>
      <c r="U414" s="66"/>
      <c r="V414" s="66"/>
      <c r="W414" s="66"/>
      <c r="X414" s="85"/>
      <c r="AP414" t="str">
        <v/>
      </c>
      <c r="AQ414" t="e">
        <v>#N/A</v>
      </c>
      <c r="AR414" t="e">
        <v>#N/A</v>
      </c>
      <c r="AS414" t="e">
        <v>#N/A</v>
      </c>
      <c r="AT414" t="e">
        <v>#N/A</v>
      </c>
      <c r="AU414" t="e">
        <v>#N/A</v>
      </c>
      <c r="AV414" t="e">
        <v>#N/A</v>
      </c>
    </row>
    <row r="415" spans="4:48" ht="15.75" x14ac:dyDescent="0.25">
      <c r="D415" s="3">
        <v>5</v>
      </c>
      <c r="F415" s="16" cm="1">
        <f t="array" ref="F4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15" s="31" cm="1">
        <f t="array" ref="G4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21</v>
      </c>
      <c r="H415" s="33" t="str">
        <f>_xlfn.IFNA(IF(MOD(HLG_02[[#This Row],[Rit]],
    _xlfn.XLOOKUP($G$2,Int_Sample[Ore],Int_Sample[Inc])) = 0, "YES", "NO"),"")</f>
        <v>NO</v>
      </c>
      <c r="I415" s="32" t="str">
        <f>TEXT(HLG_02[[#This Row],[Batch]],"000")&amp; " / " &amp; TEXT(HLG_02[[#This Row],[Rit]],"000")</f>
        <v>006 / 021</v>
      </c>
      <c r="J415" s="34"/>
      <c r="K415" s="38"/>
      <c r="L415" s="35"/>
      <c r="M415" s="66"/>
      <c r="N415" s="66"/>
      <c r="O415" s="66"/>
      <c r="P415" s="66"/>
      <c r="Q415" s="66"/>
      <c r="R415" s="67"/>
      <c r="S415" s="67"/>
      <c r="T415" s="67"/>
      <c r="U415" s="66"/>
      <c r="V415" s="66"/>
      <c r="W415" s="66"/>
      <c r="X415" s="85"/>
      <c r="AP415" t="str">
        <v/>
      </c>
      <c r="AQ415" t="e">
        <v>#N/A</v>
      </c>
      <c r="AR415" t="e">
        <v>#N/A</v>
      </c>
      <c r="AS415" t="e">
        <v>#N/A</v>
      </c>
      <c r="AT415" t="e">
        <v>#N/A</v>
      </c>
      <c r="AU415" t="e">
        <v>#N/A</v>
      </c>
      <c r="AV415" t="e">
        <v>#N/A</v>
      </c>
    </row>
    <row r="416" spans="4:48" ht="15.75" x14ac:dyDescent="0.25">
      <c r="D416" s="3">
        <v>5</v>
      </c>
      <c r="F416" s="16" cm="1">
        <f t="array" ref="F4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16" s="31" cm="1">
        <f t="array" ref="G4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22</v>
      </c>
      <c r="H416" s="33" t="str">
        <f>_xlfn.IFNA(IF(MOD(HLG_02[[#This Row],[Rit]],
    _xlfn.XLOOKUP($G$2,Int_Sample[Ore],Int_Sample[Inc])) = 0, "YES", "NO"),"")</f>
        <v>NO</v>
      </c>
      <c r="I416" s="32" t="str">
        <f>TEXT(HLG_02[[#This Row],[Batch]],"000")&amp; " / " &amp; TEXT(HLG_02[[#This Row],[Rit]],"000")</f>
        <v>006 / 022</v>
      </c>
      <c r="J416" s="34"/>
      <c r="K416" s="38"/>
      <c r="L416" s="35"/>
      <c r="M416" s="66"/>
      <c r="N416" s="66"/>
      <c r="O416" s="66"/>
      <c r="P416" s="66"/>
      <c r="Q416" s="66"/>
      <c r="R416" s="67"/>
      <c r="S416" s="67"/>
      <c r="T416" s="67"/>
      <c r="U416" s="66"/>
      <c r="V416" s="66"/>
      <c r="W416" s="66"/>
      <c r="X416" s="85"/>
      <c r="AP416" t="str">
        <v/>
      </c>
      <c r="AQ416" t="e">
        <v>#N/A</v>
      </c>
      <c r="AR416" t="e">
        <v>#N/A</v>
      </c>
      <c r="AS416" t="e">
        <v>#N/A</v>
      </c>
      <c r="AT416" t="e">
        <v>#N/A</v>
      </c>
      <c r="AU416" t="e">
        <v>#N/A</v>
      </c>
      <c r="AV416" t="e">
        <v>#N/A</v>
      </c>
    </row>
    <row r="417" spans="4:48" ht="15.75" x14ac:dyDescent="0.25">
      <c r="D417" s="3">
        <v>5</v>
      </c>
      <c r="F417" s="16" cm="1">
        <f t="array" ref="F4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17" s="31" cm="1">
        <f t="array" ref="G4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23</v>
      </c>
      <c r="H417" s="33" t="str">
        <f>_xlfn.IFNA(IF(MOD(HLG_02[[#This Row],[Rit]],
    _xlfn.XLOOKUP($G$2,Int_Sample[Ore],Int_Sample[Inc])) = 0, "YES", "NO"),"")</f>
        <v>NO</v>
      </c>
      <c r="I417" s="32" t="str">
        <f>TEXT(HLG_02[[#This Row],[Batch]],"000")&amp; " / " &amp; TEXT(HLG_02[[#This Row],[Rit]],"000")</f>
        <v>006 / 023</v>
      </c>
      <c r="J417" s="34"/>
      <c r="K417" s="38"/>
      <c r="L417" s="35"/>
      <c r="M417" s="66"/>
      <c r="N417" s="66"/>
      <c r="O417" s="66"/>
      <c r="P417" s="66"/>
      <c r="Q417" s="66"/>
      <c r="R417" s="67"/>
      <c r="S417" s="67"/>
      <c r="T417" s="67"/>
      <c r="U417" s="66"/>
      <c r="V417" s="66"/>
      <c r="W417" s="66"/>
      <c r="X417" s="85"/>
      <c r="AP417" t="str">
        <v/>
      </c>
      <c r="AQ417" t="e">
        <v>#N/A</v>
      </c>
      <c r="AR417" t="e">
        <v>#N/A</v>
      </c>
      <c r="AS417" t="e">
        <v>#N/A</v>
      </c>
      <c r="AT417" t="e">
        <v>#N/A</v>
      </c>
      <c r="AU417" t="e">
        <v>#N/A</v>
      </c>
      <c r="AV417" t="e">
        <v>#N/A</v>
      </c>
    </row>
    <row r="418" spans="4:48" ht="15.75" x14ac:dyDescent="0.25">
      <c r="D418" s="3">
        <v>5</v>
      </c>
      <c r="F418" s="16" cm="1">
        <f t="array" ref="F4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18" s="31" cm="1">
        <f t="array" ref="G4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24</v>
      </c>
      <c r="H418" s="33" t="str">
        <f>_xlfn.IFNA(IF(MOD(HLG_02[[#This Row],[Rit]],
    _xlfn.XLOOKUP($G$2,Int_Sample[Ore],Int_Sample[Inc])) = 0, "YES", "NO"),"")</f>
        <v>NO</v>
      </c>
      <c r="I418" s="32" t="str">
        <f>TEXT(HLG_02[[#This Row],[Batch]],"000")&amp; " / " &amp; TEXT(HLG_02[[#This Row],[Rit]],"000")</f>
        <v>006 / 024</v>
      </c>
      <c r="J418" s="34"/>
      <c r="K418" s="38"/>
      <c r="L418" s="35"/>
      <c r="M418" s="66"/>
      <c r="N418" s="66"/>
      <c r="O418" s="66"/>
      <c r="P418" s="66"/>
      <c r="Q418" s="66"/>
      <c r="R418" s="67"/>
      <c r="S418" s="67"/>
      <c r="T418" s="67"/>
      <c r="U418" s="66"/>
      <c r="V418" s="66"/>
      <c r="W418" s="66"/>
      <c r="X418" s="85"/>
      <c r="AP418" t="str">
        <v/>
      </c>
      <c r="AQ418" t="e">
        <v>#N/A</v>
      </c>
      <c r="AR418" t="e">
        <v>#N/A</v>
      </c>
      <c r="AS418" t="e">
        <v>#N/A</v>
      </c>
      <c r="AT418" t="e">
        <v>#N/A</v>
      </c>
      <c r="AU418" t="e">
        <v>#N/A</v>
      </c>
      <c r="AV418" t="e">
        <v>#N/A</v>
      </c>
    </row>
    <row r="419" spans="4:48" ht="15.75" x14ac:dyDescent="0.25">
      <c r="D419" s="3">
        <v>5</v>
      </c>
      <c r="F419" s="16" cm="1">
        <f t="array" ref="F4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19" s="31" cm="1">
        <f t="array" ref="G4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25</v>
      </c>
      <c r="H419" s="33" t="str">
        <f>_xlfn.IFNA(IF(MOD(HLG_02[[#This Row],[Rit]],
    _xlfn.XLOOKUP($G$2,Int_Sample[Ore],Int_Sample[Inc])) = 0, "YES", "NO"),"")</f>
        <v>YES</v>
      </c>
      <c r="I419" s="32" t="str">
        <f>TEXT(HLG_02[[#This Row],[Batch]],"000")&amp; " / " &amp; TEXT(HLG_02[[#This Row],[Rit]],"000")</f>
        <v>006 / 025</v>
      </c>
      <c r="J419" s="34"/>
      <c r="K419" s="38"/>
      <c r="L419" s="35"/>
      <c r="M419" s="66"/>
      <c r="N419" s="66"/>
      <c r="O419" s="66"/>
      <c r="P419" s="66"/>
      <c r="Q419" s="66"/>
      <c r="R419" s="67"/>
      <c r="S419" s="67"/>
      <c r="T419" s="67"/>
      <c r="U419" s="66"/>
      <c r="V419" s="66"/>
      <c r="W419" s="66"/>
      <c r="X419" s="85"/>
      <c r="AP419" t="str">
        <v/>
      </c>
      <c r="AQ419" t="e">
        <v>#N/A</v>
      </c>
      <c r="AR419" t="e">
        <v>#N/A</v>
      </c>
      <c r="AS419" t="e">
        <v>#N/A</v>
      </c>
      <c r="AT419" t="e">
        <v>#N/A</v>
      </c>
      <c r="AU419" t="e">
        <v>#N/A</v>
      </c>
      <c r="AV419" t="e">
        <v>#N/A</v>
      </c>
    </row>
    <row r="420" spans="4:48" ht="15.75" x14ac:dyDescent="0.25">
      <c r="D420" s="3">
        <v>5</v>
      </c>
      <c r="F420" s="16" cm="1">
        <f t="array" ref="F4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20" s="31" cm="1">
        <f t="array" ref="G4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26</v>
      </c>
      <c r="H420" s="33" t="str">
        <f>_xlfn.IFNA(IF(MOD(HLG_02[[#This Row],[Rit]],
    _xlfn.XLOOKUP($G$2,Int_Sample[Ore],Int_Sample[Inc])) = 0, "YES", "NO"),"")</f>
        <v>NO</v>
      </c>
      <c r="I420" s="32" t="str">
        <f>TEXT(HLG_02[[#This Row],[Batch]],"000")&amp; " / " &amp; TEXT(HLG_02[[#This Row],[Rit]],"000")</f>
        <v>006 / 026</v>
      </c>
      <c r="J420" s="34"/>
      <c r="K420" s="38"/>
      <c r="L420" s="35"/>
      <c r="M420" s="66"/>
      <c r="N420" s="66"/>
      <c r="O420" s="66"/>
      <c r="P420" s="66"/>
      <c r="Q420" s="66"/>
      <c r="R420" s="67"/>
      <c r="S420" s="67"/>
      <c r="T420" s="67"/>
      <c r="U420" s="66"/>
      <c r="V420" s="66"/>
      <c r="W420" s="66"/>
      <c r="X420" s="85"/>
      <c r="AP420" t="str">
        <v/>
      </c>
      <c r="AQ420" t="e">
        <v>#N/A</v>
      </c>
      <c r="AR420" t="e">
        <v>#N/A</v>
      </c>
      <c r="AS420" t="e">
        <v>#N/A</v>
      </c>
      <c r="AT420" t="e">
        <v>#N/A</v>
      </c>
      <c r="AU420" t="e">
        <v>#N/A</v>
      </c>
      <c r="AV420" t="e">
        <v>#N/A</v>
      </c>
    </row>
    <row r="421" spans="4:48" ht="15.75" x14ac:dyDescent="0.25">
      <c r="D421" s="3">
        <v>5</v>
      </c>
      <c r="F421" s="16" cm="1">
        <f t="array" ref="F4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21" s="31" cm="1">
        <f t="array" ref="G4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27</v>
      </c>
      <c r="H421" s="33" t="str">
        <f>_xlfn.IFNA(IF(MOD(HLG_02[[#This Row],[Rit]],
    _xlfn.XLOOKUP($G$2,Int_Sample[Ore],Int_Sample[Inc])) = 0, "YES", "NO"),"")</f>
        <v>NO</v>
      </c>
      <c r="I421" s="32" t="str">
        <f>TEXT(HLG_02[[#This Row],[Batch]],"000")&amp; " / " &amp; TEXT(HLG_02[[#This Row],[Rit]],"000")</f>
        <v>006 / 027</v>
      </c>
      <c r="J421" s="34"/>
      <c r="K421" s="38"/>
      <c r="L421" s="35"/>
      <c r="M421" s="66"/>
      <c r="N421" s="66"/>
      <c r="O421" s="66"/>
      <c r="P421" s="66"/>
      <c r="Q421" s="66"/>
      <c r="R421" s="67"/>
      <c r="S421" s="67"/>
      <c r="T421" s="67"/>
      <c r="U421" s="66"/>
      <c r="V421" s="66"/>
      <c r="W421" s="66"/>
      <c r="X421" s="85"/>
      <c r="AP421" t="str">
        <v/>
      </c>
      <c r="AQ421" t="e">
        <v>#N/A</v>
      </c>
      <c r="AR421" t="e">
        <v>#N/A</v>
      </c>
      <c r="AS421" t="e">
        <v>#N/A</v>
      </c>
      <c r="AT421" t="e">
        <v>#N/A</v>
      </c>
      <c r="AU421" t="e">
        <v>#N/A</v>
      </c>
      <c r="AV421" t="e">
        <v>#N/A</v>
      </c>
    </row>
    <row r="422" spans="4:48" ht="15.75" x14ac:dyDescent="0.25">
      <c r="D422" s="3">
        <v>5</v>
      </c>
      <c r="F422" s="16" cm="1">
        <f t="array" ref="F4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22" s="31" cm="1">
        <f t="array" ref="G4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28</v>
      </c>
      <c r="H422" s="33" t="str">
        <f>_xlfn.IFNA(IF(MOD(HLG_02[[#This Row],[Rit]],
    _xlfn.XLOOKUP($G$2,Int_Sample[Ore],Int_Sample[Inc])) = 0, "YES", "NO"),"")</f>
        <v>NO</v>
      </c>
      <c r="I422" s="32" t="str">
        <f>TEXT(HLG_02[[#This Row],[Batch]],"000")&amp; " / " &amp; TEXT(HLG_02[[#This Row],[Rit]],"000")</f>
        <v>006 / 028</v>
      </c>
      <c r="J422" s="34"/>
      <c r="K422" s="38"/>
      <c r="L422" s="35"/>
      <c r="M422" s="66"/>
      <c r="N422" s="66"/>
      <c r="O422" s="66"/>
      <c r="P422" s="66"/>
      <c r="Q422" s="66"/>
      <c r="R422" s="67"/>
      <c r="S422" s="67"/>
      <c r="T422" s="67"/>
      <c r="U422" s="66"/>
      <c r="V422" s="66"/>
      <c r="W422" s="66"/>
      <c r="X422" s="85"/>
      <c r="AP422" t="str">
        <v/>
      </c>
      <c r="AQ422" t="e">
        <v>#N/A</v>
      </c>
      <c r="AR422" t="e">
        <v>#N/A</v>
      </c>
      <c r="AS422" t="e">
        <v>#N/A</v>
      </c>
      <c r="AT422" t="e">
        <v>#N/A</v>
      </c>
      <c r="AU422" t="e">
        <v>#N/A</v>
      </c>
      <c r="AV422" t="e">
        <v>#N/A</v>
      </c>
    </row>
    <row r="423" spans="4:48" ht="15.75" x14ac:dyDescent="0.25">
      <c r="D423" s="3">
        <v>5</v>
      </c>
      <c r="F423" s="16" cm="1">
        <f t="array" ref="F4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23" s="31" cm="1">
        <f t="array" ref="G4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29</v>
      </c>
      <c r="H423" s="33" t="str">
        <f>_xlfn.IFNA(IF(MOD(HLG_02[[#This Row],[Rit]],
    _xlfn.XLOOKUP($G$2,Int_Sample[Ore],Int_Sample[Inc])) = 0, "YES", "NO"),"")</f>
        <v>NO</v>
      </c>
      <c r="I423" s="32" t="str">
        <f>TEXT(HLG_02[[#This Row],[Batch]],"000")&amp; " / " &amp; TEXT(HLG_02[[#This Row],[Rit]],"000")</f>
        <v>006 / 029</v>
      </c>
      <c r="J423" s="34"/>
      <c r="K423" s="38"/>
      <c r="L423" s="35"/>
      <c r="M423" s="66"/>
      <c r="N423" s="66"/>
      <c r="O423" s="66"/>
      <c r="P423" s="66"/>
      <c r="Q423" s="66"/>
      <c r="R423" s="67"/>
      <c r="S423" s="67"/>
      <c r="T423" s="67"/>
      <c r="U423" s="66"/>
      <c r="V423" s="66"/>
      <c r="W423" s="66"/>
      <c r="X423" s="85"/>
      <c r="AP423" t="str">
        <v/>
      </c>
      <c r="AQ423" t="e">
        <v>#N/A</v>
      </c>
      <c r="AR423" t="e">
        <v>#N/A</v>
      </c>
      <c r="AS423" t="e">
        <v>#N/A</v>
      </c>
      <c r="AT423" t="e">
        <v>#N/A</v>
      </c>
      <c r="AU423" t="e">
        <v>#N/A</v>
      </c>
      <c r="AV423" t="e">
        <v>#N/A</v>
      </c>
    </row>
    <row r="424" spans="4:48" ht="15.75" x14ac:dyDescent="0.25">
      <c r="D424" s="3">
        <v>5</v>
      </c>
      <c r="F424" s="16" cm="1">
        <f t="array" ref="F4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24" s="31" cm="1">
        <f t="array" ref="G4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30</v>
      </c>
      <c r="H424" s="33" t="str">
        <f>_xlfn.IFNA(IF(MOD(HLG_02[[#This Row],[Rit]],
    _xlfn.XLOOKUP($G$2,Int_Sample[Ore],Int_Sample[Inc])) = 0, "YES", "NO"),"")</f>
        <v>YES</v>
      </c>
      <c r="I424" s="32" t="str">
        <f>TEXT(HLG_02[[#This Row],[Batch]],"000")&amp; " / " &amp; TEXT(HLG_02[[#This Row],[Rit]],"000")</f>
        <v>006 / 030</v>
      </c>
      <c r="J424" s="34"/>
      <c r="K424" s="38"/>
      <c r="L424" s="35"/>
      <c r="M424" s="66"/>
      <c r="N424" s="66"/>
      <c r="O424" s="66"/>
      <c r="P424" s="66"/>
      <c r="Q424" s="66"/>
      <c r="R424" s="67"/>
      <c r="S424" s="67"/>
      <c r="T424" s="67"/>
      <c r="U424" s="66"/>
      <c r="V424" s="66"/>
      <c r="W424" s="66"/>
      <c r="X424" s="85"/>
      <c r="AP424" t="str">
        <v/>
      </c>
      <c r="AQ424" t="e">
        <v>#N/A</v>
      </c>
      <c r="AR424" t="e">
        <v>#N/A</v>
      </c>
      <c r="AS424" t="e">
        <v>#N/A</v>
      </c>
      <c r="AT424" t="e">
        <v>#N/A</v>
      </c>
      <c r="AU424" t="e">
        <v>#N/A</v>
      </c>
      <c r="AV424" t="e">
        <v>#N/A</v>
      </c>
    </row>
    <row r="425" spans="4:48" ht="15.75" x14ac:dyDescent="0.25">
      <c r="D425" s="3">
        <v>5</v>
      </c>
      <c r="F425" s="16" cm="1">
        <f t="array" ref="F4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25" s="31" cm="1">
        <f t="array" ref="G4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31</v>
      </c>
      <c r="H425" s="33" t="str">
        <f>_xlfn.IFNA(IF(MOD(HLG_02[[#This Row],[Rit]],
    _xlfn.XLOOKUP($G$2,Int_Sample[Ore],Int_Sample[Inc])) = 0, "YES", "NO"),"")</f>
        <v>NO</v>
      </c>
      <c r="I425" s="32" t="str">
        <f>TEXT(HLG_02[[#This Row],[Batch]],"000")&amp; " / " &amp; TEXT(HLG_02[[#This Row],[Rit]],"000")</f>
        <v>006 / 031</v>
      </c>
      <c r="J425" s="34"/>
      <c r="K425" s="38"/>
      <c r="L425" s="35"/>
      <c r="M425" s="66"/>
      <c r="N425" s="66"/>
      <c r="O425" s="66"/>
      <c r="P425" s="66"/>
      <c r="Q425" s="66"/>
      <c r="R425" s="67"/>
      <c r="S425" s="67"/>
      <c r="T425" s="67"/>
      <c r="U425" s="66"/>
      <c r="V425" s="66"/>
      <c r="W425" s="66"/>
      <c r="X425" s="85"/>
      <c r="AP425" t="str">
        <v/>
      </c>
      <c r="AQ425" t="e">
        <v>#N/A</v>
      </c>
      <c r="AR425" t="e">
        <v>#N/A</v>
      </c>
      <c r="AS425" t="e">
        <v>#N/A</v>
      </c>
      <c r="AT425" t="e">
        <v>#N/A</v>
      </c>
      <c r="AU425" t="e">
        <v>#N/A</v>
      </c>
      <c r="AV425" t="e">
        <v>#N/A</v>
      </c>
    </row>
    <row r="426" spans="4:48" ht="15.75" x14ac:dyDescent="0.25">
      <c r="D426" s="3">
        <v>5</v>
      </c>
      <c r="F426" s="16" cm="1">
        <f t="array" ref="F4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26" s="31" cm="1">
        <f t="array" ref="G4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32</v>
      </c>
      <c r="H426" s="33" t="str">
        <f>_xlfn.IFNA(IF(MOD(HLG_02[[#This Row],[Rit]],
    _xlfn.XLOOKUP($G$2,Int_Sample[Ore],Int_Sample[Inc])) = 0, "YES", "NO"),"")</f>
        <v>NO</v>
      </c>
      <c r="I426" s="32" t="str">
        <f>TEXT(HLG_02[[#This Row],[Batch]],"000")&amp; " / " &amp; TEXT(HLG_02[[#This Row],[Rit]],"000")</f>
        <v>006 / 032</v>
      </c>
      <c r="J426" s="34"/>
      <c r="K426" s="38"/>
      <c r="L426" s="35"/>
      <c r="M426" s="66"/>
      <c r="N426" s="66"/>
      <c r="O426" s="66"/>
      <c r="P426" s="66"/>
      <c r="Q426" s="66"/>
      <c r="R426" s="67"/>
      <c r="S426" s="67"/>
      <c r="T426" s="67"/>
      <c r="U426" s="66"/>
      <c r="V426" s="66"/>
      <c r="W426" s="66"/>
      <c r="X426" s="85"/>
      <c r="AP426" t="str">
        <v/>
      </c>
      <c r="AQ426" t="e">
        <v>#N/A</v>
      </c>
      <c r="AR426" t="e">
        <v>#N/A</v>
      </c>
      <c r="AS426" t="e">
        <v>#N/A</v>
      </c>
      <c r="AT426" t="e">
        <v>#N/A</v>
      </c>
      <c r="AU426" t="e">
        <v>#N/A</v>
      </c>
      <c r="AV426" t="e">
        <v>#N/A</v>
      </c>
    </row>
    <row r="427" spans="4:48" ht="15.75" x14ac:dyDescent="0.25">
      <c r="D427" s="3">
        <v>5</v>
      </c>
      <c r="F427" s="16" cm="1">
        <f t="array" ref="F4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27" s="31" cm="1">
        <f t="array" ref="G4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33</v>
      </c>
      <c r="H427" s="33" t="str">
        <f>_xlfn.IFNA(IF(MOD(HLG_02[[#This Row],[Rit]],
    _xlfn.XLOOKUP($G$2,Int_Sample[Ore],Int_Sample[Inc])) = 0, "YES", "NO"),"")</f>
        <v>NO</v>
      </c>
      <c r="I427" s="32" t="str">
        <f>TEXT(HLG_02[[#This Row],[Batch]],"000")&amp; " / " &amp; TEXT(HLG_02[[#This Row],[Rit]],"000")</f>
        <v>006 / 033</v>
      </c>
      <c r="J427" s="34"/>
      <c r="K427" s="38"/>
      <c r="L427" s="35"/>
      <c r="M427" s="66"/>
      <c r="N427" s="66"/>
      <c r="O427" s="66"/>
      <c r="P427" s="66"/>
      <c r="Q427" s="66"/>
      <c r="R427" s="67"/>
      <c r="S427" s="67"/>
      <c r="T427" s="67"/>
      <c r="U427" s="66"/>
      <c r="V427" s="66"/>
      <c r="W427" s="66"/>
      <c r="X427" s="85"/>
      <c r="AP427" t="str">
        <v/>
      </c>
      <c r="AQ427" t="e">
        <v>#N/A</v>
      </c>
      <c r="AR427" t="e">
        <v>#N/A</v>
      </c>
      <c r="AS427" t="e">
        <v>#N/A</v>
      </c>
      <c r="AT427" t="e">
        <v>#N/A</v>
      </c>
      <c r="AU427" t="e">
        <v>#N/A</v>
      </c>
      <c r="AV427" t="e">
        <v>#N/A</v>
      </c>
    </row>
    <row r="428" spans="4:48" ht="15.75" x14ac:dyDescent="0.25">
      <c r="D428" s="3">
        <v>5</v>
      </c>
      <c r="F428" s="16" cm="1">
        <f t="array" ref="F4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28" s="31" cm="1">
        <f t="array" ref="G4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34</v>
      </c>
      <c r="H428" s="33" t="str">
        <f>_xlfn.IFNA(IF(MOD(HLG_02[[#This Row],[Rit]],
    _xlfn.XLOOKUP($G$2,Int_Sample[Ore],Int_Sample[Inc])) = 0, "YES", "NO"),"")</f>
        <v>NO</v>
      </c>
      <c r="I428" s="32" t="str">
        <f>TEXT(HLG_02[[#This Row],[Batch]],"000")&amp; " / " &amp; TEXT(HLG_02[[#This Row],[Rit]],"000")</f>
        <v>006 / 034</v>
      </c>
      <c r="J428" s="34"/>
      <c r="K428" s="38"/>
      <c r="L428" s="35"/>
      <c r="M428" s="66"/>
      <c r="N428" s="66"/>
      <c r="O428" s="66"/>
      <c r="P428" s="66"/>
      <c r="Q428" s="66"/>
      <c r="R428" s="67"/>
      <c r="S428" s="67"/>
      <c r="T428" s="67"/>
      <c r="U428" s="66"/>
      <c r="V428" s="66"/>
      <c r="W428" s="66"/>
      <c r="X428" s="85"/>
      <c r="AP428" t="str">
        <v/>
      </c>
      <c r="AQ428" t="e">
        <v>#N/A</v>
      </c>
      <c r="AR428" t="e">
        <v>#N/A</v>
      </c>
      <c r="AS428" t="e">
        <v>#N/A</v>
      </c>
      <c r="AT428" t="e">
        <v>#N/A</v>
      </c>
      <c r="AU428" t="e">
        <v>#N/A</v>
      </c>
      <c r="AV428" t="e">
        <v>#N/A</v>
      </c>
    </row>
    <row r="429" spans="4:48" ht="15.75" x14ac:dyDescent="0.25">
      <c r="D429" s="3">
        <v>5</v>
      </c>
      <c r="F429" s="16" cm="1">
        <f t="array" ref="F4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29" s="31" cm="1">
        <f t="array" ref="G4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35</v>
      </c>
      <c r="H429" s="33" t="str">
        <f>_xlfn.IFNA(IF(MOD(HLG_02[[#This Row],[Rit]],
    _xlfn.XLOOKUP($G$2,Int_Sample[Ore],Int_Sample[Inc])) = 0, "YES", "NO"),"")</f>
        <v>YES</v>
      </c>
      <c r="I429" s="32" t="str">
        <f>TEXT(HLG_02[[#This Row],[Batch]],"000")&amp; " / " &amp; TEXT(HLG_02[[#This Row],[Rit]],"000")</f>
        <v>006 / 035</v>
      </c>
      <c r="J429" s="34"/>
      <c r="K429" s="38"/>
      <c r="L429" s="35"/>
      <c r="M429" s="66"/>
      <c r="N429" s="66"/>
      <c r="O429" s="66"/>
      <c r="P429" s="66"/>
      <c r="Q429" s="66"/>
      <c r="R429" s="67"/>
      <c r="S429" s="67"/>
      <c r="T429" s="67"/>
      <c r="U429" s="66"/>
      <c r="V429" s="66"/>
      <c r="W429" s="66"/>
      <c r="X429" s="85"/>
      <c r="AP429" t="str">
        <v/>
      </c>
      <c r="AQ429" t="e">
        <v>#N/A</v>
      </c>
      <c r="AR429" t="e">
        <v>#N/A</v>
      </c>
      <c r="AS429" t="e">
        <v>#N/A</v>
      </c>
      <c r="AT429" t="e">
        <v>#N/A</v>
      </c>
      <c r="AU429" t="e">
        <v>#N/A</v>
      </c>
      <c r="AV429" t="e">
        <v>#N/A</v>
      </c>
    </row>
    <row r="430" spans="4:48" ht="15.75" x14ac:dyDescent="0.25">
      <c r="D430" s="3">
        <v>5</v>
      </c>
      <c r="F430" s="16" cm="1">
        <f t="array" ref="F4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30" s="31" cm="1">
        <f t="array" ref="G4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36</v>
      </c>
      <c r="H430" s="33" t="str">
        <f>_xlfn.IFNA(IF(MOD(HLG_02[[#This Row],[Rit]],
    _xlfn.XLOOKUP($G$2,Int_Sample[Ore],Int_Sample[Inc])) = 0, "YES", "NO"),"")</f>
        <v>NO</v>
      </c>
      <c r="I430" s="32" t="str">
        <f>TEXT(HLG_02[[#This Row],[Batch]],"000")&amp; " / " &amp; TEXT(HLG_02[[#This Row],[Rit]],"000")</f>
        <v>006 / 036</v>
      </c>
      <c r="J430" s="34"/>
      <c r="K430" s="38"/>
      <c r="L430" s="35"/>
      <c r="M430" s="66"/>
      <c r="N430" s="66"/>
      <c r="O430" s="66"/>
      <c r="P430" s="66"/>
      <c r="Q430" s="66"/>
      <c r="R430" s="67"/>
      <c r="S430" s="67"/>
      <c r="T430" s="67"/>
      <c r="U430" s="66"/>
      <c r="V430" s="66"/>
      <c r="W430" s="66"/>
      <c r="X430" s="85"/>
      <c r="AP430" t="str">
        <v/>
      </c>
      <c r="AQ430" t="e">
        <v>#N/A</v>
      </c>
      <c r="AR430" t="e">
        <v>#N/A</v>
      </c>
      <c r="AS430" t="e">
        <v>#N/A</v>
      </c>
      <c r="AT430" t="e">
        <v>#N/A</v>
      </c>
      <c r="AU430" t="e">
        <v>#N/A</v>
      </c>
      <c r="AV430" t="e">
        <v>#N/A</v>
      </c>
    </row>
    <row r="431" spans="4:48" ht="15.75" x14ac:dyDescent="0.25">
      <c r="D431" s="3">
        <v>5</v>
      </c>
      <c r="F431" s="16" cm="1">
        <f t="array" ref="F4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31" s="31" cm="1">
        <f t="array" ref="G4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37</v>
      </c>
      <c r="H431" s="33" t="str">
        <f>_xlfn.IFNA(IF(MOD(HLG_02[[#This Row],[Rit]],
    _xlfn.XLOOKUP($G$2,Int_Sample[Ore],Int_Sample[Inc])) = 0, "YES", "NO"),"")</f>
        <v>NO</v>
      </c>
      <c r="I431" s="32" t="str">
        <f>TEXT(HLG_02[[#This Row],[Batch]],"000")&amp; " / " &amp; TEXT(HLG_02[[#This Row],[Rit]],"000")</f>
        <v>006 / 037</v>
      </c>
      <c r="J431" s="34"/>
      <c r="K431" s="38"/>
      <c r="L431" s="35"/>
      <c r="M431" s="66"/>
      <c r="N431" s="66"/>
      <c r="O431" s="66"/>
      <c r="P431" s="66"/>
      <c r="Q431" s="66"/>
      <c r="R431" s="67"/>
      <c r="S431" s="67"/>
      <c r="T431" s="67"/>
      <c r="U431" s="66"/>
      <c r="V431" s="66"/>
      <c r="W431" s="66"/>
      <c r="X431" s="85"/>
      <c r="AP431" t="str">
        <v/>
      </c>
      <c r="AQ431" t="e">
        <v>#N/A</v>
      </c>
      <c r="AR431" t="e">
        <v>#N/A</v>
      </c>
      <c r="AS431" t="e">
        <v>#N/A</v>
      </c>
      <c r="AT431" t="e">
        <v>#N/A</v>
      </c>
      <c r="AU431" t="e">
        <v>#N/A</v>
      </c>
      <c r="AV431" t="e">
        <v>#N/A</v>
      </c>
    </row>
    <row r="432" spans="4:48" ht="15.75" x14ac:dyDescent="0.25">
      <c r="D432" s="3">
        <v>5</v>
      </c>
      <c r="F432" s="16" cm="1">
        <f t="array" ref="F4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32" s="31" cm="1">
        <f t="array" ref="G4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38</v>
      </c>
      <c r="H432" s="33" t="str">
        <f>_xlfn.IFNA(IF(MOD(HLG_02[[#This Row],[Rit]],
    _xlfn.XLOOKUP($G$2,Int_Sample[Ore],Int_Sample[Inc])) = 0, "YES", "NO"),"")</f>
        <v>NO</v>
      </c>
      <c r="I432" s="32" t="str">
        <f>TEXT(HLG_02[[#This Row],[Batch]],"000")&amp; " / " &amp; TEXT(HLG_02[[#This Row],[Rit]],"000")</f>
        <v>006 / 038</v>
      </c>
      <c r="J432" s="34"/>
      <c r="K432" s="38"/>
      <c r="L432" s="35"/>
      <c r="M432" s="66"/>
      <c r="N432" s="66"/>
      <c r="O432" s="66"/>
      <c r="P432" s="66"/>
      <c r="Q432" s="66"/>
      <c r="R432" s="67"/>
      <c r="S432" s="67"/>
      <c r="T432" s="67"/>
      <c r="U432" s="66"/>
      <c r="V432" s="66"/>
      <c r="W432" s="66"/>
      <c r="X432" s="85"/>
      <c r="AP432" t="str">
        <v/>
      </c>
      <c r="AQ432" t="e">
        <v>#N/A</v>
      </c>
      <c r="AR432" t="e">
        <v>#N/A</v>
      </c>
      <c r="AS432" t="e">
        <v>#N/A</v>
      </c>
      <c r="AT432" t="e">
        <v>#N/A</v>
      </c>
      <c r="AU432" t="e">
        <v>#N/A</v>
      </c>
      <c r="AV432" t="e">
        <v>#N/A</v>
      </c>
    </row>
    <row r="433" spans="4:48" ht="15.75" x14ac:dyDescent="0.25">
      <c r="D433" s="3">
        <v>5</v>
      </c>
      <c r="F433" s="16" cm="1">
        <f t="array" ref="F4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33" s="31" cm="1">
        <f t="array" ref="G4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39</v>
      </c>
      <c r="H433" s="33" t="str">
        <f>_xlfn.IFNA(IF(MOD(HLG_02[[#This Row],[Rit]],
    _xlfn.XLOOKUP($G$2,Int_Sample[Ore],Int_Sample[Inc])) = 0, "YES", "NO"),"")</f>
        <v>NO</v>
      </c>
      <c r="I433" s="32" t="str">
        <f>TEXT(HLG_02[[#This Row],[Batch]],"000")&amp; " / " &amp; TEXT(HLG_02[[#This Row],[Rit]],"000")</f>
        <v>006 / 039</v>
      </c>
      <c r="J433" s="34"/>
      <c r="K433" s="38"/>
      <c r="L433" s="35"/>
      <c r="M433" s="66"/>
      <c r="N433" s="66"/>
      <c r="O433" s="66"/>
      <c r="P433" s="66"/>
      <c r="Q433" s="66"/>
      <c r="R433" s="67"/>
      <c r="S433" s="67"/>
      <c r="T433" s="67"/>
      <c r="U433" s="66"/>
      <c r="V433" s="66"/>
      <c r="W433" s="66"/>
      <c r="X433" s="85"/>
      <c r="AP433" t="str">
        <v/>
      </c>
      <c r="AQ433" t="e">
        <v>#N/A</v>
      </c>
      <c r="AR433" t="e">
        <v>#N/A</v>
      </c>
      <c r="AS433" t="e">
        <v>#N/A</v>
      </c>
      <c r="AT433" t="e">
        <v>#N/A</v>
      </c>
      <c r="AU433" t="e">
        <v>#N/A</v>
      </c>
      <c r="AV433" t="e">
        <v>#N/A</v>
      </c>
    </row>
    <row r="434" spans="4:48" ht="15.75" x14ac:dyDescent="0.25">
      <c r="D434" s="3">
        <v>5</v>
      </c>
      <c r="F434" s="16" cm="1">
        <f t="array" ref="F4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34" s="31" cm="1">
        <f t="array" ref="G4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40</v>
      </c>
      <c r="H434" s="33" t="str">
        <f>_xlfn.IFNA(IF(MOD(HLG_02[[#This Row],[Rit]],
    _xlfn.XLOOKUP($G$2,Int_Sample[Ore],Int_Sample[Inc])) = 0, "YES", "NO"),"")</f>
        <v>YES</v>
      </c>
      <c r="I434" s="32" t="str">
        <f>TEXT(HLG_02[[#This Row],[Batch]],"000")&amp; " / " &amp; TEXT(HLG_02[[#This Row],[Rit]],"000")</f>
        <v>006 / 040</v>
      </c>
      <c r="J434" s="34"/>
      <c r="K434" s="38"/>
      <c r="L434" s="35"/>
      <c r="M434" s="66"/>
      <c r="N434" s="66"/>
      <c r="O434" s="66"/>
      <c r="P434" s="66"/>
      <c r="Q434" s="66"/>
      <c r="R434" s="67"/>
      <c r="S434" s="67"/>
      <c r="T434" s="67"/>
      <c r="U434" s="66"/>
      <c r="V434" s="66"/>
      <c r="W434" s="66"/>
      <c r="X434" s="85"/>
      <c r="AP434" t="str">
        <v/>
      </c>
      <c r="AQ434" t="e">
        <v>#N/A</v>
      </c>
      <c r="AR434" t="e">
        <v>#N/A</v>
      </c>
      <c r="AS434" t="e">
        <v>#N/A</v>
      </c>
      <c r="AT434" t="e">
        <v>#N/A</v>
      </c>
      <c r="AU434" t="e">
        <v>#N/A</v>
      </c>
      <c r="AV434" t="e">
        <v>#N/A</v>
      </c>
    </row>
    <row r="435" spans="4:48" ht="15.75" x14ac:dyDescent="0.25">
      <c r="D435" s="3">
        <v>5</v>
      </c>
      <c r="F435" s="16" cm="1">
        <f t="array" ref="F4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35" s="31" cm="1">
        <f t="array" ref="G4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41</v>
      </c>
      <c r="H435" s="33" t="str">
        <f>_xlfn.IFNA(IF(MOD(HLG_02[[#This Row],[Rit]],
    _xlfn.XLOOKUP($G$2,Int_Sample[Ore],Int_Sample[Inc])) = 0, "YES", "NO"),"")</f>
        <v>NO</v>
      </c>
      <c r="I435" s="32" t="str">
        <f>TEXT(HLG_02[[#This Row],[Batch]],"000")&amp; " / " &amp; TEXT(HLG_02[[#This Row],[Rit]],"000")</f>
        <v>006 / 041</v>
      </c>
      <c r="J435" s="34"/>
      <c r="K435" s="38"/>
      <c r="L435" s="35"/>
      <c r="M435" s="66"/>
      <c r="N435" s="66"/>
      <c r="O435" s="66"/>
      <c r="P435" s="66"/>
      <c r="Q435" s="66"/>
      <c r="R435" s="67"/>
      <c r="S435" s="67"/>
      <c r="T435" s="67"/>
      <c r="U435" s="66"/>
      <c r="V435" s="66"/>
      <c r="W435" s="66"/>
      <c r="X435" s="85"/>
      <c r="AP435" t="str">
        <v/>
      </c>
      <c r="AQ435" t="e">
        <v>#N/A</v>
      </c>
      <c r="AR435" t="e">
        <v>#N/A</v>
      </c>
      <c r="AS435" t="e">
        <v>#N/A</v>
      </c>
      <c r="AT435" t="e">
        <v>#N/A</v>
      </c>
      <c r="AU435" t="e">
        <v>#N/A</v>
      </c>
      <c r="AV435" t="e">
        <v>#N/A</v>
      </c>
    </row>
    <row r="436" spans="4:48" ht="15.75" x14ac:dyDescent="0.25">
      <c r="D436" s="3">
        <v>5</v>
      </c>
      <c r="F436" s="16" cm="1">
        <f t="array" ref="F4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36" s="31" cm="1">
        <f t="array" ref="G4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42</v>
      </c>
      <c r="H436" s="33" t="str">
        <f>_xlfn.IFNA(IF(MOD(HLG_02[[#This Row],[Rit]],
    _xlfn.XLOOKUP($G$2,Int_Sample[Ore],Int_Sample[Inc])) = 0, "YES", "NO"),"")</f>
        <v>NO</v>
      </c>
      <c r="I436" s="32" t="str">
        <f>TEXT(HLG_02[[#This Row],[Batch]],"000")&amp; " / " &amp; TEXT(HLG_02[[#This Row],[Rit]],"000")</f>
        <v>006 / 042</v>
      </c>
      <c r="J436" s="34"/>
      <c r="K436" s="38"/>
      <c r="L436" s="35"/>
      <c r="M436" s="66"/>
      <c r="N436" s="66"/>
      <c r="O436" s="66"/>
      <c r="P436" s="66"/>
      <c r="Q436" s="66"/>
      <c r="R436" s="67"/>
      <c r="S436" s="67"/>
      <c r="T436" s="67"/>
      <c r="U436" s="66"/>
      <c r="V436" s="66"/>
      <c r="W436" s="66"/>
      <c r="X436" s="85"/>
      <c r="AP436" t="str">
        <v/>
      </c>
      <c r="AQ436" t="e">
        <v>#N/A</v>
      </c>
      <c r="AR436" t="e">
        <v>#N/A</v>
      </c>
      <c r="AS436" t="e">
        <v>#N/A</v>
      </c>
      <c r="AT436" t="e">
        <v>#N/A</v>
      </c>
      <c r="AU436" t="e">
        <v>#N/A</v>
      </c>
      <c r="AV436" t="e">
        <v>#N/A</v>
      </c>
    </row>
    <row r="437" spans="4:48" ht="15.75" x14ac:dyDescent="0.25">
      <c r="D437" s="3">
        <v>5</v>
      </c>
      <c r="F437" s="16" cm="1">
        <f t="array" ref="F4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37" s="31" cm="1">
        <f t="array" ref="G4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43</v>
      </c>
      <c r="H437" s="33" t="str">
        <f>_xlfn.IFNA(IF(MOD(HLG_02[[#This Row],[Rit]],
    _xlfn.XLOOKUP($G$2,Int_Sample[Ore],Int_Sample[Inc])) = 0, "YES", "NO"),"")</f>
        <v>NO</v>
      </c>
      <c r="I437" s="32" t="str">
        <f>TEXT(HLG_02[[#This Row],[Batch]],"000")&amp; " / " &amp; TEXT(HLG_02[[#This Row],[Rit]],"000")</f>
        <v>006 / 043</v>
      </c>
      <c r="J437" s="34"/>
      <c r="K437" s="38"/>
      <c r="L437" s="35"/>
      <c r="M437" s="66"/>
      <c r="N437" s="66"/>
      <c r="O437" s="66"/>
      <c r="P437" s="66"/>
      <c r="Q437" s="66"/>
      <c r="R437" s="67"/>
      <c r="S437" s="67"/>
      <c r="T437" s="67"/>
      <c r="U437" s="66"/>
      <c r="V437" s="66"/>
      <c r="W437" s="66"/>
      <c r="X437" s="85"/>
      <c r="AP437" t="str">
        <v/>
      </c>
      <c r="AQ437" t="e">
        <v>#N/A</v>
      </c>
      <c r="AR437" t="e">
        <v>#N/A</v>
      </c>
      <c r="AS437" t="e">
        <v>#N/A</v>
      </c>
      <c r="AT437" t="e">
        <v>#N/A</v>
      </c>
      <c r="AU437" t="e">
        <v>#N/A</v>
      </c>
      <c r="AV437" t="e">
        <v>#N/A</v>
      </c>
    </row>
    <row r="438" spans="4:48" ht="15.75" x14ac:dyDescent="0.25">
      <c r="D438" s="3">
        <v>5</v>
      </c>
      <c r="F438" s="16" cm="1">
        <f t="array" ref="F4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38" s="31" cm="1">
        <f t="array" ref="G4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44</v>
      </c>
      <c r="H438" s="33" t="str">
        <f>_xlfn.IFNA(IF(MOD(HLG_02[[#This Row],[Rit]],
    _xlfn.XLOOKUP($G$2,Int_Sample[Ore],Int_Sample[Inc])) = 0, "YES", "NO"),"")</f>
        <v>NO</v>
      </c>
      <c r="I438" s="32" t="str">
        <f>TEXT(HLG_02[[#This Row],[Batch]],"000")&amp; " / " &amp; TEXT(HLG_02[[#This Row],[Rit]],"000")</f>
        <v>006 / 044</v>
      </c>
      <c r="J438" s="34"/>
      <c r="K438" s="38"/>
      <c r="L438" s="35"/>
      <c r="M438" s="66"/>
      <c r="N438" s="66"/>
      <c r="O438" s="66"/>
      <c r="P438" s="66"/>
      <c r="Q438" s="66"/>
      <c r="R438" s="67"/>
      <c r="S438" s="67"/>
      <c r="T438" s="67"/>
      <c r="U438" s="66"/>
      <c r="V438" s="66"/>
      <c r="W438" s="66"/>
      <c r="X438" s="85"/>
      <c r="AP438" t="str">
        <v/>
      </c>
      <c r="AQ438" t="e">
        <v>#N/A</v>
      </c>
      <c r="AR438" t="e">
        <v>#N/A</v>
      </c>
      <c r="AS438" t="e">
        <v>#N/A</v>
      </c>
      <c r="AT438" t="e">
        <v>#N/A</v>
      </c>
      <c r="AU438" t="e">
        <v>#N/A</v>
      </c>
      <c r="AV438" t="e">
        <v>#N/A</v>
      </c>
    </row>
    <row r="439" spans="4:48" ht="15.75" x14ac:dyDescent="0.25">
      <c r="D439" s="3">
        <v>5</v>
      </c>
      <c r="F439" s="16" cm="1">
        <f t="array" ref="F4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39" s="31" cm="1">
        <f t="array" ref="G4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45</v>
      </c>
      <c r="H439" s="33" t="str">
        <f>_xlfn.IFNA(IF(MOD(HLG_02[[#This Row],[Rit]],
    _xlfn.XLOOKUP($G$2,Int_Sample[Ore],Int_Sample[Inc])) = 0, "YES", "NO"),"")</f>
        <v>YES</v>
      </c>
      <c r="I439" s="32" t="str">
        <f>TEXT(HLG_02[[#This Row],[Batch]],"000")&amp; " / " &amp; TEXT(HLG_02[[#This Row],[Rit]],"000")</f>
        <v>006 / 045</v>
      </c>
      <c r="J439" s="34"/>
      <c r="K439" s="38"/>
      <c r="L439" s="35"/>
      <c r="M439" s="66"/>
      <c r="N439" s="66"/>
      <c r="O439" s="66"/>
      <c r="P439" s="66"/>
      <c r="Q439" s="66"/>
      <c r="R439" s="67"/>
      <c r="S439" s="67"/>
      <c r="T439" s="67"/>
      <c r="U439" s="66"/>
      <c r="V439" s="66"/>
      <c r="W439" s="66"/>
      <c r="X439" s="85"/>
      <c r="AP439" t="str">
        <v/>
      </c>
      <c r="AQ439" t="e">
        <v>#N/A</v>
      </c>
      <c r="AR439" t="e">
        <v>#N/A</v>
      </c>
      <c r="AS439" t="e">
        <v>#N/A</v>
      </c>
      <c r="AT439" t="e">
        <v>#N/A</v>
      </c>
      <c r="AU439" t="e">
        <v>#N/A</v>
      </c>
      <c r="AV439" t="e">
        <v>#N/A</v>
      </c>
    </row>
    <row r="440" spans="4:48" ht="15.75" x14ac:dyDescent="0.25">
      <c r="D440" s="3">
        <v>5</v>
      </c>
      <c r="F440" s="16" cm="1">
        <f t="array" ref="F4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40" s="31" cm="1">
        <f t="array" ref="G4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46</v>
      </c>
      <c r="H440" s="33" t="str">
        <f>_xlfn.IFNA(IF(MOD(HLG_02[[#This Row],[Rit]],
    _xlfn.XLOOKUP($G$2,Int_Sample[Ore],Int_Sample[Inc])) = 0, "YES", "NO"),"")</f>
        <v>NO</v>
      </c>
      <c r="I440" s="32" t="str">
        <f>TEXT(HLG_02[[#This Row],[Batch]],"000")&amp; " / " &amp; TEXT(HLG_02[[#This Row],[Rit]],"000")</f>
        <v>006 / 046</v>
      </c>
      <c r="J440" s="34"/>
      <c r="K440" s="38"/>
      <c r="L440" s="35"/>
      <c r="M440" s="66"/>
      <c r="N440" s="66"/>
      <c r="O440" s="66"/>
      <c r="P440" s="66"/>
      <c r="Q440" s="66"/>
      <c r="R440" s="67"/>
      <c r="S440" s="67"/>
      <c r="T440" s="67"/>
      <c r="U440" s="66"/>
      <c r="V440" s="66"/>
      <c r="W440" s="66"/>
      <c r="X440" s="85"/>
      <c r="AP440" t="str">
        <v/>
      </c>
      <c r="AQ440" t="e">
        <v>#N/A</v>
      </c>
      <c r="AR440" t="e">
        <v>#N/A</v>
      </c>
      <c r="AS440" t="e">
        <v>#N/A</v>
      </c>
      <c r="AT440" t="e">
        <v>#N/A</v>
      </c>
      <c r="AU440" t="e">
        <v>#N/A</v>
      </c>
      <c r="AV440" t="e">
        <v>#N/A</v>
      </c>
    </row>
    <row r="441" spans="4:48" ht="15.75" x14ac:dyDescent="0.25">
      <c r="D441" s="3">
        <v>5</v>
      </c>
      <c r="F441" s="16" cm="1">
        <f t="array" ref="F4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41" s="31" cm="1">
        <f t="array" ref="G4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47</v>
      </c>
      <c r="H441" s="33" t="str">
        <f>_xlfn.IFNA(IF(MOD(HLG_02[[#This Row],[Rit]],
    _xlfn.XLOOKUP($G$2,Int_Sample[Ore],Int_Sample[Inc])) = 0, "YES", "NO"),"")</f>
        <v>NO</v>
      </c>
      <c r="I441" s="32" t="str">
        <f>TEXT(HLG_02[[#This Row],[Batch]],"000")&amp; " / " &amp; TEXT(HLG_02[[#This Row],[Rit]],"000")</f>
        <v>006 / 047</v>
      </c>
      <c r="J441" s="34"/>
      <c r="K441" s="38"/>
      <c r="L441" s="35"/>
      <c r="M441" s="66"/>
      <c r="N441" s="66"/>
      <c r="O441" s="66"/>
      <c r="P441" s="66"/>
      <c r="Q441" s="66"/>
      <c r="R441" s="67"/>
      <c r="S441" s="67"/>
      <c r="T441" s="67"/>
      <c r="U441" s="66"/>
      <c r="V441" s="66"/>
      <c r="W441" s="66"/>
      <c r="X441" s="85"/>
      <c r="AP441" t="str">
        <v/>
      </c>
      <c r="AQ441" t="e">
        <v>#N/A</v>
      </c>
      <c r="AR441" t="e">
        <v>#N/A</v>
      </c>
      <c r="AS441" t="e">
        <v>#N/A</v>
      </c>
      <c r="AT441" t="e">
        <v>#N/A</v>
      </c>
      <c r="AU441" t="e">
        <v>#N/A</v>
      </c>
      <c r="AV441" t="e">
        <v>#N/A</v>
      </c>
    </row>
    <row r="442" spans="4:48" ht="15.75" x14ac:dyDescent="0.25">
      <c r="D442" s="3">
        <v>5</v>
      </c>
      <c r="F442" s="16" cm="1">
        <f t="array" ref="F4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42" s="31" cm="1">
        <f t="array" ref="G4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48</v>
      </c>
      <c r="H442" s="33" t="str">
        <f>_xlfn.IFNA(IF(MOD(HLG_02[[#This Row],[Rit]],
    _xlfn.XLOOKUP($G$2,Int_Sample[Ore],Int_Sample[Inc])) = 0, "YES", "NO"),"")</f>
        <v>NO</v>
      </c>
      <c r="I442" s="32" t="str">
        <f>TEXT(HLG_02[[#This Row],[Batch]],"000")&amp; " / " &amp; TEXT(HLG_02[[#This Row],[Rit]],"000")</f>
        <v>006 / 048</v>
      </c>
      <c r="J442" s="34"/>
      <c r="K442" s="38"/>
      <c r="L442" s="35"/>
      <c r="M442" s="66"/>
      <c r="N442" s="66"/>
      <c r="O442" s="66"/>
      <c r="P442" s="66"/>
      <c r="Q442" s="66"/>
      <c r="R442" s="67"/>
      <c r="S442" s="67"/>
      <c r="T442" s="67"/>
      <c r="U442" s="66"/>
      <c r="V442" s="66"/>
      <c r="W442" s="66"/>
      <c r="X442" s="85"/>
      <c r="AP442" t="str">
        <v/>
      </c>
      <c r="AQ442" t="e">
        <v>#N/A</v>
      </c>
      <c r="AR442" t="e">
        <v>#N/A</v>
      </c>
      <c r="AS442" t="e">
        <v>#N/A</v>
      </c>
      <c r="AT442" t="e">
        <v>#N/A</v>
      </c>
      <c r="AU442" t="e">
        <v>#N/A</v>
      </c>
      <c r="AV442" t="e">
        <v>#N/A</v>
      </c>
    </row>
    <row r="443" spans="4:48" ht="15.75" x14ac:dyDescent="0.25">
      <c r="D443" s="3">
        <v>5</v>
      </c>
      <c r="F443" s="16" cm="1">
        <f t="array" ref="F4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43" s="31" cm="1">
        <f t="array" ref="G4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49</v>
      </c>
      <c r="H443" s="33" t="str">
        <f>_xlfn.IFNA(IF(MOD(HLG_02[[#This Row],[Rit]],
    _xlfn.XLOOKUP($G$2,Int_Sample[Ore],Int_Sample[Inc])) = 0, "YES", "NO"),"")</f>
        <v>NO</v>
      </c>
      <c r="I443" s="32" t="str">
        <f>TEXT(HLG_02[[#This Row],[Batch]],"000")&amp; " / " &amp; TEXT(HLG_02[[#This Row],[Rit]],"000")</f>
        <v>006 / 049</v>
      </c>
      <c r="J443" s="34"/>
      <c r="K443" s="38"/>
      <c r="L443" s="35"/>
      <c r="M443" s="66"/>
      <c r="N443" s="66"/>
      <c r="O443" s="66"/>
      <c r="P443" s="66"/>
      <c r="Q443" s="66"/>
      <c r="R443" s="67"/>
      <c r="S443" s="67"/>
      <c r="T443" s="67"/>
      <c r="U443" s="66"/>
      <c r="V443" s="66"/>
      <c r="W443" s="66"/>
      <c r="X443" s="85"/>
      <c r="AP443" t="str">
        <v/>
      </c>
      <c r="AQ443" t="e">
        <v>#N/A</v>
      </c>
      <c r="AR443" t="e">
        <v>#N/A</v>
      </c>
      <c r="AS443" t="e">
        <v>#N/A</v>
      </c>
      <c r="AT443" t="e">
        <v>#N/A</v>
      </c>
      <c r="AU443" t="e">
        <v>#N/A</v>
      </c>
      <c r="AV443" t="e">
        <v>#N/A</v>
      </c>
    </row>
    <row r="444" spans="4:48" ht="15.75" x14ac:dyDescent="0.25">
      <c r="D444" s="3">
        <v>5</v>
      </c>
      <c r="F444" s="16" cm="1">
        <f t="array" ref="F4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44" s="31" cm="1">
        <f t="array" ref="G4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50</v>
      </c>
      <c r="H444" s="33" t="str">
        <f>_xlfn.IFNA(IF(MOD(HLG_02[[#This Row],[Rit]],
    _xlfn.XLOOKUP($G$2,Int_Sample[Ore],Int_Sample[Inc])) = 0, "YES", "NO"),"")</f>
        <v>YES</v>
      </c>
      <c r="I444" s="32" t="str">
        <f>TEXT(HLG_02[[#This Row],[Batch]],"000")&amp; " / " &amp; TEXT(HLG_02[[#This Row],[Rit]],"000")</f>
        <v>006 / 050</v>
      </c>
      <c r="J444" s="34"/>
      <c r="K444" s="38"/>
      <c r="L444" s="35"/>
      <c r="M444" s="66"/>
      <c r="N444" s="66"/>
      <c r="O444" s="66"/>
      <c r="P444" s="66"/>
      <c r="Q444" s="66"/>
      <c r="R444" s="67"/>
      <c r="S444" s="67"/>
      <c r="T444" s="67"/>
      <c r="U444" s="66"/>
      <c r="V444" s="66"/>
      <c r="W444" s="66"/>
      <c r="X444" s="85"/>
      <c r="AP444" t="str">
        <v/>
      </c>
      <c r="AQ444" t="e">
        <v>#N/A</v>
      </c>
      <c r="AR444" t="e">
        <v>#N/A</v>
      </c>
      <c r="AS444" t="e">
        <v>#N/A</v>
      </c>
      <c r="AT444" t="e">
        <v>#N/A</v>
      </c>
      <c r="AU444" t="e">
        <v>#N/A</v>
      </c>
      <c r="AV444" t="e">
        <v>#N/A</v>
      </c>
    </row>
    <row r="445" spans="4:48" ht="15.75" x14ac:dyDescent="0.25">
      <c r="D445" s="3">
        <v>5</v>
      </c>
      <c r="F445" s="16" cm="1">
        <f t="array" ref="F4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45" s="31" cm="1">
        <f t="array" ref="G4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51</v>
      </c>
      <c r="H445" s="33" t="str">
        <f>_xlfn.IFNA(IF(MOD(HLG_02[[#This Row],[Rit]],
    _xlfn.XLOOKUP($G$2,Int_Sample[Ore],Int_Sample[Inc])) = 0, "YES", "NO"),"")</f>
        <v>NO</v>
      </c>
      <c r="I445" s="32" t="str">
        <f>TEXT(HLG_02[[#This Row],[Batch]],"000")&amp; " / " &amp; TEXT(HLG_02[[#This Row],[Rit]],"000")</f>
        <v>006 / 051</v>
      </c>
      <c r="J445" s="34"/>
      <c r="K445" s="38"/>
      <c r="L445" s="35"/>
      <c r="M445" s="66"/>
      <c r="N445" s="66"/>
      <c r="O445" s="66"/>
      <c r="P445" s="66"/>
      <c r="Q445" s="66"/>
      <c r="R445" s="67"/>
      <c r="S445" s="67"/>
      <c r="T445" s="67"/>
      <c r="U445" s="66"/>
      <c r="V445" s="66"/>
      <c r="W445" s="66"/>
      <c r="X445" s="85"/>
      <c r="AP445" t="str">
        <v/>
      </c>
      <c r="AQ445" t="e">
        <v>#N/A</v>
      </c>
      <c r="AR445" t="e">
        <v>#N/A</v>
      </c>
      <c r="AS445" t="e">
        <v>#N/A</v>
      </c>
      <c r="AT445" t="e">
        <v>#N/A</v>
      </c>
      <c r="AU445" t="e">
        <v>#N/A</v>
      </c>
      <c r="AV445" t="e">
        <v>#N/A</v>
      </c>
    </row>
    <row r="446" spans="4:48" ht="15.75" x14ac:dyDescent="0.25">
      <c r="D446" s="3">
        <v>5</v>
      </c>
      <c r="F446" s="16" cm="1">
        <f t="array" ref="F4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46" s="31" cm="1">
        <f t="array" ref="G4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52</v>
      </c>
      <c r="H446" s="33" t="str">
        <f>_xlfn.IFNA(IF(MOD(HLG_02[[#This Row],[Rit]],
    _xlfn.XLOOKUP($G$2,Int_Sample[Ore],Int_Sample[Inc])) = 0, "YES", "NO"),"")</f>
        <v>NO</v>
      </c>
      <c r="I446" s="32" t="str">
        <f>TEXT(HLG_02[[#This Row],[Batch]],"000")&amp; " / " &amp; TEXT(HLG_02[[#This Row],[Rit]],"000")</f>
        <v>006 / 052</v>
      </c>
      <c r="J446" s="34"/>
      <c r="K446" s="38"/>
      <c r="L446" s="35"/>
      <c r="M446" s="66"/>
      <c r="N446" s="66"/>
      <c r="O446" s="66"/>
      <c r="P446" s="66"/>
      <c r="Q446" s="66"/>
      <c r="R446" s="67"/>
      <c r="S446" s="67"/>
      <c r="T446" s="67"/>
      <c r="U446" s="66"/>
      <c r="V446" s="66"/>
      <c r="W446" s="66"/>
      <c r="X446" s="85"/>
      <c r="AP446" t="str">
        <v/>
      </c>
      <c r="AQ446" t="e">
        <v>#N/A</v>
      </c>
      <c r="AR446" t="e">
        <v>#N/A</v>
      </c>
      <c r="AS446" t="e">
        <v>#N/A</v>
      </c>
      <c r="AT446" t="e">
        <v>#N/A</v>
      </c>
      <c r="AU446" t="e">
        <v>#N/A</v>
      </c>
      <c r="AV446" t="e">
        <v>#N/A</v>
      </c>
    </row>
    <row r="447" spans="4:48" ht="15.75" x14ac:dyDescent="0.25">
      <c r="D447" s="3">
        <v>5</v>
      </c>
      <c r="F447" s="16" cm="1">
        <f t="array" ref="F4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47" s="31" cm="1">
        <f t="array" ref="G4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53</v>
      </c>
      <c r="H447" s="33" t="str">
        <f>_xlfn.IFNA(IF(MOD(HLG_02[[#This Row],[Rit]],
    _xlfn.XLOOKUP($G$2,Int_Sample[Ore],Int_Sample[Inc])) = 0, "YES", "NO"),"")</f>
        <v>NO</v>
      </c>
      <c r="I447" s="32" t="str">
        <f>TEXT(HLG_02[[#This Row],[Batch]],"000")&amp; " / " &amp; TEXT(HLG_02[[#This Row],[Rit]],"000")</f>
        <v>006 / 053</v>
      </c>
      <c r="J447" s="34"/>
      <c r="K447" s="38"/>
      <c r="L447" s="35"/>
      <c r="M447" s="66"/>
      <c r="N447" s="66"/>
      <c r="O447" s="66"/>
      <c r="P447" s="66"/>
      <c r="Q447" s="66"/>
      <c r="R447" s="67"/>
      <c r="S447" s="67"/>
      <c r="T447" s="67"/>
      <c r="U447" s="66"/>
      <c r="V447" s="66"/>
      <c r="W447" s="66"/>
      <c r="X447" s="85"/>
      <c r="AP447" t="str">
        <v/>
      </c>
      <c r="AQ447" t="e">
        <v>#N/A</v>
      </c>
      <c r="AR447" t="e">
        <v>#N/A</v>
      </c>
      <c r="AS447" t="e">
        <v>#N/A</v>
      </c>
      <c r="AT447" t="e">
        <v>#N/A</v>
      </c>
      <c r="AU447" t="e">
        <v>#N/A</v>
      </c>
      <c r="AV447" t="e">
        <v>#N/A</v>
      </c>
    </row>
    <row r="448" spans="4:48" ht="15.75" x14ac:dyDescent="0.25">
      <c r="D448" s="3">
        <v>5</v>
      </c>
      <c r="F448" s="16" cm="1">
        <f t="array" ref="F4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48" s="31" cm="1">
        <f t="array" ref="G4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54</v>
      </c>
      <c r="H448" s="33" t="str">
        <f>_xlfn.IFNA(IF(MOD(HLG_02[[#This Row],[Rit]],
    _xlfn.XLOOKUP($G$2,Int_Sample[Ore],Int_Sample[Inc])) = 0, "YES", "NO"),"")</f>
        <v>NO</v>
      </c>
      <c r="I448" s="32" t="str">
        <f>TEXT(HLG_02[[#This Row],[Batch]],"000")&amp; " / " &amp; TEXT(HLG_02[[#This Row],[Rit]],"000")</f>
        <v>006 / 054</v>
      </c>
      <c r="J448" s="34"/>
      <c r="K448" s="38"/>
      <c r="L448" s="35"/>
      <c r="M448" s="66"/>
      <c r="N448" s="66"/>
      <c r="O448" s="66"/>
      <c r="P448" s="66"/>
      <c r="Q448" s="66"/>
      <c r="R448" s="67"/>
      <c r="S448" s="67"/>
      <c r="T448" s="67"/>
      <c r="U448" s="66"/>
      <c r="V448" s="66"/>
      <c r="W448" s="66"/>
      <c r="X448" s="85"/>
      <c r="AP448" t="str">
        <v/>
      </c>
      <c r="AQ448" t="e">
        <v>#N/A</v>
      </c>
      <c r="AR448" t="e">
        <v>#N/A</v>
      </c>
      <c r="AS448" t="e">
        <v>#N/A</v>
      </c>
      <c r="AT448" t="e">
        <v>#N/A</v>
      </c>
      <c r="AU448" t="e">
        <v>#N/A</v>
      </c>
      <c r="AV448" t="e">
        <v>#N/A</v>
      </c>
    </row>
    <row r="449" spans="4:48" ht="15.75" x14ac:dyDescent="0.25">
      <c r="D449" s="3">
        <v>5</v>
      </c>
      <c r="F449" s="16" cm="1">
        <f t="array" ref="F4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49" s="31" cm="1">
        <f t="array" ref="G4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55</v>
      </c>
      <c r="H449" s="33" t="str">
        <f>_xlfn.IFNA(IF(MOD(HLG_02[[#This Row],[Rit]],
    _xlfn.XLOOKUP($G$2,Int_Sample[Ore],Int_Sample[Inc])) = 0, "YES", "NO"),"")</f>
        <v>YES</v>
      </c>
      <c r="I449" s="32" t="str">
        <f>TEXT(HLG_02[[#This Row],[Batch]],"000")&amp; " / " &amp; TEXT(HLG_02[[#This Row],[Rit]],"000")</f>
        <v>006 / 055</v>
      </c>
      <c r="J449" s="34"/>
      <c r="K449" s="38"/>
      <c r="L449" s="35"/>
      <c r="M449" s="66"/>
      <c r="N449" s="66"/>
      <c r="O449" s="66"/>
      <c r="P449" s="66"/>
      <c r="Q449" s="66"/>
      <c r="R449" s="67"/>
      <c r="S449" s="67"/>
      <c r="T449" s="67"/>
      <c r="U449" s="66"/>
      <c r="V449" s="66"/>
      <c r="W449" s="66"/>
      <c r="X449" s="85"/>
      <c r="AP449" t="str">
        <v/>
      </c>
      <c r="AQ449" t="e">
        <v>#N/A</v>
      </c>
      <c r="AR449" t="e">
        <v>#N/A</v>
      </c>
      <c r="AS449" t="e">
        <v>#N/A</v>
      </c>
      <c r="AT449" t="e">
        <v>#N/A</v>
      </c>
      <c r="AU449" t="e">
        <v>#N/A</v>
      </c>
      <c r="AV449" t="e">
        <v>#N/A</v>
      </c>
    </row>
    <row r="450" spans="4:48" ht="15.75" x14ac:dyDescent="0.25">
      <c r="D450" s="3">
        <v>5</v>
      </c>
      <c r="F450" s="16" cm="1">
        <f t="array" ref="F4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50" s="31" cm="1">
        <f t="array" ref="G4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56</v>
      </c>
      <c r="H450" s="33" t="str">
        <f>_xlfn.IFNA(IF(MOD(HLG_02[[#This Row],[Rit]],
    _xlfn.XLOOKUP($G$2,Int_Sample[Ore],Int_Sample[Inc])) = 0, "YES", "NO"),"")</f>
        <v>NO</v>
      </c>
      <c r="I450" s="32" t="str">
        <f>TEXT(HLG_02[[#This Row],[Batch]],"000")&amp; " / " &amp; TEXT(HLG_02[[#This Row],[Rit]],"000")</f>
        <v>006 / 056</v>
      </c>
      <c r="J450" s="34"/>
      <c r="K450" s="38"/>
      <c r="L450" s="35"/>
      <c r="M450" s="66"/>
      <c r="N450" s="66"/>
      <c r="O450" s="66"/>
      <c r="P450" s="66"/>
      <c r="Q450" s="66"/>
      <c r="R450" s="67"/>
      <c r="S450" s="67"/>
      <c r="T450" s="67"/>
      <c r="U450" s="66"/>
      <c r="V450" s="66"/>
      <c r="W450" s="66"/>
      <c r="X450" s="85"/>
      <c r="AP450" t="str">
        <v/>
      </c>
      <c r="AQ450" t="e">
        <v>#N/A</v>
      </c>
      <c r="AR450" t="e">
        <v>#N/A</v>
      </c>
      <c r="AS450" t="e">
        <v>#N/A</v>
      </c>
      <c r="AT450" t="e">
        <v>#N/A</v>
      </c>
      <c r="AU450" t="e">
        <v>#N/A</v>
      </c>
      <c r="AV450" t="e">
        <v>#N/A</v>
      </c>
    </row>
    <row r="451" spans="4:48" ht="15.75" x14ac:dyDescent="0.25">
      <c r="D451" s="3">
        <v>5</v>
      </c>
      <c r="F451" s="16" cm="1">
        <f t="array" ref="F4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51" s="31" cm="1">
        <f t="array" ref="G4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57</v>
      </c>
      <c r="H451" s="33" t="str">
        <f>_xlfn.IFNA(IF(MOD(HLG_02[[#This Row],[Rit]],
    _xlfn.XLOOKUP($G$2,Int_Sample[Ore],Int_Sample[Inc])) = 0, "YES", "NO"),"")</f>
        <v>NO</v>
      </c>
      <c r="I451" s="32" t="str">
        <f>TEXT(HLG_02[[#This Row],[Batch]],"000")&amp; " / " &amp; TEXT(HLG_02[[#This Row],[Rit]],"000")</f>
        <v>006 / 057</v>
      </c>
      <c r="J451" s="34"/>
      <c r="K451" s="38"/>
      <c r="L451" s="35"/>
      <c r="M451" s="66"/>
      <c r="N451" s="66"/>
      <c r="O451" s="66"/>
      <c r="P451" s="66"/>
      <c r="Q451" s="66"/>
      <c r="R451" s="67"/>
      <c r="S451" s="67"/>
      <c r="T451" s="67"/>
      <c r="U451" s="66"/>
      <c r="V451" s="66"/>
      <c r="W451" s="66"/>
      <c r="X451" s="85"/>
      <c r="AP451" t="str">
        <v/>
      </c>
      <c r="AQ451" t="e">
        <v>#N/A</v>
      </c>
      <c r="AR451" t="e">
        <v>#N/A</v>
      </c>
      <c r="AS451" t="e">
        <v>#N/A</v>
      </c>
      <c r="AT451" t="e">
        <v>#N/A</v>
      </c>
      <c r="AU451" t="e">
        <v>#N/A</v>
      </c>
      <c r="AV451" t="e">
        <v>#N/A</v>
      </c>
    </row>
    <row r="452" spans="4:48" ht="15.75" x14ac:dyDescent="0.25">
      <c r="D452" s="3">
        <v>5</v>
      </c>
      <c r="F452" s="16" cm="1">
        <f t="array" ref="F4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52" s="31" cm="1">
        <f t="array" ref="G4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58</v>
      </c>
      <c r="H452" s="33" t="str">
        <f>_xlfn.IFNA(IF(MOD(HLG_02[[#This Row],[Rit]],
    _xlfn.XLOOKUP($G$2,Int_Sample[Ore],Int_Sample[Inc])) = 0, "YES", "NO"),"")</f>
        <v>NO</v>
      </c>
      <c r="I452" s="32" t="str">
        <f>TEXT(HLG_02[[#This Row],[Batch]],"000")&amp; " / " &amp; TEXT(HLG_02[[#This Row],[Rit]],"000")</f>
        <v>006 / 058</v>
      </c>
      <c r="J452" s="34"/>
      <c r="K452" s="38"/>
      <c r="L452" s="35"/>
      <c r="M452" s="66"/>
      <c r="N452" s="66"/>
      <c r="O452" s="66"/>
      <c r="P452" s="66"/>
      <c r="Q452" s="66"/>
      <c r="R452" s="67"/>
      <c r="S452" s="67"/>
      <c r="T452" s="67"/>
      <c r="U452" s="66"/>
      <c r="V452" s="66"/>
      <c r="W452" s="66"/>
      <c r="X452" s="85"/>
      <c r="AP452" t="str">
        <v/>
      </c>
      <c r="AQ452" t="e">
        <v>#N/A</v>
      </c>
      <c r="AR452" t="e">
        <v>#N/A</v>
      </c>
      <c r="AS452" t="e">
        <v>#N/A</v>
      </c>
      <c r="AT452" t="e">
        <v>#N/A</v>
      </c>
      <c r="AU452" t="e">
        <v>#N/A</v>
      </c>
      <c r="AV452" t="e">
        <v>#N/A</v>
      </c>
    </row>
    <row r="453" spans="4:48" ht="15.75" x14ac:dyDescent="0.25">
      <c r="D453" s="3">
        <v>5</v>
      </c>
      <c r="F453" s="16" cm="1">
        <f t="array" ref="F4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53" s="31" cm="1">
        <f t="array" ref="G4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59</v>
      </c>
      <c r="H453" s="33" t="str">
        <f>_xlfn.IFNA(IF(MOD(HLG_02[[#This Row],[Rit]],
    _xlfn.XLOOKUP($G$2,Int_Sample[Ore],Int_Sample[Inc])) = 0, "YES", "NO"),"")</f>
        <v>NO</v>
      </c>
      <c r="I453" s="32" t="str">
        <f>TEXT(HLG_02[[#This Row],[Batch]],"000")&amp; " / " &amp; TEXT(HLG_02[[#This Row],[Rit]],"000")</f>
        <v>006 / 059</v>
      </c>
      <c r="J453" s="34"/>
      <c r="K453" s="38"/>
      <c r="L453" s="35"/>
      <c r="M453" s="66"/>
      <c r="N453" s="66"/>
      <c r="O453" s="66"/>
      <c r="P453" s="66"/>
      <c r="Q453" s="66"/>
      <c r="R453" s="67"/>
      <c r="S453" s="67"/>
      <c r="T453" s="67"/>
      <c r="U453" s="66"/>
      <c r="V453" s="66"/>
      <c r="W453" s="66"/>
      <c r="X453" s="85"/>
      <c r="AP453" t="str">
        <v/>
      </c>
      <c r="AQ453" t="e">
        <v>#N/A</v>
      </c>
      <c r="AR453" t="e">
        <v>#N/A</v>
      </c>
      <c r="AS453" t="e">
        <v>#N/A</v>
      </c>
      <c r="AT453" t="e">
        <v>#N/A</v>
      </c>
      <c r="AU453" t="e">
        <v>#N/A</v>
      </c>
      <c r="AV453" t="e">
        <v>#N/A</v>
      </c>
    </row>
    <row r="454" spans="4:48" ht="15.75" x14ac:dyDescent="0.25">
      <c r="D454" s="3">
        <v>5</v>
      </c>
      <c r="F454" s="16" cm="1">
        <f t="array" ref="F4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54" s="31" cm="1">
        <f t="array" ref="G4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60</v>
      </c>
      <c r="H454" s="33" t="str">
        <f>_xlfn.IFNA(IF(MOD(HLG_02[[#This Row],[Rit]],
    _xlfn.XLOOKUP($G$2,Int_Sample[Ore],Int_Sample[Inc])) = 0, "YES", "NO"),"")</f>
        <v>YES</v>
      </c>
      <c r="I454" s="32" t="str">
        <f>TEXT(HLG_02[[#This Row],[Batch]],"000")&amp; " / " &amp; TEXT(HLG_02[[#This Row],[Rit]],"000")</f>
        <v>006 / 060</v>
      </c>
      <c r="J454" s="34"/>
      <c r="K454" s="38"/>
      <c r="L454" s="35"/>
      <c r="M454" s="66"/>
      <c r="N454" s="66"/>
      <c r="O454" s="66"/>
      <c r="P454" s="66"/>
      <c r="Q454" s="66"/>
      <c r="R454" s="67"/>
      <c r="S454" s="67"/>
      <c r="T454" s="67"/>
      <c r="U454" s="66"/>
      <c r="V454" s="66"/>
      <c r="W454" s="66"/>
      <c r="X454" s="85"/>
      <c r="AP454" t="str">
        <v/>
      </c>
      <c r="AQ454" t="e">
        <v>#N/A</v>
      </c>
      <c r="AR454" t="e">
        <v>#N/A</v>
      </c>
      <c r="AS454" t="e">
        <v>#N/A</v>
      </c>
      <c r="AT454" t="e">
        <v>#N/A</v>
      </c>
      <c r="AU454" t="e">
        <v>#N/A</v>
      </c>
      <c r="AV454" t="e">
        <v>#N/A</v>
      </c>
    </row>
    <row r="455" spans="4:48" ht="15.75" x14ac:dyDescent="0.25">
      <c r="D455" s="3">
        <v>5</v>
      </c>
      <c r="F455" s="16" cm="1">
        <f t="array" ref="F4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55" s="31" cm="1">
        <f t="array" ref="G4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61</v>
      </c>
      <c r="H455" s="33" t="str">
        <f>_xlfn.IFNA(IF(MOD(HLG_02[[#This Row],[Rit]],
    _xlfn.XLOOKUP($G$2,Int_Sample[Ore],Int_Sample[Inc])) = 0, "YES", "NO"),"")</f>
        <v>NO</v>
      </c>
      <c r="I455" s="32" t="str">
        <f>TEXT(HLG_02[[#This Row],[Batch]],"000")&amp; " / " &amp; TEXT(HLG_02[[#This Row],[Rit]],"000")</f>
        <v>006 / 061</v>
      </c>
      <c r="J455" s="34"/>
      <c r="K455" s="38"/>
      <c r="L455" s="35"/>
      <c r="M455" s="66"/>
      <c r="N455" s="66"/>
      <c r="O455" s="66"/>
      <c r="P455" s="66"/>
      <c r="Q455" s="66"/>
      <c r="R455" s="67"/>
      <c r="S455" s="67"/>
      <c r="T455" s="67"/>
      <c r="U455" s="66"/>
      <c r="V455" s="66"/>
      <c r="W455" s="66"/>
      <c r="X455" s="85"/>
      <c r="AP455" t="str">
        <v/>
      </c>
      <c r="AQ455" t="e">
        <v>#N/A</v>
      </c>
      <c r="AR455" t="e">
        <v>#N/A</v>
      </c>
      <c r="AS455" t="e">
        <v>#N/A</v>
      </c>
      <c r="AT455" t="e">
        <v>#N/A</v>
      </c>
      <c r="AU455" t="e">
        <v>#N/A</v>
      </c>
      <c r="AV455" t="e">
        <v>#N/A</v>
      </c>
    </row>
    <row r="456" spans="4:48" ht="15.75" x14ac:dyDescent="0.25">
      <c r="D456" s="3">
        <v>5</v>
      </c>
      <c r="F456" s="16" cm="1">
        <f t="array" ref="F4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56" s="31" cm="1">
        <f t="array" ref="G4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62</v>
      </c>
      <c r="H456" s="33" t="str">
        <f>_xlfn.IFNA(IF(MOD(HLG_02[[#This Row],[Rit]],
    _xlfn.XLOOKUP($G$2,Int_Sample[Ore],Int_Sample[Inc])) = 0, "YES", "NO"),"")</f>
        <v>NO</v>
      </c>
      <c r="I456" s="32" t="str">
        <f>TEXT(HLG_02[[#This Row],[Batch]],"000")&amp; " / " &amp; TEXT(HLG_02[[#This Row],[Rit]],"000")</f>
        <v>006 / 062</v>
      </c>
      <c r="J456" s="34"/>
      <c r="K456" s="38"/>
      <c r="L456" s="35"/>
      <c r="M456" s="66"/>
      <c r="N456" s="66"/>
      <c r="O456" s="66"/>
      <c r="P456" s="66"/>
      <c r="Q456" s="66"/>
      <c r="R456" s="67"/>
      <c r="S456" s="67"/>
      <c r="T456" s="67"/>
      <c r="U456" s="66"/>
      <c r="V456" s="66"/>
      <c r="W456" s="66"/>
      <c r="X456" s="85"/>
      <c r="AP456" t="str">
        <v/>
      </c>
      <c r="AQ456" t="e">
        <v>#N/A</v>
      </c>
      <c r="AR456" t="e">
        <v>#N/A</v>
      </c>
      <c r="AS456" t="e">
        <v>#N/A</v>
      </c>
      <c r="AT456" t="e">
        <v>#N/A</v>
      </c>
      <c r="AU456" t="e">
        <v>#N/A</v>
      </c>
      <c r="AV456" t="e">
        <v>#N/A</v>
      </c>
    </row>
    <row r="457" spans="4:48" ht="15.75" x14ac:dyDescent="0.25">
      <c r="D457" s="3">
        <v>5</v>
      </c>
      <c r="F457" s="16" cm="1">
        <f t="array" ref="F4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57" s="31" cm="1">
        <f t="array" ref="G4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63</v>
      </c>
      <c r="H457" s="33" t="str">
        <f>_xlfn.IFNA(IF(MOD(HLG_02[[#This Row],[Rit]],
    _xlfn.XLOOKUP($G$2,Int_Sample[Ore],Int_Sample[Inc])) = 0, "YES", "NO"),"")</f>
        <v>NO</v>
      </c>
      <c r="I457" s="32" t="str">
        <f>TEXT(HLG_02[[#This Row],[Batch]],"000")&amp; " / " &amp; TEXT(HLG_02[[#This Row],[Rit]],"000")</f>
        <v>006 / 063</v>
      </c>
      <c r="J457" s="34"/>
      <c r="K457" s="38"/>
      <c r="L457" s="35"/>
      <c r="M457" s="66"/>
      <c r="N457" s="66"/>
      <c r="O457" s="66"/>
      <c r="P457" s="66"/>
      <c r="Q457" s="66"/>
      <c r="R457" s="67"/>
      <c r="S457" s="67"/>
      <c r="T457" s="67"/>
      <c r="U457" s="66"/>
      <c r="V457" s="66"/>
      <c r="W457" s="66"/>
      <c r="X457" s="85"/>
      <c r="AP457" t="str">
        <v/>
      </c>
      <c r="AQ457" t="e">
        <v>#N/A</v>
      </c>
      <c r="AR457" t="e">
        <v>#N/A</v>
      </c>
      <c r="AS457" t="e">
        <v>#N/A</v>
      </c>
      <c r="AT457" t="e">
        <v>#N/A</v>
      </c>
      <c r="AU457" t="e">
        <v>#N/A</v>
      </c>
      <c r="AV457" t="e">
        <v>#N/A</v>
      </c>
    </row>
    <row r="458" spans="4:48" ht="15.75" x14ac:dyDescent="0.25">
      <c r="D458" s="3">
        <v>5</v>
      </c>
      <c r="F458" s="16" cm="1">
        <f t="array" ref="F4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58" s="31" cm="1">
        <f t="array" ref="G4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64</v>
      </c>
      <c r="H458" s="33" t="str">
        <f>_xlfn.IFNA(IF(MOD(HLG_02[[#This Row],[Rit]],
    _xlfn.XLOOKUP($G$2,Int_Sample[Ore],Int_Sample[Inc])) = 0, "YES", "NO"),"")</f>
        <v>NO</v>
      </c>
      <c r="I458" s="32" t="str">
        <f>TEXT(HLG_02[[#This Row],[Batch]],"000")&amp; " / " &amp; TEXT(HLG_02[[#This Row],[Rit]],"000")</f>
        <v>006 / 064</v>
      </c>
      <c r="J458" s="34"/>
      <c r="K458" s="38"/>
      <c r="L458" s="35"/>
      <c r="M458" s="66"/>
      <c r="N458" s="66"/>
      <c r="O458" s="66"/>
      <c r="P458" s="66"/>
      <c r="Q458" s="66"/>
      <c r="R458" s="67"/>
      <c r="S458" s="67"/>
      <c r="T458" s="67"/>
      <c r="U458" s="66"/>
      <c r="V458" s="66"/>
      <c r="W458" s="66"/>
      <c r="X458" s="85"/>
      <c r="AP458" t="str">
        <v/>
      </c>
      <c r="AQ458" t="e">
        <v>#N/A</v>
      </c>
      <c r="AR458" t="e">
        <v>#N/A</v>
      </c>
      <c r="AS458" t="e">
        <v>#N/A</v>
      </c>
      <c r="AT458" t="e">
        <v>#N/A</v>
      </c>
      <c r="AU458" t="e">
        <v>#N/A</v>
      </c>
      <c r="AV458" t="e">
        <v>#N/A</v>
      </c>
    </row>
    <row r="459" spans="4:48" ht="15.75" x14ac:dyDescent="0.25">
      <c r="D459" s="3">
        <v>5</v>
      </c>
      <c r="F459" s="16" cm="1">
        <f t="array" ref="F4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59" s="31" cm="1">
        <f t="array" ref="G4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65</v>
      </c>
      <c r="H459" s="33" t="str">
        <f>_xlfn.IFNA(IF(MOD(HLG_02[[#This Row],[Rit]],
    _xlfn.XLOOKUP($G$2,Int_Sample[Ore],Int_Sample[Inc])) = 0, "YES", "NO"),"")</f>
        <v>YES</v>
      </c>
      <c r="I459" s="32" t="str">
        <f>TEXT(HLG_02[[#This Row],[Batch]],"000")&amp; " / " &amp; TEXT(HLG_02[[#This Row],[Rit]],"000")</f>
        <v>006 / 065</v>
      </c>
      <c r="J459" s="34"/>
      <c r="K459" s="38"/>
      <c r="L459" s="35"/>
      <c r="M459" s="66"/>
      <c r="N459" s="66"/>
      <c r="O459" s="66"/>
      <c r="P459" s="66"/>
      <c r="Q459" s="66"/>
      <c r="R459" s="67"/>
      <c r="S459" s="67"/>
      <c r="T459" s="67"/>
      <c r="U459" s="66"/>
      <c r="V459" s="66"/>
      <c r="W459" s="66"/>
      <c r="X459" s="85"/>
      <c r="AP459" t="str">
        <v/>
      </c>
      <c r="AQ459" t="e">
        <v>#N/A</v>
      </c>
      <c r="AR459" t="e">
        <v>#N/A</v>
      </c>
      <c r="AS459" t="e">
        <v>#N/A</v>
      </c>
      <c r="AT459" t="e">
        <v>#N/A</v>
      </c>
      <c r="AU459" t="e">
        <v>#N/A</v>
      </c>
      <c r="AV459" t="e">
        <v>#N/A</v>
      </c>
    </row>
    <row r="460" spans="4:48" ht="15.75" x14ac:dyDescent="0.25">
      <c r="D460" s="3">
        <v>5</v>
      </c>
      <c r="F460" s="16" cm="1">
        <f t="array" ref="F4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60" s="31" cm="1">
        <f t="array" ref="G4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66</v>
      </c>
      <c r="H460" s="33" t="str">
        <f>_xlfn.IFNA(IF(MOD(HLG_02[[#This Row],[Rit]],
    _xlfn.XLOOKUP($G$2,Int_Sample[Ore],Int_Sample[Inc])) = 0, "YES", "NO"),"")</f>
        <v>NO</v>
      </c>
      <c r="I460" s="32" t="str">
        <f>TEXT(HLG_02[[#This Row],[Batch]],"000")&amp; " / " &amp; TEXT(HLG_02[[#This Row],[Rit]],"000")</f>
        <v>006 / 066</v>
      </c>
      <c r="J460" s="34"/>
      <c r="K460" s="38"/>
      <c r="L460" s="35"/>
      <c r="M460" s="66"/>
      <c r="N460" s="66"/>
      <c r="O460" s="66"/>
      <c r="P460" s="66"/>
      <c r="Q460" s="66"/>
      <c r="R460" s="67"/>
      <c r="S460" s="67"/>
      <c r="T460" s="67"/>
      <c r="U460" s="66"/>
      <c r="V460" s="66"/>
      <c r="W460" s="66"/>
      <c r="X460" s="85"/>
      <c r="AP460" t="str">
        <v/>
      </c>
      <c r="AQ460" t="e">
        <v>#N/A</v>
      </c>
      <c r="AR460" t="e">
        <v>#N/A</v>
      </c>
      <c r="AS460" t="e">
        <v>#N/A</v>
      </c>
      <c r="AT460" t="e">
        <v>#N/A</v>
      </c>
      <c r="AU460" t="e">
        <v>#N/A</v>
      </c>
      <c r="AV460" t="e">
        <v>#N/A</v>
      </c>
    </row>
    <row r="461" spans="4:48" ht="15.75" x14ac:dyDescent="0.25">
      <c r="D461" s="3">
        <v>5</v>
      </c>
      <c r="F461" s="16" cm="1">
        <f t="array" ref="F4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61" s="31" cm="1">
        <f t="array" ref="G4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67</v>
      </c>
      <c r="H461" s="33" t="str">
        <f>_xlfn.IFNA(IF(MOD(HLG_02[[#This Row],[Rit]],
    _xlfn.XLOOKUP($G$2,Int_Sample[Ore],Int_Sample[Inc])) = 0, "YES", "NO"),"")</f>
        <v>NO</v>
      </c>
      <c r="I461" s="32" t="str">
        <f>TEXT(HLG_02[[#This Row],[Batch]],"000")&amp; " / " &amp; TEXT(HLG_02[[#This Row],[Rit]],"000")</f>
        <v>006 / 067</v>
      </c>
      <c r="J461" s="34"/>
      <c r="K461" s="38"/>
      <c r="L461" s="35"/>
      <c r="M461" s="66"/>
      <c r="N461" s="66"/>
      <c r="O461" s="66"/>
      <c r="P461" s="66"/>
      <c r="Q461" s="66"/>
      <c r="R461" s="67"/>
      <c r="S461" s="67"/>
      <c r="T461" s="67"/>
      <c r="U461" s="66"/>
      <c r="V461" s="66"/>
      <c r="W461" s="66"/>
      <c r="X461" s="85"/>
      <c r="AP461" t="str">
        <v/>
      </c>
      <c r="AQ461" t="e">
        <v>#N/A</v>
      </c>
      <c r="AR461" t="e">
        <v>#N/A</v>
      </c>
      <c r="AS461" t="e">
        <v>#N/A</v>
      </c>
      <c r="AT461" t="e">
        <v>#N/A</v>
      </c>
      <c r="AU461" t="e">
        <v>#N/A</v>
      </c>
      <c r="AV461" t="e">
        <v>#N/A</v>
      </c>
    </row>
    <row r="462" spans="4:48" ht="15.75" x14ac:dyDescent="0.25">
      <c r="D462" s="3">
        <v>5</v>
      </c>
      <c r="F462" s="16" cm="1">
        <f t="array" ref="F4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62" s="31" cm="1">
        <f t="array" ref="G4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68</v>
      </c>
      <c r="H462" s="33" t="str">
        <f>_xlfn.IFNA(IF(MOD(HLG_02[[#This Row],[Rit]],
    _xlfn.XLOOKUP($G$2,Int_Sample[Ore],Int_Sample[Inc])) = 0, "YES", "NO"),"")</f>
        <v>NO</v>
      </c>
      <c r="I462" s="32" t="str">
        <f>TEXT(HLG_02[[#This Row],[Batch]],"000")&amp; " / " &amp; TEXT(HLG_02[[#This Row],[Rit]],"000")</f>
        <v>006 / 068</v>
      </c>
      <c r="J462" s="34"/>
      <c r="K462" s="38"/>
      <c r="L462" s="35"/>
      <c r="M462" s="66"/>
      <c r="N462" s="66"/>
      <c r="O462" s="66"/>
      <c r="P462" s="66"/>
      <c r="Q462" s="66"/>
      <c r="R462" s="67"/>
      <c r="S462" s="67"/>
      <c r="T462" s="67"/>
      <c r="U462" s="66"/>
      <c r="V462" s="66"/>
      <c r="W462" s="66"/>
      <c r="X462" s="85"/>
      <c r="AP462" t="str">
        <v/>
      </c>
      <c r="AQ462" t="e">
        <v>#N/A</v>
      </c>
      <c r="AR462" t="e">
        <v>#N/A</v>
      </c>
      <c r="AS462" t="e">
        <v>#N/A</v>
      </c>
      <c r="AT462" t="e">
        <v>#N/A</v>
      </c>
      <c r="AU462" t="e">
        <v>#N/A</v>
      </c>
      <c r="AV462" t="e">
        <v>#N/A</v>
      </c>
    </row>
    <row r="463" spans="4:48" ht="15.75" x14ac:dyDescent="0.25">
      <c r="D463" s="3">
        <v>5</v>
      </c>
      <c r="F463" s="16" cm="1">
        <f t="array" ref="F4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63" s="31" cm="1">
        <f t="array" ref="G4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69</v>
      </c>
      <c r="H463" s="33" t="str">
        <f>_xlfn.IFNA(IF(MOD(HLG_02[[#This Row],[Rit]],
    _xlfn.XLOOKUP($G$2,Int_Sample[Ore],Int_Sample[Inc])) = 0, "YES", "NO"),"")</f>
        <v>NO</v>
      </c>
      <c r="I463" s="32" t="str">
        <f>TEXT(HLG_02[[#This Row],[Batch]],"000")&amp; " / " &amp; TEXT(HLG_02[[#This Row],[Rit]],"000")</f>
        <v>006 / 069</v>
      </c>
      <c r="J463" s="34"/>
      <c r="K463" s="38"/>
      <c r="L463" s="35"/>
      <c r="M463" s="66"/>
      <c r="N463" s="66"/>
      <c r="O463" s="66"/>
      <c r="P463" s="66"/>
      <c r="Q463" s="66"/>
      <c r="R463" s="67"/>
      <c r="S463" s="67"/>
      <c r="T463" s="67"/>
      <c r="U463" s="66"/>
      <c r="V463" s="66"/>
      <c r="W463" s="66"/>
      <c r="X463" s="85"/>
      <c r="AP463" t="str">
        <v/>
      </c>
      <c r="AQ463" t="e">
        <v>#N/A</v>
      </c>
      <c r="AR463" t="e">
        <v>#N/A</v>
      </c>
      <c r="AS463" t="e">
        <v>#N/A</v>
      </c>
      <c r="AT463" t="e">
        <v>#N/A</v>
      </c>
      <c r="AU463" t="e">
        <v>#N/A</v>
      </c>
      <c r="AV463" t="e">
        <v>#N/A</v>
      </c>
    </row>
    <row r="464" spans="4:48" ht="15.75" x14ac:dyDescent="0.25">
      <c r="D464" s="3">
        <v>5</v>
      </c>
      <c r="F464" s="16" cm="1">
        <f t="array" ref="F4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64" s="31" cm="1">
        <f t="array" ref="G4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70</v>
      </c>
      <c r="H464" s="33" t="str">
        <f>_xlfn.IFNA(IF(MOD(HLG_02[[#This Row],[Rit]],
    _xlfn.XLOOKUP($G$2,Int_Sample[Ore],Int_Sample[Inc])) = 0, "YES", "NO"),"")</f>
        <v>YES</v>
      </c>
      <c r="I464" s="32" t="str">
        <f>TEXT(HLG_02[[#This Row],[Batch]],"000")&amp; " / " &amp; TEXT(HLG_02[[#This Row],[Rit]],"000")</f>
        <v>006 / 070</v>
      </c>
      <c r="J464" s="34"/>
      <c r="K464" s="38"/>
      <c r="L464" s="35"/>
      <c r="M464" s="66"/>
      <c r="N464" s="66"/>
      <c r="O464" s="66"/>
      <c r="P464" s="66"/>
      <c r="Q464" s="66"/>
      <c r="R464" s="67"/>
      <c r="S464" s="67"/>
      <c r="T464" s="67"/>
      <c r="U464" s="66"/>
      <c r="V464" s="66"/>
      <c r="W464" s="66"/>
      <c r="X464" s="85"/>
      <c r="AP464" t="str">
        <v/>
      </c>
      <c r="AQ464" t="e">
        <v>#N/A</v>
      </c>
      <c r="AR464" t="e">
        <v>#N/A</v>
      </c>
      <c r="AS464" t="e">
        <v>#N/A</v>
      </c>
      <c r="AT464" t="e">
        <v>#N/A</v>
      </c>
      <c r="AU464" t="e">
        <v>#N/A</v>
      </c>
      <c r="AV464" t="e">
        <v>#N/A</v>
      </c>
    </row>
    <row r="465" spans="4:48" ht="15.75" x14ac:dyDescent="0.25">
      <c r="D465" s="3">
        <v>5</v>
      </c>
      <c r="F465" s="16" cm="1">
        <f t="array" ref="F4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65" s="31" cm="1">
        <f t="array" ref="G4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71</v>
      </c>
      <c r="H465" s="33" t="str">
        <f>_xlfn.IFNA(IF(MOD(HLG_02[[#This Row],[Rit]],
    _xlfn.XLOOKUP($G$2,Int_Sample[Ore],Int_Sample[Inc])) = 0, "YES", "NO"),"")</f>
        <v>NO</v>
      </c>
      <c r="I465" s="32" t="str">
        <f>TEXT(HLG_02[[#This Row],[Batch]],"000")&amp; " / " &amp; TEXT(HLG_02[[#This Row],[Rit]],"000")</f>
        <v>006 / 071</v>
      </c>
      <c r="J465" s="34"/>
      <c r="K465" s="38"/>
      <c r="L465" s="35"/>
      <c r="M465" s="66"/>
      <c r="N465" s="66"/>
      <c r="O465" s="66"/>
      <c r="P465" s="66"/>
      <c r="Q465" s="66"/>
      <c r="R465" s="67"/>
      <c r="S465" s="67"/>
      <c r="T465" s="67"/>
      <c r="U465" s="66"/>
      <c r="V465" s="66"/>
      <c r="W465" s="66"/>
      <c r="X465" s="85"/>
      <c r="AP465" t="str">
        <v/>
      </c>
      <c r="AQ465" t="e">
        <v>#N/A</v>
      </c>
      <c r="AR465" t="e">
        <v>#N/A</v>
      </c>
      <c r="AS465" t="e">
        <v>#N/A</v>
      </c>
      <c r="AT465" t="e">
        <v>#N/A</v>
      </c>
      <c r="AU465" t="e">
        <v>#N/A</v>
      </c>
      <c r="AV465" t="e">
        <v>#N/A</v>
      </c>
    </row>
    <row r="466" spans="4:48" ht="15.75" x14ac:dyDescent="0.25">
      <c r="D466" s="3">
        <v>5</v>
      </c>
      <c r="F466" s="16" cm="1">
        <f t="array" ref="F4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66" s="31" cm="1">
        <f t="array" ref="G4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72</v>
      </c>
      <c r="H466" s="33" t="str">
        <f>_xlfn.IFNA(IF(MOD(HLG_02[[#This Row],[Rit]],
    _xlfn.XLOOKUP($G$2,Int_Sample[Ore],Int_Sample[Inc])) = 0, "YES", "NO"),"")</f>
        <v>NO</v>
      </c>
      <c r="I466" s="32" t="str">
        <f>TEXT(HLG_02[[#This Row],[Batch]],"000")&amp; " / " &amp; TEXT(HLG_02[[#This Row],[Rit]],"000")</f>
        <v>006 / 072</v>
      </c>
      <c r="J466" s="34"/>
      <c r="K466" s="38"/>
      <c r="L466" s="35"/>
      <c r="M466" s="66"/>
      <c r="N466" s="66"/>
      <c r="O466" s="66"/>
      <c r="P466" s="66"/>
      <c r="Q466" s="66"/>
      <c r="R466" s="67"/>
      <c r="S466" s="67"/>
      <c r="T466" s="67"/>
      <c r="U466" s="66"/>
      <c r="V466" s="66"/>
      <c r="W466" s="66"/>
      <c r="X466" s="85"/>
      <c r="AP466" t="str">
        <v/>
      </c>
      <c r="AQ466" t="e">
        <v>#N/A</v>
      </c>
      <c r="AR466" t="e">
        <v>#N/A</v>
      </c>
      <c r="AS466" t="e">
        <v>#N/A</v>
      </c>
      <c r="AT466" t="e">
        <v>#N/A</v>
      </c>
      <c r="AU466" t="e">
        <v>#N/A</v>
      </c>
      <c r="AV466" t="e">
        <v>#N/A</v>
      </c>
    </row>
    <row r="467" spans="4:48" ht="15.75" x14ac:dyDescent="0.25">
      <c r="D467" s="3">
        <v>5</v>
      </c>
      <c r="F467" s="16" cm="1">
        <f t="array" ref="F4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67" s="31" cm="1">
        <f t="array" ref="G4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73</v>
      </c>
      <c r="H467" s="33" t="str">
        <f>_xlfn.IFNA(IF(MOD(HLG_02[[#This Row],[Rit]],
    _xlfn.XLOOKUP($G$2,Int_Sample[Ore],Int_Sample[Inc])) = 0, "YES", "NO"),"")</f>
        <v>NO</v>
      </c>
      <c r="I467" s="32" t="str">
        <f>TEXT(HLG_02[[#This Row],[Batch]],"000")&amp; " / " &amp; TEXT(HLG_02[[#This Row],[Rit]],"000")</f>
        <v>006 / 073</v>
      </c>
      <c r="J467" s="34"/>
      <c r="K467" s="38"/>
      <c r="L467" s="35"/>
      <c r="M467" s="66"/>
      <c r="N467" s="66"/>
      <c r="O467" s="66"/>
      <c r="P467" s="66"/>
      <c r="Q467" s="66"/>
      <c r="R467" s="67"/>
      <c r="S467" s="67"/>
      <c r="T467" s="67"/>
      <c r="U467" s="66"/>
      <c r="V467" s="66"/>
      <c r="W467" s="66"/>
      <c r="X467" s="85"/>
      <c r="AP467" t="str">
        <v/>
      </c>
      <c r="AQ467" t="e">
        <v>#N/A</v>
      </c>
      <c r="AR467" t="e">
        <v>#N/A</v>
      </c>
      <c r="AS467" t="e">
        <v>#N/A</v>
      </c>
      <c r="AT467" t="e">
        <v>#N/A</v>
      </c>
      <c r="AU467" t="e">
        <v>#N/A</v>
      </c>
      <c r="AV467" t="e">
        <v>#N/A</v>
      </c>
    </row>
    <row r="468" spans="4:48" ht="15.75" x14ac:dyDescent="0.25">
      <c r="D468" s="3">
        <v>5</v>
      </c>
      <c r="F468" s="16" cm="1">
        <f t="array" ref="F4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68" s="31" cm="1">
        <f t="array" ref="G4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74</v>
      </c>
      <c r="H468" s="33" t="str">
        <f>_xlfn.IFNA(IF(MOD(HLG_02[[#This Row],[Rit]],
    _xlfn.XLOOKUP($G$2,Int_Sample[Ore],Int_Sample[Inc])) = 0, "YES", "NO"),"")</f>
        <v>NO</v>
      </c>
      <c r="I468" s="32" t="str">
        <f>TEXT(HLG_02[[#This Row],[Batch]],"000")&amp; " / " &amp; TEXT(HLG_02[[#This Row],[Rit]],"000")</f>
        <v>006 / 074</v>
      </c>
      <c r="J468" s="34"/>
      <c r="K468" s="38"/>
      <c r="L468" s="35"/>
      <c r="M468" s="66"/>
      <c r="N468" s="66"/>
      <c r="O468" s="66"/>
      <c r="P468" s="66"/>
      <c r="Q468" s="66"/>
      <c r="R468" s="67"/>
      <c r="S468" s="67"/>
      <c r="T468" s="67"/>
      <c r="U468" s="66"/>
      <c r="V468" s="66"/>
      <c r="W468" s="66"/>
      <c r="X468" s="85"/>
      <c r="AP468" t="str">
        <v/>
      </c>
      <c r="AQ468" t="e">
        <v>#N/A</v>
      </c>
      <c r="AR468" t="e">
        <v>#N/A</v>
      </c>
      <c r="AS468" t="e">
        <v>#N/A</v>
      </c>
      <c r="AT468" t="e">
        <v>#N/A</v>
      </c>
      <c r="AU468" t="e">
        <v>#N/A</v>
      </c>
      <c r="AV468" t="e">
        <v>#N/A</v>
      </c>
    </row>
    <row r="469" spans="4:48" ht="15.75" x14ac:dyDescent="0.25">
      <c r="D469" s="3">
        <v>5</v>
      </c>
      <c r="F469" s="16" cm="1">
        <f t="array" ref="F4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69" s="31" cm="1">
        <f t="array" ref="G4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75</v>
      </c>
      <c r="H469" s="33" t="str">
        <f>_xlfn.IFNA(IF(MOD(HLG_02[[#This Row],[Rit]],
    _xlfn.XLOOKUP($G$2,Int_Sample[Ore],Int_Sample[Inc])) = 0, "YES", "NO"),"")</f>
        <v>YES</v>
      </c>
      <c r="I469" s="32" t="str">
        <f>TEXT(HLG_02[[#This Row],[Batch]],"000")&amp; " / " &amp; TEXT(HLG_02[[#This Row],[Rit]],"000")</f>
        <v>006 / 075</v>
      </c>
      <c r="J469" s="34"/>
      <c r="K469" s="38"/>
      <c r="L469" s="35"/>
      <c r="M469" s="66"/>
      <c r="N469" s="66"/>
      <c r="O469" s="66"/>
      <c r="P469" s="66"/>
      <c r="Q469" s="66"/>
      <c r="R469" s="67"/>
      <c r="S469" s="67"/>
      <c r="T469" s="67"/>
      <c r="U469" s="66"/>
      <c r="V469" s="66"/>
      <c r="W469" s="66"/>
      <c r="X469" s="85"/>
      <c r="AP469" t="str">
        <v/>
      </c>
      <c r="AQ469" t="e">
        <v>#N/A</v>
      </c>
      <c r="AR469" t="e">
        <v>#N/A</v>
      </c>
      <c r="AS469" t="e">
        <v>#N/A</v>
      </c>
      <c r="AT469" t="e">
        <v>#N/A</v>
      </c>
      <c r="AU469" t="e">
        <v>#N/A</v>
      </c>
      <c r="AV469" t="e">
        <v>#N/A</v>
      </c>
    </row>
    <row r="470" spans="4:48" ht="15.75" x14ac:dyDescent="0.25">
      <c r="D470" s="3">
        <v>5</v>
      </c>
      <c r="F470" s="16" cm="1">
        <f t="array" ref="F4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70" s="31" cm="1">
        <f t="array" ref="G4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76</v>
      </c>
      <c r="H470" s="33" t="str">
        <f>_xlfn.IFNA(IF(MOD(HLG_02[[#This Row],[Rit]],
    _xlfn.XLOOKUP($G$2,Int_Sample[Ore],Int_Sample[Inc])) = 0, "YES", "NO"),"")</f>
        <v>NO</v>
      </c>
      <c r="I470" s="32" t="str">
        <f>TEXT(HLG_02[[#This Row],[Batch]],"000")&amp; " / " &amp; TEXT(HLG_02[[#This Row],[Rit]],"000")</f>
        <v>006 / 076</v>
      </c>
      <c r="J470" s="34"/>
      <c r="K470" s="38"/>
      <c r="L470" s="35"/>
      <c r="M470" s="66"/>
      <c r="N470" s="66"/>
      <c r="O470" s="66"/>
      <c r="P470" s="66"/>
      <c r="Q470" s="66"/>
      <c r="R470" s="67"/>
      <c r="S470" s="67"/>
      <c r="T470" s="67"/>
      <c r="U470" s="66"/>
      <c r="V470" s="66"/>
      <c r="W470" s="66"/>
      <c r="X470" s="85"/>
      <c r="AP470" t="str">
        <v/>
      </c>
      <c r="AQ470" t="e">
        <v>#N/A</v>
      </c>
      <c r="AR470" t="e">
        <v>#N/A</v>
      </c>
      <c r="AS470" t="e">
        <v>#N/A</v>
      </c>
      <c r="AT470" t="e">
        <v>#N/A</v>
      </c>
      <c r="AU470" t="e">
        <v>#N/A</v>
      </c>
      <c r="AV470" t="e">
        <v>#N/A</v>
      </c>
    </row>
    <row r="471" spans="4:48" ht="15.75" x14ac:dyDescent="0.25">
      <c r="D471" s="3">
        <v>5</v>
      </c>
      <c r="F471" s="16" cm="1">
        <f t="array" ref="F4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71" s="31" cm="1">
        <f t="array" ref="G4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77</v>
      </c>
      <c r="H471" s="33" t="str">
        <f>_xlfn.IFNA(IF(MOD(HLG_02[[#This Row],[Rit]],
    _xlfn.XLOOKUP($G$2,Int_Sample[Ore],Int_Sample[Inc])) = 0, "YES", "NO"),"")</f>
        <v>NO</v>
      </c>
      <c r="I471" s="32" t="str">
        <f>TEXT(HLG_02[[#This Row],[Batch]],"000")&amp; " / " &amp; TEXT(HLG_02[[#This Row],[Rit]],"000")</f>
        <v>006 / 077</v>
      </c>
      <c r="J471" s="34"/>
      <c r="K471" s="38"/>
      <c r="L471" s="35"/>
      <c r="M471" s="66"/>
      <c r="N471" s="66"/>
      <c r="O471" s="66"/>
      <c r="P471" s="66"/>
      <c r="Q471" s="66"/>
      <c r="R471" s="67"/>
      <c r="S471" s="67"/>
      <c r="T471" s="67"/>
      <c r="U471" s="66"/>
      <c r="V471" s="66"/>
      <c r="W471" s="66"/>
      <c r="X471" s="85"/>
      <c r="AP471" t="str">
        <v/>
      </c>
      <c r="AQ471" t="e">
        <v>#N/A</v>
      </c>
      <c r="AR471" t="e">
        <v>#N/A</v>
      </c>
      <c r="AS471" t="e">
        <v>#N/A</v>
      </c>
      <c r="AT471" t="e">
        <v>#N/A</v>
      </c>
      <c r="AU471" t="e">
        <v>#N/A</v>
      </c>
      <c r="AV471" t="e">
        <v>#N/A</v>
      </c>
    </row>
    <row r="472" spans="4:48" ht="15.75" x14ac:dyDescent="0.25">
      <c r="D472" s="3">
        <v>5</v>
      </c>
      <c r="F472" s="16" cm="1">
        <f t="array" ref="F4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72" s="31" cm="1">
        <f t="array" ref="G4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78</v>
      </c>
      <c r="H472" s="33" t="str">
        <f>_xlfn.IFNA(IF(MOD(HLG_02[[#This Row],[Rit]],
    _xlfn.XLOOKUP($G$2,Int_Sample[Ore],Int_Sample[Inc])) = 0, "YES", "NO"),"")</f>
        <v>NO</v>
      </c>
      <c r="I472" s="32" t="str">
        <f>TEXT(HLG_02[[#This Row],[Batch]],"000")&amp; " / " &amp; TEXT(HLG_02[[#This Row],[Rit]],"000")</f>
        <v>006 / 078</v>
      </c>
      <c r="J472" s="34"/>
      <c r="K472" s="38"/>
      <c r="L472" s="35"/>
      <c r="M472" s="66"/>
      <c r="N472" s="66"/>
      <c r="O472" s="66"/>
      <c r="P472" s="66"/>
      <c r="Q472" s="66"/>
      <c r="R472" s="67"/>
      <c r="S472" s="67"/>
      <c r="T472" s="67"/>
      <c r="U472" s="66"/>
      <c r="V472" s="66"/>
      <c r="W472" s="66"/>
      <c r="X472" s="85"/>
      <c r="AP472" t="str">
        <v/>
      </c>
      <c r="AQ472" t="e">
        <v>#N/A</v>
      </c>
      <c r="AR472" t="e">
        <v>#N/A</v>
      </c>
      <c r="AS472" t="e">
        <v>#N/A</v>
      </c>
      <c r="AT472" t="e">
        <v>#N/A</v>
      </c>
      <c r="AU472" t="e">
        <v>#N/A</v>
      </c>
      <c r="AV472" t="e">
        <v>#N/A</v>
      </c>
    </row>
    <row r="473" spans="4:48" ht="15.75" x14ac:dyDescent="0.25">
      <c r="D473" s="3">
        <v>5</v>
      </c>
      <c r="F473" s="16" cm="1">
        <f t="array" ref="F4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73" s="31" cm="1">
        <f t="array" ref="G4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79</v>
      </c>
      <c r="H473" s="33" t="str">
        <f>_xlfn.IFNA(IF(MOD(HLG_02[[#This Row],[Rit]],
    _xlfn.XLOOKUP($G$2,Int_Sample[Ore],Int_Sample[Inc])) = 0, "YES", "NO"),"")</f>
        <v>NO</v>
      </c>
      <c r="I473" s="32" t="str">
        <f>TEXT(HLG_02[[#This Row],[Batch]],"000")&amp; " / " &amp; TEXT(HLG_02[[#This Row],[Rit]],"000")</f>
        <v>006 / 079</v>
      </c>
      <c r="J473" s="34"/>
      <c r="K473" s="38"/>
      <c r="L473" s="35"/>
      <c r="M473" s="66"/>
      <c r="N473" s="66"/>
      <c r="O473" s="66"/>
      <c r="P473" s="66"/>
      <c r="Q473" s="66"/>
      <c r="R473" s="67"/>
      <c r="S473" s="67"/>
      <c r="T473" s="67"/>
      <c r="U473" s="66"/>
      <c r="V473" s="66"/>
      <c r="W473" s="66"/>
      <c r="X473" s="85"/>
      <c r="AP473" t="str">
        <v/>
      </c>
      <c r="AQ473" t="e">
        <v>#N/A</v>
      </c>
      <c r="AR473" t="e">
        <v>#N/A</v>
      </c>
      <c r="AS473" t="e">
        <v>#N/A</v>
      </c>
      <c r="AT473" t="e">
        <v>#N/A</v>
      </c>
      <c r="AU473" t="e">
        <v>#N/A</v>
      </c>
      <c r="AV473" t="e">
        <v>#N/A</v>
      </c>
    </row>
    <row r="474" spans="4:48" ht="15.75" x14ac:dyDescent="0.25">
      <c r="D474" s="3">
        <v>5</v>
      </c>
      <c r="F474" s="16" cm="1">
        <f t="array" ref="F4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74" s="31" cm="1">
        <f t="array" ref="G4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80</v>
      </c>
      <c r="H474" s="33" t="str">
        <f>_xlfn.IFNA(IF(MOD(HLG_02[[#This Row],[Rit]],
    _xlfn.XLOOKUP($G$2,Int_Sample[Ore],Int_Sample[Inc])) = 0, "YES", "NO"),"")</f>
        <v>YES</v>
      </c>
      <c r="I474" s="32" t="str">
        <f>TEXT(HLG_02[[#This Row],[Batch]],"000")&amp; " / " &amp; TEXT(HLG_02[[#This Row],[Rit]],"000")</f>
        <v>006 / 080</v>
      </c>
      <c r="J474" s="34"/>
      <c r="K474" s="38"/>
      <c r="L474" s="35"/>
      <c r="M474" s="66"/>
      <c r="N474" s="66"/>
      <c r="O474" s="66"/>
      <c r="P474" s="66"/>
      <c r="Q474" s="66"/>
      <c r="R474" s="67"/>
      <c r="S474" s="67"/>
      <c r="T474" s="67"/>
      <c r="U474" s="66"/>
      <c r="V474" s="66"/>
      <c r="W474" s="66"/>
      <c r="X474" s="85"/>
      <c r="AP474" t="str">
        <v/>
      </c>
      <c r="AQ474" t="e">
        <v>#N/A</v>
      </c>
      <c r="AR474" t="e">
        <v>#N/A</v>
      </c>
      <c r="AS474" t="e">
        <v>#N/A</v>
      </c>
      <c r="AT474" t="e">
        <v>#N/A</v>
      </c>
      <c r="AU474" t="e">
        <v>#N/A</v>
      </c>
      <c r="AV474" t="e">
        <v>#N/A</v>
      </c>
    </row>
    <row r="475" spans="4:48" ht="15.75" x14ac:dyDescent="0.25">
      <c r="D475" s="3">
        <v>5</v>
      </c>
      <c r="F475" s="16" cm="1">
        <f t="array" ref="F4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75" s="31" cm="1">
        <f t="array" ref="G4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81</v>
      </c>
      <c r="H475" s="33" t="str">
        <f>_xlfn.IFNA(IF(MOD(HLG_02[[#This Row],[Rit]],
    _xlfn.XLOOKUP($G$2,Int_Sample[Ore],Int_Sample[Inc])) = 0, "YES", "NO"),"")</f>
        <v>NO</v>
      </c>
      <c r="I475" s="32" t="str">
        <f>TEXT(HLG_02[[#This Row],[Batch]],"000")&amp; " / " &amp; TEXT(HLG_02[[#This Row],[Rit]],"000")</f>
        <v>006 / 081</v>
      </c>
      <c r="J475" s="34"/>
      <c r="K475" s="38"/>
      <c r="L475" s="35"/>
      <c r="M475" s="66"/>
      <c r="N475" s="66"/>
      <c r="O475" s="66"/>
      <c r="P475" s="66"/>
      <c r="Q475" s="66"/>
      <c r="R475" s="67"/>
      <c r="S475" s="67"/>
      <c r="T475" s="67"/>
      <c r="U475" s="66"/>
      <c r="V475" s="66"/>
      <c r="W475" s="66"/>
      <c r="X475" s="85"/>
      <c r="AP475" t="str">
        <v/>
      </c>
      <c r="AQ475" t="e">
        <v>#N/A</v>
      </c>
      <c r="AR475" t="e">
        <v>#N/A</v>
      </c>
      <c r="AS475" t="e">
        <v>#N/A</v>
      </c>
      <c r="AT475" t="e">
        <v>#N/A</v>
      </c>
      <c r="AU475" t="e">
        <v>#N/A</v>
      </c>
      <c r="AV475" t="e">
        <v>#N/A</v>
      </c>
    </row>
    <row r="476" spans="4:48" ht="15.75" x14ac:dyDescent="0.25">
      <c r="D476" s="3">
        <v>5</v>
      </c>
      <c r="F476" s="16" cm="1">
        <f t="array" ref="F4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76" s="31" cm="1">
        <f t="array" ref="G4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82</v>
      </c>
      <c r="H476" s="33" t="str">
        <f>_xlfn.IFNA(IF(MOD(HLG_02[[#This Row],[Rit]],
    _xlfn.XLOOKUP($G$2,Int_Sample[Ore],Int_Sample[Inc])) = 0, "YES", "NO"),"")</f>
        <v>NO</v>
      </c>
      <c r="I476" s="32" t="str">
        <f>TEXT(HLG_02[[#This Row],[Batch]],"000")&amp; " / " &amp; TEXT(HLG_02[[#This Row],[Rit]],"000")</f>
        <v>006 / 082</v>
      </c>
      <c r="J476" s="34"/>
      <c r="K476" s="38"/>
      <c r="L476" s="35"/>
      <c r="M476" s="66"/>
      <c r="N476" s="66"/>
      <c r="O476" s="66"/>
      <c r="P476" s="66"/>
      <c r="Q476" s="66"/>
      <c r="R476" s="67"/>
      <c r="S476" s="67"/>
      <c r="T476" s="67"/>
      <c r="U476" s="66"/>
      <c r="V476" s="66"/>
      <c r="W476" s="66"/>
      <c r="X476" s="85"/>
      <c r="AP476" t="str">
        <v/>
      </c>
      <c r="AQ476" t="e">
        <v>#N/A</v>
      </c>
      <c r="AR476" t="e">
        <v>#N/A</v>
      </c>
      <c r="AS476" t="e">
        <v>#N/A</v>
      </c>
      <c r="AT476" t="e">
        <v>#N/A</v>
      </c>
      <c r="AU476" t="e">
        <v>#N/A</v>
      </c>
      <c r="AV476" t="e">
        <v>#N/A</v>
      </c>
    </row>
    <row r="477" spans="4:48" ht="15.75" x14ac:dyDescent="0.25">
      <c r="D477" s="3">
        <v>5</v>
      </c>
      <c r="F477" s="16" cm="1">
        <f t="array" ref="F4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77" s="31" cm="1">
        <f t="array" ref="G4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83</v>
      </c>
      <c r="H477" s="33" t="str">
        <f>_xlfn.IFNA(IF(MOD(HLG_02[[#This Row],[Rit]],
    _xlfn.XLOOKUP($G$2,Int_Sample[Ore],Int_Sample[Inc])) = 0, "YES", "NO"),"")</f>
        <v>NO</v>
      </c>
      <c r="I477" s="32" t="str">
        <f>TEXT(HLG_02[[#This Row],[Batch]],"000")&amp; " / " &amp; TEXT(HLG_02[[#This Row],[Rit]],"000")</f>
        <v>006 / 083</v>
      </c>
      <c r="J477" s="34"/>
      <c r="K477" s="38"/>
      <c r="L477" s="35"/>
      <c r="M477" s="66"/>
      <c r="N477" s="66"/>
      <c r="O477" s="66"/>
      <c r="P477" s="66"/>
      <c r="Q477" s="66"/>
      <c r="R477" s="67"/>
      <c r="S477" s="67"/>
      <c r="T477" s="67"/>
      <c r="U477" s="66"/>
      <c r="V477" s="66"/>
      <c r="W477" s="66"/>
      <c r="X477" s="85"/>
      <c r="AP477" t="str">
        <v/>
      </c>
      <c r="AQ477" t="e">
        <v>#N/A</v>
      </c>
      <c r="AR477" t="e">
        <v>#N/A</v>
      </c>
      <c r="AS477" t="e">
        <v>#N/A</v>
      </c>
      <c r="AT477" t="e">
        <v>#N/A</v>
      </c>
      <c r="AU477" t="e">
        <v>#N/A</v>
      </c>
      <c r="AV477" t="e">
        <v>#N/A</v>
      </c>
    </row>
    <row r="478" spans="4:48" ht="15.75" x14ac:dyDescent="0.25">
      <c r="D478" s="3">
        <v>5</v>
      </c>
      <c r="F478" s="16" cm="1">
        <f t="array" ref="F4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78" s="31" cm="1">
        <f t="array" ref="G4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84</v>
      </c>
      <c r="H478" s="33" t="str">
        <f>_xlfn.IFNA(IF(MOD(HLG_02[[#This Row],[Rit]],
    _xlfn.XLOOKUP($G$2,Int_Sample[Ore],Int_Sample[Inc])) = 0, "YES", "NO"),"")</f>
        <v>NO</v>
      </c>
      <c r="I478" s="32" t="str">
        <f>TEXT(HLG_02[[#This Row],[Batch]],"000")&amp; " / " &amp; TEXT(HLG_02[[#This Row],[Rit]],"000")</f>
        <v>006 / 084</v>
      </c>
      <c r="J478" s="34"/>
      <c r="K478" s="38"/>
      <c r="L478" s="35"/>
      <c r="M478" s="66"/>
      <c r="N478" s="66"/>
      <c r="O478" s="66"/>
      <c r="P478" s="66"/>
      <c r="Q478" s="66"/>
      <c r="R478" s="67"/>
      <c r="S478" s="67"/>
      <c r="T478" s="67"/>
      <c r="U478" s="66"/>
      <c r="V478" s="66"/>
      <c r="W478" s="66"/>
      <c r="X478" s="85"/>
      <c r="AP478" t="str">
        <v/>
      </c>
      <c r="AQ478" t="e">
        <v>#N/A</v>
      </c>
      <c r="AR478" t="e">
        <v>#N/A</v>
      </c>
      <c r="AS478" t="e">
        <v>#N/A</v>
      </c>
      <c r="AT478" t="e">
        <v>#N/A</v>
      </c>
      <c r="AU478" t="e">
        <v>#N/A</v>
      </c>
      <c r="AV478" t="e">
        <v>#N/A</v>
      </c>
    </row>
    <row r="479" spans="4:48" ht="15.75" x14ac:dyDescent="0.25">
      <c r="D479" s="3">
        <v>5</v>
      </c>
      <c r="F479" s="16" cm="1">
        <f t="array" ref="F4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79" s="31" cm="1">
        <f t="array" ref="G4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85</v>
      </c>
      <c r="H479" s="33" t="str">
        <f>_xlfn.IFNA(IF(MOD(HLG_02[[#This Row],[Rit]],
    _xlfn.XLOOKUP($G$2,Int_Sample[Ore],Int_Sample[Inc])) = 0, "YES", "NO"),"")</f>
        <v>YES</v>
      </c>
      <c r="I479" s="32" t="str">
        <f>TEXT(HLG_02[[#This Row],[Batch]],"000")&amp; " / " &amp; TEXT(HLG_02[[#This Row],[Rit]],"000")</f>
        <v>006 / 085</v>
      </c>
      <c r="J479" s="34"/>
      <c r="K479" s="38"/>
      <c r="L479" s="35"/>
      <c r="M479" s="66"/>
      <c r="N479" s="66"/>
      <c r="O479" s="66"/>
      <c r="P479" s="66"/>
      <c r="Q479" s="66"/>
      <c r="R479" s="67"/>
      <c r="S479" s="67"/>
      <c r="T479" s="67"/>
      <c r="U479" s="66"/>
      <c r="V479" s="66"/>
      <c r="W479" s="66"/>
      <c r="X479" s="85"/>
      <c r="AP479" t="str">
        <v/>
      </c>
      <c r="AQ479" t="e">
        <v>#N/A</v>
      </c>
      <c r="AR479" t="e">
        <v>#N/A</v>
      </c>
      <c r="AS479" t="e">
        <v>#N/A</v>
      </c>
      <c r="AT479" t="e">
        <v>#N/A</v>
      </c>
      <c r="AU479" t="e">
        <v>#N/A</v>
      </c>
      <c r="AV479" t="e">
        <v>#N/A</v>
      </c>
    </row>
    <row r="480" spans="4:48" ht="15.75" x14ac:dyDescent="0.25">
      <c r="D480" s="3">
        <v>5</v>
      </c>
      <c r="F480" s="16" cm="1">
        <f t="array" ref="F4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80" s="31" cm="1">
        <f t="array" ref="G4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86</v>
      </c>
      <c r="H480" s="33" t="str">
        <f>_xlfn.IFNA(IF(MOD(HLG_02[[#This Row],[Rit]],
    _xlfn.XLOOKUP($G$2,Int_Sample[Ore],Int_Sample[Inc])) = 0, "YES", "NO"),"")</f>
        <v>NO</v>
      </c>
      <c r="I480" s="32" t="str">
        <f>TEXT(HLG_02[[#This Row],[Batch]],"000")&amp; " / " &amp; TEXT(HLG_02[[#This Row],[Rit]],"000")</f>
        <v>006 / 086</v>
      </c>
      <c r="J480" s="34"/>
      <c r="K480" s="38"/>
      <c r="L480" s="35"/>
      <c r="M480" s="66"/>
      <c r="N480" s="66"/>
      <c r="O480" s="66"/>
      <c r="P480" s="66"/>
      <c r="Q480" s="66"/>
      <c r="R480" s="67"/>
      <c r="S480" s="67"/>
      <c r="T480" s="67"/>
      <c r="U480" s="66"/>
      <c r="V480" s="66"/>
      <c r="W480" s="66"/>
      <c r="X480" s="85"/>
      <c r="AP480" t="str">
        <v/>
      </c>
      <c r="AQ480" t="e">
        <v>#N/A</v>
      </c>
      <c r="AR480" t="e">
        <v>#N/A</v>
      </c>
      <c r="AS480" t="e">
        <v>#N/A</v>
      </c>
      <c r="AT480" t="e">
        <v>#N/A</v>
      </c>
      <c r="AU480" t="e">
        <v>#N/A</v>
      </c>
      <c r="AV480" t="e">
        <v>#N/A</v>
      </c>
    </row>
    <row r="481" spans="4:48" ht="15.75" x14ac:dyDescent="0.25">
      <c r="D481" s="3">
        <v>5</v>
      </c>
      <c r="F481" s="16" cm="1">
        <f t="array" ref="F4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81" s="31" cm="1">
        <f t="array" ref="G4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87</v>
      </c>
      <c r="H481" s="33" t="str">
        <f>_xlfn.IFNA(IF(MOD(HLG_02[[#This Row],[Rit]],
    _xlfn.XLOOKUP($G$2,Int_Sample[Ore],Int_Sample[Inc])) = 0, "YES", "NO"),"")</f>
        <v>NO</v>
      </c>
      <c r="I481" s="32" t="str">
        <f>TEXT(HLG_02[[#This Row],[Batch]],"000")&amp; " / " &amp; TEXT(HLG_02[[#This Row],[Rit]],"000")</f>
        <v>006 / 087</v>
      </c>
      <c r="J481" s="34"/>
      <c r="K481" s="38"/>
      <c r="L481" s="35"/>
      <c r="M481" s="66"/>
      <c r="N481" s="66"/>
      <c r="O481" s="66"/>
      <c r="P481" s="66"/>
      <c r="Q481" s="66"/>
      <c r="R481" s="67"/>
      <c r="S481" s="67"/>
      <c r="T481" s="67"/>
      <c r="U481" s="66"/>
      <c r="V481" s="66"/>
      <c r="W481" s="66"/>
      <c r="X481" s="85"/>
      <c r="AP481" t="str">
        <v/>
      </c>
      <c r="AQ481" t="e">
        <v>#N/A</v>
      </c>
      <c r="AR481" t="e">
        <v>#N/A</v>
      </c>
      <c r="AS481" t="e">
        <v>#N/A</v>
      </c>
      <c r="AT481" t="e">
        <v>#N/A</v>
      </c>
      <c r="AU481" t="e">
        <v>#N/A</v>
      </c>
      <c r="AV481" t="e">
        <v>#N/A</v>
      </c>
    </row>
    <row r="482" spans="4:48" ht="15.75" x14ac:dyDescent="0.25">
      <c r="D482" s="3">
        <v>5</v>
      </c>
      <c r="F482" s="16" cm="1">
        <f t="array" ref="F4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82" s="31" cm="1">
        <f t="array" ref="G4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88</v>
      </c>
      <c r="H482" s="33" t="str">
        <f>_xlfn.IFNA(IF(MOD(HLG_02[[#This Row],[Rit]],
    _xlfn.XLOOKUP($G$2,Int_Sample[Ore],Int_Sample[Inc])) = 0, "YES", "NO"),"")</f>
        <v>NO</v>
      </c>
      <c r="I482" s="32" t="str">
        <f>TEXT(HLG_02[[#This Row],[Batch]],"000")&amp; " / " &amp; TEXT(HLG_02[[#This Row],[Rit]],"000")</f>
        <v>006 / 088</v>
      </c>
      <c r="J482" s="34"/>
      <c r="K482" s="38"/>
      <c r="L482" s="35"/>
      <c r="M482" s="66"/>
      <c r="N482" s="66"/>
      <c r="O482" s="66"/>
      <c r="P482" s="66"/>
      <c r="Q482" s="66"/>
      <c r="R482" s="67"/>
      <c r="S482" s="67"/>
      <c r="T482" s="67"/>
      <c r="U482" s="66"/>
      <c r="V482" s="66"/>
      <c r="W482" s="66"/>
      <c r="X482" s="85"/>
      <c r="AP482" t="str">
        <v/>
      </c>
      <c r="AQ482" t="e">
        <v>#N/A</v>
      </c>
      <c r="AR482" t="e">
        <v>#N/A</v>
      </c>
      <c r="AS482" t="e">
        <v>#N/A</v>
      </c>
      <c r="AT482" t="e">
        <v>#N/A</v>
      </c>
      <c r="AU482" t="e">
        <v>#N/A</v>
      </c>
      <c r="AV482" t="e">
        <v>#N/A</v>
      </c>
    </row>
    <row r="483" spans="4:48" ht="15.75" x14ac:dyDescent="0.25">
      <c r="D483" s="3">
        <v>5</v>
      </c>
      <c r="F483" s="16" cm="1">
        <f t="array" ref="F4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83" s="31" cm="1">
        <f t="array" ref="G4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89</v>
      </c>
      <c r="H483" s="33" t="str">
        <f>_xlfn.IFNA(IF(MOD(HLG_02[[#This Row],[Rit]],
    _xlfn.XLOOKUP($G$2,Int_Sample[Ore],Int_Sample[Inc])) = 0, "YES", "NO"),"")</f>
        <v>NO</v>
      </c>
      <c r="I483" s="32" t="str">
        <f>TEXT(HLG_02[[#This Row],[Batch]],"000")&amp; " / " &amp; TEXT(HLG_02[[#This Row],[Rit]],"000")</f>
        <v>006 / 089</v>
      </c>
      <c r="J483" s="34"/>
      <c r="K483" s="38"/>
      <c r="L483" s="35"/>
      <c r="M483" s="66"/>
      <c r="N483" s="66"/>
      <c r="O483" s="66"/>
      <c r="P483" s="66"/>
      <c r="Q483" s="66"/>
      <c r="R483" s="67"/>
      <c r="S483" s="67"/>
      <c r="T483" s="67"/>
      <c r="U483" s="66"/>
      <c r="V483" s="66"/>
      <c r="W483" s="66"/>
      <c r="X483" s="85"/>
      <c r="AP483" t="str">
        <v/>
      </c>
      <c r="AQ483" t="e">
        <v>#N/A</v>
      </c>
      <c r="AR483" t="e">
        <v>#N/A</v>
      </c>
      <c r="AS483" t="e">
        <v>#N/A</v>
      </c>
      <c r="AT483" t="e">
        <v>#N/A</v>
      </c>
      <c r="AU483" t="e">
        <v>#N/A</v>
      </c>
      <c r="AV483" t="e">
        <v>#N/A</v>
      </c>
    </row>
    <row r="484" spans="4:48" ht="15.75" x14ac:dyDescent="0.25">
      <c r="D484" s="3">
        <v>5</v>
      </c>
      <c r="F484" s="16" cm="1">
        <f t="array" ref="F4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84" s="31" cm="1">
        <f t="array" ref="G4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90</v>
      </c>
      <c r="H484" s="33" t="str">
        <f>_xlfn.IFNA(IF(MOD(HLG_02[[#This Row],[Rit]],
    _xlfn.XLOOKUP($G$2,Int_Sample[Ore],Int_Sample[Inc])) = 0, "YES", "NO"),"")</f>
        <v>YES</v>
      </c>
      <c r="I484" s="32" t="str">
        <f>TEXT(HLG_02[[#This Row],[Batch]],"000")&amp; " / " &amp; TEXT(HLG_02[[#This Row],[Rit]],"000")</f>
        <v>006 / 090</v>
      </c>
      <c r="J484" s="34"/>
      <c r="K484" s="38"/>
      <c r="L484" s="35"/>
      <c r="M484" s="66"/>
      <c r="N484" s="66"/>
      <c r="O484" s="66"/>
      <c r="P484" s="66"/>
      <c r="Q484" s="66"/>
      <c r="R484" s="67"/>
      <c r="S484" s="67"/>
      <c r="T484" s="67"/>
      <c r="U484" s="66"/>
      <c r="V484" s="66"/>
      <c r="W484" s="66"/>
      <c r="X484" s="85"/>
      <c r="AP484" t="str">
        <v/>
      </c>
      <c r="AQ484" t="e">
        <v>#N/A</v>
      </c>
      <c r="AR484" t="e">
        <v>#N/A</v>
      </c>
      <c r="AS484" t="e">
        <v>#N/A</v>
      </c>
      <c r="AT484" t="e">
        <v>#N/A</v>
      </c>
      <c r="AU484" t="e">
        <v>#N/A</v>
      </c>
      <c r="AV484" t="e">
        <v>#N/A</v>
      </c>
    </row>
    <row r="485" spans="4:48" ht="15.75" x14ac:dyDescent="0.25">
      <c r="D485" s="3">
        <v>5</v>
      </c>
      <c r="F485" s="16" cm="1">
        <f t="array" ref="F4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85" s="31" cm="1">
        <f t="array" ref="G4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91</v>
      </c>
      <c r="H485" s="33" t="str">
        <f>_xlfn.IFNA(IF(MOD(HLG_02[[#This Row],[Rit]],
    _xlfn.XLOOKUP($G$2,Int_Sample[Ore],Int_Sample[Inc])) = 0, "YES", "NO"),"")</f>
        <v>NO</v>
      </c>
      <c r="I485" s="32" t="str">
        <f>TEXT(HLG_02[[#This Row],[Batch]],"000")&amp; " / " &amp; TEXT(HLG_02[[#This Row],[Rit]],"000")</f>
        <v>006 / 091</v>
      </c>
      <c r="J485" s="34"/>
      <c r="K485" s="38"/>
      <c r="L485" s="35"/>
      <c r="M485" s="66"/>
      <c r="N485" s="66"/>
      <c r="O485" s="66"/>
      <c r="P485" s="66"/>
      <c r="Q485" s="66"/>
      <c r="R485" s="67"/>
      <c r="S485" s="67"/>
      <c r="T485" s="67"/>
      <c r="U485" s="66"/>
      <c r="V485" s="66"/>
      <c r="W485" s="66"/>
      <c r="X485" s="85"/>
      <c r="AP485" t="str">
        <v/>
      </c>
      <c r="AQ485" t="e">
        <v>#N/A</v>
      </c>
      <c r="AR485" t="e">
        <v>#N/A</v>
      </c>
      <c r="AS485" t="e">
        <v>#N/A</v>
      </c>
      <c r="AT485" t="e">
        <v>#N/A</v>
      </c>
      <c r="AU485" t="e">
        <v>#N/A</v>
      </c>
      <c r="AV485" t="e">
        <v>#N/A</v>
      </c>
    </row>
    <row r="486" spans="4:48" ht="15.75" x14ac:dyDescent="0.25">
      <c r="D486" s="3">
        <v>5</v>
      </c>
      <c r="F486" s="16" cm="1">
        <f t="array" ref="F4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86" s="31" cm="1">
        <f t="array" ref="G4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92</v>
      </c>
      <c r="H486" s="33" t="str">
        <f>_xlfn.IFNA(IF(MOD(HLG_02[[#This Row],[Rit]],
    _xlfn.XLOOKUP($G$2,Int_Sample[Ore],Int_Sample[Inc])) = 0, "YES", "NO"),"")</f>
        <v>NO</v>
      </c>
      <c r="I486" s="32" t="str">
        <f>TEXT(HLG_02[[#This Row],[Batch]],"000")&amp; " / " &amp; TEXT(HLG_02[[#This Row],[Rit]],"000")</f>
        <v>006 / 092</v>
      </c>
      <c r="J486" s="34"/>
      <c r="K486" s="38"/>
      <c r="L486" s="35"/>
      <c r="M486" s="66"/>
      <c r="N486" s="66"/>
      <c r="O486" s="66"/>
      <c r="P486" s="66"/>
      <c r="Q486" s="66"/>
      <c r="R486" s="67"/>
      <c r="S486" s="67"/>
      <c r="T486" s="67"/>
      <c r="U486" s="66"/>
      <c r="V486" s="66"/>
      <c r="W486" s="66"/>
      <c r="X486" s="85"/>
      <c r="AP486" t="str">
        <v/>
      </c>
      <c r="AQ486" t="e">
        <v>#N/A</v>
      </c>
      <c r="AR486" t="e">
        <v>#N/A</v>
      </c>
      <c r="AS486" t="e">
        <v>#N/A</v>
      </c>
      <c r="AT486" t="e">
        <v>#N/A</v>
      </c>
      <c r="AU486" t="e">
        <v>#N/A</v>
      </c>
      <c r="AV486" t="e">
        <v>#N/A</v>
      </c>
    </row>
    <row r="487" spans="4:48" ht="15.75" x14ac:dyDescent="0.25">
      <c r="D487" s="3">
        <v>5</v>
      </c>
      <c r="F487" s="16" cm="1">
        <f t="array" ref="F4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87" s="31" cm="1">
        <f t="array" ref="G4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93</v>
      </c>
      <c r="H487" s="33" t="str">
        <f>_xlfn.IFNA(IF(MOD(HLG_02[[#This Row],[Rit]],
    _xlfn.XLOOKUP($G$2,Int_Sample[Ore],Int_Sample[Inc])) = 0, "YES", "NO"),"")</f>
        <v>NO</v>
      </c>
      <c r="I487" s="32" t="str">
        <f>TEXT(HLG_02[[#This Row],[Batch]],"000")&amp; " / " &amp; TEXT(HLG_02[[#This Row],[Rit]],"000")</f>
        <v>006 / 093</v>
      </c>
      <c r="J487" s="34"/>
      <c r="K487" s="38"/>
      <c r="L487" s="35"/>
      <c r="M487" s="66"/>
      <c r="N487" s="66"/>
      <c r="O487" s="66"/>
      <c r="P487" s="66"/>
      <c r="Q487" s="66"/>
      <c r="R487" s="67"/>
      <c r="S487" s="67"/>
      <c r="T487" s="67"/>
      <c r="U487" s="66"/>
      <c r="V487" s="66"/>
      <c r="W487" s="66"/>
      <c r="X487" s="85"/>
      <c r="AP487" t="str">
        <v/>
      </c>
      <c r="AQ487" t="e">
        <v>#N/A</v>
      </c>
      <c r="AR487" t="e">
        <v>#N/A</v>
      </c>
      <c r="AS487" t="e">
        <v>#N/A</v>
      </c>
      <c r="AT487" t="e">
        <v>#N/A</v>
      </c>
      <c r="AU487" t="e">
        <v>#N/A</v>
      </c>
      <c r="AV487" t="e">
        <v>#N/A</v>
      </c>
    </row>
    <row r="488" spans="4:48" ht="15.75" x14ac:dyDescent="0.25">
      <c r="D488" s="3">
        <v>5</v>
      </c>
      <c r="F488" s="16" cm="1">
        <f t="array" ref="F4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88" s="31" cm="1">
        <f t="array" ref="G4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94</v>
      </c>
      <c r="H488" s="33" t="str">
        <f>_xlfn.IFNA(IF(MOD(HLG_02[[#This Row],[Rit]],
    _xlfn.XLOOKUP($G$2,Int_Sample[Ore],Int_Sample[Inc])) = 0, "YES", "NO"),"")</f>
        <v>NO</v>
      </c>
      <c r="I488" s="32" t="str">
        <f>TEXT(HLG_02[[#This Row],[Batch]],"000")&amp; " / " &amp; TEXT(HLG_02[[#This Row],[Rit]],"000")</f>
        <v>006 / 094</v>
      </c>
      <c r="J488" s="34"/>
      <c r="K488" s="38"/>
      <c r="L488" s="35"/>
      <c r="M488" s="66"/>
      <c r="N488" s="66"/>
      <c r="O488" s="66"/>
      <c r="P488" s="66"/>
      <c r="Q488" s="66"/>
      <c r="R488" s="67"/>
      <c r="S488" s="67"/>
      <c r="T488" s="67"/>
      <c r="U488" s="66"/>
      <c r="V488" s="66"/>
      <c r="W488" s="66"/>
      <c r="X488" s="85"/>
      <c r="AP488" t="str">
        <v/>
      </c>
      <c r="AQ488" t="e">
        <v>#N/A</v>
      </c>
      <c r="AR488" t="e">
        <v>#N/A</v>
      </c>
      <c r="AS488" t="e">
        <v>#N/A</v>
      </c>
      <c r="AT488" t="e">
        <v>#N/A</v>
      </c>
      <c r="AU488" t="e">
        <v>#N/A</v>
      </c>
      <c r="AV488" t="e">
        <v>#N/A</v>
      </c>
    </row>
    <row r="489" spans="4:48" ht="15.75" x14ac:dyDescent="0.25">
      <c r="D489" s="3">
        <v>5</v>
      </c>
      <c r="F489" s="16" cm="1">
        <f t="array" ref="F4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89" s="31" cm="1">
        <f t="array" ref="G4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95</v>
      </c>
      <c r="H489" s="33" t="str">
        <f>_xlfn.IFNA(IF(MOD(HLG_02[[#This Row],[Rit]],
    _xlfn.XLOOKUP($G$2,Int_Sample[Ore],Int_Sample[Inc])) = 0, "YES", "NO"),"")</f>
        <v>YES</v>
      </c>
      <c r="I489" s="32" t="str">
        <f>TEXT(HLG_02[[#This Row],[Batch]],"000")&amp; " / " &amp; TEXT(HLG_02[[#This Row],[Rit]],"000")</f>
        <v>006 / 095</v>
      </c>
      <c r="J489" s="34"/>
      <c r="K489" s="38"/>
      <c r="L489" s="35"/>
      <c r="M489" s="66"/>
      <c r="N489" s="66"/>
      <c r="O489" s="66"/>
      <c r="P489" s="66"/>
      <c r="Q489" s="66"/>
      <c r="R489" s="67"/>
      <c r="S489" s="67"/>
      <c r="T489" s="67"/>
      <c r="U489" s="66"/>
      <c r="V489" s="66"/>
      <c r="W489" s="66"/>
      <c r="X489" s="85"/>
      <c r="AP489" t="str">
        <v/>
      </c>
      <c r="AQ489" t="e">
        <v>#N/A</v>
      </c>
      <c r="AR489" t="e">
        <v>#N/A</v>
      </c>
      <c r="AS489" t="e">
        <v>#N/A</v>
      </c>
      <c r="AT489" t="e">
        <v>#N/A</v>
      </c>
      <c r="AU489" t="e">
        <v>#N/A</v>
      </c>
      <c r="AV489" t="e">
        <v>#N/A</v>
      </c>
    </row>
    <row r="490" spans="4:48" ht="15.75" x14ac:dyDescent="0.25">
      <c r="D490" s="3">
        <v>5</v>
      </c>
      <c r="F490" s="16" cm="1">
        <f t="array" ref="F4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90" s="31" cm="1">
        <f t="array" ref="G4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96</v>
      </c>
      <c r="H490" s="33" t="str">
        <f>_xlfn.IFNA(IF(MOD(HLG_02[[#This Row],[Rit]],
    _xlfn.XLOOKUP($G$2,Int_Sample[Ore],Int_Sample[Inc])) = 0, "YES", "NO"),"")</f>
        <v>NO</v>
      </c>
      <c r="I490" s="32" t="str">
        <f>TEXT(HLG_02[[#This Row],[Batch]],"000")&amp; " / " &amp; TEXT(HLG_02[[#This Row],[Rit]],"000")</f>
        <v>006 / 096</v>
      </c>
      <c r="J490" s="34"/>
      <c r="K490" s="38"/>
      <c r="L490" s="35"/>
      <c r="M490" s="66"/>
      <c r="N490" s="66"/>
      <c r="O490" s="66"/>
      <c r="P490" s="66"/>
      <c r="Q490" s="66"/>
      <c r="R490" s="67"/>
      <c r="S490" s="67"/>
      <c r="T490" s="67"/>
      <c r="U490" s="66"/>
      <c r="V490" s="66"/>
      <c r="W490" s="66"/>
      <c r="X490" s="85"/>
      <c r="AP490" t="str">
        <v/>
      </c>
      <c r="AQ490" t="e">
        <v>#N/A</v>
      </c>
      <c r="AR490" t="e">
        <v>#N/A</v>
      </c>
      <c r="AS490" t="e">
        <v>#N/A</v>
      </c>
      <c r="AT490" t="e">
        <v>#N/A</v>
      </c>
      <c r="AU490" t="e">
        <v>#N/A</v>
      </c>
      <c r="AV490" t="e">
        <v>#N/A</v>
      </c>
    </row>
    <row r="491" spans="4:48" ht="15.75" x14ac:dyDescent="0.25">
      <c r="D491" s="3">
        <v>5</v>
      </c>
      <c r="F491" s="16" cm="1">
        <f t="array" ref="F4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91" s="31" cm="1">
        <f t="array" ref="G4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97</v>
      </c>
      <c r="H491" s="33" t="str">
        <f>_xlfn.IFNA(IF(MOD(HLG_02[[#This Row],[Rit]],
    _xlfn.XLOOKUP($G$2,Int_Sample[Ore],Int_Sample[Inc])) = 0, "YES", "NO"),"")</f>
        <v>NO</v>
      </c>
      <c r="I491" s="32" t="str">
        <f>TEXT(HLG_02[[#This Row],[Batch]],"000")&amp; " / " &amp; TEXT(HLG_02[[#This Row],[Rit]],"000")</f>
        <v>006 / 097</v>
      </c>
      <c r="J491" s="34"/>
      <c r="K491" s="38"/>
      <c r="L491" s="35"/>
      <c r="M491" s="66"/>
      <c r="N491" s="66"/>
      <c r="O491" s="66"/>
      <c r="P491" s="66"/>
      <c r="Q491" s="66"/>
      <c r="R491" s="67"/>
      <c r="S491" s="67"/>
      <c r="T491" s="67"/>
      <c r="U491" s="66"/>
      <c r="V491" s="66"/>
      <c r="W491" s="66"/>
      <c r="X491" s="85"/>
      <c r="AP491" t="str">
        <v/>
      </c>
      <c r="AQ491" t="e">
        <v>#N/A</v>
      </c>
      <c r="AR491" t="e">
        <v>#N/A</v>
      </c>
      <c r="AS491" t="e">
        <v>#N/A</v>
      </c>
      <c r="AT491" t="e">
        <v>#N/A</v>
      </c>
      <c r="AU491" t="e">
        <v>#N/A</v>
      </c>
      <c r="AV491" t="e">
        <v>#N/A</v>
      </c>
    </row>
    <row r="492" spans="4:48" ht="15.75" x14ac:dyDescent="0.25">
      <c r="D492" s="3">
        <v>5</v>
      </c>
      <c r="F492" s="16" cm="1">
        <f t="array" ref="F4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92" s="31" cm="1">
        <f t="array" ref="G4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98</v>
      </c>
      <c r="H492" s="33" t="str">
        <f>_xlfn.IFNA(IF(MOD(HLG_02[[#This Row],[Rit]],
    _xlfn.XLOOKUP($G$2,Int_Sample[Ore],Int_Sample[Inc])) = 0, "YES", "NO"),"")</f>
        <v>NO</v>
      </c>
      <c r="I492" s="32" t="str">
        <f>TEXT(HLG_02[[#This Row],[Batch]],"000")&amp; " / " &amp; TEXT(HLG_02[[#This Row],[Rit]],"000")</f>
        <v>006 / 098</v>
      </c>
      <c r="J492" s="34"/>
      <c r="K492" s="38"/>
      <c r="L492" s="35"/>
      <c r="M492" s="66"/>
      <c r="N492" s="66"/>
      <c r="O492" s="66"/>
      <c r="P492" s="66"/>
      <c r="Q492" s="66"/>
      <c r="R492" s="67"/>
      <c r="S492" s="67"/>
      <c r="T492" s="67"/>
      <c r="U492" s="66"/>
      <c r="V492" s="66"/>
      <c r="W492" s="66"/>
      <c r="X492" s="85"/>
      <c r="AP492" t="str">
        <v/>
      </c>
      <c r="AQ492" t="e">
        <v>#N/A</v>
      </c>
      <c r="AR492" t="e">
        <v>#N/A</v>
      </c>
      <c r="AS492" t="e">
        <v>#N/A</v>
      </c>
      <c r="AT492" t="e">
        <v>#N/A</v>
      </c>
      <c r="AU492" t="e">
        <v>#N/A</v>
      </c>
      <c r="AV492" t="e">
        <v>#N/A</v>
      </c>
    </row>
    <row r="493" spans="4:48" ht="15.75" x14ac:dyDescent="0.25">
      <c r="D493" s="3">
        <v>5</v>
      </c>
      <c r="F493" s="16" cm="1">
        <f t="array" ref="F4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93" s="31" cm="1">
        <f t="array" ref="G4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99</v>
      </c>
      <c r="H493" s="33" t="str">
        <f>_xlfn.IFNA(IF(MOD(HLG_02[[#This Row],[Rit]],
    _xlfn.XLOOKUP($G$2,Int_Sample[Ore],Int_Sample[Inc])) = 0, "YES", "NO"),"")</f>
        <v>NO</v>
      </c>
      <c r="I493" s="32" t="str">
        <f>TEXT(HLG_02[[#This Row],[Batch]],"000")&amp; " / " &amp; TEXT(HLG_02[[#This Row],[Rit]],"000")</f>
        <v>006 / 099</v>
      </c>
      <c r="J493" s="34"/>
      <c r="K493" s="38"/>
      <c r="L493" s="35"/>
      <c r="M493" s="66"/>
      <c r="N493" s="66"/>
      <c r="O493" s="66"/>
      <c r="P493" s="66"/>
      <c r="Q493" s="66"/>
      <c r="R493" s="67"/>
      <c r="S493" s="67"/>
      <c r="T493" s="67"/>
      <c r="U493" s="66"/>
      <c r="V493" s="66"/>
      <c r="W493" s="66"/>
      <c r="X493" s="85"/>
      <c r="AP493" t="str">
        <v/>
      </c>
      <c r="AQ493" t="e">
        <v>#N/A</v>
      </c>
      <c r="AR493" t="e">
        <v>#N/A</v>
      </c>
      <c r="AS493" t="e">
        <v>#N/A</v>
      </c>
      <c r="AT493" t="e">
        <v>#N/A</v>
      </c>
      <c r="AU493" t="e">
        <v>#N/A</v>
      </c>
      <c r="AV493" t="e">
        <v>#N/A</v>
      </c>
    </row>
    <row r="494" spans="4:48" ht="15.75" x14ac:dyDescent="0.25">
      <c r="D494" s="3">
        <v>5</v>
      </c>
      <c r="F494" s="16" cm="1">
        <f t="array" ref="F4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6</v>
      </c>
      <c r="G494" s="31" cm="1">
        <f t="array" ref="G4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100</v>
      </c>
      <c r="H494" s="33" t="str">
        <f>_xlfn.IFNA(IF(MOD(HLG_02[[#This Row],[Rit]],
    _xlfn.XLOOKUP($G$2,Int_Sample[Ore],Int_Sample[Inc])) = 0, "YES", "NO"),"")</f>
        <v>YES</v>
      </c>
      <c r="I494" s="32" t="str">
        <f>TEXT(HLG_02[[#This Row],[Batch]],"000")&amp; " / " &amp; TEXT(HLG_02[[#This Row],[Rit]],"000")</f>
        <v>006 / 100</v>
      </c>
      <c r="J494" s="34"/>
      <c r="K494" s="38"/>
      <c r="L494" s="35"/>
      <c r="M494" s="66"/>
      <c r="N494" s="66"/>
      <c r="O494" s="66"/>
      <c r="P494" s="66"/>
      <c r="Q494" s="66"/>
      <c r="R494" s="67"/>
      <c r="S494" s="67"/>
      <c r="T494" s="67"/>
      <c r="U494" s="66"/>
      <c r="V494" s="66"/>
      <c r="W494" s="66"/>
      <c r="X494" s="85"/>
      <c r="AP494" t="str">
        <v/>
      </c>
      <c r="AQ494" t="e">
        <v>#N/A</v>
      </c>
      <c r="AR494" t="e">
        <v>#N/A</v>
      </c>
      <c r="AS494" t="e">
        <v>#N/A</v>
      </c>
      <c r="AT494" t="e">
        <v>#N/A</v>
      </c>
      <c r="AU494" t="e">
        <v>#N/A</v>
      </c>
      <c r="AV494" t="e">
        <v>#N/A</v>
      </c>
    </row>
    <row r="495" spans="4:48" ht="15.75" x14ac:dyDescent="0.25">
      <c r="D495" s="3">
        <v>6</v>
      </c>
      <c r="F495" s="16" cm="1">
        <f t="array" ref="F4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495" s="31" cm="1">
        <f t="array" ref="G4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495" s="33" t="str">
        <f>_xlfn.IFNA(IF(MOD(HLG_02[[#This Row],[Rit]],
    _xlfn.XLOOKUP($G$2,Int_Sample[Ore],Int_Sample[Inc])) = 0, "YES", "NO"),"")</f>
        <v>NO</v>
      </c>
      <c r="I495" s="32" t="str">
        <f>TEXT(HLG_02[[#This Row],[Batch]],"000")&amp; " / " &amp; TEXT(HLG_02[[#This Row],[Rit]],"000")</f>
        <v>007 / 001</v>
      </c>
      <c r="J495" s="34"/>
      <c r="K495" s="38"/>
      <c r="L495" s="35"/>
      <c r="M495" s="66"/>
      <c r="N495" s="66"/>
      <c r="O495" s="66"/>
      <c r="P495" s="66"/>
      <c r="Q495" s="66"/>
      <c r="R495" s="67"/>
      <c r="S495" s="67"/>
      <c r="T495" s="67"/>
      <c r="U495" s="66"/>
      <c r="V495" s="66"/>
      <c r="W495" s="66"/>
      <c r="X495" s="85"/>
      <c r="AP495" t="str">
        <v/>
      </c>
      <c r="AQ495" t="e">
        <v>#N/A</v>
      </c>
      <c r="AR495" t="e">
        <v>#N/A</v>
      </c>
      <c r="AS495" t="e">
        <v>#N/A</v>
      </c>
      <c r="AT495" t="e">
        <v>#N/A</v>
      </c>
      <c r="AU495" t="e">
        <v>#N/A</v>
      </c>
      <c r="AV495" t="e">
        <v>#N/A</v>
      </c>
    </row>
    <row r="496" spans="4:48" ht="15.75" x14ac:dyDescent="0.25">
      <c r="D496" s="3">
        <v>6</v>
      </c>
      <c r="F496" s="16" cm="1">
        <f t="array" ref="F4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496" s="31" cm="1">
        <f t="array" ref="G4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496" s="33" t="str">
        <f>_xlfn.IFNA(IF(MOD(HLG_02[[#This Row],[Rit]],
    _xlfn.XLOOKUP($G$2,Int_Sample[Ore],Int_Sample[Inc])) = 0, "YES", "NO"),"")</f>
        <v>NO</v>
      </c>
      <c r="I496" s="32" t="str">
        <f>TEXT(HLG_02[[#This Row],[Batch]],"000")&amp; " / " &amp; TEXT(HLG_02[[#This Row],[Rit]],"000")</f>
        <v>007 / 002</v>
      </c>
      <c r="J496" s="34"/>
      <c r="K496" s="38"/>
      <c r="L496" s="35"/>
      <c r="M496" s="66"/>
      <c r="N496" s="66"/>
      <c r="O496" s="66"/>
      <c r="P496" s="66"/>
      <c r="Q496" s="66"/>
      <c r="R496" s="67"/>
      <c r="S496" s="67"/>
      <c r="T496" s="67"/>
      <c r="U496" s="66"/>
      <c r="V496" s="66"/>
      <c r="W496" s="66"/>
      <c r="X496" s="85"/>
      <c r="AP496" t="str">
        <v/>
      </c>
      <c r="AQ496" t="e">
        <v>#N/A</v>
      </c>
      <c r="AR496" t="e">
        <v>#N/A</v>
      </c>
      <c r="AS496" t="e">
        <v>#N/A</v>
      </c>
      <c r="AT496" t="e">
        <v>#N/A</v>
      </c>
      <c r="AU496" t="e">
        <v>#N/A</v>
      </c>
      <c r="AV496" t="e">
        <v>#N/A</v>
      </c>
    </row>
    <row r="497" spans="4:48" ht="15.75" x14ac:dyDescent="0.25">
      <c r="D497" s="3">
        <v>6</v>
      </c>
      <c r="F497" s="16" cm="1">
        <f t="array" ref="F4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497" s="31" cm="1">
        <f t="array" ref="G4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497" s="33" t="str">
        <f>_xlfn.IFNA(IF(MOD(HLG_02[[#This Row],[Rit]],
    _xlfn.XLOOKUP($G$2,Int_Sample[Ore],Int_Sample[Inc])) = 0, "YES", "NO"),"")</f>
        <v>NO</v>
      </c>
      <c r="I497" s="32" t="str">
        <f>TEXT(HLG_02[[#This Row],[Batch]],"000")&amp; " / " &amp; TEXT(HLG_02[[#This Row],[Rit]],"000")</f>
        <v>007 / 003</v>
      </c>
      <c r="J497" s="34"/>
      <c r="K497" s="38"/>
      <c r="L497" s="35"/>
      <c r="M497" s="66"/>
      <c r="N497" s="66"/>
      <c r="O497" s="66"/>
      <c r="P497" s="66"/>
      <c r="Q497" s="66"/>
      <c r="R497" s="67"/>
      <c r="S497" s="67"/>
      <c r="T497" s="67"/>
      <c r="U497" s="66"/>
      <c r="V497" s="66"/>
      <c r="W497" s="66"/>
      <c r="X497" s="85"/>
      <c r="AP497" t="str">
        <v/>
      </c>
      <c r="AQ497" t="e">
        <v>#N/A</v>
      </c>
      <c r="AR497" t="e">
        <v>#N/A</v>
      </c>
      <c r="AS497" t="e">
        <v>#N/A</v>
      </c>
      <c r="AT497" t="e">
        <v>#N/A</v>
      </c>
      <c r="AU497" t="e">
        <v>#N/A</v>
      </c>
      <c r="AV497" t="e">
        <v>#N/A</v>
      </c>
    </row>
    <row r="498" spans="4:48" ht="15.75" x14ac:dyDescent="0.25">
      <c r="D498" s="3">
        <v>6</v>
      </c>
      <c r="F498" s="16" cm="1">
        <f t="array" ref="F4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498" s="31" cm="1">
        <f t="array" ref="G4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498" s="33" t="str">
        <f>_xlfn.IFNA(IF(MOD(HLG_02[[#This Row],[Rit]],
    _xlfn.XLOOKUP($G$2,Int_Sample[Ore],Int_Sample[Inc])) = 0, "YES", "NO"),"")</f>
        <v>NO</v>
      </c>
      <c r="I498" s="32" t="str">
        <f>TEXT(HLG_02[[#This Row],[Batch]],"000")&amp; " / " &amp; TEXT(HLG_02[[#This Row],[Rit]],"000")</f>
        <v>007 / 004</v>
      </c>
      <c r="J498" s="34"/>
      <c r="K498" s="38"/>
      <c r="L498" s="35"/>
      <c r="M498" s="66"/>
      <c r="N498" s="66"/>
      <c r="O498" s="66"/>
      <c r="P498" s="66"/>
      <c r="Q498" s="66"/>
      <c r="R498" s="67"/>
      <c r="S498" s="67"/>
      <c r="T498" s="67"/>
      <c r="U498" s="66"/>
      <c r="V498" s="66"/>
      <c r="W498" s="66"/>
      <c r="X498" s="85"/>
      <c r="AP498" t="str">
        <v/>
      </c>
      <c r="AQ498" t="e">
        <v>#N/A</v>
      </c>
      <c r="AR498" t="e">
        <v>#N/A</v>
      </c>
      <c r="AS498" t="e">
        <v>#N/A</v>
      </c>
      <c r="AT498" t="e">
        <v>#N/A</v>
      </c>
      <c r="AU498" t="e">
        <v>#N/A</v>
      </c>
      <c r="AV498" t="e">
        <v>#N/A</v>
      </c>
    </row>
    <row r="499" spans="4:48" ht="15.75" x14ac:dyDescent="0.25">
      <c r="D499" s="3">
        <v>6</v>
      </c>
      <c r="F499" s="16" cm="1">
        <f t="array" ref="F4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499" s="31" cm="1">
        <f t="array" ref="G4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499" s="33" t="str">
        <f>_xlfn.IFNA(IF(MOD(HLG_02[[#This Row],[Rit]],
    _xlfn.XLOOKUP($G$2,Int_Sample[Ore],Int_Sample[Inc])) = 0, "YES", "NO"),"")</f>
        <v>YES</v>
      </c>
      <c r="I499" s="32" t="str">
        <f>TEXT(HLG_02[[#This Row],[Batch]],"000")&amp; " / " &amp; TEXT(HLG_02[[#This Row],[Rit]],"000")</f>
        <v>007 / 005</v>
      </c>
      <c r="J499" s="34"/>
      <c r="K499" s="38"/>
      <c r="L499" s="35"/>
      <c r="M499" s="66"/>
      <c r="N499" s="66"/>
      <c r="O499" s="66"/>
      <c r="P499" s="66"/>
      <c r="Q499" s="66"/>
      <c r="R499" s="67"/>
      <c r="S499" s="67"/>
      <c r="T499" s="67"/>
      <c r="U499" s="66"/>
      <c r="V499" s="66"/>
      <c r="W499" s="66"/>
      <c r="X499" s="85"/>
      <c r="AP499" t="str">
        <v/>
      </c>
      <c r="AQ499" t="e">
        <v>#N/A</v>
      </c>
      <c r="AR499" t="e">
        <v>#N/A</v>
      </c>
      <c r="AS499" t="e">
        <v>#N/A</v>
      </c>
      <c r="AT499" t="e">
        <v>#N/A</v>
      </c>
      <c r="AU499" t="e">
        <v>#N/A</v>
      </c>
      <c r="AV499" t="e">
        <v>#N/A</v>
      </c>
    </row>
    <row r="500" spans="4:48" ht="15.75" x14ac:dyDescent="0.25">
      <c r="D500" s="3">
        <v>6</v>
      </c>
      <c r="F500" s="16" cm="1">
        <f t="array" ref="F5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00" s="31" cm="1">
        <f t="array" ref="G5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500" s="33" t="str">
        <f>_xlfn.IFNA(IF(MOD(HLG_02[[#This Row],[Rit]],
    _xlfn.XLOOKUP($G$2,Int_Sample[Ore],Int_Sample[Inc])) = 0, "YES", "NO"),"")</f>
        <v>NO</v>
      </c>
      <c r="I500" s="32" t="str">
        <f>TEXT(HLG_02[[#This Row],[Batch]],"000")&amp; " / " &amp; TEXT(HLG_02[[#This Row],[Rit]],"000")</f>
        <v>007 / 006</v>
      </c>
      <c r="J500" s="34"/>
      <c r="K500" s="38"/>
      <c r="L500" s="35"/>
      <c r="M500" s="66"/>
      <c r="N500" s="66"/>
      <c r="O500" s="66"/>
      <c r="P500" s="66"/>
      <c r="Q500" s="66"/>
      <c r="R500" s="67"/>
      <c r="S500" s="67"/>
      <c r="T500" s="67"/>
      <c r="U500" s="66"/>
      <c r="V500" s="66"/>
      <c r="W500" s="66"/>
      <c r="X500" s="85"/>
      <c r="AP500" t="str">
        <v/>
      </c>
      <c r="AQ500" t="e">
        <v>#N/A</v>
      </c>
      <c r="AR500" t="e">
        <v>#N/A</v>
      </c>
      <c r="AS500" t="e">
        <v>#N/A</v>
      </c>
      <c r="AT500" t="e">
        <v>#N/A</v>
      </c>
      <c r="AU500" t="e">
        <v>#N/A</v>
      </c>
      <c r="AV500" t="e">
        <v>#N/A</v>
      </c>
    </row>
    <row r="501" spans="4:48" ht="15.75" x14ac:dyDescent="0.25">
      <c r="D501" s="3">
        <v>6</v>
      </c>
      <c r="F501" s="16" cm="1">
        <f t="array" ref="F5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01" s="31" cm="1">
        <f t="array" ref="G5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501" s="33" t="str">
        <f>_xlfn.IFNA(IF(MOD(HLG_02[[#This Row],[Rit]],
    _xlfn.XLOOKUP($G$2,Int_Sample[Ore],Int_Sample[Inc])) = 0, "YES", "NO"),"")</f>
        <v>NO</v>
      </c>
      <c r="I501" s="32" t="str">
        <f>TEXT(HLG_02[[#This Row],[Batch]],"000")&amp; " / " &amp; TEXT(HLG_02[[#This Row],[Rit]],"000")</f>
        <v>007 / 007</v>
      </c>
      <c r="J501" s="34"/>
      <c r="K501" s="38"/>
      <c r="L501" s="35"/>
      <c r="M501" s="66"/>
      <c r="N501" s="66"/>
      <c r="O501" s="66"/>
      <c r="P501" s="66"/>
      <c r="Q501" s="66"/>
      <c r="R501" s="67"/>
      <c r="S501" s="67"/>
      <c r="T501" s="67"/>
      <c r="U501" s="66"/>
      <c r="V501" s="66"/>
      <c r="W501" s="66"/>
      <c r="X501" s="85"/>
      <c r="AP501" t="str">
        <v/>
      </c>
      <c r="AQ501" t="e">
        <v>#N/A</v>
      </c>
      <c r="AR501" t="e">
        <v>#N/A</v>
      </c>
      <c r="AS501" t="e">
        <v>#N/A</v>
      </c>
      <c r="AT501" t="e">
        <v>#N/A</v>
      </c>
      <c r="AU501" t="e">
        <v>#N/A</v>
      </c>
      <c r="AV501" t="e">
        <v>#N/A</v>
      </c>
    </row>
    <row r="502" spans="4:48" ht="15.75" x14ac:dyDescent="0.25">
      <c r="D502" s="3">
        <v>6</v>
      </c>
      <c r="F502" s="16" cm="1">
        <f t="array" ref="F5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02" s="31" cm="1">
        <f t="array" ref="G5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502" s="33" t="str">
        <f>_xlfn.IFNA(IF(MOD(HLG_02[[#This Row],[Rit]],
    _xlfn.XLOOKUP($G$2,Int_Sample[Ore],Int_Sample[Inc])) = 0, "YES", "NO"),"")</f>
        <v>NO</v>
      </c>
      <c r="I502" s="32" t="str">
        <f>TEXT(HLG_02[[#This Row],[Batch]],"000")&amp; " / " &amp; TEXT(HLG_02[[#This Row],[Rit]],"000")</f>
        <v>007 / 008</v>
      </c>
      <c r="J502" s="34"/>
      <c r="K502" s="38"/>
      <c r="L502" s="35"/>
      <c r="M502" s="66"/>
      <c r="N502" s="66"/>
      <c r="O502" s="66"/>
      <c r="P502" s="66"/>
      <c r="Q502" s="66"/>
      <c r="R502" s="67"/>
      <c r="S502" s="67"/>
      <c r="T502" s="67"/>
      <c r="U502" s="66"/>
      <c r="V502" s="66"/>
      <c r="W502" s="66"/>
      <c r="X502" s="85"/>
      <c r="AP502" t="str">
        <v/>
      </c>
      <c r="AQ502" t="e">
        <v>#N/A</v>
      </c>
      <c r="AR502" t="e">
        <v>#N/A</v>
      </c>
      <c r="AS502" t="e">
        <v>#N/A</v>
      </c>
      <c r="AT502" t="e">
        <v>#N/A</v>
      </c>
      <c r="AU502" t="e">
        <v>#N/A</v>
      </c>
      <c r="AV502" t="e">
        <v>#N/A</v>
      </c>
    </row>
    <row r="503" spans="4:48" ht="15.75" x14ac:dyDescent="0.25">
      <c r="D503" s="3">
        <v>6</v>
      </c>
      <c r="F503" s="16" cm="1">
        <f t="array" ref="F5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03" s="31" cm="1">
        <f t="array" ref="G5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503" s="33" t="str">
        <f>_xlfn.IFNA(IF(MOD(HLG_02[[#This Row],[Rit]],
    _xlfn.XLOOKUP($G$2,Int_Sample[Ore],Int_Sample[Inc])) = 0, "YES", "NO"),"")</f>
        <v>NO</v>
      </c>
      <c r="I503" s="32" t="str">
        <f>TEXT(HLG_02[[#This Row],[Batch]],"000")&amp; " / " &amp; TEXT(HLG_02[[#This Row],[Rit]],"000")</f>
        <v>007 / 009</v>
      </c>
      <c r="J503" s="34"/>
      <c r="K503" s="38"/>
      <c r="L503" s="35"/>
      <c r="M503" s="66"/>
      <c r="N503" s="66"/>
      <c r="O503" s="66"/>
      <c r="P503" s="66"/>
      <c r="Q503" s="66"/>
      <c r="R503" s="67"/>
      <c r="S503" s="67"/>
      <c r="T503" s="67"/>
      <c r="U503" s="66"/>
      <c r="V503" s="66"/>
      <c r="W503" s="66"/>
      <c r="X503" s="85"/>
      <c r="AP503" t="str">
        <v/>
      </c>
      <c r="AQ503" t="e">
        <v>#N/A</v>
      </c>
      <c r="AR503" t="e">
        <v>#N/A</v>
      </c>
      <c r="AS503" t="e">
        <v>#N/A</v>
      </c>
      <c r="AT503" t="e">
        <v>#N/A</v>
      </c>
      <c r="AU503" t="e">
        <v>#N/A</v>
      </c>
      <c r="AV503" t="e">
        <v>#N/A</v>
      </c>
    </row>
    <row r="504" spans="4:48" ht="15.75" x14ac:dyDescent="0.25">
      <c r="D504" s="3">
        <v>6</v>
      </c>
      <c r="F504" s="16" cm="1">
        <f t="array" ref="F5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04" s="31" cm="1">
        <f t="array" ref="G5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504" s="33" t="str">
        <f>_xlfn.IFNA(IF(MOD(HLG_02[[#This Row],[Rit]],
    _xlfn.XLOOKUP($G$2,Int_Sample[Ore],Int_Sample[Inc])) = 0, "YES", "NO"),"")</f>
        <v>YES</v>
      </c>
      <c r="I504" s="32" t="str">
        <f>TEXT(HLG_02[[#This Row],[Batch]],"000")&amp; " / " &amp; TEXT(HLG_02[[#This Row],[Rit]],"000")</f>
        <v>007 / 010</v>
      </c>
      <c r="J504" s="34"/>
      <c r="K504" s="38"/>
      <c r="L504" s="35"/>
      <c r="M504" s="66"/>
      <c r="N504" s="66"/>
      <c r="O504" s="66"/>
      <c r="P504" s="66"/>
      <c r="Q504" s="66"/>
      <c r="R504" s="67"/>
      <c r="S504" s="67"/>
      <c r="T504" s="67"/>
      <c r="U504" s="66"/>
      <c r="V504" s="66"/>
      <c r="W504" s="66"/>
      <c r="X504" s="85"/>
      <c r="AP504" t="str">
        <v/>
      </c>
      <c r="AQ504" t="e">
        <v>#N/A</v>
      </c>
      <c r="AR504" t="e">
        <v>#N/A</v>
      </c>
      <c r="AS504" t="e">
        <v>#N/A</v>
      </c>
      <c r="AT504" t="e">
        <v>#N/A</v>
      </c>
      <c r="AU504" t="e">
        <v>#N/A</v>
      </c>
      <c r="AV504" t="e">
        <v>#N/A</v>
      </c>
    </row>
    <row r="505" spans="4:48" ht="15.75" x14ac:dyDescent="0.25">
      <c r="D505" s="3">
        <v>6</v>
      </c>
      <c r="F505" s="16" cm="1">
        <f t="array" ref="F5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05" s="31" cm="1">
        <f t="array" ref="G5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505" s="33" t="str">
        <f>_xlfn.IFNA(IF(MOD(HLG_02[[#This Row],[Rit]],
    _xlfn.XLOOKUP($G$2,Int_Sample[Ore],Int_Sample[Inc])) = 0, "YES", "NO"),"")</f>
        <v>NO</v>
      </c>
      <c r="I505" s="32" t="str">
        <f>TEXT(HLG_02[[#This Row],[Batch]],"000")&amp; " / " &amp; TEXT(HLG_02[[#This Row],[Rit]],"000")</f>
        <v>007 / 011</v>
      </c>
      <c r="J505" s="34"/>
      <c r="K505" s="38"/>
      <c r="L505" s="35"/>
      <c r="M505" s="66"/>
      <c r="N505" s="66"/>
      <c r="O505" s="66"/>
      <c r="P505" s="66"/>
      <c r="Q505" s="66"/>
      <c r="R505" s="67"/>
      <c r="S505" s="67"/>
      <c r="T505" s="67"/>
      <c r="U505" s="66"/>
      <c r="V505" s="66"/>
      <c r="W505" s="66"/>
      <c r="X505" s="85"/>
      <c r="AP505" t="str">
        <v/>
      </c>
      <c r="AQ505" t="e">
        <v>#N/A</v>
      </c>
      <c r="AR505" t="e">
        <v>#N/A</v>
      </c>
      <c r="AS505" t="e">
        <v>#N/A</v>
      </c>
      <c r="AT505" t="e">
        <v>#N/A</v>
      </c>
      <c r="AU505" t="e">
        <v>#N/A</v>
      </c>
      <c r="AV505" t="e">
        <v>#N/A</v>
      </c>
    </row>
    <row r="506" spans="4:48" ht="15.75" x14ac:dyDescent="0.25">
      <c r="D506" s="3">
        <v>6</v>
      </c>
      <c r="F506" s="16" cm="1">
        <f t="array" ref="F5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06" s="31" cm="1">
        <f t="array" ref="G5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506" s="33" t="str">
        <f>_xlfn.IFNA(IF(MOD(HLG_02[[#This Row],[Rit]],
    _xlfn.XLOOKUP($G$2,Int_Sample[Ore],Int_Sample[Inc])) = 0, "YES", "NO"),"")</f>
        <v>NO</v>
      </c>
      <c r="I506" s="32" t="str">
        <f>TEXT(HLG_02[[#This Row],[Batch]],"000")&amp; " / " &amp; TEXT(HLG_02[[#This Row],[Rit]],"000")</f>
        <v>007 / 012</v>
      </c>
      <c r="J506" s="34"/>
      <c r="K506" s="38"/>
      <c r="L506" s="35"/>
      <c r="M506" s="66"/>
      <c r="N506" s="66"/>
      <c r="O506" s="66"/>
      <c r="P506" s="66"/>
      <c r="Q506" s="66"/>
      <c r="R506" s="67"/>
      <c r="S506" s="67"/>
      <c r="T506" s="67"/>
      <c r="U506" s="66"/>
      <c r="V506" s="66"/>
      <c r="W506" s="66"/>
      <c r="X506" s="85"/>
      <c r="AP506" t="str">
        <v/>
      </c>
      <c r="AQ506" t="e">
        <v>#N/A</v>
      </c>
      <c r="AR506" t="e">
        <v>#N/A</v>
      </c>
      <c r="AS506" t="e">
        <v>#N/A</v>
      </c>
      <c r="AT506" t="e">
        <v>#N/A</v>
      </c>
      <c r="AU506" t="e">
        <v>#N/A</v>
      </c>
      <c r="AV506" t="e">
        <v>#N/A</v>
      </c>
    </row>
    <row r="507" spans="4:48" ht="15.75" x14ac:dyDescent="0.25">
      <c r="D507" s="3">
        <v>6</v>
      </c>
      <c r="F507" s="16" cm="1">
        <f t="array" ref="F5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07" s="31" cm="1">
        <f t="array" ref="G5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507" s="33" t="str">
        <f>_xlfn.IFNA(IF(MOD(HLG_02[[#This Row],[Rit]],
    _xlfn.XLOOKUP($G$2,Int_Sample[Ore],Int_Sample[Inc])) = 0, "YES", "NO"),"")</f>
        <v>NO</v>
      </c>
      <c r="I507" s="32" t="str">
        <f>TEXT(HLG_02[[#This Row],[Batch]],"000")&amp; " / " &amp; TEXT(HLG_02[[#This Row],[Rit]],"000")</f>
        <v>007 / 013</v>
      </c>
      <c r="J507" s="34"/>
      <c r="K507" s="38"/>
      <c r="L507" s="35"/>
      <c r="M507" s="66"/>
      <c r="N507" s="66"/>
      <c r="O507" s="66"/>
      <c r="P507" s="66"/>
      <c r="Q507" s="66"/>
      <c r="R507" s="67"/>
      <c r="S507" s="67"/>
      <c r="T507" s="67"/>
      <c r="U507" s="66"/>
      <c r="V507" s="66"/>
      <c r="W507" s="66"/>
      <c r="X507" s="85"/>
      <c r="AP507" t="str">
        <v/>
      </c>
      <c r="AQ507" t="e">
        <v>#N/A</v>
      </c>
      <c r="AR507" t="e">
        <v>#N/A</v>
      </c>
      <c r="AS507" t="e">
        <v>#N/A</v>
      </c>
      <c r="AT507" t="e">
        <v>#N/A</v>
      </c>
      <c r="AU507" t="e">
        <v>#N/A</v>
      </c>
      <c r="AV507" t="e">
        <v>#N/A</v>
      </c>
    </row>
    <row r="508" spans="4:48" ht="15.75" x14ac:dyDescent="0.25">
      <c r="D508" s="3">
        <v>6</v>
      </c>
      <c r="F508" s="16" cm="1">
        <f t="array" ref="F5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08" s="31" cm="1">
        <f t="array" ref="G5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508" s="33" t="str">
        <f>_xlfn.IFNA(IF(MOD(HLG_02[[#This Row],[Rit]],
    _xlfn.XLOOKUP($G$2,Int_Sample[Ore],Int_Sample[Inc])) = 0, "YES", "NO"),"")</f>
        <v>NO</v>
      </c>
      <c r="I508" s="32" t="str">
        <f>TEXT(HLG_02[[#This Row],[Batch]],"000")&amp; " / " &amp; TEXT(HLG_02[[#This Row],[Rit]],"000")</f>
        <v>007 / 014</v>
      </c>
      <c r="J508" s="34"/>
      <c r="K508" s="38"/>
      <c r="L508" s="35"/>
      <c r="M508" s="66"/>
      <c r="N508" s="66"/>
      <c r="O508" s="66"/>
      <c r="P508" s="66"/>
      <c r="Q508" s="66"/>
      <c r="R508" s="67"/>
      <c r="S508" s="67"/>
      <c r="T508" s="67"/>
      <c r="U508" s="66"/>
      <c r="V508" s="66"/>
      <c r="W508" s="66"/>
      <c r="X508" s="85"/>
      <c r="AP508" t="str">
        <v/>
      </c>
      <c r="AQ508" t="e">
        <v>#N/A</v>
      </c>
      <c r="AR508" t="e">
        <v>#N/A</v>
      </c>
      <c r="AS508" t="e">
        <v>#N/A</v>
      </c>
      <c r="AT508" t="e">
        <v>#N/A</v>
      </c>
      <c r="AU508" t="e">
        <v>#N/A</v>
      </c>
      <c r="AV508" t="e">
        <v>#N/A</v>
      </c>
    </row>
    <row r="509" spans="4:48" ht="15.75" x14ac:dyDescent="0.25">
      <c r="D509" s="3">
        <v>6</v>
      </c>
      <c r="F509" s="16" cm="1">
        <f t="array" ref="F5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09" s="31" cm="1">
        <f t="array" ref="G5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509" s="33" t="str">
        <f>_xlfn.IFNA(IF(MOD(HLG_02[[#This Row],[Rit]],
    _xlfn.XLOOKUP($G$2,Int_Sample[Ore],Int_Sample[Inc])) = 0, "YES", "NO"),"")</f>
        <v>YES</v>
      </c>
      <c r="I509" s="32" t="str">
        <f>TEXT(HLG_02[[#This Row],[Batch]],"000")&amp; " / " &amp; TEXT(HLG_02[[#This Row],[Rit]],"000")</f>
        <v>007 / 015</v>
      </c>
      <c r="J509" s="34"/>
      <c r="K509" s="38"/>
      <c r="L509" s="35"/>
      <c r="M509" s="66"/>
      <c r="N509" s="66"/>
      <c r="O509" s="66"/>
      <c r="P509" s="66"/>
      <c r="Q509" s="66"/>
      <c r="R509" s="67"/>
      <c r="S509" s="67"/>
      <c r="T509" s="67"/>
      <c r="U509" s="66"/>
      <c r="V509" s="66"/>
      <c r="W509" s="66"/>
      <c r="X509" s="85"/>
      <c r="AP509" t="str">
        <v/>
      </c>
      <c r="AQ509" t="e">
        <v>#N/A</v>
      </c>
      <c r="AR509" t="e">
        <v>#N/A</v>
      </c>
      <c r="AS509" t="e">
        <v>#N/A</v>
      </c>
      <c r="AT509" t="e">
        <v>#N/A</v>
      </c>
      <c r="AU509" t="e">
        <v>#N/A</v>
      </c>
      <c r="AV509" t="e">
        <v>#N/A</v>
      </c>
    </row>
    <row r="510" spans="4:48" ht="15.75" x14ac:dyDescent="0.25">
      <c r="D510" s="3">
        <v>6</v>
      </c>
      <c r="F510" s="16" cm="1">
        <f t="array" ref="F5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10" s="31" cm="1">
        <f t="array" ref="G5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510" s="33" t="str">
        <f>_xlfn.IFNA(IF(MOD(HLG_02[[#This Row],[Rit]],
    _xlfn.XLOOKUP($G$2,Int_Sample[Ore],Int_Sample[Inc])) = 0, "YES", "NO"),"")</f>
        <v>NO</v>
      </c>
      <c r="I510" s="32" t="str">
        <f>TEXT(HLG_02[[#This Row],[Batch]],"000")&amp; " / " &amp; TEXT(HLG_02[[#This Row],[Rit]],"000")</f>
        <v>007 / 016</v>
      </c>
      <c r="J510" s="34"/>
      <c r="K510" s="38"/>
      <c r="L510" s="35"/>
      <c r="M510" s="66"/>
      <c r="N510" s="66"/>
      <c r="O510" s="66"/>
      <c r="P510" s="66"/>
      <c r="Q510" s="66"/>
      <c r="R510" s="67"/>
      <c r="S510" s="67"/>
      <c r="T510" s="67"/>
      <c r="U510" s="66"/>
      <c r="V510" s="66"/>
      <c r="W510" s="66"/>
      <c r="X510" s="85"/>
      <c r="AP510" t="str">
        <v/>
      </c>
      <c r="AQ510" t="e">
        <v>#N/A</v>
      </c>
      <c r="AR510" t="e">
        <v>#N/A</v>
      </c>
      <c r="AS510" t="e">
        <v>#N/A</v>
      </c>
      <c r="AT510" t="e">
        <v>#N/A</v>
      </c>
      <c r="AU510" t="e">
        <v>#N/A</v>
      </c>
      <c r="AV510" t="e">
        <v>#N/A</v>
      </c>
    </row>
    <row r="511" spans="4:48" ht="15.75" x14ac:dyDescent="0.25">
      <c r="D511" s="3">
        <v>6</v>
      </c>
      <c r="F511" s="16" cm="1">
        <f t="array" ref="F5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11" s="31" cm="1">
        <f t="array" ref="G5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511" s="33" t="str">
        <f>_xlfn.IFNA(IF(MOD(HLG_02[[#This Row],[Rit]],
    _xlfn.XLOOKUP($G$2,Int_Sample[Ore],Int_Sample[Inc])) = 0, "YES", "NO"),"")</f>
        <v>NO</v>
      </c>
      <c r="I511" s="32" t="str">
        <f>TEXT(HLG_02[[#This Row],[Batch]],"000")&amp; " / " &amp; TEXT(HLG_02[[#This Row],[Rit]],"000")</f>
        <v>007 / 017</v>
      </c>
      <c r="J511" s="34"/>
      <c r="K511" s="38"/>
      <c r="L511" s="35"/>
      <c r="M511" s="66"/>
      <c r="N511" s="66"/>
      <c r="O511" s="66"/>
      <c r="P511" s="66"/>
      <c r="Q511" s="66"/>
      <c r="R511" s="67"/>
      <c r="S511" s="67"/>
      <c r="T511" s="67"/>
      <c r="U511" s="66"/>
      <c r="V511" s="66"/>
      <c r="W511" s="66"/>
      <c r="X511" s="85"/>
      <c r="AP511" t="str">
        <v/>
      </c>
      <c r="AQ511" t="e">
        <v>#N/A</v>
      </c>
      <c r="AR511" t="e">
        <v>#N/A</v>
      </c>
      <c r="AS511" t="e">
        <v>#N/A</v>
      </c>
      <c r="AT511" t="e">
        <v>#N/A</v>
      </c>
      <c r="AU511" t="e">
        <v>#N/A</v>
      </c>
      <c r="AV511" t="e">
        <v>#N/A</v>
      </c>
    </row>
    <row r="512" spans="4:48" ht="15.75" x14ac:dyDescent="0.25">
      <c r="D512" s="3">
        <v>6</v>
      </c>
      <c r="F512" s="16" cm="1">
        <f t="array" ref="F5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12" s="31" cm="1">
        <f t="array" ref="G5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512" s="33" t="str">
        <f>_xlfn.IFNA(IF(MOD(HLG_02[[#This Row],[Rit]],
    _xlfn.XLOOKUP($G$2,Int_Sample[Ore],Int_Sample[Inc])) = 0, "YES", "NO"),"")</f>
        <v>NO</v>
      </c>
      <c r="I512" s="32" t="str">
        <f>TEXT(HLG_02[[#This Row],[Batch]],"000")&amp; " / " &amp; TEXT(HLG_02[[#This Row],[Rit]],"000")</f>
        <v>007 / 018</v>
      </c>
      <c r="J512" s="34"/>
      <c r="K512" s="38"/>
      <c r="L512" s="35"/>
      <c r="M512" s="66"/>
      <c r="N512" s="66"/>
      <c r="O512" s="66"/>
      <c r="P512" s="66"/>
      <c r="Q512" s="66"/>
      <c r="R512" s="67"/>
      <c r="S512" s="67"/>
      <c r="T512" s="67"/>
      <c r="U512" s="66"/>
      <c r="V512" s="66"/>
      <c r="W512" s="66"/>
      <c r="X512" s="85"/>
      <c r="AP512" t="str">
        <v/>
      </c>
      <c r="AQ512" t="e">
        <v>#N/A</v>
      </c>
      <c r="AR512" t="e">
        <v>#N/A</v>
      </c>
      <c r="AS512" t="e">
        <v>#N/A</v>
      </c>
      <c r="AT512" t="e">
        <v>#N/A</v>
      </c>
      <c r="AU512" t="e">
        <v>#N/A</v>
      </c>
      <c r="AV512" t="e">
        <v>#N/A</v>
      </c>
    </row>
    <row r="513" spans="4:48" ht="15.75" x14ac:dyDescent="0.25">
      <c r="D513" s="3">
        <v>6</v>
      </c>
      <c r="F513" s="16" cm="1">
        <f t="array" ref="F5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13" s="31" cm="1">
        <f t="array" ref="G5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513" s="33" t="str">
        <f>_xlfn.IFNA(IF(MOD(HLG_02[[#This Row],[Rit]],
    _xlfn.XLOOKUP($G$2,Int_Sample[Ore],Int_Sample[Inc])) = 0, "YES", "NO"),"")</f>
        <v>NO</v>
      </c>
      <c r="I513" s="32" t="str">
        <f>TEXT(HLG_02[[#This Row],[Batch]],"000")&amp; " / " &amp; TEXT(HLG_02[[#This Row],[Rit]],"000")</f>
        <v>007 / 019</v>
      </c>
      <c r="J513" s="34"/>
      <c r="K513" s="38"/>
      <c r="L513" s="35"/>
      <c r="M513" s="66"/>
      <c r="N513" s="66"/>
      <c r="O513" s="66"/>
      <c r="P513" s="66"/>
      <c r="Q513" s="66"/>
      <c r="R513" s="67"/>
      <c r="S513" s="67"/>
      <c r="T513" s="67"/>
      <c r="U513" s="66"/>
      <c r="V513" s="66"/>
      <c r="W513" s="66"/>
      <c r="X513" s="85"/>
      <c r="AP513" t="str">
        <v/>
      </c>
      <c r="AQ513" t="e">
        <v>#N/A</v>
      </c>
      <c r="AR513" t="e">
        <v>#N/A</v>
      </c>
      <c r="AS513" t="e">
        <v>#N/A</v>
      </c>
      <c r="AT513" t="e">
        <v>#N/A</v>
      </c>
      <c r="AU513" t="e">
        <v>#N/A</v>
      </c>
      <c r="AV513" t="e">
        <v>#N/A</v>
      </c>
    </row>
    <row r="514" spans="4:48" ht="15.75" x14ac:dyDescent="0.25">
      <c r="D514" s="3">
        <v>6</v>
      </c>
      <c r="F514" s="16" cm="1">
        <f t="array" ref="F5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14" s="31" cm="1">
        <f t="array" ref="G5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514" s="33" t="str">
        <f>_xlfn.IFNA(IF(MOD(HLG_02[[#This Row],[Rit]],
    _xlfn.XLOOKUP($G$2,Int_Sample[Ore],Int_Sample[Inc])) = 0, "YES", "NO"),"")</f>
        <v>YES</v>
      </c>
      <c r="I514" s="32" t="str">
        <f>TEXT(HLG_02[[#This Row],[Batch]],"000")&amp; " / " &amp; TEXT(HLG_02[[#This Row],[Rit]],"000")</f>
        <v>007 / 020</v>
      </c>
      <c r="J514" s="34"/>
      <c r="K514" s="38"/>
      <c r="L514" s="35"/>
      <c r="M514" s="66"/>
      <c r="N514" s="66"/>
      <c r="O514" s="66"/>
      <c r="P514" s="66"/>
      <c r="Q514" s="66"/>
      <c r="R514" s="67"/>
      <c r="S514" s="67"/>
      <c r="T514" s="67"/>
      <c r="U514" s="66"/>
      <c r="V514" s="66"/>
      <c r="W514" s="66"/>
      <c r="X514" s="85"/>
      <c r="AP514" t="str">
        <v/>
      </c>
      <c r="AQ514" t="e">
        <v>#N/A</v>
      </c>
      <c r="AR514" t="e">
        <v>#N/A</v>
      </c>
      <c r="AS514" t="e">
        <v>#N/A</v>
      </c>
      <c r="AT514" t="e">
        <v>#N/A</v>
      </c>
      <c r="AU514" t="e">
        <v>#N/A</v>
      </c>
      <c r="AV514" t="e">
        <v>#N/A</v>
      </c>
    </row>
    <row r="515" spans="4:48" ht="15.75" x14ac:dyDescent="0.25">
      <c r="D515" s="3">
        <v>6</v>
      </c>
      <c r="F515" s="16" cm="1">
        <f t="array" ref="F5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15" s="31" cm="1">
        <f t="array" ref="G5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21</v>
      </c>
      <c r="H515" s="33" t="str">
        <f>_xlfn.IFNA(IF(MOD(HLG_02[[#This Row],[Rit]],
    _xlfn.XLOOKUP($G$2,Int_Sample[Ore],Int_Sample[Inc])) = 0, "YES", "NO"),"")</f>
        <v>NO</v>
      </c>
      <c r="I515" s="32" t="str">
        <f>TEXT(HLG_02[[#This Row],[Batch]],"000")&amp; " / " &amp; TEXT(HLG_02[[#This Row],[Rit]],"000")</f>
        <v>007 / 021</v>
      </c>
      <c r="J515" s="34"/>
      <c r="K515" s="38"/>
      <c r="L515" s="35"/>
      <c r="M515" s="66"/>
      <c r="N515" s="66"/>
      <c r="O515" s="66"/>
      <c r="P515" s="66"/>
      <c r="Q515" s="66"/>
      <c r="R515" s="67"/>
      <c r="S515" s="67"/>
      <c r="T515" s="67"/>
      <c r="U515" s="66"/>
      <c r="V515" s="66"/>
      <c r="W515" s="66"/>
      <c r="X515" s="85"/>
      <c r="AP515" t="str">
        <v/>
      </c>
      <c r="AQ515" t="e">
        <v>#N/A</v>
      </c>
      <c r="AR515" t="e">
        <v>#N/A</v>
      </c>
      <c r="AS515" t="e">
        <v>#N/A</v>
      </c>
      <c r="AT515" t="e">
        <v>#N/A</v>
      </c>
      <c r="AU515" t="e">
        <v>#N/A</v>
      </c>
      <c r="AV515" t="e">
        <v>#N/A</v>
      </c>
    </row>
    <row r="516" spans="4:48" ht="15.75" x14ac:dyDescent="0.25">
      <c r="D516" s="3">
        <v>6</v>
      </c>
      <c r="F516" s="16" cm="1">
        <f t="array" ref="F5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16" s="31" cm="1">
        <f t="array" ref="G5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22</v>
      </c>
      <c r="H516" s="33" t="str">
        <f>_xlfn.IFNA(IF(MOD(HLG_02[[#This Row],[Rit]],
    _xlfn.XLOOKUP($G$2,Int_Sample[Ore],Int_Sample[Inc])) = 0, "YES", "NO"),"")</f>
        <v>NO</v>
      </c>
      <c r="I516" s="32" t="str">
        <f>TEXT(HLG_02[[#This Row],[Batch]],"000")&amp; " / " &amp; TEXT(HLG_02[[#This Row],[Rit]],"000")</f>
        <v>007 / 022</v>
      </c>
      <c r="J516" s="34"/>
      <c r="K516" s="38"/>
      <c r="L516" s="35"/>
      <c r="M516" s="66"/>
      <c r="N516" s="66"/>
      <c r="O516" s="66"/>
      <c r="P516" s="66"/>
      <c r="Q516" s="66"/>
      <c r="R516" s="67"/>
      <c r="S516" s="67"/>
      <c r="T516" s="67"/>
      <c r="U516" s="66"/>
      <c r="V516" s="66"/>
      <c r="W516" s="66"/>
      <c r="X516" s="85"/>
      <c r="AP516" t="str">
        <v/>
      </c>
      <c r="AQ516" t="e">
        <v>#N/A</v>
      </c>
      <c r="AR516" t="e">
        <v>#N/A</v>
      </c>
      <c r="AS516" t="e">
        <v>#N/A</v>
      </c>
      <c r="AT516" t="e">
        <v>#N/A</v>
      </c>
      <c r="AU516" t="e">
        <v>#N/A</v>
      </c>
      <c r="AV516" t="e">
        <v>#N/A</v>
      </c>
    </row>
    <row r="517" spans="4:48" ht="15.75" x14ac:dyDescent="0.25">
      <c r="D517" s="3">
        <v>6</v>
      </c>
      <c r="F517" s="16" cm="1">
        <f t="array" ref="F5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17" s="31" cm="1">
        <f t="array" ref="G5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23</v>
      </c>
      <c r="H517" s="33" t="str">
        <f>_xlfn.IFNA(IF(MOD(HLG_02[[#This Row],[Rit]],
    _xlfn.XLOOKUP($G$2,Int_Sample[Ore],Int_Sample[Inc])) = 0, "YES", "NO"),"")</f>
        <v>NO</v>
      </c>
      <c r="I517" s="32" t="str">
        <f>TEXT(HLG_02[[#This Row],[Batch]],"000")&amp; " / " &amp; TEXT(HLG_02[[#This Row],[Rit]],"000")</f>
        <v>007 / 023</v>
      </c>
      <c r="J517" s="34"/>
      <c r="K517" s="38"/>
      <c r="L517" s="35"/>
      <c r="M517" s="66"/>
      <c r="N517" s="66"/>
      <c r="O517" s="66"/>
      <c r="P517" s="66"/>
      <c r="Q517" s="66"/>
      <c r="R517" s="67"/>
      <c r="S517" s="67"/>
      <c r="T517" s="67"/>
      <c r="U517" s="66"/>
      <c r="V517" s="66"/>
      <c r="W517" s="66"/>
      <c r="X517" s="85"/>
      <c r="AP517" t="str">
        <v/>
      </c>
      <c r="AQ517" t="e">
        <v>#N/A</v>
      </c>
      <c r="AR517" t="e">
        <v>#N/A</v>
      </c>
      <c r="AS517" t="e">
        <v>#N/A</v>
      </c>
      <c r="AT517" t="e">
        <v>#N/A</v>
      </c>
      <c r="AU517" t="e">
        <v>#N/A</v>
      </c>
      <c r="AV517" t="e">
        <v>#N/A</v>
      </c>
    </row>
    <row r="518" spans="4:48" ht="15.75" x14ac:dyDescent="0.25">
      <c r="D518" s="3">
        <v>6</v>
      </c>
      <c r="F518" s="16" cm="1">
        <f t="array" ref="F5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18" s="31" cm="1">
        <f t="array" ref="G5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24</v>
      </c>
      <c r="H518" s="33" t="str">
        <f>_xlfn.IFNA(IF(MOD(HLG_02[[#This Row],[Rit]],
    _xlfn.XLOOKUP($G$2,Int_Sample[Ore],Int_Sample[Inc])) = 0, "YES", "NO"),"")</f>
        <v>NO</v>
      </c>
      <c r="I518" s="32" t="str">
        <f>TEXT(HLG_02[[#This Row],[Batch]],"000")&amp; " / " &amp; TEXT(HLG_02[[#This Row],[Rit]],"000")</f>
        <v>007 / 024</v>
      </c>
      <c r="J518" s="34"/>
      <c r="K518" s="38"/>
      <c r="L518" s="35"/>
      <c r="M518" s="66"/>
      <c r="N518" s="66"/>
      <c r="O518" s="66"/>
      <c r="P518" s="66"/>
      <c r="Q518" s="66"/>
      <c r="R518" s="67"/>
      <c r="S518" s="67"/>
      <c r="T518" s="67"/>
      <c r="U518" s="66"/>
      <c r="V518" s="66"/>
      <c r="W518" s="66"/>
      <c r="X518" s="85"/>
      <c r="AP518" t="str">
        <v/>
      </c>
      <c r="AQ518" t="e">
        <v>#N/A</v>
      </c>
      <c r="AR518" t="e">
        <v>#N/A</v>
      </c>
      <c r="AS518" t="e">
        <v>#N/A</v>
      </c>
      <c r="AT518" t="e">
        <v>#N/A</v>
      </c>
      <c r="AU518" t="e">
        <v>#N/A</v>
      </c>
      <c r="AV518" t="e">
        <v>#N/A</v>
      </c>
    </row>
    <row r="519" spans="4:48" ht="15.75" x14ac:dyDescent="0.25">
      <c r="D519" s="3">
        <v>6</v>
      </c>
      <c r="F519" s="16" cm="1">
        <f t="array" ref="F5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19" s="31" cm="1">
        <f t="array" ref="G5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25</v>
      </c>
      <c r="H519" s="33" t="str">
        <f>_xlfn.IFNA(IF(MOD(HLG_02[[#This Row],[Rit]],
    _xlfn.XLOOKUP($G$2,Int_Sample[Ore],Int_Sample[Inc])) = 0, "YES", "NO"),"")</f>
        <v>YES</v>
      </c>
      <c r="I519" s="32" t="str">
        <f>TEXT(HLG_02[[#This Row],[Batch]],"000")&amp; " / " &amp; TEXT(HLG_02[[#This Row],[Rit]],"000")</f>
        <v>007 / 025</v>
      </c>
      <c r="J519" s="34"/>
      <c r="K519" s="38"/>
      <c r="L519" s="35"/>
      <c r="M519" s="66"/>
      <c r="N519" s="66"/>
      <c r="O519" s="66"/>
      <c r="P519" s="66"/>
      <c r="Q519" s="66"/>
      <c r="R519" s="67"/>
      <c r="S519" s="67"/>
      <c r="T519" s="67"/>
      <c r="U519" s="66"/>
      <c r="V519" s="66"/>
      <c r="W519" s="66"/>
      <c r="X519" s="85"/>
      <c r="AP519" t="str">
        <v/>
      </c>
      <c r="AQ519" t="e">
        <v>#N/A</v>
      </c>
      <c r="AR519" t="e">
        <v>#N/A</v>
      </c>
      <c r="AS519" t="e">
        <v>#N/A</v>
      </c>
      <c r="AT519" t="e">
        <v>#N/A</v>
      </c>
      <c r="AU519" t="e">
        <v>#N/A</v>
      </c>
      <c r="AV519" t="e">
        <v>#N/A</v>
      </c>
    </row>
    <row r="520" spans="4:48" ht="15.75" x14ac:dyDescent="0.25">
      <c r="D520" s="3">
        <v>6</v>
      </c>
      <c r="F520" s="16" cm="1">
        <f t="array" ref="F5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20" s="31" cm="1">
        <f t="array" ref="G5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26</v>
      </c>
      <c r="H520" s="33" t="str">
        <f>_xlfn.IFNA(IF(MOD(HLG_02[[#This Row],[Rit]],
    _xlfn.XLOOKUP($G$2,Int_Sample[Ore],Int_Sample[Inc])) = 0, "YES", "NO"),"")</f>
        <v>NO</v>
      </c>
      <c r="I520" s="32" t="str">
        <f>TEXT(HLG_02[[#This Row],[Batch]],"000")&amp; " / " &amp; TEXT(HLG_02[[#This Row],[Rit]],"000")</f>
        <v>007 / 026</v>
      </c>
      <c r="J520" s="34"/>
      <c r="K520" s="38"/>
      <c r="L520" s="35"/>
      <c r="M520" s="66"/>
      <c r="N520" s="66"/>
      <c r="O520" s="66"/>
      <c r="P520" s="66"/>
      <c r="Q520" s="66"/>
      <c r="R520" s="67"/>
      <c r="S520" s="67"/>
      <c r="T520" s="67"/>
      <c r="U520" s="66"/>
      <c r="V520" s="66"/>
      <c r="W520" s="66"/>
      <c r="X520" s="85"/>
      <c r="AP520" t="str">
        <v/>
      </c>
      <c r="AQ520" t="e">
        <v>#N/A</v>
      </c>
      <c r="AR520" t="e">
        <v>#N/A</v>
      </c>
      <c r="AS520" t="e">
        <v>#N/A</v>
      </c>
      <c r="AT520" t="e">
        <v>#N/A</v>
      </c>
      <c r="AU520" t="e">
        <v>#N/A</v>
      </c>
      <c r="AV520" t="e">
        <v>#N/A</v>
      </c>
    </row>
    <row r="521" spans="4:48" ht="15.75" x14ac:dyDescent="0.25">
      <c r="D521" s="3">
        <v>6</v>
      </c>
      <c r="F521" s="16" cm="1">
        <f t="array" ref="F5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21" s="31" cm="1">
        <f t="array" ref="G5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27</v>
      </c>
      <c r="H521" s="33" t="str">
        <f>_xlfn.IFNA(IF(MOD(HLG_02[[#This Row],[Rit]],
    _xlfn.XLOOKUP($G$2,Int_Sample[Ore],Int_Sample[Inc])) = 0, "YES", "NO"),"")</f>
        <v>NO</v>
      </c>
      <c r="I521" s="32" t="str">
        <f>TEXT(HLG_02[[#This Row],[Batch]],"000")&amp; " / " &amp; TEXT(HLG_02[[#This Row],[Rit]],"000")</f>
        <v>007 / 027</v>
      </c>
      <c r="J521" s="34"/>
      <c r="K521" s="38"/>
      <c r="L521" s="35"/>
      <c r="M521" s="66"/>
      <c r="N521" s="66"/>
      <c r="O521" s="66"/>
      <c r="P521" s="66"/>
      <c r="Q521" s="66"/>
      <c r="R521" s="67"/>
      <c r="S521" s="67"/>
      <c r="T521" s="67"/>
      <c r="U521" s="66"/>
      <c r="V521" s="66"/>
      <c r="W521" s="66"/>
      <c r="X521" s="85"/>
      <c r="AP521" t="str">
        <v/>
      </c>
      <c r="AQ521" t="e">
        <v>#N/A</v>
      </c>
      <c r="AR521" t="e">
        <v>#N/A</v>
      </c>
      <c r="AS521" t="e">
        <v>#N/A</v>
      </c>
      <c r="AT521" t="e">
        <v>#N/A</v>
      </c>
      <c r="AU521" t="e">
        <v>#N/A</v>
      </c>
      <c r="AV521" t="e">
        <v>#N/A</v>
      </c>
    </row>
    <row r="522" spans="4:48" ht="15.75" x14ac:dyDescent="0.25">
      <c r="D522" s="3">
        <v>6</v>
      </c>
      <c r="F522" s="16" cm="1">
        <f t="array" ref="F5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22" s="31" cm="1">
        <f t="array" ref="G5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28</v>
      </c>
      <c r="H522" s="33" t="str">
        <f>_xlfn.IFNA(IF(MOD(HLG_02[[#This Row],[Rit]],
    _xlfn.XLOOKUP($G$2,Int_Sample[Ore],Int_Sample[Inc])) = 0, "YES", "NO"),"")</f>
        <v>NO</v>
      </c>
      <c r="I522" s="32" t="str">
        <f>TEXT(HLG_02[[#This Row],[Batch]],"000")&amp; " / " &amp; TEXT(HLG_02[[#This Row],[Rit]],"000")</f>
        <v>007 / 028</v>
      </c>
      <c r="J522" s="34"/>
      <c r="K522" s="38"/>
      <c r="L522" s="35"/>
      <c r="M522" s="66"/>
      <c r="N522" s="66"/>
      <c r="O522" s="66"/>
      <c r="P522" s="66"/>
      <c r="Q522" s="66"/>
      <c r="R522" s="67"/>
      <c r="S522" s="67"/>
      <c r="T522" s="67"/>
      <c r="U522" s="66"/>
      <c r="V522" s="66"/>
      <c r="W522" s="66"/>
      <c r="X522" s="85"/>
      <c r="AP522" t="str">
        <v/>
      </c>
      <c r="AQ522" t="e">
        <v>#N/A</v>
      </c>
      <c r="AR522" t="e">
        <v>#N/A</v>
      </c>
      <c r="AS522" t="e">
        <v>#N/A</v>
      </c>
      <c r="AT522" t="e">
        <v>#N/A</v>
      </c>
      <c r="AU522" t="e">
        <v>#N/A</v>
      </c>
      <c r="AV522" t="e">
        <v>#N/A</v>
      </c>
    </row>
    <row r="523" spans="4:48" ht="15.75" x14ac:dyDescent="0.25">
      <c r="D523" s="3">
        <v>6</v>
      </c>
      <c r="F523" s="16" cm="1">
        <f t="array" ref="F5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23" s="31" cm="1">
        <f t="array" ref="G5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29</v>
      </c>
      <c r="H523" s="33" t="str">
        <f>_xlfn.IFNA(IF(MOD(HLG_02[[#This Row],[Rit]],
    _xlfn.XLOOKUP($G$2,Int_Sample[Ore],Int_Sample[Inc])) = 0, "YES", "NO"),"")</f>
        <v>NO</v>
      </c>
      <c r="I523" s="32" t="str">
        <f>TEXT(HLG_02[[#This Row],[Batch]],"000")&amp; " / " &amp; TEXT(HLG_02[[#This Row],[Rit]],"000")</f>
        <v>007 / 029</v>
      </c>
      <c r="J523" s="34"/>
      <c r="K523" s="38"/>
      <c r="L523" s="35"/>
      <c r="M523" s="66"/>
      <c r="N523" s="66"/>
      <c r="O523" s="66"/>
      <c r="P523" s="66"/>
      <c r="Q523" s="66"/>
      <c r="R523" s="67"/>
      <c r="S523" s="67"/>
      <c r="T523" s="67"/>
      <c r="U523" s="66"/>
      <c r="V523" s="66"/>
      <c r="W523" s="66"/>
      <c r="X523" s="85"/>
      <c r="AP523" t="str">
        <v/>
      </c>
      <c r="AQ523" t="e">
        <v>#N/A</v>
      </c>
      <c r="AR523" t="e">
        <v>#N/A</v>
      </c>
      <c r="AS523" t="e">
        <v>#N/A</v>
      </c>
      <c r="AT523" t="e">
        <v>#N/A</v>
      </c>
      <c r="AU523" t="e">
        <v>#N/A</v>
      </c>
      <c r="AV523" t="e">
        <v>#N/A</v>
      </c>
    </row>
    <row r="524" spans="4:48" ht="15.75" x14ac:dyDescent="0.25">
      <c r="D524" s="3">
        <v>6</v>
      </c>
      <c r="F524" s="16" cm="1">
        <f t="array" ref="F5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24" s="31" cm="1">
        <f t="array" ref="G5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30</v>
      </c>
      <c r="H524" s="33" t="str">
        <f>_xlfn.IFNA(IF(MOD(HLG_02[[#This Row],[Rit]],
    _xlfn.XLOOKUP($G$2,Int_Sample[Ore],Int_Sample[Inc])) = 0, "YES", "NO"),"")</f>
        <v>YES</v>
      </c>
      <c r="I524" s="32" t="str">
        <f>TEXT(HLG_02[[#This Row],[Batch]],"000")&amp; " / " &amp; TEXT(HLG_02[[#This Row],[Rit]],"000")</f>
        <v>007 / 030</v>
      </c>
      <c r="J524" s="34"/>
      <c r="K524" s="38"/>
      <c r="L524" s="35"/>
      <c r="M524" s="66"/>
      <c r="N524" s="66"/>
      <c r="O524" s="66"/>
      <c r="P524" s="66"/>
      <c r="Q524" s="66"/>
      <c r="R524" s="67"/>
      <c r="S524" s="67"/>
      <c r="T524" s="67"/>
      <c r="U524" s="66"/>
      <c r="V524" s="66"/>
      <c r="W524" s="66"/>
      <c r="X524" s="85"/>
      <c r="AP524" t="str">
        <v/>
      </c>
      <c r="AQ524" t="e">
        <v>#N/A</v>
      </c>
      <c r="AR524" t="e">
        <v>#N/A</v>
      </c>
      <c r="AS524" t="e">
        <v>#N/A</v>
      </c>
      <c r="AT524" t="e">
        <v>#N/A</v>
      </c>
      <c r="AU524" t="e">
        <v>#N/A</v>
      </c>
      <c r="AV524" t="e">
        <v>#N/A</v>
      </c>
    </row>
    <row r="525" spans="4:48" ht="15.75" x14ac:dyDescent="0.25">
      <c r="D525" s="3">
        <v>6</v>
      </c>
      <c r="F525" s="16" cm="1">
        <f t="array" ref="F5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25" s="31" cm="1">
        <f t="array" ref="G5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31</v>
      </c>
      <c r="H525" s="33" t="str">
        <f>_xlfn.IFNA(IF(MOD(HLG_02[[#This Row],[Rit]],
    _xlfn.XLOOKUP($G$2,Int_Sample[Ore],Int_Sample[Inc])) = 0, "YES", "NO"),"")</f>
        <v>NO</v>
      </c>
      <c r="I525" s="32" t="str">
        <f>TEXT(HLG_02[[#This Row],[Batch]],"000")&amp; " / " &amp; TEXT(HLG_02[[#This Row],[Rit]],"000")</f>
        <v>007 / 031</v>
      </c>
      <c r="J525" s="34"/>
      <c r="K525" s="38"/>
      <c r="L525" s="35"/>
      <c r="M525" s="66"/>
      <c r="N525" s="66"/>
      <c r="O525" s="66"/>
      <c r="P525" s="66"/>
      <c r="Q525" s="66"/>
      <c r="R525" s="67"/>
      <c r="S525" s="67"/>
      <c r="T525" s="67"/>
      <c r="U525" s="66"/>
      <c r="V525" s="66"/>
      <c r="W525" s="66"/>
      <c r="X525" s="85"/>
      <c r="AP525" t="str">
        <v/>
      </c>
      <c r="AQ525" t="e">
        <v>#N/A</v>
      </c>
      <c r="AR525" t="e">
        <v>#N/A</v>
      </c>
      <c r="AS525" t="e">
        <v>#N/A</v>
      </c>
      <c r="AT525" t="e">
        <v>#N/A</v>
      </c>
      <c r="AU525" t="e">
        <v>#N/A</v>
      </c>
      <c r="AV525" t="e">
        <v>#N/A</v>
      </c>
    </row>
    <row r="526" spans="4:48" ht="15.75" x14ac:dyDescent="0.25">
      <c r="D526" s="3">
        <v>6</v>
      </c>
      <c r="F526" s="16" cm="1">
        <f t="array" ref="F5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26" s="31" cm="1">
        <f t="array" ref="G5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32</v>
      </c>
      <c r="H526" s="33" t="str">
        <f>_xlfn.IFNA(IF(MOD(HLG_02[[#This Row],[Rit]],
    _xlfn.XLOOKUP($G$2,Int_Sample[Ore],Int_Sample[Inc])) = 0, "YES", "NO"),"")</f>
        <v>NO</v>
      </c>
      <c r="I526" s="32" t="str">
        <f>TEXT(HLG_02[[#This Row],[Batch]],"000")&amp; " / " &amp; TEXT(HLG_02[[#This Row],[Rit]],"000")</f>
        <v>007 / 032</v>
      </c>
      <c r="J526" s="34"/>
      <c r="K526" s="38"/>
      <c r="L526" s="35"/>
      <c r="M526" s="66"/>
      <c r="N526" s="66"/>
      <c r="O526" s="66"/>
      <c r="P526" s="66"/>
      <c r="Q526" s="66"/>
      <c r="R526" s="67"/>
      <c r="S526" s="67"/>
      <c r="T526" s="67"/>
      <c r="U526" s="66"/>
      <c r="V526" s="66"/>
      <c r="W526" s="66"/>
      <c r="X526" s="85"/>
      <c r="AP526" t="str">
        <v/>
      </c>
      <c r="AQ526" t="e">
        <v>#N/A</v>
      </c>
      <c r="AR526" t="e">
        <v>#N/A</v>
      </c>
      <c r="AS526" t="e">
        <v>#N/A</v>
      </c>
      <c r="AT526" t="e">
        <v>#N/A</v>
      </c>
      <c r="AU526" t="e">
        <v>#N/A</v>
      </c>
      <c r="AV526" t="e">
        <v>#N/A</v>
      </c>
    </row>
    <row r="527" spans="4:48" ht="15.75" x14ac:dyDescent="0.25">
      <c r="D527" s="3">
        <v>6</v>
      </c>
      <c r="F527" s="16" cm="1">
        <f t="array" ref="F5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27" s="31" cm="1">
        <f t="array" ref="G5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33</v>
      </c>
      <c r="H527" s="33" t="str">
        <f>_xlfn.IFNA(IF(MOD(HLG_02[[#This Row],[Rit]],
    _xlfn.XLOOKUP($G$2,Int_Sample[Ore],Int_Sample[Inc])) = 0, "YES", "NO"),"")</f>
        <v>NO</v>
      </c>
      <c r="I527" s="32" t="str">
        <f>TEXT(HLG_02[[#This Row],[Batch]],"000")&amp; " / " &amp; TEXT(HLG_02[[#This Row],[Rit]],"000")</f>
        <v>007 / 033</v>
      </c>
      <c r="J527" s="34"/>
      <c r="K527" s="38"/>
      <c r="L527" s="35"/>
      <c r="M527" s="66"/>
      <c r="N527" s="66"/>
      <c r="O527" s="66"/>
      <c r="P527" s="66"/>
      <c r="Q527" s="66"/>
      <c r="R527" s="67"/>
      <c r="S527" s="67"/>
      <c r="T527" s="67"/>
      <c r="U527" s="66"/>
      <c r="V527" s="66"/>
      <c r="W527" s="66"/>
      <c r="X527" s="85"/>
      <c r="AP527" t="str">
        <v/>
      </c>
      <c r="AQ527" t="e">
        <v>#N/A</v>
      </c>
      <c r="AR527" t="e">
        <v>#N/A</v>
      </c>
      <c r="AS527" t="e">
        <v>#N/A</v>
      </c>
      <c r="AT527" t="e">
        <v>#N/A</v>
      </c>
      <c r="AU527" t="e">
        <v>#N/A</v>
      </c>
      <c r="AV527" t="e">
        <v>#N/A</v>
      </c>
    </row>
    <row r="528" spans="4:48" ht="15.75" x14ac:dyDescent="0.25">
      <c r="D528" s="3">
        <v>6</v>
      </c>
      <c r="F528" s="16" cm="1">
        <f t="array" ref="F5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28" s="31" cm="1">
        <f t="array" ref="G5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34</v>
      </c>
      <c r="H528" s="33" t="str">
        <f>_xlfn.IFNA(IF(MOD(HLG_02[[#This Row],[Rit]],
    _xlfn.XLOOKUP($G$2,Int_Sample[Ore],Int_Sample[Inc])) = 0, "YES", "NO"),"")</f>
        <v>NO</v>
      </c>
      <c r="I528" s="32" t="str">
        <f>TEXT(HLG_02[[#This Row],[Batch]],"000")&amp; " / " &amp; TEXT(HLG_02[[#This Row],[Rit]],"000")</f>
        <v>007 / 034</v>
      </c>
      <c r="J528" s="34"/>
      <c r="K528" s="38"/>
      <c r="L528" s="35"/>
      <c r="M528" s="66"/>
      <c r="N528" s="66"/>
      <c r="O528" s="66"/>
      <c r="P528" s="66"/>
      <c r="Q528" s="66"/>
      <c r="R528" s="67"/>
      <c r="S528" s="67"/>
      <c r="T528" s="67"/>
      <c r="U528" s="66"/>
      <c r="V528" s="66"/>
      <c r="W528" s="66"/>
      <c r="X528" s="85"/>
      <c r="AP528" t="str">
        <v/>
      </c>
      <c r="AQ528" t="e">
        <v>#N/A</v>
      </c>
      <c r="AR528" t="e">
        <v>#N/A</v>
      </c>
      <c r="AS528" t="e">
        <v>#N/A</v>
      </c>
      <c r="AT528" t="e">
        <v>#N/A</v>
      </c>
      <c r="AU528" t="e">
        <v>#N/A</v>
      </c>
      <c r="AV528" t="e">
        <v>#N/A</v>
      </c>
    </row>
    <row r="529" spans="4:48" ht="15.75" x14ac:dyDescent="0.25">
      <c r="D529" s="3">
        <v>6</v>
      </c>
      <c r="F529" s="16" cm="1">
        <f t="array" ref="F5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29" s="31" cm="1">
        <f t="array" ref="G5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35</v>
      </c>
      <c r="H529" s="33" t="str">
        <f>_xlfn.IFNA(IF(MOD(HLG_02[[#This Row],[Rit]],
    _xlfn.XLOOKUP($G$2,Int_Sample[Ore],Int_Sample[Inc])) = 0, "YES", "NO"),"")</f>
        <v>YES</v>
      </c>
      <c r="I529" s="32" t="str">
        <f>TEXT(HLG_02[[#This Row],[Batch]],"000")&amp; " / " &amp; TEXT(HLG_02[[#This Row],[Rit]],"000")</f>
        <v>007 / 035</v>
      </c>
      <c r="J529" s="34"/>
      <c r="K529" s="38"/>
      <c r="L529" s="35"/>
      <c r="M529" s="66"/>
      <c r="N529" s="66"/>
      <c r="O529" s="66"/>
      <c r="P529" s="66"/>
      <c r="Q529" s="66"/>
      <c r="R529" s="67"/>
      <c r="S529" s="67"/>
      <c r="T529" s="67"/>
      <c r="U529" s="66"/>
      <c r="V529" s="66"/>
      <c r="W529" s="66"/>
      <c r="X529" s="85"/>
      <c r="AP529" t="str">
        <v/>
      </c>
      <c r="AQ529" t="e">
        <v>#N/A</v>
      </c>
      <c r="AR529" t="e">
        <v>#N/A</v>
      </c>
      <c r="AS529" t="e">
        <v>#N/A</v>
      </c>
      <c r="AT529" t="e">
        <v>#N/A</v>
      </c>
      <c r="AU529" t="e">
        <v>#N/A</v>
      </c>
      <c r="AV529" t="e">
        <v>#N/A</v>
      </c>
    </row>
    <row r="530" spans="4:48" ht="15.75" x14ac:dyDescent="0.25">
      <c r="D530" s="3">
        <v>6</v>
      </c>
      <c r="F530" s="16" cm="1">
        <f t="array" ref="F5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30" s="31" cm="1">
        <f t="array" ref="G5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36</v>
      </c>
      <c r="H530" s="33" t="str">
        <f>_xlfn.IFNA(IF(MOD(HLG_02[[#This Row],[Rit]],
    _xlfn.XLOOKUP($G$2,Int_Sample[Ore],Int_Sample[Inc])) = 0, "YES", "NO"),"")</f>
        <v>NO</v>
      </c>
      <c r="I530" s="32" t="str">
        <f>TEXT(HLG_02[[#This Row],[Batch]],"000")&amp; " / " &amp; TEXT(HLG_02[[#This Row],[Rit]],"000")</f>
        <v>007 / 036</v>
      </c>
      <c r="J530" s="34"/>
      <c r="K530" s="38"/>
      <c r="L530" s="35"/>
      <c r="M530" s="66"/>
      <c r="N530" s="66"/>
      <c r="O530" s="66"/>
      <c r="P530" s="66"/>
      <c r="Q530" s="66"/>
      <c r="R530" s="67"/>
      <c r="S530" s="67"/>
      <c r="T530" s="67"/>
      <c r="U530" s="66"/>
      <c r="V530" s="66"/>
      <c r="W530" s="66"/>
      <c r="X530" s="85"/>
      <c r="AP530" t="str">
        <v/>
      </c>
      <c r="AQ530" t="e">
        <v>#N/A</v>
      </c>
      <c r="AR530" t="e">
        <v>#N/A</v>
      </c>
      <c r="AS530" t="e">
        <v>#N/A</v>
      </c>
      <c r="AT530" t="e">
        <v>#N/A</v>
      </c>
      <c r="AU530" t="e">
        <v>#N/A</v>
      </c>
      <c r="AV530" t="e">
        <v>#N/A</v>
      </c>
    </row>
    <row r="531" spans="4:48" ht="15.75" x14ac:dyDescent="0.25">
      <c r="D531" s="3">
        <v>6</v>
      </c>
      <c r="F531" s="16" cm="1">
        <f t="array" ref="F5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31" s="31" cm="1">
        <f t="array" ref="G5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37</v>
      </c>
      <c r="H531" s="33" t="str">
        <f>_xlfn.IFNA(IF(MOD(HLG_02[[#This Row],[Rit]],
    _xlfn.XLOOKUP($G$2,Int_Sample[Ore],Int_Sample[Inc])) = 0, "YES", "NO"),"")</f>
        <v>NO</v>
      </c>
      <c r="I531" s="32" t="str">
        <f>TEXT(HLG_02[[#This Row],[Batch]],"000")&amp; " / " &amp; TEXT(HLG_02[[#This Row],[Rit]],"000")</f>
        <v>007 / 037</v>
      </c>
      <c r="J531" s="34"/>
      <c r="K531" s="38"/>
      <c r="L531" s="35"/>
      <c r="M531" s="66"/>
      <c r="N531" s="66"/>
      <c r="O531" s="66"/>
      <c r="P531" s="66"/>
      <c r="Q531" s="66"/>
      <c r="R531" s="67"/>
      <c r="S531" s="67"/>
      <c r="T531" s="67"/>
      <c r="U531" s="66"/>
      <c r="V531" s="66"/>
      <c r="W531" s="66"/>
      <c r="X531" s="85"/>
      <c r="AP531" t="str">
        <v/>
      </c>
      <c r="AQ531" t="e">
        <v>#N/A</v>
      </c>
      <c r="AR531" t="e">
        <v>#N/A</v>
      </c>
      <c r="AS531" t="e">
        <v>#N/A</v>
      </c>
      <c r="AT531" t="e">
        <v>#N/A</v>
      </c>
      <c r="AU531" t="e">
        <v>#N/A</v>
      </c>
      <c r="AV531" t="e">
        <v>#N/A</v>
      </c>
    </row>
    <row r="532" spans="4:48" ht="15.75" x14ac:dyDescent="0.25">
      <c r="D532" s="3">
        <v>6</v>
      </c>
      <c r="F532" s="16" cm="1">
        <f t="array" ref="F5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32" s="31" cm="1">
        <f t="array" ref="G5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38</v>
      </c>
      <c r="H532" s="33" t="str">
        <f>_xlfn.IFNA(IF(MOD(HLG_02[[#This Row],[Rit]],
    _xlfn.XLOOKUP($G$2,Int_Sample[Ore],Int_Sample[Inc])) = 0, "YES", "NO"),"")</f>
        <v>NO</v>
      </c>
      <c r="I532" s="32" t="str">
        <f>TEXT(HLG_02[[#This Row],[Batch]],"000")&amp; " / " &amp; TEXT(HLG_02[[#This Row],[Rit]],"000")</f>
        <v>007 / 038</v>
      </c>
      <c r="J532" s="34"/>
      <c r="K532" s="38"/>
      <c r="L532" s="35"/>
      <c r="M532" s="66"/>
      <c r="N532" s="66"/>
      <c r="O532" s="66"/>
      <c r="P532" s="66"/>
      <c r="Q532" s="66"/>
      <c r="R532" s="67"/>
      <c r="S532" s="67"/>
      <c r="T532" s="67"/>
      <c r="U532" s="66"/>
      <c r="V532" s="66"/>
      <c r="W532" s="66"/>
      <c r="X532" s="85"/>
      <c r="AP532" t="str">
        <v/>
      </c>
      <c r="AQ532" t="e">
        <v>#N/A</v>
      </c>
      <c r="AR532" t="e">
        <v>#N/A</v>
      </c>
      <c r="AS532" t="e">
        <v>#N/A</v>
      </c>
      <c r="AT532" t="e">
        <v>#N/A</v>
      </c>
      <c r="AU532" t="e">
        <v>#N/A</v>
      </c>
      <c r="AV532" t="e">
        <v>#N/A</v>
      </c>
    </row>
    <row r="533" spans="4:48" ht="15.75" x14ac:dyDescent="0.25">
      <c r="D533" s="3">
        <v>6</v>
      </c>
      <c r="F533" s="16" cm="1">
        <f t="array" ref="F5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33" s="31" cm="1">
        <f t="array" ref="G5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39</v>
      </c>
      <c r="H533" s="33" t="str">
        <f>_xlfn.IFNA(IF(MOD(HLG_02[[#This Row],[Rit]],
    _xlfn.XLOOKUP($G$2,Int_Sample[Ore],Int_Sample[Inc])) = 0, "YES", "NO"),"")</f>
        <v>NO</v>
      </c>
      <c r="I533" s="32" t="str">
        <f>TEXT(HLG_02[[#This Row],[Batch]],"000")&amp; " / " &amp; TEXT(HLG_02[[#This Row],[Rit]],"000")</f>
        <v>007 / 039</v>
      </c>
      <c r="J533" s="34"/>
      <c r="K533" s="38"/>
      <c r="L533" s="35"/>
      <c r="M533" s="66"/>
      <c r="N533" s="66"/>
      <c r="O533" s="66"/>
      <c r="P533" s="66"/>
      <c r="Q533" s="66"/>
      <c r="R533" s="67"/>
      <c r="S533" s="67"/>
      <c r="T533" s="67"/>
      <c r="U533" s="66"/>
      <c r="V533" s="66"/>
      <c r="W533" s="66"/>
      <c r="X533" s="85"/>
      <c r="AP533" t="str">
        <v/>
      </c>
      <c r="AQ533" t="e">
        <v>#N/A</v>
      </c>
      <c r="AR533" t="e">
        <v>#N/A</v>
      </c>
      <c r="AS533" t="e">
        <v>#N/A</v>
      </c>
      <c r="AT533" t="e">
        <v>#N/A</v>
      </c>
      <c r="AU533" t="e">
        <v>#N/A</v>
      </c>
      <c r="AV533" t="e">
        <v>#N/A</v>
      </c>
    </row>
    <row r="534" spans="4:48" ht="15.75" x14ac:dyDescent="0.25">
      <c r="D534" s="3">
        <v>6</v>
      </c>
      <c r="F534" s="16" cm="1">
        <f t="array" ref="F5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34" s="31" cm="1">
        <f t="array" ref="G5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40</v>
      </c>
      <c r="H534" s="33" t="str">
        <f>_xlfn.IFNA(IF(MOD(HLG_02[[#This Row],[Rit]],
    _xlfn.XLOOKUP($G$2,Int_Sample[Ore],Int_Sample[Inc])) = 0, "YES", "NO"),"")</f>
        <v>YES</v>
      </c>
      <c r="I534" s="32" t="str">
        <f>TEXT(HLG_02[[#This Row],[Batch]],"000")&amp; " / " &amp; TEXT(HLG_02[[#This Row],[Rit]],"000")</f>
        <v>007 / 040</v>
      </c>
      <c r="J534" s="34"/>
      <c r="K534" s="38"/>
      <c r="L534" s="35"/>
      <c r="M534" s="66"/>
      <c r="N534" s="66"/>
      <c r="O534" s="66"/>
      <c r="P534" s="66"/>
      <c r="Q534" s="66"/>
      <c r="R534" s="67"/>
      <c r="S534" s="67"/>
      <c r="T534" s="67"/>
      <c r="U534" s="66"/>
      <c r="V534" s="66"/>
      <c r="W534" s="66"/>
      <c r="X534" s="85"/>
      <c r="AP534" t="str">
        <v/>
      </c>
      <c r="AQ534" t="e">
        <v>#N/A</v>
      </c>
      <c r="AR534" t="e">
        <v>#N/A</v>
      </c>
      <c r="AS534" t="e">
        <v>#N/A</v>
      </c>
      <c r="AT534" t="e">
        <v>#N/A</v>
      </c>
      <c r="AU534" t="e">
        <v>#N/A</v>
      </c>
      <c r="AV534" t="e">
        <v>#N/A</v>
      </c>
    </row>
    <row r="535" spans="4:48" ht="15.75" x14ac:dyDescent="0.25">
      <c r="D535" s="3">
        <v>6</v>
      </c>
      <c r="F535" s="16" cm="1">
        <f t="array" ref="F5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35" s="31" cm="1">
        <f t="array" ref="G5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41</v>
      </c>
      <c r="H535" s="33" t="str">
        <f>_xlfn.IFNA(IF(MOD(HLG_02[[#This Row],[Rit]],
    _xlfn.XLOOKUP($G$2,Int_Sample[Ore],Int_Sample[Inc])) = 0, "YES", "NO"),"")</f>
        <v>NO</v>
      </c>
      <c r="I535" s="32" t="str">
        <f>TEXT(HLG_02[[#This Row],[Batch]],"000")&amp; " / " &amp; TEXT(HLG_02[[#This Row],[Rit]],"000")</f>
        <v>007 / 041</v>
      </c>
      <c r="J535" s="34"/>
      <c r="K535" s="38"/>
      <c r="L535" s="35"/>
      <c r="M535" s="66"/>
      <c r="N535" s="66"/>
      <c r="O535" s="66"/>
      <c r="P535" s="66"/>
      <c r="Q535" s="66"/>
      <c r="R535" s="67"/>
      <c r="S535" s="67"/>
      <c r="T535" s="67"/>
      <c r="U535" s="66"/>
      <c r="V535" s="66"/>
      <c r="W535" s="66"/>
      <c r="X535" s="85"/>
      <c r="AP535" t="str">
        <v/>
      </c>
      <c r="AQ535" t="e">
        <v>#N/A</v>
      </c>
      <c r="AR535" t="e">
        <v>#N/A</v>
      </c>
      <c r="AS535" t="e">
        <v>#N/A</v>
      </c>
      <c r="AT535" t="e">
        <v>#N/A</v>
      </c>
      <c r="AU535" t="e">
        <v>#N/A</v>
      </c>
      <c r="AV535" t="e">
        <v>#N/A</v>
      </c>
    </row>
    <row r="536" spans="4:48" ht="15.75" x14ac:dyDescent="0.25">
      <c r="D536" s="3">
        <v>6</v>
      </c>
      <c r="F536" s="16" cm="1">
        <f t="array" ref="F5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36" s="31" cm="1">
        <f t="array" ref="G5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42</v>
      </c>
      <c r="H536" s="33" t="str">
        <f>_xlfn.IFNA(IF(MOD(HLG_02[[#This Row],[Rit]],
    _xlfn.XLOOKUP($G$2,Int_Sample[Ore],Int_Sample[Inc])) = 0, "YES", "NO"),"")</f>
        <v>NO</v>
      </c>
      <c r="I536" s="32" t="str">
        <f>TEXT(HLG_02[[#This Row],[Batch]],"000")&amp; " / " &amp; TEXT(HLG_02[[#This Row],[Rit]],"000")</f>
        <v>007 / 042</v>
      </c>
      <c r="J536" s="34"/>
      <c r="K536" s="38"/>
      <c r="L536" s="35"/>
      <c r="M536" s="66"/>
      <c r="N536" s="66"/>
      <c r="O536" s="66"/>
      <c r="P536" s="66"/>
      <c r="Q536" s="66"/>
      <c r="R536" s="67"/>
      <c r="S536" s="67"/>
      <c r="T536" s="67"/>
      <c r="U536" s="66"/>
      <c r="V536" s="66"/>
      <c r="W536" s="66"/>
      <c r="X536" s="85"/>
      <c r="AP536" t="str">
        <v/>
      </c>
      <c r="AQ536" t="e">
        <v>#N/A</v>
      </c>
      <c r="AR536" t="e">
        <v>#N/A</v>
      </c>
      <c r="AS536" t="e">
        <v>#N/A</v>
      </c>
      <c r="AT536" t="e">
        <v>#N/A</v>
      </c>
      <c r="AU536" t="e">
        <v>#N/A</v>
      </c>
      <c r="AV536" t="e">
        <v>#N/A</v>
      </c>
    </row>
    <row r="537" spans="4:48" ht="15.75" x14ac:dyDescent="0.25">
      <c r="D537" s="3">
        <v>6</v>
      </c>
      <c r="F537" s="16" cm="1">
        <f t="array" ref="F5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37" s="31" cm="1">
        <f t="array" ref="G5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43</v>
      </c>
      <c r="H537" s="33" t="str">
        <f>_xlfn.IFNA(IF(MOD(HLG_02[[#This Row],[Rit]],
    _xlfn.XLOOKUP($G$2,Int_Sample[Ore],Int_Sample[Inc])) = 0, "YES", "NO"),"")</f>
        <v>NO</v>
      </c>
      <c r="I537" s="32" t="str">
        <f>TEXT(HLG_02[[#This Row],[Batch]],"000")&amp; " / " &amp; TEXT(HLG_02[[#This Row],[Rit]],"000")</f>
        <v>007 / 043</v>
      </c>
      <c r="J537" s="34"/>
      <c r="K537" s="38"/>
      <c r="L537" s="35"/>
      <c r="M537" s="66"/>
      <c r="N537" s="66"/>
      <c r="O537" s="66"/>
      <c r="P537" s="66"/>
      <c r="Q537" s="66"/>
      <c r="R537" s="67"/>
      <c r="S537" s="67"/>
      <c r="T537" s="67"/>
      <c r="U537" s="66"/>
      <c r="V537" s="66"/>
      <c r="W537" s="66"/>
      <c r="X537" s="85"/>
      <c r="AP537" t="str">
        <v/>
      </c>
      <c r="AQ537" t="e">
        <v>#N/A</v>
      </c>
      <c r="AR537" t="e">
        <v>#N/A</v>
      </c>
      <c r="AS537" t="e">
        <v>#N/A</v>
      </c>
      <c r="AT537" t="e">
        <v>#N/A</v>
      </c>
      <c r="AU537" t="e">
        <v>#N/A</v>
      </c>
      <c r="AV537" t="e">
        <v>#N/A</v>
      </c>
    </row>
    <row r="538" spans="4:48" ht="15.75" x14ac:dyDescent="0.25">
      <c r="D538" s="3">
        <v>6</v>
      </c>
      <c r="F538" s="16" cm="1">
        <f t="array" ref="F5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38" s="31" cm="1">
        <f t="array" ref="G5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44</v>
      </c>
      <c r="H538" s="33" t="str">
        <f>_xlfn.IFNA(IF(MOD(HLG_02[[#This Row],[Rit]],
    _xlfn.XLOOKUP($G$2,Int_Sample[Ore],Int_Sample[Inc])) = 0, "YES", "NO"),"")</f>
        <v>NO</v>
      </c>
      <c r="I538" s="32" t="str">
        <f>TEXT(HLG_02[[#This Row],[Batch]],"000")&amp; " / " &amp; TEXT(HLG_02[[#This Row],[Rit]],"000")</f>
        <v>007 / 044</v>
      </c>
      <c r="J538" s="34"/>
      <c r="K538" s="38"/>
      <c r="L538" s="35"/>
      <c r="M538" s="66"/>
      <c r="N538" s="66"/>
      <c r="O538" s="66"/>
      <c r="P538" s="66"/>
      <c r="Q538" s="66"/>
      <c r="R538" s="67"/>
      <c r="S538" s="67"/>
      <c r="T538" s="67"/>
      <c r="U538" s="66"/>
      <c r="V538" s="66"/>
      <c r="W538" s="66"/>
      <c r="X538" s="85"/>
      <c r="AP538" t="str">
        <v/>
      </c>
      <c r="AQ538" t="e">
        <v>#N/A</v>
      </c>
      <c r="AR538" t="e">
        <v>#N/A</v>
      </c>
      <c r="AS538" t="e">
        <v>#N/A</v>
      </c>
      <c r="AT538" t="e">
        <v>#N/A</v>
      </c>
      <c r="AU538" t="e">
        <v>#N/A</v>
      </c>
      <c r="AV538" t="e">
        <v>#N/A</v>
      </c>
    </row>
    <row r="539" spans="4:48" ht="15.75" x14ac:dyDescent="0.25">
      <c r="D539" s="3">
        <v>6</v>
      </c>
      <c r="F539" s="16" cm="1">
        <f t="array" ref="F5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39" s="31" cm="1">
        <f t="array" ref="G5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45</v>
      </c>
      <c r="H539" s="33" t="str">
        <f>_xlfn.IFNA(IF(MOD(HLG_02[[#This Row],[Rit]],
    _xlfn.XLOOKUP($G$2,Int_Sample[Ore],Int_Sample[Inc])) = 0, "YES", "NO"),"")</f>
        <v>YES</v>
      </c>
      <c r="I539" s="32" t="str">
        <f>TEXT(HLG_02[[#This Row],[Batch]],"000")&amp; " / " &amp; TEXT(HLG_02[[#This Row],[Rit]],"000")</f>
        <v>007 / 045</v>
      </c>
      <c r="J539" s="34"/>
      <c r="K539" s="38"/>
      <c r="L539" s="35"/>
      <c r="M539" s="66"/>
      <c r="N539" s="66"/>
      <c r="O539" s="66"/>
      <c r="P539" s="66"/>
      <c r="Q539" s="66"/>
      <c r="R539" s="67"/>
      <c r="S539" s="67"/>
      <c r="T539" s="67"/>
      <c r="U539" s="66"/>
      <c r="V539" s="66"/>
      <c r="W539" s="66"/>
      <c r="X539" s="85"/>
      <c r="AP539" t="str">
        <v/>
      </c>
      <c r="AQ539" t="e">
        <v>#N/A</v>
      </c>
      <c r="AR539" t="e">
        <v>#N/A</v>
      </c>
      <c r="AS539" t="e">
        <v>#N/A</v>
      </c>
      <c r="AT539" t="e">
        <v>#N/A</v>
      </c>
      <c r="AU539" t="e">
        <v>#N/A</v>
      </c>
      <c r="AV539" t="e">
        <v>#N/A</v>
      </c>
    </row>
    <row r="540" spans="4:48" ht="15.75" x14ac:dyDescent="0.25">
      <c r="D540" s="3">
        <v>6</v>
      </c>
      <c r="F540" s="16" cm="1">
        <f t="array" ref="F5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40" s="31" cm="1">
        <f t="array" ref="G5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46</v>
      </c>
      <c r="H540" s="33" t="str">
        <f>_xlfn.IFNA(IF(MOD(HLG_02[[#This Row],[Rit]],
    _xlfn.XLOOKUP($G$2,Int_Sample[Ore],Int_Sample[Inc])) = 0, "YES", "NO"),"")</f>
        <v>NO</v>
      </c>
      <c r="I540" s="32" t="str">
        <f>TEXT(HLG_02[[#This Row],[Batch]],"000")&amp; " / " &amp; TEXT(HLG_02[[#This Row],[Rit]],"000")</f>
        <v>007 / 046</v>
      </c>
      <c r="J540" s="34"/>
      <c r="K540" s="38"/>
      <c r="L540" s="35"/>
      <c r="M540" s="66"/>
      <c r="N540" s="66"/>
      <c r="O540" s="66"/>
      <c r="P540" s="66"/>
      <c r="Q540" s="66"/>
      <c r="R540" s="67"/>
      <c r="S540" s="67"/>
      <c r="T540" s="67"/>
      <c r="U540" s="66"/>
      <c r="V540" s="66"/>
      <c r="W540" s="66"/>
      <c r="X540" s="85"/>
      <c r="AP540" t="str">
        <v/>
      </c>
      <c r="AQ540" t="e">
        <v>#N/A</v>
      </c>
      <c r="AR540" t="e">
        <v>#N/A</v>
      </c>
      <c r="AS540" t="e">
        <v>#N/A</v>
      </c>
      <c r="AT540" t="e">
        <v>#N/A</v>
      </c>
      <c r="AU540" t="e">
        <v>#N/A</v>
      </c>
      <c r="AV540" t="e">
        <v>#N/A</v>
      </c>
    </row>
    <row r="541" spans="4:48" ht="15.75" x14ac:dyDescent="0.25">
      <c r="D541" s="3">
        <v>6</v>
      </c>
      <c r="F541" s="16" cm="1">
        <f t="array" ref="F5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41" s="31" cm="1">
        <f t="array" ref="G5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47</v>
      </c>
      <c r="H541" s="33" t="str">
        <f>_xlfn.IFNA(IF(MOD(HLG_02[[#This Row],[Rit]],
    _xlfn.XLOOKUP($G$2,Int_Sample[Ore],Int_Sample[Inc])) = 0, "YES", "NO"),"")</f>
        <v>NO</v>
      </c>
      <c r="I541" s="32" t="str">
        <f>TEXT(HLG_02[[#This Row],[Batch]],"000")&amp; " / " &amp; TEXT(HLG_02[[#This Row],[Rit]],"000")</f>
        <v>007 / 047</v>
      </c>
      <c r="J541" s="34"/>
      <c r="K541" s="38"/>
      <c r="L541" s="35"/>
      <c r="M541" s="66"/>
      <c r="N541" s="66"/>
      <c r="O541" s="66"/>
      <c r="P541" s="66"/>
      <c r="Q541" s="66"/>
      <c r="R541" s="67"/>
      <c r="S541" s="67"/>
      <c r="T541" s="67"/>
      <c r="U541" s="66"/>
      <c r="V541" s="66"/>
      <c r="W541" s="66"/>
      <c r="X541" s="85"/>
      <c r="AP541" t="str">
        <v/>
      </c>
      <c r="AQ541" t="e">
        <v>#N/A</v>
      </c>
      <c r="AR541" t="e">
        <v>#N/A</v>
      </c>
      <c r="AS541" t="e">
        <v>#N/A</v>
      </c>
      <c r="AT541" t="e">
        <v>#N/A</v>
      </c>
      <c r="AU541" t="e">
        <v>#N/A</v>
      </c>
      <c r="AV541" t="e">
        <v>#N/A</v>
      </c>
    </row>
    <row r="542" spans="4:48" ht="15.75" x14ac:dyDescent="0.25">
      <c r="D542" s="3">
        <v>6</v>
      </c>
      <c r="F542" s="16" cm="1">
        <f t="array" ref="F5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42" s="31" cm="1">
        <f t="array" ref="G5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48</v>
      </c>
      <c r="H542" s="33" t="str">
        <f>_xlfn.IFNA(IF(MOD(HLG_02[[#This Row],[Rit]],
    _xlfn.XLOOKUP($G$2,Int_Sample[Ore],Int_Sample[Inc])) = 0, "YES", "NO"),"")</f>
        <v>NO</v>
      </c>
      <c r="I542" s="32" t="str">
        <f>TEXT(HLG_02[[#This Row],[Batch]],"000")&amp; " / " &amp; TEXT(HLG_02[[#This Row],[Rit]],"000")</f>
        <v>007 / 048</v>
      </c>
      <c r="J542" s="34"/>
      <c r="K542" s="38"/>
      <c r="L542" s="35"/>
      <c r="M542" s="66"/>
      <c r="N542" s="66"/>
      <c r="O542" s="66"/>
      <c r="P542" s="66"/>
      <c r="Q542" s="66"/>
      <c r="R542" s="67"/>
      <c r="S542" s="67"/>
      <c r="T542" s="67"/>
      <c r="U542" s="66"/>
      <c r="V542" s="66"/>
      <c r="W542" s="66"/>
      <c r="X542" s="85"/>
      <c r="AP542" t="str">
        <v/>
      </c>
      <c r="AQ542" t="e">
        <v>#N/A</v>
      </c>
      <c r="AR542" t="e">
        <v>#N/A</v>
      </c>
      <c r="AS542" t="e">
        <v>#N/A</v>
      </c>
      <c r="AT542" t="e">
        <v>#N/A</v>
      </c>
      <c r="AU542" t="e">
        <v>#N/A</v>
      </c>
      <c r="AV542" t="e">
        <v>#N/A</v>
      </c>
    </row>
    <row r="543" spans="4:48" ht="15.75" x14ac:dyDescent="0.25">
      <c r="D543" s="3">
        <v>6</v>
      </c>
      <c r="F543" s="16" cm="1">
        <f t="array" ref="F5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43" s="31" cm="1">
        <f t="array" ref="G5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49</v>
      </c>
      <c r="H543" s="33" t="str">
        <f>_xlfn.IFNA(IF(MOD(HLG_02[[#This Row],[Rit]],
    _xlfn.XLOOKUP($G$2,Int_Sample[Ore],Int_Sample[Inc])) = 0, "YES", "NO"),"")</f>
        <v>NO</v>
      </c>
      <c r="I543" s="32" t="str">
        <f>TEXT(HLG_02[[#This Row],[Batch]],"000")&amp; " / " &amp; TEXT(HLG_02[[#This Row],[Rit]],"000")</f>
        <v>007 / 049</v>
      </c>
      <c r="J543" s="34"/>
      <c r="K543" s="38"/>
      <c r="L543" s="35"/>
      <c r="M543" s="66"/>
      <c r="N543" s="66"/>
      <c r="O543" s="66"/>
      <c r="P543" s="66"/>
      <c r="Q543" s="66"/>
      <c r="R543" s="67"/>
      <c r="S543" s="67"/>
      <c r="T543" s="67"/>
      <c r="U543" s="66"/>
      <c r="V543" s="66"/>
      <c r="W543" s="66"/>
      <c r="X543" s="85"/>
      <c r="AP543" t="str">
        <v/>
      </c>
      <c r="AQ543" t="e">
        <v>#N/A</v>
      </c>
      <c r="AR543" t="e">
        <v>#N/A</v>
      </c>
      <c r="AS543" t="e">
        <v>#N/A</v>
      </c>
      <c r="AT543" t="e">
        <v>#N/A</v>
      </c>
      <c r="AU543" t="e">
        <v>#N/A</v>
      </c>
      <c r="AV543" t="e">
        <v>#N/A</v>
      </c>
    </row>
    <row r="544" spans="4:48" ht="15.75" x14ac:dyDescent="0.25">
      <c r="D544" s="3">
        <v>6</v>
      </c>
      <c r="F544" s="16" cm="1">
        <f t="array" ref="F5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44" s="31" cm="1">
        <f t="array" ref="G5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50</v>
      </c>
      <c r="H544" s="33" t="str">
        <f>_xlfn.IFNA(IF(MOD(HLG_02[[#This Row],[Rit]],
    _xlfn.XLOOKUP($G$2,Int_Sample[Ore],Int_Sample[Inc])) = 0, "YES", "NO"),"")</f>
        <v>YES</v>
      </c>
      <c r="I544" s="32" t="str">
        <f>TEXT(HLG_02[[#This Row],[Batch]],"000")&amp; " / " &amp; TEXT(HLG_02[[#This Row],[Rit]],"000")</f>
        <v>007 / 050</v>
      </c>
      <c r="J544" s="34"/>
      <c r="K544" s="38"/>
      <c r="L544" s="35"/>
      <c r="M544" s="66"/>
      <c r="N544" s="66"/>
      <c r="O544" s="66"/>
      <c r="P544" s="66"/>
      <c r="Q544" s="66"/>
      <c r="R544" s="67"/>
      <c r="S544" s="67"/>
      <c r="T544" s="67"/>
      <c r="U544" s="66"/>
      <c r="V544" s="66"/>
      <c r="W544" s="66"/>
      <c r="X544" s="85"/>
      <c r="AP544" t="str">
        <v/>
      </c>
      <c r="AQ544" t="e">
        <v>#N/A</v>
      </c>
      <c r="AR544" t="e">
        <v>#N/A</v>
      </c>
      <c r="AS544" t="e">
        <v>#N/A</v>
      </c>
      <c r="AT544" t="e">
        <v>#N/A</v>
      </c>
      <c r="AU544" t="e">
        <v>#N/A</v>
      </c>
      <c r="AV544" t="e">
        <v>#N/A</v>
      </c>
    </row>
    <row r="545" spans="4:48" ht="15.75" x14ac:dyDescent="0.25">
      <c r="D545" s="3">
        <v>6</v>
      </c>
      <c r="F545" s="16" cm="1">
        <f t="array" ref="F5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45" s="31" cm="1">
        <f t="array" ref="G5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51</v>
      </c>
      <c r="H545" s="33" t="str">
        <f>_xlfn.IFNA(IF(MOD(HLG_02[[#This Row],[Rit]],
    _xlfn.XLOOKUP($G$2,Int_Sample[Ore],Int_Sample[Inc])) = 0, "YES", "NO"),"")</f>
        <v>NO</v>
      </c>
      <c r="I545" s="32" t="str">
        <f>TEXT(HLG_02[[#This Row],[Batch]],"000")&amp; " / " &amp; TEXT(HLG_02[[#This Row],[Rit]],"000")</f>
        <v>007 / 051</v>
      </c>
      <c r="J545" s="34"/>
      <c r="K545" s="38"/>
      <c r="L545" s="35"/>
      <c r="M545" s="66"/>
      <c r="N545" s="66"/>
      <c r="O545" s="66"/>
      <c r="P545" s="66"/>
      <c r="Q545" s="66"/>
      <c r="R545" s="67"/>
      <c r="S545" s="67"/>
      <c r="T545" s="67"/>
      <c r="U545" s="66"/>
      <c r="V545" s="66"/>
      <c r="W545" s="66"/>
      <c r="X545" s="85"/>
      <c r="AP545" t="str">
        <v/>
      </c>
      <c r="AQ545" t="e">
        <v>#N/A</v>
      </c>
      <c r="AR545" t="e">
        <v>#N/A</v>
      </c>
      <c r="AS545" t="e">
        <v>#N/A</v>
      </c>
      <c r="AT545" t="e">
        <v>#N/A</v>
      </c>
      <c r="AU545" t="e">
        <v>#N/A</v>
      </c>
      <c r="AV545" t="e">
        <v>#N/A</v>
      </c>
    </row>
    <row r="546" spans="4:48" ht="15.75" x14ac:dyDescent="0.25">
      <c r="D546" s="3">
        <v>6</v>
      </c>
      <c r="F546" s="16" cm="1">
        <f t="array" ref="F5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46" s="31" cm="1">
        <f t="array" ref="G5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52</v>
      </c>
      <c r="H546" s="33" t="str">
        <f>_xlfn.IFNA(IF(MOD(HLG_02[[#This Row],[Rit]],
    _xlfn.XLOOKUP($G$2,Int_Sample[Ore],Int_Sample[Inc])) = 0, "YES", "NO"),"")</f>
        <v>NO</v>
      </c>
      <c r="I546" s="32" t="str">
        <f>TEXT(HLG_02[[#This Row],[Batch]],"000")&amp; " / " &amp; TEXT(HLG_02[[#This Row],[Rit]],"000")</f>
        <v>007 / 052</v>
      </c>
      <c r="J546" s="34"/>
      <c r="K546" s="38"/>
      <c r="L546" s="35"/>
      <c r="M546" s="66"/>
      <c r="N546" s="66"/>
      <c r="O546" s="66"/>
      <c r="P546" s="66"/>
      <c r="Q546" s="66"/>
      <c r="R546" s="67"/>
      <c r="S546" s="67"/>
      <c r="T546" s="67"/>
      <c r="U546" s="66"/>
      <c r="V546" s="66"/>
      <c r="W546" s="66"/>
      <c r="X546" s="85"/>
      <c r="AP546" t="str">
        <v/>
      </c>
      <c r="AQ546" t="e">
        <v>#N/A</v>
      </c>
      <c r="AR546" t="e">
        <v>#N/A</v>
      </c>
      <c r="AS546" t="e">
        <v>#N/A</v>
      </c>
      <c r="AT546" t="e">
        <v>#N/A</v>
      </c>
      <c r="AU546" t="e">
        <v>#N/A</v>
      </c>
      <c r="AV546" t="e">
        <v>#N/A</v>
      </c>
    </row>
    <row r="547" spans="4:48" ht="15.75" x14ac:dyDescent="0.25">
      <c r="D547" s="3">
        <v>6</v>
      </c>
      <c r="F547" s="16" cm="1">
        <f t="array" ref="F5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47" s="31" cm="1">
        <f t="array" ref="G5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53</v>
      </c>
      <c r="H547" s="33" t="str">
        <f>_xlfn.IFNA(IF(MOD(HLG_02[[#This Row],[Rit]],
    _xlfn.XLOOKUP($G$2,Int_Sample[Ore],Int_Sample[Inc])) = 0, "YES", "NO"),"")</f>
        <v>NO</v>
      </c>
      <c r="I547" s="32" t="str">
        <f>TEXT(HLG_02[[#This Row],[Batch]],"000")&amp; " / " &amp; TEXT(HLG_02[[#This Row],[Rit]],"000")</f>
        <v>007 / 053</v>
      </c>
      <c r="J547" s="34"/>
      <c r="K547" s="38"/>
      <c r="L547" s="35"/>
      <c r="M547" s="66"/>
      <c r="N547" s="66"/>
      <c r="O547" s="66"/>
      <c r="P547" s="66"/>
      <c r="Q547" s="66"/>
      <c r="R547" s="67"/>
      <c r="S547" s="67"/>
      <c r="T547" s="67"/>
      <c r="U547" s="66"/>
      <c r="V547" s="66"/>
      <c r="W547" s="66"/>
      <c r="X547" s="85"/>
      <c r="AP547" t="str">
        <v/>
      </c>
      <c r="AQ547" t="e">
        <v>#N/A</v>
      </c>
      <c r="AR547" t="e">
        <v>#N/A</v>
      </c>
      <c r="AS547" t="e">
        <v>#N/A</v>
      </c>
      <c r="AT547" t="e">
        <v>#N/A</v>
      </c>
      <c r="AU547" t="e">
        <v>#N/A</v>
      </c>
      <c r="AV547" t="e">
        <v>#N/A</v>
      </c>
    </row>
    <row r="548" spans="4:48" ht="15.75" x14ac:dyDescent="0.25">
      <c r="D548" s="3">
        <v>6</v>
      </c>
      <c r="F548" s="16" cm="1">
        <f t="array" ref="F5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48" s="31" cm="1">
        <f t="array" ref="G5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54</v>
      </c>
      <c r="H548" s="33" t="str">
        <f>_xlfn.IFNA(IF(MOD(HLG_02[[#This Row],[Rit]],
    _xlfn.XLOOKUP($G$2,Int_Sample[Ore],Int_Sample[Inc])) = 0, "YES", "NO"),"")</f>
        <v>NO</v>
      </c>
      <c r="I548" s="32" t="str">
        <f>TEXT(HLG_02[[#This Row],[Batch]],"000")&amp; " / " &amp; TEXT(HLG_02[[#This Row],[Rit]],"000")</f>
        <v>007 / 054</v>
      </c>
      <c r="J548" s="34"/>
      <c r="K548" s="38"/>
      <c r="L548" s="35"/>
      <c r="M548" s="66"/>
      <c r="N548" s="66"/>
      <c r="O548" s="66"/>
      <c r="P548" s="66"/>
      <c r="Q548" s="66"/>
      <c r="R548" s="67"/>
      <c r="S548" s="67"/>
      <c r="T548" s="67"/>
      <c r="U548" s="66"/>
      <c r="V548" s="66"/>
      <c r="W548" s="66"/>
      <c r="X548" s="85"/>
      <c r="AP548" t="str">
        <v/>
      </c>
      <c r="AQ548" t="e">
        <v>#N/A</v>
      </c>
      <c r="AR548" t="e">
        <v>#N/A</v>
      </c>
      <c r="AS548" t="e">
        <v>#N/A</v>
      </c>
      <c r="AT548" t="e">
        <v>#N/A</v>
      </c>
      <c r="AU548" t="e">
        <v>#N/A</v>
      </c>
      <c r="AV548" t="e">
        <v>#N/A</v>
      </c>
    </row>
    <row r="549" spans="4:48" ht="15.75" x14ac:dyDescent="0.25">
      <c r="D549" s="3">
        <v>6</v>
      </c>
      <c r="F549" s="16" cm="1">
        <f t="array" ref="F5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49" s="31" cm="1">
        <f t="array" ref="G5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55</v>
      </c>
      <c r="H549" s="33" t="str">
        <f>_xlfn.IFNA(IF(MOD(HLG_02[[#This Row],[Rit]],
    _xlfn.XLOOKUP($G$2,Int_Sample[Ore],Int_Sample[Inc])) = 0, "YES", "NO"),"")</f>
        <v>YES</v>
      </c>
      <c r="I549" s="32" t="str">
        <f>TEXT(HLG_02[[#This Row],[Batch]],"000")&amp; " / " &amp; TEXT(HLG_02[[#This Row],[Rit]],"000")</f>
        <v>007 / 055</v>
      </c>
      <c r="J549" s="34"/>
      <c r="K549" s="38"/>
      <c r="L549" s="35"/>
      <c r="M549" s="66"/>
      <c r="N549" s="66"/>
      <c r="O549" s="66"/>
      <c r="P549" s="66"/>
      <c r="Q549" s="66"/>
      <c r="R549" s="67"/>
      <c r="S549" s="67"/>
      <c r="T549" s="67"/>
      <c r="U549" s="66"/>
      <c r="V549" s="66"/>
      <c r="W549" s="66"/>
      <c r="X549" s="85"/>
      <c r="AP549" t="str">
        <v/>
      </c>
      <c r="AQ549" t="e">
        <v>#N/A</v>
      </c>
      <c r="AR549" t="e">
        <v>#N/A</v>
      </c>
      <c r="AS549" t="e">
        <v>#N/A</v>
      </c>
      <c r="AT549" t="e">
        <v>#N/A</v>
      </c>
      <c r="AU549" t="e">
        <v>#N/A</v>
      </c>
      <c r="AV549" t="e">
        <v>#N/A</v>
      </c>
    </row>
    <row r="550" spans="4:48" ht="15.75" x14ac:dyDescent="0.25">
      <c r="D550" s="3">
        <v>6</v>
      </c>
      <c r="F550" s="16" cm="1">
        <f t="array" ref="F5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50" s="31" cm="1">
        <f t="array" ref="G5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56</v>
      </c>
      <c r="H550" s="33" t="str">
        <f>_xlfn.IFNA(IF(MOD(HLG_02[[#This Row],[Rit]],
    _xlfn.XLOOKUP($G$2,Int_Sample[Ore],Int_Sample[Inc])) = 0, "YES", "NO"),"")</f>
        <v>NO</v>
      </c>
      <c r="I550" s="32" t="str">
        <f>TEXT(HLG_02[[#This Row],[Batch]],"000")&amp; " / " &amp; TEXT(HLG_02[[#This Row],[Rit]],"000")</f>
        <v>007 / 056</v>
      </c>
      <c r="J550" s="34"/>
      <c r="K550" s="38"/>
      <c r="L550" s="35"/>
      <c r="M550" s="66"/>
      <c r="N550" s="66"/>
      <c r="O550" s="66"/>
      <c r="P550" s="66"/>
      <c r="Q550" s="66"/>
      <c r="R550" s="67"/>
      <c r="S550" s="67"/>
      <c r="T550" s="67"/>
      <c r="U550" s="66"/>
      <c r="V550" s="66"/>
      <c r="W550" s="66"/>
      <c r="X550" s="85"/>
      <c r="AP550" t="str">
        <v/>
      </c>
      <c r="AQ550" t="e">
        <v>#N/A</v>
      </c>
      <c r="AR550" t="e">
        <v>#N/A</v>
      </c>
      <c r="AS550" t="e">
        <v>#N/A</v>
      </c>
      <c r="AT550" t="e">
        <v>#N/A</v>
      </c>
      <c r="AU550" t="e">
        <v>#N/A</v>
      </c>
      <c r="AV550" t="e">
        <v>#N/A</v>
      </c>
    </row>
    <row r="551" spans="4:48" ht="15.75" x14ac:dyDescent="0.25">
      <c r="D551" s="3">
        <v>6</v>
      </c>
      <c r="F551" s="16" cm="1">
        <f t="array" ref="F5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51" s="31" cm="1">
        <f t="array" ref="G5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57</v>
      </c>
      <c r="H551" s="33" t="str">
        <f>_xlfn.IFNA(IF(MOD(HLG_02[[#This Row],[Rit]],
    _xlfn.XLOOKUP($G$2,Int_Sample[Ore],Int_Sample[Inc])) = 0, "YES", "NO"),"")</f>
        <v>NO</v>
      </c>
      <c r="I551" s="32" t="str">
        <f>TEXT(HLG_02[[#This Row],[Batch]],"000")&amp; " / " &amp; TEXT(HLG_02[[#This Row],[Rit]],"000")</f>
        <v>007 / 057</v>
      </c>
      <c r="J551" s="34"/>
      <c r="K551" s="38"/>
      <c r="L551" s="35"/>
      <c r="M551" s="66"/>
      <c r="N551" s="66"/>
      <c r="O551" s="66"/>
      <c r="P551" s="66"/>
      <c r="Q551" s="66"/>
      <c r="R551" s="67"/>
      <c r="S551" s="67"/>
      <c r="T551" s="67"/>
      <c r="U551" s="66"/>
      <c r="V551" s="66"/>
      <c r="W551" s="66"/>
      <c r="X551" s="85"/>
      <c r="AP551" t="str">
        <v/>
      </c>
      <c r="AQ551" t="e">
        <v>#N/A</v>
      </c>
      <c r="AR551" t="e">
        <v>#N/A</v>
      </c>
      <c r="AS551" t="e">
        <v>#N/A</v>
      </c>
      <c r="AT551" t="e">
        <v>#N/A</v>
      </c>
      <c r="AU551" t="e">
        <v>#N/A</v>
      </c>
      <c r="AV551" t="e">
        <v>#N/A</v>
      </c>
    </row>
    <row r="552" spans="4:48" ht="15.75" x14ac:dyDescent="0.25">
      <c r="D552" s="3">
        <v>6</v>
      </c>
      <c r="F552" s="16" cm="1">
        <f t="array" ref="F5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52" s="31" cm="1">
        <f t="array" ref="G5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58</v>
      </c>
      <c r="H552" s="33" t="str">
        <f>_xlfn.IFNA(IF(MOD(HLG_02[[#This Row],[Rit]],
    _xlfn.XLOOKUP($G$2,Int_Sample[Ore],Int_Sample[Inc])) = 0, "YES", "NO"),"")</f>
        <v>NO</v>
      </c>
      <c r="I552" s="32" t="str">
        <f>TEXT(HLG_02[[#This Row],[Batch]],"000")&amp; " / " &amp; TEXT(HLG_02[[#This Row],[Rit]],"000")</f>
        <v>007 / 058</v>
      </c>
      <c r="J552" s="34"/>
      <c r="K552" s="38"/>
      <c r="L552" s="35"/>
      <c r="M552" s="66"/>
      <c r="N552" s="66"/>
      <c r="O552" s="66"/>
      <c r="P552" s="66"/>
      <c r="Q552" s="66"/>
      <c r="R552" s="67"/>
      <c r="S552" s="67"/>
      <c r="T552" s="67"/>
      <c r="U552" s="66"/>
      <c r="V552" s="66"/>
      <c r="W552" s="66"/>
      <c r="X552" s="85"/>
      <c r="AP552" t="str">
        <v/>
      </c>
      <c r="AQ552" t="e">
        <v>#N/A</v>
      </c>
      <c r="AR552" t="e">
        <v>#N/A</v>
      </c>
      <c r="AS552" t="e">
        <v>#N/A</v>
      </c>
      <c r="AT552" t="e">
        <v>#N/A</v>
      </c>
      <c r="AU552" t="e">
        <v>#N/A</v>
      </c>
      <c r="AV552" t="e">
        <v>#N/A</v>
      </c>
    </row>
    <row r="553" spans="4:48" ht="15.75" x14ac:dyDescent="0.25">
      <c r="D553" s="3">
        <v>6</v>
      </c>
      <c r="F553" s="16" cm="1">
        <f t="array" ref="F5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53" s="31" cm="1">
        <f t="array" ref="G5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59</v>
      </c>
      <c r="H553" s="33" t="str">
        <f>_xlfn.IFNA(IF(MOD(HLG_02[[#This Row],[Rit]],
    _xlfn.XLOOKUP($G$2,Int_Sample[Ore],Int_Sample[Inc])) = 0, "YES", "NO"),"")</f>
        <v>NO</v>
      </c>
      <c r="I553" s="32" t="str">
        <f>TEXT(HLG_02[[#This Row],[Batch]],"000")&amp; " / " &amp; TEXT(HLG_02[[#This Row],[Rit]],"000")</f>
        <v>007 / 059</v>
      </c>
      <c r="J553" s="34"/>
      <c r="K553" s="38"/>
      <c r="L553" s="35"/>
      <c r="M553" s="66"/>
      <c r="N553" s="66"/>
      <c r="O553" s="66"/>
      <c r="P553" s="66"/>
      <c r="Q553" s="66"/>
      <c r="R553" s="67"/>
      <c r="S553" s="67"/>
      <c r="T553" s="67"/>
      <c r="U553" s="66"/>
      <c r="V553" s="66"/>
      <c r="W553" s="66"/>
      <c r="X553" s="85"/>
      <c r="AP553" t="str">
        <v/>
      </c>
      <c r="AQ553" t="e">
        <v>#N/A</v>
      </c>
      <c r="AR553" t="e">
        <v>#N/A</v>
      </c>
      <c r="AS553" t="e">
        <v>#N/A</v>
      </c>
      <c r="AT553" t="e">
        <v>#N/A</v>
      </c>
      <c r="AU553" t="e">
        <v>#N/A</v>
      </c>
      <c r="AV553" t="e">
        <v>#N/A</v>
      </c>
    </row>
    <row r="554" spans="4:48" ht="15.75" x14ac:dyDescent="0.25">
      <c r="D554" s="3">
        <v>6</v>
      </c>
      <c r="F554" s="16" cm="1">
        <f t="array" ref="F5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54" s="31" cm="1">
        <f t="array" ref="G5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60</v>
      </c>
      <c r="H554" s="33" t="str">
        <f>_xlfn.IFNA(IF(MOD(HLG_02[[#This Row],[Rit]],
    _xlfn.XLOOKUP($G$2,Int_Sample[Ore],Int_Sample[Inc])) = 0, "YES", "NO"),"")</f>
        <v>YES</v>
      </c>
      <c r="I554" s="32" t="str">
        <f>TEXT(HLG_02[[#This Row],[Batch]],"000")&amp; " / " &amp; TEXT(HLG_02[[#This Row],[Rit]],"000")</f>
        <v>007 / 060</v>
      </c>
      <c r="J554" s="34"/>
      <c r="K554" s="38"/>
      <c r="L554" s="35"/>
      <c r="M554" s="66"/>
      <c r="N554" s="66"/>
      <c r="O554" s="66"/>
      <c r="P554" s="66"/>
      <c r="Q554" s="66"/>
      <c r="R554" s="67"/>
      <c r="S554" s="67"/>
      <c r="T554" s="67"/>
      <c r="U554" s="66"/>
      <c r="V554" s="66"/>
      <c r="W554" s="66"/>
      <c r="X554" s="85"/>
      <c r="AP554" t="str">
        <v/>
      </c>
      <c r="AQ554" t="e">
        <v>#N/A</v>
      </c>
      <c r="AR554" t="e">
        <v>#N/A</v>
      </c>
      <c r="AS554" t="e">
        <v>#N/A</v>
      </c>
      <c r="AT554" t="e">
        <v>#N/A</v>
      </c>
      <c r="AU554" t="e">
        <v>#N/A</v>
      </c>
      <c r="AV554" t="e">
        <v>#N/A</v>
      </c>
    </row>
    <row r="555" spans="4:48" ht="15.75" x14ac:dyDescent="0.25">
      <c r="D555" s="3">
        <v>6</v>
      </c>
      <c r="F555" s="16" cm="1">
        <f t="array" ref="F5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55" s="31" cm="1">
        <f t="array" ref="G5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61</v>
      </c>
      <c r="H555" s="33" t="str">
        <f>_xlfn.IFNA(IF(MOD(HLG_02[[#This Row],[Rit]],
    _xlfn.XLOOKUP($G$2,Int_Sample[Ore],Int_Sample[Inc])) = 0, "YES", "NO"),"")</f>
        <v>NO</v>
      </c>
      <c r="I555" s="32" t="str">
        <f>TEXT(HLG_02[[#This Row],[Batch]],"000")&amp; " / " &amp; TEXT(HLG_02[[#This Row],[Rit]],"000")</f>
        <v>007 / 061</v>
      </c>
      <c r="J555" s="34"/>
      <c r="K555" s="38"/>
      <c r="L555" s="35"/>
      <c r="M555" s="66"/>
      <c r="N555" s="66"/>
      <c r="O555" s="66"/>
      <c r="P555" s="66"/>
      <c r="Q555" s="66"/>
      <c r="R555" s="67"/>
      <c r="S555" s="67"/>
      <c r="T555" s="67"/>
      <c r="U555" s="66"/>
      <c r="V555" s="66"/>
      <c r="W555" s="66"/>
      <c r="X555" s="85"/>
      <c r="AP555" t="str">
        <v/>
      </c>
      <c r="AQ555" t="e">
        <v>#N/A</v>
      </c>
      <c r="AR555" t="e">
        <v>#N/A</v>
      </c>
      <c r="AS555" t="e">
        <v>#N/A</v>
      </c>
      <c r="AT555" t="e">
        <v>#N/A</v>
      </c>
      <c r="AU555" t="e">
        <v>#N/A</v>
      </c>
      <c r="AV555" t="e">
        <v>#N/A</v>
      </c>
    </row>
    <row r="556" spans="4:48" ht="15.75" x14ac:dyDescent="0.25">
      <c r="D556" s="3">
        <v>6</v>
      </c>
      <c r="F556" s="16" cm="1">
        <f t="array" ref="F5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56" s="31" cm="1">
        <f t="array" ref="G5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62</v>
      </c>
      <c r="H556" s="33" t="str">
        <f>_xlfn.IFNA(IF(MOD(HLG_02[[#This Row],[Rit]],
    _xlfn.XLOOKUP($G$2,Int_Sample[Ore],Int_Sample[Inc])) = 0, "YES", "NO"),"")</f>
        <v>NO</v>
      </c>
      <c r="I556" s="32" t="str">
        <f>TEXT(HLG_02[[#This Row],[Batch]],"000")&amp; " / " &amp; TEXT(HLG_02[[#This Row],[Rit]],"000")</f>
        <v>007 / 062</v>
      </c>
      <c r="J556" s="34"/>
      <c r="K556" s="38"/>
      <c r="L556" s="35"/>
      <c r="M556" s="66"/>
      <c r="N556" s="66"/>
      <c r="O556" s="66"/>
      <c r="P556" s="66"/>
      <c r="Q556" s="66"/>
      <c r="R556" s="67"/>
      <c r="S556" s="67"/>
      <c r="T556" s="67"/>
      <c r="U556" s="66"/>
      <c r="V556" s="66"/>
      <c r="W556" s="66"/>
      <c r="X556" s="85"/>
      <c r="AP556" t="str">
        <v/>
      </c>
      <c r="AQ556" t="e">
        <v>#N/A</v>
      </c>
      <c r="AR556" t="e">
        <v>#N/A</v>
      </c>
      <c r="AS556" t="e">
        <v>#N/A</v>
      </c>
      <c r="AT556" t="e">
        <v>#N/A</v>
      </c>
      <c r="AU556" t="e">
        <v>#N/A</v>
      </c>
      <c r="AV556" t="e">
        <v>#N/A</v>
      </c>
    </row>
    <row r="557" spans="4:48" ht="15.75" x14ac:dyDescent="0.25">
      <c r="D557" s="3">
        <v>6</v>
      </c>
      <c r="F557" s="16" cm="1">
        <f t="array" ref="F5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57" s="31" cm="1">
        <f t="array" ref="G5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63</v>
      </c>
      <c r="H557" s="33" t="str">
        <f>_xlfn.IFNA(IF(MOD(HLG_02[[#This Row],[Rit]],
    _xlfn.XLOOKUP($G$2,Int_Sample[Ore],Int_Sample[Inc])) = 0, "YES", "NO"),"")</f>
        <v>NO</v>
      </c>
      <c r="I557" s="32" t="str">
        <f>TEXT(HLG_02[[#This Row],[Batch]],"000")&amp; " / " &amp; TEXT(HLG_02[[#This Row],[Rit]],"000")</f>
        <v>007 / 063</v>
      </c>
      <c r="J557" s="34"/>
      <c r="K557" s="38"/>
      <c r="L557" s="35"/>
      <c r="M557" s="66"/>
      <c r="N557" s="66"/>
      <c r="O557" s="66"/>
      <c r="P557" s="66"/>
      <c r="Q557" s="66"/>
      <c r="R557" s="67"/>
      <c r="S557" s="67"/>
      <c r="T557" s="67"/>
      <c r="U557" s="66"/>
      <c r="V557" s="66"/>
      <c r="W557" s="66"/>
      <c r="X557" s="85"/>
      <c r="AP557" t="str">
        <v/>
      </c>
      <c r="AQ557" t="e">
        <v>#N/A</v>
      </c>
      <c r="AR557" t="e">
        <v>#N/A</v>
      </c>
      <c r="AS557" t="e">
        <v>#N/A</v>
      </c>
      <c r="AT557" t="e">
        <v>#N/A</v>
      </c>
      <c r="AU557" t="e">
        <v>#N/A</v>
      </c>
      <c r="AV557" t="e">
        <v>#N/A</v>
      </c>
    </row>
    <row r="558" spans="4:48" ht="15.75" x14ac:dyDescent="0.25">
      <c r="D558" s="3">
        <v>6</v>
      </c>
      <c r="F558" s="16" cm="1">
        <f t="array" ref="F5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58" s="31" cm="1">
        <f t="array" ref="G5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64</v>
      </c>
      <c r="H558" s="33" t="str">
        <f>_xlfn.IFNA(IF(MOD(HLG_02[[#This Row],[Rit]],
    _xlfn.XLOOKUP($G$2,Int_Sample[Ore],Int_Sample[Inc])) = 0, "YES", "NO"),"")</f>
        <v>NO</v>
      </c>
      <c r="I558" s="32" t="str">
        <f>TEXT(HLG_02[[#This Row],[Batch]],"000")&amp; " / " &amp; TEXT(HLG_02[[#This Row],[Rit]],"000")</f>
        <v>007 / 064</v>
      </c>
      <c r="J558" s="34"/>
      <c r="K558" s="38"/>
      <c r="L558" s="35"/>
      <c r="M558" s="66"/>
      <c r="N558" s="66"/>
      <c r="O558" s="66"/>
      <c r="P558" s="66"/>
      <c r="Q558" s="66"/>
      <c r="R558" s="67"/>
      <c r="S558" s="67"/>
      <c r="T558" s="67"/>
      <c r="U558" s="66"/>
      <c r="V558" s="66"/>
      <c r="W558" s="66"/>
      <c r="X558" s="85"/>
      <c r="AP558" t="str">
        <v/>
      </c>
      <c r="AQ558" t="e">
        <v>#N/A</v>
      </c>
      <c r="AR558" t="e">
        <v>#N/A</v>
      </c>
      <c r="AS558" t="e">
        <v>#N/A</v>
      </c>
      <c r="AT558" t="e">
        <v>#N/A</v>
      </c>
      <c r="AU558" t="e">
        <v>#N/A</v>
      </c>
      <c r="AV558" t="e">
        <v>#N/A</v>
      </c>
    </row>
    <row r="559" spans="4:48" ht="15.75" x14ac:dyDescent="0.25">
      <c r="D559" s="3">
        <v>6</v>
      </c>
      <c r="F559" s="16" cm="1">
        <f t="array" ref="F5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59" s="31" cm="1">
        <f t="array" ref="G5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65</v>
      </c>
      <c r="H559" s="33" t="str">
        <f>_xlfn.IFNA(IF(MOD(HLG_02[[#This Row],[Rit]],
    _xlfn.XLOOKUP($G$2,Int_Sample[Ore],Int_Sample[Inc])) = 0, "YES", "NO"),"")</f>
        <v>YES</v>
      </c>
      <c r="I559" s="32" t="str">
        <f>TEXT(HLG_02[[#This Row],[Batch]],"000")&amp; " / " &amp; TEXT(HLG_02[[#This Row],[Rit]],"000")</f>
        <v>007 / 065</v>
      </c>
      <c r="J559" s="34"/>
      <c r="K559" s="38"/>
      <c r="L559" s="35"/>
      <c r="M559" s="66"/>
      <c r="N559" s="66"/>
      <c r="O559" s="66"/>
      <c r="P559" s="66"/>
      <c r="Q559" s="66"/>
      <c r="R559" s="67"/>
      <c r="S559" s="67"/>
      <c r="T559" s="67"/>
      <c r="U559" s="66"/>
      <c r="V559" s="66"/>
      <c r="W559" s="66"/>
      <c r="X559" s="85"/>
      <c r="AP559" t="str">
        <v/>
      </c>
      <c r="AQ559" t="e">
        <v>#N/A</v>
      </c>
      <c r="AR559" t="e">
        <v>#N/A</v>
      </c>
      <c r="AS559" t="e">
        <v>#N/A</v>
      </c>
      <c r="AT559" t="e">
        <v>#N/A</v>
      </c>
      <c r="AU559" t="e">
        <v>#N/A</v>
      </c>
      <c r="AV559" t="e">
        <v>#N/A</v>
      </c>
    </row>
    <row r="560" spans="4:48" ht="15.75" x14ac:dyDescent="0.25">
      <c r="D560" s="3">
        <v>6</v>
      </c>
      <c r="F560" s="16" cm="1">
        <f t="array" ref="F5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60" s="31" cm="1">
        <f t="array" ref="G5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66</v>
      </c>
      <c r="H560" s="33" t="str">
        <f>_xlfn.IFNA(IF(MOD(HLG_02[[#This Row],[Rit]],
    _xlfn.XLOOKUP($G$2,Int_Sample[Ore],Int_Sample[Inc])) = 0, "YES", "NO"),"")</f>
        <v>NO</v>
      </c>
      <c r="I560" s="32" t="str">
        <f>TEXT(HLG_02[[#This Row],[Batch]],"000")&amp; " / " &amp; TEXT(HLG_02[[#This Row],[Rit]],"000")</f>
        <v>007 / 066</v>
      </c>
      <c r="J560" s="34"/>
      <c r="K560" s="38"/>
      <c r="L560" s="35"/>
      <c r="M560" s="66"/>
      <c r="N560" s="66"/>
      <c r="O560" s="66"/>
      <c r="P560" s="66"/>
      <c r="Q560" s="66"/>
      <c r="R560" s="67"/>
      <c r="S560" s="67"/>
      <c r="T560" s="67"/>
      <c r="U560" s="66"/>
      <c r="V560" s="66"/>
      <c r="W560" s="66"/>
      <c r="X560" s="85"/>
      <c r="AP560" t="str">
        <v/>
      </c>
      <c r="AQ560" t="e">
        <v>#N/A</v>
      </c>
      <c r="AR560" t="e">
        <v>#N/A</v>
      </c>
      <c r="AS560" t="e">
        <v>#N/A</v>
      </c>
      <c r="AT560" t="e">
        <v>#N/A</v>
      </c>
      <c r="AU560" t="e">
        <v>#N/A</v>
      </c>
      <c r="AV560" t="e">
        <v>#N/A</v>
      </c>
    </row>
    <row r="561" spans="4:48" ht="15.75" x14ac:dyDescent="0.25">
      <c r="D561" s="3">
        <v>6</v>
      </c>
      <c r="F561" s="16" cm="1">
        <f t="array" ref="F5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61" s="31" cm="1">
        <f t="array" ref="G5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67</v>
      </c>
      <c r="H561" s="33" t="str">
        <f>_xlfn.IFNA(IF(MOD(HLG_02[[#This Row],[Rit]],
    _xlfn.XLOOKUP($G$2,Int_Sample[Ore],Int_Sample[Inc])) = 0, "YES", "NO"),"")</f>
        <v>NO</v>
      </c>
      <c r="I561" s="32" t="str">
        <f>TEXT(HLG_02[[#This Row],[Batch]],"000")&amp; " / " &amp; TEXT(HLG_02[[#This Row],[Rit]],"000")</f>
        <v>007 / 067</v>
      </c>
      <c r="J561" s="34"/>
      <c r="K561" s="38"/>
      <c r="L561" s="35"/>
      <c r="M561" s="66"/>
      <c r="N561" s="66"/>
      <c r="O561" s="66"/>
      <c r="P561" s="66"/>
      <c r="Q561" s="66"/>
      <c r="R561" s="67"/>
      <c r="S561" s="67"/>
      <c r="T561" s="67"/>
      <c r="U561" s="66"/>
      <c r="V561" s="66"/>
      <c r="W561" s="66"/>
      <c r="X561" s="85"/>
      <c r="AP561" t="str">
        <v/>
      </c>
      <c r="AQ561" t="e">
        <v>#N/A</v>
      </c>
      <c r="AR561" t="e">
        <v>#N/A</v>
      </c>
      <c r="AS561" t="e">
        <v>#N/A</v>
      </c>
      <c r="AT561" t="e">
        <v>#N/A</v>
      </c>
      <c r="AU561" t="e">
        <v>#N/A</v>
      </c>
      <c r="AV561" t="e">
        <v>#N/A</v>
      </c>
    </row>
    <row r="562" spans="4:48" ht="15.75" x14ac:dyDescent="0.25">
      <c r="D562" s="3">
        <v>6</v>
      </c>
      <c r="F562" s="16" cm="1">
        <f t="array" ref="F5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62" s="31" cm="1">
        <f t="array" ref="G5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68</v>
      </c>
      <c r="H562" s="33" t="str">
        <f>_xlfn.IFNA(IF(MOD(HLG_02[[#This Row],[Rit]],
    _xlfn.XLOOKUP($G$2,Int_Sample[Ore],Int_Sample[Inc])) = 0, "YES", "NO"),"")</f>
        <v>NO</v>
      </c>
      <c r="I562" s="32" t="str">
        <f>TEXT(HLG_02[[#This Row],[Batch]],"000")&amp; " / " &amp; TEXT(HLG_02[[#This Row],[Rit]],"000")</f>
        <v>007 / 068</v>
      </c>
      <c r="J562" s="34"/>
      <c r="K562" s="38"/>
      <c r="L562" s="35"/>
      <c r="M562" s="66"/>
      <c r="N562" s="66"/>
      <c r="O562" s="66"/>
      <c r="P562" s="66"/>
      <c r="Q562" s="66"/>
      <c r="R562" s="67"/>
      <c r="S562" s="67"/>
      <c r="T562" s="67"/>
      <c r="U562" s="66"/>
      <c r="V562" s="66"/>
      <c r="W562" s="66"/>
      <c r="X562" s="85"/>
      <c r="AP562" t="str">
        <v/>
      </c>
      <c r="AQ562" t="e">
        <v>#N/A</v>
      </c>
      <c r="AR562" t="e">
        <v>#N/A</v>
      </c>
      <c r="AS562" t="e">
        <v>#N/A</v>
      </c>
      <c r="AT562" t="e">
        <v>#N/A</v>
      </c>
      <c r="AU562" t="e">
        <v>#N/A</v>
      </c>
      <c r="AV562" t="e">
        <v>#N/A</v>
      </c>
    </row>
    <row r="563" spans="4:48" ht="15.75" x14ac:dyDescent="0.25">
      <c r="D563" s="3">
        <v>6</v>
      </c>
      <c r="F563" s="16" cm="1">
        <f t="array" ref="F5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63" s="31" cm="1">
        <f t="array" ref="G5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69</v>
      </c>
      <c r="H563" s="33" t="str">
        <f>_xlfn.IFNA(IF(MOD(HLG_02[[#This Row],[Rit]],
    _xlfn.XLOOKUP($G$2,Int_Sample[Ore],Int_Sample[Inc])) = 0, "YES", "NO"),"")</f>
        <v>NO</v>
      </c>
      <c r="I563" s="32" t="str">
        <f>TEXT(HLG_02[[#This Row],[Batch]],"000")&amp; " / " &amp; TEXT(HLG_02[[#This Row],[Rit]],"000")</f>
        <v>007 / 069</v>
      </c>
      <c r="J563" s="34"/>
      <c r="K563" s="38"/>
      <c r="L563" s="35"/>
      <c r="M563" s="66"/>
      <c r="N563" s="66"/>
      <c r="O563" s="66"/>
      <c r="P563" s="66"/>
      <c r="Q563" s="66"/>
      <c r="R563" s="67"/>
      <c r="S563" s="67"/>
      <c r="T563" s="67"/>
      <c r="U563" s="66"/>
      <c r="V563" s="66"/>
      <c r="W563" s="66"/>
      <c r="X563" s="85"/>
      <c r="AP563" t="str">
        <v/>
      </c>
      <c r="AQ563" t="e">
        <v>#N/A</v>
      </c>
      <c r="AR563" t="e">
        <v>#N/A</v>
      </c>
      <c r="AS563" t="e">
        <v>#N/A</v>
      </c>
      <c r="AT563" t="e">
        <v>#N/A</v>
      </c>
      <c r="AU563" t="e">
        <v>#N/A</v>
      </c>
      <c r="AV563" t="e">
        <v>#N/A</v>
      </c>
    </row>
    <row r="564" spans="4:48" ht="15.75" x14ac:dyDescent="0.25">
      <c r="D564" s="3">
        <v>6</v>
      </c>
      <c r="F564" s="16" cm="1">
        <f t="array" ref="F5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64" s="31" cm="1">
        <f t="array" ref="G5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70</v>
      </c>
      <c r="H564" s="33" t="str">
        <f>_xlfn.IFNA(IF(MOD(HLG_02[[#This Row],[Rit]],
    _xlfn.XLOOKUP($G$2,Int_Sample[Ore],Int_Sample[Inc])) = 0, "YES", "NO"),"")</f>
        <v>YES</v>
      </c>
      <c r="I564" s="32" t="str">
        <f>TEXT(HLG_02[[#This Row],[Batch]],"000")&amp; " / " &amp; TEXT(HLG_02[[#This Row],[Rit]],"000")</f>
        <v>007 / 070</v>
      </c>
      <c r="J564" s="34"/>
      <c r="K564" s="38"/>
      <c r="L564" s="35"/>
      <c r="M564" s="66"/>
      <c r="N564" s="66"/>
      <c r="O564" s="66"/>
      <c r="P564" s="66"/>
      <c r="Q564" s="66"/>
      <c r="R564" s="67"/>
      <c r="S564" s="67"/>
      <c r="T564" s="67"/>
      <c r="U564" s="66"/>
      <c r="V564" s="66"/>
      <c r="W564" s="66"/>
      <c r="X564" s="85"/>
      <c r="AP564" t="str">
        <v/>
      </c>
      <c r="AQ564" t="e">
        <v>#N/A</v>
      </c>
      <c r="AR564" t="e">
        <v>#N/A</v>
      </c>
      <c r="AS564" t="e">
        <v>#N/A</v>
      </c>
      <c r="AT564" t="e">
        <v>#N/A</v>
      </c>
      <c r="AU564" t="e">
        <v>#N/A</v>
      </c>
      <c r="AV564" t="e">
        <v>#N/A</v>
      </c>
    </row>
    <row r="565" spans="4:48" ht="15.75" x14ac:dyDescent="0.25">
      <c r="D565" s="3">
        <v>6</v>
      </c>
      <c r="F565" s="16" cm="1">
        <f t="array" ref="F5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65" s="31" cm="1">
        <f t="array" ref="G5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71</v>
      </c>
      <c r="H565" s="33" t="str">
        <f>_xlfn.IFNA(IF(MOD(HLG_02[[#This Row],[Rit]],
    _xlfn.XLOOKUP($G$2,Int_Sample[Ore],Int_Sample[Inc])) = 0, "YES", "NO"),"")</f>
        <v>NO</v>
      </c>
      <c r="I565" s="32" t="str">
        <f>TEXT(HLG_02[[#This Row],[Batch]],"000")&amp; " / " &amp; TEXT(HLG_02[[#This Row],[Rit]],"000")</f>
        <v>007 / 071</v>
      </c>
      <c r="J565" s="34"/>
      <c r="K565" s="38"/>
      <c r="L565" s="35"/>
      <c r="M565" s="66"/>
      <c r="N565" s="66"/>
      <c r="O565" s="66"/>
      <c r="P565" s="66"/>
      <c r="Q565" s="66"/>
      <c r="R565" s="67"/>
      <c r="S565" s="67"/>
      <c r="T565" s="67"/>
      <c r="U565" s="66"/>
      <c r="V565" s="66"/>
      <c r="W565" s="66"/>
      <c r="X565" s="85"/>
      <c r="AP565" t="str">
        <v/>
      </c>
      <c r="AQ565" t="e">
        <v>#N/A</v>
      </c>
      <c r="AR565" t="e">
        <v>#N/A</v>
      </c>
      <c r="AS565" t="e">
        <v>#N/A</v>
      </c>
      <c r="AT565" t="e">
        <v>#N/A</v>
      </c>
      <c r="AU565" t="e">
        <v>#N/A</v>
      </c>
      <c r="AV565" t="e">
        <v>#N/A</v>
      </c>
    </row>
    <row r="566" spans="4:48" ht="15.75" x14ac:dyDescent="0.25">
      <c r="D566" s="3">
        <v>6</v>
      </c>
      <c r="F566" s="16" cm="1">
        <f t="array" ref="F5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66" s="31" cm="1">
        <f t="array" ref="G5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72</v>
      </c>
      <c r="H566" s="33" t="str">
        <f>_xlfn.IFNA(IF(MOD(HLG_02[[#This Row],[Rit]],
    _xlfn.XLOOKUP($G$2,Int_Sample[Ore],Int_Sample[Inc])) = 0, "YES", "NO"),"")</f>
        <v>NO</v>
      </c>
      <c r="I566" s="32" t="str">
        <f>TEXT(HLG_02[[#This Row],[Batch]],"000")&amp; " / " &amp; TEXT(HLG_02[[#This Row],[Rit]],"000")</f>
        <v>007 / 072</v>
      </c>
      <c r="J566" s="34"/>
      <c r="K566" s="38"/>
      <c r="L566" s="35"/>
      <c r="M566" s="66"/>
      <c r="N566" s="66"/>
      <c r="O566" s="66"/>
      <c r="P566" s="66"/>
      <c r="Q566" s="66"/>
      <c r="R566" s="67"/>
      <c r="S566" s="67"/>
      <c r="T566" s="67"/>
      <c r="U566" s="66"/>
      <c r="V566" s="66"/>
      <c r="W566" s="66"/>
      <c r="X566" s="85"/>
      <c r="AP566" t="str">
        <v/>
      </c>
      <c r="AQ566" t="e">
        <v>#N/A</v>
      </c>
      <c r="AR566" t="e">
        <v>#N/A</v>
      </c>
      <c r="AS566" t="e">
        <v>#N/A</v>
      </c>
      <c r="AT566" t="e">
        <v>#N/A</v>
      </c>
      <c r="AU566" t="e">
        <v>#N/A</v>
      </c>
      <c r="AV566" t="e">
        <v>#N/A</v>
      </c>
    </row>
    <row r="567" spans="4:48" ht="15.75" x14ac:dyDescent="0.25">
      <c r="D567" s="3">
        <v>6</v>
      </c>
      <c r="F567" s="16" cm="1">
        <f t="array" ref="F5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67" s="31" cm="1">
        <f t="array" ref="G5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73</v>
      </c>
      <c r="H567" s="33" t="str">
        <f>_xlfn.IFNA(IF(MOD(HLG_02[[#This Row],[Rit]],
    _xlfn.XLOOKUP($G$2,Int_Sample[Ore],Int_Sample[Inc])) = 0, "YES", "NO"),"")</f>
        <v>NO</v>
      </c>
      <c r="I567" s="32" t="str">
        <f>TEXT(HLG_02[[#This Row],[Batch]],"000")&amp; " / " &amp; TEXT(HLG_02[[#This Row],[Rit]],"000")</f>
        <v>007 / 073</v>
      </c>
      <c r="J567" s="34"/>
      <c r="K567" s="38"/>
      <c r="L567" s="35"/>
      <c r="M567" s="66"/>
      <c r="N567" s="66"/>
      <c r="O567" s="66"/>
      <c r="P567" s="66"/>
      <c r="Q567" s="66"/>
      <c r="R567" s="67"/>
      <c r="S567" s="67"/>
      <c r="T567" s="67"/>
      <c r="U567" s="66"/>
      <c r="V567" s="66"/>
      <c r="W567" s="66"/>
      <c r="X567" s="85"/>
      <c r="AP567" t="str">
        <v/>
      </c>
      <c r="AQ567" t="e">
        <v>#N/A</v>
      </c>
      <c r="AR567" t="e">
        <v>#N/A</v>
      </c>
      <c r="AS567" t="e">
        <v>#N/A</v>
      </c>
      <c r="AT567" t="e">
        <v>#N/A</v>
      </c>
      <c r="AU567" t="e">
        <v>#N/A</v>
      </c>
      <c r="AV567" t="e">
        <v>#N/A</v>
      </c>
    </row>
    <row r="568" spans="4:48" ht="15.75" x14ac:dyDescent="0.25">
      <c r="D568" s="3">
        <v>6</v>
      </c>
      <c r="F568" s="16" cm="1">
        <f t="array" ref="F5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68" s="31" cm="1">
        <f t="array" ref="G5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74</v>
      </c>
      <c r="H568" s="33" t="str">
        <f>_xlfn.IFNA(IF(MOD(HLG_02[[#This Row],[Rit]],
    _xlfn.XLOOKUP($G$2,Int_Sample[Ore],Int_Sample[Inc])) = 0, "YES", "NO"),"")</f>
        <v>NO</v>
      </c>
      <c r="I568" s="32" t="str">
        <f>TEXT(HLG_02[[#This Row],[Batch]],"000")&amp; " / " &amp; TEXT(HLG_02[[#This Row],[Rit]],"000")</f>
        <v>007 / 074</v>
      </c>
      <c r="J568" s="34"/>
      <c r="K568" s="38"/>
      <c r="L568" s="35"/>
      <c r="M568" s="66"/>
      <c r="N568" s="66"/>
      <c r="O568" s="66"/>
      <c r="P568" s="66"/>
      <c r="Q568" s="66"/>
      <c r="R568" s="67"/>
      <c r="S568" s="67"/>
      <c r="T568" s="67"/>
      <c r="U568" s="66"/>
      <c r="V568" s="66"/>
      <c r="W568" s="66"/>
      <c r="X568" s="85"/>
      <c r="AP568" t="str">
        <v/>
      </c>
      <c r="AQ568" t="e">
        <v>#N/A</v>
      </c>
      <c r="AR568" t="e">
        <v>#N/A</v>
      </c>
      <c r="AS568" t="e">
        <v>#N/A</v>
      </c>
      <c r="AT568" t="e">
        <v>#N/A</v>
      </c>
      <c r="AU568" t="e">
        <v>#N/A</v>
      </c>
      <c r="AV568" t="e">
        <v>#N/A</v>
      </c>
    </row>
    <row r="569" spans="4:48" ht="15.75" x14ac:dyDescent="0.25">
      <c r="D569" s="3">
        <v>6</v>
      </c>
      <c r="F569" s="16" cm="1">
        <f t="array" ref="F5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69" s="31" cm="1">
        <f t="array" ref="G5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75</v>
      </c>
      <c r="H569" s="33" t="str">
        <f>_xlfn.IFNA(IF(MOD(HLG_02[[#This Row],[Rit]],
    _xlfn.XLOOKUP($G$2,Int_Sample[Ore],Int_Sample[Inc])) = 0, "YES", "NO"),"")</f>
        <v>YES</v>
      </c>
      <c r="I569" s="32" t="str">
        <f>TEXT(HLG_02[[#This Row],[Batch]],"000")&amp; " / " &amp; TEXT(HLG_02[[#This Row],[Rit]],"000")</f>
        <v>007 / 075</v>
      </c>
      <c r="J569" s="34"/>
      <c r="K569" s="38"/>
      <c r="L569" s="35"/>
      <c r="M569" s="66"/>
      <c r="N569" s="66"/>
      <c r="O569" s="66"/>
      <c r="P569" s="66"/>
      <c r="Q569" s="66"/>
      <c r="R569" s="67"/>
      <c r="S569" s="67"/>
      <c r="T569" s="67"/>
      <c r="U569" s="66"/>
      <c r="V569" s="66"/>
      <c r="W569" s="66"/>
      <c r="X569" s="85"/>
      <c r="AP569" t="str">
        <v/>
      </c>
      <c r="AQ569" t="e">
        <v>#N/A</v>
      </c>
      <c r="AR569" t="e">
        <v>#N/A</v>
      </c>
      <c r="AS569" t="e">
        <v>#N/A</v>
      </c>
      <c r="AT569" t="e">
        <v>#N/A</v>
      </c>
      <c r="AU569" t="e">
        <v>#N/A</v>
      </c>
      <c r="AV569" t="e">
        <v>#N/A</v>
      </c>
    </row>
    <row r="570" spans="4:48" ht="15.75" x14ac:dyDescent="0.25">
      <c r="D570" s="3">
        <v>6</v>
      </c>
      <c r="F570" s="16" cm="1">
        <f t="array" ref="F5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70" s="31" cm="1">
        <f t="array" ref="G5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76</v>
      </c>
      <c r="H570" s="33" t="str">
        <f>_xlfn.IFNA(IF(MOD(HLG_02[[#This Row],[Rit]],
    _xlfn.XLOOKUP($G$2,Int_Sample[Ore],Int_Sample[Inc])) = 0, "YES", "NO"),"")</f>
        <v>NO</v>
      </c>
      <c r="I570" s="32" t="str">
        <f>TEXT(HLG_02[[#This Row],[Batch]],"000")&amp; " / " &amp; TEXT(HLG_02[[#This Row],[Rit]],"000")</f>
        <v>007 / 076</v>
      </c>
      <c r="J570" s="34"/>
      <c r="K570" s="38"/>
      <c r="L570" s="35"/>
      <c r="M570" s="66"/>
      <c r="N570" s="66"/>
      <c r="O570" s="66"/>
      <c r="P570" s="66"/>
      <c r="Q570" s="66"/>
      <c r="R570" s="67"/>
      <c r="S570" s="67"/>
      <c r="T570" s="67"/>
      <c r="U570" s="66"/>
      <c r="V570" s="66"/>
      <c r="W570" s="66"/>
      <c r="X570" s="85"/>
      <c r="AP570" t="str">
        <v/>
      </c>
      <c r="AQ570" t="e">
        <v>#N/A</v>
      </c>
      <c r="AR570" t="e">
        <v>#N/A</v>
      </c>
      <c r="AS570" t="e">
        <v>#N/A</v>
      </c>
      <c r="AT570" t="e">
        <v>#N/A</v>
      </c>
      <c r="AU570" t="e">
        <v>#N/A</v>
      </c>
      <c r="AV570" t="e">
        <v>#N/A</v>
      </c>
    </row>
    <row r="571" spans="4:48" ht="15.75" x14ac:dyDescent="0.25">
      <c r="D571" s="3">
        <v>6</v>
      </c>
      <c r="F571" s="16" cm="1">
        <f t="array" ref="F5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71" s="31" cm="1">
        <f t="array" ref="G5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77</v>
      </c>
      <c r="H571" s="33" t="str">
        <f>_xlfn.IFNA(IF(MOD(HLG_02[[#This Row],[Rit]],
    _xlfn.XLOOKUP($G$2,Int_Sample[Ore],Int_Sample[Inc])) = 0, "YES", "NO"),"")</f>
        <v>NO</v>
      </c>
      <c r="I571" s="32" t="str">
        <f>TEXT(HLG_02[[#This Row],[Batch]],"000")&amp; " / " &amp; TEXT(HLG_02[[#This Row],[Rit]],"000")</f>
        <v>007 / 077</v>
      </c>
      <c r="J571" s="34"/>
      <c r="K571" s="38"/>
      <c r="L571" s="35"/>
      <c r="M571" s="66"/>
      <c r="N571" s="66"/>
      <c r="O571" s="66"/>
      <c r="P571" s="66"/>
      <c r="Q571" s="66"/>
      <c r="R571" s="67"/>
      <c r="S571" s="67"/>
      <c r="T571" s="67"/>
      <c r="U571" s="66"/>
      <c r="V571" s="66"/>
      <c r="W571" s="66"/>
      <c r="X571" s="85"/>
      <c r="AP571" t="str">
        <v/>
      </c>
      <c r="AQ571" t="e">
        <v>#N/A</v>
      </c>
      <c r="AR571" t="e">
        <v>#N/A</v>
      </c>
      <c r="AS571" t="e">
        <v>#N/A</v>
      </c>
      <c r="AT571" t="e">
        <v>#N/A</v>
      </c>
      <c r="AU571" t="e">
        <v>#N/A</v>
      </c>
      <c r="AV571" t="e">
        <v>#N/A</v>
      </c>
    </row>
    <row r="572" spans="4:48" ht="15.75" x14ac:dyDescent="0.25">
      <c r="D572" s="3">
        <v>6</v>
      </c>
      <c r="F572" s="16" cm="1">
        <f t="array" ref="F5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72" s="31" cm="1">
        <f t="array" ref="G5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78</v>
      </c>
      <c r="H572" s="33" t="str">
        <f>_xlfn.IFNA(IF(MOD(HLG_02[[#This Row],[Rit]],
    _xlfn.XLOOKUP($G$2,Int_Sample[Ore],Int_Sample[Inc])) = 0, "YES", "NO"),"")</f>
        <v>NO</v>
      </c>
      <c r="I572" s="32" t="str">
        <f>TEXT(HLG_02[[#This Row],[Batch]],"000")&amp; " / " &amp; TEXT(HLG_02[[#This Row],[Rit]],"000")</f>
        <v>007 / 078</v>
      </c>
      <c r="J572" s="34"/>
      <c r="K572" s="38"/>
      <c r="L572" s="35"/>
      <c r="M572" s="66"/>
      <c r="N572" s="66"/>
      <c r="O572" s="66"/>
      <c r="P572" s="66"/>
      <c r="Q572" s="66"/>
      <c r="R572" s="67"/>
      <c r="S572" s="67"/>
      <c r="T572" s="67"/>
      <c r="U572" s="66"/>
      <c r="V572" s="66"/>
      <c r="W572" s="66"/>
      <c r="X572" s="85"/>
      <c r="AP572" t="str">
        <v/>
      </c>
      <c r="AQ572" t="e">
        <v>#N/A</v>
      </c>
      <c r="AR572" t="e">
        <v>#N/A</v>
      </c>
      <c r="AS572" t="e">
        <v>#N/A</v>
      </c>
      <c r="AT572" t="e">
        <v>#N/A</v>
      </c>
      <c r="AU572" t="e">
        <v>#N/A</v>
      </c>
      <c r="AV572" t="e">
        <v>#N/A</v>
      </c>
    </row>
    <row r="573" spans="4:48" ht="15.75" x14ac:dyDescent="0.25">
      <c r="D573" s="3">
        <v>6</v>
      </c>
      <c r="F573" s="16" cm="1">
        <f t="array" ref="F5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73" s="31" cm="1">
        <f t="array" ref="G5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79</v>
      </c>
      <c r="H573" s="33" t="str">
        <f>_xlfn.IFNA(IF(MOD(HLG_02[[#This Row],[Rit]],
    _xlfn.XLOOKUP($G$2,Int_Sample[Ore],Int_Sample[Inc])) = 0, "YES", "NO"),"")</f>
        <v>NO</v>
      </c>
      <c r="I573" s="32" t="str">
        <f>TEXT(HLG_02[[#This Row],[Batch]],"000")&amp; " / " &amp; TEXT(HLG_02[[#This Row],[Rit]],"000")</f>
        <v>007 / 079</v>
      </c>
      <c r="J573" s="34"/>
      <c r="K573" s="38"/>
      <c r="L573" s="35"/>
      <c r="M573" s="66"/>
      <c r="N573" s="66"/>
      <c r="O573" s="66"/>
      <c r="P573" s="66"/>
      <c r="Q573" s="66"/>
      <c r="R573" s="67"/>
      <c r="S573" s="67"/>
      <c r="T573" s="67"/>
      <c r="U573" s="66"/>
      <c r="V573" s="66"/>
      <c r="W573" s="66"/>
      <c r="X573" s="85"/>
      <c r="AP573" t="str">
        <v/>
      </c>
      <c r="AQ573" t="e">
        <v>#N/A</v>
      </c>
      <c r="AR573" t="e">
        <v>#N/A</v>
      </c>
      <c r="AS573" t="e">
        <v>#N/A</v>
      </c>
      <c r="AT573" t="e">
        <v>#N/A</v>
      </c>
      <c r="AU573" t="e">
        <v>#N/A</v>
      </c>
      <c r="AV573" t="e">
        <v>#N/A</v>
      </c>
    </row>
    <row r="574" spans="4:48" ht="15.75" x14ac:dyDescent="0.25">
      <c r="D574" s="3">
        <v>6</v>
      </c>
      <c r="F574" s="16" cm="1">
        <f t="array" ref="F5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74" s="31" cm="1">
        <f t="array" ref="G5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80</v>
      </c>
      <c r="H574" s="33" t="str">
        <f>_xlfn.IFNA(IF(MOD(HLG_02[[#This Row],[Rit]],
    _xlfn.XLOOKUP($G$2,Int_Sample[Ore],Int_Sample[Inc])) = 0, "YES", "NO"),"")</f>
        <v>YES</v>
      </c>
      <c r="I574" s="32" t="str">
        <f>TEXT(HLG_02[[#This Row],[Batch]],"000")&amp; " / " &amp; TEXT(HLG_02[[#This Row],[Rit]],"000")</f>
        <v>007 / 080</v>
      </c>
      <c r="J574" s="34"/>
      <c r="K574" s="38"/>
      <c r="L574" s="35"/>
      <c r="M574" s="66"/>
      <c r="N574" s="66"/>
      <c r="O574" s="66"/>
      <c r="P574" s="66"/>
      <c r="Q574" s="66"/>
      <c r="R574" s="67"/>
      <c r="S574" s="67"/>
      <c r="T574" s="67"/>
      <c r="U574" s="66"/>
      <c r="V574" s="66"/>
      <c r="W574" s="66"/>
      <c r="X574" s="85"/>
      <c r="AP574" t="str">
        <v/>
      </c>
      <c r="AQ574" t="e">
        <v>#N/A</v>
      </c>
      <c r="AR574" t="e">
        <v>#N/A</v>
      </c>
      <c r="AS574" t="e">
        <v>#N/A</v>
      </c>
      <c r="AT574" t="e">
        <v>#N/A</v>
      </c>
      <c r="AU574" t="e">
        <v>#N/A</v>
      </c>
      <c r="AV574" t="e">
        <v>#N/A</v>
      </c>
    </row>
    <row r="575" spans="4:48" ht="15.75" x14ac:dyDescent="0.25">
      <c r="D575" s="3">
        <v>6</v>
      </c>
      <c r="F575" s="16" cm="1">
        <f t="array" ref="F5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75" s="31" cm="1">
        <f t="array" ref="G5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81</v>
      </c>
      <c r="H575" s="33" t="str">
        <f>_xlfn.IFNA(IF(MOD(HLG_02[[#This Row],[Rit]],
    _xlfn.XLOOKUP($G$2,Int_Sample[Ore],Int_Sample[Inc])) = 0, "YES", "NO"),"")</f>
        <v>NO</v>
      </c>
      <c r="I575" s="32" t="str">
        <f>TEXT(HLG_02[[#This Row],[Batch]],"000")&amp; " / " &amp; TEXT(HLG_02[[#This Row],[Rit]],"000")</f>
        <v>007 / 081</v>
      </c>
      <c r="J575" s="34"/>
      <c r="K575" s="38"/>
      <c r="L575" s="35"/>
      <c r="M575" s="66"/>
      <c r="N575" s="66"/>
      <c r="O575" s="66"/>
      <c r="P575" s="66"/>
      <c r="Q575" s="66"/>
      <c r="R575" s="67"/>
      <c r="S575" s="67"/>
      <c r="T575" s="67"/>
      <c r="U575" s="66"/>
      <c r="V575" s="66"/>
      <c r="W575" s="66"/>
      <c r="X575" s="85"/>
      <c r="AP575" t="str">
        <v/>
      </c>
      <c r="AQ575" t="e">
        <v>#N/A</v>
      </c>
      <c r="AR575" t="e">
        <v>#N/A</v>
      </c>
      <c r="AS575" t="e">
        <v>#N/A</v>
      </c>
      <c r="AT575" t="e">
        <v>#N/A</v>
      </c>
      <c r="AU575" t="e">
        <v>#N/A</v>
      </c>
      <c r="AV575" t="e">
        <v>#N/A</v>
      </c>
    </row>
    <row r="576" spans="4:48" ht="15.75" x14ac:dyDescent="0.25">
      <c r="D576" s="3">
        <v>6</v>
      </c>
      <c r="F576" s="16" cm="1">
        <f t="array" ref="F5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76" s="31" cm="1">
        <f t="array" ref="G5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82</v>
      </c>
      <c r="H576" s="33" t="str">
        <f>_xlfn.IFNA(IF(MOD(HLG_02[[#This Row],[Rit]],
    _xlfn.XLOOKUP($G$2,Int_Sample[Ore],Int_Sample[Inc])) = 0, "YES", "NO"),"")</f>
        <v>NO</v>
      </c>
      <c r="I576" s="32" t="str">
        <f>TEXT(HLG_02[[#This Row],[Batch]],"000")&amp; " / " &amp; TEXT(HLG_02[[#This Row],[Rit]],"000")</f>
        <v>007 / 082</v>
      </c>
      <c r="J576" s="34"/>
      <c r="K576" s="38"/>
      <c r="L576" s="35"/>
      <c r="M576" s="66"/>
      <c r="N576" s="66"/>
      <c r="O576" s="66"/>
      <c r="P576" s="66"/>
      <c r="Q576" s="66"/>
      <c r="R576" s="67"/>
      <c r="S576" s="67"/>
      <c r="T576" s="67"/>
      <c r="U576" s="66"/>
      <c r="V576" s="66"/>
      <c r="W576" s="66"/>
      <c r="X576" s="85"/>
      <c r="AP576" t="str">
        <v/>
      </c>
      <c r="AQ576" t="e">
        <v>#N/A</v>
      </c>
      <c r="AR576" t="e">
        <v>#N/A</v>
      </c>
      <c r="AS576" t="e">
        <v>#N/A</v>
      </c>
      <c r="AT576" t="e">
        <v>#N/A</v>
      </c>
      <c r="AU576" t="e">
        <v>#N/A</v>
      </c>
      <c r="AV576" t="e">
        <v>#N/A</v>
      </c>
    </row>
    <row r="577" spans="4:48" ht="15.75" x14ac:dyDescent="0.25">
      <c r="D577" s="3">
        <v>6</v>
      </c>
      <c r="F577" s="16" cm="1">
        <f t="array" ref="F5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77" s="31" cm="1">
        <f t="array" ref="G5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83</v>
      </c>
      <c r="H577" s="33" t="str">
        <f>_xlfn.IFNA(IF(MOD(HLG_02[[#This Row],[Rit]],
    _xlfn.XLOOKUP($G$2,Int_Sample[Ore],Int_Sample[Inc])) = 0, "YES", "NO"),"")</f>
        <v>NO</v>
      </c>
      <c r="I577" s="32" t="str">
        <f>TEXT(HLG_02[[#This Row],[Batch]],"000")&amp; " / " &amp; TEXT(HLG_02[[#This Row],[Rit]],"000")</f>
        <v>007 / 083</v>
      </c>
      <c r="J577" s="34"/>
      <c r="K577" s="38"/>
      <c r="L577" s="35"/>
      <c r="M577" s="66"/>
      <c r="N577" s="66"/>
      <c r="O577" s="66"/>
      <c r="P577" s="66"/>
      <c r="Q577" s="66"/>
      <c r="R577" s="67"/>
      <c r="S577" s="67"/>
      <c r="T577" s="67"/>
      <c r="U577" s="66"/>
      <c r="V577" s="66"/>
      <c r="W577" s="66"/>
      <c r="X577" s="85"/>
      <c r="AP577" t="str">
        <v/>
      </c>
      <c r="AQ577" t="e">
        <v>#N/A</v>
      </c>
      <c r="AR577" t="e">
        <v>#N/A</v>
      </c>
      <c r="AS577" t="e">
        <v>#N/A</v>
      </c>
      <c r="AT577" t="e">
        <v>#N/A</v>
      </c>
      <c r="AU577" t="e">
        <v>#N/A</v>
      </c>
      <c r="AV577" t="e">
        <v>#N/A</v>
      </c>
    </row>
    <row r="578" spans="4:48" ht="15.75" x14ac:dyDescent="0.25">
      <c r="D578" s="3">
        <v>6</v>
      </c>
      <c r="F578" s="16" cm="1">
        <f t="array" ref="F5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78" s="31" cm="1">
        <f t="array" ref="G5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84</v>
      </c>
      <c r="H578" s="33" t="str">
        <f>_xlfn.IFNA(IF(MOD(HLG_02[[#This Row],[Rit]],
    _xlfn.XLOOKUP($G$2,Int_Sample[Ore],Int_Sample[Inc])) = 0, "YES", "NO"),"")</f>
        <v>NO</v>
      </c>
      <c r="I578" s="32" t="str">
        <f>TEXT(HLG_02[[#This Row],[Batch]],"000")&amp; " / " &amp; TEXT(HLG_02[[#This Row],[Rit]],"000")</f>
        <v>007 / 084</v>
      </c>
      <c r="J578" s="34"/>
      <c r="K578" s="38"/>
      <c r="L578" s="35"/>
      <c r="M578" s="66"/>
      <c r="N578" s="66"/>
      <c r="O578" s="66"/>
      <c r="P578" s="66"/>
      <c r="Q578" s="66"/>
      <c r="R578" s="67"/>
      <c r="S578" s="67"/>
      <c r="T578" s="67"/>
      <c r="U578" s="66"/>
      <c r="V578" s="66"/>
      <c r="W578" s="66"/>
      <c r="X578" s="85"/>
      <c r="AP578" t="str">
        <v/>
      </c>
      <c r="AQ578" t="e">
        <v>#N/A</v>
      </c>
      <c r="AR578" t="e">
        <v>#N/A</v>
      </c>
      <c r="AS578" t="e">
        <v>#N/A</v>
      </c>
      <c r="AT578" t="e">
        <v>#N/A</v>
      </c>
      <c r="AU578" t="e">
        <v>#N/A</v>
      </c>
      <c r="AV578" t="e">
        <v>#N/A</v>
      </c>
    </row>
    <row r="579" spans="4:48" ht="15.75" x14ac:dyDescent="0.25">
      <c r="D579" s="3">
        <v>6</v>
      </c>
      <c r="F579" s="16" cm="1">
        <f t="array" ref="F5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79" s="31" cm="1">
        <f t="array" ref="G5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85</v>
      </c>
      <c r="H579" s="33" t="str">
        <f>_xlfn.IFNA(IF(MOD(HLG_02[[#This Row],[Rit]],
    _xlfn.XLOOKUP($G$2,Int_Sample[Ore],Int_Sample[Inc])) = 0, "YES", "NO"),"")</f>
        <v>YES</v>
      </c>
      <c r="I579" s="32" t="str">
        <f>TEXT(HLG_02[[#This Row],[Batch]],"000")&amp; " / " &amp; TEXT(HLG_02[[#This Row],[Rit]],"000")</f>
        <v>007 / 085</v>
      </c>
      <c r="J579" s="34"/>
      <c r="K579" s="38"/>
      <c r="L579" s="35"/>
      <c r="M579" s="66"/>
      <c r="N579" s="66"/>
      <c r="O579" s="66"/>
      <c r="P579" s="66"/>
      <c r="Q579" s="66"/>
      <c r="R579" s="67"/>
      <c r="S579" s="67"/>
      <c r="T579" s="67"/>
      <c r="U579" s="66"/>
      <c r="V579" s="66"/>
      <c r="W579" s="66"/>
      <c r="X579" s="85"/>
      <c r="AP579" t="str">
        <v/>
      </c>
      <c r="AQ579" t="e">
        <v>#N/A</v>
      </c>
      <c r="AR579" t="e">
        <v>#N/A</v>
      </c>
      <c r="AS579" t="e">
        <v>#N/A</v>
      </c>
      <c r="AT579" t="e">
        <v>#N/A</v>
      </c>
      <c r="AU579" t="e">
        <v>#N/A</v>
      </c>
      <c r="AV579" t="e">
        <v>#N/A</v>
      </c>
    </row>
    <row r="580" spans="4:48" ht="15.75" x14ac:dyDescent="0.25">
      <c r="D580" s="3">
        <v>6</v>
      </c>
      <c r="F580" s="16" cm="1">
        <f t="array" ref="F5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80" s="31" cm="1">
        <f t="array" ref="G5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86</v>
      </c>
      <c r="H580" s="33" t="str">
        <f>_xlfn.IFNA(IF(MOD(HLG_02[[#This Row],[Rit]],
    _xlfn.XLOOKUP($G$2,Int_Sample[Ore],Int_Sample[Inc])) = 0, "YES", "NO"),"")</f>
        <v>NO</v>
      </c>
      <c r="I580" s="32" t="str">
        <f>TEXT(HLG_02[[#This Row],[Batch]],"000")&amp; " / " &amp; TEXT(HLG_02[[#This Row],[Rit]],"000")</f>
        <v>007 / 086</v>
      </c>
      <c r="J580" s="34"/>
      <c r="K580" s="38"/>
      <c r="L580" s="35"/>
      <c r="M580" s="66"/>
      <c r="N580" s="66"/>
      <c r="O580" s="66"/>
      <c r="P580" s="66"/>
      <c r="Q580" s="66"/>
      <c r="R580" s="67"/>
      <c r="S580" s="67"/>
      <c r="T580" s="67"/>
      <c r="U580" s="66"/>
      <c r="V580" s="66"/>
      <c r="W580" s="66"/>
      <c r="X580" s="85"/>
      <c r="AP580" t="str">
        <v/>
      </c>
      <c r="AQ580" t="e">
        <v>#N/A</v>
      </c>
      <c r="AR580" t="e">
        <v>#N/A</v>
      </c>
      <c r="AS580" t="e">
        <v>#N/A</v>
      </c>
      <c r="AT580" t="e">
        <v>#N/A</v>
      </c>
      <c r="AU580" t="e">
        <v>#N/A</v>
      </c>
      <c r="AV580" t="e">
        <v>#N/A</v>
      </c>
    </row>
    <row r="581" spans="4:48" ht="15.75" x14ac:dyDescent="0.25">
      <c r="D581" s="3">
        <v>6</v>
      </c>
      <c r="F581" s="16" cm="1">
        <f t="array" ref="F5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81" s="31" cm="1">
        <f t="array" ref="G5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87</v>
      </c>
      <c r="H581" s="33" t="str">
        <f>_xlfn.IFNA(IF(MOD(HLG_02[[#This Row],[Rit]],
    _xlfn.XLOOKUP($G$2,Int_Sample[Ore],Int_Sample[Inc])) = 0, "YES", "NO"),"")</f>
        <v>NO</v>
      </c>
      <c r="I581" s="32" t="str">
        <f>TEXT(HLG_02[[#This Row],[Batch]],"000")&amp; " / " &amp; TEXT(HLG_02[[#This Row],[Rit]],"000")</f>
        <v>007 / 087</v>
      </c>
      <c r="J581" s="34"/>
      <c r="K581" s="38"/>
      <c r="L581" s="35"/>
      <c r="M581" s="66"/>
      <c r="N581" s="66"/>
      <c r="O581" s="66"/>
      <c r="P581" s="66"/>
      <c r="Q581" s="66"/>
      <c r="R581" s="67"/>
      <c r="S581" s="67"/>
      <c r="T581" s="67"/>
      <c r="U581" s="66"/>
      <c r="V581" s="66"/>
      <c r="W581" s="66"/>
      <c r="X581" s="85"/>
      <c r="AP581" t="str">
        <v/>
      </c>
      <c r="AQ581" t="e">
        <v>#N/A</v>
      </c>
      <c r="AR581" t="e">
        <v>#N/A</v>
      </c>
      <c r="AS581" t="e">
        <v>#N/A</v>
      </c>
      <c r="AT581" t="e">
        <v>#N/A</v>
      </c>
      <c r="AU581" t="e">
        <v>#N/A</v>
      </c>
      <c r="AV581" t="e">
        <v>#N/A</v>
      </c>
    </row>
    <row r="582" spans="4:48" ht="15.75" x14ac:dyDescent="0.25">
      <c r="D582" s="3">
        <v>6</v>
      </c>
      <c r="F582" s="16" cm="1">
        <f t="array" ref="F5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82" s="31" cm="1">
        <f t="array" ref="G5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88</v>
      </c>
      <c r="H582" s="33" t="str">
        <f>_xlfn.IFNA(IF(MOD(HLG_02[[#This Row],[Rit]],
    _xlfn.XLOOKUP($G$2,Int_Sample[Ore],Int_Sample[Inc])) = 0, "YES", "NO"),"")</f>
        <v>NO</v>
      </c>
      <c r="I582" s="32" t="str">
        <f>TEXT(HLG_02[[#This Row],[Batch]],"000")&amp; " / " &amp; TEXT(HLG_02[[#This Row],[Rit]],"000")</f>
        <v>007 / 088</v>
      </c>
      <c r="J582" s="34"/>
      <c r="K582" s="38"/>
      <c r="L582" s="35"/>
      <c r="M582" s="66"/>
      <c r="N582" s="66"/>
      <c r="O582" s="66"/>
      <c r="P582" s="66"/>
      <c r="Q582" s="66"/>
      <c r="R582" s="67"/>
      <c r="S582" s="67"/>
      <c r="T582" s="67"/>
      <c r="U582" s="66"/>
      <c r="V582" s="66"/>
      <c r="W582" s="66"/>
      <c r="X582" s="85"/>
      <c r="AP582" t="str">
        <v/>
      </c>
      <c r="AQ582" t="e">
        <v>#N/A</v>
      </c>
      <c r="AR582" t="e">
        <v>#N/A</v>
      </c>
      <c r="AS582" t="e">
        <v>#N/A</v>
      </c>
      <c r="AT582" t="e">
        <v>#N/A</v>
      </c>
      <c r="AU582" t="e">
        <v>#N/A</v>
      </c>
      <c r="AV582" t="e">
        <v>#N/A</v>
      </c>
    </row>
    <row r="583" spans="4:48" ht="15.75" x14ac:dyDescent="0.25">
      <c r="D583" s="3">
        <v>6</v>
      </c>
      <c r="F583" s="16" cm="1">
        <f t="array" ref="F5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83" s="31" cm="1">
        <f t="array" ref="G5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89</v>
      </c>
      <c r="H583" s="33" t="str">
        <f>_xlfn.IFNA(IF(MOD(HLG_02[[#This Row],[Rit]],
    _xlfn.XLOOKUP($G$2,Int_Sample[Ore],Int_Sample[Inc])) = 0, "YES", "NO"),"")</f>
        <v>NO</v>
      </c>
      <c r="I583" s="32" t="str">
        <f>TEXT(HLG_02[[#This Row],[Batch]],"000")&amp; " / " &amp; TEXT(HLG_02[[#This Row],[Rit]],"000")</f>
        <v>007 / 089</v>
      </c>
      <c r="J583" s="34"/>
      <c r="K583" s="38"/>
      <c r="L583" s="35"/>
      <c r="M583" s="66"/>
      <c r="N583" s="66"/>
      <c r="O583" s="66"/>
      <c r="P583" s="66"/>
      <c r="Q583" s="66"/>
      <c r="R583" s="67"/>
      <c r="S583" s="67"/>
      <c r="T583" s="67"/>
      <c r="U583" s="66"/>
      <c r="V583" s="66"/>
      <c r="W583" s="66"/>
      <c r="X583" s="85"/>
      <c r="AP583" t="str">
        <v/>
      </c>
      <c r="AQ583" t="e">
        <v>#N/A</v>
      </c>
      <c r="AR583" t="e">
        <v>#N/A</v>
      </c>
      <c r="AS583" t="e">
        <v>#N/A</v>
      </c>
      <c r="AT583" t="e">
        <v>#N/A</v>
      </c>
      <c r="AU583" t="e">
        <v>#N/A</v>
      </c>
      <c r="AV583" t="e">
        <v>#N/A</v>
      </c>
    </row>
    <row r="584" spans="4:48" ht="15.75" x14ac:dyDescent="0.25">
      <c r="D584" s="3">
        <v>6</v>
      </c>
      <c r="F584" s="16" cm="1">
        <f t="array" ref="F5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84" s="31" cm="1">
        <f t="array" ref="G5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90</v>
      </c>
      <c r="H584" s="33" t="str">
        <f>_xlfn.IFNA(IF(MOD(HLG_02[[#This Row],[Rit]],
    _xlfn.XLOOKUP($G$2,Int_Sample[Ore],Int_Sample[Inc])) = 0, "YES", "NO"),"")</f>
        <v>YES</v>
      </c>
      <c r="I584" s="32" t="str">
        <f>TEXT(HLG_02[[#This Row],[Batch]],"000")&amp; " / " &amp; TEXT(HLG_02[[#This Row],[Rit]],"000")</f>
        <v>007 / 090</v>
      </c>
      <c r="J584" s="34"/>
      <c r="K584" s="38"/>
      <c r="L584" s="35"/>
      <c r="M584" s="66"/>
      <c r="N584" s="66"/>
      <c r="O584" s="66"/>
      <c r="P584" s="66"/>
      <c r="Q584" s="66"/>
      <c r="R584" s="67"/>
      <c r="S584" s="67"/>
      <c r="T584" s="67"/>
      <c r="U584" s="66"/>
      <c r="V584" s="66"/>
      <c r="W584" s="66"/>
      <c r="X584" s="85"/>
      <c r="AP584" t="str">
        <v/>
      </c>
      <c r="AQ584" t="e">
        <v>#N/A</v>
      </c>
      <c r="AR584" t="e">
        <v>#N/A</v>
      </c>
      <c r="AS584" t="e">
        <v>#N/A</v>
      </c>
      <c r="AT584" t="e">
        <v>#N/A</v>
      </c>
      <c r="AU584" t="e">
        <v>#N/A</v>
      </c>
      <c r="AV584" t="e">
        <v>#N/A</v>
      </c>
    </row>
    <row r="585" spans="4:48" ht="15.75" x14ac:dyDescent="0.25">
      <c r="D585" s="3">
        <v>6</v>
      </c>
      <c r="F585" s="16" cm="1">
        <f t="array" ref="F5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85" s="31" cm="1">
        <f t="array" ref="G5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91</v>
      </c>
      <c r="H585" s="33" t="str">
        <f>_xlfn.IFNA(IF(MOD(HLG_02[[#This Row],[Rit]],
    _xlfn.XLOOKUP($G$2,Int_Sample[Ore],Int_Sample[Inc])) = 0, "YES", "NO"),"")</f>
        <v>NO</v>
      </c>
      <c r="I585" s="32" t="str">
        <f>TEXT(HLG_02[[#This Row],[Batch]],"000")&amp; " / " &amp; TEXT(HLG_02[[#This Row],[Rit]],"000")</f>
        <v>007 / 091</v>
      </c>
      <c r="J585" s="34"/>
      <c r="K585" s="38"/>
      <c r="L585" s="35"/>
      <c r="M585" s="66"/>
      <c r="N585" s="66"/>
      <c r="O585" s="66"/>
      <c r="P585" s="66"/>
      <c r="Q585" s="66"/>
      <c r="R585" s="67"/>
      <c r="S585" s="67"/>
      <c r="T585" s="67"/>
      <c r="U585" s="66"/>
      <c r="V585" s="66"/>
      <c r="W585" s="66"/>
      <c r="X585" s="85"/>
      <c r="AP585" t="str">
        <v/>
      </c>
      <c r="AQ585" t="e">
        <v>#N/A</v>
      </c>
      <c r="AR585" t="e">
        <v>#N/A</v>
      </c>
      <c r="AS585" t="e">
        <v>#N/A</v>
      </c>
      <c r="AT585" t="e">
        <v>#N/A</v>
      </c>
      <c r="AU585" t="e">
        <v>#N/A</v>
      </c>
      <c r="AV585" t="e">
        <v>#N/A</v>
      </c>
    </row>
    <row r="586" spans="4:48" ht="15.75" x14ac:dyDescent="0.25">
      <c r="D586" s="3">
        <v>6</v>
      </c>
      <c r="F586" s="16" cm="1">
        <f t="array" ref="F5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86" s="31" cm="1">
        <f t="array" ref="G5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92</v>
      </c>
      <c r="H586" s="33" t="str">
        <f>_xlfn.IFNA(IF(MOD(HLG_02[[#This Row],[Rit]],
    _xlfn.XLOOKUP($G$2,Int_Sample[Ore],Int_Sample[Inc])) = 0, "YES", "NO"),"")</f>
        <v>NO</v>
      </c>
      <c r="I586" s="32" t="str">
        <f>TEXT(HLG_02[[#This Row],[Batch]],"000")&amp; " / " &amp; TEXT(HLG_02[[#This Row],[Rit]],"000")</f>
        <v>007 / 092</v>
      </c>
      <c r="J586" s="34"/>
      <c r="K586" s="38"/>
      <c r="L586" s="35"/>
      <c r="M586" s="66"/>
      <c r="N586" s="66"/>
      <c r="O586" s="66"/>
      <c r="P586" s="66"/>
      <c r="Q586" s="66"/>
      <c r="R586" s="67"/>
      <c r="S586" s="67"/>
      <c r="T586" s="67"/>
      <c r="U586" s="66"/>
      <c r="V586" s="66"/>
      <c r="W586" s="66"/>
      <c r="X586" s="85"/>
      <c r="AP586" t="str">
        <v/>
      </c>
      <c r="AQ586" t="e">
        <v>#N/A</v>
      </c>
      <c r="AR586" t="e">
        <v>#N/A</v>
      </c>
      <c r="AS586" t="e">
        <v>#N/A</v>
      </c>
      <c r="AT586" t="e">
        <v>#N/A</v>
      </c>
      <c r="AU586" t="e">
        <v>#N/A</v>
      </c>
      <c r="AV586" t="e">
        <v>#N/A</v>
      </c>
    </row>
    <row r="587" spans="4:48" ht="15.75" x14ac:dyDescent="0.25">
      <c r="D587" s="3">
        <v>6</v>
      </c>
      <c r="F587" s="16" cm="1">
        <f t="array" ref="F5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87" s="31" cm="1">
        <f t="array" ref="G5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93</v>
      </c>
      <c r="H587" s="33" t="str">
        <f>_xlfn.IFNA(IF(MOD(HLG_02[[#This Row],[Rit]],
    _xlfn.XLOOKUP($G$2,Int_Sample[Ore],Int_Sample[Inc])) = 0, "YES", "NO"),"")</f>
        <v>NO</v>
      </c>
      <c r="I587" s="32" t="str">
        <f>TEXT(HLG_02[[#This Row],[Batch]],"000")&amp; " / " &amp; TEXT(HLG_02[[#This Row],[Rit]],"000")</f>
        <v>007 / 093</v>
      </c>
      <c r="J587" s="34"/>
      <c r="K587" s="38"/>
      <c r="L587" s="35"/>
      <c r="M587" s="66"/>
      <c r="N587" s="66"/>
      <c r="O587" s="66"/>
      <c r="P587" s="66"/>
      <c r="Q587" s="66"/>
      <c r="R587" s="67"/>
      <c r="S587" s="67"/>
      <c r="T587" s="67"/>
      <c r="U587" s="66"/>
      <c r="V587" s="66"/>
      <c r="W587" s="66"/>
      <c r="X587" s="85"/>
      <c r="AP587" t="str">
        <v/>
      </c>
      <c r="AQ587" t="e">
        <v>#N/A</v>
      </c>
      <c r="AR587" t="e">
        <v>#N/A</v>
      </c>
      <c r="AS587" t="e">
        <v>#N/A</v>
      </c>
      <c r="AT587" t="e">
        <v>#N/A</v>
      </c>
      <c r="AU587" t="e">
        <v>#N/A</v>
      </c>
      <c r="AV587" t="e">
        <v>#N/A</v>
      </c>
    </row>
    <row r="588" spans="4:48" ht="15.75" x14ac:dyDescent="0.25">
      <c r="D588" s="3">
        <v>6</v>
      </c>
      <c r="F588" s="16" cm="1">
        <f t="array" ref="F5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88" s="31" cm="1">
        <f t="array" ref="G5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94</v>
      </c>
      <c r="H588" s="33" t="str">
        <f>_xlfn.IFNA(IF(MOD(HLG_02[[#This Row],[Rit]],
    _xlfn.XLOOKUP($G$2,Int_Sample[Ore],Int_Sample[Inc])) = 0, "YES", "NO"),"")</f>
        <v>NO</v>
      </c>
      <c r="I588" s="32" t="str">
        <f>TEXT(HLG_02[[#This Row],[Batch]],"000")&amp; " / " &amp; TEXT(HLG_02[[#This Row],[Rit]],"000")</f>
        <v>007 / 094</v>
      </c>
      <c r="J588" s="34"/>
      <c r="K588" s="38"/>
      <c r="L588" s="35"/>
      <c r="M588" s="66"/>
      <c r="N588" s="66"/>
      <c r="O588" s="66"/>
      <c r="P588" s="66"/>
      <c r="Q588" s="66"/>
      <c r="R588" s="67"/>
      <c r="S588" s="67"/>
      <c r="T588" s="67"/>
      <c r="U588" s="66"/>
      <c r="V588" s="66"/>
      <c r="W588" s="66"/>
      <c r="X588" s="85"/>
      <c r="AP588" t="str">
        <v/>
      </c>
      <c r="AQ588" t="e">
        <v>#N/A</v>
      </c>
      <c r="AR588" t="e">
        <v>#N/A</v>
      </c>
      <c r="AS588" t="e">
        <v>#N/A</v>
      </c>
      <c r="AT588" t="e">
        <v>#N/A</v>
      </c>
      <c r="AU588" t="e">
        <v>#N/A</v>
      </c>
      <c r="AV588" t="e">
        <v>#N/A</v>
      </c>
    </row>
    <row r="589" spans="4:48" ht="15.75" x14ac:dyDescent="0.25">
      <c r="D589" s="3">
        <v>6</v>
      </c>
      <c r="F589" s="16" cm="1">
        <f t="array" ref="F5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89" s="31" cm="1">
        <f t="array" ref="G5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95</v>
      </c>
      <c r="H589" s="33" t="str">
        <f>_xlfn.IFNA(IF(MOD(HLG_02[[#This Row],[Rit]],
    _xlfn.XLOOKUP($G$2,Int_Sample[Ore],Int_Sample[Inc])) = 0, "YES", "NO"),"")</f>
        <v>YES</v>
      </c>
      <c r="I589" s="32" t="str">
        <f>TEXT(HLG_02[[#This Row],[Batch]],"000")&amp; " / " &amp; TEXT(HLG_02[[#This Row],[Rit]],"000")</f>
        <v>007 / 095</v>
      </c>
      <c r="J589" s="34"/>
      <c r="K589" s="38"/>
      <c r="L589" s="35"/>
      <c r="M589" s="66"/>
      <c r="N589" s="66"/>
      <c r="O589" s="66"/>
      <c r="P589" s="66"/>
      <c r="Q589" s="66"/>
      <c r="R589" s="67"/>
      <c r="S589" s="67"/>
      <c r="T589" s="67"/>
      <c r="U589" s="66"/>
      <c r="V589" s="66"/>
      <c r="W589" s="66"/>
      <c r="X589" s="85"/>
      <c r="AP589" t="str">
        <v/>
      </c>
      <c r="AQ589" t="e">
        <v>#N/A</v>
      </c>
      <c r="AR589" t="e">
        <v>#N/A</v>
      </c>
      <c r="AS589" t="e">
        <v>#N/A</v>
      </c>
      <c r="AT589" t="e">
        <v>#N/A</v>
      </c>
      <c r="AU589" t="e">
        <v>#N/A</v>
      </c>
      <c r="AV589" t="e">
        <v>#N/A</v>
      </c>
    </row>
    <row r="590" spans="4:48" ht="15.75" x14ac:dyDescent="0.25">
      <c r="D590" s="3">
        <v>6</v>
      </c>
      <c r="F590" s="16" cm="1">
        <f t="array" ref="F5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90" s="31" cm="1">
        <f t="array" ref="G5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96</v>
      </c>
      <c r="H590" s="33" t="str">
        <f>_xlfn.IFNA(IF(MOD(HLG_02[[#This Row],[Rit]],
    _xlfn.XLOOKUP($G$2,Int_Sample[Ore],Int_Sample[Inc])) = 0, "YES", "NO"),"")</f>
        <v>NO</v>
      </c>
      <c r="I590" s="32" t="str">
        <f>TEXT(HLG_02[[#This Row],[Batch]],"000")&amp; " / " &amp; TEXT(HLG_02[[#This Row],[Rit]],"000")</f>
        <v>007 / 096</v>
      </c>
      <c r="J590" s="34"/>
      <c r="K590" s="38"/>
      <c r="L590" s="35"/>
      <c r="M590" s="66"/>
      <c r="N590" s="66"/>
      <c r="O590" s="66"/>
      <c r="P590" s="66"/>
      <c r="Q590" s="66"/>
      <c r="R590" s="67"/>
      <c r="S590" s="67"/>
      <c r="T590" s="67"/>
      <c r="U590" s="66"/>
      <c r="V590" s="66"/>
      <c r="W590" s="66"/>
      <c r="X590" s="85"/>
      <c r="AP590" t="str">
        <v/>
      </c>
      <c r="AQ590" t="e">
        <v>#N/A</v>
      </c>
      <c r="AR590" t="e">
        <v>#N/A</v>
      </c>
      <c r="AS590" t="e">
        <v>#N/A</v>
      </c>
      <c r="AT590" t="e">
        <v>#N/A</v>
      </c>
      <c r="AU590" t="e">
        <v>#N/A</v>
      </c>
      <c r="AV590" t="e">
        <v>#N/A</v>
      </c>
    </row>
    <row r="591" spans="4:48" ht="15.75" x14ac:dyDescent="0.25">
      <c r="D591" s="3">
        <v>6</v>
      </c>
      <c r="F591" s="16" cm="1">
        <f t="array" ref="F5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91" s="31" cm="1">
        <f t="array" ref="G5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97</v>
      </c>
      <c r="H591" s="33" t="str">
        <f>_xlfn.IFNA(IF(MOD(HLG_02[[#This Row],[Rit]],
    _xlfn.XLOOKUP($G$2,Int_Sample[Ore],Int_Sample[Inc])) = 0, "YES", "NO"),"")</f>
        <v>NO</v>
      </c>
      <c r="I591" s="32" t="str">
        <f>TEXT(HLG_02[[#This Row],[Batch]],"000")&amp; " / " &amp; TEXT(HLG_02[[#This Row],[Rit]],"000")</f>
        <v>007 / 097</v>
      </c>
      <c r="J591" s="34"/>
      <c r="K591" s="38"/>
      <c r="L591" s="35"/>
      <c r="M591" s="66"/>
      <c r="N591" s="66"/>
      <c r="O591" s="66"/>
      <c r="P591" s="66"/>
      <c r="Q591" s="66"/>
      <c r="R591" s="67"/>
      <c r="S591" s="67"/>
      <c r="T591" s="67"/>
      <c r="U591" s="66"/>
      <c r="V591" s="66"/>
      <c r="W591" s="66"/>
      <c r="X591" s="85"/>
      <c r="AP591" t="str">
        <v/>
      </c>
      <c r="AQ591" t="e">
        <v>#N/A</v>
      </c>
      <c r="AR591" t="e">
        <v>#N/A</v>
      </c>
      <c r="AS591" t="e">
        <v>#N/A</v>
      </c>
      <c r="AT591" t="e">
        <v>#N/A</v>
      </c>
      <c r="AU591" t="e">
        <v>#N/A</v>
      </c>
      <c r="AV591" t="e">
        <v>#N/A</v>
      </c>
    </row>
    <row r="592" spans="4:48" ht="15.75" x14ac:dyDescent="0.25">
      <c r="D592" s="3">
        <v>6</v>
      </c>
      <c r="F592" s="16" cm="1">
        <f t="array" ref="F5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92" s="31" cm="1">
        <f t="array" ref="G5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98</v>
      </c>
      <c r="H592" s="33" t="str">
        <f>_xlfn.IFNA(IF(MOD(HLG_02[[#This Row],[Rit]],
    _xlfn.XLOOKUP($G$2,Int_Sample[Ore],Int_Sample[Inc])) = 0, "YES", "NO"),"")</f>
        <v>NO</v>
      </c>
      <c r="I592" s="32" t="str">
        <f>TEXT(HLG_02[[#This Row],[Batch]],"000")&amp; " / " &amp; TEXT(HLG_02[[#This Row],[Rit]],"000")</f>
        <v>007 / 098</v>
      </c>
      <c r="J592" s="34"/>
      <c r="K592" s="38"/>
      <c r="L592" s="35"/>
      <c r="M592" s="66"/>
      <c r="N592" s="66"/>
      <c r="O592" s="66"/>
      <c r="P592" s="66"/>
      <c r="Q592" s="66"/>
      <c r="R592" s="67"/>
      <c r="S592" s="67"/>
      <c r="T592" s="67"/>
      <c r="U592" s="66"/>
      <c r="V592" s="66"/>
      <c r="W592" s="66"/>
      <c r="X592" s="85"/>
      <c r="AP592" t="str">
        <v/>
      </c>
      <c r="AQ592" t="e">
        <v>#N/A</v>
      </c>
      <c r="AR592" t="e">
        <v>#N/A</v>
      </c>
      <c r="AS592" t="e">
        <v>#N/A</v>
      </c>
      <c r="AT592" t="e">
        <v>#N/A</v>
      </c>
      <c r="AU592" t="e">
        <v>#N/A</v>
      </c>
      <c r="AV592" t="e">
        <v>#N/A</v>
      </c>
    </row>
    <row r="593" spans="4:48" ht="15.75" x14ac:dyDescent="0.25">
      <c r="D593" s="3">
        <v>6</v>
      </c>
      <c r="F593" s="16" cm="1">
        <f t="array" ref="F5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93" s="31" cm="1">
        <f t="array" ref="G5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99</v>
      </c>
      <c r="H593" s="33" t="str">
        <f>_xlfn.IFNA(IF(MOD(HLG_02[[#This Row],[Rit]],
    _xlfn.XLOOKUP($G$2,Int_Sample[Ore],Int_Sample[Inc])) = 0, "YES", "NO"),"")</f>
        <v>NO</v>
      </c>
      <c r="I593" s="32" t="str">
        <f>TEXT(HLG_02[[#This Row],[Batch]],"000")&amp; " / " &amp; TEXT(HLG_02[[#This Row],[Rit]],"000")</f>
        <v>007 / 099</v>
      </c>
      <c r="J593" s="34"/>
      <c r="K593" s="38"/>
      <c r="L593" s="35"/>
      <c r="M593" s="66"/>
      <c r="N593" s="66"/>
      <c r="O593" s="66"/>
      <c r="P593" s="66"/>
      <c r="Q593" s="66"/>
      <c r="R593" s="67"/>
      <c r="S593" s="67"/>
      <c r="T593" s="67"/>
      <c r="U593" s="66"/>
      <c r="V593" s="66"/>
      <c r="W593" s="66"/>
      <c r="X593" s="85"/>
      <c r="AP593" t="str">
        <v/>
      </c>
      <c r="AQ593" t="e">
        <v>#N/A</v>
      </c>
      <c r="AR593" t="e">
        <v>#N/A</v>
      </c>
      <c r="AS593" t="e">
        <v>#N/A</v>
      </c>
      <c r="AT593" t="e">
        <v>#N/A</v>
      </c>
      <c r="AU593" t="e">
        <v>#N/A</v>
      </c>
      <c r="AV593" t="e">
        <v>#N/A</v>
      </c>
    </row>
    <row r="594" spans="4:48" ht="15.75" x14ac:dyDescent="0.25">
      <c r="D594" s="3">
        <v>6</v>
      </c>
      <c r="F594" s="16" cm="1">
        <f t="array" ref="F5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7</v>
      </c>
      <c r="G594" s="31" cm="1">
        <f t="array" ref="G5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100</v>
      </c>
      <c r="H594" s="33" t="str">
        <f>_xlfn.IFNA(IF(MOD(HLG_02[[#This Row],[Rit]],
    _xlfn.XLOOKUP($G$2,Int_Sample[Ore],Int_Sample[Inc])) = 0, "YES", "NO"),"")</f>
        <v>YES</v>
      </c>
      <c r="I594" s="32" t="str">
        <f>TEXT(HLG_02[[#This Row],[Batch]],"000")&amp; " / " &amp; TEXT(HLG_02[[#This Row],[Rit]],"000")</f>
        <v>007 / 100</v>
      </c>
      <c r="J594" s="34"/>
      <c r="K594" s="38"/>
      <c r="L594" s="35"/>
      <c r="M594" s="66"/>
      <c r="N594" s="66"/>
      <c r="O594" s="66"/>
      <c r="P594" s="66"/>
      <c r="Q594" s="66"/>
      <c r="R594" s="67"/>
      <c r="S594" s="67"/>
      <c r="T594" s="67"/>
      <c r="U594" s="66"/>
      <c r="V594" s="66"/>
      <c r="W594" s="66"/>
      <c r="X594" s="85"/>
      <c r="AP594" t="str">
        <v/>
      </c>
      <c r="AQ594" t="e">
        <v>#N/A</v>
      </c>
      <c r="AR594" t="e">
        <v>#N/A</v>
      </c>
      <c r="AS594" t="e">
        <v>#N/A</v>
      </c>
      <c r="AT594" t="e">
        <v>#N/A</v>
      </c>
      <c r="AU594" t="e">
        <v>#N/A</v>
      </c>
      <c r="AV594" t="e">
        <v>#N/A</v>
      </c>
    </row>
    <row r="595" spans="4:48" ht="15.75" x14ac:dyDescent="0.25">
      <c r="D595" s="3">
        <v>7</v>
      </c>
      <c r="F595" s="16" cm="1">
        <f t="array" ref="F5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595" s="31" cm="1">
        <f t="array" ref="G5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</v>
      </c>
      <c r="H595" s="33" t="str">
        <f>_xlfn.IFNA(IF(MOD(HLG_02[[#This Row],[Rit]],
    _xlfn.XLOOKUP($G$2,Int_Sample[Ore],Int_Sample[Inc])) = 0, "YES", "NO"),"")</f>
        <v>NO</v>
      </c>
      <c r="I595" s="32" t="str">
        <f>TEXT(HLG_02[[#This Row],[Batch]],"000")&amp; " / " &amp; TEXT(HLG_02[[#This Row],[Rit]],"000")</f>
        <v>008 / 001</v>
      </c>
      <c r="J595" s="34"/>
      <c r="K595" s="38"/>
      <c r="L595" s="35"/>
      <c r="M595" s="66"/>
      <c r="N595" s="66"/>
      <c r="O595" s="66"/>
      <c r="P595" s="66"/>
      <c r="Q595" s="66"/>
      <c r="R595" s="67"/>
      <c r="S595" s="67"/>
      <c r="T595" s="67"/>
      <c r="U595" s="66"/>
      <c r="V595" s="66"/>
      <c r="W595" s="66"/>
      <c r="X595" s="85"/>
      <c r="AP595" t="str">
        <v/>
      </c>
      <c r="AQ595" t="e">
        <v>#N/A</v>
      </c>
      <c r="AR595" t="e">
        <v>#N/A</v>
      </c>
      <c r="AS595" t="e">
        <v>#N/A</v>
      </c>
      <c r="AT595" t="e">
        <v>#N/A</v>
      </c>
      <c r="AU595" t="e">
        <v>#N/A</v>
      </c>
      <c r="AV595" t="e">
        <v>#N/A</v>
      </c>
    </row>
    <row r="596" spans="4:48" ht="15.75" x14ac:dyDescent="0.25">
      <c r="D596" s="3">
        <v>7</v>
      </c>
      <c r="F596" s="16" cm="1">
        <f t="array" ref="F5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596" s="31" cm="1">
        <f t="array" ref="G5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</v>
      </c>
      <c r="H596" s="33" t="str">
        <f>_xlfn.IFNA(IF(MOD(HLG_02[[#This Row],[Rit]],
    _xlfn.XLOOKUP($G$2,Int_Sample[Ore],Int_Sample[Inc])) = 0, "YES", "NO"),"")</f>
        <v>NO</v>
      </c>
      <c r="I596" s="32" t="str">
        <f>TEXT(HLG_02[[#This Row],[Batch]],"000")&amp; " / " &amp; TEXT(HLG_02[[#This Row],[Rit]],"000")</f>
        <v>008 / 002</v>
      </c>
      <c r="J596" s="34"/>
      <c r="K596" s="38"/>
      <c r="L596" s="35"/>
      <c r="M596" s="66"/>
      <c r="N596" s="66"/>
      <c r="O596" s="66"/>
      <c r="P596" s="66"/>
      <c r="Q596" s="66"/>
      <c r="R596" s="67"/>
      <c r="S596" s="67"/>
      <c r="T596" s="67"/>
      <c r="U596" s="66"/>
      <c r="V596" s="66"/>
      <c r="W596" s="66"/>
      <c r="X596" s="85"/>
      <c r="AP596" t="str">
        <v/>
      </c>
      <c r="AQ596" t="e">
        <v>#N/A</v>
      </c>
      <c r="AR596" t="e">
        <v>#N/A</v>
      </c>
      <c r="AS596" t="e">
        <v>#N/A</v>
      </c>
      <c r="AT596" t="e">
        <v>#N/A</v>
      </c>
      <c r="AU596" t="e">
        <v>#N/A</v>
      </c>
      <c r="AV596" t="e">
        <v>#N/A</v>
      </c>
    </row>
    <row r="597" spans="4:48" ht="15.75" x14ac:dyDescent="0.25">
      <c r="D597" s="3">
        <v>7</v>
      </c>
      <c r="F597" s="16" cm="1">
        <f t="array" ref="F5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597" s="31" cm="1">
        <f t="array" ref="G5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</v>
      </c>
      <c r="H597" s="33" t="str">
        <f>_xlfn.IFNA(IF(MOD(HLG_02[[#This Row],[Rit]],
    _xlfn.XLOOKUP($G$2,Int_Sample[Ore],Int_Sample[Inc])) = 0, "YES", "NO"),"")</f>
        <v>NO</v>
      </c>
      <c r="I597" s="32" t="str">
        <f>TEXT(HLG_02[[#This Row],[Batch]],"000")&amp; " / " &amp; TEXT(HLG_02[[#This Row],[Rit]],"000")</f>
        <v>008 / 003</v>
      </c>
      <c r="J597" s="34"/>
      <c r="K597" s="38"/>
      <c r="L597" s="35"/>
      <c r="M597" s="66"/>
      <c r="N597" s="66"/>
      <c r="O597" s="66"/>
      <c r="P597" s="66"/>
      <c r="Q597" s="66"/>
      <c r="R597" s="67"/>
      <c r="S597" s="67"/>
      <c r="T597" s="67"/>
      <c r="U597" s="66"/>
      <c r="V597" s="66"/>
      <c r="W597" s="66"/>
      <c r="X597" s="85"/>
      <c r="AP597" t="str">
        <v/>
      </c>
      <c r="AQ597" t="e">
        <v>#N/A</v>
      </c>
      <c r="AR597" t="e">
        <v>#N/A</v>
      </c>
      <c r="AS597" t="e">
        <v>#N/A</v>
      </c>
      <c r="AT597" t="e">
        <v>#N/A</v>
      </c>
      <c r="AU597" t="e">
        <v>#N/A</v>
      </c>
      <c r="AV597" t="e">
        <v>#N/A</v>
      </c>
    </row>
    <row r="598" spans="4:48" ht="15.75" x14ac:dyDescent="0.25">
      <c r="D598" s="3">
        <v>7</v>
      </c>
      <c r="F598" s="16" cm="1">
        <f t="array" ref="F5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598" s="31" cm="1">
        <f t="array" ref="G5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</v>
      </c>
      <c r="H598" s="33" t="str">
        <f>_xlfn.IFNA(IF(MOD(HLG_02[[#This Row],[Rit]],
    _xlfn.XLOOKUP($G$2,Int_Sample[Ore],Int_Sample[Inc])) = 0, "YES", "NO"),"")</f>
        <v>NO</v>
      </c>
      <c r="I598" s="32" t="str">
        <f>TEXT(HLG_02[[#This Row],[Batch]],"000")&amp; " / " &amp; TEXT(HLG_02[[#This Row],[Rit]],"000")</f>
        <v>008 / 004</v>
      </c>
      <c r="J598" s="34"/>
      <c r="K598" s="38"/>
      <c r="L598" s="35"/>
      <c r="M598" s="66"/>
      <c r="N598" s="66"/>
      <c r="O598" s="66"/>
      <c r="P598" s="66"/>
      <c r="Q598" s="66"/>
      <c r="R598" s="67"/>
      <c r="S598" s="67"/>
      <c r="T598" s="67"/>
      <c r="U598" s="66"/>
      <c r="V598" s="66"/>
      <c r="W598" s="66"/>
      <c r="X598" s="85"/>
      <c r="AP598" t="str">
        <v/>
      </c>
      <c r="AQ598" t="e">
        <v>#N/A</v>
      </c>
      <c r="AR598" t="e">
        <v>#N/A</v>
      </c>
      <c r="AS598" t="e">
        <v>#N/A</v>
      </c>
      <c r="AT598" t="e">
        <v>#N/A</v>
      </c>
      <c r="AU598" t="e">
        <v>#N/A</v>
      </c>
      <c r="AV598" t="e">
        <v>#N/A</v>
      </c>
    </row>
    <row r="599" spans="4:48" ht="15.75" x14ac:dyDescent="0.25">
      <c r="D599" s="3">
        <v>7</v>
      </c>
      <c r="F599" s="16" cm="1">
        <f t="array" ref="F5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599" s="31" cm="1">
        <f t="array" ref="G5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5</v>
      </c>
      <c r="H599" s="33" t="str">
        <f>_xlfn.IFNA(IF(MOD(HLG_02[[#This Row],[Rit]],
    _xlfn.XLOOKUP($G$2,Int_Sample[Ore],Int_Sample[Inc])) = 0, "YES", "NO"),"")</f>
        <v>YES</v>
      </c>
      <c r="I599" s="32" t="str">
        <f>TEXT(HLG_02[[#This Row],[Batch]],"000")&amp; " / " &amp; TEXT(HLG_02[[#This Row],[Rit]],"000")</f>
        <v>008 / 005</v>
      </c>
      <c r="J599" s="34"/>
      <c r="K599" s="38"/>
      <c r="L599" s="35"/>
      <c r="M599" s="66"/>
      <c r="N599" s="66"/>
      <c r="O599" s="66"/>
      <c r="P599" s="66"/>
      <c r="Q599" s="66"/>
      <c r="R599" s="67"/>
      <c r="S599" s="67"/>
      <c r="T599" s="67"/>
      <c r="U599" s="66"/>
      <c r="V599" s="66"/>
      <c r="W599" s="66"/>
      <c r="X599" s="85"/>
      <c r="AP599" t="str">
        <v/>
      </c>
      <c r="AQ599" t="e">
        <v>#N/A</v>
      </c>
      <c r="AR599" t="e">
        <v>#N/A</v>
      </c>
      <c r="AS599" t="e">
        <v>#N/A</v>
      </c>
      <c r="AT599" t="e">
        <v>#N/A</v>
      </c>
      <c r="AU599" t="e">
        <v>#N/A</v>
      </c>
      <c r="AV599" t="e">
        <v>#N/A</v>
      </c>
    </row>
    <row r="600" spans="4:48" ht="15.75" x14ac:dyDescent="0.25">
      <c r="D600" s="3">
        <v>7</v>
      </c>
      <c r="F600" s="16" cm="1">
        <f t="array" ref="F6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00" s="31" cm="1">
        <f t="array" ref="G6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6</v>
      </c>
      <c r="H600" s="33" t="str">
        <f>_xlfn.IFNA(IF(MOD(HLG_02[[#This Row],[Rit]],
    _xlfn.XLOOKUP($G$2,Int_Sample[Ore],Int_Sample[Inc])) = 0, "YES", "NO"),"")</f>
        <v>NO</v>
      </c>
      <c r="I600" s="32" t="str">
        <f>TEXT(HLG_02[[#This Row],[Batch]],"000")&amp; " / " &amp; TEXT(HLG_02[[#This Row],[Rit]],"000")</f>
        <v>008 / 006</v>
      </c>
      <c r="J600" s="34"/>
      <c r="K600" s="38"/>
      <c r="L600" s="35"/>
      <c r="M600" s="66"/>
      <c r="N600" s="66"/>
      <c r="O600" s="66"/>
      <c r="P600" s="66"/>
      <c r="Q600" s="66"/>
      <c r="R600" s="67"/>
      <c r="S600" s="67"/>
      <c r="T600" s="67"/>
      <c r="U600" s="66"/>
      <c r="V600" s="66"/>
      <c r="W600" s="66"/>
      <c r="X600" s="85"/>
      <c r="AP600" t="str">
        <v/>
      </c>
      <c r="AQ600" t="e">
        <v>#N/A</v>
      </c>
      <c r="AR600" t="e">
        <v>#N/A</v>
      </c>
      <c r="AS600" t="e">
        <v>#N/A</v>
      </c>
      <c r="AT600" t="e">
        <v>#N/A</v>
      </c>
      <c r="AU600" t="e">
        <v>#N/A</v>
      </c>
      <c r="AV600" t="e">
        <v>#N/A</v>
      </c>
    </row>
    <row r="601" spans="4:48" ht="15.75" x14ac:dyDescent="0.25">
      <c r="D601" s="3">
        <v>7</v>
      </c>
      <c r="F601" s="16" cm="1">
        <f t="array" ref="F6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01" s="31" cm="1">
        <f t="array" ref="G6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7</v>
      </c>
      <c r="H601" s="33" t="str">
        <f>_xlfn.IFNA(IF(MOD(HLG_02[[#This Row],[Rit]],
    _xlfn.XLOOKUP($G$2,Int_Sample[Ore],Int_Sample[Inc])) = 0, "YES", "NO"),"")</f>
        <v>NO</v>
      </c>
      <c r="I601" s="32" t="str">
        <f>TEXT(HLG_02[[#This Row],[Batch]],"000")&amp; " / " &amp; TEXT(HLG_02[[#This Row],[Rit]],"000")</f>
        <v>008 / 007</v>
      </c>
      <c r="J601" s="34"/>
      <c r="K601" s="38"/>
      <c r="L601" s="35"/>
      <c r="M601" s="66"/>
      <c r="N601" s="66"/>
      <c r="O601" s="66"/>
      <c r="P601" s="66"/>
      <c r="Q601" s="66"/>
      <c r="R601" s="67"/>
      <c r="S601" s="67"/>
      <c r="T601" s="67"/>
      <c r="U601" s="66"/>
      <c r="V601" s="66"/>
      <c r="W601" s="66"/>
      <c r="X601" s="85"/>
      <c r="AP601" t="str">
        <v/>
      </c>
      <c r="AQ601" t="e">
        <v>#N/A</v>
      </c>
      <c r="AR601" t="e">
        <v>#N/A</v>
      </c>
      <c r="AS601" t="e">
        <v>#N/A</v>
      </c>
      <c r="AT601" t="e">
        <v>#N/A</v>
      </c>
      <c r="AU601" t="e">
        <v>#N/A</v>
      </c>
      <c r="AV601" t="e">
        <v>#N/A</v>
      </c>
    </row>
    <row r="602" spans="4:48" ht="15.75" x14ac:dyDescent="0.25">
      <c r="D602" s="3">
        <v>7</v>
      </c>
      <c r="F602" s="16" cm="1">
        <f t="array" ref="F6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02" s="31" cm="1">
        <f t="array" ref="G6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8</v>
      </c>
      <c r="H602" s="33" t="str">
        <f>_xlfn.IFNA(IF(MOD(HLG_02[[#This Row],[Rit]],
    _xlfn.XLOOKUP($G$2,Int_Sample[Ore],Int_Sample[Inc])) = 0, "YES", "NO"),"")</f>
        <v>NO</v>
      </c>
      <c r="I602" s="32" t="str">
        <f>TEXT(HLG_02[[#This Row],[Batch]],"000")&amp; " / " &amp; TEXT(HLG_02[[#This Row],[Rit]],"000")</f>
        <v>008 / 008</v>
      </c>
      <c r="J602" s="34"/>
      <c r="K602" s="38"/>
      <c r="L602" s="35"/>
      <c r="M602" s="66"/>
      <c r="N602" s="66"/>
      <c r="O602" s="66"/>
      <c r="P602" s="66"/>
      <c r="Q602" s="66"/>
      <c r="R602" s="67"/>
      <c r="S602" s="67"/>
      <c r="T602" s="67"/>
      <c r="U602" s="66"/>
      <c r="V602" s="66"/>
      <c r="W602" s="66"/>
      <c r="X602" s="85"/>
      <c r="AP602" t="str">
        <v/>
      </c>
      <c r="AQ602" t="e">
        <v>#N/A</v>
      </c>
      <c r="AR602" t="e">
        <v>#N/A</v>
      </c>
      <c r="AS602" t="e">
        <v>#N/A</v>
      </c>
      <c r="AT602" t="e">
        <v>#N/A</v>
      </c>
      <c r="AU602" t="e">
        <v>#N/A</v>
      </c>
      <c r="AV602" t="e">
        <v>#N/A</v>
      </c>
    </row>
    <row r="603" spans="4:48" ht="15.75" x14ac:dyDescent="0.25">
      <c r="D603" s="3">
        <v>7</v>
      </c>
      <c r="F603" s="16" cm="1">
        <f t="array" ref="F6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03" s="31" cm="1">
        <f t="array" ref="G6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9</v>
      </c>
      <c r="H603" s="33" t="str">
        <f>_xlfn.IFNA(IF(MOD(HLG_02[[#This Row],[Rit]],
    _xlfn.XLOOKUP($G$2,Int_Sample[Ore],Int_Sample[Inc])) = 0, "YES", "NO"),"")</f>
        <v>NO</v>
      </c>
      <c r="I603" s="32" t="str">
        <f>TEXT(HLG_02[[#This Row],[Batch]],"000")&amp; " / " &amp; TEXT(HLG_02[[#This Row],[Rit]],"000")</f>
        <v>008 / 009</v>
      </c>
      <c r="J603" s="34"/>
      <c r="K603" s="38"/>
      <c r="L603" s="35"/>
      <c r="M603" s="66"/>
      <c r="N603" s="66"/>
      <c r="O603" s="66"/>
      <c r="P603" s="66"/>
      <c r="Q603" s="66"/>
      <c r="R603" s="67"/>
      <c r="S603" s="67"/>
      <c r="T603" s="67"/>
      <c r="U603" s="66"/>
      <c r="V603" s="66"/>
      <c r="W603" s="66"/>
      <c r="X603" s="85"/>
      <c r="AP603" t="str">
        <v/>
      </c>
      <c r="AQ603" t="e">
        <v>#N/A</v>
      </c>
      <c r="AR603" t="e">
        <v>#N/A</v>
      </c>
      <c r="AS603" t="e">
        <v>#N/A</v>
      </c>
      <c r="AT603" t="e">
        <v>#N/A</v>
      </c>
      <c r="AU603" t="e">
        <v>#N/A</v>
      </c>
      <c r="AV603" t="e">
        <v>#N/A</v>
      </c>
    </row>
    <row r="604" spans="4:48" ht="15.75" x14ac:dyDescent="0.25">
      <c r="D604" s="3">
        <v>7</v>
      </c>
      <c r="F604" s="16" cm="1">
        <f t="array" ref="F6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04" s="31" cm="1">
        <f t="array" ref="G6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10</v>
      </c>
      <c r="H604" s="33" t="str">
        <f>_xlfn.IFNA(IF(MOD(HLG_02[[#This Row],[Rit]],
    _xlfn.XLOOKUP($G$2,Int_Sample[Ore],Int_Sample[Inc])) = 0, "YES", "NO"),"")</f>
        <v>YES</v>
      </c>
      <c r="I604" s="32" t="str">
        <f>TEXT(HLG_02[[#This Row],[Batch]],"000")&amp; " / " &amp; TEXT(HLG_02[[#This Row],[Rit]],"000")</f>
        <v>008 / 010</v>
      </c>
      <c r="J604" s="34"/>
      <c r="K604" s="38"/>
      <c r="L604" s="35"/>
      <c r="M604" s="66"/>
      <c r="N604" s="66"/>
      <c r="O604" s="66"/>
      <c r="P604" s="66"/>
      <c r="Q604" s="66"/>
      <c r="R604" s="67"/>
      <c r="S604" s="67"/>
      <c r="T604" s="67"/>
      <c r="U604" s="66"/>
      <c r="V604" s="66"/>
      <c r="W604" s="66"/>
      <c r="X604" s="85"/>
      <c r="AP604" t="str">
        <v/>
      </c>
      <c r="AQ604" t="e">
        <v>#N/A</v>
      </c>
      <c r="AR604" t="e">
        <v>#N/A</v>
      </c>
      <c r="AS604" t="e">
        <v>#N/A</v>
      </c>
      <c r="AT604" t="e">
        <v>#N/A</v>
      </c>
      <c r="AU604" t="e">
        <v>#N/A</v>
      </c>
      <c r="AV604" t="e">
        <v>#N/A</v>
      </c>
    </row>
    <row r="605" spans="4:48" ht="15.75" x14ac:dyDescent="0.25">
      <c r="D605" s="3">
        <v>7</v>
      </c>
      <c r="F605" s="16" cm="1">
        <f t="array" ref="F6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05" s="31" cm="1">
        <f t="array" ref="G6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11</v>
      </c>
      <c r="H605" s="33" t="str">
        <f>_xlfn.IFNA(IF(MOD(HLG_02[[#This Row],[Rit]],
    _xlfn.XLOOKUP($G$2,Int_Sample[Ore],Int_Sample[Inc])) = 0, "YES", "NO"),"")</f>
        <v>NO</v>
      </c>
      <c r="I605" s="32" t="str">
        <f>TEXT(HLG_02[[#This Row],[Batch]],"000")&amp; " / " &amp; TEXT(HLG_02[[#This Row],[Rit]],"000")</f>
        <v>008 / 011</v>
      </c>
      <c r="J605" s="34"/>
      <c r="K605" s="38"/>
      <c r="L605" s="35"/>
      <c r="M605" s="66"/>
      <c r="N605" s="66"/>
      <c r="O605" s="66"/>
      <c r="P605" s="66"/>
      <c r="Q605" s="66"/>
      <c r="R605" s="67"/>
      <c r="S605" s="67"/>
      <c r="T605" s="67"/>
      <c r="U605" s="66"/>
      <c r="V605" s="66"/>
      <c r="W605" s="66"/>
      <c r="X605" s="85"/>
      <c r="AP605" t="str">
        <v/>
      </c>
      <c r="AQ605" t="e">
        <v>#N/A</v>
      </c>
      <c r="AR605" t="e">
        <v>#N/A</v>
      </c>
      <c r="AS605" t="e">
        <v>#N/A</v>
      </c>
      <c r="AT605" t="e">
        <v>#N/A</v>
      </c>
      <c r="AU605" t="e">
        <v>#N/A</v>
      </c>
      <c r="AV605" t="e">
        <v>#N/A</v>
      </c>
    </row>
    <row r="606" spans="4:48" ht="15.75" x14ac:dyDescent="0.25">
      <c r="D606" s="3">
        <v>7</v>
      </c>
      <c r="F606" s="16" cm="1">
        <f t="array" ref="F6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06" s="31" cm="1">
        <f t="array" ref="G6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12</v>
      </c>
      <c r="H606" s="33" t="str">
        <f>_xlfn.IFNA(IF(MOD(HLG_02[[#This Row],[Rit]],
    _xlfn.XLOOKUP($G$2,Int_Sample[Ore],Int_Sample[Inc])) = 0, "YES", "NO"),"")</f>
        <v>NO</v>
      </c>
      <c r="I606" s="32" t="str">
        <f>TEXT(HLG_02[[#This Row],[Batch]],"000")&amp; " / " &amp; TEXT(HLG_02[[#This Row],[Rit]],"000")</f>
        <v>008 / 012</v>
      </c>
      <c r="J606" s="34"/>
      <c r="K606" s="38"/>
      <c r="L606" s="35"/>
      <c r="M606" s="66"/>
      <c r="N606" s="66"/>
      <c r="O606" s="66"/>
      <c r="P606" s="66"/>
      <c r="Q606" s="66"/>
      <c r="R606" s="67"/>
      <c r="S606" s="67"/>
      <c r="T606" s="67"/>
      <c r="U606" s="66"/>
      <c r="V606" s="66"/>
      <c r="W606" s="66"/>
      <c r="X606" s="85"/>
      <c r="AP606" t="str">
        <v/>
      </c>
      <c r="AQ606" t="e">
        <v>#N/A</v>
      </c>
      <c r="AR606" t="e">
        <v>#N/A</v>
      </c>
      <c r="AS606" t="e">
        <v>#N/A</v>
      </c>
      <c r="AT606" t="e">
        <v>#N/A</v>
      </c>
      <c r="AU606" t="e">
        <v>#N/A</v>
      </c>
      <c r="AV606" t="e">
        <v>#N/A</v>
      </c>
    </row>
    <row r="607" spans="4:48" ht="15.75" x14ac:dyDescent="0.25">
      <c r="D607" s="3">
        <v>7</v>
      </c>
      <c r="F607" s="16" cm="1">
        <f t="array" ref="F6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07" s="31" cm="1">
        <f t="array" ref="G6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13</v>
      </c>
      <c r="H607" s="33" t="str">
        <f>_xlfn.IFNA(IF(MOD(HLG_02[[#This Row],[Rit]],
    _xlfn.XLOOKUP($G$2,Int_Sample[Ore],Int_Sample[Inc])) = 0, "YES", "NO"),"")</f>
        <v>NO</v>
      </c>
      <c r="I607" s="32" t="str">
        <f>TEXT(HLG_02[[#This Row],[Batch]],"000")&amp; " / " &amp; TEXT(HLG_02[[#This Row],[Rit]],"000")</f>
        <v>008 / 013</v>
      </c>
      <c r="J607" s="34"/>
      <c r="K607" s="38"/>
      <c r="L607" s="35"/>
      <c r="M607" s="66"/>
      <c r="N607" s="66"/>
      <c r="O607" s="66"/>
      <c r="P607" s="66"/>
      <c r="Q607" s="66"/>
      <c r="R607" s="67"/>
      <c r="S607" s="67"/>
      <c r="T607" s="67"/>
      <c r="U607" s="66"/>
      <c r="V607" s="66"/>
      <c r="W607" s="66"/>
      <c r="X607" s="85"/>
      <c r="AP607" t="str">
        <v/>
      </c>
      <c r="AQ607" t="e">
        <v>#N/A</v>
      </c>
      <c r="AR607" t="e">
        <v>#N/A</v>
      </c>
      <c r="AS607" t="e">
        <v>#N/A</v>
      </c>
      <c r="AT607" t="e">
        <v>#N/A</v>
      </c>
      <c r="AU607" t="e">
        <v>#N/A</v>
      </c>
      <c r="AV607" t="e">
        <v>#N/A</v>
      </c>
    </row>
    <row r="608" spans="4:48" ht="15.75" x14ac:dyDescent="0.25">
      <c r="D608" s="3">
        <v>7</v>
      </c>
      <c r="F608" s="16" cm="1">
        <f t="array" ref="F6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08" s="31" cm="1">
        <f t="array" ref="G6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14</v>
      </c>
      <c r="H608" s="33" t="str">
        <f>_xlfn.IFNA(IF(MOD(HLG_02[[#This Row],[Rit]],
    _xlfn.XLOOKUP($G$2,Int_Sample[Ore],Int_Sample[Inc])) = 0, "YES", "NO"),"")</f>
        <v>NO</v>
      </c>
      <c r="I608" s="32" t="str">
        <f>TEXT(HLG_02[[#This Row],[Batch]],"000")&amp; " / " &amp; TEXT(HLG_02[[#This Row],[Rit]],"000")</f>
        <v>008 / 014</v>
      </c>
      <c r="J608" s="34"/>
      <c r="K608" s="38"/>
      <c r="L608" s="35"/>
      <c r="M608" s="66"/>
      <c r="N608" s="66"/>
      <c r="O608" s="66"/>
      <c r="P608" s="66"/>
      <c r="Q608" s="66"/>
      <c r="R608" s="67"/>
      <c r="S608" s="67"/>
      <c r="T608" s="67"/>
      <c r="U608" s="66"/>
      <c r="V608" s="66"/>
      <c r="W608" s="66"/>
      <c r="X608" s="85"/>
      <c r="AP608" t="str">
        <v/>
      </c>
      <c r="AQ608" t="e">
        <v>#N/A</v>
      </c>
      <c r="AR608" t="e">
        <v>#N/A</v>
      </c>
      <c r="AS608" t="e">
        <v>#N/A</v>
      </c>
      <c r="AT608" t="e">
        <v>#N/A</v>
      </c>
      <c r="AU608" t="e">
        <v>#N/A</v>
      </c>
      <c r="AV608" t="e">
        <v>#N/A</v>
      </c>
    </row>
    <row r="609" spans="4:48" ht="15.75" x14ac:dyDescent="0.25">
      <c r="D609" s="3">
        <v>7</v>
      </c>
      <c r="F609" s="16" cm="1">
        <f t="array" ref="F6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09" s="31" cm="1">
        <f t="array" ref="G6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15</v>
      </c>
      <c r="H609" s="33" t="str">
        <f>_xlfn.IFNA(IF(MOD(HLG_02[[#This Row],[Rit]],
    _xlfn.XLOOKUP($G$2,Int_Sample[Ore],Int_Sample[Inc])) = 0, "YES", "NO"),"")</f>
        <v>YES</v>
      </c>
      <c r="I609" s="32" t="str">
        <f>TEXT(HLG_02[[#This Row],[Batch]],"000")&amp; " / " &amp; TEXT(HLG_02[[#This Row],[Rit]],"000")</f>
        <v>008 / 015</v>
      </c>
      <c r="J609" s="34"/>
      <c r="K609" s="38"/>
      <c r="L609" s="35"/>
      <c r="M609" s="66"/>
      <c r="N609" s="66"/>
      <c r="O609" s="66"/>
      <c r="P609" s="66"/>
      <c r="Q609" s="66"/>
      <c r="R609" s="67"/>
      <c r="S609" s="67"/>
      <c r="T609" s="67"/>
      <c r="U609" s="66"/>
      <c r="V609" s="66"/>
      <c r="W609" s="66"/>
      <c r="X609" s="85"/>
      <c r="AP609" t="str">
        <v/>
      </c>
      <c r="AQ609" t="e">
        <v>#N/A</v>
      </c>
      <c r="AR609" t="e">
        <v>#N/A</v>
      </c>
      <c r="AS609" t="e">
        <v>#N/A</v>
      </c>
      <c r="AT609" t="e">
        <v>#N/A</v>
      </c>
      <c r="AU609" t="e">
        <v>#N/A</v>
      </c>
      <c r="AV609" t="e">
        <v>#N/A</v>
      </c>
    </row>
    <row r="610" spans="4:48" ht="15.75" x14ac:dyDescent="0.25">
      <c r="D610" s="3">
        <v>7</v>
      </c>
      <c r="F610" s="16" cm="1">
        <f t="array" ref="F6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10" s="31" cm="1">
        <f t="array" ref="G6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16</v>
      </c>
      <c r="H610" s="33" t="str">
        <f>_xlfn.IFNA(IF(MOD(HLG_02[[#This Row],[Rit]],
    _xlfn.XLOOKUP($G$2,Int_Sample[Ore],Int_Sample[Inc])) = 0, "YES", "NO"),"")</f>
        <v>NO</v>
      </c>
      <c r="I610" s="32" t="str">
        <f>TEXT(HLG_02[[#This Row],[Batch]],"000")&amp; " / " &amp; TEXT(HLG_02[[#This Row],[Rit]],"000")</f>
        <v>008 / 016</v>
      </c>
      <c r="J610" s="34"/>
      <c r="K610" s="38"/>
      <c r="L610" s="35"/>
      <c r="M610" s="66"/>
      <c r="N610" s="66"/>
      <c r="O610" s="66"/>
      <c r="P610" s="66"/>
      <c r="Q610" s="66"/>
      <c r="R610" s="67"/>
      <c r="S610" s="67"/>
      <c r="T610" s="67"/>
      <c r="U610" s="66"/>
      <c r="V610" s="66"/>
      <c r="W610" s="66"/>
      <c r="X610" s="85"/>
      <c r="AP610" t="str">
        <v/>
      </c>
      <c r="AQ610" t="e">
        <v>#N/A</v>
      </c>
      <c r="AR610" t="e">
        <v>#N/A</v>
      </c>
      <c r="AS610" t="e">
        <v>#N/A</v>
      </c>
      <c r="AT610" t="e">
        <v>#N/A</v>
      </c>
      <c r="AU610" t="e">
        <v>#N/A</v>
      </c>
      <c r="AV610" t="e">
        <v>#N/A</v>
      </c>
    </row>
    <row r="611" spans="4:48" ht="15.75" x14ac:dyDescent="0.25">
      <c r="D611" s="3">
        <v>7</v>
      </c>
      <c r="F611" s="16" cm="1">
        <f t="array" ref="F6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11" s="31" cm="1">
        <f t="array" ref="G6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17</v>
      </c>
      <c r="H611" s="33" t="str">
        <f>_xlfn.IFNA(IF(MOD(HLG_02[[#This Row],[Rit]],
    _xlfn.XLOOKUP($G$2,Int_Sample[Ore],Int_Sample[Inc])) = 0, "YES", "NO"),"")</f>
        <v>NO</v>
      </c>
      <c r="I611" s="32" t="str">
        <f>TEXT(HLG_02[[#This Row],[Batch]],"000")&amp; " / " &amp; TEXT(HLG_02[[#This Row],[Rit]],"000")</f>
        <v>008 / 017</v>
      </c>
      <c r="J611" s="34"/>
      <c r="K611" s="38"/>
      <c r="L611" s="35"/>
      <c r="M611" s="66"/>
      <c r="N611" s="66"/>
      <c r="O611" s="66"/>
      <c r="P611" s="66"/>
      <c r="Q611" s="66"/>
      <c r="R611" s="67"/>
      <c r="S611" s="67"/>
      <c r="T611" s="67"/>
      <c r="U611" s="66"/>
      <c r="V611" s="66"/>
      <c r="W611" s="66"/>
      <c r="X611" s="85"/>
      <c r="AP611" t="str">
        <v/>
      </c>
      <c r="AQ611" t="e">
        <v>#N/A</v>
      </c>
      <c r="AR611" t="e">
        <v>#N/A</v>
      </c>
      <c r="AS611" t="e">
        <v>#N/A</v>
      </c>
      <c r="AT611" t="e">
        <v>#N/A</v>
      </c>
      <c r="AU611" t="e">
        <v>#N/A</v>
      </c>
      <c r="AV611" t="e">
        <v>#N/A</v>
      </c>
    </row>
    <row r="612" spans="4:48" ht="15.75" x14ac:dyDescent="0.25">
      <c r="D612" s="3">
        <v>7</v>
      </c>
      <c r="F612" s="16" cm="1">
        <f t="array" ref="F6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12" s="31" cm="1">
        <f t="array" ref="G6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18</v>
      </c>
      <c r="H612" s="33" t="str">
        <f>_xlfn.IFNA(IF(MOD(HLG_02[[#This Row],[Rit]],
    _xlfn.XLOOKUP($G$2,Int_Sample[Ore],Int_Sample[Inc])) = 0, "YES", "NO"),"")</f>
        <v>NO</v>
      </c>
      <c r="I612" s="32" t="str">
        <f>TEXT(HLG_02[[#This Row],[Batch]],"000")&amp; " / " &amp; TEXT(HLG_02[[#This Row],[Rit]],"000")</f>
        <v>008 / 018</v>
      </c>
      <c r="J612" s="34"/>
      <c r="K612" s="38"/>
      <c r="L612" s="35"/>
      <c r="M612" s="66"/>
      <c r="N612" s="66"/>
      <c r="O612" s="66"/>
      <c r="P612" s="66"/>
      <c r="Q612" s="66"/>
      <c r="R612" s="67"/>
      <c r="S612" s="67"/>
      <c r="T612" s="67"/>
      <c r="U612" s="66"/>
      <c r="V612" s="66"/>
      <c r="W612" s="66"/>
      <c r="X612" s="85"/>
      <c r="AP612" t="str">
        <v/>
      </c>
      <c r="AQ612" t="e">
        <v>#N/A</v>
      </c>
      <c r="AR612" t="e">
        <v>#N/A</v>
      </c>
      <c r="AS612" t="e">
        <v>#N/A</v>
      </c>
      <c r="AT612" t="e">
        <v>#N/A</v>
      </c>
      <c r="AU612" t="e">
        <v>#N/A</v>
      </c>
      <c r="AV612" t="e">
        <v>#N/A</v>
      </c>
    </row>
    <row r="613" spans="4:48" ht="15.75" x14ac:dyDescent="0.25">
      <c r="D613" s="3">
        <v>7</v>
      </c>
      <c r="F613" s="16" cm="1">
        <f t="array" ref="F6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13" s="31" cm="1">
        <f t="array" ref="G6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19</v>
      </c>
      <c r="H613" s="33" t="str">
        <f>_xlfn.IFNA(IF(MOD(HLG_02[[#This Row],[Rit]],
    _xlfn.XLOOKUP($G$2,Int_Sample[Ore],Int_Sample[Inc])) = 0, "YES", "NO"),"")</f>
        <v>NO</v>
      </c>
      <c r="I613" s="32" t="str">
        <f>TEXT(HLG_02[[#This Row],[Batch]],"000")&amp; " / " &amp; TEXT(HLG_02[[#This Row],[Rit]],"000")</f>
        <v>008 / 019</v>
      </c>
      <c r="J613" s="34"/>
      <c r="K613" s="38"/>
      <c r="L613" s="35"/>
      <c r="M613" s="66"/>
      <c r="N613" s="66"/>
      <c r="O613" s="66"/>
      <c r="P613" s="66"/>
      <c r="Q613" s="66"/>
      <c r="R613" s="67"/>
      <c r="S613" s="67"/>
      <c r="T613" s="67"/>
      <c r="U613" s="66"/>
      <c r="V613" s="66"/>
      <c r="W613" s="66"/>
      <c r="X613" s="85"/>
      <c r="AP613" t="str">
        <v/>
      </c>
      <c r="AQ613" t="e">
        <v>#N/A</v>
      </c>
      <c r="AR613" t="e">
        <v>#N/A</v>
      </c>
      <c r="AS613" t="e">
        <v>#N/A</v>
      </c>
      <c r="AT613" t="e">
        <v>#N/A</v>
      </c>
      <c r="AU613" t="e">
        <v>#N/A</v>
      </c>
      <c r="AV613" t="e">
        <v>#N/A</v>
      </c>
    </row>
    <row r="614" spans="4:48" ht="15.75" x14ac:dyDescent="0.25">
      <c r="D614" s="3">
        <v>7</v>
      </c>
      <c r="F614" s="16" cm="1">
        <f t="array" ref="F6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14" s="31" cm="1">
        <f t="array" ref="G6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20</v>
      </c>
      <c r="H614" s="33" t="str">
        <f>_xlfn.IFNA(IF(MOD(HLG_02[[#This Row],[Rit]],
    _xlfn.XLOOKUP($G$2,Int_Sample[Ore],Int_Sample[Inc])) = 0, "YES", "NO"),"")</f>
        <v>YES</v>
      </c>
      <c r="I614" s="32" t="str">
        <f>TEXT(HLG_02[[#This Row],[Batch]],"000")&amp; " / " &amp; TEXT(HLG_02[[#This Row],[Rit]],"000")</f>
        <v>008 / 020</v>
      </c>
      <c r="J614" s="34"/>
      <c r="K614" s="38"/>
      <c r="L614" s="35"/>
      <c r="M614" s="66"/>
      <c r="N614" s="66"/>
      <c r="O614" s="66"/>
      <c r="P614" s="66"/>
      <c r="Q614" s="66"/>
      <c r="R614" s="67"/>
      <c r="S614" s="67"/>
      <c r="T614" s="67"/>
      <c r="U614" s="66"/>
      <c r="V614" s="66"/>
      <c r="W614" s="66"/>
      <c r="X614" s="85"/>
      <c r="AP614" t="str">
        <v/>
      </c>
      <c r="AQ614" t="e">
        <v>#N/A</v>
      </c>
      <c r="AR614" t="e">
        <v>#N/A</v>
      </c>
      <c r="AS614" t="e">
        <v>#N/A</v>
      </c>
      <c r="AT614" t="e">
        <v>#N/A</v>
      </c>
      <c r="AU614" t="e">
        <v>#N/A</v>
      </c>
      <c r="AV614" t="e">
        <v>#N/A</v>
      </c>
    </row>
    <row r="615" spans="4:48" ht="15.75" x14ac:dyDescent="0.25">
      <c r="D615" s="3">
        <v>7</v>
      </c>
      <c r="F615" s="16" cm="1">
        <f t="array" ref="F6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15" s="31" cm="1">
        <f t="array" ref="G6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21</v>
      </c>
      <c r="H615" s="33" t="str">
        <f>_xlfn.IFNA(IF(MOD(HLG_02[[#This Row],[Rit]],
    _xlfn.XLOOKUP($G$2,Int_Sample[Ore],Int_Sample[Inc])) = 0, "YES", "NO"),"")</f>
        <v>NO</v>
      </c>
      <c r="I615" s="32" t="str">
        <f>TEXT(HLG_02[[#This Row],[Batch]],"000")&amp; " / " &amp; TEXT(HLG_02[[#This Row],[Rit]],"000")</f>
        <v>008 / 021</v>
      </c>
      <c r="J615" s="34"/>
      <c r="K615" s="38"/>
      <c r="L615" s="35"/>
      <c r="M615" s="66"/>
      <c r="N615" s="66"/>
      <c r="O615" s="66"/>
      <c r="P615" s="66"/>
      <c r="Q615" s="66"/>
      <c r="R615" s="67"/>
      <c r="S615" s="67"/>
      <c r="T615" s="67"/>
      <c r="U615" s="66"/>
      <c r="V615" s="66"/>
      <c r="W615" s="66"/>
      <c r="X615" s="85"/>
      <c r="AP615" t="str">
        <v/>
      </c>
      <c r="AQ615" t="e">
        <v>#N/A</v>
      </c>
      <c r="AR615" t="e">
        <v>#N/A</v>
      </c>
      <c r="AS615" t="e">
        <v>#N/A</v>
      </c>
      <c r="AT615" t="e">
        <v>#N/A</v>
      </c>
      <c r="AU615" t="e">
        <v>#N/A</v>
      </c>
      <c r="AV615" t="e">
        <v>#N/A</v>
      </c>
    </row>
    <row r="616" spans="4:48" ht="15.75" x14ac:dyDescent="0.25">
      <c r="D616" s="3">
        <v>7</v>
      </c>
      <c r="F616" s="16" cm="1">
        <f t="array" ref="F6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16" s="31" cm="1">
        <f t="array" ref="G6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22</v>
      </c>
      <c r="H616" s="33" t="str">
        <f>_xlfn.IFNA(IF(MOD(HLG_02[[#This Row],[Rit]],
    _xlfn.XLOOKUP($G$2,Int_Sample[Ore],Int_Sample[Inc])) = 0, "YES", "NO"),"")</f>
        <v>NO</v>
      </c>
      <c r="I616" s="32" t="str">
        <f>TEXT(HLG_02[[#This Row],[Batch]],"000")&amp; " / " &amp; TEXT(HLG_02[[#This Row],[Rit]],"000")</f>
        <v>008 / 022</v>
      </c>
      <c r="J616" s="34"/>
      <c r="K616" s="38"/>
      <c r="L616" s="35"/>
      <c r="M616" s="66"/>
      <c r="N616" s="66"/>
      <c r="O616" s="66"/>
      <c r="P616" s="66"/>
      <c r="Q616" s="66"/>
      <c r="R616" s="67"/>
      <c r="S616" s="67"/>
      <c r="T616" s="67"/>
      <c r="U616" s="66"/>
      <c r="V616" s="66"/>
      <c r="W616" s="66"/>
      <c r="X616" s="85"/>
      <c r="AP616" t="str">
        <v/>
      </c>
      <c r="AQ616" t="e">
        <v>#N/A</v>
      </c>
      <c r="AR616" t="e">
        <v>#N/A</v>
      </c>
      <c r="AS616" t="e">
        <v>#N/A</v>
      </c>
      <c r="AT616" t="e">
        <v>#N/A</v>
      </c>
      <c r="AU616" t="e">
        <v>#N/A</v>
      </c>
      <c r="AV616" t="e">
        <v>#N/A</v>
      </c>
    </row>
    <row r="617" spans="4:48" ht="15.75" x14ac:dyDescent="0.25">
      <c r="D617" s="3">
        <v>7</v>
      </c>
      <c r="F617" s="16" cm="1">
        <f t="array" ref="F6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17" s="31" cm="1">
        <f t="array" ref="G6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23</v>
      </c>
      <c r="H617" s="33" t="str">
        <f>_xlfn.IFNA(IF(MOD(HLG_02[[#This Row],[Rit]],
    _xlfn.XLOOKUP($G$2,Int_Sample[Ore],Int_Sample[Inc])) = 0, "YES", "NO"),"")</f>
        <v>NO</v>
      </c>
      <c r="I617" s="32" t="str">
        <f>TEXT(HLG_02[[#This Row],[Batch]],"000")&amp; " / " &amp; TEXT(HLG_02[[#This Row],[Rit]],"000")</f>
        <v>008 / 023</v>
      </c>
      <c r="J617" s="34"/>
      <c r="K617" s="38"/>
      <c r="L617" s="35"/>
      <c r="M617" s="66"/>
      <c r="N617" s="66"/>
      <c r="O617" s="66"/>
      <c r="P617" s="66"/>
      <c r="Q617" s="66"/>
      <c r="R617" s="67"/>
      <c r="S617" s="67"/>
      <c r="T617" s="67"/>
      <c r="U617" s="66"/>
      <c r="V617" s="66"/>
      <c r="W617" s="66"/>
      <c r="X617" s="85"/>
      <c r="AP617" t="str">
        <v/>
      </c>
      <c r="AQ617" t="e">
        <v>#N/A</v>
      </c>
      <c r="AR617" t="e">
        <v>#N/A</v>
      </c>
      <c r="AS617" t="e">
        <v>#N/A</v>
      </c>
      <c r="AT617" t="e">
        <v>#N/A</v>
      </c>
      <c r="AU617" t="e">
        <v>#N/A</v>
      </c>
      <c r="AV617" t="e">
        <v>#N/A</v>
      </c>
    </row>
    <row r="618" spans="4:48" ht="15.75" x14ac:dyDescent="0.25">
      <c r="D618" s="3">
        <v>7</v>
      </c>
      <c r="F618" s="16" cm="1">
        <f t="array" ref="F6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18" s="31" cm="1">
        <f t="array" ref="G6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24</v>
      </c>
      <c r="H618" s="33" t="str">
        <f>_xlfn.IFNA(IF(MOD(HLG_02[[#This Row],[Rit]],
    _xlfn.XLOOKUP($G$2,Int_Sample[Ore],Int_Sample[Inc])) = 0, "YES", "NO"),"")</f>
        <v>NO</v>
      </c>
      <c r="I618" s="32" t="str">
        <f>TEXT(HLG_02[[#This Row],[Batch]],"000")&amp; " / " &amp; TEXT(HLG_02[[#This Row],[Rit]],"000")</f>
        <v>008 / 024</v>
      </c>
      <c r="J618" s="34"/>
      <c r="K618" s="38"/>
      <c r="L618" s="35"/>
      <c r="M618" s="66"/>
      <c r="N618" s="66"/>
      <c r="O618" s="66"/>
      <c r="P618" s="66"/>
      <c r="Q618" s="66"/>
      <c r="R618" s="67"/>
      <c r="S618" s="67"/>
      <c r="T618" s="67"/>
      <c r="U618" s="66"/>
      <c r="V618" s="66"/>
      <c r="W618" s="66"/>
      <c r="X618" s="85"/>
      <c r="AP618" t="str">
        <v/>
      </c>
      <c r="AQ618" t="e">
        <v>#N/A</v>
      </c>
      <c r="AR618" t="e">
        <v>#N/A</v>
      </c>
      <c r="AS618" t="e">
        <v>#N/A</v>
      </c>
      <c r="AT618" t="e">
        <v>#N/A</v>
      </c>
      <c r="AU618" t="e">
        <v>#N/A</v>
      </c>
      <c r="AV618" t="e">
        <v>#N/A</v>
      </c>
    </row>
    <row r="619" spans="4:48" ht="15.75" x14ac:dyDescent="0.25">
      <c r="D619" s="3">
        <v>7</v>
      </c>
      <c r="F619" s="16" cm="1">
        <f t="array" ref="F6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19" s="31" cm="1">
        <f t="array" ref="G6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25</v>
      </c>
      <c r="H619" s="33" t="str">
        <f>_xlfn.IFNA(IF(MOD(HLG_02[[#This Row],[Rit]],
    _xlfn.XLOOKUP($G$2,Int_Sample[Ore],Int_Sample[Inc])) = 0, "YES", "NO"),"")</f>
        <v>YES</v>
      </c>
      <c r="I619" s="32" t="str">
        <f>TEXT(HLG_02[[#This Row],[Batch]],"000")&amp; " / " &amp; TEXT(HLG_02[[#This Row],[Rit]],"000")</f>
        <v>008 / 025</v>
      </c>
      <c r="J619" s="34"/>
      <c r="K619" s="38"/>
      <c r="L619" s="35"/>
      <c r="M619" s="66"/>
      <c r="N619" s="66"/>
      <c r="O619" s="66"/>
      <c r="P619" s="66"/>
      <c r="Q619" s="66"/>
      <c r="R619" s="67"/>
      <c r="S619" s="67"/>
      <c r="T619" s="67"/>
      <c r="U619" s="66"/>
      <c r="V619" s="66"/>
      <c r="W619" s="66"/>
      <c r="X619" s="85"/>
      <c r="AP619" t="str">
        <v/>
      </c>
      <c r="AQ619" t="e">
        <v>#N/A</v>
      </c>
      <c r="AR619" t="e">
        <v>#N/A</v>
      </c>
      <c r="AS619" t="e">
        <v>#N/A</v>
      </c>
      <c r="AT619" t="e">
        <v>#N/A</v>
      </c>
      <c r="AU619" t="e">
        <v>#N/A</v>
      </c>
      <c r="AV619" t="e">
        <v>#N/A</v>
      </c>
    </row>
    <row r="620" spans="4:48" ht="15.75" x14ac:dyDescent="0.25">
      <c r="D620" s="3">
        <v>7</v>
      </c>
      <c r="F620" s="16" cm="1">
        <f t="array" ref="F6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20" s="31" cm="1">
        <f t="array" ref="G6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26</v>
      </c>
      <c r="H620" s="33" t="str">
        <f>_xlfn.IFNA(IF(MOD(HLG_02[[#This Row],[Rit]],
    _xlfn.XLOOKUP($G$2,Int_Sample[Ore],Int_Sample[Inc])) = 0, "YES", "NO"),"")</f>
        <v>NO</v>
      </c>
      <c r="I620" s="32" t="str">
        <f>TEXT(HLG_02[[#This Row],[Batch]],"000")&amp; " / " &amp; TEXT(HLG_02[[#This Row],[Rit]],"000")</f>
        <v>008 / 026</v>
      </c>
      <c r="J620" s="34"/>
      <c r="K620" s="38"/>
      <c r="L620" s="35"/>
      <c r="M620" s="66"/>
      <c r="N620" s="66"/>
      <c r="O620" s="66"/>
      <c r="P620" s="66"/>
      <c r="Q620" s="66"/>
      <c r="R620" s="67"/>
      <c r="S620" s="67"/>
      <c r="T620" s="67"/>
      <c r="U620" s="66"/>
      <c r="V620" s="66"/>
      <c r="W620" s="66"/>
      <c r="X620" s="85"/>
      <c r="AP620" t="str">
        <v/>
      </c>
      <c r="AQ620" t="e">
        <v>#N/A</v>
      </c>
      <c r="AR620" t="e">
        <v>#N/A</v>
      </c>
      <c r="AS620" t="e">
        <v>#N/A</v>
      </c>
      <c r="AT620" t="e">
        <v>#N/A</v>
      </c>
      <c r="AU620" t="e">
        <v>#N/A</v>
      </c>
      <c r="AV620" t="e">
        <v>#N/A</v>
      </c>
    </row>
    <row r="621" spans="4:48" ht="15.75" x14ac:dyDescent="0.25">
      <c r="D621" s="3">
        <v>7</v>
      </c>
      <c r="F621" s="16" cm="1">
        <f t="array" ref="F6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21" s="31" cm="1">
        <f t="array" ref="G6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27</v>
      </c>
      <c r="H621" s="33" t="str">
        <f>_xlfn.IFNA(IF(MOD(HLG_02[[#This Row],[Rit]],
    _xlfn.XLOOKUP($G$2,Int_Sample[Ore],Int_Sample[Inc])) = 0, "YES", "NO"),"")</f>
        <v>NO</v>
      </c>
      <c r="I621" s="32" t="str">
        <f>TEXT(HLG_02[[#This Row],[Batch]],"000")&amp; " / " &amp; TEXT(HLG_02[[#This Row],[Rit]],"000")</f>
        <v>008 / 027</v>
      </c>
      <c r="J621" s="34"/>
      <c r="K621" s="38"/>
      <c r="L621" s="35"/>
      <c r="M621" s="66"/>
      <c r="N621" s="66"/>
      <c r="O621" s="66"/>
      <c r="P621" s="66"/>
      <c r="Q621" s="66"/>
      <c r="R621" s="67"/>
      <c r="S621" s="67"/>
      <c r="T621" s="67"/>
      <c r="U621" s="66"/>
      <c r="V621" s="66"/>
      <c r="W621" s="66"/>
      <c r="X621" s="85"/>
      <c r="AP621" t="str">
        <v/>
      </c>
      <c r="AQ621" t="e">
        <v>#N/A</v>
      </c>
      <c r="AR621" t="e">
        <v>#N/A</v>
      </c>
      <c r="AS621" t="e">
        <v>#N/A</v>
      </c>
      <c r="AT621" t="e">
        <v>#N/A</v>
      </c>
      <c r="AU621" t="e">
        <v>#N/A</v>
      </c>
      <c r="AV621" t="e">
        <v>#N/A</v>
      </c>
    </row>
    <row r="622" spans="4:48" ht="15.75" x14ac:dyDescent="0.25">
      <c r="D622" s="3">
        <v>7</v>
      </c>
      <c r="F622" s="16" cm="1">
        <f t="array" ref="F6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22" s="31" cm="1">
        <f t="array" ref="G6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28</v>
      </c>
      <c r="H622" s="33" t="str">
        <f>_xlfn.IFNA(IF(MOD(HLG_02[[#This Row],[Rit]],
    _xlfn.XLOOKUP($G$2,Int_Sample[Ore],Int_Sample[Inc])) = 0, "YES", "NO"),"")</f>
        <v>NO</v>
      </c>
      <c r="I622" s="32" t="str">
        <f>TEXT(HLG_02[[#This Row],[Batch]],"000")&amp; " / " &amp; TEXT(HLG_02[[#This Row],[Rit]],"000")</f>
        <v>008 / 028</v>
      </c>
      <c r="J622" s="34"/>
      <c r="K622" s="38"/>
      <c r="L622" s="35"/>
      <c r="M622" s="66"/>
      <c r="N622" s="66"/>
      <c r="O622" s="66"/>
      <c r="P622" s="66"/>
      <c r="Q622" s="66"/>
      <c r="R622" s="67"/>
      <c r="S622" s="67"/>
      <c r="T622" s="67"/>
      <c r="U622" s="66"/>
      <c r="V622" s="66"/>
      <c r="W622" s="66"/>
      <c r="X622" s="85"/>
      <c r="AP622" t="str">
        <v/>
      </c>
      <c r="AQ622" t="e">
        <v>#N/A</v>
      </c>
      <c r="AR622" t="e">
        <v>#N/A</v>
      </c>
      <c r="AS622" t="e">
        <v>#N/A</v>
      </c>
      <c r="AT622" t="e">
        <v>#N/A</v>
      </c>
      <c r="AU622" t="e">
        <v>#N/A</v>
      </c>
      <c r="AV622" t="e">
        <v>#N/A</v>
      </c>
    </row>
    <row r="623" spans="4:48" ht="15.75" x14ac:dyDescent="0.25">
      <c r="D623" s="3">
        <v>7</v>
      </c>
      <c r="F623" s="16" cm="1">
        <f t="array" ref="F6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23" s="31" cm="1">
        <f t="array" ref="G6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29</v>
      </c>
      <c r="H623" s="33" t="str">
        <f>_xlfn.IFNA(IF(MOD(HLG_02[[#This Row],[Rit]],
    _xlfn.XLOOKUP($G$2,Int_Sample[Ore],Int_Sample[Inc])) = 0, "YES", "NO"),"")</f>
        <v>NO</v>
      </c>
      <c r="I623" s="32" t="str">
        <f>TEXT(HLG_02[[#This Row],[Batch]],"000")&amp; " / " &amp; TEXT(HLG_02[[#This Row],[Rit]],"000")</f>
        <v>008 / 029</v>
      </c>
      <c r="J623" s="34"/>
      <c r="K623" s="38"/>
      <c r="L623" s="35"/>
      <c r="M623" s="66"/>
      <c r="N623" s="66"/>
      <c r="O623" s="66"/>
      <c r="P623" s="66"/>
      <c r="Q623" s="66"/>
      <c r="R623" s="67"/>
      <c r="S623" s="67"/>
      <c r="T623" s="67"/>
      <c r="U623" s="66"/>
      <c r="V623" s="66"/>
      <c r="W623" s="66"/>
      <c r="X623" s="85"/>
      <c r="AP623" t="str">
        <v/>
      </c>
      <c r="AQ623" t="e">
        <v>#N/A</v>
      </c>
      <c r="AR623" t="e">
        <v>#N/A</v>
      </c>
      <c r="AS623" t="e">
        <v>#N/A</v>
      </c>
      <c r="AT623" t="e">
        <v>#N/A</v>
      </c>
      <c r="AU623" t="e">
        <v>#N/A</v>
      </c>
      <c r="AV623" t="e">
        <v>#N/A</v>
      </c>
    </row>
    <row r="624" spans="4:48" ht="15.75" x14ac:dyDescent="0.25">
      <c r="D624" s="3">
        <v>7</v>
      </c>
      <c r="F624" s="16" cm="1">
        <f t="array" ref="F6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24" s="31" cm="1">
        <f t="array" ref="G6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30</v>
      </c>
      <c r="H624" s="33" t="str">
        <f>_xlfn.IFNA(IF(MOD(HLG_02[[#This Row],[Rit]],
    _xlfn.XLOOKUP($G$2,Int_Sample[Ore],Int_Sample[Inc])) = 0, "YES", "NO"),"")</f>
        <v>YES</v>
      </c>
      <c r="I624" s="32" t="str">
        <f>TEXT(HLG_02[[#This Row],[Batch]],"000")&amp; " / " &amp; TEXT(HLG_02[[#This Row],[Rit]],"000")</f>
        <v>008 / 030</v>
      </c>
      <c r="J624" s="34"/>
      <c r="K624" s="38"/>
      <c r="L624" s="35"/>
      <c r="M624" s="66"/>
      <c r="N624" s="66"/>
      <c r="O624" s="66"/>
      <c r="P624" s="66"/>
      <c r="Q624" s="66"/>
      <c r="R624" s="67"/>
      <c r="S624" s="67"/>
      <c r="T624" s="67"/>
      <c r="U624" s="66"/>
      <c r="V624" s="66"/>
      <c r="W624" s="66"/>
      <c r="X624" s="85"/>
      <c r="AP624" t="str">
        <v/>
      </c>
      <c r="AQ624" t="e">
        <v>#N/A</v>
      </c>
      <c r="AR624" t="e">
        <v>#N/A</v>
      </c>
      <c r="AS624" t="e">
        <v>#N/A</v>
      </c>
      <c r="AT624" t="e">
        <v>#N/A</v>
      </c>
      <c r="AU624" t="e">
        <v>#N/A</v>
      </c>
      <c r="AV624" t="e">
        <v>#N/A</v>
      </c>
    </row>
    <row r="625" spans="4:48" ht="15.75" x14ac:dyDescent="0.25">
      <c r="D625" s="3">
        <v>7</v>
      </c>
      <c r="F625" s="16" cm="1">
        <f t="array" ref="F6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25" s="31" cm="1">
        <f t="array" ref="G6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31</v>
      </c>
      <c r="H625" s="33" t="str">
        <f>_xlfn.IFNA(IF(MOD(HLG_02[[#This Row],[Rit]],
    _xlfn.XLOOKUP($G$2,Int_Sample[Ore],Int_Sample[Inc])) = 0, "YES", "NO"),"")</f>
        <v>NO</v>
      </c>
      <c r="I625" s="32" t="str">
        <f>TEXT(HLG_02[[#This Row],[Batch]],"000")&amp; " / " &amp; TEXT(HLG_02[[#This Row],[Rit]],"000")</f>
        <v>008 / 031</v>
      </c>
      <c r="J625" s="34"/>
      <c r="K625" s="38"/>
      <c r="L625" s="35"/>
      <c r="M625" s="66"/>
      <c r="N625" s="66"/>
      <c r="O625" s="66"/>
      <c r="P625" s="66"/>
      <c r="Q625" s="66"/>
      <c r="R625" s="67"/>
      <c r="S625" s="67"/>
      <c r="T625" s="67"/>
      <c r="U625" s="66"/>
      <c r="V625" s="66"/>
      <c r="W625" s="66"/>
      <c r="X625" s="85"/>
      <c r="AP625" t="str">
        <v/>
      </c>
      <c r="AQ625" t="e">
        <v>#N/A</v>
      </c>
      <c r="AR625" t="e">
        <v>#N/A</v>
      </c>
      <c r="AS625" t="e">
        <v>#N/A</v>
      </c>
      <c r="AT625" t="e">
        <v>#N/A</v>
      </c>
      <c r="AU625" t="e">
        <v>#N/A</v>
      </c>
      <c r="AV625" t="e">
        <v>#N/A</v>
      </c>
    </row>
    <row r="626" spans="4:48" ht="15.75" x14ac:dyDescent="0.25">
      <c r="D626" s="3">
        <v>7</v>
      </c>
      <c r="F626" s="16" cm="1">
        <f t="array" ref="F6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26" s="31" cm="1">
        <f t="array" ref="G6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32</v>
      </c>
      <c r="H626" s="33" t="str">
        <f>_xlfn.IFNA(IF(MOD(HLG_02[[#This Row],[Rit]],
    _xlfn.XLOOKUP($G$2,Int_Sample[Ore],Int_Sample[Inc])) = 0, "YES", "NO"),"")</f>
        <v>NO</v>
      </c>
      <c r="I626" s="32" t="str">
        <f>TEXT(HLG_02[[#This Row],[Batch]],"000")&amp; " / " &amp; TEXT(HLG_02[[#This Row],[Rit]],"000")</f>
        <v>008 / 032</v>
      </c>
      <c r="J626" s="34"/>
      <c r="K626" s="38"/>
      <c r="L626" s="35"/>
      <c r="M626" s="66"/>
      <c r="N626" s="66"/>
      <c r="O626" s="66"/>
      <c r="P626" s="66"/>
      <c r="Q626" s="66"/>
      <c r="R626" s="67"/>
      <c r="S626" s="67"/>
      <c r="T626" s="67"/>
      <c r="U626" s="66"/>
      <c r="V626" s="66"/>
      <c r="W626" s="66"/>
      <c r="X626" s="85"/>
      <c r="AP626" t="str">
        <v/>
      </c>
      <c r="AQ626" t="e">
        <v>#N/A</v>
      </c>
      <c r="AR626" t="e">
        <v>#N/A</v>
      </c>
      <c r="AS626" t="e">
        <v>#N/A</v>
      </c>
      <c r="AT626" t="e">
        <v>#N/A</v>
      </c>
      <c r="AU626" t="e">
        <v>#N/A</v>
      </c>
      <c r="AV626" t="e">
        <v>#N/A</v>
      </c>
    </row>
    <row r="627" spans="4:48" ht="15.75" x14ac:dyDescent="0.25">
      <c r="D627" s="3">
        <v>7</v>
      </c>
      <c r="F627" s="16" cm="1">
        <f t="array" ref="F6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27" s="31" cm="1">
        <f t="array" ref="G6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33</v>
      </c>
      <c r="H627" s="33" t="str">
        <f>_xlfn.IFNA(IF(MOD(HLG_02[[#This Row],[Rit]],
    _xlfn.XLOOKUP($G$2,Int_Sample[Ore],Int_Sample[Inc])) = 0, "YES", "NO"),"")</f>
        <v>NO</v>
      </c>
      <c r="I627" s="32" t="str">
        <f>TEXT(HLG_02[[#This Row],[Batch]],"000")&amp; " / " &amp; TEXT(HLG_02[[#This Row],[Rit]],"000")</f>
        <v>008 / 033</v>
      </c>
      <c r="J627" s="34"/>
      <c r="K627" s="38"/>
      <c r="L627" s="35"/>
      <c r="M627" s="66"/>
      <c r="N627" s="66"/>
      <c r="O627" s="66"/>
      <c r="P627" s="66"/>
      <c r="Q627" s="66"/>
      <c r="R627" s="67"/>
      <c r="S627" s="67"/>
      <c r="T627" s="67"/>
      <c r="U627" s="66"/>
      <c r="V627" s="66"/>
      <c r="W627" s="66"/>
      <c r="X627" s="85"/>
      <c r="AP627" t="str">
        <v/>
      </c>
      <c r="AQ627" t="e">
        <v>#N/A</v>
      </c>
      <c r="AR627" t="e">
        <v>#N/A</v>
      </c>
      <c r="AS627" t="e">
        <v>#N/A</v>
      </c>
      <c r="AT627" t="e">
        <v>#N/A</v>
      </c>
      <c r="AU627" t="e">
        <v>#N/A</v>
      </c>
      <c r="AV627" t="e">
        <v>#N/A</v>
      </c>
    </row>
    <row r="628" spans="4:48" ht="15.75" x14ac:dyDescent="0.25">
      <c r="D628" s="3">
        <v>7</v>
      </c>
      <c r="F628" s="16" cm="1">
        <f t="array" ref="F6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28" s="31" cm="1">
        <f t="array" ref="G6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34</v>
      </c>
      <c r="H628" s="33" t="str">
        <f>_xlfn.IFNA(IF(MOD(HLG_02[[#This Row],[Rit]],
    _xlfn.XLOOKUP($G$2,Int_Sample[Ore],Int_Sample[Inc])) = 0, "YES", "NO"),"")</f>
        <v>NO</v>
      </c>
      <c r="I628" s="32" t="str">
        <f>TEXT(HLG_02[[#This Row],[Batch]],"000")&amp; " / " &amp; TEXT(HLG_02[[#This Row],[Rit]],"000")</f>
        <v>008 / 034</v>
      </c>
      <c r="J628" s="34"/>
      <c r="K628" s="38"/>
      <c r="L628" s="35"/>
      <c r="M628" s="66"/>
      <c r="N628" s="66"/>
      <c r="O628" s="66"/>
      <c r="P628" s="66"/>
      <c r="Q628" s="66"/>
      <c r="R628" s="67"/>
      <c r="S628" s="67"/>
      <c r="T628" s="67"/>
      <c r="U628" s="66"/>
      <c r="V628" s="66"/>
      <c r="W628" s="66"/>
      <c r="X628" s="85"/>
      <c r="AP628" t="str">
        <v/>
      </c>
      <c r="AQ628" t="e">
        <v>#N/A</v>
      </c>
      <c r="AR628" t="e">
        <v>#N/A</v>
      </c>
      <c r="AS628" t="e">
        <v>#N/A</v>
      </c>
      <c r="AT628" t="e">
        <v>#N/A</v>
      </c>
      <c r="AU628" t="e">
        <v>#N/A</v>
      </c>
      <c r="AV628" t="e">
        <v>#N/A</v>
      </c>
    </row>
    <row r="629" spans="4:48" ht="15.75" x14ac:dyDescent="0.25">
      <c r="D629" s="3">
        <v>7</v>
      </c>
      <c r="F629" s="16" cm="1">
        <f t="array" ref="F6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29" s="31" cm="1">
        <f t="array" ref="G6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35</v>
      </c>
      <c r="H629" s="33" t="str">
        <f>_xlfn.IFNA(IF(MOD(HLG_02[[#This Row],[Rit]],
    _xlfn.XLOOKUP($G$2,Int_Sample[Ore],Int_Sample[Inc])) = 0, "YES", "NO"),"")</f>
        <v>YES</v>
      </c>
      <c r="I629" s="32" t="str">
        <f>TEXT(HLG_02[[#This Row],[Batch]],"000")&amp; " / " &amp; TEXT(HLG_02[[#This Row],[Rit]],"000")</f>
        <v>008 / 035</v>
      </c>
      <c r="J629" s="34"/>
      <c r="K629" s="38"/>
      <c r="L629" s="35"/>
      <c r="M629" s="66"/>
      <c r="N629" s="66"/>
      <c r="O629" s="66"/>
      <c r="P629" s="66"/>
      <c r="Q629" s="66"/>
      <c r="R629" s="67"/>
      <c r="S629" s="67"/>
      <c r="T629" s="67"/>
      <c r="U629" s="66"/>
      <c r="V629" s="66"/>
      <c r="W629" s="66"/>
      <c r="X629" s="85"/>
      <c r="AP629" t="str">
        <v/>
      </c>
      <c r="AQ629" t="e">
        <v>#N/A</v>
      </c>
      <c r="AR629" t="e">
        <v>#N/A</v>
      </c>
      <c r="AS629" t="e">
        <v>#N/A</v>
      </c>
      <c r="AT629" t="e">
        <v>#N/A</v>
      </c>
      <c r="AU629" t="e">
        <v>#N/A</v>
      </c>
      <c r="AV629" t="e">
        <v>#N/A</v>
      </c>
    </row>
    <row r="630" spans="4:48" ht="15.75" x14ac:dyDescent="0.25">
      <c r="D630" s="3">
        <v>7</v>
      </c>
      <c r="F630" s="16" cm="1">
        <f t="array" ref="F6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30" s="31" cm="1">
        <f t="array" ref="G6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36</v>
      </c>
      <c r="H630" s="33" t="str">
        <f>_xlfn.IFNA(IF(MOD(HLG_02[[#This Row],[Rit]],
    _xlfn.XLOOKUP($G$2,Int_Sample[Ore],Int_Sample[Inc])) = 0, "YES", "NO"),"")</f>
        <v>NO</v>
      </c>
      <c r="I630" s="32" t="str">
        <f>TEXT(HLG_02[[#This Row],[Batch]],"000")&amp; " / " &amp; TEXT(HLG_02[[#This Row],[Rit]],"000")</f>
        <v>008 / 036</v>
      </c>
      <c r="J630" s="34"/>
      <c r="K630" s="38"/>
      <c r="L630" s="35"/>
      <c r="M630" s="66"/>
      <c r="N630" s="66"/>
      <c r="O630" s="66"/>
      <c r="P630" s="66"/>
      <c r="Q630" s="66"/>
      <c r="R630" s="67"/>
      <c r="S630" s="67"/>
      <c r="T630" s="67"/>
      <c r="U630" s="66"/>
      <c r="V630" s="66"/>
      <c r="W630" s="66"/>
      <c r="X630" s="85"/>
      <c r="AP630" t="str">
        <v/>
      </c>
      <c r="AQ630" t="e">
        <v>#N/A</v>
      </c>
      <c r="AR630" t="e">
        <v>#N/A</v>
      </c>
      <c r="AS630" t="e">
        <v>#N/A</v>
      </c>
      <c r="AT630" t="e">
        <v>#N/A</v>
      </c>
      <c r="AU630" t="e">
        <v>#N/A</v>
      </c>
      <c r="AV630" t="e">
        <v>#N/A</v>
      </c>
    </row>
    <row r="631" spans="4:48" ht="15.75" x14ac:dyDescent="0.25">
      <c r="D631" s="3">
        <v>7</v>
      </c>
      <c r="F631" s="16" cm="1">
        <f t="array" ref="F6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31" s="31" cm="1">
        <f t="array" ref="G6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37</v>
      </c>
      <c r="H631" s="33" t="str">
        <f>_xlfn.IFNA(IF(MOD(HLG_02[[#This Row],[Rit]],
    _xlfn.XLOOKUP($G$2,Int_Sample[Ore],Int_Sample[Inc])) = 0, "YES", "NO"),"")</f>
        <v>NO</v>
      </c>
      <c r="I631" s="32" t="str">
        <f>TEXT(HLG_02[[#This Row],[Batch]],"000")&amp; " / " &amp; TEXT(HLG_02[[#This Row],[Rit]],"000")</f>
        <v>008 / 037</v>
      </c>
      <c r="J631" s="34"/>
      <c r="K631" s="38"/>
      <c r="L631" s="35"/>
      <c r="M631" s="66"/>
      <c r="N631" s="66"/>
      <c r="O631" s="66"/>
      <c r="P631" s="66"/>
      <c r="Q631" s="66"/>
      <c r="R631" s="67"/>
      <c r="S631" s="67"/>
      <c r="T631" s="67"/>
      <c r="U631" s="66"/>
      <c r="V631" s="66"/>
      <c r="W631" s="66"/>
      <c r="X631" s="85"/>
      <c r="AP631" t="str">
        <v/>
      </c>
      <c r="AQ631" t="e">
        <v>#N/A</v>
      </c>
      <c r="AR631" t="e">
        <v>#N/A</v>
      </c>
      <c r="AS631" t="e">
        <v>#N/A</v>
      </c>
      <c r="AT631" t="e">
        <v>#N/A</v>
      </c>
      <c r="AU631" t="e">
        <v>#N/A</v>
      </c>
      <c r="AV631" t="e">
        <v>#N/A</v>
      </c>
    </row>
    <row r="632" spans="4:48" ht="15.75" x14ac:dyDescent="0.25">
      <c r="D632" s="3">
        <v>7</v>
      </c>
      <c r="F632" s="16" cm="1">
        <f t="array" ref="F6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32" s="31" cm="1">
        <f t="array" ref="G6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38</v>
      </c>
      <c r="H632" s="33" t="str">
        <f>_xlfn.IFNA(IF(MOD(HLG_02[[#This Row],[Rit]],
    _xlfn.XLOOKUP($G$2,Int_Sample[Ore],Int_Sample[Inc])) = 0, "YES", "NO"),"")</f>
        <v>NO</v>
      </c>
      <c r="I632" s="32" t="str">
        <f>TEXT(HLG_02[[#This Row],[Batch]],"000")&amp; " / " &amp; TEXT(HLG_02[[#This Row],[Rit]],"000")</f>
        <v>008 / 038</v>
      </c>
      <c r="J632" s="34"/>
      <c r="K632" s="38"/>
      <c r="L632" s="35"/>
      <c r="M632" s="66"/>
      <c r="N632" s="66"/>
      <c r="O632" s="66"/>
      <c r="P632" s="66"/>
      <c r="Q632" s="66"/>
      <c r="R632" s="67"/>
      <c r="S632" s="67"/>
      <c r="T632" s="67"/>
      <c r="U632" s="66"/>
      <c r="V632" s="66"/>
      <c r="W632" s="66"/>
      <c r="X632" s="85"/>
      <c r="AP632" t="str">
        <v/>
      </c>
      <c r="AQ632" t="e">
        <v>#N/A</v>
      </c>
      <c r="AR632" t="e">
        <v>#N/A</v>
      </c>
      <c r="AS632" t="e">
        <v>#N/A</v>
      </c>
      <c r="AT632" t="e">
        <v>#N/A</v>
      </c>
      <c r="AU632" t="e">
        <v>#N/A</v>
      </c>
      <c r="AV632" t="e">
        <v>#N/A</v>
      </c>
    </row>
    <row r="633" spans="4:48" ht="15.75" x14ac:dyDescent="0.25">
      <c r="D633" s="3">
        <v>7</v>
      </c>
      <c r="F633" s="16" cm="1">
        <f t="array" ref="F6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33" s="31" cm="1">
        <f t="array" ref="G6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39</v>
      </c>
      <c r="H633" s="33" t="str">
        <f>_xlfn.IFNA(IF(MOD(HLG_02[[#This Row],[Rit]],
    _xlfn.XLOOKUP($G$2,Int_Sample[Ore],Int_Sample[Inc])) = 0, "YES", "NO"),"")</f>
        <v>NO</v>
      </c>
      <c r="I633" s="32" t="str">
        <f>TEXT(HLG_02[[#This Row],[Batch]],"000")&amp; " / " &amp; TEXT(HLG_02[[#This Row],[Rit]],"000")</f>
        <v>008 / 039</v>
      </c>
      <c r="J633" s="34"/>
      <c r="K633" s="38"/>
      <c r="L633" s="35"/>
      <c r="M633" s="66"/>
      <c r="N633" s="66"/>
      <c r="O633" s="66"/>
      <c r="P633" s="66"/>
      <c r="Q633" s="66"/>
      <c r="R633" s="67"/>
      <c r="S633" s="67"/>
      <c r="T633" s="67"/>
      <c r="U633" s="66"/>
      <c r="V633" s="66"/>
      <c r="W633" s="66"/>
      <c r="X633" s="85"/>
      <c r="AP633" t="str">
        <v/>
      </c>
      <c r="AQ633" t="e">
        <v>#N/A</v>
      </c>
      <c r="AR633" t="e">
        <v>#N/A</v>
      </c>
      <c r="AS633" t="e">
        <v>#N/A</v>
      </c>
      <c r="AT633" t="e">
        <v>#N/A</v>
      </c>
      <c r="AU633" t="e">
        <v>#N/A</v>
      </c>
      <c r="AV633" t="e">
        <v>#N/A</v>
      </c>
    </row>
    <row r="634" spans="4:48" ht="15.75" x14ac:dyDescent="0.25">
      <c r="D634" s="3">
        <v>7</v>
      </c>
      <c r="F634" s="16" cm="1">
        <f t="array" ref="F6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34" s="31" cm="1">
        <f t="array" ref="G6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40</v>
      </c>
      <c r="H634" s="33" t="str">
        <f>_xlfn.IFNA(IF(MOD(HLG_02[[#This Row],[Rit]],
    _xlfn.XLOOKUP($G$2,Int_Sample[Ore],Int_Sample[Inc])) = 0, "YES", "NO"),"")</f>
        <v>YES</v>
      </c>
      <c r="I634" s="32" t="str">
        <f>TEXT(HLG_02[[#This Row],[Batch]],"000")&amp; " / " &amp; TEXT(HLG_02[[#This Row],[Rit]],"000")</f>
        <v>008 / 040</v>
      </c>
      <c r="J634" s="34"/>
      <c r="K634" s="38"/>
      <c r="L634" s="35"/>
      <c r="M634" s="66"/>
      <c r="N634" s="66"/>
      <c r="O634" s="66"/>
      <c r="P634" s="66"/>
      <c r="Q634" s="66"/>
      <c r="R634" s="67"/>
      <c r="S634" s="67"/>
      <c r="T634" s="67"/>
      <c r="U634" s="66"/>
      <c r="V634" s="66"/>
      <c r="W634" s="66"/>
      <c r="X634" s="85"/>
      <c r="AP634" t="str">
        <v/>
      </c>
      <c r="AQ634" t="e">
        <v>#N/A</v>
      </c>
      <c r="AR634" t="e">
        <v>#N/A</v>
      </c>
      <c r="AS634" t="e">
        <v>#N/A</v>
      </c>
      <c r="AT634" t="e">
        <v>#N/A</v>
      </c>
      <c r="AU634" t="e">
        <v>#N/A</v>
      </c>
      <c r="AV634" t="e">
        <v>#N/A</v>
      </c>
    </row>
    <row r="635" spans="4:48" ht="15.75" x14ac:dyDescent="0.25">
      <c r="D635" s="3">
        <v>7</v>
      </c>
      <c r="F635" s="16" cm="1">
        <f t="array" ref="F6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35" s="31" cm="1">
        <f t="array" ref="G6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41</v>
      </c>
      <c r="H635" s="33" t="str">
        <f>_xlfn.IFNA(IF(MOD(HLG_02[[#This Row],[Rit]],
    _xlfn.XLOOKUP($G$2,Int_Sample[Ore],Int_Sample[Inc])) = 0, "YES", "NO"),"")</f>
        <v>NO</v>
      </c>
      <c r="I635" s="32" t="str">
        <f>TEXT(HLG_02[[#This Row],[Batch]],"000")&amp; " / " &amp; TEXT(HLG_02[[#This Row],[Rit]],"000")</f>
        <v>008 / 041</v>
      </c>
      <c r="J635" s="34"/>
      <c r="K635" s="38"/>
      <c r="L635" s="35"/>
      <c r="M635" s="66"/>
      <c r="N635" s="66"/>
      <c r="O635" s="66"/>
      <c r="P635" s="66"/>
      <c r="Q635" s="66"/>
      <c r="R635" s="67"/>
      <c r="S635" s="67"/>
      <c r="T635" s="67"/>
      <c r="U635" s="66"/>
      <c r="V635" s="66"/>
      <c r="W635" s="66"/>
      <c r="X635" s="85"/>
      <c r="AP635" t="str">
        <v/>
      </c>
      <c r="AQ635" t="e">
        <v>#N/A</v>
      </c>
      <c r="AR635" t="e">
        <v>#N/A</v>
      </c>
      <c r="AS635" t="e">
        <v>#N/A</v>
      </c>
      <c r="AT635" t="e">
        <v>#N/A</v>
      </c>
      <c r="AU635" t="e">
        <v>#N/A</v>
      </c>
      <c r="AV635" t="e">
        <v>#N/A</v>
      </c>
    </row>
    <row r="636" spans="4:48" ht="15.75" x14ac:dyDescent="0.25">
      <c r="D636" s="3">
        <v>7</v>
      </c>
      <c r="F636" s="16" cm="1">
        <f t="array" ref="F6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36" s="31" cm="1">
        <f t="array" ref="G6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42</v>
      </c>
      <c r="H636" s="33" t="str">
        <f>_xlfn.IFNA(IF(MOD(HLG_02[[#This Row],[Rit]],
    _xlfn.XLOOKUP($G$2,Int_Sample[Ore],Int_Sample[Inc])) = 0, "YES", "NO"),"")</f>
        <v>NO</v>
      </c>
      <c r="I636" s="32" t="str">
        <f>TEXT(HLG_02[[#This Row],[Batch]],"000")&amp; " / " &amp; TEXT(HLG_02[[#This Row],[Rit]],"000")</f>
        <v>008 / 042</v>
      </c>
      <c r="J636" s="34"/>
      <c r="K636" s="38"/>
      <c r="L636" s="35"/>
      <c r="M636" s="66"/>
      <c r="N636" s="66"/>
      <c r="O636" s="66"/>
      <c r="P636" s="66"/>
      <c r="Q636" s="66"/>
      <c r="R636" s="67"/>
      <c r="S636" s="67"/>
      <c r="T636" s="67"/>
      <c r="U636" s="66"/>
      <c r="V636" s="66"/>
      <c r="W636" s="66"/>
      <c r="X636" s="85"/>
      <c r="AN636" s="3"/>
      <c r="AO636" s="3"/>
      <c r="AP636" t="str">
        <v/>
      </c>
      <c r="AQ636" t="e">
        <v>#N/A</v>
      </c>
      <c r="AR636" t="e">
        <v>#N/A</v>
      </c>
      <c r="AS636" t="e">
        <v>#N/A</v>
      </c>
      <c r="AT636" t="e">
        <v>#N/A</v>
      </c>
      <c r="AU636" t="e">
        <v>#N/A</v>
      </c>
      <c r="AV636" t="e">
        <v>#N/A</v>
      </c>
    </row>
    <row r="637" spans="4:48" ht="15.75" x14ac:dyDescent="0.25">
      <c r="D637" s="3">
        <v>7</v>
      </c>
      <c r="F637" s="16" cm="1">
        <f t="array" ref="F6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37" s="31" cm="1">
        <f t="array" ref="G6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43</v>
      </c>
      <c r="H637" s="33" t="str">
        <f>_xlfn.IFNA(IF(MOD(HLG_02[[#This Row],[Rit]],
    _xlfn.XLOOKUP($G$2,Int_Sample[Ore],Int_Sample[Inc])) = 0, "YES", "NO"),"")</f>
        <v>NO</v>
      </c>
      <c r="I637" s="32" t="str">
        <f>TEXT(HLG_02[[#This Row],[Batch]],"000")&amp; " / " &amp; TEXT(HLG_02[[#This Row],[Rit]],"000")</f>
        <v>008 / 043</v>
      </c>
      <c r="J637" s="34"/>
      <c r="K637" s="38"/>
      <c r="L637" s="35"/>
      <c r="M637" s="66"/>
      <c r="N637" s="66"/>
      <c r="O637" s="66"/>
      <c r="P637" s="66"/>
      <c r="Q637" s="66"/>
      <c r="R637" s="67"/>
      <c r="S637" s="67"/>
      <c r="T637" s="67"/>
      <c r="U637" s="66"/>
      <c r="V637" s="66"/>
      <c r="W637" s="66"/>
      <c r="X637" s="85"/>
      <c r="AN637" s="3"/>
      <c r="AO637" s="3"/>
      <c r="AP637" t="str">
        <v/>
      </c>
      <c r="AQ637" t="e">
        <v>#N/A</v>
      </c>
      <c r="AR637" t="e">
        <v>#N/A</v>
      </c>
      <c r="AS637" t="e">
        <v>#N/A</v>
      </c>
      <c r="AT637" t="e">
        <v>#N/A</v>
      </c>
      <c r="AU637" t="e">
        <v>#N/A</v>
      </c>
      <c r="AV637" t="e">
        <v>#N/A</v>
      </c>
    </row>
    <row r="638" spans="4:48" ht="15.75" x14ac:dyDescent="0.25">
      <c r="D638" s="3">
        <v>7</v>
      </c>
      <c r="F638" s="16" cm="1">
        <f t="array" ref="F6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8</v>
      </c>
      <c r="G638" s="31" cm="1">
        <f t="array" ref="G6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ROW(HLG_02[[#This Row],[Truck_ID]]) - ROW(HLG_02[#Headers]),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44</v>
      </c>
      <c r="H638" s="33" t="str">
        <f>_xlfn.IFNA(IF(MOD(HLG_02[[#This Row],[Rit]],
    _xlfn.XLOOKUP($G$2,Int_Sample[Ore],Int_Sample[Inc])) = 0, "YES", "NO"),"")</f>
        <v>NO</v>
      </c>
      <c r="I638" s="32" t="str">
        <f>TEXT(HLG_02[[#This Row],[Batch]],"000")&amp; " / " &amp; TEXT(HLG_02[[#This Row],[Rit]],"000")</f>
        <v>008 / 044</v>
      </c>
      <c r="J638" s="34"/>
      <c r="K638" s="38"/>
      <c r="L638" s="35"/>
      <c r="M638" s="66"/>
      <c r="N638" s="66"/>
      <c r="O638" s="66"/>
      <c r="P638" s="66"/>
      <c r="Q638" s="66"/>
      <c r="R638" s="67"/>
      <c r="S638" s="67"/>
      <c r="T638" s="67"/>
      <c r="U638" s="66"/>
      <c r="V638" s="66"/>
      <c r="W638" s="66"/>
      <c r="X638" s="85"/>
      <c r="AN638" s="3"/>
      <c r="AO638" s="3"/>
      <c r="AP638" t="str">
        <v/>
      </c>
      <c r="AQ638" t="e">
        <v>#N/A</v>
      </c>
      <c r="AR638" t="e">
        <v>#N/A</v>
      </c>
      <c r="AS638" t="e">
        <v>#N/A</v>
      </c>
      <c r="AT638" t="e">
        <v>#N/A</v>
      </c>
      <c r="AU638" t="e">
        <v>#N/A</v>
      </c>
      <c r="AV638" t="e">
        <v>#N/A</v>
      </c>
    </row>
    <row r="639" spans="4:48" x14ac:dyDescent="0.25">
      <c r="I639" s="66"/>
      <c r="J639" s="66"/>
      <c r="K639" s="66"/>
      <c r="L639" s="66"/>
      <c r="M639" s="66"/>
      <c r="N639" s="66"/>
      <c r="O639" s="66"/>
      <c r="P639" s="66"/>
      <c r="Q639" s="66"/>
      <c r="R639" s="67"/>
      <c r="S639" s="67"/>
      <c r="T639" s="67"/>
      <c r="U639" s="66"/>
      <c r="V639" s="66"/>
      <c r="W639" s="66"/>
      <c r="X639" s="85"/>
      <c r="AN639" s="3"/>
      <c r="AO639" s="3"/>
    </row>
    <row r="640" spans="4:48" x14ac:dyDescent="0.25">
      <c r="I640" s="66"/>
      <c r="J640" s="66"/>
      <c r="K640" s="66"/>
      <c r="L640" s="66"/>
      <c r="M640" s="66"/>
      <c r="N640" s="66"/>
      <c r="O640" s="66"/>
      <c r="P640" s="66"/>
      <c r="Q640" s="66"/>
      <c r="R640" s="67"/>
      <c r="S640" s="67"/>
      <c r="T640" s="67"/>
      <c r="U640" s="66"/>
      <c r="V640" s="66"/>
      <c r="W640" s="66"/>
      <c r="X640" s="85"/>
      <c r="AN640" s="3"/>
      <c r="AO640" s="3"/>
    </row>
    <row r="641" spans="9:41" x14ac:dyDescent="0.25">
      <c r="I641" s="66"/>
      <c r="J641" s="66"/>
      <c r="K641" s="66"/>
      <c r="L641" s="66"/>
      <c r="M641" s="66"/>
      <c r="N641" s="66"/>
      <c r="O641" s="66"/>
      <c r="P641" s="66"/>
      <c r="Q641" s="66"/>
      <c r="R641" s="67"/>
      <c r="S641" s="67"/>
      <c r="T641" s="67"/>
      <c r="U641" s="66"/>
      <c r="V641" s="66"/>
      <c r="W641" s="66"/>
      <c r="X641" s="85"/>
      <c r="AN641" s="3"/>
      <c r="AO641" s="3"/>
    </row>
    <row r="642" spans="9:41" x14ac:dyDescent="0.25">
      <c r="I642" s="66"/>
      <c r="J642" s="66"/>
      <c r="K642" s="66"/>
      <c r="L642" s="66"/>
      <c r="M642" s="66"/>
      <c r="N642" s="66"/>
      <c r="O642" s="66"/>
      <c r="P642" s="66"/>
      <c r="Q642" s="66"/>
      <c r="R642" s="67"/>
      <c r="S642" s="67"/>
      <c r="T642" s="67"/>
      <c r="U642" s="66"/>
      <c r="V642" s="66"/>
      <c r="W642" s="66"/>
      <c r="X642" s="85"/>
      <c r="AN642" s="3"/>
      <c r="AO642" s="3"/>
    </row>
    <row r="643" spans="9:41" x14ac:dyDescent="0.25">
      <c r="I643" s="66"/>
      <c r="J643" s="66"/>
      <c r="K643" s="66"/>
      <c r="L643" s="66"/>
      <c r="M643" s="66"/>
      <c r="N643" s="66"/>
      <c r="O643" s="66"/>
      <c r="P643" s="66"/>
      <c r="Q643" s="66"/>
      <c r="R643" s="67"/>
      <c r="S643" s="67"/>
      <c r="T643" s="67"/>
      <c r="U643" s="66"/>
      <c r="V643" s="66"/>
      <c r="W643" s="66"/>
      <c r="X643" s="85"/>
      <c r="AN643" s="3"/>
      <c r="AO643" s="3"/>
    </row>
    <row r="644" spans="9:41" x14ac:dyDescent="0.25">
      <c r="I644" s="66"/>
      <c r="J644" s="66"/>
      <c r="K644" s="66"/>
      <c r="L644" s="66"/>
      <c r="M644" s="66"/>
      <c r="N644" s="66"/>
      <c r="O644" s="66"/>
      <c r="P644" s="66"/>
      <c r="Q644" s="66"/>
      <c r="R644" s="67"/>
      <c r="S644" s="67"/>
      <c r="T644" s="67"/>
      <c r="U644" s="66"/>
      <c r="V644" s="66"/>
      <c r="W644" s="66"/>
      <c r="X644" s="85"/>
      <c r="AN644" s="3"/>
      <c r="AO644" s="3"/>
    </row>
    <row r="645" spans="9:41" x14ac:dyDescent="0.25">
      <c r="I645" s="66"/>
      <c r="J645" s="66"/>
      <c r="K645" s="66"/>
      <c r="L645" s="66"/>
      <c r="M645" s="66"/>
      <c r="N645" s="66"/>
      <c r="O645" s="66"/>
      <c r="P645" s="66"/>
      <c r="Q645" s="66"/>
      <c r="R645" s="67"/>
      <c r="S645" s="67"/>
      <c r="T645" s="67"/>
      <c r="U645" s="66"/>
      <c r="V645" s="66"/>
      <c r="W645" s="66"/>
      <c r="X645" s="85"/>
      <c r="AN645" s="3"/>
      <c r="AO645" s="3"/>
    </row>
    <row r="646" spans="9:41" x14ac:dyDescent="0.25">
      <c r="I646" s="66"/>
      <c r="J646" s="66"/>
      <c r="K646" s="66"/>
      <c r="L646" s="66"/>
      <c r="M646" s="66"/>
      <c r="N646" s="66"/>
      <c r="O646" s="66"/>
      <c r="P646" s="66"/>
      <c r="Q646" s="66"/>
      <c r="R646" s="67"/>
      <c r="S646" s="67"/>
      <c r="T646" s="67"/>
      <c r="U646" s="66"/>
      <c r="V646" s="66"/>
      <c r="W646" s="66"/>
      <c r="X646" s="85"/>
      <c r="AN646" s="3"/>
      <c r="AO646" s="3"/>
    </row>
    <row r="647" spans="9:41" x14ac:dyDescent="0.25">
      <c r="I647" s="66"/>
      <c r="J647" s="66"/>
      <c r="K647" s="66"/>
      <c r="L647" s="66"/>
      <c r="M647" s="66"/>
      <c r="N647" s="66"/>
      <c r="O647" s="66"/>
      <c r="P647" s="66"/>
      <c r="Q647" s="66"/>
      <c r="R647" s="67"/>
      <c r="S647" s="67"/>
      <c r="T647" s="67"/>
      <c r="U647" s="66"/>
      <c r="V647" s="66"/>
      <c r="W647" s="66"/>
      <c r="X647" s="85"/>
      <c r="AN647" s="3"/>
      <c r="AO647" s="3"/>
    </row>
    <row r="648" spans="9:41" x14ac:dyDescent="0.25">
      <c r="I648" s="66"/>
      <c r="J648" s="66"/>
      <c r="K648" s="66"/>
      <c r="L648" s="66"/>
      <c r="M648" s="66"/>
      <c r="N648" s="66"/>
      <c r="O648" s="66"/>
      <c r="P648" s="66"/>
      <c r="Q648" s="66"/>
      <c r="R648" s="67"/>
      <c r="S648" s="67"/>
      <c r="T648" s="67"/>
      <c r="U648" s="66"/>
      <c r="V648" s="66"/>
      <c r="W648" s="66"/>
      <c r="X648" s="85"/>
      <c r="AN648" s="3"/>
      <c r="AO648" s="3"/>
    </row>
    <row r="649" spans="9:41" x14ac:dyDescent="0.25">
      <c r="I649" s="66"/>
      <c r="J649" s="66"/>
      <c r="K649" s="66"/>
      <c r="L649" s="66"/>
      <c r="M649" s="66"/>
      <c r="N649" s="66"/>
      <c r="O649" s="66"/>
      <c r="P649" s="66"/>
      <c r="Q649" s="66"/>
      <c r="R649" s="67"/>
      <c r="S649" s="67"/>
      <c r="T649" s="67"/>
      <c r="U649" s="68"/>
      <c r="V649" s="66"/>
      <c r="W649" s="66"/>
      <c r="X649" s="85"/>
      <c r="AN649" s="3"/>
      <c r="AO649" s="3"/>
    </row>
    <row r="650" spans="9:41" x14ac:dyDescent="0.25">
      <c r="I650" s="66"/>
      <c r="J650" s="66"/>
      <c r="K650" s="66"/>
      <c r="L650" s="66"/>
      <c r="M650" s="66"/>
      <c r="N650" s="66"/>
      <c r="O650" s="66"/>
      <c r="P650" s="66"/>
      <c r="Q650" s="66"/>
      <c r="R650" s="67"/>
      <c r="S650" s="67"/>
      <c r="T650" s="67"/>
      <c r="U650" s="68"/>
      <c r="V650" s="66"/>
      <c r="W650" s="66"/>
      <c r="X650" s="85"/>
      <c r="AN650" s="3"/>
      <c r="AO650" s="3"/>
    </row>
    <row r="651" spans="9:41" x14ac:dyDescent="0.25">
      <c r="I651" s="66"/>
      <c r="J651" s="66"/>
      <c r="K651" s="66"/>
      <c r="L651" s="66"/>
      <c r="M651" s="66"/>
      <c r="N651" s="66"/>
      <c r="O651" s="66"/>
      <c r="P651" s="66"/>
      <c r="Q651" s="66"/>
      <c r="R651" s="67"/>
      <c r="S651" s="67"/>
      <c r="T651" s="67"/>
      <c r="U651" s="68"/>
      <c r="V651" s="66"/>
      <c r="W651" s="66"/>
      <c r="X651" s="85"/>
      <c r="AN651" s="3"/>
      <c r="AO651" s="3"/>
    </row>
    <row r="652" spans="9:41" x14ac:dyDescent="0.25">
      <c r="I652" s="66"/>
      <c r="J652" s="66"/>
      <c r="K652" s="66"/>
      <c r="L652" s="66"/>
      <c r="M652" s="66"/>
      <c r="N652" s="66"/>
      <c r="O652" s="66"/>
      <c r="P652" s="66"/>
      <c r="Q652" s="66"/>
      <c r="R652" s="67"/>
      <c r="S652" s="67"/>
      <c r="T652" s="67"/>
      <c r="U652" s="66"/>
      <c r="V652" s="66"/>
      <c r="W652" s="66"/>
      <c r="X652" s="85"/>
      <c r="AN652" s="3"/>
      <c r="AO652" s="3"/>
    </row>
    <row r="653" spans="9:41" x14ac:dyDescent="0.25">
      <c r="I653" s="66"/>
      <c r="J653" s="66"/>
      <c r="K653" s="66"/>
      <c r="L653" s="66"/>
      <c r="M653" s="66"/>
      <c r="N653" s="66"/>
      <c r="O653" s="66"/>
      <c r="P653" s="66"/>
      <c r="Q653" s="66"/>
      <c r="R653" s="67"/>
      <c r="S653" s="67"/>
      <c r="T653" s="67"/>
      <c r="U653" s="66"/>
      <c r="V653" s="66"/>
      <c r="W653" s="66"/>
      <c r="X653" s="85"/>
      <c r="AN653" s="3"/>
      <c r="AO653" s="3"/>
    </row>
    <row r="654" spans="9:41" x14ac:dyDescent="0.25">
      <c r="I654" s="66"/>
      <c r="J654" s="66"/>
      <c r="K654" s="66"/>
      <c r="L654" s="66"/>
      <c r="M654" s="66"/>
      <c r="N654" s="66"/>
      <c r="O654" s="66"/>
      <c r="P654" s="66"/>
      <c r="Q654" s="66"/>
      <c r="R654" s="67"/>
      <c r="S654" s="67"/>
      <c r="T654" s="67"/>
      <c r="U654" s="66"/>
      <c r="V654" s="66"/>
      <c r="W654" s="66"/>
      <c r="X654" s="85"/>
      <c r="AN654" s="3"/>
      <c r="AO654" s="3"/>
    </row>
    <row r="655" spans="9:41" x14ac:dyDescent="0.25">
      <c r="I655" s="66"/>
      <c r="J655" s="66"/>
      <c r="K655" s="66"/>
      <c r="L655" s="66"/>
      <c r="M655" s="66"/>
      <c r="N655" s="66"/>
      <c r="O655" s="66"/>
      <c r="P655" s="66"/>
      <c r="Q655" s="66"/>
      <c r="R655" s="67"/>
      <c r="S655" s="67"/>
      <c r="T655" s="67"/>
      <c r="U655" s="66"/>
      <c r="V655" s="66"/>
      <c r="W655" s="66"/>
      <c r="X655" s="85"/>
      <c r="AN655" s="3"/>
      <c r="AO655" s="3"/>
    </row>
    <row r="656" spans="9:41" x14ac:dyDescent="0.25">
      <c r="I656" s="66"/>
      <c r="J656" s="66"/>
      <c r="K656" s="66"/>
      <c r="L656" s="66"/>
      <c r="M656" s="66"/>
      <c r="N656" s="66"/>
      <c r="O656" s="66"/>
      <c r="P656" s="66"/>
      <c r="Q656" s="66"/>
      <c r="R656" s="67"/>
      <c r="S656" s="67"/>
      <c r="T656" s="67"/>
      <c r="U656" s="66"/>
      <c r="V656" s="66"/>
      <c r="W656" s="66"/>
      <c r="X656" s="85"/>
      <c r="AN656" s="3"/>
      <c r="AO656" s="3"/>
    </row>
    <row r="657" spans="9:24" x14ac:dyDescent="0.25">
      <c r="I657" s="66"/>
      <c r="J657" s="66"/>
      <c r="K657" s="66"/>
      <c r="L657" s="66"/>
      <c r="M657" s="66"/>
      <c r="N657" s="66"/>
      <c r="O657" s="66"/>
      <c r="P657" s="66"/>
      <c r="Q657" s="66"/>
      <c r="R657" s="67"/>
      <c r="S657" s="67"/>
      <c r="T657" s="67"/>
      <c r="U657" s="66"/>
      <c r="V657" s="66"/>
      <c r="W657" s="66"/>
      <c r="X657" s="85"/>
    </row>
    <row r="658" spans="9:24" x14ac:dyDescent="0.25">
      <c r="I658" s="66"/>
      <c r="J658" s="66"/>
      <c r="K658" s="66"/>
      <c r="L658" s="66"/>
      <c r="M658" s="66"/>
      <c r="N658" s="66"/>
      <c r="O658" s="66"/>
      <c r="P658" s="66"/>
      <c r="Q658" s="66"/>
      <c r="R658" s="67"/>
      <c r="S658" s="67"/>
      <c r="T658" s="67"/>
      <c r="U658" s="66"/>
      <c r="V658" s="66"/>
      <c r="W658" s="66"/>
      <c r="X658" s="85"/>
    </row>
    <row r="659" spans="9:24" x14ac:dyDescent="0.25">
      <c r="I659" s="66"/>
      <c r="J659" s="66"/>
      <c r="K659" s="66"/>
      <c r="L659" s="66"/>
      <c r="M659" s="66"/>
      <c r="N659" s="66"/>
      <c r="O659" s="66"/>
      <c r="P659" s="66"/>
      <c r="Q659" s="66"/>
      <c r="R659" s="67"/>
      <c r="S659" s="67"/>
      <c r="T659" s="67"/>
      <c r="U659" s="66"/>
      <c r="V659" s="66"/>
      <c r="W659" s="66"/>
      <c r="X659" s="85"/>
    </row>
    <row r="660" spans="9:24" x14ac:dyDescent="0.25">
      <c r="I660" s="66"/>
      <c r="J660" s="66"/>
      <c r="K660" s="66"/>
      <c r="L660" s="66"/>
      <c r="M660" s="66"/>
      <c r="N660" s="66"/>
      <c r="O660" s="66"/>
      <c r="P660" s="66"/>
      <c r="Q660" s="66"/>
      <c r="R660" s="67"/>
      <c r="S660" s="67"/>
      <c r="T660" s="67"/>
      <c r="U660" s="66"/>
      <c r="V660" s="66"/>
      <c r="W660" s="66"/>
      <c r="X660" s="85"/>
    </row>
    <row r="661" spans="9:24" x14ac:dyDescent="0.25">
      <c r="I661" s="66"/>
      <c r="J661" s="66"/>
      <c r="K661" s="66"/>
      <c r="L661" s="66"/>
      <c r="M661" s="66"/>
      <c r="N661" s="66"/>
      <c r="O661" s="66"/>
      <c r="P661" s="66"/>
      <c r="Q661" s="66"/>
      <c r="R661" s="67"/>
      <c r="S661" s="67"/>
      <c r="T661" s="67"/>
      <c r="U661" s="66"/>
      <c r="V661" s="66"/>
      <c r="W661" s="66"/>
      <c r="X661" s="85"/>
    </row>
    <row r="662" spans="9:24" x14ac:dyDescent="0.25">
      <c r="I662" s="66"/>
      <c r="J662" s="66"/>
      <c r="K662" s="66"/>
      <c r="L662" s="66"/>
      <c r="M662" s="66"/>
      <c r="N662" s="66"/>
      <c r="O662" s="66"/>
      <c r="P662" s="66"/>
      <c r="Q662" s="66"/>
      <c r="R662" s="67"/>
      <c r="S662" s="67"/>
      <c r="T662" s="67"/>
      <c r="U662" s="66"/>
      <c r="V662" s="66"/>
      <c r="W662" s="66"/>
      <c r="X662" s="85"/>
    </row>
    <row r="663" spans="9:24" x14ac:dyDescent="0.25">
      <c r="I663" s="66"/>
      <c r="J663" s="66"/>
      <c r="K663" s="66"/>
      <c r="L663" s="66"/>
      <c r="M663" s="66"/>
      <c r="N663" s="66"/>
      <c r="O663" s="66"/>
      <c r="P663" s="66"/>
      <c r="Q663" s="66"/>
      <c r="R663" s="67"/>
      <c r="S663" s="67"/>
      <c r="T663" s="67"/>
      <c r="U663" s="66"/>
      <c r="V663" s="66"/>
      <c r="W663" s="66"/>
      <c r="X663" s="85"/>
    </row>
    <row r="664" spans="9:24" x14ac:dyDescent="0.25">
      <c r="I664" s="66"/>
      <c r="J664" s="66"/>
      <c r="K664" s="66"/>
      <c r="L664" s="66"/>
      <c r="M664" s="66"/>
      <c r="N664" s="66"/>
      <c r="O664" s="66"/>
      <c r="P664" s="66"/>
      <c r="Q664" s="66"/>
      <c r="R664" s="67"/>
      <c r="S664" s="67"/>
      <c r="T664" s="67"/>
      <c r="U664" s="66"/>
      <c r="V664" s="66"/>
      <c r="W664" s="66"/>
      <c r="X664" s="85"/>
    </row>
    <row r="665" spans="9:24" x14ac:dyDescent="0.25">
      <c r="I665" s="66"/>
      <c r="J665" s="66"/>
      <c r="K665" s="66"/>
      <c r="L665" s="66"/>
      <c r="M665" s="66"/>
      <c r="N665" s="66"/>
      <c r="O665" s="66"/>
      <c r="P665" s="66"/>
      <c r="Q665" s="66"/>
      <c r="R665" s="67"/>
      <c r="S665" s="67"/>
      <c r="T665" s="67"/>
      <c r="U665" s="66"/>
      <c r="V665" s="66"/>
      <c r="W665" s="66"/>
      <c r="X665" s="85"/>
    </row>
    <row r="666" spans="9:24" x14ac:dyDescent="0.25">
      <c r="I666" s="66"/>
      <c r="J666" s="66"/>
      <c r="K666" s="66"/>
      <c r="L666" s="66"/>
      <c r="M666" s="66"/>
      <c r="N666" s="66"/>
      <c r="O666" s="66"/>
      <c r="P666" s="66"/>
      <c r="Q666" s="66"/>
      <c r="R666" s="67"/>
      <c r="S666" s="67"/>
      <c r="T666" s="67"/>
      <c r="U666" s="66"/>
      <c r="V666" s="66"/>
      <c r="W666" s="66"/>
      <c r="X666" s="85"/>
    </row>
    <row r="667" spans="9:24" x14ac:dyDescent="0.25">
      <c r="I667" s="66"/>
      <c r="J667" s="66"/>
      <c r="K667" s="66"/>
      <c r="L667" s="66"/>
      <c r="M667" s="66"/>
      <c r="N667" s="66"/>
      <c r="O667" s="66"/>
      <c r="P667" s="66"/>
      <c r="Q667" s="66"/>
      <c r="R667" s="67"/>
      <c r="S667" s="67"/>
      <c r="T667" s="67"/>
      <c r="U667" s="66"/>
      <c r="V667" s="66"/>
      <c r="W667" s="66"/>
      <c r="X667" s="85"/>
    </row>
    <row r="668" spans="9:24" x14ac:dyDescent="0.25">
      <c r="I668" s="66"/>
      <c r="J668" s="66"/>
      <c r="K668" s="66"/>
      <c r="L668" s="66"/>
      <c r="M668" s="66"/>
      <c r="N668" s="66"/>
      <c r="O668" s="66"/>
      <c r="P668" s="66"/>
      <c r="Q668" s="66"/>
      <c r="R668" s="67"/>
      <c r="S668" s="67"/>
      <c r="T668" s="67"/>
      <c r="U668" s="66"/>
      <c r="V668" s="66"/>
      <c r="W668" s="66"/>
      <c r="X668" s="85"/>
    </row>
    <row r="669" spans="9:24" x14ac:dyDescent="0.25">
      <c r="I669" s="66"/>
      <c r="J669" s="66"/>
      <c r="K669" s="66"/>
      <c r="L669" s="66"/>
      <c r="M669" s="66"/>
      <c r="N669" s="66"/>
      <c r="O669" s="66"/>
      <c r="P669" s="66"/>
      <c r="Q669" s="66"/>
      <c r="R669" s="67"/>
      <c r="S669" s="67"/>
      <c r="T669" s="67"/>
      <c r="U669" s="66"/>
      <c r="V669" s="66"/>
      <c r="W669" s="66"/>
      <c r="X669" s="85"/>
    </row>
    <row r="670" spans="9:24" x14ac:dyDescent="0.25">
      <c r="I670" s="66"/>
      <c r="J670" s="66"/>
      <c r="K670" s="66"/>
      <c r="L670" s="66"/>
      <c r="M670" s="66"/>
      <c r="N670" s="66"/>
      <c r="O670" s="66"/>
      <c r="P670" s="66"/>
      <c r="Q670" s="66"/>
      <c r="R670" s="67"/>
      <c r="S670" s="67"/>
      <c r="T670" s="67"/>
      <c r="U670" s="66"/>
      <c r="V670" s="66"/>
      <c r="W670" s="66"/>
      <c r="X670" s="85"/>
    </row>
    <row r="671" spans="9:24" x14ac:dyDescent="0.25">
      <c r="I671" s="66"/>
      <c r="J671" s="66"/>
      <c r="K671" s="66"/>
      <c r="L671" s="66"/>
      <c r="M671" s="66"/>
      <c r="N671" s="66"/>
      <c r="O671" s="66"/>
      <c r="P671" s="66"/>
      <c r="Q671" s="66"/>
      <c r="R671" s="67"/>
      <c r="S671" s="67"/>
      <c r="T671" s="67"/>
      <c r="U671" s="66"/>
      <c r="V671" s="66"/>
      <c r="W671" s="66"/>
      <c r="X671" s="85"/>
    </row>
    <row r="672" spans="9:24" x14ac:dyDescent="0.25">
      <c r="I672" s="66"/>
      <c r="J672" s="66"/>
      <c r="K672" s="66"/>
      <c r="L672" s="66"/>
      <c r="M672" s="66"/>
      <c r="N672" s="66"/>
      <c r="O672" s="66"/>
      <c r="P672" s="66"/>
      <c r="Q672" s="66"/>
      <c r="R672" s="67"/>
      <c r="S672" s="67"/>
      <c r="T672" s="67"/>
      <c r="U672" s="66"/>
      <c r="V672" s="66"/>
      <c r="W672" s="66"/>
      <c r="X672" s="85"/>
    </row>
    <row r="673" spans="9:24" x14ac:dyDescent="0.25">
      <c r="I673" s="66"/>
      <c r="J673" s="66"/>
      <c r="K673" s="66"/>
      <c r="L673" s="66"/>
      <c r="M673" s="66"/>
      <c r="N673" s="66"/>
      <c r="O673" s="66"/>
      <c r="P673" s="66"/>
      <c r="Q673" s="66"/>
      <c r="R673" s="67"/>
      <c r="S673" s="67"/>
      <c r="T673" s="67"/>
      <c r="U673" s="66"/>
      <c r="V673" s="66"/>
      <c r="W673" s="66"/>
      <c r="X673" s="85"/>
    </row>
  </sheetData>
  <sheetProtection sheet="1" objects="1" scenarios="1"/>
  <conditionalFormatting sqref="F2">
    <cfRule type="expression" dxfId="67" priority="11">
      <formula>AND($F$2&gt;0,ISNA(MATCH($F$2,_xlfn.ANCHORARRAY(#REF!),0)))</formula>
    </cfRule>
  </conditionalFormatting>
  <conditionalFormatting sqref="H5:L638">
    <cfRule type="expression" dxfId="66" priority="14">
      <formula>AND($G$2="SAP",$H5="YES")</formula>
    </cfRule>
    <cfRule type="expression" dxfId="65" priority="15">
      <formula>AND($G$2="LIM",$H5="YES")</formula>
    </cfRule>
  </conditionalFormatting>
  <conditionalFormatting sqref="I2">
    <cfRule type="expression" dxfId="64" priority="10">
      <formula>AND($I$2&gt;0,ISNA(MATCH($I$2,_xlfn.ANCHORARRAY($A$1),0)))</formula>
    </cfRule>
  </conditionalFormatting>
  <conditionalFormatting sqref="J1">
    <cfRule type="containsText" dxfId="63" priority="8" operator="containsText" text="Skipped">
      <formula>NOT(ISERROR(SEARCH("Skipped",J1)))</formula>
    </cfRule>
  </conditionalFormatting>
  <conditionalFormatting sqref="J5:J638">
    <cfRule type="expression" dxfId="62" priority="13">
      <formula>AND($J5&gt;0,ISNA(MATCH($J5,_xlfn.ANCHORARRAY($B$1),0)))</formula>
    </cfRule>
  </conditionalFormatting>
  <conditionalFormatting sqref="J5:K638">
    <cfRule type="expression" dxfId="61" priority="7">
      <formula>$D5="Skipped"</formula>
    </cfRule>
  </conditionalFormatting>
  <conditionalFormatting sqref="J1:L3">
    <cfRule type="cellIs" dxfId="60" priority="12" operator="greaterThan">
      <formula>0</formula>
    </cfRule>
  </conditionalFormatting>
  <conditionalFormatting sqref="K5:K638">
    <cfRule type="expression" dxfId="59" priority="9">
      <formula>(ISNA($D5))</formula>
    </cfRule>
  </conditionalFormatting>
  <conditionalFormatting sqref="M1:N1">
    <cfRule type="expression" dxfId="58" priority="2">
      <formula>$N$1&gt;0</formula>
    </cfRule>
  </conditionalFormatting>
  <conditionalFormatting sqref="S1:T100">
    <cfRule type="expression" dxfId="57" priority="1">
      <formula>$T1&lt;&gt;""</formula>
    </cfRule>
  </conditionalFormatting>
  <dataValidations count="3">
    <dataValidation type="list" allowBlank="1" showInputMessage="1" showErrorMessage="1" sqref="J5:J638" xr:uid="{E794C931-F059-49DE-9471-EB10E639179D}">
      <formula1>_xlfn.ANCHORARRAY($B$1)</formula1>
    </dataValidation>
    <dataValidation type="list" allowBlank="1" showInputMessage="1" showErrorMessage="1" sqref="I2" xr:uid="{C13A84A4-98BC-4CDF-8264-088B55376ADE}">
      <formula1>_xlfn.ANCHORARRAY($A$1)</formula1>
    </dataValidation>
    <dataValidation type="list" allowBlank="1" showInputMessage="1" showErrorMessage="1" sqref="K5:K638" xr:uid="{63CF53A2-AA3F-40F9-BE06-947BB75271D3}">
      <formula1>Input_Truck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E817-4E4B-4136-A467-615532046F2A}">
  <sheetPr codeName="Sheet7">
    <tabColor rgb="FF00FFCC"/>
  </sheetPr>
  <dimension ref="A1:DU673"/>
  <sheetViews>
    <sheetView showGridLines="0" zoomScale="130" zoomScaleNormal="130" zoomScaleSheetLayoutView="100" workbookViewId="0">
      <pane xSplit="11" ySplit="4" topLeftCell="L5" activePane="bottomRight" state="frozen"/>
      <selection activeCell="K27" sqref="K27"/>
      <selection pane="topRight" activeCell="K27" sqref="K27"/>
      <selection pane="bottomLeft" activeCell="K27" sqref="K27"/>
      <selection pane="bottomRight" activeCell="I6" sqref="I6"/>
    </sheetView>
  </sheetViews>
  <sheetFormatPr defaultRowHeight="15" x14ac:dyDescent="0.25"/>
  <cols>
    <col min="1" max="1" width="10" hidden="1" customWidth="1"/>
    <col min="2" max="2" width="9.5703125" hidden="1" customWidth="1"/>
    <col min="3" max="3" width="1.5703125" style="14" hidden="1" customWidth="1"/>
    <col min="4" max="4" width="7.7109375" style="3" hidden="1" customWidth="1"/>
    <col min="5" max="5" width="6.140625" hidden="1" customWidth="1"/>
    <col min="6" max="6" width="5.5703125" hidden="1" customWidth="1"/>
    <col min="7" max="7" width="10.140625" hidden="1" customWidth="1"/>
    <col min="8" max="8" width="0.7109375" hidden="1" customWidth="1"/>
    <col min="9" max="9" width="13.42578125" customWidth="1"/>
    <col min="10" max="10" width="11.42578125" bestFit="1" customWidth="1"/>
    <col min="11" max="11" width="15.85546875" customWidth="1"/>
    <col min="12" max="12" width="14.85546875" customWidth="1"/>
    <col min="13" max="13" width="10.28515625" customWidth="1"/>
    <col min="14" max="14" width="9.28515625" bestFit="1" customWidth="1"/>
    <col min="15" max="15" width="9.7109375" hidden="1" customWidth="1"/>
    <col min="16" max="17" width="0" hidden="1" customWidth="1"/>
    <col min="18" max="18" width="0" style="3" hidden="1" customWidth="1"/>
    <col min="19" max="19" width="6.42578125" style="3" bestFit="1" customWidth="1"/>
    <col min="20" max="20" width="4.85546875" style="3" customWidth="1"/>
    <col min="21" max="21" width="0" hidden="1" customWidth="1"/>
    <col min="22" max="23" width="14.28515625" customWidth="1"/>
    <col min="24" max="24" width="12.7109375" style="86" customWidth="1"/>
    <col min="25" max="25" width="7.7109375" hidden="1" customWidth="1"/>
    <col min="26" max="26" width="18.140625" hidden="1" customWidth="1"/>
    <col min="27" max="27" width="12.7109375" hidden="1" customWidth="1"/>
    <col min="28" max="28" width="9" hidden="1" customWidth="1"/>
    <col min="29" max="29" width="11.7109375" hidden="1" customWidth="1"/>
    <col min="30" max="30" width="9.5703125" hidden="1" customWidth="1"/>
    <col min="31" max="31" width="8.5703125" hidden="1" customWidth="1"/>
    <col min="32" max="32" width="7.5703125" hidden="1" customWidth="1"/>
    <col min="33" max="33" width="8.140625" hidden="1" customWidth="1"/>
    <col min="34" max="34" width="9.5703125" hidden="1" customWidth="1"/>
    <col min="35" max="39" width="6.140625" hidden="1" customWidth="1"/>
    <col min="40" max="41" width="11.7109375" hidden="1" customWidth="1"/>
    <col min="42" max="92" width="13.42578125" hidden="1" customWidth="1"/>
    <col min="93" max="125" width="9.140625" hidden="1" customWidth="1"/>
    <col min="126" max="176" width="9.140625" customWidth="1"/>
  </cols>
  <sheetData>
    <row r="1" spans="1:125" ht="17.25" customHeight="1" x14ac:dyDescent="0.25">
      <c r="A1" t="str" cm="1">
        <f t="array" ref="A1:A8">_xlfn.UNIQUE(_xlfn._xlws.SORT(_xlfn._xlws.FILTER(Sample_Pending[Pile_ID],(Sample_Pending[Status]="Cont")*(Sample_Pending[Pile_ID]&gt;0)*(ISNUMBER(MATCH(Sample_Pending[Pile_ID],Pile_area[pile_id],0))))))</f>
        <v>BR-C12_L12</v>
      </c>
      <c r="B1" t="e" cm="1" vm="1">
        <f t="array" ref="B1">_xlfn._xlws.FILTER(List_Front,(Front_Des[Dest]=$I$2)*(List_Front&lt;&gt;""))</f>
        <v>#VALUE!</v>
      </c>
      <c r="C1" s="3"/>
      <c r="F1" s="29" t="s">
        <v>101</v>
      </c>
      <c r="G1" s="28" t="s">
        <v>2473</v>
      </c>
      <c r="I1" s="29" t="s">
        <v>2450</v>
      </c>
      <c r="J1" s="65" cm="1">
        <f t="array" ref="J1">_xlfn.LET(_xlpm.skp, COUNTIF(_xlfn.ANCHORARRAY($D$5),"Skipped"),
     _xlpm.fltr,(Sample_Pending[Pile_ID]=$I$2)*(Sample_Pending[Rit]&gt;0)*(Sample_Pending[Status]="Cont"),
     _xlpm.list,_xlfn._xlws.SORT(_xlfn._xlws.FILTER(TEXT(Sample_Pending[Batch],"000")&amp;" / "&amp;TEXT(Sample_Pending[Rit],"00"),_xlpm.fltr)),
     _xlpm.drp,2,
     _xlpm.trnd, TRANSPOSE(_xlfn.SEQUENCE(_xlpm.drp,3,_xlpm.drp+1)),
     _xlpm.pndng, _xlfn.IFNA(IF(SUM(--_xlpm.fltr)&gt;0,
             _xlfn.HSTACK(_xlfn.VSTACK(SUM(--_xlpm.fltr)&amp;" PENDING",_xlfn.TAKE(_xlpm.list,_xlpm.drp)),
                    IFERROR(INDEX(_xlpm.list,_xlpm.trnd),0)),0),0),
     _xlpm.skipped, _xlfn.LET( _xlpm.lst, _xlfn._xlws.FILTER(HLG_03[Incriment], ISNA(_xlfn.ANCHORARRAY($D$5)) + IFERROR(_xlfn.ANCHORARRAY($D$5)="Skipped", 0)),
                        _xlfn.IFNA(_xlfn.HSTACK(_xlfn.VSTACK( _xlpm.skp &amp; " Skipped", _xlfn.TAKE(_xlpm.lst,_xlpm.drp)),
                               IFERROR(INDEX(_xlpm.lst, _xlpm.trnd),0)),0)),
     _xlpm.rslt, IF(_xlpm.skp&gt;0, _xlpm.skipped, _xlpm.pndng),
     _xlpm.rslt)</f>
        <v>0</v>
      </c>
      <c r="K1" s="65"/>
      <c r="L1" s="65"/>
      <c r="M1" s="89"/>
      <c r="N1" s="101">
        <f>IF(COUNTBLANK(_xlfn.ANCHORARRAY(O2))=7,0,"Undeliver Samples")</f>
        <v>0</v>
      </c>
      <c r="O1" s="102"/>
      <c r="P1" s="103"/>
      <c r="Q1" s="102"/>
      <c r="R1" s="102"/>
      <c r="S1" s="102" cm="1">
        <f t="array" ref="S1">IF(COUNTBLANK(_xlfn.ANCHORARRAY(O2))=7,0,{"Batch","Rit"})</f>
        <v>0</v>
      </c>
      <c r="T1" s="102"/>
      <c r="U1" s="97" t="s">
        <v>2593</v>
      </c>
      <c r="V1" s="89"/>
      <c r="W1" s="89"/>
      <c r="X1" s="85" t="s">
        <v>2552</v>
      </c>
      <c r="Y1" t="s">
        <v>2552</v>
      </c>
      <c r="Z1" t="s">
        <v>2551</v>
      </c>
      <c r="AA1" t="s">
        <v>2477</v>
      </c>
      <c r="AB1" t="s">
        <v>2461</v>
      </c>
      <c r="AC1" t="s">
        <v>101</v>
      </c>
      <c r="AD1" t="s">
        <v>2450</v>
      </c>
      <c r="AE1" t="s">
        <v>2451</v>
      </c>
      <c r="AF1" t="s">
        <v>2594</v>
      </c>
      <c r="AG1" t="s">
        <v>2550</v>
      </c>
      <c r="AH1" t="s">
        <v>2584</v>
      </c>
      <c r="AN1" t="s">
        <v>2489</v>
      </c>
      <c r="DU1" t="s">
        <v>2489</v>
      </c>
    </row>
    <row r="2" spans="1:125" ht="21" x14ac:dyDescent="0.25">
      <c r="A2" t="str">
        <v>BR-C3_L10</v>
      </c>
      <c r="F2" s="57">
        <f>_xlfn.XLOOKUP($I$2,Pile_area[pile_id],Pile_area[stockpile])</f>
        <v>0</v>
      </c>
      <c r="G2" s="54">
        <f>_xlfn.XLOOKUP($I$2,Pile_area[pile_id],Pile_area[Ore])</f>
        <v>0</v>
      </c>
      <c r="I2" s="62"/>
      <c r="J2" s="65"/>
      <c r="K2" s="65"/>
      <c r="L2" s="65"/>
      <c r="M2" s="85"/>
      <c r="N2" s="85"/>
      <c r="O2" s="85" t="str" cm="1">
        <f t="array" ref="O2:U2">_xlfn.LET( _xlpm.db,HLG_03[],
      _xlpm.btch, INDEX(_xlpm.db,,1),
      _xlpm.rit,  INDEX(_xlpm.db,,2),
      _xlpm.smpl, INDEX(_xlpm.db,,3),
      _xlpm.frnt, INDEX(_xlpm.db,,5),
      _xlpm.carry,ISNA(MATCH($I$2&amp; _xlpm.btch &amp; _xlpm.rit,_xlfn.BYROW(_xlfn.CHOOSECOLS(_xlfn.ANCHORARRAY(Sample_Pos!$V$3),4,5,6), _xleta.CONCAT), 0)),
      _xlpm.no,   (--(_xlpm.smpl="YES")*(_xlpm.frnt&gt;0)*_xlpm.carry)&gt;0,
      _xlpm.bag, IF(_xlpm.no, _xlfn.BYROW(INDEX(_xlfn.HSTACK(Int_Sample[Inc],Int_Sample[Packing]), MATCH($G$2,Int_Sample[Ore],0)), _xlfn.LAMBDA(_xlpm.x, INDEX(_xlpm.x,,1)/INDEX(_xlpm.x,,2))),""),
      _xlpm.note, IF(_xlpm.no,_xlfn.HSTACK({"Unknown","Unknown"},$G$2,$I$2),""),
      _xlpm.rslt, _xlfn._xlws.FILTER(_xlfn.HSTACK(_xlpm.note,_xlpm.btch,_xlpm.rit,_xlpm.bag), _xlpm.no, {"","","","","","",""}),
      _xlpm.rslt)</f>
        <v/>
      </c>
      <c r="P2" s="85" t="str">
        <v/>
      </c>
      <c r="Q2" s="85" t="str">
        <v/>
      </c>
      <c r="R2" s="85" t="str">
        <v/>
      </c>
      <c r="S2" s="100" t="str">
        <v/>
      </c>
      <c r="T2" s="100" t="str">
        <v/>
      </c>
      <c r="U2" s="98" t="str">
        <v/>
      </c>
      <c r="V2" s="95"/>
      <c r="W2" s="95"/>
      <c r="X2" s="85"/>
      <c r="Z2" t="str" cm="1">
        <f t="array" ref="Z2">_xlfn.LET(
    _xlpm.note,_xlfn.ANCHORARRAY( $D$5),
    _xlpm.data, HLG_03[],
    _xlpm.IsErr, _xlfn.IFS(ISNUMBER(_xlpm.note), "", ISERROR(_xlpm.note), "TRUCK SALAH", _xlpm.note="Skipped", "TERLEWAT", TRUE, ""),
    _xlpm.src, IF(_xlpm.IsErr="TERLEWAT", "TERLEWAT", INDEX(_xlpm.data,,5)),
    _xlpm.hlr, IF(_xlpm.IsErr="TERLEWAT", _xlpm.IsErr, INDEX(_xlpm.data,,6)),
    _xlpm.id, Regist!$H$1 &amp; "/" &amp; Regist!$I$1 &amp; "|" &amp; _xlpm.src,
    _xlpm.pile, IF(_xlpm.src&lt;&gt;"", $I$2, ""),
    _xlpm.ore, _xlfn.XLOOKUP(_xlpm.pile, Pile_area[pile_id], Pile_area[Ore]),
    _xlpm.stp, _xlfn.XLOOKUP(_xlpm.pile, Pile_area[pile_id], Pile_area[stockpile]),
    _xlpm.field, _xlfn.HSTACK(
        _xlpm.id,
        _xlpm.hlr,
        _xlpm.ore,
        _xlpm.stp,
        _xlpm.pile,
        INDEX(_xlpm.data,,4),
        PROPER(INDEX(_xlpm.data,,3)),
        IF(INDEX(_xlpm.data,,5) = _xlfn.XLOOKUP(_xlpm.ore, Int_Sample[Ore], Int_Sample[Batch]), "Complete", ""),
        _xlfn.BYROW(_xlfn.HSTACK(INDEX(_xlpm.data,,7), _xlpm.IsErr), _xlfn.LAMBDA(_xlpm.x, _xlfn.TEXTJOIN("|", TRUE, _xlpm.x)))
    ),
    _xlpm.rslt, _xlfn.UNIQUE(_xlfn._xlws.FILTER(_xlpm.field, _xlpm.src&gt;0)),
     IF(ISERR(_xlfn.SINGLE(_xlpm.rslt)),"",_xlpm.rslt))</f>
        <v/>
      </c>
    </row>
    <row r="3" spans="1:125" ht="15.75" x14ac:dyDescent="0.25">
      <c r="A3" t="str">
        <v>BR-C6_S10</v>
      </c>
      <c r="I3" s="66"/>
      <c r="J3" s="65"/>
      <c r="K3" s="65"/>
      <c r="L3" s="65"/>
      <c r="M3" s="85"/>
      <c r="N3" s="85"/>
      <c r="O3" s="85"/>
      <c r="P3" s="85"/>
      <c r="Q3" s="85"/>
      <c r="R3" s="85"/>
      <c r="S3" s="100"/>
      <c r="T3" s="100"/>
      <c r="U3" s="98"/>
      <c r="V3" s="95"/>
      <c r="W3" s="95"/>
      <c r="X3" s="85"/>
    </row>
    <row r="4" spans="1:125" x14ac:dyDescent="0.25">
      <c r="A4" t="str">
        <v>L18_S09</v>
      </c>
      <c r="F4" t="s">
        <v>2451</v>
      </c>
      <c r="G4" t="s">
        <v>2474</v>
      </c>
      <c r="H4" s="14" t="s">
        <v>2549</v>
      </c>
      <c r="I4" s="14" t="s">
        <v>2567</v>
      </c>
      <c r="J4" s="14" t="s">
        <v>115</v>
      </c>
      <c r="K4" s="14" t="s">
        <v>2477</v>
      </c>
      <c r="L4" s="14" t="s">
        <v>2452</v>
      </c>
      <c r="M4" s="85"/>
      <c r="N4" s="85"/>
      <c r="O4" s="85"/>
      <c r="P4" s="85"/>
      <c r="Q4" s="85"/>
      <c r="R4" s="85"/>
      <c r="S4" s="100"/>
      <c r="T4" s="100"/>
      <c r="U4" s="85"/>
      <c r="V4" s="85"/>
      <c r="W4" s="85"/>
      <c r="X4" s="85"/>
    </row>
    <row r="5" spans="1:125" ht="15.75" x14ac:dyDescent="0.25">
      <c r="A5" t="str">
        <v>L9_26</v>
      </c>
      <c r="D5" s="3" cm="1">
        <f t="array" ref="D5:D638">_xlfn.LET( _xlpm.Batch,HLG_03[Batch],
      _xlpm.rit, HLG_03[Rit],
      _xlpm.front,HLG_03[Front_ID],
      _xlpm.truck, HLG_03[Truck_ID],
      _xlpm.Unik, _xlfn.UNIQUE(_xlfn._xlws.FILTER(_xlpm.Batch, _xlpm.Batch&lt;&gt;"")),
      _xlpm.seqBtch, _xlfn.MAP(_xlpm.Batch,_xlfn.LAMBDA(_xlpm.b,IF(_xlpm.b="","",MATCH(_xlpm.b, _xlpm.Unik,0)))),
      _xlpm.r, ROWS(_xlpm.truck),
      _xlpm.vld,_xlfn.MAP(_xlfn.SEQUENCE(_xlpm.r),_xlfn.LAMBDA(_xlpm.idx,MATCH(INDEX(_xlpm.truck,_xlpm.idx),INDEX(_xlfn.ANCHORARRAY($AP$5),_xlpm.idx,0),0))),
      _xlpm.isSkip, IF(_xlpm.front&gt;0,"",_xlfn.MAP(_xlpm.Batch, _xlpm.rit, _xlfn.LAMBDA(_xlpm.bx,_xlpm.rx,
        IFERROR(IF(_xlfn.XMATCH(1, --(_xlpm.Batch=_xlpm.bx) * (_xlpm.rit&gt;_xlpm.rx) * (_xlpm.front&gt;0), 0), "Skipped"), "")))),
      _xlpm.rslt, IF(_xlpm.isSkip="",IF((--(ISNA(_xlpm.vld)*(_xlpm.truck&gt;0))+((_xlpm.front&gt;0)*(_xlpm.truck=0)))&gt;0,_xlpm.vld,_xlpm.seqBtch),_xlpm.isSkip),
      _xlpm.rslt)</f>
        <v>1</v>
      </c>
      <c r="F5" s="16" t="str" cm="1">
        <f t="array" ref="F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" s="31" cm="1">
        <f t="array" ref="G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" s="33" t="str">
        <f>_xlfn.IFNA(IF(MOD(HLG_03[[#This Row],[Rit]],
    _xlfn.XLOOKUP($G$2,Int_Sample[Ore],Int_Sample[Inc])) = 0, "YES", "NO"),"")</f>
        <v/>
      </c>
      <c r="I5" s="32" t="str">
        <f>TEXT(HLG_03[[#This Row],[Batch]],"000")&amp; " / " &amp; TEXT(HLG_03[[#This Row],[Rit]],"000")</f>
        <v>N/A / 000</v>
      </c>
      <c r="J5" s="34"/>
      <c r="K5" s="38"/>
      <c r="L5" s="35"/>
      <c r="M5" s="85"/>
      <c r="N5" s="85"/>
      <c r="O5" s="85"/>
      <c r="P5" s="85"/>
      <c r="Q5" s="85"/>
      <c r="R5" s="85"/>
      <c r="S5" s="100"/>
      <c r="T5" s="100"/>
      <c r="U5" s="85"/>
      <c r="V5" s="85"/>
      <c r="W5" s="85"/>
      <c r="X5" s="85"/>
      <c r="AP5" t="str" cm="1">
        <f t="array" ref="AP5:AP638">_xlfn.DROP(
    _xlfn.REDUCE("", HLG_03[Front_ID],
        _xlfn.LAMBDA(_xlpm.matriks,_xlpm.p,
            _xlfn.VSTACK(_xlpm.matriks,
                IFERROR(
                    _xlfn.LET(
                        _xlpm.baris_idx, MATCH(_xlpm.p, List_Front, 0),
                        _xlpm.truk_valid, INDEX(_xlfn.ANCHORARRAY(Fleet_Det!$CE$4), _xlpm.baris_idx, ),
                        _xlpm.fleet_str, INDEX(List_Unit_Fleet, _xlpm.baris_idx),
                        _xlpm.daftar_truk, IFERROR(_xlfn.TEXTSPLIT(_xlpm.fleet_str, "|"), ""),
                        _xlpm.daftar_truk_vec, _xlfn.TOCOL(_xlpm.daftar_truk, 1),
                        _xlpm.hasil, _xlfn._xlws.FILTER(_xlpm.daftar_truk_vec, ISNUMBER(MATCH(_xlpm.daftar_truk_vec, _xlpm.truk_valid, 0))),
                        _xlfn.TOROW(_xlfn._xlws.SORT(_xlfn.UNIQUE(_xlpm.hasil)))
                    ),
                    ""
                )
            )
        )
    ),
    1
)</f>
        <v/>
      </c>
    </row>
    <row r="6" spans="1:125" ht="15.75" x14ac:dyDescent="0.25">
      <c r="A6" t="str">
        <v>S5_77</v>
      </c>
      <c r="D6" s="3">
        <v>1</v>
      </c>
      <c r="F6" s="16" t="str" cm="1">
        <f t="array" ref="F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" s="31" cm="1">
        <f t="array" ref="G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" s="33" t="str">
        <f>_xlfn.IFNA(IF(MOD(HLG_03[[#This Row],[Rit]],
    _xlfn.XLOOKUP($G$2,Int_Sample[Ore],Int_Sample[Inc])) = 0, "YES", "NO"),"")</f>
        <v/>
      </c>
      <c r="I6" s="32" t="str">
        <f>TEXT(HLG_03[[#This Row],[Batch]],"000")&amp; " / " &amp; TEXT(HLG_03[[#This Row],[Rit]],"000")</f>
        <v>N/A / 000</v>
      </c>
      <c r="J6" s="34"/>
      <c r="K6" s="38"/>
      <c r="L6" s="35"/>
      <c r="M6" s="85"/>
      <c r="N6" s="85"/>
      <c r="O6" s="85"/>
      <c r="P6" s="85"/>
      <c r="Q6" s="85"/>
      <c r="R6" s="85"/>
      <c r="S6" s="100"/>
      <c r="T6" s="100"/>
      <c r="U6" s="85"/>
      <c r="V6" s="85"/>
      <c r="W6" s="85"/>
      <c r="X6" s="85"/>
      <c r="AN6" s="3"/>
      <c r="AO6" s="3"/>
      <c r="AP6" t="str">
        <v/>
      </c>
    </row>
    <row r="7" spans="1:125" ht="15.75" x14ac:dyDescent="0.25">
      <c r="A7" t="str">
        <v>S5_88</v>
      </c>
      <c r="D7" s="3">
        <v>1</v>
      </c>
      <c r="F7" s="16" t="str" cm="1">
        <f t="array" ref="F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" s="31" cm="1">
        <f t="array" ref="G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" s="33" t="str">
        <f>_xlfn.IFNA(IF(MOD(HLG_03[[#This Row],[Rit]],
    _xlfn.XLOOKUP($G$2,Int_Sample[Ore],Int_Sample[Inc])) = 0, "YES", "NO"),"")</f>
        <v/>
      </c>
      <c r="I7" s="32" t="str">
        <f>TEXT(HLG_03[[#This Row],[Batch]],"000")&amp; " / " &amp; TEXT(HLG_03[[#This Row],[Rit]],"000")</f>
        <v>N/A / 000</v>
      </c>
      <c r="J7" s="34"/>
      <c r="K7" s="38"/>
      <c r="L7" s="35"/>
      <c r="M7" s="85"/>
      <c r="N7" s="85"/>
      <c r="O7" s="85"/>
      <c r="P7" s="85"/>
      <c r="Q7" s="85"/>
      <c r="R7" s="85"/>
      <c r="S7" s="100"/>
      <c r="T7" s="100"/>
      <c r="U7" s="85"/>
      <c r="V7" s="85"/>
      <c r="W7" s="85"/>
      <c r="X7" s="85"/>
      <c r="AN7" s="3"/>
      <c r="AO7" s="3"/>
      <c r="AP7" t="str">
        <v/>
      </c>
    </row>
    <row r="8" spans="1:125" ht="15.75" x14ac:dyDescent="0.25">
      <c r="A8" t="str">
        <v>S5_93</v>
      </c>
      <c r="D8" s="3">
        <v>1</v>
      </c>
      <c r="F8" s="16" t="str" cm="1">
        <f t="array" ref="F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" s="31" cm="1">
        <f t="array" ref="G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" s="33" t="str">
        <f>_xlfn.IFNA(IF(MOD(HLG_03[[#This Row],[Rit]],
    _xlfn.XLOOKUP($G$2,Int_Sample[Ore],Int_Sample[Inc])) = 0, "YES", "NO"),"")</f>
        <v/>
      </c>
      <c r="I8" s="32" t="str">
        <f>TEXT(HLG_03[[#This Row],[Batch]],"000")&amp; " / " &amp; TEXT(HLG_03[[#This Row],[Rit]],"000")</f>
        <v>N/A / 000</v>
      </c>
      <c r="J8" s="34"/>
      <c r="K8" s="38"/>
      <c r="L8" s="35"/>
      <c r="M8" s="85"/>
      <c r="N8" s="85"/>
      <c r="O8" s="85"/>
      <c r="P8" s="85"/>
      <c r="Q8" s="85"/>
      <c r="R8" s="85"/>
      <c r="S8" s="100"/>
      <c r="T8" s="100"/>
      <c r="U8" s="85"/>
      <c r="V8" s="85"/>
      <c r="W8" s="85"/>
      <c r="X8" s="85"/>
      <c r="AN8" s="3"/>
      <c r="AO8" s="3"/>
      <c r="AP8" t="str">
        <v/>
      </c>
    </row>
    <row r="9" spans="1:125" ht="15.75" x14ac:dyDescent="0.25">
      <c r="D9" s="3">
        <v>1</v>
      </c>
      <c r="F9" s="16" t="str" cm="1">
        <f t="array" ref="F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" s="31" cm="1">
        <f t="array" ref="G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" s="33" t="str">
        <f>_xlfn.IFNA(IF(MOD(HLG_03[[#This Row],[Rit]],
    _xlfn.XLOOKUP($G$2,Int_Sample[Ore],Int_Sample[Inc])) = 0, "YES", "NO"),"")</f>
        <v/>
      </c>
      <c r="I9" s="32" t="str">
        <f>TEXT(HLG_03[[#This Row],[Batch]],"000")&amp; " / " &amp; TEXT(HLG_03[[#This Row],[Rit]],"000")</f>
        <v>N/A / 000</v>
      </c>
      <c r="J9" s="34"/>
      <c r="K9" s="38"/>
      <c r="L9" s="35"/>
      <c r="M9" s="85"/>
      <c r="N9" s="85"/>
      <c r="O9" s="85"/>
      <c r="P9" s="85"/>
      <c r="Q9" s="85"/>
      <c r="R9" s="85"/>
      <c r="S9" s="100"/>
      <c r="T9" s="100"/>
      <c r="U9" s="85"/>
      <c r="V9" s="85"/>
      <c r="W9" s="85"/>
      <c r="X9" s="85"/>
      <c r="AN9" s="3"/>
      <c r="AO9" s="3"/>
      <c r="AP9" t="str">
        <v/>
      </c>
    </row>
    <row r="10" spans="1:125" ht="15.75" x14ac:dyDescent="0.25">
      <c r="D10" s="3">
        <v>1</v>
      </c>
      <c r="F10" s="16" t="str" cm="1">
        <f t="array" ref="F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" s="31" cm="1">
        <f t="array" ref="G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" s="33" t="str">
        <f>_xlfn.IFNA(IF(MOD(HLG_03[[#This Row],[Rit]],
    _xlfn.XLOOKUP($G$2,Int_Sample[Ore],Int_Sample[Inc])) = 0, "YES", "NO"),"")</f>
        <v/>
      </c>
      <c r="I10" s="32" t="str">
        <f>TEXT(HLG_03[[#This Row],[Batch]],"000")&amp; " / " &amp; TEXT(HLG_03[[#This Row],[Rit]],"000")</f>
        <v>N/A / 000</v>
      </c>
      <c r="J10" s="34"/>
      <c r="K10" s="38"/>
      <c r="L10" s="35"/>
      <c r="M10" s="85"/>
      <c r="N10" s="85"/>
      <c r="O10" s="85"/>
      <c r="P10" s="85"/>
      <c r="Q10" s="85"/>
      <c r="R10" s="85"/>
      <c r="S10" s="100"/>
      <c r="T10" s="100"/>
      <c r="U10" s="85"/>
      <c r="V10" s="85"/>
      <c r="W10" s="85"/>
      <c r="X10" s="85"/>
      <c r="AN10" s="3"/>
      <c r="AO10" s="3"/>
      <c r="AP10" t="str">
        <v/>
      </c>
    </row>
    <row r="11" spans="1:125" ht="15.75" x14ac:dyDescent="0.25">
      <c r="D11" s="3">
        <v>1</v>
      </c>
      <c r="F11" s="16" t="str" cm="1">
        <f t="array" ref="F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" s="31" cm="1">
        <f t="array" ref="G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" s="33" t="str">
        <f>_xlfn.IFNA(IF(MOD(HLG_03[[#This Row],[Rit]],
    _xlfn.XLOOKUP($G$2,Int_Sample[Ore],Int_Sample[Inc])) = 0, "YES", "NO"),"")</f>
        <v/>
      </c>
      <c r="I11" s="32" t="str">
        <f>TEXT(HLG_03[[#This Row],[Batch]],"000")&amp; " / " &amp; TEXT(HLG_03[[#This Row],[Rit]],"000")</f>
        <v>N/A / 000</v>
      </c>
      <c r="J11" s="34"/>
      <c r="K11" s="38"/>
      <c r="L11" s="35"/>
      <c r="M11" s="85"/>
      <c r="N11" s="85"/>
      <c r="O11" s="85"/>
      <c r="P11" s="85"/>
      <c r="Q11" s="85"/>
      <c r="R11" s="85"/>
      <c r="S11" s="100"/>
      <c r="T11" s="100"/>
      <c r="U11" s="85"/>
      <c r="V11" s="85"/>
      <c r="W11" s="85"/>
      <c r="X11" s="85"/>
      <c r="AP11" t="str">
        <v/>
      </c>
    </row>
    <row r="12" spans="1:125" ht="15.75" x14ac:dyDescent="0.25">
      <c r="D12" s="3">
        <v>1</v>
      </c>
      <c r="F12" s="16" t="str" cm="1">
        <f t="array" ref="F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" s="31" cm="1">
        <f t="array" ref="G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" s="33" t="str">
        <f>_xlfn.IFNA(IF(MOD(HLG_03[[#This Row],[Rit]],
    _xlfn.XLOOKUP($G$2,Int_Sample[Ore],Int_Sample[Inc])) = 0, "YES", "NO"),"")</f>
        <v/>
      </c>
      <c r="I12" s="32" t="str">
        <f>TEXT(HLG_03[[#This Row],[Batch]],"000")&amp; " / " &amp; TEXT(HLG_03[[#This Row],[Rit]],"000")</f>
        <v>N/A / 000</v>
      </c>
      <c r="J12" s="34"/>
      <c r="K12" s="38"/>
      <c r="L12" s="35"/>
      <c r="M12" s="85"/>
      <c r="N12" s="85"/>
      <c r="O12" s="85"/>
      <c r="P12" s="85"/>
      <c r="Q12" s="85"/>
      <c r="R12" s="85"/>
      <c r="S12" s="100"/>
      <c r="T12" s="100"/>
      <c r="U12" s="85"/>
      <c r="V12" s="85"/>
      <c r="W12" s="85"/>
      <c r="X12" s="85"/>
      <c r="AP12" t="str">
        <v/>
      </c>
    </row>
    <row r="13" spans="1:125" ht="15.75" x14ac:dyDescent="0.25">
      <c r="D13" s="3">
        <v>1</v>
      </c>
      <c r="F13" s="16" t="str" cm="1">
        <f t="array" ref="F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" s="31" cm="1">
        <f t="array" ref="G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" s="33" t="str">
        <f>_xlfn.IFNA(IF(MOD(HLG_03[[#This Row],[Rit]],
    _xlfn.XLOOKUP($G$2,Int_Sample[Ore],Int_Sample[Inc])) = 0, "YES", "NO"),"")</f>
        <v/>
      </c>
      <c r="I13" s="32" t="str">
        <f>TEXT(HLG_03[[#This Row],[Batch]],"000")&amp; " / " &amp; TEXT(HLG_03[[#This Row],[Rit]],"000")</f>
        <v>N/A / 000</v>
      </c>
      <c r="J13" s="34"/>
      <c r="K13" s="38"/>
      <c r="L13" s="35"/>
      <c r="M13" s="85"/>
      <c r="N13" s="85"/>
      <c r="O13" s="85"/>
      <c r="P13" s="85"/>
      <c r="Q13" s="85"/>
      <c r="R13" s="85"/>
      <c r="S13" s="100"/>
      <c r="T13" s="100"/>
      <c r="U13" s="85"/>
      <c r="V13" s="85"/>
      <c r="W13" s="85"/>
      <c r="X13" s="85"/>
      <c r="AP13" t="str">
        <v/>
      </c>
    </row>
    <row r="14" spans="1:125" ht="15.75" x14ac:dyDescent="0.25">
      <c r="D14" s="3">
        <v>1</v>
      </c>
      <c r="F14" s="16" t="str" cm="1">
        <f t="array" ref="F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" s="31" cm="1">
        <f t="array" ref="G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" s="33" t="str">
        <f>_xlfn.IFNA(IF(MOD(HLG_03[[#This Row],[Rit]],
    _xlfn.XLOOKUP($G$2,Int_Sample[Ore],Int_Sample[Inc])) = 0, "YES", "NO"),"")</f>
        <v/>
      </c>
      <c r="I14" s="32" t="str">
        <f>TEXT(HLG_03[[#This Row],[Batch]],"000")&amp; " / " &amp; TEXT(HLG_03[[#This Row],[Rit]],"000")</f>
        <v>N/A / 000</v>
      </c>
      <c r="J14" s="34"/>
      <c r="K14" s="38"/>
      <c r="L14" s="35"/>
      <c r="M14" s="85"/>
      <c r="N14" s="85"/>
      <c r="O14" s="85"/>
      <c r="P14" s="85"/>
      <c r="Q14" s="85"/>
      <c r="R14" s="85"/>
      <c r="S14" s="100"/>
      <c r="T14" s="100"/>
      <c r="U14" s="85"/>
      <c r="V14" s="85"/>
      <c r="W14" s="85"/>
      <c r="X14" s="85"/>
      <c r="AP14" t="str">
        <v/>
      </c>
    </row>
    <row r="15" spans="1:125" ht="15.75" x14ac:dyDescent="0.25">
      <c r="D15" s="3">
        <v>1</v>
      </c>
      <c r="F15" s="16" t="str" cm="1">
        <f t="array" ref="F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" s="31" cm="1">
        <f t="array" ref="G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" s="33" t="str">
        <f>_xlfn.IFNA(IF(MOD(HLG_03[[#This Row],[Rit]],
    _xlfn.XLOOKUP($G$2,Int_Sample[Ore],Int_Sample[Inc])) = 0, "YES", "NO"),"")</f>
        <v/>
      </c>
      <c r="I15" s="32" t="str">
        <f>TEXT(HLG_03[[#This Row],[Batch]],"000")&amp; " / " &amp; TEXT(HLG_03[[#This Row],[Rit]],"000")</f>
        <v>N/A / 000</v>
      </c>
      <c r="J15" s="34"/>
      <c r="K15" s="38"/>
      <c r="L15" s="35"/>
      <c r="M15" s="85"/>
      <c r="N15" s="85"/>
      <c r="O15" s="85"/>
      <c r="P15" s="85"/>
      <c r="Q15" s="85"/>
      <c r="R15" s="85"/>
      <c r="S15" s="100"/>
      <c r="T15" s="100"/>
      <c r="U15" s="85"/>
      <c r="V15" s="85"/>
      <c r="W15" s="85"/>
      <c r="X15" s="85"/>
      <c r="AP15" t="str">
        <v/>
      </c>
    </row>
    <row r="16" spans="1:125" ht="15.75" x14ac:dyDescent="0.25">
      <c r="D16" s="3">
        <v>1</v>
      </c>
      <c r="F16" s="16" t="str" cm="1">
        <f t="array" ref="F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" s="31" cm="1">
        <f t="array" ref="G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" s="33" t="str">
        <f>_xlfn.IFNA(IF(MOD(HLG_03[[#This Row],[Rit]],
    _xlfn.XLOOKUP($G$2,Int_Sample[Ore],Int_Sample[Inc])) = 0, "YES", "NO"),"")</f>
        <v/>
      </c>
      <c r="I16" s="32" t="str">
        <f>TEXT(HLG_03[[#This Row],[Batch]],"000")&amp; " / " &amp; TEXT(HLG_03[[#This Row],[Rit]],"000")</f>
        <v>N/A / 000</v>
      </c>
      <c r="J16" s="34"/>
      <c r="K16" s="38"/>
      <c r="L16" s="35"/>
      <c r="M16" s="85"/>
      <c r="N16" s="85"/>
      <c r="O16" s="85"/>
      <c r="P16" s="85"/>
      <c r="Q16" s="85"/>
      <c r="R16" s="85"/>
      <c r="S16" s="100"/>
      <c r="T16" s="100"/>
      <c r="U16" s="85"/>
      <c r="V16" s="85"/>
      <c r="W16" s="85"/>
      <c r="X16" s="85"/>
      <c r="AP16" t="str">
        <v/>
      </c>
    </row>
    <row r="17" spans="4:42" ht="15.75" x14ac:dyDescent="0.25">
      <c r="D17" s="3">
        <v>1</v>
      </c>
      <c r="F17" s="16" t="str" cm="1">
        <f t="array" ref="F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" s="31" cm="1">
        <f t="array" ref="G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" s="33" t="str">
        <f>_xlfn.IFNA(IF(MOD(HLG_03[[#This Row],[Rit]],
    _xlfn.XLOOKUP($G$2,Int_Sample[Ore],Int_Sample[Inc])) = 0, "YES", "NO"),"")</f>
        <v/>
      </c>
      <c r="I17" s="32" t="str">
        <f>TEXT(HLG_03[[#This Row],[Batch]],"000")&amp; " / " &amp; TEXT(HLG_03[[#This Row],[Rit]],"000")</f>
        <v>N/A / 000</v>
      </c>
      <c r="J17" s="34"/>
      <c r="K17" s="38"/>
      <c r="L17" s="35"/>
      <c r="M17" s="85"/>
      <c r="N17" s="85"/>
      <c r="O17" s="85"/>
      <c r="P17" s="85"/>
      <c r="Q17" s="85"/>
      <c r="R17" s="85"/>
      <c r="S17" s="100"/>
      <c r="T17" s="100"/>
      <c r="U17" s="85"/>
      <c r="V17" s="85"/>
      <c r="W17" s="85"/>
      <c r="X17" s="85"/>
      <c r="AP17" t="str">
        <v/>
      </c>
    </row>
    <row r="18" spans="4:42" ht="15.75" x14ac:dyDescent="0.25">
      <c r="D18" s="3">
        <v>1</v>
      </c>
      <c r="F18" s="16" t="str" cm="1">
        <f t="array" ref="F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" s="31" cm="1">
        <f t="array" ref="G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" s="33" t="str">
        <f>_xlfn.IFNA(IF(MOD(HLG_03[[#This Row],[Rit]],
    _xlfn.XLOOKUP($G$2,Int_Sample[Ore],Int_Sample[Inc])) = 0, "YES", "NO"),"")</f>
        <v/>
      </c>
      <c r="I18" s="32" t="str">
        <f>TEXT(HLG_03[[#This Row],[Batch]],"000")&amp; " / " &amp; TEXT(HLG_03[[#This Row],[Rit]],"000")</f>
        <v>N/A / 000</v>
      </c>
      <c r="J18" s="34"/>
      <c r="K18" s="38"/>
      <c r="L18" s="35"/>
      <c r="M18" s="85"/>
      <c r="N18" s="85"/>
      <c r="O18" s="85"/>
      <c r="P18" s="85"/>
      <c r="Q18" s="85"/>
      <c r="R18" s="85"/>
      <c r="S18" s="100"/>
      <c r="T18" s="100"/>
      <c r="U18" s="85"/>
      <c r="V18" s="85"/>
      <c r="W18" s="85"/>
      <c r="X18" s="85"/>
      <c r="AP18" t="str">
        <v/>
      </c>
    </row>
    <row r="19" spans="4:42" ht="15.75" x14ac:dyDescent="0.25">
      <c r="D19" s="3">
        <v>1</v>
      </c>
      <c r="F19" s="16" t="str" cm="1">
        <f t="array" ref="F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" s="31" cm="1">
        <f t="array" ref="G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" s="33" t="str">
        <f>_xlfn.IFNA(IF(MOD(HLG_03[[#This Row],[Rit]],
    _xlfn.XLOOKUP($G$2,Int_Sample[Ore],Int_Sample[Inc])) = 0, "YES", "NO"),"")</f>
        <v/>
      </c>
      <c r="I19" s="32" t="str">
        <f>TEXT(HLG_03[[#This Row],[Batch]],"000")&amp; " / " &amp; TEXT(HLG_03[[#This Row],[Rit]],"000")</f>
        <v>N/A / 000</v>
      </c>
      <c r="J19" s="34"/>
      <c r="K19" s="38"/>
      <c r="L19" s="35"/>
      <c r="M19" s="85"/>
      <c r="N19" s="85"/>
      <c r="O19" s="85"/>
      <c r="P19" s="85"/>
      <c r="Q19" s="85"/>
      <c r="R19" s="85"/>
      <c r="S19" s="100"/>
      <c r="T19" s="100"/>
      <c r="U19" s="85"/>
      <c r="V19" s="85"/>
      <c r="W19" s="85"/>
      <c r="X19" s="85"/>
      <c r="AP19" t="str">
        <v/>
      </c>
    </row>
    <row r="20" spans="4:42" ht="15.75" x14ac:dyDescent="0.25">
      <c r="D20" s="3">
        <v>1</v>
      </c>
      <c r="F20" s="16" t="str" cm="1">
        <f t="array" ref="F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" s="31" cm="1">
        <f t="array" ref="G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" s="33" t="str">
        <f>_xlfn.IFNA(IF(MOD(HLG_03[[#This Row],[Rit]],
    _xlfn.XLOOKUP($G$2,Int_Sample[Ore],Int_Sample[Inc])) = 0, "YES", "NO"),"")</f>
        <v/>
      </c>
      <c r="I20" s="32" t="str">
        <f>TEXT(HLG_03[[#This Row],[Batch]],"000")&amp; " / " &amp; TEXT(HLG_03[[#This Row],[Rit]],"000")</f>
        <v>N/A / 000</v>
      </c>
      <c r="J20" s="34"/>
      <c r="K20" s="38"/>
      <c r="L20" s="35"/>
      <c r="M20" s="85"/>
      <c r="N20" s="85"/>
      <c r="O20" s="85"/>
      <c r="P20" s="85"/>
      <c r="Q20" s="85"/>
      <c r="R20" s="85"/>
      <c r="S20" s="100"/>
      <c r="T20" s="100"/>
      <c r="U20" s="85"/>
      <c r="V20" s="85"/>
      <c r="W20" s="85"/>
      <c r="X20" s="85"/>
      <c r="AP20" t="str">
        <v/>
      </c>
    </row>
    <row r="21" spans="4:42" ht="15.75" x14ac:dyDescent="0.25">
      <c r="D21" s="3">
        <v>1</v>
      </c>
      <c r="F21" s="16" t="str" cm="1">
        <f t="array" ref="F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" s="31" cm="1">
        <f t="array" ref="G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" s="33" t="str">
        <f>_xlfn.IFNA(IF(MOD(HLG_03[[#This Row],[Rit]],
    _xlfn.XLOOKUP($G$2,Int_Sample[Ore],Int_Sample[Inc])) = 0, "YES", "NO"),"")</f>
        <v/>
      </c>
      <c r="I21" s="32" t="str">
        <f>TEXT(HLG_03[[#This Row],[Batch]],"000")&amp; " / " &amp; TEXT(HLG_03[[#This Row],[Rit]],"000")</f>
        <v>N/A / 000</v>
      </c>
      <c r="J21" s="34"/>
      <c r="K21" s="38"/>
      <c r="L21" s="35"/>
      <c r="M21" s="85"/>
      <c r="N21" s="85"/>
      <c r="O21" s="85"/>
      <c r="P21" s="85"/>
      <c r="Q21" s="85"/>
      <c r="R21" s="85"/>
      <c r="S21" s="100"/>
      <c r="T21" s="100"/>
      <c r="U21" s="85"/>
      <c r="V21" s="85"/>
      <c r="W21" s="85"/>
      <c r="X21" s="85"/>
      <c r="AP21" t="str">
        <v/>
      </c>
    </row>
    <row r="22" spans="4:42" ht="15.75" x14ac:dyDescent="0.25">
      <c r="D22" s="3">
        <v>1</v>
      </c>
      <c r="F22" s="16" t="str" cm="1">
        <f t="array" ref="F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" s="31" cm="1">
        <f t="array" ref="G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" s="33" t="str">
        <f>_xlfn.IFNA(IF(MOD(HLG_03[[#This Row],[Rit]],
    _xlfn.XLOOKUP($G$2,Int_Sample[Ore],Int_Sample[Inc])) = 0, "YES", "NO"),"")</f>
        <v/>
      </c>
      <c r="I22" s="32" t="str">
        <f>TEXT(HLG_03[[#This Row],[Batch]],"000")&amp; " / " &amp; TEXT(HLG_03[[#This Row],[Rit]],"000")</f>
        <v>N/A / 000</v>
      </c>
      <c r="J22" s="34"/>
      <c r="K22" s="38"/>
      <c r="L22" s="35"/>
      <c r="M22" s="85"/>
      <c r="N22" s="85"/>
      <c r="O22" s="85"/>
      <c r="P22" s="85"/>
      <c r="Q22" s="85"/>
      <c r="R22" s="85"/>
      <c r="S22" s="100"/>
      <c r="T22" s="100"/>
      <c r="U22" s="85"/>
      <c r="V22" s="85"/>
      <c r="W22" s="85"/>
      <c r="X22" s="85"/>
      <c r="AP22" t="str">
        <v/>
      </c>
    </row>
    <row r="23" spans="4:42" ht="15.75" x14ac:dyDescent="0.25">
      <c r="D23" s="3">
        <v>1</v>
      </c>
      <c r="F23" s="16" t="str" cm="1">
        <f t="array" ref="F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" s="31" cm="1">
        <f t="array" ref="G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" s="33" t="str">
        <f>_xlfn.IFNA(IF(MOD(HLG_03[[#This Row],[Rit]],
    _xlfn.XLOOKUP($G$2,Int_Sample[Ore],Int_Sample[Inc])) = 0, "YES", "NO"),"")</f>
        <v/>
      </c>
      <c r="I23" s="32" t="str">
        <f>TEXT(HLG_03[[#This Row],[Batch]],"000")&amp; " / " &amp; TEXT(HLG_03[[#This Row],[Rit]],"000")</f>
        <v>N/A / 000</v>
      </c>
      <c r="J23" s="34"/>
      <c r="K23" s="38"/>
      <c r="L23" s="35"/>
      <c r="M23" s="85"/>
      <c r="N23" s="85"/>
      <c r="O23" s="85"/>
      <c r="P23" s="85"/>
      <c r="Q23" s="85"/>
      <c r="R23" s="85"/>
      <c r="S23" s="100"/>
      <c r="T23" s="100"/>
      <c r="U23" s="85"/>
      <c r="V23" s="85"/>
      <c r="W23" s="85"/>
      <c r="X23" s="85"/>
      <c r="AP23" t="str">
        <v/>
      </c>
    </row>
    <row r="24" spans="4:42" ht="15.75" x14ac:dyDescent="0.25">
      <c r="D24" s="3">
        <v>1</v>
      </c>
      <c r="F24" s="16" t="str" cm="1">
        <f t="array" ref="F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" s="31" cm="1">
        <f t="array" ref="G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" s="33" t="str">
        <f>_xlfn.IFNA(IF(MOD(HLG_03[[#This Row],[Rit]],
    _xlfn.XLOOKUP($G$2,Int_Sample[Ore],Int_Sample[Inc])) = 0, "YES", "NO"),"")</f>
        <v/>
      </c>
      <c r="I24" s="32" t="str">
        <f>TEXT(HLG_03[[#This Row],[Batch]],"000")&amp; " / " &amp; TEXT(HLG_03[[#This Row],[Rit]],"000")</f>
        <v>N/A / 000</v>
      </c>
      <c r="J24" s="34"/>
      <c r="K24" s="38"/>
      <c r="L24" s="35"/>
      <c r="M24" s="85"/>
      <c r="N24" s="85"/>
      <c r="O24" s="85"/>
      <c r="P24" s="85"/>
      <c r="Q24" s="85"/>
      <c r="R24" s="85"/>
      <c r="S24" s="100"/>
      <c r="T24" s="100"/>
      <c r="U24" s="85"/>
      <c r="V24" s="85"/>
      <c r="W24" s="85"/>
      <c r="X24" s="85"/>
      <c r="AP24" t="str">
        <v/>
      </c>
    </row>
    <row r="25" spans="4:42" ht="15.75" x14ac:dyDescent="0.25">
      <c r="D25" s="3">
        <v>1</v>
      </c>
      <c r="F25" s="16" t="str" cm="1">
        <f t="array" ref="F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" s="31" cm="1">
        <f t="array" ref="G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" s="33" t="str">
        <f>_xlfn.IFNA(IF(MOD(HLG_03[[#This Row],[Rit]],
    _xlfn.XLOOKUP($G$2,Int_Sample[Ore],Int_Sample[Inc])) = 0, "YES", "NO"),"")</f>
        <v/>
      </c>
      <c r="I25" s="32" t="str">
        <f>TEXT(HLG_03[[#This Row],[Batch]],"000")&amp; " / " &amp; TEXT(HLG_03[[#This Row],[Rit]],"000")</f>
        <v>N/A / 000</v>
      </c>
      <c r="J25" s="34"/>
      <c r="K25" s="38"/>
      <c r="L25" s="35"/>
      <c r="M25" s="85"/>
      <c r="N25" s="85"/>
      <c r="O25" s="85"/>
      <c r="P25" s="85"/>
      <c r="Q25" s="85"/>
      <c r="R25" s="85"/>
      <c r="S25" s="100"/>
      <c r="T25" s="100"/>
      <c r="U25" s="85"/>
      <c r="V25" s="85"/>
      <c r="W25" s="85"/>
      <c r="X25" s="85"/>
      <c r="AP25" t="str">
        <v/>
      </c>
    </row>
    <row r="26" spans="4:42" ht="15.75" x14ac:dyDescent="0.25">
      <c r="D26" s="3">
        <v>1</v>
      </c>
      <c r="F26" s="16" t="str" cm="1">
        <f t="array" ref="F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" s="31" cm="1">
        <f t="array" ref="G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" s="33" t="str">
        <f>_xlfn.IFNA(IF(MOD(HLG_03[[#This Row],[Rit]],
    _xlfn.XLOOKUP($G$2,Int_Sample[Ore],Int_Sample[Inc])) = 0, "YES", "NO"),"")</f>
        <v/>
      </c>
      <c r="I26" s="32" t="str">
        <f>TEXT(HLG_03[[#This Row],[Batch]],"000")&amp; " / " &amp; TEXT(HLG_03[[#This Row],[Rit]],"000")</f>
        <v>N/A / 000</v>
      </c>
      <c r="J26" s="34"/>
      <c r="K26" s="38"/>
      <c r="L26" s="35"/>
      <c r="M26" s="85"/>
      <c r="N26" s="85"/>
      <c r="O26" s="85"/>
      <c r="P26" s="85"/>
      <c r="Q26" s="85"/>
      <c r="R26" s="85"/>
      <c r="S26" s="100"/>
      <c r="T26" s="100"/>
      <c r="U26" s="85"/>
      <c r="V26" s="85"/>
      <c r="W26" s="85"/>
      <c r="X26" s="85"/>
      <c r="AP26" t="str">
        <v/>
      </c>
    </row>
    <row r="27" spans="4:42" ht="15.75" x14ac:dyDescent="0.25">
      <c r="D27" s="3">
        <v>1</v>
      </c>
      <c r="F27" s="16" t="str" cm="1">
        <f t="array" ref="F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" s="31" cm="1">
        <f t="array" ref="G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" s="33" t="str">
        <f>_xlfn.IFNA(IF(MOD(HLG_03[[#This Row],[Rit]],
    _xlfn.XLOOKUP($G$2,Int_Sample[Ore],Int_Sample[Inc])) = 0, "YES", "NO"),"")</f>
        <v/>
      </c>
      <c r="I27" s="32" t="str">
        <f>TEXT(HLG_03[[#This Row],[Batch]],"000")&amp; " / " &amp; TEXT(HLG_03[[#This Row],[Rit]],"000")</f>
        <v>N/A / 000</v>
      </c>
      <c r="J27" s="34"/>
      <c r="K27" s="38"/>
      <c r="L27" s="35"/>
      <c r="M27" s="85"/>
      <c r="N27" s="85"/>
      <c r="O27" s="85"/>
      <c r="P27" s="85"/>
      <c r="Q27" s="85"/>
      <c r="R27" s="85"/>
      <c r="S27" s="100"/>
      <c r="T27" s="100"/>
      <c r="U27" s="85"/>
      <c r="V27" s="85"/>
      <c r="W27" s="85"/>
      <c r="X27" s="85"/>
      <c r="AP27" t="str">
        <v/>
      </c>
    </row>
    <row r="28" spans="4:42" ht="15.75" x14ac:dyDescent="0.25">
      <c r="D28" s="3">
        <v>1</v>
      </c>
      <c r="F28" s="16" t="str" cm="1">
        <f t="array" ref="F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" s="31" cm="1">
        <f t="array" ref="G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" s="33" t="str">
        <f>_xlfn.IFNA(IF(MOD(HLG_03[[#This Row],[Rit]],
    _xlfn.XLOOKUP($G$2,Int_Sample[Ore],Int_Sample[Inc])) = 0, "YES", "NO"),"")</f>
        <v/>
      </c>
      <c r="I28" s="32" t="str">
        <f>TEXT(HLG_03[[#This Row],[Batch]],"000")&amp; " / " &amp; TEXT(HLG_03[[#This Row],[Rit]],"000")</f>
        <v>N/A / 000</v>
      </c>
      <c r="J28" s="34"/>
      <c r="K28" s="38"/>
      <c r="L28" s="35"/>
      <c r="M28" s="85"/>
      <c r="N28" s="85"/>
      <c r="O28" s="85"/>
      <c r="P28" s="85"/>
      <c r="Q28" s="85"/>
      <c r="R28" s="85"/>
      <c r="S28" s="100"/>
      <c r="T28" s="100"/>
      <c r="U28" s="85"/>
      <c r="V28" s="85"/>
      <c r="W28" s="85"/>
      <c r="X28" s="85"/>
      <c r="AP28" t="str">
        <v/>
      </c>
    </row>
    <row r="29" spans="4:42" ht="15.75" x14ac:dyDescent="0.25">
      <c r="D29" s="3">
        <v>1</v>
      </c>
      <c r="F29" s="16" t="str" cm="1">
        <f t="array" ref="F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" s="31" cm="1">
        <f t="array" ref="G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" s="33" t="str">
        <f>_xlfn.IFNA(IF(MOD(HLG_03[[#This Row],[Rit]],
    _xlfn.XLOOKUP($G$2,Int_Sample[Ore],Int_Sample[Inc])) = 0, "YES", "NO"),"")</f>
        <v/>
      </c>
      <c r="I29" s="32" t="str">
        <f>TEXT(HLG_03[[#This Row],[Batch]],"000")&amp; " / " &amp; TEXT(HLG_03[[#This Row],[Rit]],"000")</f>
        <v>N/A / 000</v>
      </c>
      <c r="J29" s="34"/>
      <c r="K29" s="38"/>
      <c r="L29" s="35"/>
      <c r="M29" s="85"/>
      <c r="N29" s="85"/>
      <c r="O29" s="85"/>
      <c r="P29" s="85"/>
      <c r="Q29" s="85"/>
      <c r="R29" s="85"/>
      <c r="S29" s="100"/>
      <c r="T29" s="100"/>
      <c r="U29" s="85"/>
      <c r="V29" s="85"/>
      <c r="W29" s="85"/>
      <c r="X29" s="85"/>
      <c r="AP29" t="str">
        <v/>
      </c>
    </row>
    <row r="30" spans="4:42" ht="15.75" x14ac:dyDescent="0.25">
      <c r="D30" s="3">
        <v>1</v>
      </c>
      <c r="F30" s="16" t="str" cm="1">
        <f t="array" ref="F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" s="31" cm="1">
        <f t="array" ref="G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" s="33" t="str">
        <f>_xlfn.IFNA(IF(MOD(HLG_03[[#This Row],[Rit]],
    _xlfn.XLOOKUP($G$2,Int_Sample[Ore],Int_Sample[Inc])) = 0, "YES", "NO"),"")</f>
        <v/>
      </c>
      <c r="I30" s="32" t="str">
        <f>TEXT(HLG_03[[#This Row],[Batch]],"000")&amp; " / " &amp; TEXT(HLG_03[[#This Row],[Rit]],"000")</f>
        <v>N/A / 000</v>
      </c>
      <c r="J30" s="34"/>
      <c r="K30" s="38"/>
      <c r="L30" s="35"/>
      <c r="M30" s="85"/>
      <c r="N30" s="85"/>
      <c r="O30" s="85"/>
      <c r="P30" s="85"/>
      <c r="Q30" s="85"/>
      <c r="R30" s="85"/>
      <c r="S30" s="100"/>
      <c r="T30" s="100"/>
      <c r="U30" s="85"/>
      <c r="V30" s="85"/>
      <c r="W30" s="85"/>
      <c r="X30" s="85"/>
      <c r="AP30" t="str">
        <v/>
      </c>
    </row>
    <row r="31" spans="4:42" ht="15.75" x14ac:dyDescent="0.25">
      <c r="D31" s="3">
        <v>1</v>
      </c>
      <c r="F31" s="16" t="str" cm="1">
        <f t="array" ref="F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" s="31" cm="1">
        <f t="array" ref="G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" s="33" t="str">
        <f>_xlfn.IFNA(IF(MOD(HLG_03[[#This Row],[Rit]],
    _xlfn.XLOOKUP($G$2,Int_Sample[Ore],Int_Sample[Inc])) = 0, "YES", "NO"),"")</f>
        <v/>
      </c>
      <c r="I31" s="32" t="str">
        <f>TEXT(HLG_03[[#This Row],[Batch]],"000")&amp; " / " &amp; TEXT(HLG_03[[#This Row],[Rit]],"000")</f>
        <v>N/A / 000</v>
      </c>
      <c r="J31" s="34"/>
      <c r="K31" s="38"/>
      <c r="L31" s="35"/>
      <c r="M31" s="85"/>
      <c r="N31" s="85"/>
      <c r="O31" s="85"/>
      <c r="P31" s="85"/>
      <c r="Q31" s="85"/>
      <c r="R31" s="85"/>
      <c r="S31" s="100"/>
      <c r="T31" s="100"/>
      <c r="U31" s="85"/>
      <c r="V31" s="85"/>
      <c r="W31" s="85"/>
      <c r="X31" s="85"/>
      <c r="AP31" t="str">
        <v/>
      </c>
    </row>
    <row r="32" spans="4:42" ht="15.75" x14ac:dyDescent="0.25">
      <c r="D32" s="3">
        <v>1</v>
      </c>
      <c r="F32" s="16" t="str" cm="1">
        <f t="array" ref="F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" s="31" cm="1">
        <f t="array" ref="G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" s="33" t="str">
        <f>_xlfn.IFNA(IF(MOD(HLG_03[[#This Row],[Rit]],
    _xlfn.XLOOKUP($G$2,Int_Sample[Ore],Int_Sample[Inc])) = 0, "YES", "NO"),"")</f>
        <v/>
      </c>
      <c r="I32" s="32" t="str">
        <f>TEXT(HLG_03[[#This Row],[Batch]],"000")&amp; " / " &amp; TEXT(HLG_03[[#This Row],[Rit]],"000")</f>
        <v>N/A / 000</v>
      </c>
      <c r="J32" s="34"/>
      <c r="K32" s="38"/>
      <c r="L32" s="35"/>
      <c r="M32" s="85"/>
      <c r="N32" s="85"/>
      <c r="O32" s="85"/>
      <c r="P32" s="85"/>
      <c r="Q32" s="85"/>
      <c r="R32" s="85"/>
      <c r="S32" s="100"/>
      <c r="T32" s="100"/>
      <c r="U32" s="85"/>
      <c r="V32" s="85"/>
      <c r="W32" s="85"/>
      <c r="X32" s="85"/>
      <c r="AP32" t="str">
        <v/>
      </c>
    </row>
    <row r="33" spans="4:42" ht="15.75" x14ac:dyDescent="0.25">
      <c r="D33" s="3">
        <v>1</v>
      </c>
      <c r="F33" s="16" t="str" cm="1">
        <f t="array" ref="F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" s="31" cm="1">
        <f t="array" ref="G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" s="33" t="str">
        <f>_xlfn.IFNA(IF(MOD(HLG_03[[#This Row],[Rit]],
    _xlfn.XLOOKUP($G$2,Int_Sample[Ore],Int_Sample[Inc])) = 0, "YES", "NO"),"")</f>
        <v/>
      </c>
      <c r="I33" s="32" t="str">
        <f>TEXT(HLG_03[[#This Row],[Batch]],"000")&amp; " / " &amp; TEXT(HLG_03[[#This Row],[Rit]],"000")</f>
        <v>N/A / 000</v>
      </c>
      <c r="J33" s="34"/>
      <c r="K33" s="38"/>
      <c r="L33" s="35"/>
      <c r="M33" s="85"/>
      <c r="N33" s="85"/>
      <c r="O33" s="85"/>
      <c r="P33" s="85"/>
      <c r="Q33" s="85"/>
      <c r="R33" s="85"/>
      <c r="S33" s="100"/>
      <c r="T33" s="100"/>
      <c r="U33" s="85"/>
      <c r="V33" s="85"/>
      <c r="W33" s="85"/>
      <c r="X33" s="85"/>
      <c r="AP33" t="str">
        <v/>
      </c>
    </row>
    <row r="34" spans="4:42" ht="15.75" x14ac:dyDescent="0.25">
      <c r="D34" s="3">
        <v>1</v>
      </c>
      <c r="F34" s="16" t="str" cm="1">
        <f t="array" ref="F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" s="31" cm="1">
        <f t="array" ref="G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" s="33" t="str">
        <f>_xlfn.IFNA(IF(MOD(HLG_03[[#This Row],[Rit]],
    _xlfn.XLOOKUP($G$2,Int_Sample[Ore],Int_Sample[Inc])) = 0, "YES", "NO"),"")</f>
        <v/>
      </c>
      <c r="I34" s="32" t="str">
        <f>TEXT(HLG_03[[#This Row],[Batch]],"000")&amp; " / " &amp; TEXT(HLG_03[[#This Row],[Rit]],"000")</f>
        <v>N/A / 000</v>
      </c>
      <c r="J34" s="34"/>
      <c r="K34" s="38"/>
      <c r="L34" s="35"/>
      <c r="M34" s="85"/>
      <c r="N34" s="85"/>
      <c r="O34" s="85"/>
      <c r="P34" s="85"/>
      <c r="Q34" s="85"/>
      <c r="R34" s="85"/>
      <c r="S34" s="100"/>
      <c r="T34" s="100"/>
      <c r="U34" s="85"/>
      <c r="V34" s="85"/>
      <c r="W34" s="85"/>
      <c r="X34" s="85"/>
      <c r="AP34" t="str">
        <v/>
      </c>
    </row>
    <row r="35" spans="4:42" ht="15.75" x14ac:dyDescent="0.25">
      <c r="D35" s="3">
        <v>1</v>
      </c>
      <c r="F35" s="16" t="str" cm="1">
        <f t="array" ref="F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" s="31" cm="1">
        <f t="array" ref="G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" s="33" t="str">
        <f>_xlfn.IFNA(IF(MOD(HLG_03[[#This Row],[Rit]],
    _xlfn.XLOOKUP($G$2,Int_Sample[Ore],Int_Sample[Inc])) = 0, "YES", "NO"),"")</f>
        <v/>
      </c>
      <c r="I35" s="32" t="str">
        <f>TEXT(HLG_03[[#This Row],[Batch]],"000")&amp; " / " &amp; TEXT(HLG_03[[#This Row],[Rit]],"000")</f>
        <v>N/A / 000</v>
      </c>
      <c r="J35" s="34"/>
      <c r="K35" s="38"/>
      <c r="L35" s="35"/>
      <c r="M35" s="85"/>
      <c r="N35" s="85"/>
      <c r="O35" s="85"/>
      <c r="P35" s="85"/>
      <c r="Q35" s="85"/>
      <c r="R35" s="85"/>
      <c r="S35" s="100"/>
      <c r="T35" s="100"/>
      <c r="U35" s="85"/>
      <c r="V35" s="85"/>
      <c r="W35" s="85"/>
      <c r="X35" s="85"/>
      <c r="AP35" t="str">
        <v/>
      </c>
    </row>
    <row r="36" spans="4:42" ht="15.75" x14ac:dyDescent="0.25">
      <c r="D36" s="3">
        <v>1</v>
      </c>
      <c r="F36" s="16" t="str" cm="1">
        <f t="array" ref="F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" s="31" cm="1">
        <f t="array" ref="G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" s="33" t="str">
        <f>_xlfn.IFNA(IF(MOD(HLG_03[[#This Row],[Rit]],
    _xlfn.XLOOKUP($G$2,Int_Sample[Ore],Int_Sample[Inc])) = 0, "YES", "NO"),"")</f>
        <v/>
      </c>
      <c r="I36" s="32" t="str">
        <f>TEXT(HLG_03[[#This Row],[Batch]],"000")&amp; " / " &amp; TEXT(HLG_03[[#This Row],[Rit]],"000")</f>
        <v>N/A / 000</v>
      </c>
      <c r="J36" s="34"/>
      <c r="K36" s="38"/>
      <c r="L36" s="35"/>
      <c r="M36" s="85"/>
      <c r="N36" s="85"/>
      <c r="O36" s="85"/>
      <c r="P36" s="85"/>
      <c r="Q36" s="85"/>
      <c r="R36" s="85"/>
      <c r="S36" s="100"/>
      <c r="T36" s="100"/>
      <c r="U36" s="85"/>
      <c r="V36" s="85"/>
      <c r="W36" s="85"/>
      <c r="X36" s="85"/>
      <c r="AP36" t="str">
        <v/>
      </c>
    </row>
    <row r="37" spans="4:42" ht="15.75" x14ac:dyDescent="0.25">
      <c r="D37" s="3">
        <v>1</v>
      </c>
      <c r="F37" s="16" t="str" cm="1">
        <f t="array" ref="F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" s="31" cm="1">
        <f t="array" ref="G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" s="33" t="str">
        <f>_xlfn.IFNA(IF(MOD(HLG_03[[#This Row],[Rit]],
    _xlfn.XLOOKUP($G$2,Int_Sample[Ore],Int_Sample[Inc])) = 0, "YES", "NO"),"")</f>
        <v/>
      </c>
      <c r="I37" s="32" t="str">
        <f>TEXT(HLG_03[[#This Row],[Batch]],"000")&amp; " / " &amp; TEXT(HLG_03[[#This Row],[Rit]],"000")</f>
        <v>N/A / 000</v>
      </c>
      <c r="J37" s="34"/>
      <c r="K37" s="38"/>
      <c r="L37" s="35"/>
      <c r="M37" s="85"/>
      <c r="N37" s="85"/>
      <c r="O37" s="85"/>
      <c r="P37" s="85"/>
      <c r="Q37" s="85"/>
      <c r="R37" s="85"/>
      <c r="S37" s="100"/>
      <c r="T37" s="100"/>
      <c r="U37" s="85"/>
      <c r="V37" s="85"/>
      <c r="W37" s="85"/>
      <c r="X37" s="85"/>
      <c r="AP37" t="str">
        <v/>
      </c>
    </row>
    <row r="38" spans="4:42" ht="15.75" x14ac:dyDescent="0.25">
      <c r="D38" s="3">
        <v>1</v>
      </c>
      <c r="F38" s="16" t="str" cm="1">
        <f t="array" ref="F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" s="31" cm="1">
        <f t="array" ref="G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" s="33" t="str">
        <f>_xlfn.IFNA(IF(MOD(HLG_03[[#This Row],[Rit]],
    _xlfn.XLOOKUP($G$2,Int_Sample[Ore],Int_Sample[Inc])) = 0, "YES", "NO"),"")</f>
        <v/>
      </c>
      <c r="I38" s="32" t="str">
        <f>TEXT(HLG_03[[#This Row],[Batch]],"000")&amp; " / " &amp; TEXT(HLG_03[[#This Row],[Rit]],"000")</f>
        <v>N/A / 000</v>
      </c>
      <c r="J38" s="34"/>
      <c r="K38" s="38"/>
      <c r="L38" s="35"/>
      <c r="M38" s="85"/>
      <c r="N38" s="85"/>
      <c r="O38" s="85"/>
      <c r="P38" s="85"/>
      <c r="Q38" s="85"/>
      <c r="R38" s="85"/>
      <c r="S38" s="100"/>
      <c r="T38" s="100"/>
      <c r="U38" s="85"/>
      <c r="V38" s="85"/>
      <c r="W38" s="85"/>
      <c r="X38" s="85"/>
      <c r="AP38" t="str">
        <v/>
      </c>
    </row>
    <row r="39" spans="4:42" ht="15.75" x14ac:dyDescent="0.25">
      <c r="D39" s="3">
        <v>1</v>
      </c>
      <c r="F39" s="16" t="str" cm="1">
        <f t="array" ref="F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" s="31" cm="1">
        <f t="array" ref="G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" s="33" t="str">
        <f>_xlfn.IFNA(IF(MOD(HLG_03[[#This Row],[Rit]],
    _xlfn.XLOOKUP($G$2,Int_Sample[Ore],Int_Sample[Inc])) = 0, "YES", "NO"),"")</f>
        <v/>
      </c>
      <c r="I39" s="32" t="str">
        <f>TEXT(HLG_03[[#This Row],[Batch]],"000")&amp; " / " &amp; TEXT(HLG_03[[#This Row],[Rit]],"000")</f>
        <v>N/A / 000</v>
      </c>
      <c r="J39" s="34"/>
      <c r="K39" s="38"/>
      <c r="L39" s="35"/>
      <c r="M39" s="85"/>
      <c r="N39" s="85"/>
      <c r="O39" s="85"/>
      <c r="P39" s="85"/>
      <c r="Q39" s="85"/>
      <c r="R39" s="85"/>
      <c r="S39" s="100"/>
      <c r="T39" s="100"/>
      <c r="U39" s="85"/>
      <c r="V39" s="85"/>
      <c r="W39" s="85"/>
      <c r="X39" s="85"/>
      <c r="AP39" t="str">
        <v/>
      </c>
    </row>
    <row r="40" spans="4:42" ht="15.75" x14ac:dyDescent="0.25">
      <c r="D40" s="3">
        <v>1</v>
      </c>
      <c r="F40" s="16" t="str" cm="1">
        <f t="array" ref="F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" s="31" cm="1">
        <f t="array" ref="G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" s="33" t="str">
        <f>_xlfn.IFNA(IF(MOD(HLG_03[[#This Row],[Rit]],
    _xlfn.XLOOKUP($G$2,Int_Sample[Ore],Int_Sample[Inc])) = 0, "YES", "NO"),"")</f>
        <v/>
      </c>
      <c r="I40" s="32" t="str">
        <f>TEXT(HLG_03[[#This Row],[Batch]],"000")&amp; " / " &amp; TEXT(HLG_03[[#This Row],[Rit]],"000")</f>
        <v>N/A / 000</v>
      </c>
      <c r="J40" s="34"/>
      <c r="K40" s="38"/>
      <c r="L40" s="35"/>
      <c r="M40" s="85"/>
      <c r="N40" s="85"/>
      <c r="O40" s="85"/>
      <c r="P40" s="85"/>
      <c r="Q40" s="85"/>
      <c r="R40" s="85"/>
      <c r="S40" s="100"/>
      <c r="T40" s="100"/>
      <c r="U40" s="85"/>
      <c r="V40" s="85"/>
      <c r="W40" s="85"/>
      <c r="X40" s="85"/>
      <c r="AP40" t="str">
        <v/>
      </c>
    </row>
    <row r="41" spans="4:42" ht="15.75" x14ac:dyDescent="0.25">
      <c r="D41" s="3">
        <v>1</v>
      </c>
      <c r="F41" s="16" t="str" cm="1">
        <f t="array" ref="F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" s="31" cm="1">
        <f t="array" ref="G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" s="33" t="str">
        <f>_xlfn.IFNA(IF(MOD(HLG_03[[#This Row],[Rit]],
    _xlfn.XLOOKUP($G$2,Int_Sample[Ore],Int_Sample[Inc])) = 0, "YES", "NO"),"")</f>
        <v/>
      </c>
      <c r="I41" s="32" t="str">
        <f>TEXT(HLG_03[[#This Row],[Batch]],"000")&amp; " / " &amp; TEXT(HLG_03[[#This Row],[Rit]],"000")</f>
        <v>N/A / 000</v>
      </c>
      <c r="J41" s="34"/>
      <c r="K41" s="38"/>
      <c r="L41" s="35"/>
      <c r="M41" s="85"/>
      <c r="N41" s="85"/>
      <c r="O41" s="85"/>
      <c r="P41" s="85"/>
      <c r="Q41" s="85"/>
      <c r="R41" s="85"/>
      <c r="S41" s="100"/>
      <c r="T41" s="100"/>
      <c r="U41" s="85"/>
      <c r="V41" s="85"/>
      <c r="W41" s="85"/>
      <c r="X41" s="85"/>
      <c r="AP41" t="str">
        <v/>
      </c>
    </row>
    <row r="42" spans="4:42" ht="15.75" x14ac:dyDescent="0.25">
      <c r="D42" s="3">
        <v>1</v>
      </c>
      <c r="F42" s="16" t="str" cm="1">
        <f t="array" ref="F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" s="31" cm="1">
        <f t="array" ref="G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" s="33" t="str">
        <f>_xlfn.IFNA(IF(MOD(HLG_03[[#This Row],[Rit]],
    _xlfn.XLOOKUP($G$2,Int_Sample[Ore],Int_Sample[Inc])) = 0, "YES", "NO"),"")</f>
        <v/>
      </c>
      <c r="I42" s="32" t="str">
        <f>TEXT(HLG_03[[#This Row],[Batch]],"000")&amp; " / " &amp; TEXT(HLG_03[[#This Row],[Rit]],"000")</f>
        <v>N/A / 000</v>
      </c>
      <c r="J42" s="34"/>
      <c r="K42" s="38"/>
      <c r="L42" s="35"/>
      <c r="M42" s="85"/>
      <c r="N42" s="85"/>
      <c r="O42" s="85"/>
      <c r="P42" s="85"/>
      <c r="Q42" s="85"/>
      <c r="R42" s="85"/>
      <c r="S42" s="100"/>
      <c r="T42" s="100"/>
      <c r="U42" s="85"/>
      <c r="V42" s="85"/>
      <c r="W42" s="85"/>
      <c r="X42" s="85"/>
      <c r="AP42" t="str">
        <v/>
      </c>
    </row>
    <row r="43" spans="4:42" ht="15.75" x14ac:dyDescent="0.25">
      <c r="D43" s="3">
        <v>1</v>
      </c>
      <c r="F43" s="16" t="str" cm="1">
        <f t="array" ref="F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" s="31" cm="1">
        <f t="array" ref="G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" s="33" t="str">
        <f>_xlfn.IFNA(IF(MOD(HLG_03[[#This Row],[Rit]],
    _xlfn.XLOOKUP($G$2,Int_Sample[Ore],Int_Sample[Inc])) = 0, "YES", "NO"),"")</f>
        <v/>
      </c>
      <c r="I43" s="32" t="str">
        <f>TEXT(HLG_03[[#This Row],[Batch]],"000")&amp; " / " &amp; TEXT(HLG_03[[#This Row],[Rit]],"000")</f>
        <v>N/A / 000</v>
      </c>
      <c r="J43" s="34"/>
      <c r="K43" s="38"/>
      <c r="L43" s="35"/>
      <c r="M43" s="85"/>
      <c r="N43" s="85"/>
      <c r="O43" s="85"/>
      <c r="P43" s="85"/>
      <c r="Q43" s="85"/>
      <c r="R43" s="85"/>
      <c r="S43" s="100"/>
      <c r="T43" s="100"/>
      <c r="U43" s="85"/>
      <c r="V43" s="85"/>
      <c r="W43" s="85"/>
      <c r="X43" s="85"/>
      <c r="AP43" t="str">
        <v/>
      </c>
    </row>
    <row r="44" spans="4:42" ht="15.75" x14ac:dyDescent="0.25">
      <c r="D44" s="3">
        <v>1</v>
      </c>
      <c r="F44" s="16" t="str" cm="1">
        <f t="array" ref="F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" s="31" cm="1">
        <f t="array" ref="G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" s="33" t="str">
        <f>_xlfn.IFNA(IF(MOD(HLG_03[[#This Row],[Rit]],
    _xlfn.XLOOKUP($G$2,Int_Sample[Ore],Int_Sample[Inc])) = 0, "YES", "NO"),"")</f>
        <v/>
      </c>
      <c r="I44" s="32" t="str">
        <f>TEXT(HLG_03[[#This Row],[Batch]],"000")&amp; " / " &amp; TEXT(HLG_03[[#This Row],[Rit]],"000")</f>
        <v>N/A / 000</v>
      </c>
      <c r="J44" s="34"/>
      <c r="K44" s="38"/>
      <c r="L44" s="35"/>
      <c r="M44" s="85"/>
      <c r="N44" s="85"/>
      <c r="O44" s="85"/>
      <c r="P44" s="85"/>
      <c r="Q44" s="85"/>
      <c r="R44" s="85"/>
      <c r="S44" s="100"/>
      <c r="T44" s="100"/>
      <c r="U44" s="85"/>
      <c r="V44" s="85"/>
      <c r="W44" s="85"/>
      <c r="X44" s="85"/>
      <c r="AP44" t="str">
        <v/>
      </c>
    </row>
    <row r="45" spans="4:42" ht="15.75" x14ac:dyDescent="0.25">
      <c r="D45" s="3">
        <v>1</v>
      </c>
      <c r="F45" s="16" t="str" cm="1">
        <f t="array" ref="F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" s="31" cm="1">
        <f t="array" ref="G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" s="33" t="str">
        <f>_xlfn.IFNA(IF(MOD(HLG_03[[#This Row],[Rit]],
    _xlfn.XLOOKUP($G$2,Int_Sample[Ore],Int_Sample[Inc])) = 0, "YES", "NO"),"")</f>
        <v/>
      </c>
      <c r="I45" s="32" t="str">
        <f>TEXT(HLG_03[[#This Row],[Batch]],"000")&amp; " / " &amp; TEXT(HLG_03[[#This Row],[Rit]],"000")</f>
        <v>N/A / 000</v>
      </c>
      <c r="J45" s="34"/>
      <c r="K45" s="38"/>
      <c r="L45" s="35"/>
      <c r="M45" s="85"/>
      <c r="N45" s="85"/>
      <c r="O45" s="85"/>
      <c r="P45" s="85"/>
      <c r="Q45" s="85"/>
      <c r="R45" s="85"/>
      <c r="S45" s="100"/>
      <c r="T45" s="100"/>
      <c r="U45" s="85"/>
      <c r="V45" s="85"/>
      <c r="W45" s="85"/>
      <c r="X45" s="85"/>
      <c r="AP45" t="str">
        <v/>
      </c>
    </row>
    <row r="46" spans="4:42" ht="15.75" x14ac:dyDescent="0.25">
      <c r="D46" s="3">
        <v>1</v>
      </c>
      <c r="F46" s="16" t="str" cm="1">
        <f t="array" ref="F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" s="31" cm="1">
        <f t="array" ref="G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" s="33" t="str">
        <f>_xlfn.IFNA(IF(MOD(HLG_03[[#This Row],[Rit]],
    _xlfn.XLOOKUP($G$2,Int_Sample[Ore],Int_Sample[Inc])) = 0, "YES", "NO"),"")</f>
        <v/>
      </c>
      <c r="I46" s="32" t="str">
        <f>TEXT(HLG_03[[#This Row],[Batch]],"000")&amp; " / " &amp; TEXT(HLG_03[[#This Row],[Rit]],"000")</f>
        <v>N/A / 000</v>
      </c>
      <c r="J46" s="34"/>
      <c r="K46" s="38"/>
      <c r="L46" s="35"/>
      <c r="M46" s="85"/>
      <c r="N46" s="85"/>
      <c r="O46" s="85"/>
      <c r="P46" s="85"/>
      <c r="Q46" s="85"/>
      <c r="R46" s="85"/>
      <c r="S46" s="100"/>
      <c r="T46" s="100"/>
      <c r="U46" s="85"/>
      <c r="V46" s="85"/>
      <c r="W46" s="85"/>
      <c r="X46" s="85"/>
      <c r="AP46" t="str">
        <v/>
      </c>
    </row>
    <row r="47" spans="4:42" ht="15.75" x14ac:dyDescent="0.25">
      <c r="D47" s="3">
        <v>1</v>
      </c>
      <c r="F47" s="16" t="str" cm="1">
        <f t="array" ref="F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" s="31" cm="1">
        <f t="array" ref="G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" s="33" t="str">
        <f>_xlfn.IFNA(IF(MOD(HLG_03[[#This Row],[Rit]],
    _xlfn.XLOOKUP($G$2,Int_Sample[Ore],Int_Sample[Inc])) = 0, "YES", "NO"),"")</f>
        <v/>
      </c>
      <c r="I47" s="32" t="str">
        <f>TEXT(HLG_03[[#This Row],[Batch]],"000")&amp; " / " &amp; TEXT(HLG_03[[#This Row],[Rit]],"000")</f>
        <v>N/A / 000</v>
      </c>
      <c r="J47" s="34"/>
      <c r="K47" s="38"/>
      <c r="L47" s="35"/>
      <c r="M47" s="85"/>
      <c r="N47" s="85"/>
      <c r="O47" s="85"/>
      <c r="P47" s="85"/>
      <c r="Q47" s="85"/>
      <c r="R47" s="85"/>
      <c r="S47" s="100"/>
      <c r="T47" s="100"/>
      <c r="U47" s="85"/>
      <c r="V47" s="85"/>
      <c r="W47" s="85"/>
      <c r="X47" s="85"/>
      <c r="AP47" t="str">
        <v/>
      </c>
    </row>
    <row r="48" spans="4:42" ht="15.75" x14ac:dyDescent="0.25">
      <c r="D48" s="3">
        <v>1</v>
      </c>
      <c r="F48" s="16" t="str" cm="1">
        <f t="array" ref="F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" s="31" cm="1">
        <f t="array" ref="G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" s="33" t="str">
        <f>_xlfn.IFNA(IF(MOD(HLG_03[[#This Row],[Rit]],
    _xlfn.XLOOKUP($G$2,Int_Sample[Ore],Int_Sample[Inc])) = 0, "YES", "NO"),"")</f>
        <v/>
      </c>
      <c r="I48" s="32" t="str">
        <f>TEXT(HLG_03[[#This Row],[Batch]],"000")&amp; " / " &amp; TEXT(HLG_03[[#This Row],[Rit]],"000")</f>
        <v>N/A / 000</v>
      </c>
      <c r="J48" s="34"/>
      <c r="K48" s="38"/>
      <c r="L48" s="35"/>
      <c r="M48" s="85"/>
      <c r="N48" s="85"/>
      <c r="O48" s="85"/>
      <c r="P48" s="85"/>
      <c r="Q48" s="85"/>
      <c r="R48" s="85"/>
      <c r="S48" s="100"/>
      <c r="T48" s="100"/>
      <c r="U48" s="85"/>
      <c r="V48" s="85"/>
      <c r="W48" s="85"/>
      <c r="X48" s="85"/>
      <c r="AP48" t="str">
        <v/>
      </c>
    </row>
    <row r="49" spans="4:42" ht="15.75" x14ac:dyDescent="0.25">
      <c r="D49" s="3">
        <v>1</v>
      </c>
      <c r="F49" s="16" t="str" cm="1">
        <f t="array" ref="F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" s="31" cm="1">
        <f t="array" ref="G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" s="33" t="str">
        <f>_xlfn.IFNA(IF(MOD(HLG_03[[#This Row],[Rit]],
    _xlfn.XLOOKUP($G$2,Int_Sample[Ore],Int_Sample[Inc])) = 0, "YES", "NO"),"")</f>
        <v/>
      </c>
      <c r="I49" s="32" t="str">
        <f>TEXT(HLG_03[[#This Row],[Batch]],"000")&amp; " / " &amp; TEXT(HLG_03[[#This Row],[Rit]],"000")</f>
        <v>N/A / 000</v>
      </c>
      <c r="J49" s="34"/>
      <c r="K49" s="38"/>
      <c r="L49" s="35"/>
      <c r="M49" s="85"/>
      <c r="N49" s="85"/>
      <c r="O49" s="85"/>
      <c r="P49" s="85"/>
      <c r="Q49" s="85"/>
      <c r="R49" s="85"/>
      <c r="S49" s="100"/>
      <c r="T49" s="100"/>
      <c r="U49" s="85"/>
      <c r="V49" s="85"/>
      <c r="W49" s="85"/>
      <c r="X49" s="85"/>
      <c r="AP49" t="str">
        <v/>
      </c>
    </row>
    <row r="50" spans="4:42" ht="15.75" x14ac:dyDescent="0.25">
      <c r="D50" s="3">
        <v>1</v>
      </c>
      <c r="F50" s="16" t="str" cm="1">
        <f t="array" ref="F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" s="31" cm="1">
        <f t="array" ref="G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" s="33" t="str">
        <f>_xlfn.IFNA(IF(MOD(HLG_03[[#This Row],[Rit]],
    _xlfn.XLOOKUP($G$2,Int_Sample[Ore],Int_Sample[Inc])) = 0, "YES", "NO"),"")</f>
        <v/>
      </c>
      <c r="I50" s="32" t="str">
        <f>TEXT(HLG_03[[#This Row],[Batch]],"000")&amp; " / " &amp; TEXT(HLG_03[[#This Row],[Rit]],"000")</f>
        <v>N/A / 000</v>
      </c>
      <c r="J50" s="34"/>
      <c r="K50" s="38"/>
      <c r="L50" s="35"/>
      <c r="M50" s="85"/>
      <c r="N50" s="85"/>
      <c r="O50" s="85"/>
      <c r="P50" s="85"/>
      <c r="Q50" s="85"/>
      <c r="R50" s="85"/>
      <c r="S50" s="100"/>
      <c r="T50" s="100"/>
      <c r="U50" s="85"/>
      <c r="V50" s="85"/>
      <c r="W50" s="85"/>
      <c r="X50" s="85"/>
      <c r="AP50" t="str">
        <v/>
      </c>
    </row>
    <row r="51" spans="4:42" ht="15.75" x14ac:dyDescent="0.25">
      <c r="D51" s="3">
        <v>1</v>
      </c>
      <c r="F51" s="16" t="str" cm="1">
        <f t="array" ref="F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" s="31" cm="1">
        <f t="array" ref="G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" s="33" t="str">
        <f>_xlfn.IFNA(IF(MOD(HLG_03[[#This Row],[Rit]],
    _xlfn.XLOOKUP($G$2,Int_Sample[Ore],Int_Sample[Inc])) = 0, "YES", "NO"),"")</f>
        <v/>
      </c>
      <c r="I51" s="32" t="str">
        <f>TEXT(HLG_03[[#This Row],[Batch]],"000")&amp; " / " &amp; TEXT(HLG_03[[#This Row],[Rit]],"000")</f>
        <v>N/A / 000</v>
      </c>
      <c r="J51" s="34"/>
      <c r="K51" s="38"/>
      <c r="L51" s="35"/>
      <c r="M51" s="85"/>
      <c r="N51" s="85"/>
      <c r="O51" s="85"/>
      <c r="P51" s="85"/>
      <c r="Q51" s="85"/>
      <c r="R51" s="85"/>
      <c r="S51" s="100"/>
      <c r="T51" s="100"/>
      <c r="U51" s="85"/>
      <c r="V51" s="85"/>
      <c r="W51" s="85"/>
      <c r="X51" s="85"/>
      <c r="AP51" t="str">
        <v/>
      </c>
    </row>
    <row r="52" spans="4:42" ht="15.75" x14ac:dyDescent="0.25">
      <c r="D52" s="3">
        <v>1</v>
      </c>
      <c r="F52" s="16" t="str" cm="1">
        <f t="array" ref="F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" s="31" cm="1">
        <f t="array" ref="G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" s="33" t="str">
        <f>_xlfn.IFNA(IF(MOD(HLG_03[[#This Row],[Rit]],
    _xlfn.XLOOKUP($G$2,Int_Sample[Ore],Int_Sample[Inc])) = 0, "YES", "NO"),"")</f>
        <v/>
      </c>
      <c r="I52" s="32" t="str">
        <f>TEXT(HLG_03[[#This Row],[Batch]],"000")&amp; " / " &amp; TEXT(HLG_03[[#This Row],[Rit]],"000")</f>
        <v>N/A / 000</v>
      </c>
      <c r="J52" s="34"/>
      <c r="K52" s="38"/>
      <c r="L52" s="35"/>
      <c r="M52" s="85"/>
      <c r="N52" s="85"/>
      <c r="O52" s="85"/>
      <c r="P52" s="85"/>
      <c r="Q52" s="85"/>
      <c r="R52" s="85"/>
      <c r="S52" s="100"/>
      <c r="T52" s="100"/>
      <c r="U52" s="85"/>
      <c r="V52" s="85"/>
      <c r="W52" s="85"/>
      <c r="X52" s="85"/>
      <c r="AP52" t="str">
        <v/>
      </c>
    </row>
    <row r="53" spans="4:42" ht="15.75" x14ac:dyDescent="0.25">
      <c r="D53" s="3">
        <v>1</v>
      </c>
      <c r="F53" s="16" t="str" cm="1">
        <f t="array" ref="F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" s="31" cm="1">
        <f t="array" ref="G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" s="33" t="str">
        <f>_xlfn.IFNA(IF(MOD(HLG_03[[#This Row],[Rit]],
    _xlfn.XLOOKUP($G$2,Int_Sample[Ore],Int_Sample[Inc])) = 0, "YES", "NO"),"")</f>
        <v/>
      </c>
      <c r="I53" s="32" t="str">
        <f>TEXT(HLG_03[[#This Row],[Batch]],"000")&amp; " / " &amp; TEXT(HLG_03[[#This Row],[Rit]],"000")</f>
        <v>N/A / 000</v>
      </c>
      <c r="J53" s="34"/>
      <c r="K53" s="38"/>
      <c r="L53" s="35"/>
      <c r="M53" s="85"/>
      <c r="N53" s="85"/>
      <c r="O53" s="85"/>
      <c r="P53" s="85"/>
      <c r="Q53" s="85"/>
      <c r="R53" s="85"/>
      <c r="S53" s="100"/>
      <c r="T53" s="100"/>
      <c r="U53" s="85"/>
      <c r="V53" s="85"/>
      <c r="W53" s="85"/>
      <c r="X53" s="85"/>
      <c r="AP53" t="str">
        <v/>
      </c>
    </row>
    <row r="54" spans="4:42" ht="15.75" x14ac:dyDescent="0.25">
      <c r="D54" s="3">
        <v>1</v>
      </c>
      <c r="F54" s="16" t="str" cm="1">
        <f t="array" ref="F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" s="31" cm="1">
        <f t="array" ref="G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" s="33" t="str">
        <f>_xlfn.IFNA(IF(MOD(HLG_03[[#This Row],[Rit]],
    _xlfn.XLOOKUP($G$2,Int_Sample[Ore],Int_Sample[Inc])) = 0, "YES", "NO"),"")</f>
        <v/>
      </c>
      <c r="I54" s="32" t="str">
        <f>TEXT(HLG_03[[#This Row],[Batch]],"000")&amp; " / " &amp; TEXT(HLG_03[[#This Row],[Rit]],"000")</f>
        <v>N/A / 000</v>
      </c>
      <c r="J54" s="34"/>
      <c r="K54" s="38"/>
      <c r="L54" s="35"/>
      <c r="M54" s="85"/>
      <c r="N54" s="85"/>
      <c r="O54" s="85"/>
      <c r="P54" s="85"/>
      <c r="Q54" s="85"/>
      <c r="R54" s="85"/>
      <c r="S54" s="100"/>
      <c r="T54" s="100"/>
      <c r="U54" s="85"/>
      <c r="V54" s="85"/>
      <c r="W54" s="85"/>
      <c r="X54" s="85"/>
      <c r="AP54" t="str">
        <v/>
      </c>
    </row>
    <row r="55" spans="4:42" ht="15.75" x14ac:dyDescent="0.25">
      <c r="D55" s="3">
        <v>1</v>
      </c>
      <c r="F55" s="16" t="str" cm="1">
        <f t="array" ref="F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" s="31" cm="1">
        <f t="array" ref="G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" s="33" t="str">
        <f>_xlfn.IFNA(IF(MOD(HLG_03[[#This Row],[Rit]],
    _xlfn.XLOOKUP($G$2,Int_Sample[Ore],Int_Sample[Inc])) = 0, "YES", "NO"),"")</f>
        <v/>
      </c>
      <c r="I55" s="32" t="str">
        <f>TEXT(HLG_03[[#This Row],[Batch]],"000")&amp; " / " &amp; TEXT(HLG_03[[#This Row],[Rit]],"000")</f>
        <v>N/A / 000</v>
      </c>
      <c r="J55" s="34"/>
      <c r="K55" s="38"/>
      <c r="L55" s="35"/>
      <c r="M55" s="85"/>
      <c r="N55" s="85"/>
      <c r="O55" s="85"/>
      <c r="P55" s="85"/>
      <c r="Q55" s="85"/>
      <c r="R55" s="85"/>
      <c r="S55" s="100"/>
      <c r="T55" s="100"/>
      <c r="U55" s="85"/>
      <c r="V55" s="85"/>
      <c r="W55" s="85"/>
      <c r="X55" s="85"/>
      <c r="AP55" t="str">
        <v/>
      </c>
    </row>
    <row r="56" spans="4:42" ht="15.75" x14ac:dyDescent="0.25">
      <c r="D56" s="3">
        <v>1</v>
      </c>
      <c r="F56" s="16" t="str" cm="1">
        <f t="array" ref="F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" s="31" cm="1">
        <f t="array" ref="G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" s="33" t="str">
        <f>_xlfn.IFNA(IF(MOD(HLG_03[[#This Row],[Rit]],
    _xlfn.XLOOKUP($G$2,Int_Sample[Ore],Int_Sample[Inc])) = 0, "YES", "NO"),"")</f>
        <v/>
      </c>
      <c r="I56" s="32" t="str">
        <f>TEXT(HLG_03[[#This Row],[Batch]],"000")&amp; " / " &amp; TEXT(HLG_03[[#This Row],[Rit]],"000")</f>
        <v>N/A / 000</v>
      </c>
      <c r="J56" s="34"/>
      <c r="K56" s="38"/>
      <c r="L56" s="35"/>
      <c r="M56" s="85"/>
      <c r="N56" s="85"/>
      <c r="O56" s="85"/>
      <c r="P56" s="85"/>
      <c r="Q56" s="85"/>
      <c r="R56" s="85"/>
      <c r="S56" s="100"/>
      <c r="T56" s="100"/>
      <c r="U56" s="85"/>
      <c r="V56" s="85"/>
      <c r="W56" s="85"/>
      <c r="X56" s="85"/>
      <c r="AP56" t="str">
        <v/>
      </c>
    </row>
    <row r="57" spans="4:42" ht="15.75" x14ac:dyDescent="0.25">
      <c r="D57" s="3">
        <v>1</v>
      </c>
      <c r="F57" s="16" t="str" cm="1">
        <f t="array" ref="F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" s="31" cm="1">
        <f t="array" ref="G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" s="33" t="str">
        <f>_xlfn.IFNA(IF(MOD(HLG_03[[#This Row],[Rit]],
    _xlfn.XLOOKUP($G$2,Int_Sample[Ore],Int_Sample[Inc])) = 0, "YES", "NO"),"")</f>
        <v/>
      </c>
      <c r="I57" s="32" t="str">
        <f>TEXT(HLG_03[[#This Row],[Batch]],"000")&amp; " / " &amp; TEXT(HLG_03[[#This Row],[Rit]],"000")</f>
        <v>N/A / 000</v>
      </c>
      <c r="J57" s="34"/>
      <c r="K57" s="38"/>
      <c r="L57" s="35"/>
      <c r="M57" s="85"/>
      <c r="N57" s="85"/>
      <c r="O57" s="85"/>
      <c r="P57" s="85"/>
      <c r="Q57" s="85"/>
      <c r="R57" s="85"/>
      <c r="S57" s="100"/>
      <c r="T57" s="100"/>
      <c r="U57" s="85"/>
      <c r="V57" s="85"/>
      <c r="W57" s="85"/>
      <c r="X57" s="85"/>
      <c r="AP57" t="str">
        <v/>
      </c>
    </row>
    <row r="58" spans="4:42" ht="15.75" x14ac:dyDescent="0.25">
      <c r="D58" s="3">
        <v>1</v>
      </c>
      <c r="F58" s="16" t="str" cm="1">
        <f t="array" ref="F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" s="31" cm="1">
        <f t="array" ref="G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" s="33" t="str">
        <f>_xlfn.IFNA(IF(MOD(HLG_03[[#This Row],[Rit]],
    _xlfn.XLOOKUP($G$2,Int_Sample[Ore],Int_Sample[Inc])) = 0, "YES", "NO"),"")</f>
        <v/>
      </c>
      <c r="I58" s="32" t="str">
        <f>TEXT(HLG_03[[#This Row],[Batch]],"000")&amp; " / " &amp; TEXT(HLG_03[[#This Row],[Rit]],"000")</f>
        <v>N/A / 000</v>
      </c>
      <c r="J58" s="34"/>
      <c r="K58" s="38"/>
      <c r="L58" s="35"/>
      <c r="M58" s="85"/>
      <c r="N58" s="85"/>
      <c r="O58" s="85"/>
      <c r="P58" s="85"/>
      <c r="Q58" s="85"/>
      <c r="R58" s="85"/>
      <c r="S58" s="100"/>
      <c r="T58" s="100"/>
      <c r="U58" s="85"/>
      <c r="V58" s="85"/>
      <c r="W58" s="85"/>
      <c r="X58" s="85"/>
      <c r="AP58" t="str">
        <v/>
      </c>
    </row>
    <row r="59" spans="4:42" ht="15.75" x14ac:dyDescent="0.25">
      <c r="D59" s="3">
        <v>1</v>
      </c>
      <c r="F59" s="16" t="str" cm="1">
        <f t="array" ref="F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" s="31" cm="1">
        <f t="array" ref="G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" s="33" t="str">
        <f>_xlfn.IFNA(IF(MOD(HLG_03[[#This Row],[Rit]],
    _xlfn.XLOOKUP($G$2,Int_Sample[Ore],Int_Sample[Inc])) = 0, "YES", "NO"),"")</f>
        <v/>
      </c>
      <c r="I59" s="32" t="str">
        <f>TEXT(HLG_03[[#This Row],[Batch]],"000")&amp; " / " &amp; TEXT(HLG_03[[#This Row],[Rit]],"000")</f>
        <v>N/A / 000</v>
      </c>
      <c r="J59" s="34"/>
      <c r="K59" s="38"/>
      <c r="L59" s="35"/>
      <c r="M59" s="85"/>
      <c r="N59" s="85"/>
      <c r="O59" s="85"/>
      <c r="P59" s="85"/>
      <c r="Q59" s="85"/>
      <c r="R59" s="85"/>
      <c r="S59" s="100"/>
      <c r="T59" s="100"/>
      <c r="U59" s="85"/>
      <c r="V59" s="85"/>
      <c r="W59" s="85"/>
      <c r="X59" s="85"/>
      <c r="AP59" t="str">
        <v/>
      </c>
    </row>
    <row r="60" spans="4:42" ht="15.75" x14ac:dyDescent="0.25">
      <c r="D60" s="3">
        <v>1</v>
      </c>
      <c r="F60" s="16" t="str" cm="1">
        <f t="array" ref="F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" s="31" cm="1">
        <f t="array" ref="G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" s="33" t="str">
        <f>_xlfn.IFNA(IF(MOD(HLG_03[[#This Row],[Rit]],
    _xlfn.XLOOKUP($G$2,Int_Sample[Ore],Int_Sample[Inc])) = 0, "YES", "NO"),"")</f>
        <v/>
      </c>
      <c r="I60" s="32" t="str">
        <f>TEXT(HLG_03[[#This Row],[Batch]],"000")&amp; " / " &amp; TEXT(HLG_03[[#This Row],[Rit]],"000")</f>
        <v>N/A / 000</v>
      </c>
      <c r="J60" s="34"/>
      <c r="K60" s="38"/>
      <c r="L60" s="35"/>
      <c r="M60" s="85"/>
      <c r="N60" s="85"/>
      <c r="O60" s="85"/>
      <c r="P60" s="85"/>
      <c r="Q60" s="85"/>
      <c r="R60" s="85"/>
      <c r="S60" s="100"/>
      <c r="T60" s="100"/>
      <c r="U60" s="85"/>
      <c r="V60" s="85"/>
      <c r="W60" s="85"/>
      <c r="X60" s="85"/>
      <c r="AP60" t="str">
        <v/>
      </c>
    </row>
    <row r="61" spans="4:42" ht="15.75" x14ac:dyDescent="0.25">
      <c r="D61" s="3">
        <v>1</v>
      </c>
      <c r="F61" s="16" t="str" cm="1">
        <f t="array" ref="F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" s="31" cm="1">
        <f t="array" ref="G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" s="33" t="str">
        <f>_xlfn.IFNA(IF(MOD(HLG_03[[#This Row],[Rit]],
    _xlfn.XLOOKUP($G$2,Int_Sample[Ore],Int_Sample[Inc])) = 0, "YES", "NO"),"")</f>
        <v/>
      </c>
      <c r="I61" s="32" t="str">
        <f>TEXT(HLG_03[[#This Row],[Batch]],"000")&amp; " / " &amp; TEXT(HLG_03[[#This Row],[Rit]],"000")</f>
        <v>N/A / 000</v>
      </c>
      <c r="J61" s="34"/>
      <c r="K61" s="38"/>
      <c r="L61" s="35"/>
      <c r="M61" s="85"/>
      <c r="N61" s="85"/>
      <c r="O61" s="85"/>
      <c r="P61" s="85"/>
      <c r="Q61" s="85"/>
      <c r="R61" s="85"/>
      <c r="S61" s="100"/>
      <c r="T61" s="100"/>
      <c r="U61" s="85"/>
      <c r="V61" s="85"/>
      <c r="W61" s="85"/>
      <c r="X61" s="85"/>
      <c r="AP61" t="str">
        <v/>
      </c>
    </row>
    <row r="62" spans="4:42" ht="15.75" x14ac:dyDescent="0.25">
      <c r="D62" s="3">
        <v>1</v>
      </c>
      <c r="F62" s="16" t="str" cm="1">
        <f t="array" ref="F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" s="31" cm="1">
        <f t="array" ref="G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" s="33" t="str">
        <f>_xlfn.IFNA(IF(MOD(HLG_03[[#This Row],[Rit]],
    _xlfn.XLOOKUP($G$2,Int_Sample[Ore],Int_Sample[Inc])) = 0, "YES", "NO"),"")</f>
        <v/>
      </c>
      <c r="I62" s="32" t="str">
        <f>TEXT(HLG_03[[#This Row],[Batch]],"000")&amp; " / " &amp; TEXT(HLG_03[[#This Row],[Rit]],"000")</f>
        <v>N/A / 000</v>
      </c>
      <c r="J62" s="34"/>
      <c r="K62" s="38"/>
      <c r="L62" s="35"/>
      <c r="M62" s="85"/>
      <c r="N62" s="85"/>
      <c r="O62" s="85"/>
      <c r="P62" s="85"/>
      <c r="Q62" s="85"/>
      <c r="R62" s="85"/>
      <c r="S62" s="100"/>
      <c r="T62" s="100"/>
      <c r="U62" s="85"/>
      <c r="V62" s="85"/>
      <c r="W62" s="85"/>
      <c r="X62" s="85"/>
      <c r="AP62" t="str">
        <v/>
      </c>
    </row>
    <row r="63" spans="4:42" ht="15.75" x14ac:dyDescent="0.25">
      <c r="D63" s="3">
        <v>1</v>
      </c>
      <c r="F63" s="16" t="str" cm="1">
        <f t="array" ref="F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" s="31" cm="1">
        <f t="array" ref="G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" s="33" t="str">
        <f>_xlfn.IFNA(IF(MOD(HLG_03[[#This Row],[Rit]],
    _xlfn.XLOOKUP($G$2,Int_Sample[Ore],Int_Sample[Inc])) = 0, "YES", "NO"),"")</f>
        <v/>
      </c>
      <c r="I63" s="32" t="str">
        <f>TEXT(HLG_03[[#This Row],[Batch]],"000")&amp; " / " &amp; TEXT(HLG_03[[#This Row],[Rit]],"000")</f>
        <v>N/A / 000</v>
      </c>
      <c r="J63" s="34"/>
      <c r="K63" s="38"/>
      <c r="L63" s="35"/>
      <c r="M63" s="85"/>
      <c r="N63" s="85"/>
      <c r="O63" s="85"/>
      <c r="P63" s="85"/>
      <c r="Q63" s="85"/>
      <c r="R63" s="85"/>
      <c r="S63" s="100"/>
      <c r="T63" s="100"/>
      <c r="U63" s="85"/>
      <c r="V63" s="85"/>
      <c r="W63" s="85"/>
      <c r="X63" s="85"/>
      <c r="AP63" t="str">
        <v/>
      </c>
    </row>
    <row r="64" spans="4:42" ht="15.75" x14ac:dyDescent="0.25">
      <c r="D64" s="3">
        <v>1</v>
      </c>
      <c r="F64" s="16" t="str" cm="1">
        <f t="array" ref="F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4" s="31" cm="1">
        <f t="array" ref="G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4" s="33" t="str">
        <f>_xlfn.IFNA(IF(MOD(HLG_03[[#This Row],[Rit]],
    _xlfn.XLOOKUP($G$2,Int_Sample[Ore],Int_Sample[Inc])) = 0, "YES", "NO"),"")</f>
        <v/>
      </c>
      <c r="I64" s="32" t="str">
        <f>TEXT(HLG_03[[#This Row],[Batch]],"000")&amp; " / " &amp; TEXT(HLG_03[[#This Row],[Rit]],"000")</f>
        <v>N/A / 000</v>
      </c>
      <c r="J64" s="34"/>
      <c r="K64" s="38"/>
      <c r="L64" s="35"/>
      <c r="M64" s="85"/>
      <c r="N64" s="85"/>
      <c r="O64" s="85"/>
      <c r="P64" s="85"/>
      <c r="Q64" s="85"/>
      <c r="R64" s="85"/>
      <c r="S64" s="100"/>
      <c r="T64" s="100"/>
      <c r="U64" s="85"/>
      <c r="V64" s="85"/>
      <c r="W64" s="85"/>
      <c r="X64" s="85"/>
      <c r="AP64" t="str">
        <v/>
      </c>
    </row>
    <row r="65" spans="4:42" ht="15.75" x14ac:dyDescent="0.25">
      <c r="D65" s="3">
        <v>1</v>
      </c>
      <c r="F65" s="16" t="str" cm="1">
        <f t="array" ref="F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5" s="31" cm="1">
        <f t="array" ref="G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5" s="33" t="str">
        <f>_xlfn.IFNA(IF(MOD(HLG_03[[#This Row],[Rit]],
    _xlfn.XLOOKUP($G$2,Int_Sample[Ore],Int_Sample[Inc])) = 0, "YES", "NO"),"")</f>
        <v/>
      </c>
      <c r="I65" s="32" t="str">
        <f>TEXT(HLG_03[[#This Row],[Batch]],"000")&amp; " / " &amp; TEXT(HLG_03[[#This Row],[Rit]],"000")</f>
        <v>N/A / 000</v>
      </c>
      <c r="J65" s="34"/>
      <c r="K65" s="38"/>
      <c r="L65" s="35"/>
      <c r="M65" s="85"/>
      <c r="N65" s="85"/>
      <c r="O65" s="85"/>
      <c r="P65" s="85"/>
      <c r="Q65" s="85"/>
      <c r="R65" s="85"/>
      <c r="S65" s="100"/>
      <c r="T65" s="100"/>
      <c r="U65" s="85"/>
      <c r="V65" s="85"/>
      <c r="W65" s="85"/>
      <c r="X65" s="85"/>
      <c r="AP65" t="str">
        <v/>
      </c>
    </row>
    <row r="66" spans="4:42" ht="15.75" x14ac:dyDescent="0.25">
      <c r="D66" s="3">
        <v>1</v>
      </c>
      <c r="F66" s="16" t="str" cm="1">
        <f t="array" ref="F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6" s="31" cm="1">
        <f t="array" ref="G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6" s="33" t="str">
        <f>_xlfn.IFNA(IF(MOD(HLG_03[[#This Row],[Rit]],
    _xlfn.XLOOKUP($G$2,Int_Sample[Ore],Int_Sample[Inc])) = 0, "YES", "NO"),"")</f>
        <v/>
      </c>
      <c r="I66" s="32" t="str">
        <f>TEXT(HLG_03[[#This Row],[Batch]],"000")&amp; " / " &amp; TEXT(HLG_03[[#This Row],[Rit]],"000")</f>
        <v>N/A / 000</v>
      </c>
      <c r="J66" s="34"/>
      <c r="K66" s="38"/>
      <c r="L66" s="35"/>
      <c r="M66" s="85"/>
      <c r="N66" s="85"/>
      <c r="O66" s="85"/>
      <c r="P66" s="85"/>
      <c r="Q66" s="85"/>
      <c r="R66" s="85"/>
      <c r="S66" s="100"/>
      <c r="T66" s="100"/>
      <c r="U66" s="85"/>
      <c r="V66" s="85"/>
      <c r="W66" s="85"/>
      <c r="X66" s="85"/>
      <c r="AP66" t="str">
        <v/>
      </c>
    </row>
    <row r="67" spans="4:42" ht="15.75" x14ac:dyDescent="0.25">
      <c r="D67" s="3">
        <v>1</v>
      </c>
      <c r="F67" s="16" t="str" cm="1">
        <f t="array" ref="F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7" s="31" cm="1">
        <f t="array" ref="G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7" s="33" t="str">
        <f>_xlfn.IFNA(IF(MOD(HLG_03[[#This Row],[Rit]],
    _xlfn.XLOOKUP($G$2,Int_Sample[Ore],Int_Sample[Inc])) = 0, "YES", "NO"),"")</f>
        <v/>
      </c>
      <c r="I67" s="32" t="str">
        <f>TEXT(HLG_03[[#This Row],[Batch]],"000")&amp; " / " &amp; TEXT(HLG_03[[#This Row],[Rit]],"000")</f>
        <v>N/A / 000</v>
      </c>
      <c r="J67" s="34"/>
      <c r="K67" s="38"/>
      <c r="L67" s="35"/>
      <c r="M67" s="85"/>
      <c r="N67" s="85"/>
      <c r="O67" s="85"/>
      <c r="P67" s="85"/>
      <c r="Q67" s="85"/>
      <c r="R67" s="85"/>
      <c r="S67" s="100"/>
      <c r="T67" s="100"/>
      <c r="U67" s="85"/>
      <c r="V67" s="85"/>
      <c r="W67" s="85"/>
      <c r="X67" s="85"/>
      <c r="AP67" t="str">
        <v/>
      </c>
    </row>
    <row r="68" spans="4:42" ht="15.75" x14ac:dyDescent="0.25">
      <c r="D68" s="3">
        <v>1</v>
      </c>
      <c r="F68" s="16" t="str" cm="1">
        <f t="array" ref="F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8" s="31" cm="1">
        <f t="array" ref="G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8" s="33" t="str">
        <f>_xlfn.IFNA(IF(MOD(HLG_03[[#This Row],[Rit]],
    _xlfn.XLOOKUP($G$2,Int_Sample[Ore],Int_Sample[Inc])) = 0, "YES", "NO"),"")</f>
        <v/>
      </c>
      <c r="I68" s="32" t="str">
        <f>TEXT(HLG_03[[#This Row],[Batch]],"000")&amp; " / " &amp; TEXT(HLG_03[[#This Row],[Rit]],"000")</f>
        <v>N/A / 000</v>
      </c>
      <c r="J68" s="34"/>
      <c r="K68" s="38"/>
      <c r="L68" s="35"/>
      <c r="M68" s="85"/>
      <c r="N68" s="85"/>
      <c r="O68" s="85"/>
      <c r="P68" s="85"/>
      <c r="Q68" s="85"/>
      <c r="R68" s="85"/>
      <c r="S68" s="100"/>
      <c r="T68" s="100"/>
      <c r="U68" s="85"/>
      <c r="V68" s="85"/>
      <c r="W68" s="85"/>
      <c r="X68" s="85"/>
      <c r="AP68" t="str">
        <v/>
      </c>
    </row>
    <row r="69" spans="4:42" ht="15.75" x14ac:dyDescent="0.25">
      <c r="D69" s="3">
        <v>1</v>
      </c>
      <c r="F69" s="16" t="str" cm="1">
        <f t="array" ref="F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9" s="31" cm="1">
        <f t="array" ref="G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9" s="33" t="str">
        <f>_xlfn.IFNA(IF(MOD(HLG_03[[#This Row],[Rit]],
    _xlfn.XLOOKUP($G$2,Int_Sample[Ore],Int_Sample[Inc])) = 0, "YES", "NO"),"")</f>
        <v/>
      </c>
      <c r="I69" s="32" t="str">
        <f>TEXT(HLG_03[[#This Row],[Batch]],"000")&amp; " / " &amp; TEXT(HLG_03[[#This Row],[Rit]],"000")</f>
        <v>N/A / 000</v>
      </c>
      <c r="J69" s="34"/>
      <c r="K69" s="38"/>
      <c r="L69" s="35"/>
      <c r="M69" s="85"/>
      <c r="N69" s="85"/>
      <c r="O69" s="85"/>
      <c r="P69" s="85"/>
      <c r="Q69" s="85"/>
      <c r="R69" s="85"/>
      <c r="S69" s="100"/>
      <c r="T69" s="100"/>
      <c r="U69" s="85"/>
      <c r="V69" s="85"/>
      <c r="W69" s="85"/>
      <c r="X69" s="85"/>
      <c r="AP69" t="str">
        <v/>
      </c>
    </row>
    <row r="70" spans="4:42" ht="15.75" x14ac:dyDescent="0.25">
      <c r="D70" s="3">
        <v>1</v>
      </c>
      <c r="F70" s="16" t="str" cm="1">
        <f t="array" ref="F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0" s="31" cm="1">
        <f t="array" ref="G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0" s="33" t="str">
        <f>_xlfn.IFNA(IF(MOD(HLG_03[[#This Row],[Rit]],
    _xlfn.XLOOKUP($G$2,Int_Sample[Ore],Int_Sample[Inc])) = 0, "YES", "NO"),"")</f>
        <v/>
      </c>
      <c r="I70" s="32" t="str">
        <f>TEXT(HLG_03[[#This Row],[Batch]],"000")&amp; " / " &amp; TEXT(HLG_03[[#This Row],[Rit]],"000")</f>
        <v>N/A / 000</v>
      </c>
      <c r="J70" s="34"/>
      <c r="K70" s="38"/>
      <c r="L70" s="35"/>
      <c r="M70" s="85"/>
      <c r="N70" s="85"/>
      <c r="O70" s="85"/>
      <c r="P70" s="85"/>
      <c r="Q70" s="85"/>
      <c r="R70" s="85"/>
      <c r="S70" s="100"/>
      <c r="T70" s="100"/>
      <c r="U70" s="85"/>
      <c r="V70" s="85"/>
      <c r="W70" s="85"/>
      <c r="X70" s="85"/>
      <c r="AP70" t="str">
        <v/>
      </c>
    </row>
    <row r="71" spans="4:42" ht="15.75" x14ac:dyDescent="0.25">
      <c r="D71" s="3">
        <v>1</v>
      </c>
      <c r="F71" s="16" t="str" cm="1">
        <f t="array" ref="F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1" s="31" cm="1">
        <f t="array" ref="G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1" s="33" t="str">
        <f>_xlfn.IFNA(IF(MOD(HLG_03[[#This Row],[Rit]],
    _xlfn.XLOOKUP($G$2,Int_Sample[Ore],Int_Sample[Inc])) = 0, "YES", "NO"),"")</f>
        <v/>
      </c>
      <c r="I71" s="32" t="str">
        <f>TEXT(HLG_03[[#This Row],[Batch]],"000")&amp; " / " &amp; TEXT(HLG_03[[#This Row],[Rit]],"000")</f>
        <v>N/A / 000</v>
      </c>
      <c r="J71" s="34"/>
      <c r="K71" s="38"/>
      <c r="L71" s="35"/>
      <c r="M71" s="85"/>
      <c r="N71" s="85"/>
      <c r="O71" s="85"/>
      <c r="P71" s="85"/>
      <c r="Q71" s="85"/>
      <c r="R71" s="85"/>
      <c r="S71" s="100"/>
      <c r="T71" s="100"/>
      <c r="U71" s="85"/>
      <c r="V71" s="85"/>
      <c r="W71" s="85"/>
      <c r="X71" s="85"/>
      <c r="AP71" t="str">
        <v/>
      </c>
    </row>
    <row r="72" spans="4:42" ht="15.75" x14ac:dyDescent="0.25">
      <c r="D72" s="3">
        <v>1</v>
      </c>
      <c r="F72" s="16" t="str" cm="1">
        <f t="array" ref="F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2" s="31" cm="1">
        <f t="array" ref="G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2" s="33" t="str">
        <f>_xlfn.IFNA(IF(MOD(HLG_03[[#This Row],[Rit]],
    _xlfn.XLOOKUP($G$2,Int_Sample[Ore],Int_Sample[Inc])) = 0, "YES", "NO"),"")</f>
        <v/>
      </c>
      <c r="I72" s="32" t="str">
        <f>TEXT(HLG_03[[#This Row],[Batch]],"000")&amp; " / " &amp; TEXT(HLG_03[[#This Row],[Rit]],"000")</f>
        <v>N/A / 000</v>
      </c>
      <c r="J72" s="34"/>
      <c r="K72" s="38"/>
      <c r="L72" s="35"/>
      <c r="M72" s="85"/>
      <c r="N72" s="85"/>
      <c r="O72" s="85"/>
      <c r="P72" s="85"/>
      <c r="Q72" s="85"/>
      <c r="R72" s="85"/>
      <c r="S72" s="100"/>
      <c r="T72" s="100"/>
      <c r="U72" s="85"/>
      <c r="V72" s="85"/>
      <c r="W72" s="85"/>
      <c r="X72" s="85"/>
      <c r="AP72" t="str">
        <v/>
      </c>
    </row>
    <row r="73" spans="4:42" ht="15.75" x14ac:dyDescent="0.25">
      <c r="D73" s="3">
        <v>1</v>
      </c>
      <c r="F73" s="16" t="str" cm="1">
        <f t="array" ref="F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3" s="31" cm="1">
        <f t="array" ref="G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3" s="33" t="str">
        <f>_xlfn.IFNA(IF(MOD(HLG_03[[#This Row],[Rit]],
    _xlfn.XLOOKUP($G$2,Int_Sample[Ore],Int_Sample[Inc])) = 0, "YES", "NO"),"")</f>
        <v/>
      </c>
      <c r="I73" s="32" t="str">
        <f>TEXT(HLG_03[[#This Row],[Batch]],"000")&amp; " / " &amp; TEXT(HLG_03[[#This Row],[Rit]],"000")</f>
        <v>N/A / 000</v>
      </c>
      <c r="J73" s="34"/>
      <c r="K73" s="38"/>
      <c r="L73" s="35"/>
      <c r="M73" s="85"/>
      <c r="N73" s="85"/>
      <c r="O73" s="85"/>
      <c r="P73" s="85"/>
      <c r="Q73" s="85"/>
      <c r="R73" s="85"/>
      <c r="S73" s="100"/>
      <c r="T73" s="100"/>
      <c r="U73" s="85"/>
      <c r="V73" s="85"/>
      <c r="W73" s="85"/>
      <c r="X73" s="85"/>
      <c r="AP73" t="str">
        <v/>
      </c>
    </row>
    <row r="74" spans="4:42" ht="15.75" x14ac:dyDescent="0.25">
      <c r="D74" s="3">
        <v>1</v>
      </c>
      <c r="F74" s="16" t="str" cm="1">
        <f t="array" ref="F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4" s="31" cm="1">
        <f t="array" ref="G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4" s="33" t="str">
        <f>_xlfn.IFNA(IF(MOD(HLG_03[[#This Row],[Rit]],
    _xlfn.XLOOKUP($G$2,Int_Sample[Ore],Int_Sample[Inc])) = 0, "YES", "NO"),"")</f>
        <v/>
      </c>
      <c r="I74" s="32" t="str">
        <f>TEXT(HLG_03[[#This Row],[Batch]],"000")&amp; " / " &amp; TEXT(HLG_03[[#This Row],[Rit]],"000")</f>
        <v>N/A / 000</v>
      </c>
      <c r="J74" s="34"/>
      <c r="K74" s="38"/>
      <c r="L74" s="35"/>
      <c r="M74" s="85"/>
      <c r="N74" s="85"/>
      <c r="O74" s="85"/>
      <c r="P74" s="85"/>
      <c r="Q74" s="85"/>
      <c r="R74" s="85"/>
      <c r="S74" s="100"/>
      <c r="T74" s="100"/>
      <c r="U74" s="85"/>
      <c r="V74" s="85"/>
      <c r="W74" s="85"/>
      <c r="X74" s="85"/>
      <c r="AP74" t="str">
        <v/>
      </c>
    </row>
    <row r="75" spans="4:42" ht="15.75" x14ac:dyDescent="0.25">
      <c r="D75" s="3">
        <v>1</v>
      </c>
      <c r="F75" s="16" t="str" cm="1">
        <f t="array" ref="F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5" s="31" cm="1">
        <f t="array" ref="G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5" s="33" t="str">
        <f>_xlfn.IFNA(IF(MOD(HLG_03[[#This Row],[Rit]],
    _xlfn.XLOOKUP($G$2,Int_Sample[Ore],Int_Sample[Inc])) = 0, "YES", "NO"),"")</f>
        <v/>
      </c>
      <c r="I75" s="32" t="str">
        <f>TEXT(HLG_03[[#This Row],[Batch]],"000")&amp; " / " &amp; TEXT(HLG_03[[#This Row],[Rit]],"000")</f>
        <v>N/A / 000</v>
      </c>
      <c r="J75" s="34"/>
      <c r="K75" s="38"/>
      <c r="L75" s="35"/>
      <c r="M75" s="85"/>
      <c r="N75" s="85"/>
      <c r="O75" s="85"/>
      <c r="P75" s="85"/>
      <c r="Q75" s="85"/>
      <c r="R75" s="85"/>
      <c r="S75" s="100"/>
      <c r="T75" s="100"/>
      <c r="U75" s="85"/>
      <c r="V75" s="85"/>
      <c r="W75" s="85"/>
      <c r="X75" s="85"/>
      <c r="AP75" t="str">
        <v/>
      </c>
    </row>
    <row r="76" spans="4:42" ht="15.75" x14ac:dyDescent="0.25">
      <c r="D76" s="3">
        <v>1</v>
      </c>
      <c r="F76" s="16" t="str" cm="1">
        <f t="array" ref="F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6" s="31" cm="1">
        <f t="array" ref="G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6" s="33" t="str">
        <f>_xlfn.IFNA(IF(MOD(HLG_03[[#This Row],[Rit]],
    _xlfn.XLOOKUP($G$2,Int_Sample[Ore],Int_Sample[Inc])) = 0, "YES", "NO"),"")</f>
        <v/>
      </c>
      <c r="I76" s="32" t="str">
        <f>TEXT(HLG_03[[#This Row],[Batch]],"000")&amp; " / " &amp; TEXT(HLG_03[[#This Row],[Rit]],"000")</f>
        <v>N/A / 000</v>
      </c>
      <c r="J76" s="34"/>
      <c r="K76" s="38"/>
      <c r="L76" s="35"/>
      <c r="M76" s="85"/>
      <c r="N76" s="85"/>
      <c r="O76" s="85"/>
      <c r="P76" s="85"/>
      <c r="Q76" s="85"/>
      <c r="R76" s="85"/>
      <c r="S76" s="100"/>
      <c r="T76" s="100"/>
      <c r="U76" s="85"/>
      <c r="V76" s="85"/>
      <c r="W76" s="85"/>
      <c r="X76" s="85"/>
      <c r="AP76" t="str">
        <v/>
      </c>
    </row>
    <row r="77" spans="4:42" ht="15.75" x14ac:dyDescent="0.25">
      <c r="D77" s="3">
        <v>1</v>
      </c>
      <c r="F77" s="16" t="str" cm="1">
        <f t="array" ref="F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7" s="31" cm="1">
        <f t="array" ref="G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7" s="33" t="str">
        <f>_xlfn.IFNA(IF(MOD(HLG_03[[#This Row],[Rit]],
    _xlfn.XLOOKUP($G$2,Int_Sample[Ore],Int_Sample[Inc])) = 0, "YES", "NO"),"")</f>
        <v/>
      </c>
      <c r="I77" s="32" t="str">
        <f>TEXT(HLG_03[[#This Row],[Batch]],"000")&amp; " / " &amp; TEXT(HLG_03[[#This Row],[Rit]],"000")</f>
        <v>N/A / 000</v>
      </c>
      <c r="J77" s="34"/>
      <c r="K77" s="38"/>
      <c r="L77" s="35"/>
      <c r="M77" s="85"/>
      <c r="N77" s="85"/>
      <c r="O77" s="85"/>
      <c r="P77" s="85"/>
      <c r="Q77" s="85"/>
      <c r="R77" s="85"/>
      <c r="S77" s="100"/>
      <c r="T77" s="100"/>
      <c r="U77" s="85"/>
      <c r="V77" s="85"/>
      <c r="W77" s="85"/>
      <c r="X77" s="85"/>
      <c r="AP77" t="str">
        <v/>
      </c>
    </row>
    <row r="78" spans="4:42" ht="15.75" x14ac:dyDescent="0.25">
      <c r="D78" s="3">
        <v>1</v>
      </c>
      <c r="F78" s="16" t="str" cm="1">
        <f t="array" ref="F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8" s="31" cm="1">
        <f t="array" ref="G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8" s="33" t="str">
        <f>_xlfn.IFNA(IF(MOD(HLG_03[[#This Row],[Rit]],
    _xlfn.XLOOKUP($G$2,Int_Sample[Ore],Int_Sample[Inc])) = 0, "YES", "NO"),"")</f>
        <v/>
      </c>
      <c r="I78" s="32" t="str">
        <f>TEXT(HLG_03[[#This Row],[Batch]],"000")&amp; " / " &amp; TEXT(HLG_03[[#This Row],[Rit]],"000")</f>
        <v>N/A / 000</v>
      </c>
      <c r="J78" s="34"/>
      <c r="K78" s="38"/>
      <c r="L78" s="35"/>
      <c r="M78" s="85"/>
      <c r="N78" s="85"/>
      <c r="O78" s="85"/>
      <c r="P78" s="85"/>
      <c r="Q78" s="85"/>
      <c r="R78" s="85"/>
      <c r="S78" s="100"/>
      <c r="T78" s="100"/>
      <c r="U78" s="85"/>
      <c r="V78" s="85"/>
      <c r="W78" s="85"/>
      <c r="X78" s="85"/>
      <c r="AP78" t="str">
        <v/>
      </c>
    </row>
    <row r="79" spans="4:42" ht="15.75" x14ac:dyDescent="0.25">
      <c r="D79" s="3">
        <v>1</v>
      </c>
      <c r="F79" s="16" t="str" cm="1">
        <f t="array" ref="F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9" s="31" cm="1">
        <f t="array" ref="G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9" s="33" t="str">
        <f>_xlfn.IFNA(IF(MOD(HLG_03[[#This Row],[Rit]],
    _xlfn.XLOOKUP($G$2,Int_Sample[Ore],Int_Sample[Inc])) = 0, "YES", "NO"),"")</f>
        <v/>
      </c>
      <c r="I79" s="32" t="str">
        <f>TEXT(HLG_03[[#This Row],[Batch]],"000")&amp; " / " &amp; TEXT(HLG_03[[#This Row],[Rit]],"000")</f>
        <v>N/A / 000</v>
      </c>
      <c r="J79" s="34"/>
      <c r="K79" s="38"/>
      <c r="L79" s="35"/>
      <c r="M79" s="85"/>
      <c r="N79" s="85"/>
      <c r="O79" s="85"/>
      <c r="P79" s="85"/>
      <c r="Q79" s="85"/>
      <c r="R79" s="85"/>
      <c r="S79" s="100"/>
      <c r="T79" s="100"/>
      <c r="U79" s="85"/>
      <c r="V79" s="85"/>
      <c r="W79" s="85"/>
      <c r="X79" s="85"/>
      <c r="AP79" t="str">
        <v/>
      </c>
    </row>
    <row r="80" spans="4:42" ht="15.75" x14ac:dyDescent="0.25">
      <c r="D80" s="3">
        <v>1</v>
      </c>
      <c r="F80" s="16" t="str" cm="1">
        <f t="array" ref="F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0" s="31" cm="1">
        <f t="array" ref="G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0" s="33" t="str">
        <f>_xlfn.IFNA(IF(MOD(HLG_03[[#This Row],[Rit]],
    _xlfn.XLOOKUP($G$2,Int_Sample[Ore],Int_Sample[Inc])) = 0, "YES", "NO"),"")</f>
        <v/>
      </c>
      <c r="I80" s="32" t="str">
        <f>TEXT(HLG_03[[#This Row],[Batch]],"000")&amp; " / " &amp; TEXT(HLG_03[[#This Row],[Rit]],"000")</f>
        <v>N/A / 000</v>
      </c>
      <c r="J80" s="34"/>
      <c r="K80" s="38"/>
      <c r="L80" s="35"/>
      <c r="M80" s="85"/>
      <c r="N80" s="85"/>
      <c r="O80" s="85"/>
      <c r="P80" s="85"/>
      <c r="Q80" s="85"/>
      <c r="R80" s="85"/>
      <c r="S80" s="100"/>
      <c r="T80" s="100"/>
      <c r="U80" s="85"/>
      <c r="V80" s="85"/>
      <c r="W80" s="85"/>
      <c r="X80" s="85"/>
      <c r="AP80" t="str">
        <v/>
      </c>
    </row>
    <row r="81" spans="4:42" ht="15.75" x14ac:dyDescent="0.25">
      <c r="D81" s="3">
        <v>1</v>
      </c>
      <c r="F81" s="16" t="str" cm="1">
        <f t="array" ref="F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1" s="31" cm="1">
        <f t="array" ref="G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1" s="33" t="str">
        <f>_xlfn.IFNA(IF(MOD(HLG_03[[#This Row],[Rit]],
    _xlfn.XLOOKUP($G$2,Int_Sample[Ore],Int_Sample[Inc])) = 0, "YES", "NO"),"")</f>
        <v/>
      </c>
      <c r="I81" s="32" t="str">
        <f>TEXT(HLG_03[[#This Row],[Batch]],"000")&amp; " / " &amp; TEXT(HLG_03[[#This Row],[Rit]],"000")</f>
        <v>N/A / 000</v>
      </c>
      <c r="J81" s="34"/>
      <c r="K81" s="38"/>
      <c r="L81" s="35"/>
      <c r="M81" s="85"/>
      <c r="N81" s="85"/>
      <c r="O81" s="85"/>
      <c r="P81" s="85"/>
      <c r="Q81" s="85"/>
      <c r="R81" s="85"/>
      <c r="S81" s="100"/>
      <c r="T81" s="100"/>
      <c r="U81" s="85"/>
      <c r="V81" s="85"/>
      <c r="W81" s="85"/>
      <c r="X81" s="85"/>
      <c r="AP81" t="str">
        <v/>
      </c>
    </row>
    <row r="82" spans="4:42" ht="15.75" x14ac:dyDescent="0.25">
      <c r="D82" s="3">
        <v>1</v>
      </c>
      <c r="F82" s="16" t="str" cm="1">
        <f t="array" ref="F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2" s="31" cm="1">
        <f t="array" ref="G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2" s="33" t="str">
        <f>_xlfn.IFNA(IF(MOD(HLG_03[[#This Row],[Rit]],
    _xlfn.XLOOKUP($G$2,Int_Sample[Ore],Int_Sample[Inc])) = 0, "YES", "NO"),"")</f>
        <v/>
      </c>
      <c r="I82" s="32" t="str">
        <f>TEXT(HLG_03[[#This Row],[Batch]],"000")&amp; " / " &amp; TEXT(HLG_03[[#This Row],[Rit]],"000")</f>
        <v>N/A / 000</v>
      </c>
      <c r="J82" s="34"/>
      <c r="K82" s="38"/>
      <c r="L82" s="35"/>
      <c r="M82" s="85"/>
      <c r="N82" s="85"/>
      <c r="O82" s="85"/>
      <c r="P82" s="85"/>
      <c r="Q82" s="85"/>
      <c r="R82" s="85"/>
      <c r="S82" s="100"/>
      <c r="T82" s="100"/>
      <c r="U82" s="85"/>
      <c r="V82" s="85"/>
      <c r="W82" s="85"/>
      <c r="X82" s="85"/>
      <c r="AP82" t="str">
        <v/>
      </c>
    </row>
    <row r="83" spans="4:42" ht="15.75" x14ac:dyDescent="0.25">
      <c r="D83" s="3">
        <v>1</v>
      </c>
      <c r="F83" s="16" t="str" cm="1">
        <f t="array" ref="F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3" s="31" cm="1">
        <f t="array" ref="G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3" s="33" t="str">
        <f>_xlfn.IFNA(IF(MOD(HLG_03[[#This Row],[Rit]],
    _xlfn.XLOOKUP($G$2,Int_Sample[Ore],Int_Sample[Inc])) = 0, "YES", "NO"),"")</f>
        <v/>
      </c>
      <c r="I83" s="32" t="str">
        <f>TEXT(HLG_03[[#This Row],[Batch]],"000")&amp; " / " &amp; TEXT(HLG_03[[#This Row],[Rit]],"000")</f>
        <v>N/A / 000</v>
      </c>
      <c r="J83" s="34"/>
      <c r="K83" s="38"/>
      <c r="L83" s="35"/>
      <c r="M83" s="85"/>
      <c r="N83" s="85"/>
      <c r="O83" s="85"/>
      <c r="P83" s="85"/>
      <c r="Q83" s="85"/>
      <c r="R83" s="85"/>
      <c r="S83" s="100"/>
      <c r="T83" s="100"/>
      <c r="U83" s="85"/>
      <c r="V83" s="85"/>
      <c r="W83" s="85"/>
      <c r="X83" s="85"/>
      <c r="AP83" t="str">
        <v/>
      </c>
    </row>
    <row r="84" spans="4:42" ht="15.75" x14ac:dyDescent="0.25">
      <c r="D84" s="3">
        <v>1</v>
      </c>
      <c r="F84" s="16" t="str" cm="1">
        <f t="array" ref="F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4" s="31" cm="1">
        <f t="array" ref="G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4" s="33" t="str">
        <f>_xlfn.IFNA(IF(MOD(HLG_03[[#This Row],[Rit]],
    _xlfn.XLOOKUP($G$2,Int_Sample[Ore],Int_Sample[Inc])) = 0, "YES", "NO"),"")</f>
        <v/>
      </c>
      <c r="I84" s="32" t="str">
        <f>TEXT(HLG_03[[#This Row],[Batch]],"000")&amp; " / " &amp; TEXT(HLG_03[[#This Row],[Rit]],"000")</f>
        <v>N/A / 000</v>
      </c>
      <c r="J84" s="34"/>
      <c r="K84" s="38"/>
      <c r="L84" s="35"/>
      <c r="M84" s="85"/>
      <c r="N84" s="85"/>
      <c r="O84" s="85"/>
      <c r="P84" s="85"/>
      <c r="Q84" s="85"/>
      <c r="R84" s="85"/>
      <c r="S84" s="100"/>
      <c r="T84" s="100"/>
      <c r="U84" s="85"/>
      <c r="V84" s="85"/>
      <c r="W84" s="85"/>
      <c r="X84" s="85"/>
      <c r="AP84" t="str">
        <v/>
      </c>
    </row>
    <row r="85" spans="4:42" ht="15.75" x14ac:dyDescent="0.25">
      <c r="D85" s="3">
        <v>1</v>
      </c>
      <c r="F85" s="16" t="str" cm="1">
        <f t="array" ref="F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5" s="31" cm="1">
        <f t="array" ref="G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5" s="33" t="str">
        <f>_xlfn.IFNA(IF(MOD(HLG_03[[#This Row],[Rit]],
    _xlfn.XLOOKUP($G$2,Int_Sample[Ore],Int_Sample[Inc])) = 0, "YES", "NO"),"")</f>
        <v/>
      </c>
      <c r="I85" s="32" t="str">
        <f>TEXT(HLG_03[[#This Row],[Batch]],"000")&amp; " / " &amp; TEXT(HLG_03[[#This Row],[Rit]],"000")</f>
        <v>N/A / 000</v>
      </c>
      <c r="J85" s="34"/>
      <c r="K85" s="38"/>
      <c r="L85" s="35"/>
      <c r="M85" s="85"/>
      <c r="N85" s="85"/>
      <c r="O85" s="85"/>
      <c r="P85" s="85"/>
      <c r="Q85" s="85"/>
      <c r="R85" s="85"/>
      <c r="S85" s="100"/>
      <c r="T85" s="100"/>
      <c r="U85" s="85"/>
      <c r="V85" s="85"/>
      <c r="W85" s="85"/>
      <c r="X85" s="85"/>
      <c r="AP85" t="str">
        <v/>
      </c>
    </row>
    <row r="86" spans="4:42" ht="15.75" x14ac:dyDescent="0.25">
      <c r="D86" s="3">
        <v>1</v>
      </c>
      <c r="F86" s="16" t="str" cm="1">
        <f t="array" ref="F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6" s="31" cm="1">
        <f t="array" ref="G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6" s="33" t="str">
        <f>_xlfn.IFNA(IF(MOD(HLG_03[[#This Row],[Rit]],
    _xlfn.XLOOKUP($G$2,Int_Sample[Ore],Int_Sample[Inc])) = 0, "YES", "NO"),"")</f>
        <v/>
      </c>
      <c r="I86" s="32" t="str">
        <f>TEXT(HLG_03[[#This Row],[Batch]],"000")&amp; " / " &amp; TEXT(HLG_03[[#This Row],[Rit]],"000")</f>
        <v>N/A / 000</v>
      </c>
      <c r="J86" s="34"/>
      <c r="K86" s="38"/>
      <c r="L86" s="35"/>
      <c r="M86" s="85"/>
      <c r="N86" s="85"/>
      <c r="O86" s="85"/>
      <c r="P86" s="85"/>
      <c r="Q86" s="85"/>
      <c r="R86" s="85"/>
      <c r="S86" s="100"/>
      <c r="T86" s="100"/>
      <c r="U86" s="85"/>
      <c r="V86" s="85"/>
      <c r="W86" s="85"/>
      <c r="X86" s="85"/>
      <c r="AP86" t="str">
        <v/>
      </c>
    </row>
    <row r="87" spans="4:42" ht="15.75" x14ac:dyDescent="0.25">
      <c r="D87" s="3">
        <v>1</v>
      </c>
      <c r="F87" s="16" t="str" cm="1">
        <f t="array" ref="F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7" s="31" cm="1">
        <f t="array" ref="G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7" s="33" t="str">
        <f>_xlfn.IFNA(IF(MOD(HLG_03[[#This Row],[Rit]],
    _xlfn.XLOOKUP($G$2,Int_Sample[Ore],Int_Sample[Inc])) = 0, "YES", "NO"),"")</f>
        <v/>
      </c>
      <c r="I87" s="32" t="str">
        <f>TEXT(HLG_03[[#This Row],[Batch]],"000")&amp; " / " &amp; TEXT(HLG_03[[#This Row],[Rit]],"000")</f>
        <v>N/A / 000</v>
      </c>
      <c r="J87" s="34"/>
      <c r="K87" s="38"/>
      <c r="L87" s="35"/>
      <c r="M87" s="85"/>
      <c r="N87" s="85"/>
      <c r="O87" s="85"/>
      <c r="P87" s="85"/>
      <c r="Q87" s="85"/>
      <c r="R87" s="85"/>
      <c r="S87" s="100"/>
      <c r="T87" s="100"/>
      <c r="U87" s="85"/>
      <c r="V87" s="85"/>
      <c r="W87" s="85"/>
      <c r="X87" s="85"/>
      <c r="AP87" t="str">
        <v/>
      </c>
    </row>
    <row r="88" spans="4:42" ht="15.75" x14ac:dyDescent="0.25">
      <c r="D88" s="3">
        <v>1</v>
      </c>
      <c r="F88" s="16" t="str" cm="1">
        <f t="array" ref="F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8" s="31" cm="1">
        <f t="array" ref="G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8" s="33" t="str">
        <f>_xlfn.IFNA(IF(MOD(HLG_03[[#This Row],[Rit]],
    _xlfn.XLOOKUP($G$2,Int_Sample[Ore],Int_Sample[Inc])) = 0, "YES", "NO"),"")</f>
        <v/>
      </c>
      <c r="I88" s="32" t="str">
        <f>TEXT(HLG_03[[#This Row],[Batch]],"000")&amp; " / " &amp; TEXT(HLG_03[[#This Row],[Rit]],"000")</f>
        <v>N/A / 000</v>
      </c>
      <c r="J88" s="34"/>
      <c r="K88" s="38"/>
      <c r="L88" s="35"/>
      <c r="M88" s="85"/>
      <c r="N88" s="85"/>
      <c r="O88" s="85"/>
      <c r="P88" s="85"/>
      <c r="Q88" s="85"/>
      <c r="R88" s="85"/>
      <c r="S88" s="100"/>
      <c r="T88" s="100"/>
      <c r="U88" s="85"/>
      <c r="V88" s="85"/>
      <c r="W88" s="85"/>
      <c r="X88" s="85"/>
      <c r="AP88" t="str">
        <v/>
      </c>
    </row>
    <row r="89" spans="4:42" ht="15.75" x14ac:dyDescent="0.25">
      <c r="D89" s="3">
        <v>1</v>
      </c>
      <c r="F89" s="16" t="str" cm="1">
        <f t="array" ref="F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9" s="31" cm="1">
        <f t="array" ref="G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9" s="33" t="str">
        <f>_xlfn.IFNA(IF(MOD(HLG_03[[#This Row],[Rit]],
    _xlfn.XLOOKUP($G$2,Int_Sample[Ore],Int_Sample[Inc])) = 0, "YES", "NO"),"")</f>
        <v/>
      </c>
      <c r="I89" s="32" t="str">
        <f>TEXT(HLG_03[[#This Row],[Batch]],"000")&amp; " / " &amp; TEXT(HLG_03[[#This Row],[Rit]],"000")</f>
        <v>N/A / 000</v>
      </c>
      <c r="J89" s="34"/>
      <c r="K89" s="38"/>
      <c r="L89" s="35"/>
      <c r="M89" s="85"/>
      <c r="N89" s="85"/>
      <c r="O89" s="85"/>
      <c r="P89" s="85"/>
      <c r="Q89" s="85"/>
      <c r="R89" s="85"/>
      <c r="S89" s="100"/>
      <c r="T89" s="100"/>
      <c r="U89" s="85"/>
      <c r="V89" s="85"/>
      <c r="W89" s="85"/>
      <c r="X89" s="85"/>
      <c r="AP89" t="str">
        <v/>
      </c>
    </row>
    <row r="90" spans="4:42" ht="15.75" x14ac:dyDescent="0.25">
      <c r="D90" s="3">
        <v>1</v>
      </c>
      <c r="F90" s="16" t="str" cm="1">
        <f t="array" ref="F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0" s="31" cm="1">
        <f t="array" ref="G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0" s="33" t="str">
        <f>_xlfn.IFNA(IF(MOD(HLG_03[[#This Row],[Rit]],
    _xlfn.XLOOKUP($G$2,Int_Sample[Ore],Int_Sample[Inc])) = 0, "YES", "NO"),"")</f>
        <v/>
      </c>
      <c r="I90" s="32" t="str">
        <f>TEXT(HLG_03[[#This Row],[Batch]],"000")&amp; " / " &amp; TEXT(HLG_03[[#This Row],[Rit]],"000")</f>
        <v>N/A / 000</v>
      </c>
      <c r="J90" s="34"/>
      <c r="K90" s="38"/>
      <c r="L90" s="35"/>
      <c r="M90" s="85"/>
      <c r="N90" s="85"/>
      <c r="O90" s="85"/>
      <c r="P90" s="85"/>
      <c r="Q90" s="85"/>
      <c r="R90" s="85"/>
      <c r="S90" s="100"/>
      <c r="T90" s="100"/>
      <c r="U90" s="85"/>
      <c r="V90" s="85"/>
      <c r="W90" s="85"/>
      <c r="X90" s="85"/>
      <c r="AP90" t="str">
        <v/>
      </c>
    </row>
    <row r="91" spans="4:42" ht="15.75" x14ac:dyDescent="0.25">
      <c r="D91" s="3">
        <v>1</v>
      </c>
      <c r="F91" s="16" t="str" cm="1">
        <f t="array" ref="F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1" s="31" cm="1">
        <f t="array" ref="G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1" s="33" t="str">
        <f>_xlfn.IFNA(IF(MOD(HLG_03[[#This Row],[Rit]],
    _xlfn.XLOOKUP($G$2,Int_Sample[Ore],Int_Sample[Inc])) = 0, "YES", "NO"),"")</f>
        <v/>
      </c>
      <c r="I91" s="32" t="str">
        <f>TEXT(HLG_03[[#This Row],[Batch]],"000")&amp; " / " &amp; TEXT(HLG_03[[#This Row],[Rit]],"000")</f>
        <v>N/A / 000</v>
      </c>
      <c r="J91" s="34"/>
      <c r="K91" s="38"/>
      <c r="L91" s="35"/>
      <c r="M91" s="85"/>
      <c r="N91" s="85"/>
      <c r="O91" s="85"/>
      <c r="P91" s="85"/>
      <c r="Q91" s="85"/>
      <c r="R91" s="85"/>
      <c r="S91" s="100"/>
      <c r="T91" s="100"/>
      <c r="U91" s="85"/>
      <c r="V91" s="85"/>
      <c r="W91" s="85"/>
      <c r="X91" s="85"/>
      <c r="AP91" t="str">
        <v/>
      </c>
    </row>
    <row r="92" spans="4:42" ht="15.75" x14ac:dyDescent="0.25">
      <c r="D92" s="3">
        <v>1</v>
      </c>
      <c r="F92" s="16" t="str" cm="1">
        <f t="array" ref="F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2" s="31" cm="1">
        <f t="array" ref="G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2" s="33" t="str">
        <f>_xlfn.IFNA(IF(MOD(HLG_03[[#This Row],[Rit]],
    _xlfn.XLOOKUP($G$2,Int_Sample[Ore],Int_Sample[Inc])) = 0, "YES", "NO"),"")</f>
        <v/>
      </c>
      <c r="I92" s="32" t="str">
        <f>TEXT(HLG_03[[#This Row],[Batch]],"000")&amp; " / " &amp; TEXT(HLG_03[[#This Row],[Rit]],"000")</f>
        <v>N/A / 000</v>
      </c>
      <c r="J92" s="34"/>
      <c r="K92" s="38"/>
      <c r="L92" s="35"/>
      <c r="M92" s="85"/>
      <c r="N92" s="85"/>
      <c r="O92" s="85"/>
      <c r="P92" s="85"/>
      <c r="Q92" s="85"/>
      <c r="R92" s="85"/>
      <c r="S92" s="100"/>
      <c r="T92" s="100"/>
      <c r="U92" s="85"/>
      <c r="V92" s="85"/>
      <c r="W92" s="85"/>
      <c r="X92" s="85"/>
      <c r="AP92" t="str">
        <v/>
      </c>
    </row>
    <row r="93" spans="4:42" ht="15.75" x14ac:dyDescent="0.25">
      <c r="D93" s="3">
        <v>1</v>
      </c>
      <c r="F93" s="16" t="str" cm="1">
        <f t="array" ref="F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3" s="31" cm="1">
        <f t="array" ref="G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3" s="33" t="str">
        <f>_xlfn.IFNA(IF(MOD(HLG_03[[#This Row],[Rit]],
    _xlfn.XLOOKUP($G$2,Int_Sample[Ore],Int_Sample[Inc])) = 0, "YES", "NO"),"")</f>
        <v/>
      </c>
      <c r="I93" s="32" t="str">
        <f>TEXT(HLG_03[[#This Row],[Batch]],"000")&amp; " / " &amp; TEXT(HLG_03[[#This Row],[Rit]],"000")</f>
        <v>N/A / 000</v>
      </c>
      <c r="J93" s="34"/>
      <c r="K93" s="38"/>
      <c r="L93" s="35"/>
      <c r="M93" s="85"/>
      <c r="N93" s="85"/>
      <c r="O93" s="85"/>
      <c r="P93" s="85"/>
      <c r="Q93" s="85"/>
      <c r="R93" s="85"/>
      <c r="S93" s="100"/>
      <c r="T93" s="100"/>
      <c r="U93" s="85"/>
      <c r="V93" s="85"/>
      <c r="W93" s="85"/>
      <c r="X93" s="85"/>
      <c r="AP93" t="str">
        <v/>
      </c>
    </row>
    <row r="94" spans="4:42" ht="15.75" x14ac:dyDescent="0.25">
      <c r="D94" s="3">
        <v>1</v>
      </c>
      <c r="F94" s="16" t="str" cm="1">
        <f t="array" ref="F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4" s="31" cm="1">
        <f t="array" ref="G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4" s="33" t="str">
        <f>_xlfn.IFNA(IF(MOD(HLG_03[[#This Row],[Rit]],
    _xlfn.XLOOKUP($G$2,Int_Sample[Ore],Int_Sample[Inc])) = 0, "YES", "NO"),"")</f>
        <v/>
      </c>
      <c r="I94" s="32" t="str">
        <f>TEXT(HLG_03[[#This Row],[Batch]],"000")&amp; " / " &amp; TEXT(HLG_03[[#This Row],[Rit]],"000")</f>
        <v>N/A / 000</v>
      </c>
      <c r="J94" s="34"/>
      <c r="K94" s="38"/>
      <c r="L94" s="35"/>
      <c r="M94" s="85"/>
      <c r="N94" s="85"/>
      <c r="O94" s="85"/>
      <c r="P94" s="85"/>
      <c r="Q94" s="85"/>
      <c r="R94" s="85"/>
      <c r="S94" s="100"/>
      <c r="T94" s="100"/>
      <c r="U94" s="85"/>
      <c r="V94" s="85"/>
      <c r="W94" s="85"/>
      <c r="X94" s="85"/>
      <c r="AP94" t="str">
        <v/>
      </c>
    </row>
    <row r="95" spans="4:42" ht="15.75" x14ac:dyDescent="0.25">
      <c r="D95" s="3">
        <v>1</v>
      </c>
      <c r="F95" s="16" t="str" cm="1">
        <f t="array" ref="F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5" s="31" cm="1">
        <f t="array" ref="G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5" s="33" t="str">
        <f>_xlfn.IFNA(IF(MOD(HLG_03[[#This Row],[Rit]],
    _xlfn.XLOOKUP($G$2,Int_Sample[Ore],Int_Sample[Inc])) = 0, "YES", "NO"),"")</f>
        <v/>
      </c>
      <c r="I95" s="32" t="str">
        <f>TEXT(HLG_03[[#This Row],[Batch]],"000")&amp; " / " &amp; TEXT(HLG_03[[#This Row],[Rit]],"000")</f>
        <v>N/A / 000</v>
      </c>
      <c r="J95" s="34"/>
      <c r="K95" s="38"/>
      <c r="L95" s="35"/>
      <c r="M95" s="85"/>
      <c r="N95" s="85"/>
      <c r="O95" s="85"/>
      <c r="P95" s="85"/>
      <c r="Q95" s="85"/>
      <c r="R95" s="85"/>
      <c r="S95" s="100"/>
      <c r="T95" s="100"/>
      <c r="U95" s="85"/>
      <c r="V95" s="85"/>
      <c r="W95" s="85"/>
      <c r="X95" s="85"/>
      <c r="AP95" t="str">
        <v/>
      </c>
    </row>
    <row r="96" spans="4:42" ht="15.75" x14ac:dyDescent="0.25">
      <c r="D96" s="3">
        <v>1</v>
      </c>
      <c r="F96" s="16" t="str" cm="1">
        <f t="array" ref="F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6" s="31" cm="1">
        <f t="array" ref="G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6" s="33" t="str">
        <f>_xlfn.IFNA(IF(MOD(HLG_03[[#This Row],[Rit]],
    _xlfn.XLOOKUP($G$2,Int_Sample[Ore],Int_Sample[Inc])) = 0, "YES", "NO"),"")</f>
        <v/>
      </c>
      <c r="I96" s="32" t="str">
        <f>TEXT(HLG_03[[#This Row],[Batch]],"000")&amp; " / " &amp; TEXT(HLG_03[[#This Row],[Rit]],"000")</f>
        <v>N/A / 000</v>
      </c>
      <c r="J96" s="34"/>
      <c r="K96" s="38"/>
      <c r="L96" s="35"/>
      <c r="M96" s="85"/>
      <c r="N96" s="85"/>
      <c r="O96" s="85"/>
      <c r="P96" s="85"/>
      <c r="Q96" s="85"/>
      <c r="R96" s="85"/>
      <c r="S96" s="100"/>
      <c r="T96" s="100"/>
      <c r="U96" s="85"/>
      <c r="V96" s="85"/>
      <c r="W96" s="85"/>
      <c r="X96" s="85"/>
      <c r="AP96" t="str">
        <v/>
      </c>
    </row>
    <row r="97" spans="4:42" ht="15.75" x14ac:dyDescent="0.25">
      <c r="D97" s="3">
        <v>1</v>
      </c>
      <c r="F97" s="16" t="str" cm="1">
        <f t="array" ref="F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7" s="31" cm="1">
        <f t="array" ref="G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7" s="33" t="str">
        <f>_xlfn.IFNA(IF(MOD(HLG_03[[#This Row],[Rit]],
    _xlfn.XLOOKUP($G$2,Int_Sample[Ore],Int_Sample[Inc])) = 0, "YES", "NO"),"")</f>
        <v/>
      </c>
      <c r="I97" s="32" t="str">
        <f>TEXT(HLG_03[[#This Row],[Batch]],"000")&amp; " / " &amp; TEXT(HLG_03[[#This Row],[Rit]],"000")</f>
        <v>N/A / 000</v>
      </c>
      <c r="J97" s="34"/>
      <c r="K97" s="38"/>
      <c r="L97" s="35"/>
      <c r="M97" s="85"/>
      <c r="N97" s="85"/>
      <c r="O97" s="85"/>
      <c r="P97" s="85"/>
      <c r="Q97" s="85"/>
      <c r="R97" s="85"/>
      <c r="S97" s="100"/>
      <c r="T97" s="100"/>
      <c r="U97" s="85"/>
      <c r="V97" s="85"/>
      <c r="W97" s="85"/>
      <c r="X97" s="85"/>
      <c r="AP97" t="str">
        <v/>
      </c>
    </row>
    <row r="98" spans="4:42" ht="15.75" x14ac:dyDescent="0.25">
      <c r="D98" s="3">
        <v>1</v>
      </c>
      <c r="F98" s="16" t="str" cm="1">
        <f t="array" ref="F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8" s="31" cm="1">
        <f t="array" ref="G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8" s="33" t="str">
        <f>_xlfn.IFNA(IF(MOD(HLG_03[[#This Row],[Rit]],
    _xlfn.XLOOKUP($G$2,Int_Sample[Ore],Int_Sample[Inc])) = 0, "YES", "NO"),"")</f>
        <v/>
      </c>
      <c r="I98" s="32" t="str">
        <f>TEXT(HLG_03[[#This Row],[Batch]],"000")&amp; " / " &amp; TEXT(HLG_03[[#This Row],[Rit]],"000")</f>
        <v>N/A / 000</v>
      </c>
      <c r="J98" s="34"/>
      <c r="K98" s="38"/>
      <c r="L98" s="35"/>
      <c r="M98" s="85"/>
      <c r="N98" s="85"/>
      <c r="O98" s="85"/>
      <c r="P98" s="85"/>
      <c r="Q98" s="85"/>
      <c r="R98" s="85"/>
      <c r="S98" s="100"/>
      <c r="T98" s="100"/>
      <c r="U98" s="85"/>
      <c r="V98" s="85"/>
      <c r="W98" s="85"/>
      <c r="X98" s="85"/>
      <c r="AP98" t="str">
        <v/>
      </c>
    </row>
    <row r="99" spans="4:42" ht="15.75" x14ac:dyDescent="0.25">
      <c r="D99" s="3">
        <v>1</v>
      </c>
      <c r="F99" s="16" t="str" cm="1">
        <f t="array" ref="F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9" s="31" cm="1">
        <f t="array" ref="G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9" s="33" t="str">
        <f>_xlfn.IFNA(IF(MOD(HLG_03[[#This Row],[Rit]],
    _xlfn.XLOOKUP($G$2,Int_Sample[Ore],Int_Sample[Inc])) = 0, "YES", "NO"),"")</f>
        <v/>
      </c>
      <c r="I99" s="32" t="str">
        <f>TEXT(HLG_03[[#This Row],[Batch]],"000")&amp; " / " &amp; TEXT(HLG_03[[#This Row],[Rit]],"000")</f>
        <v>N/A / 000</v>
      </c>
      <c r="J99" s="34"/>
      <c r="K99" s="38"/>
      <c r="L99" s="35"/>
      <c r="M99" s="85"/>
      <c r="N99" s="85"/>
      <c r="O99" s="85"/>
      <c r="P99" s="85"/>
      <c r="Q99" s="85"/>
      <c r="R99" s="85"/>
      <c r="S99" s="100"/>
      <c r="T99" s="100"/>
      <c r="U99" s="85"/>
      <c r="V99" s="85"/>
      <c r="W99" s="85"/>
      <c r="X99" s="85"/>
      <c r="AP99" t="str">
        <v/>
      </c>
    </row>
    <row r="100" spans="4:42" ht="15.75" x14ac:dyDescent="0.25">
      <c r="D100" s="3">
        <v>1</v>
      </c>
      <c r="F100" s="16" t="str" cm="1">
        <f t="array" ref="F1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0" s="31" cm="1">
        <f t="array" ref="G1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0" s="33" t="str">
        <f>_xlfn.IFNA(IF(MOD(HLG_03[[#This Row],[Rit]],
    _xlfn.XLOOKUP($G$2,Int_Sample[Ore],Int_Sample[Inc])) = 0, "YES", "NO"),"")</f>
        <v/>
      </c>
      <c r="I100" s="32" t="str">
        <f>TEXT(HLG_03[[#This Row],[Batch]],"000")&amp; " / " &amp; TEXT(HLG_03[[#This Row],[Rit]],"000")</f>
        <v>N/A / 000</v>
      </c>
      <c r="J100" s="34"/>
      <c r="K100" s="38"/>
      <c r="L100" s="35"/>
      <c r="M100" s="85"/>
      <c r="N100" s="85"/>
      <c r="O100" s="85"/>
      <c r="P100" s="85"/>
      <c r="Q100" s="85"/>
      <c r="R100" s="85"/>
      <c r="S100" s="100"/>
      <c r="T100" s="100"/>
      <c r="U100" s="85"/>
      <c r="V100" s="85"/>
      <c r="W100" s="85"/>
      <c r="X100" s="85"/>
      <c r="AP100" t="str">
        <v/>
      </c>
    </row>
    <row r="101" spans="4:42" ht="15.75" x14ac:dyDescent="0.25">
      <c r="D101" s="3">
        <v>1</v>
      </c>
      <c r="F101" s="16" t="str" cm="1">
        <f t="array" ref="F1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1" s="31" cm="1">
        <f t="array" ref="G1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1" s="33" t="str">
        <f>_xlfn.IFNA(IF(MOD(HLG_03[[#This Row],[Rit]],
    _xlfn.XLOOKUP($G$2,Int_Sample[Ore],Int_Sample[Inc])) = 0, "YES", "NO"),"")</f>
        <v/>
      </c>
      <c r="I101" s="32" t="str">
        <f>TEXT(HLG_03[[#This Row],[Batch]],"000")&amp; " / " &amp; TEXT(HLG_03[[#This Row],[Rit]],"000")</f>
        <v>N/A / 000</v>
      </c>
      <c r="J101" s="34"/>
      <c r="K101" s="38"/>
      <c r="L101" s="35"/>
      <c r="M101" s="66"/>
      <c r="N101" s="66"/>
      <c r="O101" s="66"/>
      <c r="P101" s="66"/>
      <c r="Q101" s="66"/>
      <c r="R101" s="67"/>
      <c r="S101" s="67"/>
      <c r="T101" s="67"/>
      <c r="U101" s="66"/>
      <c r="V101" s="66"/>
      <c r="W101" s="66"/>
      <c r="X101" s="85"/>
      <c r="AP101" t="str">
        <v/>
      </c>
    </row>
    <row r="102" spans="4:42" ht="15.75" x14ac:dyDescent="0.25">
      <c r="D102" s="3">
        <v>1</v>
      </c>
      <c r="F102" s="16" t="str" cm="1">
        <f t="array" ref="F1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2" s="31" cm="1">
        <f t="array" ref="G1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2" s="33" t="str">
        <f>_xlfn.IFNA(IF(MOD(HLG_03[[#This Row],[Rit]],
    _xlfn.XLOOKUP($G$2,Int_Sample[Ore],Int_Sample[Inc])) = 0, "YES", "NO"),"")</f>
        <v/>
      </c>
      <c r="I102" s="32" t="str">
        <f>TEXT(HLG_03[[#This Row],[Batch]],"000")&amp; " / " &amp; TEXT(HLG_03[[#This Row],[Rit]],"000")</f>
        <v>N/A / 000</v>
      </c>
      <c r="J102" s="34"/>
      <c r="K102" s="38"/>
      <c r="L102" s="35"/>
      <c r="M102" s="66"/>
      <c r="N102" s="66"/>
      <c r="O102" s="66"/>
      <c r="P102" s="66"/>
      <c r="Q102" s="66"/>
      <c r="R102" s="67"/>
      <c r="S102" s="67"/>
      <c r="T102" s="67"/>
      <c r="U102" s="66"/>
      <c r="V102" s="66"/>
      <c r="W102" s="66"/>
      <c r="X102" s="85"/>
      <c r="AP102" t="str">
        <v/>
      </c>
    </row>
    <row r="103" spans="4:42" ht="15.75" x14ac:dyDescent="0.25">
      <c r="D103" s="3">
        <v>1</v>
      </c>
      <c r="F103" s="16" t="str" cm="1">
        <f t="array" ref="F1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3" s="31" cm="1">
        <f t="array" ref="G1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3" s="33" t="str">
        <f>_xlfn.IFNA(IF(MOD(HLG_03[[#This Row],[Rit]],
    _xlfn.XLOOKUP($G$2,Int_Sample[Ore],Int_Sample[Inc])) = 0, "YES", "NO"),"")</f>
        <v/>
      </c>
      <c r="I103" s="32" t="str">
        <f>TEXT(HLG_03[[#This Row],[Batch]],"000")&amp; " / " &amp; TEXT(HLG_03[[#This Row],[Rit]],"000")</f>
        <v>N/A / 000</v>
      </c>
      <c r="J103" s="34"/>
      <c r="K103" s="38"/>
      <c r="L103" s="35"/>
      <c r="M103" s="66"/>
      <c r="N103" s="66"/>
      <c r="O103" s="66"/>
      <c r="P103" s="66"/>
      <c r="Q103" s="66"/>
      <c r="R103" s="67"/>
      <c r="S103" s="67"/>
      <c r="T103" s="67"/>
      <c r="U103" s="66"/>
      <c r="V103" s="66"/>
      <c r="W103" s="66"/>
      <c r="X103" s="85"/>
      <c r="AP103" t="str">
        <v/>
      </c>
    </row>
    <row r="104" spans="4:42" ht="15.75" x14ac:dyDescent="0.25">
      <c r="D104" s="3">
        <v>1</v>
      </c>
      <c r="F104" s="16" t="str" cm="1">
        <f t="array" ref="F1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4" s="31" cm="1">
        <f t="array" ref="G1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4" s="33" t="str">
        <f>_xlfn.IFNA(IF(MOD(HLG_03[[#This Row],[Rit]],
    _xlfn.XLOOKUP($G$2,Int_Sample[Ore],Int_Sample[Inc])) = 0, "YES", "NO"),"")</f>
        <v/>
      </c>
      <c r="I104" s="32" t="str">
        <f>TEXT(HLG_03[[#This Row],[Batch]],"000")&amp; " / " &amp; TEXT(HLG_03[[#This Row],[Rit]],"000")</f>
        <v>N/A / 000</v>
      </c>
      <c r="J104" s="34"/>
      <c r="K104" s="38"/>
      <c r="L104" s="35"/>
      <c r="M104" s="66"/>
      <c r="N104" s="66"/>
      <c r="O104" s="66"/>
      <c r="P104" s="66"/>
      <c r="Q104" s="66"/>
      <c r="R104" s="67"/>
      <c r="S104" s="67"/>
      <c r="T104" s="67"/>
      <c r="U104" s="66"/>
      <c r="V104" s="66"/>
      <c r="W104" s="66"/>
      <c r="X104" s="85"/>
      <c r="AP104" t="str">
        <v/>
      </c>
    </row>
    <row r="105" spans="4:42" ht="15.75" x14ac:dyDescent="0.25">
      <c r="D105" s="3">
        <v>1</v>
      </c>
      <c r="F105" s="16" t="str" cm="1">
        <f t="array" ref="F1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5" s="31" cm="1">
        <f t="array" ref="G1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5" s="33" t="str">
        <f>_xlfn.IFNA(IF(MOD(HLG_03[[#This Row],[Rit]],
    _xlfn.XLOOKUP($G$2,Int_Sample[Ore],Int_Sample[Inc])) = 0, "YES", "NO"),"")</f>
        <v/>
      </c>
      <c r="I105" s="32" t="str">
        <f>TEXT(HLG_03[[#This Row],[Batch]],"000")&amp; " / " &amp; TEXT(HLG_03[[#This Row],[Rit]],"000")</f>
        <v>N/A / 000</v>
      </c>
      <c r="J105" s="34"/>
      <c r="K105" s="38"/>
      <c r="L105" s="35"/>
      <c r="M105" s="66"/>
      <c r="N105" s="66"/>
      <c r="O105" s="66"/>
      <c r="P105" s="66"/>
      <c r="Q105" s="66"/>
      <c r="R105" s="67"/>
      <c r="S105" s="67"/>
      <c r="T105" s="67"/>
      <c r="U105" s="66"/>
      <c r="V105" s="66"/>
      <c r="W105" s="66"/>
      <c r="X105" s="85"/>
      <c r="AP105" t="str">
        <v/>
      </c>
    </row>
    <row r="106" spans="4:42" ht="15.75" x14ac:dyDescent="0.25">
      <c r="D106" s="3">
        <v>1</v>
      </c>
      <c r="F106" s="16" t="str" cm="1">
        <f t="array" ref="F1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6" s="31" cm="1">
        <f t="array" ref="G1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6" s="33" t="str">
        <f>_xlfn.IFNA(IF(MOD(HLG_03[[#This Row],[Rit]],
    _xlfn.XLOOKUP($G$2,Int_Sample[Ore],Int_Sample[Inc])) = 0, "YES", "NO"),"")</f>
        <v/>
      </c>
      <c r="I106" s="32" t="str">
        <f>TEXT(HLG_03[[#This Row],[Batch]],"000")&amp; " / " &amp; TEXT(HLG_03[[#This Row],[Rit]],"000")</f>
        <v>N/A / 000</v>
      </c>
      <c r="J106" s="34"/>
      <c r="K106" s="38"/>
      <c r="L106" s="35"/>
      <c r="M106" s="66"/>
      <c r="N106" s="66"/>
      <c r="O106" s="66"/>
      <c r="P106" s="66"/>
      <c r="Q106" s="66"/>
      <c r="R106" s="67"/>
      <c r="S106" s="67"/>
      <c r="T106" s="67"/>
      <c r="U106" s="66"/>
      <c r="V106" s="66"/>
      <c r="W106" s="66"/>
      <c r="X106" s="85"/>
      <c r="AP106" t="str">
        <v/>
      </c>
    </row>
    <row r="107" spans="4:42" ht="15.75" x14ac:dyDescent="0.25">
      <c r="D107" s="3">
        <v>1</v>
      </c>
      <c r="F107" s="16" t="str" cm="1">
        <f t="array" ref="F1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7" s="31" cm="1">
        <f t="array" ref="G1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7" s="33" t="str">
        <f>_xlfn.IFNA(IF(MOD(HLG_03[[#This Row],[Rit]],
    _xlfn.XLOOKUP($G$2,Int_Sample[Ore],Int_Sample[Inc])) = 0, "YES", "NO"),"")</f>
        <v/>
      </c>
      <c r="I107" s="32" t="str">
        <f>TEXT(HLG_03[[#This Row],[Batch]],"000")&amp; " / " &amp; TEXT(HLG_03[[#This Row],[Rit]],"000")</f>
        <v>N/A / 000</v>
      </c>
      <c r="J107" s="34"/>
      <c r="K107" s="38"/>
      <c r="L107" s="35"/>
      <c r="M107" s="66"/>
      <c r="N107" s="66"/>
      <c r="O107" s="66"/>
      <c r="P107" s="66"/>
      <c r="Q107" s="66"/>
      <c r="R107" s="67"/>
      <c r="S107" s="67"/>
      <c r="T107" s="67"/>
      <c r="U107" s="66"/>
      <c r="V107" s="66"/>
      <c r="W107" s="66"/>
      <c r="X107" s="85"/>
      <c r="AP107" t="str">
        <v/>
      </c>
    </row>
    <row r="108" spans="4:42" ht="15.75" x14ac:dyDescent="0.25">
      <c r="D108" s="3">
        <v>1</v>
      </c>
      <c r="F108" s="16" t="str" cm="1">
        <f t="array" ref="F1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8" s="31" cm="1">
        <f t="array" ref="G1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8" s="33" t="str">
        <f>_xlfn.IFNA(IF(MOD(HLG_03[[#This Row],[Rit]],
    _xlfn.XLOOKUP($G$2,Int_Sample[Ore],Int_Sample[Inc])) = 0, "YES", "NO"),"")</f>
        <v/>
      </c>
      <c r="I108" s="32" t="str">
        <f>TEXT(HLG_03[[#This Row],[Batch]],"000")&amp; " / " &amp; TEXT(HLG_03[[#This Row],[Rit]],"000")</f>
        <v>N/A / 000</v>
      </c>
      <c r="J108" s="34"/>
      <c r="K108" s="38"/>
      <c r="L108" s="35"/>
      <c r="M108" s="66"/>
      <c r="N108" s="66"/>
      <c r="O108" s="66"/>
      <c r="P108" s="66"/>
      <c r="Q108" s="66"/>
      <c r="R108" s="67"/>
      <c r="S108" s="67"/>
      <c r="T108" s="67"/>
      <c r="U108" s="66"/>
      <c r="V108" s="66"/>
      <c r="W108" s="66"/>
      <c r="X108" s="85"/>
      <c r="AP108" t="str">
        <v/>
      </c>
    </row>
    <row r="109" spans="4:42" ht="15.75" x14ac:dyDescent="0.25">
      <c r="D109" s="3">
        <v>1</v>
      </c>
      <c r="F109" s="16" t="str" cm="1">
        <f t="array" ref="F1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9" s="31" cm="1">
        <f t="array" ref="G1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9" s="33" t="str">
        <f>_xlfn.IFNA(IF(MOD(HLG_03[[#This Row],[Rit]],
    _xlfn.XLOOKUP($G$2,Int_Sample[Ore],Int_Sample[Inc])) = 0, "YES", "NO"),"")</f>
        <v/>
      </c>
      <c r="I109" s="32" t="str">
        <f>TEXT(HLG_03[[#This Row],[Batch]],"000")&amp; " / " &amp; TEXT(HLG_03[[#This Row],[Rit]],"000")</f>
        <v>N/A / 000</v>
      </c>
      <c r="J109" s="34"/>
      <c r="K109" s="38"/>
      <c r="L109" s="35"/>
      <c r="M109" s="66"/>
      <c r="N109" s="66"/>
      <c r="O109" s="66"/>
      <c r="P109" s="66"/>
      <c r="Q109" s="66"/>
      <c r="R109" s="67"/>
      <c r="S109" s="67"/>
      <c r="T109" s="67"/>
      <c r="U109" s="66"/>
      <c r="V109" s="66"/>
      <c r="W109" s="66"/>
      <c r="X109" s="85"/>
      <c r="AP109" t="str">
        <v/>
      </c>
    </row>
    <row r="110" spans="4:42" ht="15.75" x14ac:dyDescent="0.25">
      <c r="D110" s="3">
        <v>1</v>
      </c>
      <c r="F110" s="16" t="str" cm="1">
        <f t="array" ref="F1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0" s="31" cm="1">
        <f t="array" ref="G1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0" s="33" t="str">
        <f>_xlfn.IFNA(IF(MOD(HLG_03[[#This Row],[Rit]],
    _xlfn.XLOOKUP($G$2,Int_Sample[Ore],Int_Sample[Inc])) = 0, "YES", "NO"),"")</f>
        <v/>
      </c>
      <c r="I110" s="32" t="str">
        <f>TEXT(HLG_03[[#This Row],[Batch]],"000")&amp; " / " &amp; TEXT(HLG_03[[#This Row],[Rit]],"000")</f>
        <v>N/A / 000</v>
      </c>
      <c r="J110" s="34"/>
      <c r="K110" s="38"/>
      <c r="L110" s="35"/>
      <c r="M110" s="66"/>
      <c r="N110" s="66"/>
      <c r="O110" s="66"/>
      <c r="P110" s="66"/>
      <c r="Q110" s="66"/>
      <c r="R110" s="67"/>
      <c r="S110" s="67"/>
      <c r="T110" s="67"/>
      <c r="U110" s="66"/>
      <c r="V110" s="66"/>
      <c r="W110" s="66"/>
      <c r="X110" s="85"/>
      <c r="AP110" t="str">
        <v/>
      </c>
    </row>
    <row r="111" spans="4:42" ht="15.75" x14ac:dyDescent="0.25">
      <c r="D111" s="3">
        <v>1</v>
      </c>
      <c r="F111" s="16" t="str" cm="1">
        <f t="array" ref="F1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1" s="31" cm="1">
        <f t="array" ref="G1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1" s="33" t="str">
        <f>_xlfn.IFNA(IF(MOD(HLG_03[[#This Row],[Rit]],
    _xlfn.XLOOKUP($G$2,Int_Sample[Ore],Int_Sample[Inc])) = 0, "YES", "NO"),"")</f>
        <v/>
      </c>
      <c r="I111" s="32" t="str">
        <f>TEXT(HLG_03[[#This Row],[Batch]],"000")&amp; " / " &amp; TEXT(HLG_03[[#This Row],[Rit]],"000")</f>
        <v>N/A / 000</v>
      </c>
      <c r="J111" s="34"/>
      <c r="K111" s="38"/>
      <c r="L111" s="35"/>
      <c r="M111" s="66"/>
      <c r="N111" s="66"/>
      <c r="O111" s="66"/>
      <c r="P111" s="66"/>
      <c r="Q111" s="66"/>
      <c r="R111" s="67"/>
      <c r="S111" s="67"/>
      <c r="T111" s="67"/>
      <c r="U111" s="66"/>
      <c r="V111" s="66"/>
      <c r="W111" s="66"/>
      <c r="X111" s="85"/>
      <c r="AP111" t="str">
        <v/>
      </c>
    </row>
    <row r="112" spans="4:42" ht="15.75" x14ac:dyDescent="0.25">
      <c r="D112" s="3">
        <v>1</v>
      </c>
      <c r="F112" s="16" t="str" cm="1">
        <f t="array" ref="F1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2" s="31" cm="1">
        <f t="array" ref="G1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2" s="33" t="str">
        <f>_xlfn.IFNA(IF(MOD(HLG_03[[#This Row],[Rit]],
    _xlfn.XLOOKUP($G$2,Int_Sample[Ore],Int_Sample[Inc])) = 0, "YES", "NO"),"")</f>
        <v/>
      </c>
      <c r="I112" s="32" t="str">
        <f>TEXT(HLG_03[[#This Row],[Batch]],"000")&amp; " / " &amp; TEXT(HLG_03[[#This Row],[Rit]],"000")</f>
        <v>N/A / 000</v>
      </c>
      <c r="J112" s="34"/>
      <c r="K112" s="38"/>
      <c r="L112" s="35"/>
      <c r="M112" s="66"/>
      <c r="N112" s="66"/>
      <c r="O112" s="66"/>
      <c r="P112" s="66"/>
      <c r="Q112" s="66"/>
      <c r="R112" s="67"/>
      <c r="S112" s="67"/>
      <c r="T112" s="67"/>
      <c r="U112" s="66"/>
      <c r="V112" s="66"/>
      <c r="W112" s="66"/>
      <c r="X112" s="85"/>
      <c r="AP112" t="str">
        <v/>
      </c>
    </row>
    <row r="113" spans="4:42" ht="15.75" x14ac:dyDescent="0.25">
      <c r="D113" s="3">
        <v>1</v>
      </c>
      <c r="F113" s="16" t="str" cm="1">
        <f t="array" ref="F1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3" s="31" cm="1">
        <f t="array" ref="G1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3" s="33" t="str">
        <f>_xlfn.IFNA(IF(MOD(HLG_03[[#This Row],[Rit]],
    _xlfn.XLOOKUP($G$2,Int_Sample[Ore],Int_Sample[Inc])) = 0, "YES", "NO"),"")</f>
        <v/>
      </c>
      <c r="I113" s="32" t="str">
        <f>TEXT(HLG_03[[#This Row],[Batch]],"000")&amp; " / " &amp; TEXT(HLG_03[[#This Row],[Rit]],"000")</f>
        <v>N/A / 000</v>
      </c>
      <c r="J113" s="34"/>
      <c r="K113" s="38"/>
      <c r="L113" s="35"/>
      <c r="M113" s="66"/>
      <c r="N113" s="66"/>
      <c r="O113" s="66"/>
      <c r="P113" s="66"/>
      <c r="Q113" s="66"/>
      <c r="R113" s="67"/>
      <c r="S113" s="67"/>
      <c r="T113" s="67"/>
      <c r="U113" s="66"/>
      <c r="V113" s="66"/>
      <c r="W113" s="66"/>
      <c r="X113" s="85"/>
      <c r="AP113" t="str">
        <v/>
      </c>
    </row>
    <row r="114" spans="4:42" ht="15.75" x14ac:dyDescent="0.25">
      <c r="D114" s="3">
        <v>1</v>
      </c>
      <c r="F114" s="16" t="str" cm="1">
        <f t="array" ref="F1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4" s="31" cm="1">
        <f t="array" ref="G1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4" s="33" t="str">
        <f>_xlfn.IFNA(IF(MOD(HLG_03[[#This Row],[Rit]],
    _xlfn.XLOOKUP($G$2,Int_Sample[Ore],Int_Sample[Inc])) = 0, "YES", "NO"),"")</f>
        <v/>
      </c>
      <c r="I114" s="32" t="str">
        <f>TEXT(HLG_03[[#This Row],[Batch]],"000")&amp; " / " &amp; TEXT(HLG_03[[#This Row],[Rit]],"000")</f>
        <v>N/A / 000</v>
      </c>
      <c r="J114" s="34"/>
      <c r="K114" s="38"/>
      <c r="L114" s="35"/>
      <c r="M114" s="66"/>
      <c r="N114" s="66"/>
      <c r="O114" s="66"/>
      <c r="P114" s="66"/>
      <c r="Q114" s="66"/>
      <c r="R114" s="67"/>
      <c r="S114" s="67"/>
      <c r="T114" s="67"/>
      <c r="U114" s="66"/>
      <c r="V114" s="66"/>
      <c r="W114" s="66"/>
      <c r="X114" s="85"/>
      <c r="AP114" t="str">
        <v/>
      </c>
    </row>
    <row r="115" spans="4:42" ht="15.75" x14ac:dyDescent="0.25">
      <c r="D115" s="3">
        <v>1</v>
      </c>
      <c r="F115" s="16" t="str" cm="1">
        <f t="array" ref="F1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5" s="31" cm="1">
        <f t="array" ref="G1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5" s="33" t="str">
        <f>_xlfn.IFNA(IF(MOD(HLG_03[[#This Row],[Rit]],
    _xlfn.XLOOKUP($G$2,Int_Sample[Ore],Int_Sample[Inc])) = 0, "YES", "NO"),"")</f>
        <v/>
      </c>
      <c r="I115" s="32" t="str">
        <f>TEXT(HLG_03[[#This Row],[Batch]],"000")&amp; " / " &amp; TEXT(HLG_03[[#This Row],[Rit]],"000")</f>
        <v>N/A / 000</v>
      </c>
      <c r="J115" s="34"/>
      <c r="K115" s="38"/>
      <c r="L115" s="35"/>
      <c r="M115" s="66"/>
      <c r="N115" s="66"/>
      <c r="O115" s="66"/>
      <c r="P115" s="66"/>
      <c r="Q115" s="66"/>
      <c r="R115" s="67"/>
      <c r="S115" s="67"/>
      <c r="T115" s="67"/>
      <c r="U115" s="66"/>
      <c r="V115" s="66"/>
      <c r="W115" s="66"/>
      <c r="X115" s="85"/>
      <c r="AP115" t="str">
        <v/>
      </c>
    </row>
    <row r="116" spans="4:42" ht="15.75" x14ac:dyDescent="0.25">
      <c r="D116" s="3">
        <v>1</v>
      </c>
      <c r="F116" s="16" t="str" cm="1">
        <f t="array" ref="F1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6" s="31" cm="1">
        <f t="array" ref="G1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6" s="33" t="str">
        <f>_xlfn.IFNA(IF(MOD(HLG_03[[#This Row],[Rit]],
    _xlfn.XLOOKUP($G$2,Int_Sample[Ore],Int_Sample[Inc])) = 0, "YES", "NO"),"")</f>
        <v/>
      </c>
      <c r="I116" s="32" t="str">
        <f>TEXT(HLG_03[[#This Row],[Batch]],"000")&amp; " / " &amp; TEXT(HLG_03[[#This Row],[Rit]],"000")</f>
        <v>N/A / 000</v>
      </c>
      <c r="J116" s="34"/>
      <c r="K116" s="38"/>
      <c r="L116" s="35"/>
      <c r="M116" s="66"/>
      <c r="N116" s="66"/>
      <c r="O116" s="66"/>
      <c r="P116" s="66"/>
      <c r="Q116" s="66"/>
      <c r="R116" s="67"/>
      <c r="S116" s="67"/>
      <c r="T116" s="67"/>
      <c r="U116" s="66"/>
      <c r="V116" s="66"/>
      <c r="W116" s="66"/>
      <c r="X116" s="85"/>
      <c r="AP116" t="str">
        <v/>
      </c>
    </row>
    <row r="117" spans="4:42" ht="15.75" x14ac:dyDescent="0.25">
      <c r="D117" s="3">
        <v>1</v>
      </c>
      <c r="F117" s="16" t="str" cm="1">
        <f t="array" ref="F1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7" s="31" cm="1">
        <f t="array" ref="G1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7" s="33" t="str">
        <f>_xlfn.IFNA(IF(MOD(HLG_03[[#This Row],[Rit]],
    _xlfn.XLOOKUP($G$2,Int_Sample[Ore],Int_Sample[Inc])) = 0, "YES", "NO"),"")</f>
        <v/>
      </c>
      <c r="I117" s="32" t="str">
        <f>TEXT(HLG_03[[#This Row],[Batch]],"000")&amp; " / " &amp; TEXT(HLG_03[[#This Row],[Rit]],"000")</f>
        <v>N/A / 000</v>
      </c>
      <c r="J117" s="34"/>
      <c r="K117" s="38"/>
      <c r="L117" s="35"/>
      <c r="M117" s="66"/>
      <c r="N117" s="66"/>
      <c r="O117" s="66"/>
      <c r="P117" s="66"/>
      <c r="Q117" s="66"/>
      <c r="R117" s="67"/>
      <c r="S117" s="67"/>
      <c r="T117" s="67"/>
      <c r="U117" s="66"/>
      <c r="V117" s="66"/>
      <c r="W117" s="66"/>
      <c r="X117" s="85"/>
      <c r="AP117" t="str">
        <v/>
      </c>
    </row>
    <row r="118" spans="4:42" ht="15.75" x14ac:dyDescent="0.25">
      <c r="D118" s="3">
        <v>1</v>
      </c>
      <c r="F118" s="16" t="str" cm="1">
        <f t="array" ref="F1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8" s="31" cm="1">
        <f t="array" ref="G1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8" s="33" t="str">
        <f>_xlfn.IFNA(IF(MOD(HLG_03[[#This Row],[Rit]],
    _xlfn.XLOOKUP($G$2,Int_Sample[Ore],Int_Sample[Inc])) = 0, "YES", "NO"),"")</f>
        <v/>
      </c>
      <c r="I118" s="32" t="str">
        <f>TEXT(HLG_03[[#This Row],[Batch]],"000")&amp; " / " &amp; TEXT(HLG_03[[#This Row],[Rit]],"000")</f>
        <v>N/A / 000</v>
      </c>
      <c r="J118" s="34"/>
      <c r="K118" s="38"/>
      <c r="L118" s="35"/>
      <c r="M118" s="66"/>
      <c r="N118" s="66"/>
      <c r="O118" s="66"/>
      <c r="P118" s="66"/>
      <c r="Q118" s="66"/>
      <c r="R118" s="67"/>
      <c r="S118" s="67"/>
      <c r="T118" s="67"/>
      <c r="U118" s="66"/>
      <c r="V118" s="66"/>
      <c r="W118" s="66"/>
      <c r="X118" s="85"/>
      <c r="AP118" t="str">
        <v/>
      </c>
    </row>
    <row r="119" spans="4:42" ht="15.75" x14ac:dyDescent="0.25">
      <c r="D119" s="3">
        <v>1</v>
      </c>
      <c r="F119" s="16" t="str" cm="1">
        <f t="array" ref="F1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9" s="31" cm="1">
        <f t="array" ref="G1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9" s="33" t="str">
        <f>_xlfn.IFNA(IF(MOD(HLG_03[[#This Row],[Rit]],
    _xlfn.XLOOKUP($G$2,Int_Sample[Ore],Int_Sample[Inc])) = 0, "YES", "NO"),"")</f>
        <v/>
      </c>
      <c r="I119" s="32" t="str">
        <f>TEXT(HLG_03[[#This Row],[Batch]],"000")&amp; " / " &amp; TEXT(HLG_03[[#This Row],[Rit]],"000")</f>
        <v>N/A / 000</v>
      </c>
      <c r="J119" s="34"/>
      <c r="K119" s="38"/>
      <c r="L119" s="35"/>
      <c r="M119" s="66"/>
      <c r="N119" s="66"/>
      <c r="O119" s="66"/>
      <c r="P119" s="66"/>
      <c r="Q119" s="66"/>
      <c r="R119" s="67"/>
      <c r="S119" s="67"/>
      <c r="T119" s="67"/>
      <c r="U119" s="66"/>
      <c r="V119" s="66"/>
      <c r="W119" s="66"/>
      <c r="X119" s="85"/>
      <c r="AP119" t="str">
        <v/>
      </c>
    </row>
    <row r="120" spans="4:42" ht="15.75" x14ac:dyDescent="0.25">
      <c r="D120" s="3">
        <v>1</v>
      </c>
      <c r="F120" s="16" t="str" cm="1">
        <f t="array" ref="F1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0" s="31" cm="1">
        <f t="array" ref="G1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0" s="33" t="str">
        <f>_xlfn.IFNA(IF(MOD(HLG_03[[#This Row],[Rit]],
    _xlfn.XLOOKUP($G$2,Int_Sample[Ore],Int_Sample[Inc])) = 0, "YES", "NO"),"")</f>
        <v/>
      </c>
      <c r="I120" s="32" t="str">
        <f>TEXT(HLG_03[[#This Row],[Batch]],"000")&amp; " / " &amp; TEXT(HLG_03[[#This Row],[Rit]],"000")</f>
        <v>N/A / 000</v>
      </c>
      <c r="J120" s="34"/>
      <c r="K120" s="38"/>
      <c r="L120" s="35"/>
      <c r="M120" s="66"/>
      <c r="N120" s="66"/>
      <c r="O120" s="66"/>
      <c r="P120" s="66"/>
      <c r="Q120" s="66"/>
      <c r="R120" s="67"/>
      <c r="S120" s="67"/>
      <c r="T120" s="67"/>
      <c r="U120" s="66"/>
      <c r="V120" s="66"/>
      <c r="W120" s="66"/>
      <c r="X120" s="85"/>
      <c r="AP120" t="str">
        <v/>
      </c>
    </row>
    <row r="121" spans="4:42" ht="15.75" x14ac:dyDescent="0.25">
      <c r="D121" s="3">
        <v>1</v>
      </c>
      <c r="F121" s="16" t="str" cm="1">
        <f t="array" ref="F1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1" s="31" cm="1">
        <f t="array" ref="G1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1" s="33" t="str">
        <f>_xlfn.IFNA(IF(MOD(HLG_03[[#This Row],[Rit]],
    _xlfn.XLOOKUP($G$2,Int_Sample[Ore],Int_Sample[Inc])) = 0, "YES", "NO"),"")</f>
        <v/>
      </c>
      <c r="I121" s="32" t="str">
        <f>TEXT(HLG_03[[#This Row],[Batch]],"000")&amp; " / " &amp; TEXT(HLG_03[[#This Row],[Rit]],"000")</f>
        <v>N/A / 000</v>
      </c>
      <c r="J121" s="34"/>
      <c r="K121" s="38"/>
      <c r="L121" s="35"/>
      <c r="M121" s="66"/>
      <c r="N121" s="66"/>
      <c r="O121" s="66"/>
      <c r="P121" s="66"/>
      <c r="Q121" s="66"/>
      <c r="R121" s="67"/>
      <c r="S121" s="67"/>
      <c r="T121" s="67"/>
      <c r="U121" s="66"/>
      <c r="V121" s="66"/>
      <c r="W121" s="66"/>
      <c r="X121" s="85"/>
      <c r="AP121" t="str">
        <v/>
      </c>
    </row>
    <row r="122" spans="4:42" ht="15.75" x14ac:dyDescent="0.25">
      <c r="D122" s="3">
        <v>1</v>
      </c>
      <c r="F122" s="16" t="str" cm="1">
        <f t="array" ref="F1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2" s="31" cm="1">
        <f t="array" ref="G1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2" s="33" t="str">
        <f>_xlfn.IFNA(IF(MOD(HLG_03[[#This Row],[Rit]],
    _xlfn.XLOOKUP($G$2,Int_Sample[Ore],Int_Sample[Inc])) = 0, "YES", "NO"),"")</f>
        <v/>
      </c>
      <c r="I122" s="32" t="str">
        <f>TEXT(HLG_03[[#This Row],[Batch]],"000")&amp; " / " &amp; TEXT(HLG_03[[#This Row],[Rit]],"000")</f>
        <v>N/A / 000</v>
      </c>
      <c r="J122" s="34"/>
      <c r="K122" s="38"/>
      <c r="L122" s="35"/>
      <c r="M122" s="66"/>
      <c r="N122" s="66"/>
      <c r="O122" s="66"/>
      <c r="P122" s="66"/>
      <c r="Q122" s="66"/>
      <c r="R122" s="67"/>
      <c r="S122" s="67"/>
      <c r="T122" s="67"/>
      <c r="U122" s="66"/>
      <c r="V122" s="66"/>
      <c r="W122" s="66"/>
      <c r="X122" s="85"/>
      <c r="AP122" t="str">
        <v/>
      </c>
    </row>
    <row r="123" spans="4:42" ht="15.75" x14ac:dyDescent="0.25">
      <c r="D123" s="3">
        <v>1</v>
      </c>
      <c r="F123" s="16" t="str" cm="1">
        <f t="array" ref="F1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3" s="31" cm="1">
        <f t="array" ref="G1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3" s="33" t="str">
        <f>_xlfn.IFNA(IF(MOD(HLG_03[[#This Row],[Rit]],
    _xlfn.XLOOKUP($G$2,Int_Sample[Ore],Int_Sample[Inc])) = 0, "YES", "NO"),"")</f>
        <v/>
      </c>
      <c r="I123" s="32" t="str">
        <f>TEXT(HLG_03[[#This Row],[Batch]],"000")&amp; " / " &amp; TEXT(HLG_03[[#This Row],[Rit]],"000")</f>
        <v>N/A / 000</v>
      </c>
      <c r="J123" s="34"/>
      <c r="K123" s="38"/>
      <c r="L123" s="35"/>
      <c r="M123" s="66"/>
      <c r="N123" s="66"/>
      <c r="O123" s="66"/>
      <c r="P123" s="66"/>
      <c r="Q123" s="66"/>
      <c r="R123" s="67"/>
      <c r="S123" s="67"/>
      <c r="T123" s="67"/>
      <c r="U123" s="66"/>
      <c r="V123" s="66"/>
      <c r="W123" s="66"/>
      <c r="X123" s="85"/>
      <c r="AP123" t="str">
        <v/>
      </c>
    </row>
    <row r="124" spans="4:42" ht="15.75" x14ac:dyDescent="0.25">
      <c r="D124" s="3">
        <v>1</v>
      </c>
      <c r="F124" s="16" t="str" cm="1">
        <f t="array" ref="F1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4" s="31" cm="1">
        <f t="array" ref="G1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4" s="33" t="str">
        <f>_xlfn.IFNA(IF(MOD(HLG_03[[#This Row],[Rit]],
    _xlfn.XLOOKUP($G$2,Int_Sample[Ore],Int_Sample[Inc])) = 0, "YES", "NO"),"")</f>
        <v/>
      </c>
      <c r="I124" s="32" t="str">
        <f>TEXT(HLG_03[[#This Row],[Batch]],"000")&amp; " / " &amp; TEXT(HLG_03[[#This Row],[Rit]],"000")</f>
        <v>N/A / 000</v>
      </c>
      <c r="J124" s="34"/>
      <c r="K124" s="38"/>
      <c r="L124" s="35"/>
      <c r="M124" s="66"/>
      <c r="N124" s="66"/>
      <c r="O124" s="66"/>
      <c r="P124" s="66"/>
      <c r="Q124" s="66"/>
      <c r="R124" s="67"/>
      <c r="S124" s="67"/>
      <c r="T124" s="67"/>
      <c r="U124" s="66"/>
      <c r="V124" s="66"/>
      <c r="W124" s="66"/>
      <c r="X124" s="85"/>
      <c r="AP124" t="str">
        <v/>
      </c>
    </row>
    <row r="125" spans="4:42" ht="15.75" x14ac:dyDescent="0.25">
      <c r="D125" s="3">
        <v>1</v>
      </c>
      <c r="F125" s="16" t="str" cm="1">
        <f t="array" ref="F1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5" s="31" cm="1">
        <f t="array" ref="G1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5" s="33" t="str">
        <f>_xlfn.IFNA(IF(MOD(HLG_03[[#This Row],[Rit]],
    _xlfn.XLOOKUP($G$2,Int_Sample[Ore],Int_Sample[Inc])) = 0, "YES", "NO"),"")</f>
        <v/>
      </c>
      <c r="I125" s="32" t="str">
        <f>TEXT(HLG_03[[#This Row],[Batch]],"000")&amp; " / " &amp; TEXT(HLG_03[[#This Row],[Rit]],"000")</f>
        <v>N/A / 000</v>
      </c>
      <c r="J125" s="34"/>
      <c r="K125" s="38"/>
      <c r="L125" s="35"/>
      <c r="M125" s="66"/>
      <c r="N125" s="66"/>
      <c r="O125" s="66"/>
      <c r="P125" s="66"/>
      <c r="Q125" s="66"/>
      <c r="R125" s="67"/>
      <c r="S125" s="67"/>
      <c r="T125" s="67"/>
      <c r="U125" s="66"/>
      <c r="V125" s="66"/>
      <c r="W125" s="66"/>
      <c r="X125" s="85"/>
      <c r="AP125" t="str">
        <v/>
      </c>
    </row>
    <row r="126" spans="4:42" ht="15.75" x14ac:dyDescent="0.25">
      <c r="D126" s="3">
        <v>1</v>
      </c>
      <c r="F126" s="16" t="str" cm="1">
        <f t="array" ref="F1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6" s="31" cm="1">
        <f t="array" ref="G1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6" s="33" t="str">
        <f>_xlfn.IFNA(IF(MOD(HLG_03[[#This Row],[Rit]],
    _xlfn.XLOOKUP($G$2,Int_Sample[Ore],Int_Sample[Inc])) = 0, "YES", "NO"),"")</f>
        <v/>
      </c>
      <c r="I126" s="32" t="str">
        <f>TEXT(HLG_03[[#This Row],[Batch]],"000")&amp; " / " &amp; TEXT(HLG_03[[#This Row],[Rit]],"000")</f>
        <v>N/A / 000</v>
      </c>
      <c r="J126" s="34"/>
      <c r="K126" s="38"/>
      <c r="L126" s="35"/>
      <c r="M126" s="66"/>
      <c r="N126" s="66"/>
      <c r="O126" s="66"/>
      <c r="P126" s="66"/>
      <c r="Q126" s="66"/>
      <c r="R126" s="67"/>
      <c r="S126" s="67"/>
      <c r="T126" s="67"/>
      <c r="U126" s="66"/>
      <c r="V126" s="66"/>
      <c r="W126" s="66"/>
      <c r="X126" s="85"/>
      <c r="AP126" t="str">
        <v/>
      </c>
    </row>
    <row r="127" spans="4:42" ht="15.75" x14ac:dyDescent="0.25">
      <c r="D127" s="3">
        <v>1</v>
      </c>
      <c r="F127" s="16" t="str" cm="1">
        <f t="array" ref="F1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7" s="31" cm="1">
        <f t="array" ref="G1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7" s="33" t="str">
        <f>_xlfn.IFNA(IF(MOD(HLG_03[[#This Row],[Rit]],
    _xlfn.XLOOKUP($G$2,Int_Sample[Ore],Int_Sample[Inc])) = 0, "YES", "NO"),"")</f>
        <v/>
      </c>
      <c r="I127" s="32" t="str">
        <f>TEXT(HLG_03[[#This Row],[Batch]],"000")&amp; " / " &amp; TEXT(HLG_03[[#This Row],[Rit]],"000")</f>
        <v>N/A / 000</v>
      </c>
      <c r="J127" s="34"/>
      <c r="K127" s="38"/>
      <c r="L127" s="35"/>
      <c r="M127" s="66"/>
      <c r="N127" s="66"/>
      <c r="O127" s="66"/>
      <c r="P127" s="66"/>
      <c r="Q127" s="66"/>
      <c r="R127" s="67"/>
      <c r="S127" s="67"/>
      <c r="T127" s="67"/>
      <c r="U127" s="66"/>
      <c r="V127" s="66"/>
      <c r="W127" s="66"/>
      <c r="X127" s="85"/>
      <c r="AP127" t="str">
        <v/>
      </c>
    </row>
    <row r="128" spans="4:42" ht="15.75" x14ac:dyDescent="0.25">
      <c r="D128" s="3">
        <v>1</v>
      </c>
      <c r="F128" s="16" t="str" cm="1">
        <f t="array" ref="F1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8" s="31" cm="1">
        <f t="array" ref="G1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8" s="33" t="str">
        <f>_xlfn.IFNA(IF(MOD(HLG_03[[#This Row],[Rit]],
    _xlfn.XLOOKUP($G$2,Int_Sample[Ore],Int_Sample[Inc])) = 0, "YES", "NO"),"")</f>
        <v/>
      </c>
      <c r="I128" s="32" t="str">
        <f>TEXT(HLG_03[[#This Row],[Batch]],"000")&amp; " / " &amp; TEXT(HLG_03[[#This Row],[Rit]],"000")</f>
        <v>N/A / 000</v>
      </c>
      <c r="J128" s="34"/>
      <c r="K128" s="38"/>
      <c r="L128" s="35"/>
      <c r="M128" s="66"/>
      <c r="N128" s="66"/>
      <c r="O128" s="66"/>
      <c r="P128" s="66"/>
      <c r="Q128" s="66"/>
      <c r="R128" s="67"/>
      <c r="S128" s="67"/>
      <c r="T128" s="67"/>
      <c r="U128" s="66"/>
      <c r="V128" s="66"/>
      <c r="W128" s="66"/>
      <c r="X128" s="85"/>
      <c r="AP128" t="str">
        <v/>
      </c>
    </row>
    <row r="129" spans="4:42" ht="15.75" x14ac:dyDescent="0.25">
      <c r="D129" s="3">
        <v>1</v>
      </c>
      <c r="F129" s="16" t="str" cm="1">
        <f t="array" ref="F1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9" s="31" cm="1">
        <f t="array" ref="G1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9" s="33" t="str">
        <f>_xlfn.IFNA(IF(MOD(HLG_03[[#This Row],[Rit]],
    _xlfn.XLOOKUP($G$2,Int_Sample[Ore],Int_Sample[Inc])) = 0, "YES", "NO"),"")</f>
        <v/>
      </c>
      <c r="I129" s="32" t="str">
        <f>TEXT(HLG_03[[#This Row],[Batch]],"000")&amp; " / " &amp; TEXT(HLG_03[[#This Row],[Rit]],"000")</f>
        <v>N/A / 000</v>
      </c>
      <c r="J129" s="34"/>
      <c r="K129" s="38"/>
      <c r="L129" s="35"/>
      <c r="M129" s="66"/>
      <c r="N129" s="66"/>
      <c r="O129" s="66"/>
      <c r="P129" s="66"/>
      <c r="Q129" s="66"/>
      <c r="R129" s="67"/>
      <c r="S129" s="67"/>
      <c r="T129" s="67"/>
      <c r="U129" s="66"/>
      <c r="V129" s="66"/>
      <c r="W129" s="66"/>
      <c r="X129" s="85"/>
      <c r="AP129" t="str">
        <v/>
      </c>
    </row>
    <row r="130" spans="4:42" ht="15.75" x14ac:dyDescent="0.25">
      <c r="D130" s="3">
        <v>1</v>
      </c>
      <c r="F130" s="16" t="str" cm="1">
        <f t="array" ref="F1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0" s="31" cm="1">
        <f t="array" ref="G1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0" s="33" t="str">
        <f>_xlfn.IFNA(IF(MOD(HLG_03[[#This Row],[Rit]],
    _xlfn.XLOOKUP($G$2,Int_Sample[Ore],Int_Sample[Inc])) = 0, "YES", "NO"),"")</f>
        <v/>
      </c>
      <c r="I130" s="32" t="str">
        <f>TEXT(HLG_03[[#This Row],[Batch]],"000")&amp; " / " &amp; TEXT(HLG_03[[#This Row],[Rit]],"000")</f>
        <v>N/A / 000</v>
      </c>
      <c r="J130" s="34"/>
      <c r="K130" s="38"/>
      <c r="L130" s="35"/>
      <c r="M130" s="66"/>
      <c r="N130" s="66"/>
      <c r="O130" s="66"/>
      <c r="P130" s="66"/>
      <c r="Q130" s="66"/>
      <c r="R130" s="67"/>
      <c r="S130" s="67"/>
      <c r="T130" s="67"/>
      <c r="U130" s="66"/>
      <c r="V130" s="66"/>
      <c r="W130" s="66"/>
      <c r="X130" s="85"/>
      <c r="AP130" t="str">
        <v/>
      </c>
    </row>
    <row r="131" spans="4:42" ht="15.75" x14ac:dyDescent="0.25">
      <c r="D131" s="3">
        <v>1</v>
      </c>
      <c r="F131" s="16" t="str" cm="1">
        <f t="array" ref="F1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1" s="31" cm="1">
        <f t="array" ref="G1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1" s="33" t="str">
        <f>_xlfn.IFNA(IF(MOD(HLG_03[[#This Row],[Rit]],
    _xlfn.XLOOKUP($G$2,Int_Sample[Ore],Int_Sample[Inc])) = 0, "YES", "NO"),"")</f>
        <v/>
      </c>
      <c r="I131" s="32" t="str">
        <f>TEXT(HLG_03[[#This Row],[Batch]],"000")&amp; " / " &amp; TEXT(HLG_03[[#This Row],[Rit]],"000")</f>
        <v>N/A / 000</v>
      </c>
      <c r="J131" s="34"/>
      <c r="K131" s="38"/>
      <c r="L131" s="35"/>
      <c r="M131" s="66"/>
      <c r="N131" s="66"/>
      <c r="O131" s="66"/>
      <c r="P131" s="66"/>
      <c r="Q131" s="66"/>
      <c r="R131" s="67"/>
      <c r="S131" s="67"/>
      <c r="T131" s="67"/>
      <c r="U131" s="66"/>
      <c r="V131" s="66"/>
      <c r="W131" s="66"/>
      <c r="X131" s="85"/>
      <c r="AP131" t="str">
        <v/>
      </c>
    </row>
    <row r="132" spans="4:42" ht="15.75" x14ac:dyDescent="0.25">
      <c r="D132" s="3">
        <v>1</v>
      </c>
      <c r="F132" s="16" t="str" cm="1">
        <f t="array" ref="F1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2" s="31" cm="1">
        <f t="array" ref="G1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2" s="33" t="str">
        <f>_xlfn.IFNA(IF(MOD(HLG_03[[#This Row],[Rit]],
    _xlfn.XLOOKUP($G$2,Int_Sample[Ore],Int_Sample[Inc])) = 0, "YES", "NO"),"")</f>
        <v/>
      </c>
      <c r="I132" s="32" t="str">
        <f>TEXT(HLG_03[[#This Row],[Batch]],"000")&amp; " / " &amp; TEXT(HLG_03[[#This Row],[Rit]],"000")</f>
        <v>N/A / 000</v>
      </c>
      <c r="J132" s="34"/>
      <c r="K132" s="38"/>
      <c r="L132" s="35"/>
      <c r="M132" s="66"/>
      <c r="N132" s="66"/>
      <c r="O132" s="66"/>
      <c r="P132" s="66"/>
      <c r="Q132" s="66"/>
      <c r="R132" s="67"/>
      <c r="S132" s="67"/>
      <c r="T132" s="67"/>
      <c r="U132" s="66"/>
      <c r="V132" s="66"/>
      <c r="W132" s="66"/>
      <c r="X132" s="85"/>
      <c r="AP132" t="str">
        <v/>
      </c>
    </row>
    <row r="133" spans="4:42" ht="15.75" x14ac:dyDescent="0.25">
      <c r="D133" s="3">
        <v>1</v>
      </c>
      <c r="F133" s="16" t="str" cm="1">
        <f t="array" ref="F1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3" s="31" cm="1">
        <f t="array" ref="G1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3" s="33" t="str">
        <f>_xlfn.IFNA(IF(MOD(HLG_03[[#This Row],[Rit]],
    _xlfn.XLOOKUP($G$2,Int_Sample[Ore],Int_Sample[Inc])) = 0, "YES", "NO"),"")</f>
        <v/>
      </c>
      <c r="I133" s="32" t="str">
        <f>TEXT(HLG_03[[#This Row],[Batch]],"000")&amp; " / " &amp; TEXT(HLG_03[[#This Row],[Rit]],"000")</f>
        <v>N/A / 000</v>
      </c>
      <c r="J133" s="34"/>
      <c r="K133" s="38"/>
      <c r="L133" s="35"/>
      <c r="M133" s="66"/>
      <c r="N133" s="66"/>
      <c r="O133" s="66"/>
      <c r="P133" s="66"/>
      <c r="Q133" s="66"/>
      <c r="R133" s="67"/>
      <c r="S133" s="67"/>
      <c r="T133" s="67"/>
      <c r="U133" s="66"/>
      <c r="V133" s="66"/>
      <c r="W133" s="66"/>
      <c r="X133" s="85"/>
      <c r="AP133" t="str">
        <v/>
      </c>
    </row>
    <row r="134" spans="4:42" ht="15.75" x14ac:dyDescent="0.25">
      <c r="D134" s="3">
        <v>1</v>
      </c>
      <c r="F134" s="16" t="str" cm="1">
        <f t="array" ref="F1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4" s="31" cm="1">
        <f t="array" ref="G1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4" s="33" t="str">
        <f>_xlfn.IFNA(IF(MOD(HLG_03[[#This Row],[Rit]],
    _xlfn.XLOOKUP($G$2,Int_Sample[Ore],Int_Sample[Inc])) = 0, "YES", "NO"),"")</f>
        <v/>
      </c>
      <c r="I134" s="32" t="str">
        <f>TEXT(HLG_03[[#This Row],[Batch]],"000")&amp; " / " &amp; TEXT(HLG_03[[#This Row],[Rit]],"000")</f>
        <v>N/A / 000</v>
      </c>
      <c r="J134" s="34"/>
      <c r="K134" s="38"/>
      <c r="L134" s="35"/>
      <c r="M134" s="66"/>
      <c r="N134" s="66"/>
      <c r="O134" s="66"/>
      <c r="P134" s="66"/>
      <c r="Q134" s="66"/>
      <c r="R134" s="67"/>
      <c r="S134" s="67"/>
      <c r="T134" s="67"/>
      <c r="U134" s="66"/>
      <c r="V134" s="66"/>
      <c r="W134" s="66"/>
      <c r="X134" s="85"/>
      <c r="AP134" t="str">
        <v/>
      </c>
    </row>
    <row r="135" spans="4:42" ht="15.75" x14ac:dyDescent="0.25">
      <c r="D135" s="3">
        <v>1</v>
      </c>
      <c r="F135" s="16" t="str" cm="1">
        <f t="array" ref="F1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5" s="31" cm="1">
        <f t="array" ref="G1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5" s="33" t="str">
        <f>_xlfn.IFNA(IF(MOD(HLG_03[[#This Row],[Rit]],
    _xlfn.XLOOKUP($G$2,Int_Sample[Ore],Int_Sample[Inc])) = 0, "YES", "NO"),"")</f>
        <v/>
      </c>
      <c r="I135" s="32" t="str">
        <f>TEXT(HLG_03[[#This Row],[Batch]],"000")&amp; " / " &amp; TEXT(HLG_03[[#This Row],[Rit]],"000")</f>
        <v>N/A / 000</v>
      </c>
      <c r="J135" s="34"/>
      <c r="K135" s="38"/>
      <c r="L135" s="35"/>
      <c r="M135" s="66"/>
      <c r="N135" s="66"/>
      <c r="O135" s="66"/>
      <c r="P135" s="66"/>
      <c r="Q135" s="66"/>
      <c r="R135" s="67"/>
      <c r="S135" s="67"/>
      <c r="T135" s="67"/>
      <c r="U135" s="66"/>
      <c r="V135" s="66"/>
      <c r="W135" s="66"/>
      <c r="X135" s="85"/>
      <c r="AP135" t="str">
        <v/>
      </c>
    </row>
    <row r="136" spans="4:42" ht="15.75" x14ac:dyDescent="0.25">
      <c r="D136" s="3">
        <v>1</v>
      </c>
      <c r="F136" s="16" t="str" cm="1">
        <f t="array" ref="F1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6" s="31" cm="1">
        <f t="array" ref="G1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6" s="33" t="str">
        <f>_xlfn.IFNA(IF(MOD(HLG_03[[#This Row],[Rit]],
    _xlfn.XLOOKUP($G$2,Int_Sample[Ore],Int_Sample[Inc])) = 0, "YES", "NO"),"")</f>
        <v/>
      </c>
      <c r="I136" s="32" t="str">
        <f>TEXT(HLG_03[[#This Row],[Batch]],"000")&amp; " / " &amp; TEXT(HLG_03[[#This Row],[Rit]],"000")</f>
        <v>N/A / 000</v>
      </c>
      <c r="J136" s="34"/>
      <c r="K136" s="38"/>
      <c r="L136" s="35"/>
      <c r="M136" s="66"/>
      <c r="N136" s="66"/>
      <c r="O136" s="66"/>
      <c r="P136" s="66"/>
      <c r="Q136" s="66"/>
      <c r="R136" s="67"/>
      <c r="S136" s="67"/>
      <c r="T136" s="67"/>
      <c r="U136" s="66"/>
      <c r="V136" s="66"/>
      <c r="W136" s="66"/>
      <c r="X136" s="85"/>
      <c r="AP136" t="str">
        <v/>
      </c>
    </row>
    <row r="137" spans="4:42" ht="15.75" x14ac:dyDescent="0.25">
      <c r="D137" s="3">
        <v>1</v>
      </c>
      <c r="F137" s="16" t="str" cm="1">
        <f t="array" ref="F1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7" s="31" cm="1">
        <f t="array" ref="G1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7" s="33" t="str">
        <f>_xlfn.IFNA(IF(MOD(HLG_03[[#This Row],[Rit]],
    _xlfn.XLOOKUP($G$2,Int_Sample[Ore],Int_Sample[Inc])) = 0, "YES", "NO"),"")</f>
        <v/>
      </c>
      <c r="I137" s="32" t="str">
        <f>TEXT(HLG_03[[#This Row],[Batch]],"000")&amp; " / " &amp; TEXT(HLG_03[[#This Row],[Rit]],"000")</f>
        <v>N/A / 000</v>
      </c>
      <c r="J137" s="34"/>
      <c r="K137" s="38"/>
      <c r="L137" s="35"/>
      <c r="M137" s="66"/>
      <c r="N137" s="66"/>
      <c r="O137" s="66"/>
      <c r="P137" s="66"/>
      <c r="Q137" s="66"/>
      <c r="R137" s="67"/>
      <c r="S137" s="67"/>
      <c r="T137" s="67"/>
      <c r="U137" s="66"/>
      <c r="V137" s="66"/>
      <c r="W137" s="66"/>
      <c r="X137" s="85"/>
      <c r="AP137" t="str">
        <v/>
      </c>
    </row>
    <row r="138" spans="4:42" ht="15.75" x14ac:dyDescent="0.25">
      <c r="D138" s="3">
        <v>1</v>
      </c>
      <c r="F138" s="16" t="str" cm="1">
        <f t="array" ref="F1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8" s="31" cm="1">
        <f t="array" ref="G1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8" s="33" t="str">
        <f>_xlfn.IFNA(IF(MOD(HLG_03[[#This Row],[Rit]],
    _xlfn.XLOOKUP($G$2,Int_Sample[Ore],Int_Sample[Inc])) = 0, "YES", "NO"),"")</f>
        <v/>
      </c>
      <c r="I138" s="32" t="str">
        <f>TEXT(HLG_03[[#This Row],[Batch]],"000")&amp; " / " &amp; TEXT(HLG_03[[#This Row],[Rit]],"000")</f>
        <v>N/A / 000</v>
      </c>
      <c r="J138" s="34"/>
      <c r="K138" s="38"/>
      <c r="L138" s="35"/>
      <c r="M138" s="66"/>
      <c r="N138" s="66"/>
      <c r="O138" s="66"/>
      <c r="P138" s="66"/>
      <c r="Q138" s="66"/>
      <c r="R138" s="67"/>
      <c r="S138" s="67"/>
      <c r="T138" s="67"/>
      <c r="U138" s="66"/>
      <c r="V138" s="66"/>
      <c r="W138" s="66"/>
      <c r="X138" s="85"/>
      <c r="AP138" t="str">
        <v/>
      </c>
    </row>
    <row r="139" spans="4:42" ht="15.75" x14ac:dyDescent="0.25">
      <c r="D139" s="3">
        <v>1</v>
      </c>
      <c r="F139" s="16" t="str" cm="1">
        <f t="array" ref="F1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9" s="31" cm="1">
        <f t="array" ref="G1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9" s="33" t="str">
        <f>_xlfn.IFNA(IF(MOD(HLG_03[[#This Row],[Rit]],
    _xlfn.XLOOKUP($G$2,Int_Sample[Ore],Int_Sample[Inc])) = 0, "YES", "NO"),"")</f>
        <v/>
      </c>
      <c r="I139" s="32" t="str">
        <f>TEXT(HLG_03[[#This Row],[Batch]],"000")&amp; " / " &amp; TEXT(HLG_03[[#This Row],[Rit]],"000")</f>
        <v>N/A / 000</v>
      </c>
      <c r="J139" s="34"/>
      <c r="K139" s="38"/>
      <c r="L139" s="35"/>
      <c r="M139" s="66"/>
      <c r="N139" s="66"/>
      <c r="O139" s="66"/>
      <c r="P139" s="66"/>
      <c r="Q139" s="66"/>
      <c r="R139" s="67"/>
      <c r="S139" s="67"/>
      <c r="T139" s="67"/>
      <c r="U139" s="66"/>
      <c r="V139" s="66"/>
      <c r="W139" s="66"/>
      <c r="X139" s="85"/>
      <c r="AP139" t="str">
        <v/>
      </c>
    </row>
    <row r="140" spans="4:42" ht="15.75" x14ac:dyDescent="0.25">
      <c r="D140" s="3">
        <v>1</v>
      </c>
      <c r="F140" s="16" t="str" cm="1">
        <f t="array" ref="F1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0" s="31" cm="1">
        <f t="array" ref="G1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0" s="33" t="str">
        <f>_xlfn.IFNA(IF(MOD(HLG_03[[#This Row],[Rit]],
    _xlfn.XLOOKUP($G$2,Int_Sample[Ore],Int_Sample[Inc])) = 0, "YES", "NO"),"")</f>
        <v/>
      </c>
      <c r="I140" s="32" t="str">
        <f>TEXT(HLG_03[[#This Row],[Batch]],"000")&amp; " / " &amp; TEXT(HLG_03[[#This Row],[Rit]],"000")</f>
        <v>N/A / 000</v>
      </c>
      <c r="J140" s="34"/>
      <c r="K140" s="38"/>
      <c r="L140" s="35"/>
      <c r="M140" s="66"/>
      <c r="N140" s="66"/>
      <c r="O140" s="66"/>
      <c r="P140" s="66"/>
      <c r="Q140" s="66"/>
      <c r="R140" s="67"/>
      <c r="S140" s="67"/>
      <c r="T140" s="67"/>
      <c r="U140" s="66"/>
      <c r="V140" s="66"/>
      <c r="W140" s="66"/>
      <c r="X140" s="85"/>
      <c r="AP140" t="str">
        <v/>
      </c>
    </row>
    <row r="141" spans="4:42" ht="15.75" x14ac:dyDescent="0.25">
      <c r="D141" s="3">
        <v>1</v>
      </c>
      <c r="F141" s="16" t="str" cm="1">
        <f t="array" ref="F1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1" s="31" cm="1">
        <f t="array" ref="G1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1" s="33" t="str">
        <f>_xlfn.IFNA(IF(MOD(HLG_03[[#This Row],[Rit]],
    _xlfn.XLOOKUP($G$2,Int_Sample[Ore],Int_Sample[Inc])) = 0, "YES", "NO"),"")</f>
        <v/>
      </c>
      <c r="I141" s="32" t="str">
        <f>TEXT(HLG_03[[#This Row],[Batch]],"000")&amp; " / " &amp; TEXT(HLG_03[[#This Row],[Rit]],"000")</f>
        <v>N/A / 000</v>
      </c>
      <c r="J141" s="34"/>
      <c r="K141" s="38"/>
      <c r="L141" s="35"/>
      <c r="M141" s="66"/>
      <c r="N141" s="66"/>
      <c r="O141" s="66"/>
      <c r="P141" s="66"/>
      <c r="Q141" s="66"/>
      <c r="R141" s="67"/>
      <c r="S141" s="67"/>
      <c r="T141" s="67"/>
      <c r="U141" s="66"/>
      <c r="V141" s="66"/>
      <c r="W141" s="66"/>
      <c r="X141" s="85"/>
      <c r="AP141" t="str">
        <v/>
      </c>
    </row>
    <row r="142" spans="4:42" ht="15.75" x14ac:dyDescent="0.25">
      <c r="D142" s="3">
        <v>1</v>
      </c>
      <c r="F142" s="16" t="str" cm="1">
        <f t="array" ref="F1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2" s="31" cm="1">
        <f t="array" ref="G1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2" s="33" t="str">
        <f>_xlfn.IFNA(IF(MOD(HLG_03[[#This Row],[Rit]],
    _xlfn.XLOOKUP($G$2,Int_Sample[Ore],Int_Sample[Inc])) = 0, "YES", "NO"),"")</f>
        <v/>
      </c>
      <c r="I142" s="32" t="str">
        <f>TEXT(HLG_03[[#This Row],[Batch]],"000")&amp; " / " &amp; TEXT(HLG_03[[#This Row],[Rit]],"000")</f>
        <v>N/A / 000</v>
      </c>
      <c r="J142" s="34"/>
      <c r="K142" s="38"/>
      <c r="L142" s="35"/>
      <c r="M142" s="66"/>
      <c r="N142" s="66"/>
      <c r="O142" s="66"/>
      <c r="P142" s="66"/>
      <c r="Q142" s="66"/>
      <c r="R142" s="67"/>
      <c r="S142" s="67"/>
      <c r="T142" s="67"/>
      <c r="U142" s="66"/>
      <c r="V142" s="66"/>
      <c r="W142" s="66"/>
      <c r="X142" s="85"/>
      <c r="AP142" t="str">
        <v/>
      </c>
    </row>
    <row r="143" spans="4:42" ht="15.75" x14ac:dyDescent="0.25">
      <c r="D143" s="3">
        <v>1</v>
      </c>
      <c r="F143" s="16" t="str" cm="1">
        <f t="array" ref="F1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3" s="31" cm="1">
        <f t="array" ref="G1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3" s="33" t="str">
        <f>_xlfn.IFNA(IF(MOD(HLG_03[[#This Row],[Rit]],
    _xlfn.XLOOKUP($G$2,Int_Sample[Ore],Int_Sample[Inc])) = 0, "YES", "NO"),"")</f>
        <v/>
      </c>
      <c r="I143" s="32" t="str">
        <f>TEXT(HLG_03[[#This Row],[Batch]],"000")&amp; " / " &amp; TEXT(HLG_03[[#This Row],[Rit]],"000")</f>
        <v>N/A / 000</v>
      </c>
      <c r="J143" s="34"/>
      <c r="K143" s="38"/>
      <c r="L143" s="35"/>
      <c r="M143" s="66"/>
      <c r="N143" s="66"/>
      <c r="O143" s="66"/>
      <c r="P143" s="66"/>
      <c r="Q143" s="66"/>
      <c r="R143" s="67"/>
      <c r="S143" s="67"/>
      <c r="T143" s="67"/>
      <c r="U143" s="66"/>
      <c r="V143" s="66"/>
      <c r="W143" s="66"/>
      <c r="X143" s="85"/>
      <c r="AP143" t="str">
        <v/>
      </c>
    </row>
    <row r="144" spans="4:42" ht="15.75" x14ac:dyDescent="0.25">
      <c r="D144" s="3">
        <v>1</v>
      </c>
      <c r="F144" s="16" t="str" cm="1">
        <f t="array" ref="F1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4" s="31" cm="1">
        <f t="array" ref="G1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4" s="33" t="str">
        <f>_xlfn.IFNA(IF(MOD(HLG_03[[#This Row],[Rit]],
    _xlfn.XLOOKUP($G$2,Int_Sample[Ore],Int_Sample[Inc])) = 0, "YES", "NO"),"")</f>
        <v/>
      </c>
      <c r="I144" s="32" t="str">
        <f>TEXT(HLG_03[[#This Row],[Batch]],"000")&amp; " / " &amp; TEXT(HLG_03[[#This Row],[Rit]],"000")</f>
        <v>N/A / 000</v>
      </c>
      <c r="J144" s="34"/>
      <c r="K144" s="38"/>
      <c r="L144" s="35"/>
      <c r="M144" s="66"/>
      <c r="N144" s="66"/>
      <c r="O144" s="66"/>
      <c r="P144" s="66"/>
      <c r="Q144" s="66"/>
      <c r="R144" s="67"/>
      <c r="S144" s="67"/>
      <c r="T144" s="67"/>
      <c r="U144" s="66"/>
      <c r="V144" s="66"/>
      <c r="W144" s="66"/>
      <c r="X144" s="85"/>
      <c r="AP144" t="str">
        <v/>
      </c>
    </row>
    <row r="145" spans="4:42" ht="15.75" x14ac:dyDescent="0.25">
      <c r="D145" s="3">
        <v>1</v>
      </c>
      <c r="F145" s="16" t="str" cm="1">
        <f t="array" ref="F1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5" s="31" cm="1">
        <f t="array" ref="G1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5" s="33" t="str">
        <f>_xlfn.IFNA(IF(MOD(HLG_03[[#This Row],[Rit]],
    _xlfn.XLOOKUP($G$2,Int_Sample[Ore],Int_Sample[Inc])) = 0, "YES", "NO"),"")</f>
        <v/>
      </c>
      <c r="I145" s="32" t="str">
        <f>TEXT(HLG_03[[#This Row],[Batch]],"000")&amp; " / " &amp; TEXT(HLG_03[[#This Row],[Rit]],"000")</f>
        <v>N/A / 000</v>
      </c>
      <c r="J145" s="34"/>
      <c r="K145" s="38"/>
      <c r="L145" s="35"/>
      <c r="M145" s="66"/>
      <c r="N145" s="66"/>
      <c r="O145" s="66"/>
      <c r="P145" s="66"/>
      <c r="Q145" s="66"/>
      <c r="R145" s="67"/>
      <c r="S145" s="67"/>
      <c r="T145" s="67"/>
      <c r="U145" s="66"/>
      <c r="V145" s="66"/>
      <c r="W145" s="66"/>
      <c r="X145" s="85"/>
      <c r="AP145" t="str">
        <v/>
      </c>
    </row>
    <row r="146" spans="4:42" ht="15.75" x14ac:dyDescent="0.25">
      <c r="D146" s="3">
        <v>1</v>
      </c>
      <c r="F146" s="16" t="str" cm="1">
        <f t="array" ref="F1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6" s="31" cm="1">
        <f t="array" ref="G1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6" s="33" t="str">
        <f>_xlfn.IFNA(IF(MOD(HLG_03[[#This Row],[Rit]],
    _xlfn.XLOOKUP($G$2,Int_Sample[Ore],Int_Sample[Inc])) = 0, "YES", "NO"),"")</f>
        <v/>
      </c>
      <c r="I146" s="32" t="str">
        <f>TEXT(HLG_03[[#This Row],[Batch]],"000")&amp; " / " &amp; TEXT(HLG_03[[#This Row],[Rit]],"000")</f>
        <v>N/A / 000</v>
      </c>
      <c r="J146" s="34"/>
      <c r="K146" s="38"/>
      <c r="L146" s="35"/>
      <c r="M146" s="66"/>
      <c r="N146" s="66"/>
      <c r="O146" s="66"/>
      <c r="P146" s="66"/>
      <c r="Q146" s="66"/>
      <c r="R146" s="67"/>
      <c r="S146" s="67"/>
      <c r="T146" s="67"/>
      <c r="U146" s="66"/>
      <c r="V146" s="66"/>
      <c r="W146" s="66"/>
      <c r="X146" s="85"/>
      <c r="AP146" t="str">
        <v/>
      </c>
    </row>
    <row r="147" spans="4:42" ht="15.75" x14ac:dyDescent="0.25">
      <c r="D147" s="3">
        <v>1</v>
      </c>
      <c r="F147" s="16" t="str" cm="1">
        <f t="array" ref="F1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7" s="31" cm="1">
        <f t="array" ref="G1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7" s="33" t="str">
        <f>_xlfn.IFNA(IF(MOD(HLG_03[[#This Row],[Rit]],
    _xlfn.XLOOKUP($G$2,Int_Sample[Ore],Int_Sample[Inc])) = 0, "YES", "NO"),"")</f>
        <v/>
      </c>
      <c r="I147" s="32" t="str">
        <f>TEXT(HLG_03[[#This Row],[Batch]],"000")&amp; " / " &amp; TEXT(HLG_03[[#This Row],[Rit]],"000")</f>
        <v>N/A / 000</v>
      </c>
      <c r="J147" s="34"/>
      <c r="K147" s="38"/>
      <c r="L147" s="35"/>
      <c r="M147" s="66"/>
      <c r="N147" s="66"/>
      <c r="O147" s="66"/>
      <c r="P147" s="66"/>
      <c r="Q147" s="66"/>
      <c r="R147" s="67"/>
      <c r="S147" s="67"/>
      <c r="T147" s="67"/>
      <c r="U147" s="66"/>
      <c r="V147" s="66"/>
      <c r="W147" s="66"/>
      <c r="X147" s="85"/>
      <c r="AP147" t="str">
        <v/>
      </c>
    </row>
    <row r="148" spans="4:42" ht="15.75" x14ac:dyDescent="0.25">
      <c r="D148" s="3">
        <v>1</v>
      </c>
      <c r="F148" s="16" t="str" cm="1">
        <f t="array" ref="F1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8" s="31" cm="1">
        <f t="array" ref="G1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8" s="33" t="str">
        <f>_xlfn.IFNA(IF(MOD(HLG_03[[#This Row],[Rit]],
    _xlfn.XLOOKUP($G$2,Int_Sample[Ore],Int_Sample[Inc])) = 0, "YES", "NO"),"")</f>
        <v/>
      </c>
      <c r="I148" s="32" t="str">
        <f>TEXT(HLG_03[[#This Row],[Batch]],"000")&amp; " / " &amp; TEXT(HLG_03[[#This Row],[Rit]],"000")</f>
        <v>N/A / 000</v>
      </c>
      <c r="J148" s="34"/>
      <c r="K148" s="38"/>
      <c r="L148" s="35"/>
      <c r="M148" s="66"/>
      <c r="N148" s="66"/>
      <c r="O148" s="66"/>
      <c r="P148" s="66"/>
      <c r="Q148" s="66"/>
      <c r="R148" s="67"/>
      <c r="S148" s="67"/>
      <c r="T148" s="67"/>
      <c r="U148" s="66"/>
      <c r="V148" s="66"/>
      <c r="W148" s="66"/>
      <c r="X148" s="85"/>
      <c r="AP148" t="str">
        <v/>
      </c>
    </row>
    <row r="149" spans="4:42" ht="15.75" x14ac:dyDescent="0.25">
      <c r="D149" s="3">
        <v>1</v>
      </c>
      <c r="F149" s="16" t="str" cm="1">
        <f t="array" ref="F1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9" s="31" cm="1">
        <f t="array" ref="G1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9" s="33" t="str">
        <f>_xlfn.IFNA(IF(MOD(HLG_03[[#This Row],[Rit]],
    _xlfn.XLOOKUP($G$2,Int_Sample[Ore],Int_Sample[Inc])) = 0, "YES", "NO"),"")</f>
        <v/>
      </c>
      <c r="I149" s="32" t="str">
        <f>TEXT(HLG_03[[#This Row],[Batch]],"000")&amp; " / " &amp; TEXT(HLG_03[[#This Row],[Rit]],"000")</f>
        <v>N/A / 000</v>
      </c>
      <c r="J149" s="34"/>
      <c r="K149" s="38"/>
      <c r="L149" s="35"/>
      <c r="M149" s="66"/>
      <c r="N149" s="66"/>
      <c r="O149" s="66"/>
      <c r="P149" s="66"/>
      <c r="Q149" s="66"/>
      <c r="R149" s="67"/>
      <c r="S149" s="67"/>
      <c r="T149" s="67"/>
      <c r="U149" s="66"/>
      <c r="V149" s="66"/>
      <c r="W149" s="66"/>
      <c r="X149" s="85"/>
      <c r="AP149" t="str">
        <v/>
      </c>
    </row>
    <row r="150" spans="4:42" ht="15.75" x14ac:dyDescent="0.25">
      <c r="D150" s="3">
        <v>1</v>
      </c>
      <c r="F150" s="16" t="str" cm="1">
        <f t="array" ref="F1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0" s="31" cm="1">
        <f t="array" ref="G1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0" s="33" t="str">
        <f>_xlfn.IFNA(IF(MOD(HLG_03[[#This Row],[Rit]],
    _xlfn.XLOOKUP($G$2,Int_Sample[Ore],Int_Sample[Inc])) = 0, "YES", "NO"),"")</f>
        <v/>
      </c>
      <c r="I150" s="32" t="str">
        <f>TEXT(HLG_03[[#This Row],[Batch]],"000")&amp; " / " &amp; TEXT(HLG_03[[#This Row],[Rit]],"000")</f>
        <v>N/A / 000</v>
      </c>
      <c r="J150" s="34"/>
      <c r="K150" s="38"/>
      <c r="L150" s="35"/>
      <c r="M150" s="66"/>
      <c r="N150" s="66"/>
      <c r="O150" s="66"/>
      <c r="P150" s="66"/>
      <c r="Q150" s="66"/>
      <c r="R150" s="67"/>
      <c r="S150" s="67"/>
      <c r="T150" s="67"/>
      <c r="U150" s="66"/>
      <c r="V150" s="66"/>
      <c r="W150" s="66"/>
      <c r="X150" s="85"/>
      <c r="AP150" t="str">
        <v/>
      </c>
    </row>
    <row r="151" spans="4:42" ht="15.75" x14ac:dyDescent="0.25">
      <c r="D151" s="3">
        <v>1</v>
      </c>
      <c r="F151" s="16" t="str" cm="1">
        <f t="array" ref="F1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1" s="31" cm="1">
        <f t="array" ref="G1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1" s="33" t="str">
        <f>_xlfn.IFNA(IF(MOD(HLG_03[[#This Row],[Rit]],
    _xlfn.XLOOKUP($G$2,Int_Sample[Ore],Int_Sample[Inc])) = 0, "YES", "NO"),"")</f>
        <v/>
      </c>
      <c r="I151" s="32" t="str">
        <f>TEXT(HLG_03[[#This Row],[Batch]],"000")&amp; " / " &amp; TEXT(HLG_03[[#This Row],[Rit]],"000")</f>
        <v>N/A / 000</v>
      </c>
      <c r="J151" s="34"/>
      <c r="K151" s="38"/>
      <c r="L151" s="35"/>
      <c r="M151" s="66"/>
      <c r="N151" s="66"/>
      <c r="O151" s="66"/>
      <c r="P151" s="66"/>
      <c r="Q151" s="66"/>
      <c r="R151" s="67"/>
      <c r="S151" s="67"/>
      <c r="T151" s="67"/>
      <c r="U151" s="66"/>
      <c r="V151" s="66"/>
      <c r="W151" s="66"/>
      <c r="X151" s="85"/>
      <c r="AP151" t="str">
        <v/>
      </c>
    </row>
    <row r="152" spans="4:42" ht="15.75" x14ac:dyDescent="0.25">
      <c r="D152" s="3">
        <v>1</v>
      </c>
      <c r="F152" s="16" t="str" cm="1">
        <f t="array" ref="F1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2" s="31" cm="1">
        <f t="array" ref="G1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2" s="33" t="str">
        <f>_xlfn.IFNA(IF(MOD(HLG_03[[#This Row],[Rit]],
    _xlfn.XLOOKUP($G$2,Int_Sample[Ore],Int_Sample[Inc])) = 0, "YES", "NO"),"")</f>
        <v/>
      </c>
      <c r="I152" s="32" t="str">
        <f>TEXT(HLG_03[[#This Row],[Batch]],"000")&amp; " / " &amp; TEXT(HLG_03[[#This Row],[Rit]],"000")</f>
        <v>N/A / 000</v>
      </c>
      <c r="J152" s="34"/>
      <c r="K152" s="38"/>
      <c r="L152" s="35"/>
      <c r="M152" s="66"/>
      <c r="N152" s="66"/>
      <c r="O152" s="66"/>
      <c r="P152" s="66"/>
      <c r="Q152" s="66"/>
      <c r="R152" s="67"/>
      <c r="S152" s="67"/>
      <c r="T152" s="67"/>
      <c r="U152" s="66"/>
      <c r="V152" s="66"/>
      <c r="W152" s="66"/>
      <c r="X152" s="85"/>
      <c r="AP152" t="str">
        <v/>
      </c>
    </row>
    <row r="153" spans="4:42" ht="15.75" x14ac:dyDescent="0.25">
      <c r="D153" s="3">
        <v>1</v>
      </c>
      <c r="F153" s="16" t="str" cm="1">
        <f t="array" ref="F1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3" s="31" cm="1">
        <f t="array" ref="G1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3" s="33" t="str">
        <f>_xlfn.IFNA(IF(MOD(HLG_03[[#This Row],[Rit]],
    _xlfn.XLOOKUP($G$2,Int_Sample[Ore],Int_Sample[Inc])) = 0, "YES", "NO"),"")</f>
        <v/>
      </c>
      <c r="I153" s="32" t="str">
        <f>TEXT(HLG_03[[#This Row],[Batch]],"000")&amp; " / " &amp; TEXT(HLG_03[[#This Row],[Rit]],"000")</f>
        <v>N/A / 000</v>
      </c>
      <c r="J153" s="34"/>
      <c r="K153" s="38"/>
      <c r="L153" s="35"/>
      <c r="M153" s="66"/>
      <c r="N153" s="66"/>
      <c r="O153" s="66"/>
      <c r="P153" s="66"/>
      <c r="Q153" s="66"/>
      <c r="R153" s="67"/>
      <c r="S153" s="67"/>
      <c r="T153" s="67"/>
      <c r="U153" s="66"/>
      <c r="V153" s="66"/>
      <c r="W153" s="66"/>
      <c r="X153" s="85"/>
      <c r="AP153" t="str">
        <v/>
      </c>
    </row>
    <row r="154" spans="4:42" ht="15.75" x14ac:dyDescent="0.25">
      <c r="D154" s="3">
        <v>1</v>
      </c>
      <c r="F154" s="16" t="str" cm="1">
        <f t="array" ref="F1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4" s="31" cm="1">
        <f t="array" ref="G1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4" s="33" t="str">
        <f>_xlfn.IFNA(IF(MOD(HLG_03[[#This Row],[Rit]],
    _xlfn.XLOOKUP($G$2,Int_Sample[Ore],Int_Sample[Inc])) = 0, "YES", "NO"),"")</f>
        <v/>
      </c>
      <c r="I154" s="32" t="str">
        <f>TEXT(HLG_03[[#This Row],[Batch]],"000")&amp; " / " &amp; TEXT(HLG_03[[#This Row],[Rit]],"000")</f>
        <v>N/A / 000</v>
      </c>
      <c r="J154" s="34"/>
      <c r="K154" s="38"/>
      <c r="L154" s="35"/>
      <c r="M154" s="66"/>
      <c r="N154" s="66"/>
      <c r="O154" s="66"/>
      <c r="P154" s="66"/>
      <c r="Q154" s="66"/>
      <c r="R154" s="67"/>
      <c r="S154" s="67"/>
      <c r="T154" s="67"/>
      <c r="U154" s="66"/>
      <c r="V154" s="66"/>
      <c r="W154" s="66"/>
      <c r="X154" s="85"/>
      <c r="AP154" t="str">
        <v/>
      </c>
    </row>
    <row r="155" spans="4:42" ht="15.75" x14ac:dyDescent="0.25">
      <c r="D155" s="3">
        <v>1</v>
      </c>
      <c r="F155" s="16" t="str" cm="1">
        <f t="array" ref="F1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5" s="31" cm="1">
        <f t="array" ref="G1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5" s="33" t="str">
        <f>_xlfn.IFNA(IF(MOD(HLG_03[[#This Row],[Rit]],
    _xlfn.XLOOKUP($G$2,Int_Sample[Ore],Int_Sample[Inc])) = 0, "YES", "NO"),"")</f>
        <v/>
      </c>
      <c r="I155" s="32" t="str">
        <f>TEXT(HLG_03[[#This Row],[Batch]],"000")&amp; " / " &amp; TEXT(HLG_03[[#This Row],[Rit]],"000")</f>
        <v>N/A / 000</v>
      </c>
      <c r="J155" s="34"/>
      <c r="K155" s="38"/>
      <c r="L155" s="35"/>
      <c r="M155" s="66"/>
      <c r="N155" s="66"/>
      <c r="O155" s="66"/>
      <c r="P155" s="66"/>
      <c r="Q155" s="66"/>
      <c r="R155" s="67"/>
      <c r="S155" s="67"/>
      <c r="T155" s="67"/>
      <c r="U155" s="66"/>
      <c r="V155" s="66"/>
      <c r="W155" s="66"/>
      <c r="X155" s="85"/>
      <c r="AP155" t="str">
        <v/>
      </c>
    </row>
    <row r="156" spans="4:42" ht="15.75" x14ac:dyDescent="0.25">
      <c r="D156" s="3">
        <v>1</v>
      </c>
      <c r="F156" s="16" t="str" cm="1">
        <f t="array" ref="F1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6" s="31" cm="1">
        <f t="array" ref="G1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6" s="33" t="str">
        <f>_xlfn.IFNA(IF(MOD(HLG_03[[#This Row],[Rit]],
    _xlfn.XLOOKUP($G$2,Int_Sample[Ore],Int_Sample[Inc])) = 0, "YES", "NO"),"")</f>
        <v/>
      </c>
      <c r="I156" s="32" t="str">
        <f>TEXT(HLG_03[[#This Row],[Batch]],"000")&amp; " / " &amp; TEXT(HLG_03[[#This Row],[Rit]],"000")</f>
        <v>N/A / 000</v>
      </c>
      <c r="J156" s="34"/>
      <c r="K156" s="38"/>
      <c r="L156" s="35"/>
      <c r="M156" s="66"/>
      <c r="N156" s="66"/>
      <c r="O156" s="66"/>
      <c r="P156" s="66"/>
      <c r="Q156" s="66"/>
      <c r="R156" s="67"/>
      <c r="S156" s="67"/>
      <c r="T156" s="67"/>
      <c r="U156" s="66"/>
      <c r="V156" s="66"/>
      <c r="W156" s="66"/>
      <c r="X156" s="85"/>
      <c r="AP156" t="str">
        <v/>
      </c>
    </row>
    <row r="157" spans="4:42" ht="15.75" x14ac:dyDescent="0.25">
      <c r="D157" s="3">
        <v>1</v>
      </c>
      <c r="F157" s="16" t="str" cm="1">
        <f t="array" ref="F1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7" s="31" cm="1">
        <f t="array" ref="G1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7" s="33" t="str">
        <f>_xlfn.IFNA(IF(MOD(HLG_03[[#This Row],[Rit]],
    _xlfn.XLOOKUP($G$2,Int_Sample[Ore],Int_Sample[Inc])) = 0, "YES", "NO"),"")</f>
        <v/>
      </c>
      <c r="I157" s="32" t="str">
        <f>TEXT(HLG_03[[#This Row],[Batch]],"000")&amp; " / " &amp; TEXT(HLG_03[[#This Row],[Rit]],"000")</f>
        <v>N/A / 000</v>
      </c>
      <c r="J157" s="34"/>
      <c r="K157" s="38"/>
      <c r="L157" s="35"/>
      <c r="M157" s="66"/>
      <c r="N157" s="66"/>
      <c r="O157" s="66"/>
      <c r="P157" s="66"/>
      <c r="Q157" s="66"/>
      <c r="R157" s="67"/>
      <c r="S157" s="67"/>
      <c r="T157" s="67"/>
      <c r="U157" s="66"/>
      <c r="V157" s="66"/>
      <c r="W157" s="66"/>
      <c r="X157" s="85"/>
      <c r="AP157" t="str">
        <v/>
      </c>
    </row>
    <row r="158" spans="4:42" ht="15.75" x14ac:dyDescent="0.25">
      <c r="D158" s="3">
        <v>1</v>
      </c>
      <c r="F158" s="16" t="str" cm="1">
        <f t="array" ref="F1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8" s="31" cm="1">
        <f t="array" ref="G1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8" s="33" t="str">
        <f>_xlfn.IFNA(IF(MOD(HLG_03[[#This Row],[Rit]],
    _xlfn.XLOOKUP($G$2,Int_Sample[Ore],Int_Sample[Inc])) = 0, "YES", "NO"),"")</f>
        <v/>
      </c>
      <c r="I158" s="32" t="str">
        <f>TEXT(HLG_03[[#This Row],[Batch]],"000")&amp; " / " &amp; TEXT(HLG_03[[#This Row],[Rit]],"000")</f>
        <v>N/A / 000</v>
      </c>
      <c r="J158" s="34"/>
      <c r="K158" s="38"/>
      <c r="L158" s="35"/>
      <c r="M158" s="66"/>
      <c r="N158" s="66"/>
      <c r="O158" s="66"/>
      <c r="P158" s="66"/>
      <c r="Q158" s="66"/>
      <c r="R158" s="67"/>
      <c r="S158" s="67"/>
      <c r="T158" s="67"/>
      <c r="U158" s="66"/>
      <c r="V158" s="66"/>
      <c r="W158" s="66"/>
      <c r="X158" s="85"/>
      <c r="AP158" t="str">
        <v/>
      </c>
    </row>
    <row r="159" spans="4:42" ht="15.75" x14ac:dyDescent="0.25">
      <c r="D159" s="3">
        <v>1</v>
      </c>
      <c r="F159" s="16" t="str" cm="1">
        <f t="array" ref="F1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9" s="31" cm="1">
        <f t="array" ref="G1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9" s="33" t="str">
        <f>_xlfn.IFNA(IF(MOD(HLG_03[[#This Row],[Rit]],
    _xlfn.XLOOKUP($G$2,Int_Sample[Ore],Int_Sample[Inc])) = 0, "YES", "NO"),"")</f>
        <v/>
      </c>
      <c r="I159" s="32" t="str">
        <f>TEXT(HLG_03[[#This Row],[Batch]],"000")&amp; " / " &amp; TEXT(HLG_03[[#This Row],[Rit]],"000")</f>
        <v>N/A / 000</v>
      </c>
      <c r="J159" s="34"/>
      <c r="K159" s="38"/>
      <c r="L159" s="35"/>
      <c r="M159" s="66"/>
      <c r="N159" s="66"/>
      <c r="O159" s="66"/>
      <c r="P159" s="66"/>
      <c r="Q159" s="66"/>
      <c r="R159" s="67"/>
      <c r="S159" s="67"/>
      <c r="T159" s="67"/>
      <c r="U159" s="66"/>
      <c r="V159" s="66"/>
      <c r="W159" s="66"/>
      <c r="X159" s="85"/>
      <c r="AP159" t="str">
        <v/>
      </c>
    </row>
    <row r="160" spans="4:42" ht="15.75" x14ac:dyDescent="0.25">
      <c r="D160" s="3">
        <v>1</v>
      </c>
      <c r="F160" s="16" t="str" cm="1">
        <f t="array" ref="F1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0" s="31" cm="1">
        <f t="array" ref="G1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0" s="33" t="str">
        <f>_xlfn.IFNA(IF(MOD(HLG_03[[#This Row],[Rit]],
    _xlfn.XLOOKUP($G$2,Int_Sample[Ore],Int_Sample[Inc])) = 0, "YES", "NO"),"")</f>
        <v/>
      </c>
      <c r="I160" s="32" t="str">
        <f>TEXT(HLG_03[[#This Row],[Batch]],"000")&amp; " / " &amp; TEXT(HLG_03[[#This Row],[Rit]],"000")</f>
        <v>N/A / 000</v>
      </c>
      <c r="J160" s="34"/>
      <c r="K160" s="38"/>
      <c r="L160" s="35"/>
      <c r="M160" s="66"/>
      <c r="N160" s="66"/>
      <c r="O160" s="66"/>
      <c r="P160" s="66"/>
      <c r="Q160" s="66"/>
      <c r="R160" s="67"/>
      <c r="S160" s="67"/>
      <c r="T160" s="67"/>
      <c r="U160" s="66"/>
      <c r="V160" s="66"/>
      <c r="W160" s="66"/>
      <c r="X160" s="85"/>
      <c r="AP160" t="str">
        <v/>
      </c>
    </row>
    <row r="161" spans="4:42" ht="15.75" x14ac:dyDescent="0.25">
      <c r="D161" s="3">
        <v>1</v>
      </c>
      <c r="F161" s="16" t="str" cm="1">
        <f t="array" ref="F1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1" s="31" cm="1">
        <f t="array" ref="G1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1" s="33" t="str">
        <f>_xlfn.IFNA(IF(MOD(HLG_03[[#This Row],[Rit]],
    _xlfn.XLOOKUP($G$2,Int_Sample[Ore],Int_Sample[Inc])) = 0, "YES", "NO"),"")</f>
        <v/>
      </c>
      <c r="I161" s="32" t="str">
        <f>TEXT(HLG_03[[#This Row],[Batch]],"000")&amp; " / " &amp; TEXT(HLG_03[[#This Row],[Rit]],"000")</f>
        <v>N/A / 000</v>
      </c>
      <c r="J161" s="34"/>
      <c r="K161" s="38"/>
      <c r="L161" s="35"/>
      <c r="M161" s="66"/>
      <c r="N161" s="66"/>
      <c r="O161" s="66"/>
      <c r="P161" s="66"/>
      <c r="Q161" s="66"/>
      <c r="R161" s="67"/>
      <c r="S161" s="67"/>
      <c r="T161" s="67"/>
      <c r="U161" s="66"/>
      <c r="V161" s="66"/>
      <c r="W161" s="66"/>
      <c r="X161" s="85"/>
      <c r="AP161" t="str">
        <v/>
      </c>
    </row>
    <row r="162" spans="4:42" ht="15.75" x14ac:dyDescent="0.25">
      <c r="D162" s="3">
        <v>1</v>
      </c>
      <c r="F162" s="16" t="str" cm="1">
        <f t="array" ref="F1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2" s="31" cm="1">
        <f t="array" ref="G1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2" s="33" t="str">
        <f>_xlfn.IFNA(IF(MOD(HLG_03[[#This Row],[Rit]],
    _xlfn.XLOOKUP($G$2,Int_Sample[Ore],Int_Sample[Inc])) = 0, "YES", "NO"),"")</f>
        <v/>
      </c>
      <c r="I162" s="32" t="str">
        <f>TEXT(HLG_03[[#This Row],[Batch]],"000")&amp; " / " &amp; TEXT(HLG_03[[#This Row],[Rit]],"000")</f>
        <v>N/A / 000</v>
      </c>
      <c r="J162" s="34"/>
      <c r="K162" s="38"/>
      <c r="L162" s="35"/>
      <c r="M162" s="66"/>
      <c r="N162" s="66"/>
      <c r="O162" s="66"/>
      <c r="P162" s="66"/>
      <c r="Q162" s="66"/>
      <c r="R162" s="67"/>
      <c r="S162" s="67"/>
      <c r="T162" s="67"/>
      <c r="U162" s="66"/>
      <c r="V162" s="66"/>
      <c r="W162" s="66"/>
      <c r="X162" s="85"/>
      <c r="AP162" t="str">
        <v/>
      </c>
    </row>
    <row r="163" spans="4:42" ht="15.75" x14ac:dyDescent="0.25">
      <c r="D163" s="3">
        <v>1</v>
      </c>
      <c r="F163" s="16" t="str" cm="1">
        <f t="array" ref="F1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3" s="31" cm="1">
        <f t="array" ref="G1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3" s="33" t="str">
        <f>_xlfn.IFNA(IF(MOD(HLG_03[[#This Row],[Rit]],
    _xlfn.XLOOKUP($G$2,Int_Sample[Ore],Int_Sample[Inc])) = 0, "YES", "NO"),"")</f>
        <v/>
      </c>
      <c r="I163" s="32" t="str">
        <f>TEXT(HLG_03[[#This Row],[Batch]],"000")&amp; " / " &amp; TEXT(HLG_03[[#This Row],[Rit]],"000")</f>
        <v>N/A / 000</v>
      </c>
      <c r="J163" s="34"/>
      <c r="K163" s="38"/>
      <c r="L163" s="35"/>
      <c r="M163" s="66"/>
      <c r="N163" s="66"/>
      <c r="O163" s="66"/>
      <c r="P163" s="66"/>
      <c r="Q163" s="66"/>
      <c r="R163" s="67"/>
      <c r="S163" s="67"/>
      <c r="T163" s="67"/>
      <c r="U163" s="66"/>
      <c r="V163" s="66"/>
      <c r="W163" s="66"/>
      <c r="X163" s="85"/>
      <c r="AP163" t="str">
        <v/>
      </c>
    </row>
    <row r="164" spans="4:42" ht="15.75" x14ac:dyDescent="0.25">
      <c r="D164" s="3">
        <v>1</v>
      </c>
      <c r="F164" s="16" t="str" cm="1">
        <f t="array" ref="F1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4" s="31" cm="1">
        <f t="array" ref="G1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4" s="33" t="str">
        <f>_xlfn.IFNA(IF(MOD(HLG_03[[#This Row],[Rit]],
    _xlfn.XLOOKUP($G$2,Int_Sample[Ore],Int_Sample[Inc])) = 0, "YES", "NO"),"")</f>
        <v/>
      </c>
      <c r="I164" s="32" t="str">
        <f>TEXT(HLG_03[[#This Row],[Batch]],"000")&amp; " / " &amp; TEXT(HLG_03[[#This Row],[Rit]],"000")</f>
        <v>N/A / 000</v>
      </c>
      <c r="J164" s="34"/>
      <c r="K164" s="38"/>
      <c r="L164" s="35"/>
      <c r="M164" s="66"/>
      <c r="N164" s="66"/>
      <c r="O164" s="66"/>
      <c r="P164" s="66"/>
      <c r="Q164" s="66"/>
      <c r="R164" s="67"/>
      <c r="S164" s="67"/>
      <c r="T164" s="67"/>
      <c r="U164" s="66"/>
      <c r="V164" s="66"/>
      <c r="W164" s="66"/>
      <c r="X164" s="85"/>
      <c r="AP164" t="str">
        <v/>
      </c>
    </row>
    <row r="165" spans="4:42" ht="15.75" x14ac:dyDescent="0.25">
      <c r="D165" s="3">
        <v>1</v>
      </c>
      <c r="F165" s="16" t="str" cm="1">
        <f t="array" ref="F1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5" s="31" cm="1">
        <f t="array" ref="G1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5" s="33" t="str">
        <f>_xlfn.IFNA(IF(MOD(HLG_03[[#This Row],[Rit]],
    _xlfn.XLOOKUP($G$2,Int_Sample[Ore],Int_Sample[Inc])) = 0, "YES", "NO"),"")</f>
        <v/>
      </c>
      <c r="I165" s="32" t="str">
        <f>TEXT(HLG_03[[#This Row],[Batch]],"000")&amp; " / " &amp; TEXT(HLG_03[[#This Row],[Rit]],"000")</f>
        <v>N/A / 000</v>
      </c>
      <c r="J165" s="34"/>
      <c r="K165" s="38"/>
      <c r="L165" s="35"/>
      <c r="M165" s="66"/>
      <c r="N165" s="66"/>
      <c r="O165" s="66"/>
      <c r="P165" s="66"/>
      <c r="Q165" s="66"/>
      <c r="R165" s="67"/>
      <c r="S165" s="67"/>
      <c r="T165" s="67"/>
      <c r="U165" s="66"/>
      <c r="V165" s="66"/>
      <c r="W165" s="66"/>
      <c r="X165" s="85"/>
      <c r="AP165" t="str">
        <v/>
      </c>
    </row>
    <row r="166" spans="4:42" ht="15.75" x14ac:dyDescent="0.25">
      <c r="D166" s="3">
        <v>1</v>
      </c>
      <c r="F166" s="16" t="str" cm="1">
        <f t="array" ref="F1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6" s="31" cm="1">
        <f t="array" ref="G1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6" s="33" t="str">
        <f>_xlfn.IFNA(IF(MOD(HLG_03[[#This Row],[Rit]],
    _xlfn.XLOOKUP($G$2,Int_Sample[Ore],Int_Sample[Inc])) = 0, "YES", "NO"),"")</f>
        <v/>
      </c>
      <c r="I166" s="32" t="str">
        <f>TEXT(HLG_03[[#This Row],[Batch]],"000")&amp; " / " &amp; TEXT(HLG_03[[#This Row],[Rit]],"000")</f>
        <v>N/A / 000</v>
      </c>
      <c r="J166" s="34"/>
      <c r="K166" s="38"/>
      <c r="L166" s="35"/>
      <c r="M166" s="66"/>
      <c r="N166" s="66"/>
      <c r="O166" s="66"/>
      <c r="P166" s="66"/>
      <c r="Q166" s="66"/>
      <c r="R166" s="67"/>
      <c r="S166" s="67"/>
      <c r="T166" s="67"/>
      <c r="U166" s="66"/>
      <c r="V166" s="66"/>
      <c r="W166" s="66"/>
      <c r="X166" s="85"/>
      <c r="AP166" t="str">
        <v/>
      </c>
    </row>
    <row r="167" spans="4:42" ht="15.75" x14ac:dyDescent="0.25">
      <c r="D167" s="3">
        <v>1</v>
      </c>
      <c r="F167" s="16" t="str" cm="1">
        <f t="array" ref="F1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7" s="31" cm="1">
        <f t="array" ref="G1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7" s="33" t="str">
        <f>_xlfn.IFNA(IF(MOD(HLG_03[[#This Row],[Rit]],
    _xlfn.XLOOKUP($G$2,Int_Sample[Ore],Int_Sample[Inc])) = 0, "YES", "NO"),"")</f>
        <v/>
      </c>
      <c r="I167" s="32" t="str">
        <f>TEXT(HLG_03[[#This Row],[Batch]],"000")&amp; " / " &amp; TEXT(HLG_03[[#This Row],[Rit]],"000")</f>
        <v>N/A / 000</v>
      </c>
      <c r="J167" s="34"/>
      <c r="K167" s="38"/>
      <c r="L167" s="35"/>
      <c r="M167" s="66"/>
      <c r="N167" s="66"/>
      <c r="O167" s="66"/>
      <c r="P167" s="66"/>
      <c r="Q167" s="66"/>
      <c r="R167" s="67"/>
      <c r="S167" s="67"/>
      <c r="T167" s="67"/>
      <c r="U167" s="66"/>
      <c r="V167" s="66"/>
      <c r="W167" s="66"/>
      <c r="X167" s="85"/>
      <c r="AP167" t="str">
        <v/>
      </c>
    </row>
    <row r="168" spans="4:42" ht="15.75" x14ac:dyDescent="0.25">
      <c r="D168" s="3">
        <v>1</v>
      </c>
      <c r="F168" s="16" t="str" cm="1">
        <f t="array" ref="F1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8" s="31" cm="1">
        <f t="array" ref="G1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8" s="33" t="str">
        <f>_xlfn.IFNA(IF(MOD(HLG_03[[#This Row],[Rit]],
    _xlfn.XLOOKUP($G$2,Int_Sample[Ore],Int_Sample[Inc])) = 0, "YES", "NO"),"")</f>
        <v/>
      </c>
      <c r="I168" s="32" t="str">
        <f>TEXT(HLG_03[[#This Row],[Batch]],"000")&amp; " / " &amp; TEXT(HLG_03[[#This Row],[Rit]],"000")</f>
        <v>N/A / 000</v>
      </c>
      <c r="J168" s="34"/>
      <c r="K168" s="38"/>
      <c r="L168" s="35"/>
      <c r="M168" s="66"/>
      <c r="N168" s="66"/>
      <c r="O168" s="66"/>
      <c r="P168" s="66"/>
      <c r="Q168" s="66"/>
      <c r="R168" s="67"/>
      <c r="S168" s="67"/>
      <c r="T168" s="67"/>
      <c r="U168" s="66"/>
      <c r="V168" s="66"/>
      <c r="W168" s="66"/>
      <c r="X168" s="85"/>
      <c r="AP168" t="str">
        <v/>
      </c>
    </row>
    <row r="169" spans="4:42" ht="15.75" x14ac:dyDescent="0.25">
      <c r="D169" s="3">
        <v>1</v>
      </c>
      <c r="F169" s="16" t="str" cm="1">
        <f t="array" ref="F1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9" s="31" cm="1">
        <f t="array" ref="G1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9" s="33" t="str">
        <f>_xlfn.IFNA(IF(MOD(HLG_03[[#This Row],[Rit]],
    _xlfn.XLOOKUP($G$2,Int_Sample[Ore],Int_Sample[Inc])) = 0, "YES", "NO"),"")</f>
        <v/>
      </c>
      <c r="I169" s="32" t="str">
        <f>TEXT(HLG_03[[#This Row],[Batch]],"000")&amp; " / " &amp; TEXT(HLG_03[[#This Row],[Rit]],"000")</f>
        <v>N/A / 000</v>
      </c>
      <c r="J169" s="34"/>
      <c r="K169" s="38"/>
      <c r="L169" s="35"/>
      <c r="M169" s="66"/>
      <c r="N169" s="66"/>
      <c r="O169" s="66"/>
      <c r="P169" s="66"/>
      <c r="Q169" s="66"/>
      <c r="R169" s="67"/>
      <c r="S169" s="67"/>
      <c r="T169" s="67"/>
      <c r="U169" s="66"/>
      <c r="V169" s="66"/>
      <c r="W169" s="66"/>
      <c r="X169" s="85"/>
      <c r="AP169" t="str">
        <v/>
      </c>
    </row>
    <row r="170" spans="4:42" ht="15.75" x14ac:dyDescent="0.25">
      <c r="D170" s="3">
        <v>1</v>
      </c>
      <c r="F170" s="16" t="str" cm="1">
        <f t="array" ref="F1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0" s="31" cm="1">
        <f t="array" ref="G1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0" s="33" t="str">
        <f>_xlfn.IFNA(IF(MOD(HLG_03[[#This Row],[Rit]],
    _xlfn.XLOOKUP($G$2,Int_Sample[Ore],Int_Sample[Inc])) = 0, "YES", "NO"),"")</f>
        <v/>
      </c>
      <c r="I170" s="32" t="str">
        <f>TEXT(HLG_03[[#This Row],[Batch]],"000")&amp; " / " &amp; TEXT(HLG_03[[#This Row],[Rit]],"000")</f>
        <v>N/A / 000</v>
      </c>
      <c r="J170" s="34"/>
      <c r="K170" s="38"/>
      <c r="L170" s="35"/>
      <c r="M170" s="66"/>
      <c r="N170" s="66"/>
      <c r="O170" s="66"/>
      <c r="P170" s="66"/>
      <c r="Q170" s="66"/>
      <c r="R170" s="67"/>
      <c r="S170" s="67"/>
      <c r="T170" s="67"/>
      <c r="U170" s="66"/>
      <c r="V170" s="66"/>
      <c r="W170" s="66"/>
      <c r="X170" s="85"/>
      <c r="AP170" t="str">
        <v/>
      </c>
    </row>
    <row r="171" spans="4:42" ht="15.75" x14ac:dyDescent="0.25">
      <c r="D171" s="3">
        <v>1</v>
      </c>
      <c r="F171" s="16" t="str" cm="1">
        <f t="array" ref="F1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1" s="31" cm="1">
        <f t="array" ref="G1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1" s="33" t="str">
        <f>_xlfn.IFNA(IF(MOD(HLG_03[[#This Row],[Rit]],
    _xlfn.XLOOKUP($G$2,Int_Sample[Ore],Int_Sample[Inc])) = 0, "YES", "NO"),"")</f>
        <v/>
      </c>
      <c r="I171" s="32" t="str">
        <f>TEXT(HLG_03[[#This Row],[Batch]],"000")&amp; " / " &amp; TEXT(HLG_03[[#This Row],[Rit]],"000")</f>
        <v>N/A / 000</v>
      </c>
      <c r="J171" s="34"/>
      <c r="K171" s="38"/>
      <c r="L171" s="35"/>
      <c r="M171" s="66"/>
      <c r="N171" s="66"/>
      <c r="O171" s="66"/>
      <c r="P171" s="66"/>
      <c r="Q171" s="66"/>
      <c r="R171" s="67"/>
      <c r="S171" s="67"/>
      <c r="T171" s="67"/>
      <c r="U171" s="66"/>
      <c r="V171" s="66"/>
      <c r="W171" s="66"/>
      <c r="X171" s="85"/>
      <c r="AP171" t="str">
        <v/>
      </c>
    </row>
    <row r="172" spans="4:42" ht="15.75" x14ac:dyDescent="0.25">
      <c r="D172" s="3">
        <v>1</v>
      </c>
      <c r="F172" s="16" t="str" cm="1">
        <f t="array" ref="F1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2" s="31" cm="1">
        <f t="array" ref="G1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2" s="33" t="str">
        <f>_xlfn.IFNA(IF(MOD(HLG_03[[#This Row],[Rit]],
    _xlfn.XLOOKUP($G$2,Int_Sample[Ore],Int_Sample[Inc])) = 0, "YES", "NO"),"")</f>
        <v/>
      </c>
      <c r="I172" s="32" t="str">
        <f>TEXT(HLG_03[[#This Row],[Batch]],"000")&amp; " / " &amp; TEXT(HLG_03[[#This Row],[Rit]],"000")</f>
        <v>N/A / 000</v>
      </c>
      <c r="J172" s="34"/>
      <c r="K172" s="38"/>
      <c r="L172" s="35"/>
      <c r="M172" s="66"/>
      <c r="N172" s="66"/>
      <c r="O172" s="66"/>
      <c r="P172" s="66"/>
      <c r="Q172" s="66"/>
      <c r="R172" s="67"/>
      <c r="S172" s="67"/>
      <c r="T172" s="67"/>
      <c r="U172" s="66"/>
      <c r="V172" s="66"/>
      <c r="W172" s="66"/>
      <c r="X172" s="85"/>
      <c r="AP172" t="str">
        <v/>
      </c>
    </row>
    <row r="173" spans="4:42" ht="15.75" x14ac:dyDescent="0.25">
      <c r="D173" s="3">
        <v>1</v>
      </c>
      <c r="F173" s="16" t="str" cm="1">
        <f t="array" ref="F1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3" s="31" cm="1">
        <f t="array" ref="G1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3" s="33" t="str">
        <f>_xlfn.IFNA(IF(MOD(HLG_03[[#This Row],[Rit]],
    _xlfn.XLOOKUP($G$2,Int_Sample[Ore],Int_Sample[Inc])) = 0, "YES", "NO"),"")</f>
        <v/>
      </c>
      <c r="I173" s="32" t="str">
        <f>TEXT(HLG_03[[#This Row],[Batch]],"000")&amp; " / " &amp; TEXT(HLG_03[[#This Row],[Rit]],"000")</f>
        <v>N/A / 000</v>
      </c>
      <c r="J173" s="34"/>
      <c r="K173" s="38"/>
      <c r="L173" s="35"/>
      <c r="M173" s="66"/>
      <c r="N173" s="66"/>
      <c r="O173" s="66"/>
      <c r="P173" s="66"/>
      <c r="Q173" s="66"/>
      <c r="R173" s="67"/>
      <c r="S173" s="67"/>
      <c r="T173" s="67"/>
      <c r="U173" s="66"/>
      <c r="V173" s="66"/>
      <c r="W173" s="66"/>
      <c r="X173" s="85"/>
      <c r="AP173" t="str">
        <v/>
      </c>
    </row>
    <row r="174" spans="4:42" ht="15.75" x14ac:dyDescent="0.25">
      <c r="D174" s="3">
        <v>1</v>
      </c>
      <c r="F174" s="16" t="str" cm="1">
        <f t="array" ref="F1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4" s="31" cm="1">
        <f t="array" ref="G1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4" s="33" t="str">
        <f>_xlfn.IFNA(IF(MOD(HLG_03[[#This Row],[Rit]],
    _xlfn.XLOOKUP($G$2,Int_Sample[Ore],Int_Sample[Inc])) = 0, "YES", "NO"),"")</f>
        <v/>
      </c>
      <c r="I174" s="32" t="str">
        <f>TEXT(HLG_03[[#This Row],[Batch]],"000")&amp; " / " &amp; TEXT(HLG_03[[#This Row],[Rit]],"000")</f>
        <v>N/A / 000</v>
      </c>
      <c r="J174" s="34"/>
      <c r="K174" s="38"/>
      <c r="L174" s="35"/>
      <c r="M174" s="66"/>
      <c r="N174" s="66"/>
      <c r="O174" s="66"/>
      <c r="P174" s="66"/>
      <c r="Q174" s="66"/>
      <c r="R174" s="67"/>
      <c r="S174" s="67"/>
      <c r="T174" s="67"/>
      <c r="U174" s="66"/>
      <c r="V174" s="66"/>
      <c r="W174" s="66"/>
      <c r="X174" s="85"/>
      <c r="AP174" t="str">
        <v/>
      </c>
    </row>
    <row r="175" spans="4:42" ht="15.75" x14ac:dyDescent="0.25">
      <c r="D175" s="3">
        <v>1</v>
      </c>
      <c r="F175" s="16" t="str" cm="1">
        <f t="array" ref="F1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5" s="31" cm="1">
        <f t="array" ref="G1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5" s="33" t="str">
        <f>_xlfn.IFNA(IF(MOD(HLG_03[[#This Row],[Rit]],
    _xlfn.XLOOKUP($G$2,Int_Sample[Ore],Int_Sample[Inc])) = 0, "YES", "NO"),"")</f>
        <v/>
      </c>
      <c r="I175" s="32" t="str">
        <f>TEXT(HLG_03[[#This Row],[Batch]],"000")&amp; " / " &amp; TEXT(HLG_03[[#This Row],[Rit]],"000")</f>
        <v>N/A / 000</v>
      </c>
      <c r="J175" s="34"/>
      <c r="K175" s="38"/>
      <c r="L175" s="35"/>
      <c r="M175" s="66"/>
      <c r="N175" s="66"/>
      <c r="O175" s="66"/>
      <c r="P175" s="66"/>
      <c r="Q175" s="66"/>
      <c r="R175" s="67"/>
      <c r="S175" s="67"/>
      <c r="T175" s="67"/>
      <c r="U175" s="66"/>
      <c r="V175" s="66"/>
      <c r="W175" s="66"/>
      <c r="X175" s="85"/>
      <c r="AP175" t="str">
        <v/>
      </c>
    </row>
    <row r="176" spans="4:42" ht="15.75" x14ac:dyDescent="0.25">
      <c r="D176" s="3">
        <v>1</v>
      </c>
      <c r="F176" s="16" t="str" cm="1">
        <f t="array" ref="F1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6" s="31" cm="1">
        <f t="array" ref="G1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6" s="33" t="str">
        <f>_xlfn.IFNA(IF(MOD(HLG_03[[#This Row],[Rit]],
    _xlfn.XLOOKUP($G$2,Int_Sample[Ore],Int_Sample[Inc])) = 0, "YES", "NO"),"")</f>
        <v/>
      </c>
      <c r="I176" s="32" t="str">
        <f>TEXT(HLG_03[[#This Row],[Batch]],"000")&amp; " / " &amp; TEXT(HLG_03[[#This Row],[Rit]],"000")</f>
        <v>N/A / 000</v>
      </c>
      <c r="J176" s="34"/>
      <c r="K176" s="38"/>
      <c r="L176" s="35"/>
      <c r="M176" s="66"/>
      <c r="N176" s="66"/>
      <c r="O176" s="66"/>
      <c r="P176" s="66"/>
      <c r="Q176" s="66"/>
      <c r="R176" s="67"/>
      <c r="S176" s="67"/>
      <c r="T176" s="67"/>
      <c r="U176" s="66"/>
      <c r="V176" s="66"/>
      <c r="W176" s="66"/>
      <c r="X176" s="85"/>
      <c r="AP176" t="str">
        <v/>
      </c>
    </row>
    <row r="177" spans="4:42" ht="15.75" x14ac:dyDescent="0.25">
      <c r="D177" s="3">
        <v>1</v>
      </c>
      <c r="F177" s="16" t="str" cm="1">
        <f t="array" ref="F1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7" s="31" cm="1">
        <f t="array" ref="G1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7" s="33" t="str">
        <f>_xlfn.IFNA(IF(MOD(HLG_03[[#This Row],[Rit]],
    _xlfn.XLOOKUP($G$2,Int_Sample[Ore],Int_Sample[Inc])) = 0, "YES", "NO"),"")</f>
        <v/>
      </c>
      <c r="I177" s="32" t="str">
        <f>TEXT(HLG_03[[#This Row],[Batch]],"000")&amp; " / " &amp; TEXT(HLG_03[[#This Row],[Rit]],"000")</f>
        <v>N/A / 000</v>
      </c>
      <c r="J177" s="34"/>
      <c r="K177" s="38"/>
      <c r="L177" s="35"/>
      <c r="M177" s="66"/>
      <c r="N177" s="66"/>
      <c r="O177" s="66"/>
      <c r="P177" s="66"/>
      <c r="Q177" s="66"/>
      <c r="R177" s="67"/>
      <c r="S177" s="67"/>
      <c r="T177" s="67"/>
      <c r="U177" s="66"/>
      <c r="V177" s="66"/>
      <c r="W177" s="66"/>
      <c r="X177" s="85"/>
      <c r="AP177" t="str">
        <v/>
      </c>
    </row>
    <row r="178" spans="4:42" ht="15.75" x14ac:dyDescent="0.25">
      <c r="D178" s="3">
        <v>1</v>
      </c>
      <c r="F178" s="16" t="str" cm="1">
        <f t="array" ref="F1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8" s="31" cm="1">
        <f t="array" ref="G1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8" s="33" t="str">
        <f>_xlfn.IFNA(IF(MOD(HLG_03[[#This Row],[Rit]],
    _xlfn.XLOOKUP($G$2,Int_Sample[Ore],Int_Sample[Inc])) = 0, "YES", "NO"),"")</f>
        <v/>
      </c>
      <c r="I178" s="32" t="str">
        <f>TEXT(HLG_03[[#This Row],[Batch]],"000")&amp; " / " &amp; TEXT(HLG_03[[#This Row],[Rit]],"000")</f>
        <v>N/A / 000</v>
      </c>
      <c r="J178" s="34"/>
      <c r="K178" s="38"/>
      <c r="L178" s="35"/>
      <c r="M178" s="66"/>
      <c r="N178" s="66"/>
      <c r="O178" s="66"/>
      <c r="P178" s="66"/>
      <c r="Q178" s="66"/>
      <c r="R178" s="67"/>
      <c r="S178" s="67"/>
      <c r="T178" s="67"/>
      <c r="U178" s="66"/>
      <c r="V178" s="66"/>
      <c r="W178" s="66"/>
      <c r="X178" s="85"/>
      <c r="AP178" t="str">
        <v/>
      </c>
    </row>
    <row r="179" spans="4:42" ht="15.75" x14ac:dyDescent="0.25">
      <c r="D179" s="3">
        <v>1</v>
      </c>
      <c r="F179" s="16" t="str" cm="1">
        <f t="array" ref="F1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9" s="31" cm="1">
        <f t="array" ref="G1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9" s="33" t="str">
        <f>_xlfn.IFNA(IF(MOD(HLG_03[[#This Row],[Rit]],
    _xlfn.XLOOKUP($G$2,Int_Sample[Ore],Int_Sample[Inc])) = 0, "YES", "NO"),"")</f>
        <v/>
      </c>
      <c r="I179" s="32" t="str">
        <f>TEXT(HLG_03[[#This Row],[Batch]],"000")&amp; " / " &amp; TEXT(HLG_03[[#This Row],[Rit]],"000")</f>
        <v>N/A / 000</v>
      </c>
      <c r="J179" s="34"/>
      <c r="K179" s="38"/>
      <c r="L179" s="35"/>
      <c r="M179" s="66"/>
      <c r="N179" s="66"/>
      <c r="O179" s="66"/>
      <c r="P179" s="66"/>
      <c r="Q179" s="66"/>
      <c r="R179" s="67"/>
      <c r="S179" s="67"/>
      <c r="T179" s="67"/>
      <c r="U179" s="66"/>
      <c r="V179" s="66"/>
      <c r="W179" s="66"/>
      <c r="X179" s="85"/>
      <c r="AP179" t="str">
        <v/>
      </c>
    </row>
    <row r="180" spans="4:42" ht="15.75" x14ac:dyDescent="0.25">
      <c r="D180" s="3">
        <v>1</v>
      </c>
      <c r="F180" s="16" t="str" cm="1">
        <f t="array" ref="F1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0" s="31" cm="1">
        <f t="array" ref="G1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0" s="33" t="str">
        <f>_xlfn.IFNA(IF(MOD(HLG_03[[#This Row],[Rit]],
    _xlfn.XLOOKUP($G$2,Int_Sample[Ore],Int_Sample[Inc])) = 0, "YES", "NO"),"")</f>
        <v/>
      </c>
      <c r="I180" s="32" t="str">
        <f>TEXT(HLG_03[[#This Row],[Batch]],"000")&amp; " / " &amp; TEXT(HLG_03[[#This Row],[Rit]],"000")</f>
        <v>N/A / 000</v>
      </c>
      <c r="J180" s="34"/>
      <c r="K180" s="38"/>
      <c r="L180" s="35"/>
      <c r="M180" s="66"/>
      <c r="N180" s="66"/>
      <c r="O180" s="66"/>
      <c r="P180" s="66"/>
      <c r="Q180" s="66"/>
      <c r="R180" s="67"/>
      <c r="S180" s="67"/>
      <c r="T180" s="67"/>
      <c r="U180" s="66"/>
      <c r="V180" s="66"/>
      <c r="W180" s="66"/>
      <c r="X180" s="85"/>
      <c r="AP180" t="str">
        <v/>
      </c>
    </row>
    <row r="181" spans="4:42" ht="15.75" x14ac:dyDescent="0.25">
      <c r="D181" s="3">
        <v>1</v>
      </c>
      <c r="F181" s="16" t="str" cm="1">
        <f t="array" ref="F1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1" s="31" cm="1">
        <f t="array" ref="G1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1" s="33" t="str">
        <f>_xlfn.IFNA(IF(MOD(HLG_03[[#This Row],[Rit]],
    _xlfn.XLOOKUP($G$2,Int_Sample[Ore],Int_Sample[Inc])) = 0, "YES", "NO"),"")</f>
        <v/>
      </c>
      <c r="I181" s="32" t="str">
        <f>TEXT(HLG_03[[#This Row],[Batch]],"000")&amp; " / " &amp; TEXT(HLG_03[[#This Row],[Rit]],"000")</f>
        <v>N/A / 000</v>
      </c>
      <c r="J181" s="34"/>
      <c r="K181" s="38"/>
      <c r="L181" s="35"/>
      <c r="M181" s="66"/>
      <c r="N181" s="66"/>
      <c r="O181" s="66"/>
      <c r="P181" s="66"/>
      <c r="Q181" s="66"/>
      <c r="R181" s="67"/>
      <c r="S181" s="67"/>
      <c r="T181" s="67"/>
      <c r="U181" s="66"/>
      <c r="V181" s="66"/>
      <c r="W181" s="66"/>
      <c r="X181" s="85"/>
      <c r="AP181" t="str">
        <v/>
      </c>
    </row>
    <row r="182" spans="4:42" ht="15.75" x14ac:dyDescent="0.25">
      <c r="D182" s="3">
        <v>1</v>
      </c>
      <c r="F182" s="16" t="str" cm="1">
        <f t="array" ref="F1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2" s="31" cm="1">
        <f t="array" ref="G1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2" s="33" t="str">
        <f>_xlfn.IFNA(IF(MOD(HLG_03[[#This Row],[Rit]],
    _xlfn.XLOOKUP($G$2,Int_Sample[Ore],Int_Sample[Inc])) = 0, "YES", "NO"),"")</f>
        <v/>
      </c>
      <c r="I182" s="32" t="str">
        <f>TEXT(HLG_03[[#This Row],[Batch]],"000")&amp; " / " &amp; TEXT(HLG_03[[#This Row],[Rit]],"000")</f>
        <v>N/A / 000</v>
      </c>
      <c r="J182" s="34"/>
      <c r="K182" s="38"/>
      <c r="L182" s="35"/>
      <c r="M182" s="66"/>
      <c r="N182" s="66"/>
      <c r="O182" s="66"/>
      <c r="P182" s="66"/>
      <c r="Q182" s="66"/>
      <c r="R182" s="67"/>
      <c r="S182" s="67"/>
      <c r="T182" s="67"/>
      <c r="U182" s="66"/>
      <c r="V182" s="66"/>
      <c r="W182" s="66"/>
      <c r="X182" s="85"/>
      <c r="AP182" t="str">
        <v/>
      </c>
    </row>
    <row r="183" spans="4:42" ht="15.75" x14ac:dyDescent="0.25">
      <c r="D183" s="3">
        <v>1</v>
      </c>
      <c r="F183" s="16" t="str" cm="1">
        <f t="array" ref="F1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3" s="31" cm="1">
        <f t="array" ref="G1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3" s="33" t="str">
        <f>_xlfn.IFNA(IF(MOD(HLG_03[[#This Row],[Rit]],
    _xlfn.XLOOKUP($G$2,Int_Sample[Ore],Int_Sample[Inc])) = 0, "YES", "NO"),"")</f>
        <v/>
      </c>
      <c r="I183" s="32" t="str">
        <f>TEXT(HLG_03[[#This Row],[Batch]],"000")&amp; " / " &amp; TEXT(HLG_03[[#This Row],[Rit]],"000")</f>
        <v>N/A / 000</v>
      </c>
      <c r="J183" s="34"/>
      <c r="K183" s="38"/>
      <c r="L183" s="35"/>
      <c r="M183" s="66"/>
      <c r="N183" s="66"/>
      <c r="O183" s="66"/>
      <c r="P183" s="66"/>
      <c r="Q183" s="66"/>
      <c r="R183" s="67"/>
      <c r="S183" s="67"/>
      <c r="T183" s="67"/>
      <c r="U183" s="66"/>
      <c r="V183" s="66"/>
      <c r="W183" s="66"/>
      <c r="X183" s="85"/>
      <c r="AP183" t="str">
        <v/>
      </c>
    </row>
    <row r="184" spans="4:42" ht="15.75" x14ac:dyDescent="0.25">
      <c r="D184" s="3">
        <v>1</v>
      </c>
      <c r="F184" s="16" t="str" cm="1">
        <f t="array" ref="F1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4" s="31" cm="1">
        <f t="array" ref="G1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4" s="33" t="str">
        <f>_xlfn.IFNA(IF(MOD(HLG_03[[#This Row],[Rit]],
    _xlfn.XLOOKUP($G$2,Int_Sample[Ore],Int_Sample[Inc])) = 0, "YES", "NO"),"")</f>
        <v/>
      </c>
      <c r="I184" s="32" t="str">
        <f>TEXT(HLG_03[[#This Row],[Batch]],"000")&amp; " / " &amp; TEXT(HLG_03[[#This Row],[Rit]],"000")</f>
        <v>N/A / 000</v>
      </c>
      <c r="J184" s="34"/>
      <c r="K184" s="38"/>
      <c r="L184" s="35"/>
      <c r="M184" s="66"/>
      <c r="N184" s="66"/>
      <c r="O184" s="66"/>
      <c r="P184" s="66"/>
      <c r="Q184" s="66"/>
      <c r="R184" s="67"/>
      <c r="S184" s="67"/>
      <c r="T184" s="67"/>
      <c r="U184" s="66"/>
      <c r="V184" s="66"/>
      <c r="W184" s="66"/>
      <c r="X184" s="85"/>
      <c r="AP184" t="str">
        <v/>
      </c>
    </row>
    <row r="185" spans="4:42" ht="15.75" x14ac:dyDescent="0.25">
      <c r="D185" s="3">
        <v>1</v>
      </c>
      <c r="F185" s="16" t="str" cm="1">
        <f t="array" ref="F1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5" s="31" cm="1">
        <f t="array" ref="G1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5" s="33" t="str">
        <f>_xlfn.IFNA(IF(MOD(HLG_03[[#This Row],[Rit]],
    _xlfn.XLOOKUP($G$2,Int_Sample[Ore],Int_Sample[Inc])) = 0, "YES", "NO"),"")</f>
        <v/>
      </c>
      <c r="I185" s="32" t="str">
        <f>TEXT(HLG_03[[#This Row],[Batch]],"000")&amp; " / " &amp; TEXT(HLG_03[[#This Row],[Rit]],"000")</f>
        <v>N/A / 000</v>
      </c>
      <c r="J185" s="34"/>
      <c r="K185" s="38"/>
      <c r="L185" s="35"/>
      <c r="M185" s="66"/>
      <c r="N185" s="66"/>
      <c r="O185" s="66"/>
      <c r="P185" s="66"/>
      <c r="Q185" s="66"/>
      <c r="R185" s="67"/>
      <c r="S185" s="67"/>
      <c r="T185" s="67"/>
      <c r="U185" s="66"/>
      <c r="V185" s="66"/>
      <c r="W185" s="66"/>
      <c r="X185" s="85"/>
      <c r="AP185" t="str">
        <v/>
      </c>
    </row>
    <row r="186" spans="4:42" ht="15.75" x14ac:dyDescent="0.25">
      <c r="D186" s="3">
        <v>1</v>
      </c>
      <c r="F186" s="16" t="str" cm="1">
        <f t="array" ref="F1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6" s="31" cm="1">
        <f t="array" ref="G1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6" s="33" t="str">
        <f>_xlfn.IFNA(IF(MOD(HLG_03[[#This Row],[Rit]],
    _xlfn.XLOOKUP($G$2,Int_Sample[Ore],Int_Sample[Inc])) = 0, "YES", "NO"),"")</f>
        <v/>
      </c>
      <c r="I186" s="32" t="str">
        <f>TEXT(HLG_03[[#This Row],[Batch]],"000")&amp; " / " &amp; TEXT(HLG_03[[#This Row],[Rit]],"000")</f>
        <v>N/A / 000</v>
      </c>
      <c r="J186" s="34"/>
      <c r="K186" s="38"/>
      <c r="L186" s="35"/>
      <c r="M186" s="66"/>
      <c r="N186" s="66"/>
      <c r="O186" s="66"/>
      <c r="P186" s="66"/>
      <c r="Q186" s="66"/>
      <c r="R186" s="67"/>
      <c r="S186" s="67"/>
      <c r="T186" s="67"/>
      <c r="U186" s="66"/>
      <c r="V186" s="66"/>
      <c r="W186" s="66"/>
      <c r="X186" s="85"/>
      <c r="AP186" t="str">
        <v/>
      </c>
    </row>
    <row r="187" spans="4:42" ht="15.75" x14ac:dyDescent="0.25">
      <c r="D187" s="3">
        <v>1</v>
      </c>
      <c r="F187" s="16" t="str" cm="1">
        <f t="array" ref="F1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7" s="31" cm="1">
        <f t="array" ref="G1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7" s="33" t="str">
        <f>_xlfn.IFNA(IF(MOD(HLG_03[[#This Row],[Rit]],
    _xlfn.XLOOKUP($G$2,Int_Sample[Ore],Int_Sample[Inc])) = 0, "YES", "NO"),"")</f>
        <v/>
      </c>
      <c r="I187" s="32" t="str">
        <f>TEXT(HLG_03[[#This Row],[Batch]],"000")&amp; " / " &amp; TEXT(HLG_03[[#This Row],[Rit]],"000")</f>
        <v>N/A / 000</v>
      </c>
      <c r="J187" s="34"/>
      <c r="K187" s="38"/>
      <c r="L187" s="35"/>
      <c r="M187" s="66"/>
      <c r="N187" s="66"/>
      <c r="O187" s="66"/>
      <c r="P187" s="66"/>
      <c r="Q187" s="66"/>
      <c r="R187" s="67"/>
      <c r="S187" s="67"/>
      <c r="T187" s="67"/>
      <c r="U187" s="66"/>
      <c r="V187" s="66"/>
      <c r="W187" s="66"/>
      <c r="X187" s="85"/>
      <c r="AP187" t="str">
        <v/>
      </c>
    </row>
    <row r="188" spans="4:42" ht="15.75" x14ac:dyDescent="0.25">
      <c r="D188" s="3">
        <v>1</v>
      </c>
      <c r="F188" s="16" t="str" cm="1">
        <f t="array" ref="F1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8" s="31" cm="1">
        <f t="array" ref="G1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8" s="33" t="str">
        <f>_xlfn.IFNA(IF(MOD(HLG_03[[#This Row],[Rit]],
    _xlfn.XLOOKUP($G$2,Int_Sample[Ore],Int_Sample[Inc])) = 0, "YES", "NO"),"")</f>
        <v/>
      </c>
      <c r="I188" s="32" t="str">
        <f>TEXT(HLG_03[[#This Row],[Batch]],"000")&amp; " / " &amp; TEXT(HLG_03[[#This Row],[Rit]],"000")</f>
        <v>N/A / 000</v>
      </c>
      <c r="J188" s="34"/>
      <c r="K188" s="38"/>
      <c r="L188" s="35"/>
      <c r="M188" s="66"/>
      <c r="N188" s="66"/>
      <c r="O188" s="66"/>
      <c r="P188" s="66"/>
      <c r="Q188" s="66"/>
      <c r="R188" s="67"/>
      <c r="S188" s="67"/>
      <c r="T188" s="67"/>
      <c r="U188" s="66"/>
      <c r="V188" s="66"/>
      <c r="W188" s="66"/>
      <c r="X188" s="85"/>
      <c r="AP188" t="str">
        <v/>
      </c>
    </row>
    <row r="189" spans="4:42" ht="15.75" x14ac:dyDescent="0.25">
      <c r="D189" s="3">
        <v>1</v>
      </c>
      <c r="F189" s="16" t="str" cm="1">
        <f t="array" ref="F1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9" s="31" cm="1">
        <f t="array" ref="G1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9" s="33" t="str">
        <f>_xlfn.IFNA(IF(MOD(HLG_03[[#This Row],[Rit]],
    _xlfn.XLOOKUP($G$2,Int_Sample[Ore],Int_Sample[Inc])) = 0, "YES", "NO"),"")</f>
        <v/>
      </c>
      <c r="I189" s="32" t="str">
        <f>TEXT(HLG_03[[#This Row],[Batch]],"000")&amp; " / " &amp; TEXT(HLG_03[[#This Row],[Rit]],"000")</f>
        <v>N/A / 000</v>
      </c>
      <c r="J189" s="34"/>
      <c r="K189" s="38"/>
      <c r="L189" s="35"/>
      <c r="M189" s="66"/>
      <c r="N189" s="66"/>
      <c r="O189" s="66"/>
      <c r="P189" s="66"/>
      <c r="Q189" s="66"/>
      <c r="R189" s="67"/>
      <c r="S189" s="67"/>
      <c r="T189" s="67"/>
      <c r="U189" s="66"/>
      <c r="V189" s="66"/>
      <c r="W189" s="66"/>
      <c r="X189" s="85"/>
      <c r="AP189" t="str">
        <v/>
      </c>
    </row>
    <row r="190" spans="4:42" ht="15.75" x14ac:dyDescent="0.25">
      <c r="D190" s="3">
        <v>1</v>
      </c>
      <c r="F190" s="16" t="str" cm="1">
        <f t="array" ref="F1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0" s="31" cm="1">
        <f t="array" ref="G1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0" s="33" t="str">
        <f>_xlfn.IFNA(IF(MOD(HLG_03[[#This Row],[Rit]],
    _xlfn.XLOOKUP($G$2,Int_Sample[Ore],Int_Sample[Inc])) = 0, "YES", "NO"),"")</f>
        <v/>
      </c>
      <c r="I190" s="32" t="str">
        <f>TEXT(HLG_03[[#This Row],[Batch]],"000")&amp; " / " &amp; TEXT(HLG_03[[#This Row],[Rit]],"000")</f>
        <v>N/A / 000</v>
      </c>
      <c r="J190" s="34"/>
      <c r="K190" s="38"/>
      <c r="L190" s="35"/>
      <c r="M190" s="66"/>
      <c r="N190" s="66"/>
      <c r="O190" s="66"/>
      <c r="P190" s="66"/>
      <c r="Q190" s="66"/>
      <c r="R190" s="67"/>
      <c r="S190" s="67"/>
      <c r="T190" s="67"/>
      <c r="U190" s="66"/>
      <c r="V190" s="66"/>
      <c r="W190" s="66"/>
      <c r="X190" s="85"/>
      <c r="AP190" t="str">
        <v/>
      </c>
    </row>
    <row r="191" spans="4:42" ht="15.75" x14ac:dyDescent="0.25">
      <c r="D191" s="3">
        <v>1</v>
      </c>
      <c r="F191" s="16" t="str" cm="1">
        <f t="array" ref="F1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1" s="31" cm="1">
        <f t="array" ref="G1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1" s="33" t="str">
        <f>_xlfn.IFNA(IF(MOD(HLG_03[[#This Row],[Rit]],
    _xlfn.XLOOKUP($G$2,Int_Sample[Ore],Int_Sample[Inc])) = 0, "YES", "NO"),"")</f>
        <v/>
      </c>
      <c r="I191" s="32" t="str">
        <f>TEXT(HLG_03[[#This Row],[Batch]],"000")&amp; " / " &amp; TEXT(HLG_03[[#This Row],[Rit]],"000")</f>
        <v>N/A / 000</v>
      </c>
      <c r="J191" s="34"/>
      <c r="K191" s="38"/>
      <c r="L191" s="35"/>
      <c r="M191" s="66"/>
      <c r="N191" s="66"/>
      <c r="O191" s="66"/>
      <c r="P191" s="66"/>
      <c r="Q191" s="66"/>
      <c r="R191" s="67"/>
      <c r="S191" s="67"/>
      <c r="T191" s="67"/>
      <c r="U191" s="66"/>
      <c r="V191" s="66"/>
      <c r="W191" s="66"/>
      <c r="X191" s="85"/>
      <c r="AP191" t="str">
        <v/>
      </c>
    </row>
    <row r="192" spans="4:42" ht="15.75" x14ac:dyDescent="0.25">
      <c r="D192" s="3">
        <v>1</v>
      </c>
      <c r="F192" s="16" t="str" cm="1">
        <f t="array" ref="F1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2" s="31" cm="1">
        <f t="array" ref="G1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2" s="33" t="str">
        <f>_xlfn.IFNA(IF(MOD(HLG_03[[#This Row],[Rit]],
    _xlfn.XLOOKUP($G$2,Int_Sample[Ore],Int_Sample[Inc])) = 0, "YES", "NO"),"")</f>
        <v/>
      </c>
      <c r="I192" s="32" t="str">
        <f>TEXT(HLG_03[[#This Row],[Batch]],"000")&amp; " / " &amp; TEXT(HLG_03[[#This Row],[Rit]],"000")</f>
        <v>N/A / 000</v>
      </c>
      <c r="J192" s="34"/>
      <c r="K192" s="38"/>
      <c r="L192" s="35"/>
      <c r="M192" s="66"/>
      <c r="N192" s="66"/>
      <c r="O192" s="66"/>
      <c r="P192" s="66"/>
      <c r="Q192" s="66"/>
      <c r="R192" s="67"/>
      <c r="S192" s="67"/>
      <c r="T192" s="67"/>
      <c r="U192" s="66"/>
      <c r="V192" s="66"/>
      <c r="W192" s="66"/>
      <c r="X192" s="85"/>
      <c r="AP192" t="str">
        <v/>
      </c>
    </row>
    <row r="193" spans="4:42" ht="15.75" x14ac:dyDescent="0.25">
      <c r="D193" s="3">
        <v>1</v>
      </c>
      <c r="F193" s="16" t="str" cm="1">
        <f t="array" ref="F1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3" s="31" cm="1">
        <f t="array" ref="G1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3" s="33" t="str">
        <f>_xlfn.IFNA(IF(MOD(HLG_03[[#This Row],[Rit]],
    _xlfn.XLOOKUP($G$2,Int_Sample[Ore],Int_Sample[Inc])) = 0, "YES", "NO"),"")</f>
        <v/>
      </c>
      <c r="I193" s="32" t="str">
        <f>TEXT(HLG_03[[#This Row],[Batch]],"000")&amp; " / " &amp; TEXT(HLG_03[[#This Row],[Rit]],"000")</f>
        <v>N/A / 000</v>
      </c>
      <c r="J193" s="34"/>
      <c r="K193" s="38"/>
      <c r="L193" s="35"/>
      <c r="M193" s="66"/>
      <c r="N193" s="66"/>
      <c r="O193" s="66"/>
      <c r="P193" s="66"/>
      <c r="Q193" s="66"/>
      <c r="R193" s="67"/>
      <c r="S193" s="67"/>
      <c r="T193" s="67"/>
      <c r="U193" s="66"/>
      <c r="V193" s="66"/>
      <c r="W193" s="66"/>
      <c r="X193" s="85"/>
      <c r="AP193" t="str">
        <v/>
      </c>
    </row>
    <row r="194" spans="4:42" ht="15.75" x14ac:dyDescent="0.25">
      <c r="D194" s="3">
        <v>1</v>
      </c>
      <c r="F194" s="16" t="str" cm="1">
        <f t="array" ref="F1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4" s="31" cm="1">
        <f t="array" ref="G1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4" s="33" t="str">
        <f>_xlfn.IFNA(IF(MOD(HLG_03[[#This Row],[Rit]],
    _xlfn.XLOOKUP($G$2,Int_Sample[Ore],Int_Sample[Inc])) = 0, "YES", "NO"),"")</f>
        <v/>
      </c>
      <c r="I194" s="32" t="str">
        <f>TEXT(HLG_03[[#This Row],[Batch]],"000")&amp; " / " &amp; TEXT(HLG_03[[#This Row],[Rit]],"000")</f>
        <v>N/A / 000</v>
      </c>
      <c r="J194" s="34"/>
      <c r="K194" s="38"/>
      <c r="L194" s="35"/>
      <c r="M194" s="66"/>
      <c r="N194" s="66"/>
      <c r="O194" s="66"/>
      <c r="P194" s="66"/>
      <c r="Q194" s="66"/>
      <c r="R194" s="67"/>
      <c r="S194" s="67"/>
      <c r="T194" s="67"/>
      <c r="U194" s="66"/>
      <c r="V194" s="66"/>
      <c r="W194" s="66"/>
      <c r="X194" s="85"/>
      <c r="AP194" t="str">
        <v/>
      </c>
    </row>
    <row r="195" spans="4:42" ht="15.75" x14ac:dyDescent="0.25">
      <c r="D195" s="3">
        <v>1</v>
      </c>
      <c r="F195" s="16" t="str" cm="1">
        <f t="array" ref="F1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5" s="31" cm="1">
        <f t="array" ref="G1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5" s="33" t="str">
        <f>_xlfn.IFNA(IF(MOD(HLG_03[[#This Row],[Rit]],
    _xlfn.XLOOKUP($G$2,Int_Sample[Ore],Int_Sample[Inc])) = 0, "YES", "NO"),"")</f>
        <v/>
      </c>
      <c r="I195" s="32" t="str">
        <f>TEXT(HLG_03[[#This Row],[Batch]],"000")&amp; " / " &amp; TEXT(HLG_03[[#This Row],[Rit]],"000")</f>
        <v>N/A / 000</v>
      </c>
      <c r="J195" s="34"/>
      <c r="K195" s="38"/>
      <c r="L195" s="35"/>
      <c r="M195" s="66"/>
      <c r="N195" s="66"/>
      <c r="O195" s="66"/>
      <c r="P195" s="66"/>
      <c r="Q195" s="66"/>
      <c r="R195" s="67"/>
      <c r="S195" s="67"/>
      <c r="T195" s="67"/>
      <c r="U195" s="66"/>
      <c r="V195" s="66"/>
      <c r="W195" s="66"/>
      <c r="X195" s="85"/>
      <c r="AP195" t="str">
        <v/>
      </c>
    </row>
    <row r="196" spans="4:42" ht="15.75" x14ac:dyDescent="0.25">
      <c r="D196" s="3">
        <v>1</v>
      </c>
      <c r="F196" s="16" t="str" cm="1">
        <f t="array" ref="F1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6" s="31" cm="1">
        <f t="array" ref="G1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6" s="33" t="str">
        <f>_xlfn.IFNA(IF(MOD(HLG_03[[#This Row],[Rit]],
    _xlfn.XLOOKUP($G$2,Int_Sample[Ore],Int_Sample[Inc])) = 0, "YES", "NO"),"")</f>
        <v/>
      </c>
      <c r="I196" s="32" t="str">
        <f>TEXT(HLG_03[[#This Row],[Batch]],"000")&amp; " / " &amp; TEXT(HLG_03[[#This Row],[Rit]],"000")</f>
        <v>N/A / 000</v>
      </c>
      <c r="J196" s="34"/>
      <c r="K196" s="38"/>
      <c r="L196" s="35"/>
      <c r="M196" s="66"/>
      <c r="N196" s="66"/>
      <c r="O196" s="66"/>
      <c r="P196" s="66"/>
      <c r="Q196" s="66"/>
      <c r="R196" s="67"/>
      <c r="S196" s="67"/>
      <c r="T196" s="67"/>
      <c r="U196" s="66"/>
      <c r="V196" s="66"/>
      <c r="W196" s="66"/>
      <c r="X196" s="85"/>
      <c r="AP196" t="str">
        <v/>
      </c>
    </row>
    <row r="197" spans="4:42" ht="15.75" x14ac:dyDescent="0.25">
      <c r="D197" s="3">
        <v>1</v>
      </c>
      <c r="F197" s="16" t="str" cm="1">
        <f t="array" ref="F1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7" s="31" cm="1">
        <f t="array" ref="G1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7" s="33" t="str">
        <f>_xlfn.IFNA(IF(MOD(HLG_03[[#This Row],[Rit]],
    _xlfn.XLOOKUP($G$2,Int_Sample[Ore],Int_Sample[Inc])) = 0, "YES", "NO"),"")</f>
        <v/>
      </c>
      <c r="I197" s="32" t="str">
        <f>TEXT(HLG_03[[#This Row],[Batch]],"000")&amp; " / " &amp; TEXT(HLG_03[[#This Row],[Rit]],"000")</f>
        <v>N/A / 000</v>
      </c>
      <c r="J197" s="34"/>
      <c r="K197" s="38"/>
      <c r="L197" s="35"/>
      <c r="M197" s="66"/>
      <c r="N197" s="66"/>
      <c r="O197" s="66"/>
      <c r="P197" s="66"/>
      <c r="Q197" s="66"/>
      <c r="R197" s="67"/>
      <c r="S197" s="67"/>
      <c r="T197" s="67"/>
      <c r="U197" s="66"/>
      <c r="V197" s="66"/>
      <c r="W197" s="66"/>
      <c r="X197" s="85"/>
      <c r="AP197" t="str">
        <v/>
      </c>
    </row>
    <row r="198" spans="4:42" ht="15.75" x14ac:dyDescent="0.25">
      <c r="D198" s="3">
        <v>1</v>
      </c>
      <c r="F198" s="16" t="str" cm="1">
        <f t="array" ref="F1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8" s="31" cm="1">
        <f t="array" ref="G1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8" s="33" t="str">
        <f>_xlfn.IFNA(IF(MOD(HLG_03[[#This Row],[Rit]],
    _xlfn.XLOOKUP($G$2,Int_Sample[Ore],Int_Sample[Inc])) = 0, "YES", "NO"),"")</f>
        <v/>
      </c>
      <c r="I198" s="32" t="str">
        <f>TEXT(HLG_03[[#This Row],[Batch]],"000")&amp; " / " &amp; TEXT(HLG_03[[#This Row],[Rit]],"000")</f>
        <v>N/A / 000</v>
      </c>
      <c r="J198" s="34"/>
      <c r="K198" s="38"/>
      <c r="L198" s="35"/>
      <c r="M198" s="66"/>
      <c r="N198" s="66"/>
      <c r="O198" s="66"/>
      <c r="P198" s="66"/>
      <c r="Q198" s="66"/>
      <c r="R198" s="67"/>
      <c r="S198" s="67"/>
      <c r="T198" s="67"/>
      <c r="U198" s="66"/>
      <c r="V198" s="66"/>
      <c r="W198" s="66"/>
      <c r="X198" s="85"/>
      <c r="AP198" t="str">
        <v/>
      </c>
    </row>
    <row r="199" spans="4:42" ht="15.75" x14ac:dyDescent="0.25">
      <c r="D199" s="3">
        <v>1</v>
      </c>
      <c r="F199" s="16" t="str" cm="1">
        <f t="array" ref="F1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9" s="31" cm="1">
        <f t="array" ref="G1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9" s="33" t="str">
        <f>_xlfn.IFNA(IF(MOD(HLG_03[[#This Row],[Rit]],
    _xlfn.XLOOKUP($G$2,Int_Sample[Ore],Int_Sample[Inc])) = 0, "YES", "NO"),"")</f>
        <v/>
      </c>
      <c r="I199" s="32" t="str">
        <f>TEXT(HLG_03[[#This Row],[Batch]],"000")&amp; " / " &amp; TEXT(HLG_03[[#This Row],[Rit]],"000")</f>
        <v>N/A / 000</v>
      </c>
      <c r="J199" s="34"/>
      <c r="K199" s="38"/>
      <c r="L199" s="35"/>
      <c r="M199" s="66"/>
      <c r="N199" s="66"/>
      <c r="O199" s="66"/>
      <c r="P199" s="66"/>
      <c r="Q199" s="66"/>
      <c r="R199" s="67"/>
      <c r="S199" s="67"/>
      <c r="T199" s="67"/>
      <c r="U199" s="66"/>
      <c r="V199" s="66"/>
      <c r="W199" s="66"/>
      <c r="X199" s="85"/>
      <c r="AP199" t="str">
        <v/>
      </c>
    </row>
    <row r="200" spans="4:42" ht="15.75" x14ac:dyDescent="0.25">
      <c r="D200" s="3">
        <v>1</v>
      </c>
      <c r="F200" s="16" t="str" cm="1">
        <f t="array" ref="F2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0" s="31" cm="1">
        <f t="array" ref="G2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0" s="33" t="str">
        <f>_xlfn.IFNA(IF(MOD(HLG_03[[#This Row],[Rit]],
    _xlfn.XLOOKUP($G$2,Int_Sample[Ore],Int_Sample[Inc])) = 0, "YES", "NO"),"")</f>
        <v/>
      </c>
      <c r="I200" s="32" t="str">
        <f>TEXT(HLG_03[[#This Row],[Batch]],"000")&amp; " / " &amp; TEXT(HLG_03[[#This Row],[Rit]],"000")</f>
        <v>N/A / 000</v>
      </c>
      <c r="J200" s="34"/>
      <c r="K200" s="38"/>
      <c r="L200" s="35"/>
      <c r="M200" s="66"/>
      <c r="N200" s="66"/>
      <c r="O200" s="66"/>
      <c r="P200" s="66"/>
      <c r="Q200" s="66"/>
      <c r="R200" s="67"/>
      <c r="S200" s="67"/>
      <c r="T200" s="67"/>
      <c r="U200" s="66"/>
      <c r="V200" s="66"/>
      <c r="W200" s="66"/>
      <c r="X200" s="85"/>
      <c r="AP200" t="str">
        <v/>
      </c>
    </row>
    <row r="201" spans="4:42" ht="15.75" x14ac:dyDescent="0.25">
      <c r="D201" s="3">
        <v>1</v>
      </c>
      <c r="F201" s="16" t="str" cm="1">
        <f t="array" ref="F2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1" s="31" cm="1">
        <f t="array" ref="G2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1" s="33" t="str">
        <f>_xlfn.IFNA(IF(MOD(HLG_03[[#This Row],[Rit]],
    _xlfn.XLOOKUP($G$2,Int_Sample[Ore],Int_Sample[Inc])) = 0, "YES", "NO"),"")</f>
        <v/>
      </c>
      <c r="I201" s="32" t="str">
        <f>TEXT(HLG_03[[#This Row],[Batch]],"000")&amp; " / " &amp; TEXT(HLG_03[[#This Row],[Rit]],"000")</f>
        <v>N/A / 000</v>
      </c>
      <c r="J201" s="34"/>
      <c r="K201" s="38"/>
      <c r="L201" s="35"/>
      <c r="M201" s="66"/>
      <c r="N201" s="66"/>
      <c r="O201" s="66"/>
      <c r="P201" s="66"/>
      <c r="Q201" s="66"/>
      <c r="R201" s="67"/>
      <c r="S201" s="67"/>
      <c r="T201" s="67"/>
      <c r="U201" s="66"/>
      <c r="V201" s="66"/>
      <c r="W201" s="66"/>
      <c r="X201" s="85"/>
      <c r="AP201" t="str">
        <v/>
      </c>
    </row>
    <row r="202" spans="4:42" ht="15.75" x14ac:dyDescent="0.25">
      <c r="D202" s="3">
        <v>1</v>
      </c>
      <c r="F202" s="16" t="str" cm="1">
        <f t="array" ref="F2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2" s="31" cm="1">
        <f t="array" ref="G2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2" s="33" t="str">
        <f>_xlfn.IFNA(IF(MOD(HLG_03[[#This Row],[Rit]],
    _xlfn.XLOOKUP($G$2,Int_Sample[Ore],Int_Sample[Inc])) = 0, "YES", "NO"),"")</f>
        <v/>
      </c>
      <c r="I202" s="32" t="str">
        <f>TEXT(HLG_03[[#This Row],[Batch]],"000")&amp; " / " &amp; TEXT(HLG_03[[#This Row],[Rit]],"000")</f>
        <v>N/A / 000</v>
      </c>
      <c r="J202" s="34"/>
      <c r="K202" s="38"/>
      <c r="L202" s="35"/>
      <c r="M202" s="66"/>
      <c r="N202" s="66"/>
      <c r="O202" s="66"/>
      <c r="P202" s="66"/>
      <c r="Q202" s="66"/>
      <c r="R202" s="67"/>
      <c r="S202" s="67"/>
      <c r="T202" s="67"/>
      <c r="U202" s="66"/>
      <c r="V202" s="66"/>
      <c r="W202" s="66"/>
      <c r="X202" s="85"/>
      <c r="AP202" t="str">
        <v/>
      </c>
    </row>
    <row r="203" spans="4:42" ht="15.75" x14ac:dyDescent="0.25">
      <c r="D203" s="3">
        <v>1</v>
      </c>
      <c r="F203" s="16" t="str" cm="1">
        <f t="array" ref="F2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3" s="31" cm="1">
        <f t="array" ref="G2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3" s="33" t="str">
        <f>_xlfn.IFNA(IF(MOD(HLG_03[[#This Row],[Rit]],
    _xlfn.XLOOKUP($G$2,Int_Sample[Ore],Int_Sample[Inc])) = 0, "YES", "NO"),"")</f>
        <v/>
      </c>
      <c r="I203" s="32" t="str">
        <f>TEXT(HLG_03[[#This Row],[Batch]],"000")&amp; " / " &amp; TEXT(HLG_03[[#This Row],[Rit]],"000")</f>
        <v>N/A / 000</v>
      </c>
      <c r="J203" s="34"/>
      <c r="K203" s="38"/>
      <c r="L203" s="35"/>
      <c r="M203" s="66"/>
      <c r="N203" s="66"/>
      <c r="O203" s="66"/>
      <c r="P203" s="66"/>
      <c r="Q203" s="66"/>
      <c r="R203" s="67"/>
      <c r="S203" s="67"/>
      <c r="T203" s="67"/>
      <c r="U203" s="66"/>
      <c r="V203" s="66"/>
      <c r="W203" s="66"/>
      <c r="X203" s="85"/>
      <c r="AP203" t="str">
        <v/>
      </c>
    </row>
    <row r="204" spans="4:42" ht="15.75" x14ac:dyDescent="0.25">
      <c r="D204" s="3">
        <v>1</v>
      </c>
      <c r="F204" s="16" t="str" cm="1">
        <f t="array" ref="F2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4" s="31" cm="1">
        <f t="array" ref="G2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4" s="33" t="str">
        <f>_xlfn.IFNA(IF(MOD(HLG_03[[#This Row],[Rit]],
    _xlfn.XLOOKUP($G$2,Int_Sample[Ore],Int_Sample[Inc])) = 0, "YES", "NO"),"")</f>
        <v/>
      </c>
      <c r="I204" s="32" t="str">
        <f>TEXT(HLG_03[[#This Row],[Batch]],"000")&amp; " / " &amp; TEXT(HLG_03[[#This Row],[Rit]],"000")</f>
        <v>N/A / 000</v>
      </c>
      <c r="J204" s="34"/>
      <c r="K204" s="38"/>
      <c r="L204" s="35"/>
      <c r="M204" s="66"/>
      <c r="N204" s="66"/>
      <c r="O204" s="66"/>
      <c r="P204" s="66"/>
      <c r="Q204" s="66"/>
      <c r="R204" s="67"/>
      <c r="S204" s="67"/>
      <c r="T204" s="67"/>
      <c r="U204" s="66"/>
      <c r="V204" s="66"/>
      <c r="W204" s="66"/>
      <c r="X204" s="85"/>
      <c r="AP204" t="str">
        <v/>
      </c>
    </row>
    <row r="205" spans="4:42" ht="15.75" x14ac:dyDescent="0.25">
      <c r="D205" s="3">
        <v>1</v>
      </c>
      <c r="F205" s="16" t="str" cm="1">
        <f t="array" ref="F2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5" s="31" cm="1">
        <f t="array" ref="G2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5" s="33" t="str">
        <f>_xlfn.IFNA(IF(MOD(HLG_03[[#This Row],[Rit]],
    _xlfn.XLOOKUP($G$2,Int_Sample[Ore],Int_Sample[Inc])) = 0, "YES", "NO"),"")</f>
        <v/>
      </c>
      <c r="I205" s="32" t="str">
        <f>TEXT(HLG_03[[#This Row],[Batch]],"000")&amp; " / " &amp; TEXT(HLG_03[[#This Row],[Rit]],"000")</f>
        <v>N/A / 000</v>
      </c>
      <c r="J205" s="34"/>
      <c r="K205" s="38"/>
      <c r="L205" s="35"/>
      <c r="M205" s="66"/>
      <c r="N205" s="66"/>
      <c r="O205" s="66"/>
      <c r="P205" s="66"/>
      <c r="Q205" s="66"/>
      <c r="R205" s="67"/>
      <c r="S205" s="67"/>
      <c r="T205" s="67"/>
      <c r="U205" s="66"/>
      <c r="V205" s="66"/>
      <c r="W205" s="66"/>
      <c r="X205" s="85"/>
      <c r="AP205" t="str">
        <v/>
      </c>
    </row>
    <row r="206" spans="4:42" ht="15.75" x14ac:dyDescent="0.25">
      <c r="D206" s="3">
        <v>1</v>
      </c>
      <c r="F206" s="16" t="str" cm="1">
        <f t="array" ref="F2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6" s="31" cm="1">
        <f t="array" ref="G2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6" s="33" t="str">
        <f>_xlfn.IFNA(IF(MOD(HLG_03[[#This Row],[Rit]],
    _xlfn.XLOOKUP($G$2,Int_Sample[Ore],Int_Sample[Inc])) = 0, "YES", "NO"),"")</f>
        <v/>
      </c>
      <c r="I206" s="32" t="str">
        <f>TEXT(HLG_03[[#This Row],[Batch]],"000")&amp; " / " &amp; TEXT(HLG_03[[#This Row],[Rit]],"000")</f>
        <v>N/A / 000</v>
      </c>
      <c r="J206" s="34"/>
      <c r="K206" s="38"/>
      <c r="L206" s="35"/>
      <c r="M206" s="66"/>
      <c r="N206" s="66"/>
      <c r="O206" s="66"/>
      <c r="P206" s="66"/>
      <c r="Q206" s="66"/>
      <c r="R206" s="67"/>
      <c r="S206" s="67"/>
      <c r="T206" s="67"/>
      <c r="U206" s="66"/>
      <c r="V206" s="66"/>
      <c r="W206" s="66"/>
      <c r="X206" s="85"/>
      <c r="AP206" t="str">
        <v/>
      </c>
    </row>
    <row r="207" spans="4:42" ht="15.75" x14ac:dyDescent="0.25">
      <c r="D207" s="3">
        <v>1</v>
      </c>
      <c r="F207" s="16" t="str" cm="1">
        <f t="array" ref="F2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7" s="31" cm="1">
        <f t="array" ref="G2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7" s="33" t="str">
        <f>_xlfn.IFNA(IF(MOD(HLG_03[[#This Row],[Rit]],
    _xlfn.XLOOKUP($G$2,Int_Sample[Ore],Int_Sample[Inc])) = 0, "YES", "NO"),"")</f>
        <v/>
      </c>
      <c r="I207" s="32" t="str">
        <f>TEXT(HLG_03[[#This Row],[Batch]],"000")&amp; " / " &amp; TEXT(HLG_03[[#This Row],[Rit]],"000")</f>
        <v>N/A / 000</v>
      </c>
      <c r="J207" s="34"/>
      <c r="K207" s="38"/>
      <c r="L207" s="35"/>
      <c r="M207" s="66"/>
      <c r="N207" s="66"/>
      <c r="O207" s="66"/>
      <c r="P207" s="66"/>
      <c r="Q207" s="66"/>
      <c r="R207" s="67"/>
      <c r="S207" s="67"/>
      <c r="T207" s="67"/>
      <c r="U207" s="66"/>
      <c r="V207" s="66"/>
      <c r="W207" s="66"/>
      <c r="X207" s="85"/>
      <c r="AP207" t="str">
        <v/>
      </c>
    </row>
    <row r="208" spans="4:42" ht="15.75" x14ac:dyDescent="0.25">
      <c r="D208" s="3">
        <v>1</v>
      </c>
      <c r="F208" s="16" t="str" cm="1">
        <f t="array" ref="F2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8" s="31" cm="1">
        <f t="array" ref="G2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8" s="33" t="str">
        <f>_xlfn.IFNA(IF(MOD(HLG_03[[#This Row],[Rit]],
    _xlfn.XLOOKUP($G$2,Int_Sample[Ore],Int_Sample[Inc])) = 0, "YES", "NO"),"")</f>
        <v/>
      </c>
      <c r="I208" s="32" t="str">
        <f>TEXT(HLG_03[[#This Row],[Batch]],"000")&amp; " / " &amp; TEXT(HLG_03[[#This Row],[Rit]],"000")</f>
        <v>N/A / 000</v>
      </c>
      <c r="J208" s="34"/>
      <c r="K208" s="38"/>
      <c r="L208" s="35"/>
      <c r="M208" s="66"/>
      <c r="N208" s="66"/>
      <c r="O208" s="66"/>
      <c r="P208" s="66"/>
      <c r="Q208" s="66"/>
      <c r="R208" s="67"/>
      <c r="S208" s="67"/>
      <c r="T208" s="67"/>
      <c r="U208" s="66"/>
      <c r="V208" s="66"/>
      <c r="W208" s="66"/>
      <c r="X208" s="85"/>
      <c r="AP208" t="str">
        <v/>
      </c>
    </row>
    <row r="209" spans="4:42" ht="15.75" x14ac:dyDescent="0.25">
      <c r="D209" s="3">
        <v>1</v>
      </c>
      <c r="F209" s="16" t="str" cm="1">
        <f t="array" ref="F2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9" s="31" cm="1">
        <f t="array" ref="G2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9" s="33" t="str">
        <f>_xlfn.IFNA(IF(MOD(HLG_03[[#This Row],[Rit]],
    _xlfn.XLOOKUP($G$2,Int_Sample[Ore],Int_Sample[Inc])) = 0, "YES", "NO"),"")</f>
        <v/>
      </c>
      <c r="I209" s="32" t="str">
        <f>TEXT(HLG_03[[#This Row],[Batch]],"000")&amp; " / " &amp; TEXT(HLG_03[[#This Row],[Rit]],"000")</f>
        <v>N/A / 000</v>
      </c>
      <c r="J209" s="34"/>
      <c r="K209" s="38"/>
      <c r="L209" s="35"/>
      <c r="M209" s="66"/>
      <c r="N209" s="66"/>
      <c r="O209" s="66"/>
      <c r="P209" s="66"/>
      <c r="Q209" s="66"/>
      <c r="R209" s="67"/>
      <c r="S209" s="67"/>
      <c r="T209" s="67"/>
      <c r="U209" s="66"/>
      <c r="V209" s="66"/>
      <c r="W209" s="66"/>
      <c r="X209" s="85"/>
      <c r="AP209" t="str">
        <v/>
      </c>
    </row>
    <row r="210" spans="4:42" ht="15.75" x14ac:dyDescent="0.25">
      <c r="D210" s="3">
        <v>1</v>
      </c>
      <c r="F210" s="16" t="str" cm="1">
        <f t="array" ref="F2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0" s="31" cm="1">
        <f t="array" ref="G2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0" s="33" t="str">
        <f>_xlfn.IFNA(IF(MOD(HLG_03[[#This Row],[Rit]],
    _xlfn.XLOOKUP($G$2,Int_Sample[Ore],Int_Sample[Inc])) = 0, "YES", "NO"),"")</f>
        <v/>
      </c>
      <c r="I210" s="32" t="str">
        <f>TEXT(HLG_03[[#This Row],[Batch]],"000")&amp; " / " &amp; TEXT(HLG_03[[#This Row],[Rit]],"000")</f>
        <v>N/A / 000</v>
      </c>
      <c r="J210" s="34"/>
      <c r="K210" s="38"/>
      <c r="L210" s="35"/>
      <c r="M210" s="66"/>
      <c r="N210" s="66"/>
      <c r="O210" s="66"/>
      <c r="P210" s="66"/>
      <c r="Q210" s="66"/>
      <c r="R210" s="67"/>
      <c r="S210" s="67"/>
      <c r="T210" s="67"/>
      <c r="U210" s="66"/>
      <c r="V210" s="66"/>
      <c r="W210" s="66"/>
      <c r="X210" s="85"/>
      <c r="AP210" t="str">
        <v/>
      </c>
    </row>
    <row r="211" spans="4:42" ht="15.75" x14ac:dyDescent="0.25">
      <c r="D211" s="3">
        <v>1</v>
      </c>
      <c r="F211" s="16" t="str" cm="1">
        <f t="array" ref="F2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1" s="31" cm="1">
        <f t="array" ref="G2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1" s="33" t="str">
        <f>_xlfn.IFNA(IF(MOD(HLG_03[[#This Row],[Rit]],
    _xlfn.XLOOKUP($G$2,Int_Sample[Ore],Int_Sample[Inc])) = 0, "YES", "NO"),"")</f>
        <v/>
      </c>
      <c r="I211" s="32" t="str">
        <f>TEXT(HLG_03[[#This Row],[Batch]],"000")&amp; " / " &amp; TEXT(HLG_03[[#This Row],[Rit]],"000")</f>
        <v>N/A / 000</v>
      </c>
      <c r="J211" s="34"/>
      <c r="K211" s="38"/>
      <c r="L211" s="35"/>
      <c r="M211" s="66"/>
      <c r="N211" s="66"/>
      <c r="O211" s="66"/>
      <c r="P211" s="66"/>
      <c r="Q211" s="66"/>
      <c r="R211" s="67"/>
      <c r="S211" s="67"/>
      <c r="T211" s="67"/>
      <c r="U211" s="66"/>
      <c r="V211" s="66"/>
      <c r="W211" s="66"/>
      <c r="X211" s="85"/>
      <c r="AP211" t="str">
        <v/>
      </c>
    </row>
    <row r="212" spans="4:42" ht="15.75" x14ac:dyDescent="0.25">
      <c r="D212" s="3">
        <v>1</v>
      </c>
      <c r="F212" s="16" t="str" cm="1">
        <f t="array" ref="F2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2" s="31" cm="1">
        <f t="array" ref="G2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2" s="33" t="str">
        <f>_xlfn.IFNA(IF(MOD(HLG_03[[#This Row],[Rit]],
    _xlfn.XLOOKUP($G$2,Int_Sample[Ore],Int_Sample[Inc])) = 0, "YES", "NO"),"")</f>
        <v/>
      </c>
      <c r="I212" s="32" t="str">
        <f>TEXT(HLG_03[[#This Row],[Batch]],"000")&amp; " / " &amp; TEXT(HLG_03[[#This Row],[Rit]],"000")</f>
        <v>N/A / 000</v>
      </c>
      <c r="J212" s="34"/>
      <c r="K212" s="38"/>
      <c r="L212" s="35"/>
      <c r="M212" s="66"/>
      <c r="N212" s="66"/>
      <c r="O212" s="66"/>
      <c r="P212" s="66"/>
      <c r="Q212" s="66"/>
      <c r="R212" s="67"/>
      <c r="S212" s="67"/>
      <c r="T212" s="67"/>
      <c r="U212" s="66"/>
      <c r="V212" s="66"/>
      <c r="W212" s="66"/>
      <c r="X212" s="85"/>
      <c r="AP212" t="str">
        <v/>
      </c>
    </row>
    <row r="213" spans="4:42" ht="15.75" x14ac:dyDescent="0.25">
      <c r="D213" s="3">
        <v>1</v>
      </c>
      <c r="F213" s="16" t="str" cm="1">
        <f t="array" ref="F2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3" s="31" cm="1">
        <f t="array" ref="G2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3" s="33" t="str">
        <f>_xlfn.IFNA(IF(MOD(HLG_03[[#This Row],[Rit]],
    _xlfn.XLOOKUP($G$2,Int_Sample[Ore],Int_Sample[Inc])) = 0, "YES", "NO"),"")</f>
        <v/>
      </c>
      <c r="I213" s="32" t="str">
        <f>TEXT(HLG_03[[#This Row],[Batch]],"000")&amp; " / " &amp; TEXT(HLG_03[[#This Row],[Rit]],"000")</f>
        <v>N/A / 000</v>
      </c>
      <c r="J213" s="34"/>
      <c r="K213" s="38"/>
      <c r="L213" s="35"/>
      <c r="M213" s="66"/>
      <c r="N213" s="66"/>
      <c r="O213" s="66"/>
      <c r="P213" s="66"/>
      <c r="Q213" s="66"/>
      <c r="R213" s="67"/>
      <c r="S213" s="67"/>
      <c r="T213" s="67"/>
      <c r="U213" s="66"/>
      <c r="V213" s="66"/>
      <c r="W213" s="66"/>
      <c r="X213" s="85"/>
      <c r="AP213" t="str">
        <v/>
      </c>
    </row>
    <row r="214" spans="4:42" ht="15.75" x14ac:dyDescent="0.25">
      <c r="D214" s="3">
        <v>1</v>
      </c>
      <c r="F214" s="16" t="str" cm="1">
        <f t="array" ref="F2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4" s="31" cm="1">
        <f t="array" ref="G2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4" s="33" t="str">
        <f>_xlfn.IFNA(IF(MOD(HLG_03[[#This Row],[Rit]],
    _xlfn.XLOOKUP($G$2,Int_Sample[Ore],Int_Sample[Inc])) = 0, "YES", "NO"),"")</f>
        <v/>
      </c>
      <c r="I214" s="32" t="str">
        <f>TEXT(HLG_03[[#This Row],[Batch]],"000")&amp; " / " &amp; TEXT(HLG_03[[#This Row],[Rit]],"000")</f>
        <v>N/A / 000</v>
      </c>
      <c r="J214" s="34"/>
      <c r="K214" s="38"/>
      <c r="L214" s="35"/>
      <c r="M214" s="66"/>
      <c r="N214" s="66"/>
      <c r="O214" s="66"/>
      <c r="P214" s="66"/>
      <c r="Q214" s="66"/>
      <c r="R214" s="67"/>
      <c r="S214" s="67"/>
      <c r="T214" s="67"/>
      <c r="U214" s="66"/>
      <c r="V214" s="66"/>
      <c r="W214" s="66"/>
      <c r="X214" s="85"/>
      <c r="AP214" t="str">
        <v/>
      </c>
    </row>
    <row r="215" spans="4:42" ht="15.75" x14ac:dyDescent="0.25">
      <c r="D215" s="3">
        <v>1</v>
      </c>
      <c r="F215" s="16" t="str" cm="1">
        <f t="array" ref="F2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5" s="31" cm="1">
        <f t="array" ref="G2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5" s="33" t="str">
        <f>_xlfn.IFNA(IF(MOD(HLG_03[[#This Row],[Rit]],
    _xlfn.XLOOKUP($G$2,Int_Sample[Ore],Int_Sample[Inc])) = 0, "YES", "NO"),"")</f>
        <v/>
      </c>
      <c r="I215" s="32" t="str">
        <f>TEXT(HLG_03[[#This Row],[Batch]],"000")&amp; " / " &amp; TEXT(HLG_03[[#This Row],[Rit]],"000")</f>
        <v>N/A / 000</v>
      </c>
      <c r="J215" s="34"/>
      <c r="K215" s="38"/>
      <c r="L215" s="35"/>
      <c r="M215" s="66"/>
      <c r="N215" s="66"/>
      <c r="O215" s="66"/>
      <c r="P215" s="66"/>
      <c r="Q215" s="66"/>
      <c r="R215" s="67"/>
      <c r="S215" s="67"/>
      <c r="T215" s="67"/>
      <c r="U215" s="66"/>
      <c r="V215" s="66"/>
      <c r="W215" s="66"/>
      <c r="X215" s="85"/>
      <c r="AP215" t="str">
        <v/>
      </c>
    </row>
    <row r="216" spans="4:42" ht="15.75" x14ac:dyDescent="0.25">
      <c r="D216" s="3">
        <v>1</v>
      </c>
      <c r="F216" s="16" t="str" cm="1">
        <f t="array" ref="F2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6" s="31" cm="1">
        <f t="array" ref="G2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6" s="33" t="str">
        <f>_xlfn.IFNA(IF(MOD(HLG_03[[#This Row],[Rit]],
    _xlfn.XLOOKUP($G$2,Int_Sample[Ore],Int_Sample[Inc])) = 0, "YES", "NO"),"")</f>
        <v/>
      </c>
      <c r="I216" s="32" t="str">
        <f>TEXT(HLG_03[[#This Row],[Batch]],"000")&amp; " / " &amp; TEXT(HLG_03[[#This Row],[Rit]],"000")</f>
        <v>N/A / 000</v>
      </c>
      <c r="J216" s="34"/>
      <c r="K216" s="38"/>
      <c r="L216" s="35"/>
      <c r="M216" s="66"/>
      <c r="N216" s="66"/>
      <c r="O216" s="66"/>
      <c r="P216" s="66"/>
      <c r="Q216" s="66"/>
      <c r="R216" s="67"/>
      <c r="S216" s="67"/>
      <c r="T216" s="67"/>
      <c r="U216" s="66"/>
      <c r="V216" s="66"/>
      <c r="W216" s="66"/>
      <c r="X216" s="85"/>
      <c r="AP216" t="str">
        <v/>
      </c>
    </row>
    <row r="217" spans="4:42" ht="15.75" x14ac:dyDescent="0.25">
      <c r="D217" s="3">
        <v>1</v>
      </c>
      <c r="F217" s="16" t="str" cm="1">
        <f t="array" ref="F2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7" s="31" cm="1">
        <f t="array" ref="G2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7" s="33" t="str">
        <f>_xlfn.IFNA(IF(MOD(HLG_03[[#This Row],[Rit]],
    _xlfn.XLOOKUP($G$2,Int_Sample[Ore],Int_Sample[Inc])) = 0, "YES", "NO"),"")</f>
        <v/>
      </c>
      <c r="I217" s="32" t="str">
        <f>TEXT(HLG_03[[#This Row],[Batch]],"000")&amp; " / " &amp; TEXT(HLG_03[[#This Row],[Rit]],"000")</f>
        <v>N/A / 000</v>
      </c>
      <c r="J217" s="34"/>
      <c r="K217" s="38"/>
      <c r="L217" s="35"/>
      <c r="M217" s="66"/>
      <c r="N217" s="66"/>
      <c r="O217" s="66"/>
      <c r="P217" s="66"/>
      <c r="Q217" s="66"/>
      <c r="R217" s="67"/>
      <c r="S217" s="67"/>
      <c r="T217" s="67"/>
      <c r="U217" s="66"/>
      <c r="V217" s="66"/>
      <c r="W217" s="66"/>
      <c r="X217" s="85"/>
      <c r="AP217" t="str">
        <v/>
      </c>
    </row>
    <row r="218" spans="4:42" ht="15.75" x14ac:dyDescent="0.25">
      <c r="D218" s="3">
        <v>1</v>
      </c>
      <c r="F218" s="16" t="str" cm="1">
        <f t="array" ref="F2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8" s="31" cm="1">
        <f t="array" ref="G2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8" s="33" t="str">
        <f>_xlfn.IFNA(IF(MOD(HLG_03[[#This Row],[Rit]],
    _xlfn.XLOOKUP($G$2,Int_Sample[Ore],Int_Sample[Inc])) = 0, "YES", "NO"),"")</f>
        <v/>
      </c>
      <c r="I218" s="32" t="str">
        <f>TEXT(HLG_03[[#This Row],[Batch]],"000")&amp; " / " &amp; TEXT(HLG_03[[#This Row],[Rit]],"000")</f>
        <v>N/A / 000</v>
      </c>
      <c r="J218" s="34"/>
      <c r="K218" s="38"/>
      <c r="L218" s="35"/>
      <c r="M218" s="66"/>
      <c r="N218" s="66"/>
      <c r="O218" s="66"/>
      <c r="P218" s="66"/>
      <c r="Q218" s="66"/>
      <c r="R218" s="67"/>
      <c r="S218" s="67"/>
      <c r="T218" s="67"/>
      <c r="U218" s="66"/>
      <c r="V218" s="66"/>
      <c r="W218" s="66"/>
      <c r="X218" s="85"/>
      <c r="AP218" t="str">
        <v/>
      </c>
    </row>
    <row r="219" spans="4:42" ht="15.75" x14ac:dyDescent="0.25">
      <c r="D219" s="3">
        <v>1</v>
      </c>
      <c r="F219" s="16" t="str" cm="1">
        <f t="array" ref="F2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9" s="31" cm="1">
        <f t="array" ref="G2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9" s="33" t="str">
        <f>_xlfn.IFNA(IF(MOD(HLG_03[[#This Row],[Rit]],
    _xlfn.XLOOKUP($G$2,Int_Sample[Ore],Int_Sample[Inc])) = 0, "YES", "NO"),"")</f>
        <v/>
      </c>
      <c r="I219" s="32" t="str">
        <f>TEXT(HLG_03[[#This Row],[Batch]],"000")&amp; " / " &amp; TEXT(HLG_03[[#This Row],[Rit]],"000")</f>
        <v>N/A / 000</v>
      </c>
      <c r="J219" s="34"/>
      <c r="K219" s="38"/>
      <c r="L219" s="35"/>
      <c r="M219" s="66"/>
      <c r="N219" s="66"/>
      <c r="O219" s="66"/>
      <c r="P219" s="66"/>
      <c r="Q219" s="66"/>
      <c r="R219" s="67"/>
      <c r="S219" s="67"/>
      <c r="T219" s="67"/>
      <c r="U219" s="66"/>
      <c r="V219" s="66"/>
      <c r="W219" s="66"/>
      <c r="X219" s="85"/>
      <c r="AP219" t="str">
        <v/>
      </c>
    </row>
    <row r="220" spans="4:42" ht="15.75" x14ac:dyDescent="0.25">
      <c r="D220" s="3">
        <v>1</v>
      </c>
      <c r="F220" s="16" t="str" cm="1">
        <f t="array" ref="F2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0" s="31" cm="1">
        <f t="array" ref="G2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0" s="33" t="str">
        <f>_xlfn.IFNA(IF(MOD(HLG_03[[#This Row],[Rit]],
    _xlfn.XLOOKUP($G$2,Int_Sample[Ore],Int_Sample[Inc])) = 0, "YES", "NO"),"")</f>
        <v/>
      </c>
      <c r="I220" s="32" t="str">
        <f>TEXT(HLG_03[[#This Row],[Batch]],"000")&amp; " / " &amp; TEXT(HLG_03[[#This Row],[Rit]],"000")</f>
        <v>N/A / 000</v>
      </c>
      <c r="J220" s="34"/>
      <c r="K220" s="38"/>
      <c r="L220" s="35"/>
      <c r="M220" s="66"/>
      <c r="N220" s="66"/>
      <c r="O220" s="66"/>
      <c r="P220" s="66"/>
      <c r="Q220" s="66"/>
      <c r="R220" s="67"/>
      <c r="S220" s="67"/>
      <c r="T220" s="67"/>
      <c r="U220" s="66"/>
      <c r="V220" s="66"/>
      <c r="W220" s="66"/>
      <c r="X220" s="85"/>
      <c r="AP220" t="str">
        <v/>
      </c>
    </row>
    <row r="221" spans="4:42" ht="15.75" x14ac:dyDescent="0.25">
      <c r="D221" s="3">
        <v>1</v>
      </c>
      <c r="F221" s="16" t="str" cm="1">
        <f t="array" ref="F2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1" s="31" cm="1">
        <f t="array" ref="G2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1" s="33" t="str">
        <f>_xlfn.IFNA(IF(MOD(HLG_03[[#This Row],[Rit]],
    _xlfn.XLOOKUP($G$2,Int_Sample[Ore],Int_Sample[Inc])) = 0, "YES", "NO"),"")</f>
        <v/>
      </c>
      <c r="I221" s="32" t="str">
        <f>TEXT(HLG_03[[#This Row],[Batch]],"000")&amp; " / " &amp; TEXT(HLG_03[[#This Row],[Rit]],"000")</f>
        <v>N/A / 000</v>
      </c>
      <c r="J221" s="34"/>
      <c r="K221" s="38"/>
      <c r="L221" s="35"/>
      <c r="M221" s="66"/>
      <c r="N221" s="66"/>
      <c r="O221" s="66"/>
      <c r="P221" s="66"/>
      <c r="Q221" s="66"/>
      <c r="R221" s="67"/>
      <c r="S221" s="67"/>
      <c r="T221" s="67"/>
      <c r="U221" s="66"/>
      <c r="V221" s="66"/>
      <c r="W221" s="66"/>
      <c r="X221" s="85"/>
      <c r="AP221" t="str">
        <v/>
      </c>
    </row>
    <row r="222" spans="4:42" ht="15.75" x14ac:dyDescent="0.25">
      <c r="D222" s="3">
        <v>1</v>
      </c>
      <c r="F222" s="16" t="str" cm="1">
        <f t="array" ref="F2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2" s="31" cm="1">
        <f t="array" ref="G2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2" s="33" t="str">
        <f>_xlfn.IFNA(IF(MOD(HLG_03[[#This Row],[Rit]],
    _xlfn.XLOOKUP($G$2,Int_Sample[Ore],Int_Sample[Inc])) = 0, "YES", "NO"),"")</f>
        <v/>
      </c>
      <c r="I222" s="32" t="str">
        <f>TEXT(HLG_03[[#This Row],[Batch]],"000")&amp; " / " &amp; TEXT(HLG_03[[#This Row],[Rit]],"000")</f>
        <v>N/A / 000</v>
      </c>
      <c r="J222" s="34"/>
      <c r="K222" s="38"/>
      <c r="L222" s="35"/>
      <c r="M222" s="66"/>
      <c r="N222" s="66"/>
      <c r="O222" s="66"/>
      <c r="P222" s="66"/>
      <c r="Q222" s="66"/>
      <c r="R222" s="67"/>
      <c r="S222" s="67"/>
      <c r="T222" s="67"/>
      <c r="U222" s="66"/>
      <c r="V222" s="66"/>
      <c r="W222" s="66"/>
      <c r="X222" s="85"/>
      <c r="AP222" t="str">
        <v/>
      </c>
    </row>
    <row r="223" spans="4:42" ht="15.75" x14ac:dyDescent="0.25">
      <c r="D223" s="3">
        <v>1</v>
      </c>
      <c r="F223" s="16" t="str" cm="1">
        <f t="array" ref="F2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3" s="31" cm="1">
        <f t="array" ref="G2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3" s="33" t="str">
        <f>_xlfn.IFNA(IF(MOD(HLG_03[[#This Row],[Rit]],
    _xlfn.XLOOKUP($G$2,Int_Sample[Ore],Int_Sample[Inc])) = 0, "YES", "NO"),"")</f>
        <v/>
      </c>
      <c r="I223" s="32" t="str">
        <f>TEXT(HLG_03[[#This Row],[Batch]],"000")&amp; " / " &amp; TEXT(HLG_03[[#This Row],[Rit]],"000")</f>
        <v>N/A / 000</v>
      </c>
      <c r="J223" s="34"/>
      <c r="K223" s="38"/>
      <c r="L223" s="35"/>
      <c r="M223" s="66"/>
      <c r="N223" s="66"/>
      <c r="O223" s="66"/>
      <c r="P223" s="66"/>
      <c r="Q223" s="66"/>
      <c r="R223" s="67"/>
      <c r="S223" s="67"/>
      <c r="T223" s="67"/>
      <c r="U223" s="66"/>
      <c r="V223" s="66"/>
      <c r="W223" s="66"/>
      <c r="X223" s="85"/>
      <c r="AP223" t="str">
        <v/>
      </c>
    </row>
    <row r="224" spans="4:42" ht="15.75" x14ac:dyDescent="0.25">
      <c r="D224" s="3">
        <v>1</v>
      </c>
      <c r="F224" s="16" t="str" cm="1">
        <f t="array" ref="F2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4" s="31" cm="1">
        <f t="array" ref="G2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4" s="33" t="str">
        <f>_xlfn.IFNA(IF(MOD(HLG_03[[#This Row],[Rit]],
    _xlfn.XLOOKUP($G$2,Int_Sample[Ore],Int_Sample[Inc])) = 0, "YES", "NO"),"")</f>
        <v/>
      </c>
      <c r="I224" s="32" t="str">
        <f>TEXT(HLG_03[[#This Row],[Batch]],"000")&amp; " / " &amp; TEXT(HLG_03[[#This Row],[Rit]],"000")</f>
        <v>N/A / 000</v>
      </c>
      <c r="J224" s="34"/>
      <c r="K224" s="38"/>
      <c r="L224" s="35"/>
      <c r="M224" s="66"/>
      <c r="N224" s="66"/>
      <c r="O224" s="66"/>
      <c r="P224" s="66"/>
      <c r="Q224" s="66"/>
      <c r="R224" s="67"/>
      <c r="S224" s="67"/>
      <c r="T224" s="67"/>
      <c r="U224" s="66"/>
      <c r="V224" s="66"/>
      <c r="W224" s="66"/>
      <c r="X224" s="85"/>
      <c r="AP224" t="str">
        <v/>
      </c>
    </row>
    <row r="225" spans="4:42" ht="15.75" x14ac:dyDescent="0.25">
      <c r="D225" s="3">
        <v>1</v>
      </c>
      <c r="F225" s="16" t="str" cm="1">
        <f t="array" ref="F2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5" s="31" cm="1">
        <f t="array" ref="G2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5" s="33" t="str">
        <f>_xlfn.IFNA(IF(MOD(HLG_03[[#This Row],[Rit]],
    _xlfn.XLOOKUP($G$2,Int_Sample[Ore],Int_Sample[Inc])) = 0, "YES", "NO"),"")</f>
        <v/>
      </c>
      <c r="I225" s="32" t="str">
        <f>TEXT(HLG_03[[#This Row],[Batch]],"000")&amp; " / " &amp; TEXT(HLG_03[[#This Row],[Rit]],"000")</f>
        <v>N/A / 000</v>
      </c>
      <c r="J225" s="34"/>
      <c r="K225" s="38"/>
      <c r="L225" s="35"/>
      <c r="M225" s="66"/>
      <c r="N225" s="66"/>
      <c r="O225" s="66"/>
      <c r="P225" s="66"/>
      <c r="Q225" s="66"/>
      <c r="R225" s="67"/>
      <c r="S225" s="67"/>
      <c r="T225" s="67"/>
      <c r="U225" s="66"/>
      <c r="V225" s="66"/>
      <c r="W225" s="66"/>
      <c r="X225" s="85"/>
      <c r="AP225" t="str">
        <v/>
      </c>
    </row>
    <row r="226" spans="4:42" ht="15.75" x14ac:dyDescent="0.25">
      <c r="D226" s="3">
        <v>1</v>
      </c>
      <c r="F226" s="16" t="str" cm="1">
        <f t="array" ref="F2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6" s="31" cm="1">
        <f t="array" ref="G2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6" s="33" t="str">
        <f>_xlfn.IFNA(IF(MOD(HLG_03[[#This Row],[Rit]],
    _xlfn.XLOOKUP($G$2,Int_Sample[Ore],Int_Sample[Inc])) = 0, "YES", "NO"),"")</f>
        <v/>
      </c>
      <c r="I226" s="32" t="str">
        <f>TEXT(HLG_03[[#This Row],[Batch]],"000")&amp; " / " &amp; TEXT(HLG_03[[#This Row],[Rit]],"000")</f>
        <v>N/A / 000</v>
      </c>
      <c r="J226" s="34"/>
      <c r="K226" s="38"/>
      <c r="L226" s="35"/>
      <c r="M226" s="66"/>
      <c r="N226" s="66"/>
      <c r="O226" s="66"/>
      <c r="P226" s="66"/>
      <c r="Q226" s="66"/>
      <c r="R226" s="67"/>
      <c r="S226" s="67"/>
      <c r="T226" s="67"/>
      <c r="U226" s="66"/>
      <c r="V226" s="66"/>
      <c r="W226" s="66"/>
      <c r="X226" s="85"/>
      <c r="AP226" t="str">
        <v/>
      </c>
    </row>
    <row r="227" spans="4:42" ht="15.75" x14ac:dyDescent="0.25">
      <c r="D227" s="3">
        <v>1</v>
      </c>
      <c r="F227" s="16" t="str" cm="1">
        <f t="array" ref="F2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7" s="31" cm="1">
        <f t="array" ref="G2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7" s="33" t="str">
        <f>_xlfn.IFNA(IF(MOD(HLG_03[[#This Row],[Rit]],
    _xlfn.XLOOKUP($G$2,Int_Sample[Ore],Int_Sample[Inc])) = 0, "YES", "NO"),"")</f>
        <v/>
      </c>
      <c r="I227" s="32" t="str">
        <f>TEXT(HLG_03[[#This Row],[Batch]],"000")&amp; " / " &amp; TEXT(HLG_03[[#This Row],[Rit]],"000")</f>
        <v>N/A / 000</v>
      </c>
      <c r="J227" s="34"/>
      <c r="K227" s="38"/>
      <c r="L227" s="35"/>
      <c r="M227" s="66"/>
      <c r="N227" s="66"/>
      <c r="O227" s="66"/>
      <c r="P227" s="66"/>
      <c r="Q227" s="66"/>
      <c r="R227" s="67"/>
      <c r="S227" s="67"/>
      <c r="T227" s="67"/>
      <c r="U227" s="66"/>
      <c r="V227" s="66"/>
      <c r="W227" s="66"/>
      <c r="X227" s="85"/>
      <c r="AP227" t="str">
        <v/>
      </c>
    </row>
    <row r="228" spans="4:42" ht="15.75" x14ac:dyDescent="0.25">
      <c r="D228" s="3">
        <v>1</v>
      </c>
      <c r="F228" s="16" t="str" cm="1">
        <f t="array" ref="F2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8" s="31" cm="1">
        <f t="array" ref="G2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8" s="33" t="str">
        <f>_xlfn.IFNA(IF(MOD(HLG_03[[#This Row],[Rit]],
    _xlfn.XLOOKUP($G$2,Int_Sample[Ore],Int_Sample[Inc])) = 0, "YES", "NO"),"")</f>
        <v/>
      </c>
      <c r="I228" s="32" t="str">
        <f>TEXT(HLG_03[[#This Row],[Batch]],"000")&amp; " / " &amp; TEXT(HLG_03[[#This Row],[Rit]],"000")</f>
        <v>N/A / 000</v>
      </c>
      <c r="J228" s="34"/>
      <c r="K228" s="38"/>
      <c r="L228" s="35"/>
      <c r="M228" s="66"/>
      <c r="N228" s="66"/>
      <c r="O228" s="66"/>
      <c r="P228" s="66"/>
      <c r="Q228" s="66"/>
      <c r="R228" s="67"/>
      <c r="S228" s="67"/>
      <c r="T228" s="67"/>
      <c r="U228" s="66"/>
      <c r="V228" s="66"/>
      <c r="W228" s="66"/>
      <c r="X228" s="85"/>
      <c r="AP228" t="str">
        <v/>
      </c>
    </row>
    <row r="229" spans="4:42" ht="15.75" x14ac:dyDescent="0.25">
      <c r="D229" s="3">
        <v>1</v>
      </c>
      <c r="F229" s="16" t="str" cm="1">
        <f t="array" ref="F2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9" s="31" cm="1">
        <f t="array" ref="G2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9" s="33" t="str">
        <f>_xlfn.IFNA(IF(MOD(HLG_03[[#This Row],[Rit]],
    _xlfn.XLOOKUP($G$2,Int_Sample[Ore],Int_Sample[Inc])) = 0, "YES", "NO"),"")</f>
        <v/>
      </c>
      <c r="I229" s="32" t="str">
        <f>TEXT(HLG_03[[#This Row],[Batch]],"000")&amp; " / " &amp; TEXT(HLG_03[[#This Row],[Rit]],"000")</f>
        <v>N/A / 000</v>
      </c>
      <c r="J229" s="34"/>
      <c r="K229" s="38"/>
      <c r="L229" s="35"/>
      <c r="M229" s="66"/>
      <c r="N229" s="66"/>
      <c r="O229" s="66"/>
      <c r="P229" s="66"/>
      <c r="Q229" s="66"/>
      <c r="R229" s="67"/>
      <c r="S229" s="67"/>
      <c r="T229" s="67"/>
      <c r="U229" s="66"/>
      <c r="V229" s="66"/>
      <c r="W229" s="66"/>
      <c r="X229" s="85"/>
      <c r="AP229" t="str">
        <v/>
      </c>
    </row>
    <row r="230" spans="4:42" ht="15.75" x14ac:dyDescent="0.25">
      <c r="D230" s="3">
        <v>1</v>
      </c>
      <c r="F230" s="16" t="str" cm="1">
        <f t="array" ref="F2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0" s="31" cm="1">
        <f t="array" ref="G2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0" s="33" t="str">
        <f>_xlfn.IFNA(IF(MOD(HLG_03[[#This Row],[Rit]],
    _xlfn.XLOOKUP($G$2,Int_Sample[Ore],Int_Sample[Inc])) = 0, "YES", "NO"),"")</f>
        <v/>
      </c>
      <c r="I230" s="32" t="str">
        <f>TEXT(HLG_03[[#This Row],[Batch]],"000")&amp; " / " &amp; TEXT(HLG_03[[#This Row],[Rit]],"000")</f>
        <v>N/A / 000</v>
      </c>
      <c r="J230" s="34"/>
      <c r="K230" s="38"/>
      <c r="L230" s="35"/>
      <c r="M230" s="66"/>
      <c r="N230" s="66"/>
      <c r="O230" s="66"/>
      <c r="P230" s="66"/>
      <c r="Q230" s="66"/>
      <c r="R230" s="67"/>
      <c r="S230" s="67"/>
      <c r="T230" s="67"/>
      <c r="U230" s="66"/>
      <c r="V230" s="66"/>
      <c r="W230" s="66"/>
      <c r="X230" s="85"/>
      <c r="AP230" t="str">
        <v/>
      </c>
    </row>
    <row r="231" spans="4:42" ht="15.75" x14ac:dyDescent="0.25">
      <c r="D231" s="3">
        <v>1</v>
      </c>
      <c r="F231" s="16" t="str" cm="1">
        <f t="array" ref="F2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1" s="31" cm="1">
        <f t="array" ref="G2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1" s="33" t="str">
        <f>_xlfn.IFNA(IF(MOD(HLG_03[[#This Row],[Rit]],
    _xlfn.XLOOKUP($G$2,Int_Sample[Ore],Int_Sample[Inc])) = 0, "YES", "NO"),"")</f>
        <v/>
      </c>
      <c r="I231" s="32" t="str">
        <f>TEXT(HLG_03[[#This Row],[Batch]],"000")&amp; " / " &amp; TEXT(HLG_03[[#This Row],[Rit]],"000")</f>
        <v>N/A / 000</v>
      </c>
      <c r="J231" s="34"/>
      <c r="K231" s="38"/>
      <c r="L231" s="35"/>
      <c r="M231" s="66"/>
      <c r="N231" s="66"/>
      <c r="O231" s="66"/>
      <c r="P231" s="66"/>
      <c r="Q231" s="66"/>
      <c r="R231" s="67"/>
      <c r="S231" s="67"/>
      <c r="T231" s="67"/>
      <c r="U231" s="66"/>
      <c r="V231" s="66"/>
      <c r="W231" s="66"/>
      <c r="X231" s="85"/>
      <c r="AP231" t="str">
        <v/>
      </c>
    </row>
    <row r="232" spans="4:42" ht="15.75" x14ac:dyDescent="0.25">
      <c r="D232" s="3">
        <v>1</v>
      </c>
      <c r="F232" s="16" t="str" cm="1">
        <f t="array" ref="F2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2" s="31" cm="1">
        <f t="array" ref="G2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2" s="33" t="str">
        <f>_xlfn.IFNA(IF(MOD(HLG_03[[#This Row],[Rit]],
    _xlfn.XLOOKUP($G$2,Int_Sample[Ore],Int_Sample[Inc])) = 0, "YES", "NO"),"")</f>
        <v/>
      </c>
      <c r="I232" s="32" t="str">
        <f>TEXT(HLG_03[[#This Row],[Batch]],"000")&amp; " / " &amp; TEXT(HLG_03[[#This Row],[Rit]],"000")</f>
        <v>N/A / 000</v>
      </c>
      <c r="J232" s="34"/>
      <c r="K232" s="38"/>
      <c r="L232" s="35"/>
      <c r="M232" s="66"/>
      <c r="N232" s="66"/>
      <c r="O232" s="66"/>
      <c r="P232" s="66"/>
      <c r="Q232" s="66"/>
      <c r="R232" s="67"/>
      <c r="S232" s="67"/>
      <c r="T232" s="67"/>
      <c r="U232" s="66"/>
      <c r="V232" s="66"/>
      <c r="W232" s="66"/>
      <c r="X232" s="85"/>
      <c r="AP232" t="str">
        <v/>
      </c>
    </row>
    <row r="233" spans="4:42" ht="15.75" x14ac:dyDescent="0.25">
      <c r="D233" s="3">
        <v>1</v>
      </c>
      <c r="F233" s="16" t="str" cm="1">
        <f t="array" ref="F2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3" s="31" cm="1">
        <f t="array" ref="G2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3" s="33" t="str">
        <f>_xlfn.IFNA(IF(MOD(HLG_03[[#This Row],[Rit]],
    _xlfn.XLOOKUP($G$2,Int_Sample[Ore],Int_Sample[Inc])) = 0, "YES", "NO"),"")</f>
        <v/>
      </c>
      <c r="I233" s="32" t="str">
        <f>TEXT(HLG_03[[#This Row],[Batch]],"000")&amp; " / " &amp; TEXT(HLG_03[[#This Row],[Rit]],"000")</f>
        <v>N/A / 000</v>
      </c>
      <c r="J233" s="34"/>
      <c r="K233" s="38"/>
      <c r="L233" s="35"/>
      <c r="M233" s="66"/>
      <c r="N233" s="66"/>
      <c r="O233" s="66"/>
      <c r="P233" s="66"/>
      <c r="Q233" s="66"/>
      <c r="R233" s="67"/>
      <c r="S233" s="67"/>
      <c r="T233" s="67"/>
      <c r="U233" s="66"/>
      <c r="V233" s="66"/>
      <c r="W233" s="66"/>
      <c r="X233" s="85"/>
      <c r="AP233" t="str">
        <v/>
      </c>
    </row>
    <row r="234" spans="4:42" ht="15.75" x14ac:dyDescent="0.25">
      <c r="D234" s="3">
        <v>1</v>
      </c>
      <c r="F234" s="16" t="str" cm="1">
        <f t="array" ref="F2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4" s="31" cm="1">
        <f t="array" ref="G2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4" s="33" t="str">
        <f>_xlfn.IFNA(IF(MOD(HLG_03[[#This Row],[Rit]],
    _xlfn.XLOOKUP($G$2,Int_Sample[Ore],Int_Sample[Inc])) = 0, "YES", "NO"),"")</f>
        <v/>
      </c>
      <c r="I234" s="32" t="str">
        <f>TEXT(HLG_03[[#This Row],[Batch]],"000")&amp; " / " &amp; TEXT(HLG_03[[#This Row],[Rit]],"000")</f>
        <v>N/A / 000</v>
      </c>
      <c r="J234" s="34"/>
      <c r="K234" s="38"/>
      <c r="L234" s="35"/>
      <c r="M234" s="66"/>
      <c r="N234" s="66"/>
      <c r="O234" s="66"/>
      <c r="P234" s="66"/>
      <c r="Q234" s="66"/>
      <c r="R234" s="67"/>
      <c r="S234" s="67"/>
      <c r="T234" s="67"/>
      <c r="U234" s="66"/>
      <c r="V234" s="66"/>
      <c r="W234" s="66"/>
      <c r="X234" s="85"/>
      <c r="AP234" t="str">
        <v/>
      </c>
    </row>
    <row r="235" spans="4:42" ht="15.75" x14ac:dyDescent="0.25">
      <c r="D235" s="3">
        <v>1</v>
      </c>
      <c r="F235" s="16" t="str" cm="1">
        <f t="array" ref="F2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5" s="31" cm="1">
        <f t="array" ref="G2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5" s="33" t="str">
        <f>_xlfn.IFNA(IF(MOD(HLG_03[[#This Row],[Rit]],
    _xlfn.XLOOKUP($G$2,Int_Sample[Ore],Int_Sample[Inc])) = 0, "YES", "NO"),"")</f>
        <v/>
      </c>
      <c r="I235" s="32" t="str">
        <f>TEXT(HLG_03[[#This Row],[Batch]],"000")&amp; " / " &amp; TEXT(HLG_03[[#This Row],[Rit]],"000")</f>
        <v>N/A / 000</v>
      </c>
      <c r="J235" s="34"/>
      <c r="K235" s="38"/>
      <c r="L235" s="35"/>
      <c r="M235" s="66"/>
      <c r="N235" s="66"/>
      <c r="O235" s="66"/>
      <c r="P235" s="66"/>
      <c r="Q235" s="66"/>
      <c r="R235" s="67"/>
      <c r="S235" s="67"/>
      <c r="T235" s="67"/>
      <c r="U235" s="66"/>
      <c r="V235" s="66"/>
      <c r="W235" s="66"/>
      <c r="X235" s="85"/>
      <c r="AP235" t="str">
        <v/>
      </c>
    </row>
    <row r="236" spans="4:42" ht="15.75" x14ac:dyDescent="0.25">
      <c r="D236" s="3">
        <v>1</v>
      </c>
      <c r="F236" s="16" t="str" cm="1">
        <f t="array" ref="F2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6" s="31" cm="1">
        <f t="array" ref="G2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6" s="33" t="str">
        <f>_xlfn.IFNA(IF(MOD(HLG_03[[#This Row],[Rit]],
    _xlfn.XLOOKUP($G$2,Int_Sample[Ore],Int_Sample[Inc])) = 0, "YES", "NO"),"")</f>
        <v/>
      </c>
      <c r="I236" s="32" t="str">
        <f>TEXT(HLG_03[[#This Row],[Batch]],"000")&amp; " / " &amp; TEXT(HLG_03[[#This Row],[Rit]],"000")</f>
        <v>N/A / 000</v>
      </c>
      <c r="J236" s="34"/>
      <c r="K236" s="38"/>
      <c r="L236" s="35"/>
      <c r="M236" s="66"/>
      <c r="N236" s="66"/>
      <c r="O236" s="66"/>
      <c r="P236" s="66"/>
      <c r="Q236" s="66"/>
      <c r="R236" s="67"/>
      <c r="S236" s="67"/>
      <c r="T236" s="67"/>
      <c r="U236" s="66"/>
      <c r="V236" s="66"/>
      <c r="W236" s="66"/>
      <c r="X236" s="85"/>
      <c r="AP236" t="str">
        <v/>
      </c>
    </row>
    <row r="237" spans="4:42" ht="15.75" x14ac:dyDescent="0.25">
      <c r="D237" s="3">
        <v>1</v>
      </c>
      <c r="F237" s="16" t="str" cm="1">
        <f t="array" ref="F2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7" s="31" cm="1">
        <f t="array" ref="G2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7" s="33" t="str">
        <f>_xlfn.IFNA(IF(MOD(HLG_03[[#This Row],[Rit]],
    _xlfn.XLOOKUP($G$2,Int_Sample[Ore],Int_Sample[Inc])) = 0, "YES", "NO"),"")</f>
        <v/>
      </c>
      <c r="I237" s="32" t="str">
        <f>TEXT(HLG_03[[#This Row],[Batch]],"000")&amp; " / " &amp; TEXT(HLG_03[[#This Row],[Rit]],"000")</f>
        <v>N/A / 000</v>
      </c>
      <c r="J237" s="34"/>
      <c r="K237" s="38"/>
      <c r="L237" s="35"/>
      <c r="M237" s="66"/>
      <c r="N237" s="66"/>
      <c r="O237" s="66"/>
      <c r="P237" s="66"/>
      <c r="Q237" s="66"/>
      <c r="R237" s="67"/>
      <c r="S237" s="67"/>
      <c r="T237" s="67"/>
      <c r="U237" s="66"/>
      <c r="V237" s="66"/>
      <c r="W237" s="66"/>
      <c r="X237" s="85"/>
      <c r="AP237" t="str">
        <v/>
      </c>
    </row>
    <row r="238" spans="4:42" ht="15.75" x14ac:dyDescent="0.25">
      <c r="D238" s="3">
        <v>1</v>
      </c>
      <c r="F238" s="16" t="str" cm="1">
        <f t="array" ref="F2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8" s="31" cm="1">
        <f t="array" ref="G2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8" s="33" t="str">
        <f>_xlfn.IFNA(IF(MOD(HLG_03[[#This Row],[Rit]],
    _xlfn.XLOOKUP($G$2,Int_Sample[Ore],Int_Sample[Inc])) = 0, "YES", "NO"),"")</f>
        <v/>
      </c>
      <c r="I238" s="32" t="str">
        <f>TEXT(HLG_03[[#This Row],[Batch]],"000")&amp; " / " &amp; TEXT(HLG_03[[#This Row],[Rit]],"000")</f>
        <v>N/A / 000</v>
      </c>
      <c r="J238" s="34"/>
      <c r="K238" s="38"/>
      <c r="L238" s="35"/>
      <c r="M238" s="66"/>
      <c r="N238" s="66"/>
      <c r="O238" s="66"/>
      <c r="P238" s="66"/>
      <c r="Q238" s="66"/>
      <c r="R238" s="67"/>
      <c r="S238" s="67"/>
      <c r="T238" s="67"/>
      <c r="U238" s="66"/>
      <c r="V238" s="66"/>
      <c r="W238" s="66"/>
      <c r="X238" s="85"/>
      <c r="AP238" t="str">
        <v/>
      </c>
    </row>
    <row r="239" spans="4:42" ht="15.75" x14ac:dyDescent="0.25">
      <c r="D239" s="3">
        <v>1</v>
      </c>
      <c r="F239" s="16" t="str" cm="1">
        <f t="array" ref="F2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9" s="31" cm="1">
        <f t="array" ref="G2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9" s="33" t="str">
        <f>_xlfn.IFNA(IF(MOD(HLG_03[[#This Row],[Rit]],
    _xlfn.XLOOKUP($G$2,Int_Sample[Ore],Int_Sample[Inc])) = 0, "YES", "NO"),"")</f>
        <v/>
      </c>
      <c r="I239" s="32" t="str">
        <f>TEXT(HLG_03[[#This Row],[Batch]],"000")&amp; " / " &amp; TEXT(HLG_03[[#This Row],[Rit]],"000")</f>
        <v>N/A / 000</v>
      </c>
      <c r="J239" s="34"/>
      <c r="K239" s="38"/>
      <c r="L239" s="35"/>
      <c r="M239" s="66"/>
      <c r="N239" s="66"/>
      <c r="O239" s="66"/>
      <c r="P239" s="66"/>
      <c r="Q239" s="66"/>
      <c r="R239" s="67"/>
      <c r="S239" s="67"/>
      <c r="T239" s="67"/>
      <c r="U239" s="66"/>
      <c r="V239" s="66"/>
      <c r="W239" s="66"/>
      <c r="X239" s="85"/>
      <c r="AP239" t="str">
        <v/>
      </c>
    </row>
    <row r="240" spans="4:42" ht="15.75" x14ac:dyDescent="0.25">
      <c r="D240" s="3">
        <v>1</v>
      </c>
      <c r="F240" s="16" t="str" cm="1">
        <f t="array" ref="F2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0" s="31" cm="1">
        <f t="array" ref="G2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0" s="33" t="str">
        <f>_xlfn.IFNA(IF(MOD(HLG_03[[#This Row],[Rit]],
    _xlfn.XLOOKUP($G$2,Int_Sample[Ore],Int_Sample[Inc])) = 0, "YES", "NO"),"")</f>
        <v/>
      </c>
      <c r="I240" s="32" t="str">
        <f>TEXT(HLG_03[[#This Row],[Batch]],"000")&amp; " / " &amp; TEXT(HLG_03[[#This Row],[Rit]],"000")</f>
        <v>N/A / 000</v>
      </c>
      <c r="J240" s="34"/>
      <c r="K240" s="38"/>
      <c r="L240" s="35"/>
      <c r="M240" s="66"/>
      <c r="N240" s="66"/>
      <c r="O240" s="66"/>
      <c r="P240" s="66"/>
      <c r="Q240" s="66"/>
      <c r="R240" s="67"/>
      <c r="S240" s="67"/>
      <c r="T240" s="67"/>
      <c r="U240" s="66"/>
      <c r="V240" s="66"/>
      <c r="W240" s="66"/>
      <c r="X240" s="85"/>
      <c r="AP240" t="str">
        <v/>
      </c>
    </row>
    <row r="241" spans="4:42" ht="15.75" x14ac:dyDescent="0.25">
      <c r="D241" s="3">
        <v>1</v>
      </c>
      <c r="F241" s="16" t="str" cm="1">
        <f t="array" ref="F2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1" s="31" cm="1">
        <f t="array" ref="G2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1" s="33" t="str">
        <f>_xlfn.IFNA(IF(MOD(HLG_03[[#This Row],[Rit]],
    _xlfn.XLOOKUP($G$2,Int_Sample[Ore],Int_Sample[Inc])) = 0, "YES", "NO"),"")</f>
        <v/>
      </c>
      <c r="I241" s="32" t="str">
        <f>TEXT(HLG_03[[#This Row],[Batch]],"000")&amp; " / " &amp; TEXT(HLG_03[[#This Row],[Rit]],"000")</f>
        <v>N/A / 000</v>
      </c>
      <c r="J241" s="34"/>
      <c r="K241" s="38"/>
      <c r="L241" s="35"/>
      <c r="M241" s="66"/>
      <c r="N241" s="66"/>
      <c r="O241" s="66"/>
      <c r="P241" s="66"/>
      <c r="Q241" s="66"/>
      <c r="R241" s="67"/>
      <c r="S241" s="67"/>
      <c r="T241" s="67"/>
      <c r="U241" s="66"/>
      <c r="V241" s="66"/>
      <c r="W241" s="66"/>
      <c r="X241" s="85"/>
      <c r="AP241" t="str">
        <v/>
      </c>
    </row>
    <row r="242" spans="4:42" ht="15.75" x14ac:dyDescent="0.25">
      <c r="D242" s="3">
        <v>1</v>
      </c>
      <c r="F242" s="16" t="str" cm="1">
        <f t="array" ref="F2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2" s="31" cm="1">
        <f t="array" ref="G2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2" s="33" t="str">
        <f>_xlfn.IFNA(IF(MOD(HLG_03[[#This Row],[Rit]],
    _xlfn.XLOOKUP($G$2,Int_Sample[Ore],Int_Sample[Inc])) = 0, "YES", "NO"),"")</f>
        <v/>
      </c>
      <c r="I242" s="32" t="str">
        <f>TEXT(HLG_03[[#This Row],[Batch]],"000")&amp; " / " &amp; TEXT(HLG_03[[#This Row],[Rit]],"000")</f>
        <v>N/A / 000</v>
      </c>
      <c r="J242" s="34"/>
      <c r="K242" s="38"/>
      <c r="L242" s="35"/>
      <c r="M242" s="66"/>
      <c r="N242" s="66"/>
      <c r="O242" s="66"/>
      <c r="P242" s="66"/>
      <c r="Q242" s="66"/>
      <c r="R242" s="67"/>
      <c r="S242" s="67"/>
      <c r="T242" s="67"/>
      <c r="U242" s="66"/>
      <c r="V242" s="66"/>
      <c r="W242" s="66"/>
      <c r="X242" s="85"/>
      <c r="AP242" t="str">
        <v/>
      </c>
    </row>
    <row r="243" spans="4:42" ht="15.75" x14ac:dyDescent="0.25">
      <c r="D243" s="3">
        <v>1</v>
      </c>
      <c r="F243" s="16" t="str" cm="1">
        <f t="array" ref="F2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3" s="31" cm="1">
        <f t="array" ref="G2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3" s="33" t="str">
        <f>_xlfn.IFNA(IF(MOD(HLG_03[[#This Row],[Rit]],
    _xlfn.XLOOKUP($G$2,Int_Sample[Ore],Int_Sample[Inc])) = 0, "YES", "NO"),"")</f>
        <v/>
      </c>
      <c r="I243" s="32" t="str">
        <f>TEXT(HLG_03[[#This Row],[Batch]],"000")&amp; " / " &amp; TEXT(HLG_03[[#This Row],[Rit]],"000")</f>
        <v>N/A / 000</v>
      </c>
      <c r="J243" s="34"/>
      <c r="K243" s="38"/>
      <c r="L243" s="35"/>
      <c r="M243" s="66"/>
      <c r="N243" s="66"/>
      <c r="O243" s="66"/>
      <c r="P243" s="66"/>
      <c r="Q243" s="66"/>
      <c r="R243" s="67"/>
      <c r="S243" s="67"/>
      <c r="T243" s="67"/>
      <c r="U243" s="66"/>
      <c r="V243" s="66"/>
      <c r="W243" s="66"/>
      <c r="X243" s="85"/>
      <c r="AP243" t="str">
        <v/>
      </c>
    </row>
    <row r="244" spans="4:42" ht="15.75" x14ac:dyDescent="0.25">
      <c r="D244" s="3">
        <v>1</v>
      </c>
      <c r="F244" s="16" t="str" cm="1">
        <f t="array" ref="F2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4" s="31" cm="1">
        <f t="array" ref="G2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4" s="33" t="str">
        <f>_xlfn.IFNA(IF(MOD(HLG_03[[#This Row],[Rit]],
    _xlfn.XLOOKUP($G$2,Int_Sample[Ore],Int_Sample[Inc])) = 0, "YES", "NO"),"")</f>
        <v/>
      </c>
      <c r="I244" s="32" t="str">
        <f>TEXT(HLG_03[[#This Row],[Batch]],"000")&amp; " / " &amp; TEXT(HLG_03[[#This Row],[Rit]],"000")</f>
        <v>N/A / 000</v>
      </c>
      <c r="J244" s="34"/>
      <c r="K244" s="38"/>
      <c r="L244" s="35"/>
      <c r="M244" s="66"/>
      <c r="N244" s="66"/>
      <c r="O244" s="66"/>
      <c r="P244" s="66"/>
      <c r="Q244" s="66"/>
      <c r="R244" s="67"/>
      <c r="S244" s="67"/>
      <c r="T244" s="67"/>
      <c r="U244" s="66"/>
      <c r="V244" s="66"/>
      <c r="W244" s="66"/>
      <c r="X244" s="85"/>
      <c r="AP244" t="str">
        <v/>
      </c>
    </row>
    <row r="245" spans="4:42" ht="15.75" x14ac:dyDescent="0.25">
      <c r="D245" s="3">
        <v>1</v>
      </c>
      <c r="F245" s="16" t="str" cm="1">
        <f t="array" ref="F2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5" s="31" cm="1">
        <f t="array" ref="G2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5" s="33" t="str">
        <f>_xlfn.IFNA(IF(MOD(HLG_03[[#This Row],[Rit]],
    _xlfn.XLOOKUP($G$2,Int_Sample[Ore],Int_Sample[Inc])) = 0, "YES", "NO"),"")</f>
        <v/>
      </c>
      <c r="I245" s="32" t="str">
        <f>TEXT(HLG_03[[#This Row],[Batch]],"000")&amp; " / " &amp; TEXT(HLG_03[[#This Row],[Rit]],"000")</f>
        <v>N/A / 000</v>
      </c>
      <c r="J245" s="34"/>
      <c r="K245" s="38"/>
      <c r="L245" s="35"/>
      <c r="M245" s="66"/>
      <c r="N245" s="66"/>
      <c r="O245" s="66"/>
      <c r="P245" s="66"/>
      <c r="Q245" s="66"/>
      <c r="R245" s="67"/>
      <c r="S245" s="67"/>
      <c r="T245" s="67"/>
      <c r="U245" s="66"/>
      <c r="V245" s="66"/>
      <c r="W245" s="66"/>
      <c r="X245" s="85"/>
      <c r="AP245" t="str">
        <v/>
      </c>
    </row>
    <row r="246" spans="4:42" ht="15.75" x14ac:dyDescent="0.25">
      <c r="D246" s="3">
        <v>1</v>
      </c>
      <c r="F246" s="16" t="str" cm="1">
        <f t="array" ref="F2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6" s="31" cm="1">
        <f t="array" ref="G2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6" s="33" t="str">
        <f>_xlfn.IFNA(IF(MOD(HLG_03[[#This Row],[Rit]],
    _xlfn.XLOOKUP($G$2,Int_Sample[Ore],Int_Sample[Inc])) = 0, "YES", "NO"),"")</f>
        <v/>
      </c>
      <c r="I246" s="32" t="str">
        <f>TEXT(HLG_03[[#This Row],[Batch]],"000")&amp; " / " &amp; TEXT(HLG_03[[#This Row],[Rit]],"000")</f>
        <v>N/A / 000</v>
      </c>
      <c r="J246" s="34"/>
      <c r="K246" s="38"/>
      <c r="L246" s="35"/>
      <c r="M246" s="66"/>
      <c r="N246" s="66"/>
      <c r="O246" s="66"/>
      <c r="P246" s="66"/>
      <c r="Q246" s="66"/>
      <c r="R246" s="67"/>
      <c r="S246" s="67"/>
      <c r="T246" s="67"/>
      <c r="U246" s="66"/>
      <c r="V246" s="66"/>
      <c r="W246" s="66"/>
      <c r="X246" s="85"/>
      <c r="AP246" t="str">
        <v/>
      </c>
    </row>
    <row r="247" spans="4:42" ht="15.75" x14ac:dyDescent="0.25">
      <c r="D247" s="3">
        <v>1</v>
      </c>
      <c r="F247" s="16" t="str" cm="1">
        <f t="array" ref="F2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7" s="31" cm="1">
        <f t="array" ref="G2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7" s="33" t="str">
        <f>_xlfn.IFNA(IF(MOD(HLG_03[[#This Row],[Rit]],
    _xlfn.XLOOKUP($G$2,Int_Sample[Ore],Int_Sample[Inc])) = 0, "YES", "NO"),"")</f>
        <v/>
      </c>
      <c r="I247" s="32" t="str">
        <f>TEXT(HLG_03[[#This Row],[Batch]],"000")&amp; " / " &amp; TEXT(HLG_03[[#This Row],[Rit]],"000")</f>
        <v>N/A / 000</v>
      </c>
      <c r="J247" s="34"/>
      <c r="K247" s="38"/>
      <c r="L247" s="35"/>
      <c r="M247" s="66"/>
      <c r="N247" s="66"/>
      <c r="O247" s="66"/>
      <c r="P247" s="66"/>
      <c r="Q247" s="66"/>
      <c r="R247" s="67"/>
      <c r="S247" s="67"/>
      <c r="T247" s="67"/>
      <c r="U247" s="66"/>
      <c r="V247" s="66"/>
      <c r="W247" s="66"/>
      <c r="X247" s="85"/>
      <c r="AP247" t="str">
        <v/>
      </c>
    </row>
    <row r="248" spans="4:42" ht="15.75" x14ac:dyDescent="0.25">
      <c r="D248" s="3">
        <v>1</v>
      </c>
      <c r="F248" s="16" t="str" cm="1">
        <f t="array" ref="F2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8" s="31" cm="1">
        <f t="array" ref="G2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8" s="33" t="str">
        <f>_xlfn.IFNA(IF(MOD(HLG_03[[#This Row],[Rit]],
    _xlfn.XLOOKUP($G$2,Int_Sample[Ore],Int_Sample[Inc])) = 0, "YES", "NO"),"")</f>
        <v/>
      </c>
      <c r="I248" s="32" t="str">
        <f>TEXT(HLG_03[[#This Row],[Batch]],"000")&amp; " / " &amp; TEXT(HLG_03[[#This Row],[Rit]],"000")</f>
        <v>N/A / 000</v>
      </c>
      <c r="J248" s="34"/>
      <c r="K248" s="38"/>
      <c r="L248" s="35"/>
      <c r="M248" s="66"/>
      <c r="N248" s="66"/>
      <c r="O248" s="66"/>
      <c r="P248" s="66"/>
      <c r="Q248" s="66"/>
      <c r="R248" s="67"/>
      <c r="S248" s="67"/>
      <c r="T248" s="67"/>
      <c r="U248" s="66"/>
      <c r="V248" s="66"/>
      <c r="W248" s="66"/>
      <c r="X248" s="85"/>
      <c r="AP248" t="str">
        <v/>
      </c>
    </row>
    <row r="249" spans="4:42" ht="15.75" x14ac:dyDescent="0.25">
      <c r="D249" s="3">
        <v>1</v>
      </c>
      <c r="F249" s="16" t="str" cm="1">
        <f t="array" ref="F2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9" s="31" cm="1">
        <f t="array" ref="G2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9" s="33" t="str">
        <f>_xlfn.IFNA(IF(MOD(HLG_03[[#This Row],[Rit]],
    _xlfn.XLOOKUP($G$2,Int_Sample[Ore],Int_Sample[Inc])) = 0, "YES", "NO"),"")</f>
        <v/>
      </c>
      <c r="I249" s="32" t="str">
        <f>TEXT(HLG_03[[#This Row],[Batch]],"000")&amp; " / " &amp; TEXT(HLG_03[[#This Row],[Rit]],"000")</f>
        <v>N/A / 000</v>
      </c>
      <c r="J249" s="34"/>
      <c r="K249" s="38"/>
      <c r="L249" s="35"/>
      <c r="M249" s="66"/>
      <c r="N249" s="66"/>
      <c r="O249" s="66"/>
      <c r="P249" s="66"/>
      <c r="Q249" s="66"/>
      <c r="R249" s="67"/>
      <c r="S249" s="67"/>
      <c r="T249" s="67"/>
      <c r="U249" s="66"/>
      <c r="V249" s="66"/>
      <c r="W249" s="66"/>
      <c r="X249" s="85"/>
      <c r="AP249" t="str">
        <v/>
      </c>
    </row>
    <row r="250" spans="4:42" ht="15.75" x14ac:dyDescent="0.25">
      <c r="D250" s="3">
        <v>1</v>
      </c>
      <c r="F250" s="16" t="str" cm="1">
        <f t="array" ref="F2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0" s="31" cm="1">
        <f t="array" ref="G2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0" s="33" t="str">
        <f>_xlfn.IFNA(IF(MOD(HLG_03[[#This Row],[Rit]],
    _xlfn.XLOOKUP($G$2,Int_Sample[Ore],Int_Sample[Inc])) = 0, "YES", "NO"),"")</f>
        <v/>
      </c>
      <c r="I250" s="32" t="str">
        <f>TEXT(HLG_03[[#This Row],[Batch]],"000")&amp; " / " &amp; TEXT(HLG_03[[#This Row],[Rit]],"000")</f>
        <v>N/A / 000</v>
      </c>
      <c r="J250" s="34"/>
      <c r="K250" s="38"/>
      <c r="L250" s="35"/>
      <c r="M250" s="66"/>
      <c r="N250" s="66"/>
      <c r="O250" s="66"/>
      <c r="P250" s="66"/>
      <c r="Q250" s="66"/>
      <c r="R250" s="67"/>
      <c r="S250" s="67"/>
      <c r="T250" s="67"/>
      <c r="U250" s="66"/>
      <c r="V250" s="66"/>
      <c r="W250" s="66"/>
      <c r="X250" s="85"/>
      <c r="AP250" t="str">
        <v/>
      </c>
    </row>
    <row r="251" spans="4:42" ht="15.75" x14ac:dyDescent="0.25">
      <c r="D251" s="3">
        <v>1</v>
      </c>
      <c r="F251" s="16" t="str" cm="1">
        <f t="array" ref="F2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1" s="31" cm="1">
        <f t="array" ref="G2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1" s="33" t="str">
        <f>_xlfn.IFNA(IF(MOD(HLG_03[[#This Row],[Rit]],
    _xlfn.XLOOKUP($G$2,Int_Sample[Ore],Int_Sample[Inc])) = 0, "YES", "NO"),"")</f>
        <v/>
      </c>
      <c r="I251" s="32" t="str">
        <f>TEXT(HLG_03[[#This Row],[Batch]],"000")&amp; " / " &amp; TEXT(HLG_03[[#This Row],[Rit]],"000")</f>
        <v>N/A / 000</v>
      </c>
      <c r="J251" s="34"/>
      <c r="K251" s="38"/>
      <c r="L251" s="35"/>
      <c r="M251" s="66"/>
      <c r="N251" s="66"/>
      <c r="O251" s="66"/>
      <c r="P251" s="66"/>
      <c r="Q251" s="66"/>
      <c r="R251" s="67"/>
      <c r="S251" s="67"/>
      <c r="T251" s="67"/>
      <c r="U251" s="66"/>
      <c r="V251" s="66"/>
      <c r="W251" s="66"/>
      <c r="X251" s="85"/>
      <c r="AP251" t="str">
        <v/>
      </c>
    </row>
    <row r="252" spans="4:42" ht="15.75" x14ac:dyDescent="0.25">
      <c r="D252" s="3">
        <v>1</v>
      </c>
      <c r="F252" s="16" t="str" cm="1">
        <f t="array" ref="F2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2" s="31" cm="1">
        <f t="array" ref="G2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2" s="33" t="str">
        <f>_xlfn.IFNA(IF(MOD(HLG_03[[#This Row],[Rit]],
    _xlfn.XLOOKUP($G$2,Int_Sample[Ore],Int_Sample[Inc])) = 0, "YES", "NO"),"")</f>
        <v/>
      </c>
      <c r="I252" s="32" t="str">
        <f>TEXT(HLG_03[[#This Row],[Batch]],"000")&amp; " / " &amp; TEXT(HLG_03[[#This Row],[Rit]],"000")</f>
        <v>N/A / 000</v>
      </c>
      <c r="J252" s="34"/>
      <c r="K252" s="38"/>
      <c r="L252" s="35"/>
      <c r="M252" s="66"/>
      <c r="N252" s="66"/>
      <c r="O252" s="66"/>
      <c r="P252" s="66"/>
      <c r="Q252" s="66"/>
      <c r="R252" s="67"/>
      <c r="S252" s="67"/>
      <c r="T252" s="67"/>
      <c r="U252" s="66"/>
      <c r="V252" s="66"/>
      <c r="W252" s="66"/>
      <c r="X252" s="85"/>
      <c r="AP252" t="str">
        <v/>
      </c>
    </row>
    <row r="253" spans="4:42" ht="15.75" x14ac:dyDescent="0.25">
      <c r="D253" s="3">
        <v>1</v>
      </c>
      <c r="F253" s="16" t="str" cm="1">
        <f t="array" ref="F2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3" s="31" cm="1">
        <f t="array" ref="G2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3" s="33" t="str">
        <f>_xlfn.IFNA(IF(MOD(HLG_03[[#This Row],[Rit]],
    _xlfn.XLOOKUP($G$2,Int_Sample[Ore],Int_Sample[Inc])) = 0, "YES", "NO"),"")</f>
        <v/>
      </c>
      <c r="I253" s="32" t="str">
        <f>TEXT(HLG_03[[#This Row],[Batch]],"000")&amp; " / " &amp; TEXT(HLG_03[[#This Row],[Rit]],"000")</f>
        <v>N/A / 000</v>
      </c>
      <c r="J253" s="34"/>
      <c r="K253" s="38"/>
      <c r="L253" s="35"/>
      <c r="M253" s="66"/>
      <c r="N253" s="66"/>
      <c r="O253" s="66"/>
      <c r="P253" s="66"/>
      <c r="Q253" s="66"/>
      <c r="R253" s="67"/>
      <c r="S253" s="67"/>
      <c r="T253" s="67"/>
      <c r="U253" s="66"/>
      <c r="V253" s="66"/>
      <c r="W253" s="66"/>
      <c r="X253" s="85"/>
      <c r="AP253" t="str">
        <v/>
      </c>
    </row>
    <row r="254" spans="4:42" ht="15.75" x14ac:dyDescent="0.25">
      <c r="D254" s="3">
        <v>1</v>
      </c>
      <c r="F254" s="16" t="str" cm="1">
        <f t="array" ref="F2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4" s="31" cm="1">
        <f t="array" ref="G2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4" s="33" t="str">
        <f>_xlfn.IFNA(IF(MOD(HLG_03[[#This Row],[Rit]],
    _xlfn.XLOOKUP($G$2,Int_Sample[Ore],Int_Sample[Inc])) = 0, "YES", "NO"),"")</f>
        <v/>
      </c>
      <c r="I254" s="32" t="str">
        <f>TEXT(HLG_03[[#This Row],[Batch]],"000")&amp; " / " &amp; TEXT(HLG_03[[#This Row],[Rit]],"000")</f>
        <v>N/A / 000</v>
      </c>
      <c r="J254" s="34"/>
      <c r="K254" s="38"/>
      <c r="L254" s="35"/>
      <c r="M254" s="66"/>
      <c r="N254" s="66"/>
      <c r="O254" s="66"/>
      <c r="P254" s="66"/>
      <c r="Q254" s="66"/>
      <c r="R254" s="67"/>
      <c r="S254" s="67"/>
      <c r="T254" s="67"/>
      <c r="U254" s="66"/>
      <c r="V254" s="66"/>
      <c r="W254" s="66"/>
      <c r="X254" s="85"/>
      <c r="AP254" t="str">
        <v/>
      </c>
    </row>
    <row r="255" spans="4:42" ht="15.75" x14ac:dyDescent="0.25">
      <c r="D255" s="3">
        <v>1</v>
      </c>
      <c r="F255" s="16" t="str" cm="1">
        <f t="array" ref="F2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5" s="31" cm="1">
        <f t="array" ref="G2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5" s="33" t="str">
        <f>_xlfn.IFNA(IF(MOD(HLG_03[[#This Row],[Rit]],
    _xlfn.XLOOKUP($G$2,Int_Sample[Ore],Int_Sample[Inc])) = 0, "YES", "NO"),"")</f>
        <v/>
      </c>
      <c r="I255" s="32" t="str">
        <f>TEXT(HLG_03[[#This Row],[Batch]],"000")&amp; " / " &amp; TEXT(HLG_03[[#This Row],[Rit]],"000")</f>
        <v>N/A / 000</v>
      </c>
      <c r="J255" s="34"/>
      <c r="K255" s="38"/>
      <c r="L255" s="35"/>
      <c r="M255" s="66"/>
      <c r="N255" s="66"/>
      <c r="O255" s="66"/>
      <c r="P255" s="66"/>
      <c r="Q255" s="66"/>
      <c r="R255" s="67"/>
      <c r="S255" s="67"/>
      <c r="T255" s="67"/>
      <c r="U255" s="66"/>
      <c r="V255" s="66"/>
      <c r="W255" s="66"/>
      <c r="X255" s="85"/>
      <c r="AP255" t="str">
        <v/>
      </c>
    </row>
    <row r="256" spans="4:42" ht="15.75" x14ac:dyDescent="0.25">
      <c r="D256" s="3">
        <v>1</v>
      </c>
      <c r="F256" s="16" t="str" cm="1">
        <f t="array" ref="F2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6" s="31" cm="1">
        <f t="array" ref="G2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6" s="33" t="str">
        <f>_xlfn.IFNA(IF(MOD(HLG_03[[#This Row],[Rit]],
    _xlfn.XLOOKUP($G$2,Int_Sample[Ore],Int_Sample[Inc])) = 0, "YES", "NO"),"")</f>
        <v/>
      </c>
      <c r="I256" s="32" t="str">
        <f>TEXT(HLG_03[[#This Row],[Batch]],"000")&amp; " / " &amp; TEXT(HLG_03[[#This Row],[Rit]],"000")</f>
        <v>N/A / 000</v>
      </c>
      <c r="J256" s="34"/>
      <c r="K256" s="38"/>
      <c r="L256" s="35"/>
      <c r="M256" s="66"/>
      <c r="N256" s="66"/>
      <c r="O256" s="66"/>
      <c r="P256" s="66"/>
      <c r="Q256" s="66"/>
      <c r="R256" s="67"/>
      <c r="S256" s="67"/>
      <c r="T256" s="67"/>
      <c r="U256" s="66"/>
      <c r="V256" s="66"/>
      <c r="W256" s="66"/>
      <c r="X256" s="85"/>
      <c r="AP256" t="str">
        <v/>
      </c>
    </row>
    <row r="257" spans="4:42" ht="15.75" x14ac:dyDescent="0.25">
      <c r="D257" s="3">
        <v>1</v>
      </c>
      <c r="F257" s="16" t="str" cm="1">
        <f t="array" ref="F2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7" s="31" cm="1">
        <f t="array" ref="G2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7" s="33" t="str">
        <f>_xlfn.IFNA(IF(MOD(HLG_03[[#This Row],[Rit]],
    _xlfn.XLOOKUP($G$2,Int_Sample[Ore],Int_Sample[Inc])) = 0, "YES", "NO"),"")</f>
        <v/>
      </c>
      <c r="I257" s="32" t="str">
        <f>TEXT(HLG_03[[#This Row],[Batch]],"000")&amp; " / " &amp; TEXT(HLG_03[[#This Row],[Rit]],"000")</f>
        <v>N/A / 000</v>
      </c>
      <c r="J257" s="34"/>
      <c r="K257" s="38"/>
      <c r="L257" s="35"/>
      <c r="M257" s="66"/>
      <c r="N257" s="66"/>
      <c r="O257" s="66"/>
      <c r="P257" s="66"/>
      <c r="Q257" s="66"/>
      <c r="R257" s="67"/>
      <c r="S257" s="67"/>
      <c r="T257" s="67"/>
      <c r="U257" s="66"/>
      <c r="V257" s="66"/>
      <c r="W257" s="66"/>
      <c r="X257" s="85"/>
      <c r="AP257" t="str">
        <v/>
      </c>
    </row>
    <row r="258" spans="4:42" ht="15.75" x14ac:dyDescent="0.25">
      <c r="D258" s="3">
        <v>1</v>
      </c>
      <c r="F258" s="16" t="str" cm="1">
        <f t="array" ref="F2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8" s="31" cm="1">
        <f t="array" ref="G2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8" s="33" t="str">
        <f>_xlfn.IFNA(IF(MOD(HLG_03[[#This Row],[Rit]],
    _xlfn.XLOOKUP($G$2,Int_Sample[Ore],Int_Sample[Inc])) = 0, "YES", "NO"),"")</f>
        <v/>
      </c>
      <c r="I258" s="32" t="str">
        <f>TEXT(HLG_03[[#This Row],[Batch]],"000")&amp; " / " &amp; TEXT(HLG_03[[#This Row],[Rit]],"000")</f>
        <v>N/A / 000</v>
      </c>
      <c r="J258" s="34"/>
      <c r="K258" s="38"/>
      <c r="L258" s="35"/>
      <c r="M258" s="66"/>
      <c r="N258" s="66"/>
      <c r="O258" s="66"/>
      <c r="P258" s="66"/>
      <c r="Q258" s="66"/>
      <c r="R258" s="67"/>
      <c r="S258" s="67"/>
      <c r="T258" s="67"/>
      <c r="U258" s="66"/>
      <c r="V258" s="66"/>
      <c r="W258" s="66"/>
      <c r="X258" s="85"/>
      <c r="AP258" t="str">
        <v/>
      </c>
    </row>
    <row r="259" spans="4:42" ht="15.75" x14ac:dyDescent="0.25">
      <c r="D259" s="3">
        <v>1</v>
      </c>
      <c r="F259" s="16" t="str" cm="1">
        <f t="array" ref="F2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9" s="31" cm="1">
        <f t="array" ref="G2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9" s="33" t="str">
        <f>_xlfn.IFNA(IF(MOD(HLG_03[[#This Row],[Rit]],
    _xlfn.XLOOKUP($G$2,Int_Sample[Ore],Int_Sample[Inc])) = 0, "YES", "NO"),"")</f>
        <v/>
      </c>
      <c r="I259" s="32" t="str">
        <f>TEXT(HLG_03[[#This Row],[Batch]],"000")&amp; " / " &amp; TEXT(HLG_03[[#This Row],[Rit]],"000")</f>
        <v>N/A / 000</v>
      </c>
      <c r="J259" s="34"/>
      <c r="K259" s="38"/>
      <c r="L259" s="35"/>
      <c r="M259" s="66"/>
      <c r="N259" s="66"/>
      <c r="O259" s="66"/>
      <c r="P259" s="66"/>
      <c r="Q259" s="66"/>
      <c r="R259" s="67"/>
      <c r="S259" s="67"/>
      <c r="T259" s="67"/>
      <c r="U259" s="66"/>
      <c r="V259" s="66"/>
      <c r="W259" s="66"/>
      <c r="X259" s="85"/>
      <c r="AP259" t="str">
        <v/>
      </c>
    </row>
    <row r="260" spans="4:42" ht="15.75" x14ac:dyDescent="0.25">
      <c r="D260" s="3">
        <v>1</v>
      </c>
      <c r="F260" s="16" t="str" cm="1">
        <f t="array" ref="F2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0" s="31" cm="1">
        <f t="array" ref="G2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0" s="33" t="str">
        <f>_xlfn.IFNA(IF(MOD(HLG_03[[#This Row],[Rit]],
    _xlfn.XLOOKUP($G$2,Int_Sample[Ore],Int_Sample[Inc])) = 0, "YES", "NO"),"")</f>
        <v/>
      </c>
      <c r="I260" s="32" t="str">
        <f>TEXT(HLG_03[[#This Row],[Batch]],"000")&amp; " / " &amp; TEXT(HLG_03[[#This Row],[Rit]],"000")</f>
        <v>N/A / 000</v>
      </c>
      <c r="J260" s="34"/>
      <c r="K260" s="38"/>
      <c r="L260" s="35"/>
      <c r="M260" s="66"/>
      <c r="N260" s="66"/>
      <c r="O260" s="66"/>
      <c r="P260" s="66"/>
      <c r="Q260" s="66"/>
      <c r="R260" s="67"/>
      <c r="S260" s="67"/>
      <c r="T260" s="67"/>
      <c r="U260" s="66"/>
      <c r="V260" s="66"/>
      <c r="W260" s="66"/>
      <c r="X260" s="85"/>
      <c r="AP260" t="str">
        <v/>
      </c>
    </row>
    <row r="261" spans="4:42" ht="15.75" x14ac:dyDescent="0.25">
      <c r="D261" s="3">
        <v>1</v>
      </c>
      <c r="F261" s="16" t="str" cm="1">
        <f t="array" ref="F2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1" s="31" cm="1">
        <f t="array" ref="G2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1" s="33" t="str">
        <f>_xlfn.IFNA(IF(MOD(HLG_03[[#This Row],[Rit]],
    _xlfn.XLOOKUP($G$2,Int_Sample[Ore],Int_Sample[Inc])) = 0, "YES", "NO"),"")</f>
        <v/>
      </c>
      <c r="I261" s="32" t="str">
        <f>TEXT(HLG_03[[#This Row],[Batch]],"000")&amp; " / " &amp; TEXT(HLG_03[[#This Row],[Rit]],"000")</f>
        <v>N/A / 000</v>
      </c>
      <c r="J261" s="34"/>
      <c r="K261" s="38"/>
      <c r="L261" s="35"/>
      <c r="M261" s="66"/>
      <c r="N261" s="66"/>
      <c r="O261" s="66"/>
      <c r="P261" s="66"/>
      <c r="Q261" s="66"/>
      <c r="R261" s="67"/>
      <c r="S261" s="67"/>
      <c r="T261" s="67"/>
      <c r="U261" s="66"/>
      <c r="V261" s="66"/>
      <c r="W261" s="66"/>
      <c r="X261" s="85"/>
      <c r="AP261" t="str">
        <v/>
      </c>
    </row>
    <row r="262" spans="4:42" ht="15.75" x14ac:dyDescent="0.25">
      <c r="D262" s="3">
        <v>1</v>
      </c>
      <c r="F262" s="16" t="str" cm="1">
        <f t="array" ref="F2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2" s="31" cm="1">
        <f t="array" ref="G2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2" s="33" t="str">
        <f>_xlfn.IFNA(IF(MOD(HLG_03[[#This Row],[Rit]],
    _xlfn.XLOOKUP($G$2,Int_Sample[Ore],Int_Sample[Inc])) = 0, "YES", "NO"),"")</f>
        <v/>
      </c>
      <c r="I262" s="32" t="str">
        <f>TEXT(HLG_03[[#This Row],[Batch]],"000")&amp; " / " &amp; TEXT(HLG_03[[#This Row],[Rit]],"000")</f>
        <v>N/A / 000</v>
      </c>
      <c r="J262" s="34"/>
      <c r="K262" s="38"/>
      <c r="L262" s="35"/>
      <c r="M262" s="66"/>
      <c r="N262" s="66"/>
      <c r="O262" s="66"/>
      <c r="P262" s="66"/>
      <c r="Q262" s="66"/>
      <c r="R262" s="67"/>
      <c r="S262" s="67"/>
      <c r="T262" s="67"/>
      <c r="U262" s="66"/>
      <c r="V262" s="66"/>
      <c r="W262" s="66"/>
      <c r="X262" s="85"/>
      <c r="AP262" t="str">
        <v/>
      </c>
    </row>
    <row r="263" spans="4:42" ht="15.75" x14ac:dyDescent="0.25">
      <c r="D263" s="3">
        <v>1</v>
      </c>
      <c r="F263" s="16" t="str" cm="1">
        <f t="array" ref="F2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3" s="31" cm="1">
        <f t="array" ref="G2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3" s="33" t="str">
        <f>_xlfn.IFNA(IF(MOD(HLG_03[[#This Row],[Rit]],
    _xlfn.XLOOKUP($G$2,Int_Sample[Ore],Int_Sample[Inc])) = 0, "YES", "NO"),"")</f>
        <v/>
      </c>
      <c r="I263" s="32" t="str">
        <f>TEXT(HLG_03[[#This Row],[Batch]],"000")&amp; " / " &amp; TEXT(HLG_03[[#This Row],[Rit]],"000")</f>
        <v>N/A / 000</v>
      </c>
      <c r="J263" s="34"/>
      <c r="K263" s="38"/>
      <c r="L263" s="35"/>
      <c r="M263" s="66"/>
      <c r="N263" s="66"/>
      <c r="O263" s="66"/>
      <c r="P263" s="66"/>
      <c r="Q263" s="66"/>
      <c r="R263" s="67"/>
      <c r="S263" s="67"/>
      <c r="T263" s="67"/>
      <c r="U263" s="66"/>
      <c r="V263" s="66"/>
      <c r="W263" s="66"/>
      <c r="X263" s="85"/>
      <c r="AP263" t="str">
        <v/>
      </c>
    </row>
    <row r="264" spans="4:42" ht="15.75" x14ac:dyDescent="0.25">
      <c r="D264" s="3">
        <v>1</v>
      </c>
      <c r="F264" s="16" t="str" cm="1">
        <f t="array" ref="F2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4" s="31" cm="1">
        <f t="array" ref="G2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4" s="33" t="str">
        <f>_xlfn.IFNA(IF(MOD(HLG_03[[#This Row],[Rit]],
    _xlfn.XLOOKUP($G$2,Int_Sample[Ore],Int_Sample[Inc])) = 0, "YES", "NO"),"")</f>
        <v/>
      </c>
      <c r="I264" s="32" t="str">
        <f>TEXT(HLG_03[[#This Row],[Batch]],"000")&amp; " / " &amp; TEXT(HLG_03[[#This Row],[Rit]],"000")</f>
        <v>N/A / 000</v>
      </c>
      <c r="J264" s="34"/>
      <c r="K264" s="38"/>
      <c r="L264" s="35"/>
      <c r="M264" s="66"/>
      <c r="N264" s="66"/>
      <c r="O264" s="66"/>
      <c r="P264" s="66"/>
      <c r="Q264" s="66"/>
      <c r="R264" s="67"/>
      <c r="S264" s="67"/>
      <c r="T264" s="67"/>
      <c r="U264" s="66"/>
      <c r="V264" s="66"/>
      <c r="W264" s="66"/>
      <c r="X264" s="85"/>
      <c r="AP264" t="str">
        <v/>
      </c>
    </row>
    <row r="265" spans="4:42" ht="15.75" x14ac:dyDescent="0.25">
      <c r="D265" s="3">
        <v>1</v>
      </c>
      <c r="F265" s="16" t="str" cm="1">
        <f t="array" ref="F2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5" s="31" cm="1">
        <f t="array" ref="G2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5" s="33" t="str">
        <f>_xlfn.IFNA(IF(MOD(HLG_03[[#This Row],[Rit]],
    _xlfn.XLOOKUP($G$2,Int_Sample[Ore],Int_Sample[Inc])) = 0, "YES", "NO"),"")</f>
        <v/>
      </c>
      <c r="I265" s="32" t="str">
        <f>TEXT(HLG_03[[#This Row],[Batch]],"000")&amp; " / " &amp; TEXT(HLG_03[[#This Row],[Rit]],"000")</f>
        <v>N/A / 000</v>
      </c>
      <c r="J265" s="34"/>
      <c r="K265" s="38"/>
      <c r="L265" s="35"/>
      <c r="M265" s="66"/>
      <c r="N265" s="66"/>
      <c r="O265" s="66"/>
      <c r="P265" s="66"/>
      <c r="Q265" s="66"/>
      <c r="R265" s="67"/>
      <c r="S265" s="67"/>
      <c r="T265" s="67"/>
      <c r="U265" s="66"/>
      <c r="V265" s="66"/>
      <c r="W265" s="66"/>
      <c r="X265" s="85"/>
      <c r="AP265" t="str">
        <v/>
      </c>
    </row>
    <row r="266" spans="4:42" ht="15.75" x14ac:dyDescent="0.25">
      <c r="D266" s="3">
        <v>1</v>
      </c>
      <c r="F266" s="16" t="str" cm="1">
        <f t="array" ref="F2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6" s="31" cm="1">
        <f t="array" ref="G2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6" s="33" t="str">
        <f>_xlfn.IFNA(IF(MOD(HLG_03[[#This Row],[Rit]],
    _xlfn.XLOOKUP($G$2,Int_Sample[Ore],Int_Sample[Inc])) = 0, "YES", "NO"),"")</f>
        <v/>
      </c>
      <c r="I266" s="32" t="str">
        <f>TEXT(HLG_03[[#This Row],[Batch]],"000")&amp; " / " &amp; TEXT(HLG_03[[#This Row],[Rit]],"000")</f>
        <v>N/A / 000</v>
      </c>
      <c r="J266" s="34"/>
      <c r="K266" s="38"/>
      <c r="L266" s="35"/>
      <c r="M266" s="66"/>
      <c r="N266" s="66"/>
      <c r="O266" s="66"/>
      <c r="P266" s="66"/>
      <c r="Q266" s="66"/>
      <c r="R266" s="67"/>
      <c r="S266" s="67"/>
      <c r="T266" s="67"/>
      <c r="U266" s="66"/>
      <c r="V266" s="66"/>
      <c r="W266" s="66"/>
      <c r="X266" s="85"/>
      <c r="AP266" t="str">
        <v/>
      </c>
    </row>
    <row r="267" spans="4:42" ht="15.75" x14ac:dyDescent="0.25">
      <c r="D267" s="3">
        <v>1</v>
      </c>
      <c r="F267" s="16" t="str" cm="1">
        <f t="array" ref="F2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7" s="31" cm="1">
        <f t="array" ref="G2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7" s="33" t="str">
        <f>_xlfn.IFNA(IF(MOD(HLG_03[[#This Row],[Rit]],
    _xlfn.XLOOKUP($G$2,Int_Sample[Ore],Int_Sample[Inc])) = 0, "YES", "NO"),"")</f>
        <v/>
      </c>
      <c r="I267" s="32" t="str">
        <f>TEXT(HLG_03[[#This Row],[Batch]],"000")&amp; " / " &amp; TEXT(HLG_03[[#This Row],[Rit]],"000")</f>
        <v>N/A / 000</v>
      </c>
      <c r="J267" s="34"/>
      <c r="K267" s="38"/>
      <c r="L267" s="35"/>
      <c r="M267" s="66"/>
      <c r="N267" s="66"/>
      <c r="O267" s="66"/>
      <c r="P267" s="66"/>
      <c r="Q267" s="66"/>
      <c r="R267" s="67"/>
      <c r="S267" s="67"/>
      <c r="T267" s="67"/>
      <c r="U267" s="66"/>
      <c r="V267" s="66"/>
      <c r="W267" s="66"/>
      <c r="X267" s="85"/>
      <c r="AP267" t="str">
        <v/>
      </c>
    </row>
    <row r="268" spans="4:42" ht="15.75" x14ac:dyDescent="0.25">
      <c r="D268" s="3">
        <v>1</v>
      </c>
      <c r="F268" s="16" t="str" cm="1">
        <f t="array" ref="F2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8" s="31" cm="1">
        <f t="array" ref="G2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8" s="33" t="str">
        <f>_xlfn.IFNA(IF(MOD(HLG_03[[#This Row],[Rit]],
    _xlfn.XLOOKUP($G$2,Int_Sample[Ore],Int_Sample[Inc])) = 0, "YES", "NO"),"")</f>
        <v/>
      </c>
      <c r="I268" s="32" t="str">
        <f>TEXT(HLG_03[[#This Row],[Batch]],"000")&amp; " / " &amp; TEXT(HLG_03[[#This Row],[Rit]],"000")</f>
        <v>N/A / 000</v>
      </c>
      <c r="J268" s="34"/>
      <c r="K268" s="38"/>
      <c r="L268" s="35"/>
      <c r="M268" s="66"/>
      <c r="N268" s="66"/>
      <c r="O268" s="66"/>
      <c r="P268" s="66"/>
      <c r="Q268" s="66"/>
      <c r="R268" s="67"/>
      <c r="S268" s="67"/>
      <c r="T268" s="67"/>
      <c r="U268" s="66"/>
      <c r="V268" s="66"/>
      <c r="W268" s="66"/>
      <c r="X268" s="85"/>
      <c r="AP268" t="str">
        <v/>
      </c>
    </row>
    <row r="269" spans="4:42" ht="15.75" x14ac:dyDescent="0.25">
      <c r="D269" s="3">
        <v>1</v>
      </c>
      <c r="F269" s="16" t="str" cm="1">
        <f t="array" ref="F2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9" s="31" cm="1">
        <f t="array" ref="G2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9" s="33" t="str">
        <f>_xlfn.IFNA(IF(MOD(HLG_03[[#This Row],[Rit]],
    _xlfn.XLOOKUP($G$2,Int_Sample[Ore],Int_Sample[Inc])) = 0, "YES", "NO"),"")</f>
        <v/>
      </c>
      <c r="I269" s="32" t="str">
        <f>TEXT(HLG_03[[#This Row],[Batch]],"000")&amp; " / " &amp; TEXT(HLG_03[[#This Row],[Rit]],"000")</f>
        <v>N/A / 000</v>
      </c>
      <c r="J269" s="34"/>
      <c r="K269" s="38"/>
      <c r="L269" s="35"/>
      <c r="M269" s="66"/>
      <c r="N269" s="66"/>
      <c r="O269" s="66"/>
      <c r="P269" s="66"/>
      <c r="Q269" s="66"/>
      <c r="R269" s="67"/>
      <c r="S269" s="67"/>
      <c r="T269" s="67"/>
      <c r="U269" s="66"/>
      <c r="V269" s="66"/>
      <c r="W269" s="66"/>
      <c r="X269" s="85"/>
      <c r="AP269" t="str">
        <v/>
      </c>
    </row>
    <row r="270" spans="4:42" ht="15.75" x14ac:dyDescent="0.25">
      <c r="D270" s="3">
        <v>1</v>
      </c>
      <c r="F270" s="16" t="str" cm="1">
        <f t="array" ref="F2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0" s="31" cm="1">
        <f t="array" ref="G2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0" s="33" t="str">
        <f>_xlfn.IFNA(IF(MOD(HLG_03[[#This Row],[Rit]],
    _xlfn.XLOOKUP($G$2,Int_Sample[Ore],Int_Sample[Inc])) = 0, "YES", "NO"),"")</f>
        <v/>
      </c>
      <c r="I270" s="32" t="str">
        <f>TEXT(HLG_03[[#This Row],[Batch]],"000")&amp; " / " &amp; TEXT(HLG_03[[#This Row],[Rit]],"000")</f>
        <v>N/A / 000</v>
      </c>
      <c r="J270" s="34"/>
      <c r="K270" s="38"/>
      <c r="L270" s="35"/>
      <c r="M270" s="66"/>
      <c r="N270" s="66"/>
      <c r="O270" s="66"/>
      <c r="P270" s="66"/>
      <c r="Q270" s="66"/>
      <c r="R270" s="67"/>
      <c r="S270" s="67"/>
      <c r="T270" s="67"/>
      <c r="U270" s="66"/>
      <c r="V270" s="66"/>
      <c r="W270" s="66"/>
      <c r="X270" s="85"/>
      <c r="AP270" t="str">
        <v/>
      </c>
    </row>
    <row r="271" spans="4:42" ht="15.75" x14ac:dyDescent="0.25">
      <c r="D271" s="3">
        <v>1</v>
      </c>
      <c r="F271" s="16" t="str" cm="1">
        <f t="array" ref="F2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1" s="31" cm="1">
        <f t="array" ref="G2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1" s="33" t="str">
        <f>_xlfn.IFNA(IF(MOD(HLG_03[[#This Row],[Rit]],
    _xlfn.XLOOKUP($G$2,Int_Sample[Ore],Int_Sample[Inc])) = 0, "YES", "NO"),"")</f>
        <v/>
      </c>
      <c r="I271" s="32" t="str">
        <f>TEXT(HLG_03[[#This Row],[Batch]],"000")&amp; " / " &amp; TEXT(HLG_03[[#This Row],[Rit]],"000")</f>
        <v>N/A / 000</v>
      </c>
      <c r="J271" s="34"/>
      <c r="K271" s="38"/>
      <c r="L271" s="35"/>
      <c r="M271" s="66"/>
      <c r="N271" s="66"/>
      <c r="O271" s="66"/>
      <c r="P271" s="66"/>
      <c r="Q271" s="66"/>
      <c r="R271" s="67"/>
      <c r="S271" s="67"/>
      <c r="T271" s="67"/>
      <c r="U271" s="66"/>
      <c r="V271" s="66"/>
      <c r="W271" s="66"/>
      <c r="X271" s="85"/>
      <c r="AP271" t="str">
        <v/>
      </c>
    </row>
    <row r="272" spans="4:42" ht="15.75" x14ac:dyDescent="0.25">
      <c r="D272" s="3">
        <v>1</v>
      </c>
      <c r="F272" s="16" t="str" cm="1">
        <f t="array" ref="F2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2" s="31" cm="1">
        <f t="array" ref="G2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2" s="33" t="str">
        <f>_xlfn.IFNA(IF(MOD(HLG_03[[#This Row],[Rit]],
    _xlfn.XLOOKUP($G$2,Int_Sample[Ore],Int_Sample[Inc])) = 0, "YES", "NO"),"")</f>
        <v/>
      </c>
      <c r="I272" s="32" t="str">
        <f>TEXT(HLG_03[[#This Row],[Batch]],"000")&amp; " / " &amp; TEXT(HLG_03[[#This Row],[Rit]],"000")</f>
        <v>N/A / 000</v>
      </c>
      <c r="J272" s="34"/>
      <c r="K272" s="38"/>
      <c r="L272" s="35"/>
      <c r="M272" s="66"/>
      <c r="N272" s="66"/>
      <c r="O272" s="66"/>
      <c r="P272" s="66"/>
      <c r="Q272" s="66"/>
      <c r="R272" s="67"/>
      <c r="S272" s="67"/>
      <c r="T272" s="67"/>
      <c r="U272" s="66"/>
      <c r="V272" s="66"/>
      <c r="W272" s="66"/>
      <c r="X272" s="85"/>
      <c r="AP272" t="str">
        <v/>
      </c>
    </row>
    <row r="273" spans="4:42" ht="15.75" x14ac:dyDescent="0.25">
      <c r="D273" s="3">
        <v>1</v>
      </c>
      <c r="F273" s="16" t="str" cm="1">
        <f t="array" ref="F2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3" s="31" cm="1">
        <f t="array" ref="G2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3" s="33" t="str">
        <f>_xlfn.IFNA(IF(MOD(HLG_03[[#This Row],[Rit]],
    _xlfn.XLOOKUP($G$2,Int_Sample[Ore],Int_Sample[Inc])) = 0, "YES", "NO"),"")</f>
        <v/>
      </c>
      <c r="I273" s="32" t="str">
        <f>TEXT(HLG_03[[#This Row],[Batch]],"000")&amp; " / " &amp; TEXT(HLG_03[[#This Row],[Rit]],"000")</f>
        <v>N/A / 000</v>
      </c>
      <c r="J273" s="34"/>
      <c r="K273" s="38"/>
      <c r="L273" s="35"/>
      <c r="M273" s="66"/>
      <c r="N273" s="66"/>
      <c r="O273" s="66"/>
      <c r="P273" s="66"/>
      <c r="Q273" s="66"/>
      <c r="R273" s="67"/>
      <c r="S273" s="67"/>
      <c r="T273" s="67"/>
      <c r="U273" s="66"/>
      <c r="V273" s="66"/>
      <c r="W273" s="66"/>
      <c r="X273" s="85"/>
      <c r="AP273" t="str">
        <v/>
      </c>
    </row>
    <row r="274" spans="4:42" ht="15.75" x14ac:dyDescent="0.25">
      <c r="D274" s="3">
        <v>1</v>
      </c>
      <c r="F274" s="16" t="str" cm="1">
        <f t="array" ref="F2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4" s="31" cm="1">
        <f t="array" ref="G2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4" s="33" t="str">
        <f>_xlfn.IFNA(IF(MOD(HLG_03[[#This Row],[Rit]],
    _xlfn.XLOOKUP($G$2,Int_Sample[Ore],Int_Sample[Inc])) = 0, "YES", "NO"),"")</f>
        <v/>
      </c>
      <c r="I274" s="32" t="str">
        <f>TEXT(HLG_03[[#This Row],[Batch]],"000")&amp; " / " &amp; TEXT(HLG_03[[#This Row],[Rit]],"000")</f>
        <v>N/A / 000</v>
      </c>
      <c r="J274" s="34"/>
      <c r="K274" s="38"/>
      <c r="L274" s="35"/>
      <c r="M274" s="66"/>
      <c r="N274" s="66"/>
      <c r="O274" s="66"/>
      <c r="P274" s="66"/>
      <c r="Q274" s="66"/>
      <c r="R274" s="67"/>
      <c r="S274" s="67"/>
      <c r="T274" s="67"/>
      <c r="U274" s="66"/>
      <c r="V274" s="66"/>
      <c r="W274" s="66"/>
      <c r="X274" s="85"/>
      <c r="AP274" t="str">
        <v/>
      </c>
    </row>
    <row r="275" spans="4:42" ht="15.75" x14ac:dyDescent="0.25">
      <c r="D275" s="3">
        <v>1</v>
      </c>
      <c r="F275" s="16" t="str" cm="1">
        <f t="array" ref="F2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5" s="31" cm="1">
        <f t="array" ref="G2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5" s="33" t="str">
        <f>_xlfn.IFNA(IF(MOD(HLG_03[[#This Row],[Rit]],
    _xlfn.XLOOKUP($G$2,Int_Sample[Ore],Int_Sample[Inc])) = 0, "YES", "NO"),"")</f>
        <v/>
      </c>
      <c r="I275" s="32" t="str">
        <f>TEXT(HLG_03[[#This Row],[Batch]],"000")&amp; " / " &amp; TEXT(HLG_03[[#This Row],[Rit]],"000")</f>
        <v>N/A / 000</v>
      </c>
      <c r="J275" s="34"/>
      <c r="K275" s="38"/>
      <c r="L275" s="35"/>
      <c r="M275" s="66"/>
      <c r="N275" s="66"/>
      <c r="O275" s="66"/>
      <c r="P275" s="66"/>
      <c r="Q275" s="66"/>
      <c r="R275" s="67"/>
      <c r="S275" s="67"/>
      <c r="T275" s="67"/>
      <c r="U275" s="66"/>
      <c r="V275" s="66"/>
      <c r="W275" s="66"/>
      <c r="X275" s="85"/>
      <c r="AP275" t="str">
        <v/>
      </c>
    </row>
    <row r="276" spans="4:42" ht="15.75" x14ac:dyDescent="0.25">
      <c r="D276" s="3">
        <v>1</v>
      </c>
      <c r="F276" s="16" t="str" cm="1">
        <f t="array" ref="F2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6" s="31" cm="1">
        <f t="array" ref="G2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6" s="33" t="str">
        <f>_xlfn.IFNA(IF(MOD(HLG_03[[#This Row],[Rit]],
    _xlfn.XLOOKUP($G$2,Int_Sample[Ore],Int_Sample[Inc])) = 0, "YES", "NO"),"")</f>
        <v/>
      </c>
      <c r="I276" s="32" t="str">
        <f>TEXT(HLG_03[[#This Row],[Batch]],"000")&amp; " / " &amp; TEXT(HLG_03[[#This Row],[Rit]],"000")</f>
        <v>N/A / 000</v>
      </c>
      <c r="J276" s="34"/>
      <c r="K276" s="38"/>
      <c r="L276" s="35"/>
      <c r="M276" s="66"/>
      <c r="N276" s="66"/>
      <c r="O276" s="66"/>
      <c r="P276" s="66"/>
      <c r="Q276" s="66"/>
      <c r="R276" s="67"/>
      <c r="S276" s="67"/>
      <c r="T276" s="67"/>
      <c r="U276" s="66"/>
      <c r="V276" s="66"/>
      <c r="W276" s="66"/>
      <c r="X276" s="85"/>
      <c r="AP276" t="str">
        <v/>
      </c>
    </row>
    <row r="277" spans="4:42" ht="15.75" x14ac:dyDescent="0.25">
      <c r="D277" s="3">
        <v>1</v>
      </c>
      <c r="F277" s="16" t="str" cm="1">
        <f t="array" ref="F2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7" s="31" cm="1">
        <f t="array" ref="G2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7" s="33" t="str">
        <f>_xlfn.IFNA(IF(MOD(HLG_03[[#This Row],[Rit]],
    _xlfn.XLOOKUP($G$2,Int_Sample[Ore],Int_Sample[Inc])) = 0, "YES", "NO"),"")</f>
        <v/>
      </c>
      <c r="I277" s="32" t="str">
        <f>TEXT(HLG_03[[#This Row],[Batch]],"000")&amp; " / " &amp; TEXT(HLG_03[[#This Row],[Rit]],"000")</f>
        <v>N/A / 000</v>
      </c>
      <c r="J277" s="34"/>
      <c r="K277" s="38"/>
      <c r="L277" s="35"/>
      <c r="M277" s="66"/>
      <c r="N277" s="66"/>
      <c r="O277" s="66"/>
      <c r="P277" s="66"/>
      <c r="Q277" s="66"/>
      <c r="R277" s="67"/>
      <c r="S277" s="67"/>
      <c r="T277" s="67"/>
      <c r="U277" s="66"/>
      <c r="V277" s="66"/>
      <c r="W277" s="66"/>
      <c r="X277" s="85"/>
      <c r="AP277" t="str">
        <v/>
      </c>
    </row>
    <row r="278" spans="4:42" ht="15.75" x14ac:dyDescent="0.25">
      <c r="D278" s="3">
        <v>1</v>
      </c>
      <c r="F278" s="16" t="str" cm="1">
        <f t="array" ref="F2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8" s="31" cm="1">
        <f t="array" ref="G2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8" s="33" t="str">
        <f>_xlfn.IFNA(IF(MOD(HLG_03[[#This Row],[Rit]],
    _xlfn.XLOOKUP($G$2,Int_Sample[Ore],Int_Sample[Inc])) = 0, "YES", "NO"),"")</f>
        <v/>
      </c>
      <c r="I278" s="32" t="str">
        <f>TEXT(HLG_03[[#This Row],[Batch]],"000")&amp; " / " &amp; TEXT(HLG_03[[#This Row],[Rit]],"000")</f>
        <v>N/A / 000</v>
      </c>
      <c r="J278" s="34"/>
      <c r="K278" s="38"/>
      <c r="L278" s="35"/>
      <c r="M278" s="66"/>
      <c r="N278" s="66"/>
      <c r="O278" s="66"/>
      <c r="P278" s="66"/>
      <c r="Q278" s="66"/>
      <c r="R278" s="67"/>
      <c r="S278" s="67"/>
      <c r="T278" s="67"/>
      <c r="U278" s="66"/>
      <c r="V278" s="66"/>
      <c r="W278" s="66"/>
      <c r="X278" s="85"/>
      <c r="AP278" t="str">
        <v/>
      </c>
    </row>
    <row r="279" spans="4:42" ht="15.75" x14ac:dyDescent="0.25">
      <c r="D279" s="3">
        <v>1</v>
      </c>
      <c r="F279" s="16" t="str" cm="1">
        <f t="array" ref="F2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9" s="31" cm="1">
        <f t="array" ref="G2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9" s="33" t="str">
        <f>_xlfn.IFNA(IF(MOD(HLG_03[[#This Row],[Rit]],
    _xlfn.XLOOKUP($G$2,Int_Sample[Ore],Int_Sample[Inc])) = 0, "YES", "NO"),"")</f>
        <v/>
      </c>
      <c r="I279" s="32" t="str">
        <f>TEXT(HLG_03[[#This Row],[Batch]],"000")&amp; " / " &amp; TEXT(HLG_03[[#This Row],[Rit]],"000")</f>
        <v>N/A / 000</v>
      </c>
      <c r="J279" s="34"/>
      <c r="K279" s="38"/>
      <c r="L279" s="35"/>
      <c r="M279" s="66"/>
      <c r="N279" s="66"/>
      <c r="O279" s="66"/>
      <c r="P279" s="66"/>
      <c r="Q279" s="66"/>
      <c r="R279" s="67"/>
      <c r="S279" s="67"/>
      <c r="T279" s="67"/>
      <c r="U279" s="66"/>
      <c r="V279" s="66"/>
      <c r="W279" s="66"/>
      <c r="X279" s="85"/>
      <c r="AP279" t="str">
        <v/>
      </c>
    </row>
    <row r="280" spans="4:42" ht="15.75" x14ac:dyDescent="0.25">
      <c r="D280" s="3">
        <v>1</v>
      </c>
      <c r="F280" s="16" t="str" cm="1">
        <f t="array" ref="F2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0" s="31" cm="1">
        <f t="array" ref="G2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0" s="33" t="str">
        <f>_xlfn.IFNA(IF(MOD(HLG_03[[#This Row],[Rit]],
    _xlfn.XLOOKUP($G$2,Int_Sample[Ore],Int_Sample[Inc])) = 0, "YES", "NO"),"")</f>
        <v/>
      </c>
      <c r="I280" s="32" t="str">
        <f>TEXT(HLG_03[[#This Row],[Batch]],"000")&amp; " / " &amp; TEXT(HLG_03[[#This Row],[Rit]],"000")</f>
        <v>N/A / 000</v>
      </c>
      <c r="J280" s="34"/>
      <c r="K280" s="38"/>
      <c r="L280" s="35"/>
      <c r="M280" s="66"/>
      <c r="N280" s="66"/>
      <c r="O280" s="66"/>
      <c r="P280" s="66"/>
      <c r="Q280" s="66"/>
      <c r="R280" s="67"/>
      <c r="S280" s="67"/>
      <c r="T280" s="67"/>
      <c r="U280" s="66"/>
      <c r="V280" s="66"/>
      <c r="W280" s="66"/>
      <c r="X280" s="85"/>
      <c r="AP280" t="str">
        <v/>
      </c>
    </row>
    <row r="281" spans="4:42" ht="15.75" x14ac:dyDescent="0.25">
      <c r="D281" s="3">
        <v>1</v>
      </c>
      <c r="F281" s="16" t="str" cm="1">
        <f t="array" ref="F2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1" s="31" cm="1">
        <f t="array" ref="G2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1" s="33" t="str">
        <f>_xlfn.IFNA(IF(MOD(HLG_03[[#This Row],[Rit]],
    _xlfn.XLOOKUP($G$2,Int_Sample[Ore],Int_Sample[Inc])) = 0, "YES", "NO"),"")</f>
        <v/>
      </c>
      <c r="I281" s="32" t="str">
        <f>TEXT(HLG_03[[#This Row],[Batch]],"000")&amp; " / " &amp; TEXT(HLG_03[[#This Row],[Rit]],"000")</f>
        <v>N/A / 000</v>
      </c>
      <c r="J281" s="34"/>
      <c r="K281" s="38"/>
      <c r="L281" s="35"/>
      <c r="M281" s="66"/>
      <c r="N281" s="66"/>
      <c r="O281" s="66"/>
      <c r="P281" s="66"/>
      <c r="Q281" s="66"/>
      <c r="R281" s="67"/>
      <c r="S281" s="67"/>
      <c r="T281" s="67"/>
      <c r="U281" s="66"/>
      <c r="V281" s="66"/>
      <c r="W281" s="66"/>
      <c r="X281" s="85"/>
      <c r="AP281" t="str">
        <v/>
      </c>
    </row>
    <row r="282" spans="4:42" ht="15.75" x14ac:dyDescent="0.25">
      <c r="D282" s="3">
        <v>1</v>
      </c>
      <c r="F282" s="16" t="str" cm="1">
        <f t="array" ref="F2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2" s="31" cm="1">
        <f t="array" ref="G2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2" s="33" t="str">
        <f>_xlfn.IFNA(IF(MOD(HLG_03[[#This Row],[Rit]],
    _xlfn.XLOOKUP($G$2,Int_Sample[Ore],Int_Sample[Inc])) = 0, "YES", "NO"),"")</f>
        <v/>
      </c>
      <c r="I282" s="32" t="str">
        <f>TEXT(HLG_03[[#This Row],[Batch]],"000")&amp; " / " &amp; TEXT(HLG_03[[#This Row],[Rit]],"000")</f>
        <v>N/A / 000</v>
      </c>
      <c r="J282" s="34"/>
      <c r="K282" s="38"/>
      <c r="L282" s="35"/>
      <c r="M282" s="66"/>
      <c r="N282" s="66"/>
      <c r="O282" s="66"/>
      <c r="P282" s="66"/>
      <c r="Q282" s="66"/>
      <c r="R282" s="67"/>
      <c r="S282" s="67"/>
      <c r="T282" s="67"/>
      <c r="U282" s="66"/>
      <c r="V282" s="66"/>
      <c r="W282" s="66"/>
      <c r="X282" s="85"/>
      <c r="AP282" t="str">
        <v/>
      </c>
    </row>
    <row r="283" spans="4:42" ht="15.75" x14ac:dyDescent="0.25">
      <c r="D283" s="3">
        <v>1</v>
      </c>
      <c r="F283" s="16" t="str" cm="1">
        <f t="array" ref="F2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3" s="31" cm="1">
        <f t="array" ref="G2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3" s="33" t="str">
        <f>_xlfn.IFNA(IF(MOD(HLG_03[[#This Row],[Rit]],
    _xlfn.XLOOKUP($G$2,Int_Sample[Ore],Int_Sample[Inc])) = 0, "YES", "NO"),"")</f>
        <v/>
      </c>
      <c r="I283" s="32" t="str">
        <f>TEXT(HLG_03[[#This Row],[Batch]],"000")&amp; " / " &amp; TEXT(HLG_03[[#This Row],[Rit]],"000")</f>
        <v>N/A / 000</v>
      </c>
      <c r="J283" s="34"/>
      <c r="K283" s="38"/>
      <c r="L283" s="35"/>
      <c r="M283" s="66"/>
      <c r="N283" s="66"/>
      <c r="O283" s="66"/>
      <c r="P283" s="66"/>
      <c r="Q283" s="66"/>
      <c r="R283" s="67"/>
      <c r="S283" s="67"/>
      <c r="T283" s="67"/>
      <c r="U283" s="66"/>
      <c r="V283" s="66"/>
      <c r="W283" s="66"/>
      <c r="X283" s="85"/>
      <c r="AP283" t="str">
        <v/>
      </c>
    </row>
    <row r="284" spans="4:42" ht="15.75" x14ac:dyDescent="0.25">
      <c r="D284" s="3">
        <v>1</v>
      </c>
      <c r="F284" s="16" t="str" cm="1">
        <f t="array" ref="F2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4" s="31" cm="1">
        <f t="array" ref="G2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4" s="33" t="str">
        <f>_xlfn.IFNA(IF(MOD(HLG_03[[#This Row],[Rit]],
    _xlfn.XLOOKUP($G$2,Int_Sample[Ore],Int_Sample[Inc])) = 0, "YES", "NO"),"")</f>
        <v/>
      </c>
      <c r="I284" s="32" t="str">
        <f>TEXT(HLG_03[[#This Row],[Batch]],"000")&amp; " / " &amp; TEXT(HLG_03[[#This Row],[Rit]],"000")</f>
        <v>N/A / 000</v>
      </c>
      <c r="J284" s="34"/>
      <c r="K284" s="38"/>
      <c r="L284" s="35"/>
      <c r="M284" s="66"/>
      <c r="N284" s="66"/>
      <c r="O284" s="66"/>
      <c r="P284" s="66"/>
      <c r="Q284" s="66"/>
      <c r="R284" s="67"/>
      <c r="S284" s="67"/>
      <c r="T284" s="67"/>
      <c r="U284" s="66"/>
      <c r="V284" s="66"/>
      <c r="W284" s="66"/>
      <c r="X284" s="85"/>
      <c r="AP284" t="str">
        <v/>
      </c>
    </row>
    <row r="285" spans="4:42" ht="15.75" x14ac:dyDescent="0.25">
      <c r="D285" s="3">
        <v>1</v>
      </c>
      <c r="F285" s="16" t="str" cm="1">
        <f t="array" ref="F2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5" s="31" cm="1">
        <f t="array" ref="G2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5" s="33" t="str">
        <f>_xlfn.IFNA(IF(MOD(HLG_03[[#This Row],[Rit]],
    _xlfn.XLOOKUP($G$2,Int_Sample[Ore],Int_Sample[Inc])) = 0, "YES", "NO"),"")</f>
        <v/>
      </c>
      <c r="I285" s="32" t="str">
        <f>TEXT(HLG_03[[#This Row],[Batch]],"000")&amp; " / " &amp; TEXT(HLG_03[[#This Row],[Rit]],"000")</f>
        <v>N/A / 000</v>
      </c>
      <c r="J285" s="34"/>
      <c r="K285" s="38"/>
      <c r="L285" s="35"/>
      <c r="M285" s="66"/>
      <c r="N285" s="66"/>
      <c r="O285" s="66"/>
      <c r="P285" s="66"/>
      <c r="Q285" s="66"/>
      <c r="R285" s="67"/>
      <c r="S285" s="67"/>
      <c r="T285" s="67"/>
      <c r="U285" s="66"/>
      <c r="V285" s="66"/>
      <c r="W285" s="66"/>
      <c r="X285" s="85"/>
      <c r="AP285" t="str">
        <v/>
      </c>
    </row>
    <row r="286" spans="4:42" ht="15.75" x14ac:dyDescent="0.25">
      <c r="D286" s="3">
        <v>1</v>
      </c>
      <c r="F286" s="16" t="str" cm="1">
        <f t="array" ref="F2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6" s="31" cm="1">
        <f t="array" ref="G2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6" s="33" t="str">
        <f>_xlfn.IFNA(IF(MOD(HLG_03[[#This Row],[Rit]],
    _xlfn.XLOOKUP($G$2,Int_Sample[Ore],Int_Sample[Inc])) = 0, "YES", "NO"),"")</f>
        <v/>
      </c>
      <c r="I286" s="32" t="str">
        <f>TEXT(HLG_03[[#This Row],[Batch]],"000")&amp; " / " &amp; TEXT(HLG_03[[#This Row],[Rit]],"000")</f>
        <v>N/A / 000</v>
      </c>
      <c r="J286" s="34"/>
      <c r="K286" s="38"/>
      <c r="L286" s="35"/>
      <c r="M286" s="66"/>
      <c r="N286" s="66"/>
      <c r="O286" s="66"/>
      <c r="P286" s="66"/>
      <c r="Q286" s="66"/>
      <c r="R286" s="67"/>
      <c r="S286" s="67"/>
      <c r="T286" s="67"/>
      <c r="U286" s="66"/>
      <c r="V286" s="66"/>
      <c r="W286" s="66"/>
      <c r="X286" s="85"/>
      <c r="AP286" t="str">
        <v/>
      </c>
    </row>
    <row r="287" spans="4:42" ht="15.75" x14ac:dyDescent="0.25">
      <c r="D287" s="3">
        <v>1</v>
      </c>
      <c r="F287" s="16" t="str" cm="1">
        <f t="array" ref="F2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7" s="31" cm="1">
        <f t="array" ref="G2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7" s="33" t="str">
        <f>_xlfn.IFNA(IF(MOD(HLG_03[[#This Row],[Rit]],
    _xlfn.XLOOKUP($G$2,Int_Sample[Ore],Int_Sample[Inc])) = 0, "YES", "NO"),"")</f>
        <v/>
      </c>
      <c r="I287" s="32" t="str">
        <f>TEXT(HLG_03[[#This Row],[Batch]],"000")&amp; " / " &amp; TEXT(HLG_03[[#This Row],[Rit]],"000")</f>
        <v>N/A / 000</v>
      </c>
      <c r="J287" s="34"/>
      <c r="K287" s="38"/>
      <c r="L287" s="35"/>
      <c r="M287" s="66"/>
      <c r="N287" s="66"/>
      <c r="O287" s="66"/>
      <c r="P287" s="66"/>
      <c r="Q287" s="66"/>
      <c r="R287" s="67"/>
      <c r="S287" s="67"/>
      <c r="T287" s="67"/>
      <c r="U287" s="66"/>
      <c r="V287" s="66"/>
      <c r="W287" s="66"/>
      <c r="X287" s="85"/>
      <c r="AP287" t="str">
        <v/>
      </c>
    </row>
    <row r="288" spans="4:42" ht="15.75" x14ac:dyDescent="0.25">
      <c r="D288" s="3">
        <v>1</v>
      </c>
      <c r="F288" s="16" t="str" cm="1">
        <f t="array" ref="F2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8" s="31" cm="1">
        <f t="array" ref="G2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8" s="33" t="str">
        <f>_xlfn.IFNA(IF(MOD(HLG_03[[#This Row],[Rit]],
    _xlfn.XLOOKUP($G$2,Int_Sample[Ore],Int_Sample[Inc])) = 0, "YES", "NO"),"")</f>
        <v/>
      </c>
      <c r="I288" s="32" t="str">
        <f>TEXT(HLG_03[[#This Row],[Batch]],"000")&amp; " / " &amp; TEXT(HLG_03[[#This Row],[Rit]],"000")</f>
        <v>N/A / 000</v>
      </c>
      <c r="J288" s="34"/>
      <c r="K288" s="38"/>
      <c r="L288" s="35"/>
      <c r="M288" s="66"/>
      <c r="N288" s="66"/>
      <c r="O288" s="66"/>
      <c r="P288" s="66"/>
      <c r="Q288" s="66"/>
      <c r="R288" s="67"/>
      <c r="S288" s="67"/>
      <c r="T288" s="67"/>
      <c r="U288" s="66"/>
      <c r="V288" s="66"/>
      <c r="W288" s="66"/>
      <c r="X288" s="85"/>
      <c r="AP288" t="str">
        <v/>
      </c>
    </row>
    <row r="289" spans="4:42" ht="15.75" x14ac:dyDescent="0.25">
      <c r="D289" s="3">
        <v>1</v>
      </c>
      <c r="F289" s="16" t="str" cm="1">
        <f t="array" ref="F2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9" s="31" cm="1">
        <f t="array" ref="G2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9" s="33" t="str">
        <f>_xlfn.IFNA(IF(MOD(HLG_03[[#This Row],[Rit]],
    _xlfn.XLOOKUP($G$2,Int_Sample[Ore],Int_Sample[Inc])) = 0, "YES", "NO"),"")</f>
        <v/>
      </c>
      <c r="I289" s="32" t="str">
        <f>TEXT(HLG_03[[#This Row],[Batch]],"000")&amp; " / " &amp; TEXT(HLG_03[[#This Row],[Rit]],"000")</f>
        <v>N/A / 000</v>
      </c>
      <c r="J289" s="34"/>
      <c r="K289" s="38"/>
      <c r="L289" s="35"/>
      <c r="M289" s="66"/>
      <c r="N289" s="66"/>
      <c r="O289" s="66"/>
      <c r="P289" s="66"/>
      <c r="Q289" s="66"/>
      <c r="R289" s="67"/>
      <c r="S289" s="67"/>
      <c r="T289" s="67"/>
      <c r="U289" s="66"/>
      <c r="V289" s="66"/>
      <c r="W289" s="66"/>
      <c r="X289" s="85"/>
      <c r="AP289" t="str">
        <v/>
      </c>
    </row>
    <row r="290" spans="4:42" ht="15.75" x14ac:dyDescent="0.25">
      <c r="D290" s="3">
        <v>1</v>
      </c>
      <c r="F290" s="16" t="str" cm="1">
        <f t="array" ref="F2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0" s="31" cm="1">
        <f t="array" ref="G2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0" s="33" t="str">
        <f>_xlfn.IFNA(IF(MOD(HLG_03[[#This Row],[Rit]],
    _xlfn.XLOOKUP($G$2,Int_Sample[Ore],Int_Sample[Inc])) = 0, "YES", "NO"),"")</f>
        <v/>
      </c>
      <c r="I290" s="32" t="str">
        <f>TEXT(HLG_03[[#This Row],[Batch]],"000")&amp; " / " &amp; TEXT(HLG_03[[#This Row],[Rit]],"000")</f>
        <v>N/A / 000</v>
      </c>
      <c r="J290" s="34"/>
      <c r="K290" s="38"/>
      <c r="L290" s="35"/>
      <c r="M290" s="66"/>
      <c r="N290" s="66"/>
      <c r="O290" s="66"/>
      <c r="P290" s="66"/>
      <c r="Q290" s="66"/>
      <c r="R290" s="67"/>
      <c r="S290" s="67"/>
      <c r="T290" s="67"/>
      <c r="U290" s="66"/>
      <c r="V290" s="66"/>
      <c r="W290" s="66"/>
      <c r="X290" s="85"/>
      <c r="AP290" t="str">
        <v/>
      </c>
    </row>
    <row r="291" spans="4:42" ht="15.75" x14ac:dyDescent="0.25">
      <c r="D291" s="3">
        <v>1</v>
      </c>
      <c r="F291" s="16" t="str" cm="1">
        <f t="array" ref="F2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1" s="31" cm="1">
        <f t="array" ref="G2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1" s="33" t="str">
        <f>_xlfn.IFNA(IF(MOD(HLG_03[[#This Row],[Rit]],
    _xlfn.XLOOKUP($G$2,Int_Sample[Ore],Int_Sample[Inc])) = 0, "YES", "NO"),"")</f>
        <v/>
      </c>
      <c r="I291" s="32" t="str">
        <f>TEXT(HLG_03[[#This Row],[Batch]],"000")&amp; " / " &amp; TEXT(HLG_03[[#This Row],[Rit]],"000")</f>
        <v>N/A / 000</v>
      </c>
      <c r="J291" s="34"/>
      <c r="K291" s="38"/>
      <c r="L291" s="35"/>
      <c r="M291" s="66"/>
      <c r="N291" s="66"/>
      <c r="O291" s="66"/>
      <c r="P291" s="66"/>
      <c r="Q291" s="66"/>
      <c r="R291" s="67"/>
      <c r="S291" s="67"/>
      <c r="T291" s="67"/>
      <c r="U291" s="66"/>
      <c r="V291" s="66"/>
      <c r="W291" s="66"/>
      <c r="X291" s="85"/>
      <c r="AP291" t="str">
        <v/>
      </c>
    </row>
    <row r="292" spans="4:42" ht="15.75" x14ac:dyDescent="0.25">
      <c r="D292" s="3">
        <v>1</v>
      </c>
      <c r="F292" s="16" t="str" cm="1">
        <f t="array" ref="F2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2" s="31" cm="1">
        <f t="array" ref="G2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2" s="33" t="str">
        <f>_xlfn.IFNA(IF(MOD(HLG_03[[#This Row],[Rit]],
    _xlfn.XLOOKUP($G$2,Int_Sample[Ore],Int_Sample[Inc])) = 0, "YES", "NO"),"")</f>
        <v/>
      </c>
      <c r="I292" s="32" t="str">
        <f>TEXT(HLG_03[[#This Row],[Batch]],"000")&amp; " / " &amp; TEXT(HLG_03[[#This Row],[Rit]],"000")</f>
        <v>N/A / 000</v>
      </c>
      <c r="J292" s="34"/>
      <c r="K292" s="38"/>
      <c r="L292" s="35"/>
      <c r="M292" s="66"/>
      <c r="N292" s="66"/>
      <c r="O292" s="66"/>
      <c r="P292" s="66"/>
      <c r="Q292" s="66"/>
      <c r="R292" s="67"/>
      <c r="S292" s="67"/>
      <c r="T292" s="67"/>
      <c r="U292" s="66"/>
      <c r="V292" s="66"/>
      <c r="W292" s="66"/>
      <c r="X292" s="85"/>
      <c r="AP292" t="str">
        <v/>
      </c>
    </row>
    <row r="293" spans="4:42" ht="15.75" x14ac:dyDescent="0.25">
      <c r="D293" s="3">
        <v>1</v>
      </c>
      <c r="F293" s="16" t="str" cm="1">
        <f t="array" ref="F2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3" s="31" cm="1">
        <f t="array" ref="G2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3" s="33" t="str">
        <f>_xlfn.IFNA(IF(MOD(HLG_03[[#This Row],[Rit]],
    _xlfn.XLOOKUP($G$2,Int_Sample[Ore],Int_Sample[Inc])) = 0, "YES", "NO"),"")</f>
        <v/>
      </c>
      <c r="I293" s="32" t="str">
        <f>TEXT(HLG_03[[#This Row],[Batch]],"000")&amp; " / " &amp; TEXT(HLG_03[[#This Row],[Rit]],"000")</f>
        <v>N/A / 000</v>
      </c>
      <c r="J293" s="34"/>
      <c r="K293" s="38"/>
      <c r="L293" s="35"/>
      <c r="M293" s="66"/>
      <c r="N293" s="66"/>
      <c r="O293" s="66"/>
      <c r="P293" s="66"/>
      <c r="Q293" s="66"/>
      <c r="R293" s="67"/>
      <c r="S293" s="67"/>
      <c r="T293" s="67"/>
      <c r="U293" s="66"/>
      <c r="V293" s="66"/>
      <c r="W293" s="66"/>
      <c r="X293" s="85"/>
      <c r="AP293" t="str">
        <v/>
      </c>
    </row>
    <row r="294" spans="4:42" ht="15.75" x14ac:dyDescent="0.25">
      <c r="D294" s="3">
        <v>1</v>
      </c>
      <c r="F294" s="16" t="str" cm="1">
        <f t="array" ref="F2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4" s="31" cm="1">
        <f t="array" ref="G2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4" s="33" t="str">
        <f>_xlfn.IFNA(IF(MOD(HLG_03[[#This Row],[Rit]],
    _xlfn.XLOOKUP($G$2,Int_Sample[Ore],Int_Sample[Inc])) = 0, "YES", "NO"),"")</f>
        <v/>
      </c>
      <c r="I294" s="32" t="str">
        <f>TEXT(HLG_03[[#This Row],[Batch]],"000")&amp; " / " &amp; TEXT(HLG_03[[#This Row],[Rit]],"000")</f>
        <v>N/A / 000</v>
      </c>
      <c r="J294" s="34"/>
      <c r="K294" s="38"/>
      <c r="L294" s="35"/>
      <c r="M294" s="66"/>
      <c r="N294" s="66"/>
      <c r="O294" s="66"/>
      <c r="P294" s="66"/>
      <c r="Q294" s="66"/>
      <c r="R294" s="67"/>
      <c r="S294" s="67"/>
      <c r="T294" s="67"/>
      <c r="U294" s="66"/>
      <c r="V294" s="66"/>
      <c r="W294" s="66"/>
      <c r="X294" s="85"/>
      <c r="AP294" t="str">
        <v/>
      </c>
    </row>
    <row r="295" spans="4:42" ht="15.75" x14ac:dyDescent="0.25">
      <c r="D295" s="3">
        <v>1</v>
      </c>
      <c r="F295" s="16" t="str" cm="1">
        <f t="array" ref="F2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5" s="31" cm="1">
        <f t="array" ref="G2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5" s="33" t="str">
        <f>_xlfn.IFNA(IF(MOD(HLG_03[[#This Row],[Rit]],
    _xlfn.XLOOKUP($G$2,Int_Sample[Ore],Int_Sample[Inc])) = 0, "YES", "NO"),"")</f>
        <v/>
      </c>
      <c r="I295" s="32" t="str">
        <f>TEXT(HLG_03[[#This Row],[Batch]],"000")&amp; " / " &amp; TEXT(HLG_03[[#This Row],[Rit]],"000")</f>
        <v>N/A / 000</v>
      </c>
      <c r="J295" s="34"/>
      <c r="K295" s="38"/>
      <c r="L295" s="35"/>
      <c r="M295" s="66"/>
      <c r="N295" s="66"/>
      <c r="O295" s="66"/>
      <c r="P295" s="66"/>
      <c r="Q295" s="66"/>
      <c r="R295" s="67"/>
      <c r="S295" s="67"/>
      <c r="T295" s="67"/>
      <c r="U295" s="66"/>
      <c r="V295" s="66"/>
      <c r="W295" s="66"/>
      <c r="X295" s="85"/>
      <c r="AP295" t="str">
        <v/>
      </c>
    </row>
    <row r="296" spans="4:42" ht="15.75" x14ac:dyDescent="0.25">
      <c r="D296" s="3">
        <v>1</v>
      </c>
      <c r="F296" s="16" t="str" cm="1">
        <f t="array" ref="F2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6" s="31" cm="1">
        <f t="array" ref="G2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6" s="33" t="str">
        <f>_xlfn.IFNA(IF(MOD(HLG_03[[#This Row],[Rit]],
    _xlfn.XLOOKUP($G$2,Int_Sample[Ore],Int_Sample[Inc])) = 0, "YES", "NO"),"")</f>
        <v/>
      </c>
      <c r="I296" s="32" t="str">
        <f>TEXT(HLG_03[[#This Row],[Batch]],"000")&amp; " / " &amp; TEXT(HLG_03[[#This Row],[Rit]],"000")</f>
        <v>N/A / 000</v>
      </c>
      <c r="J296" s="34"/>
      <c r="K296" s="38"/>
      <c r="L296" s="35"/>
      <c r="M296" s="66"/>
      <c r="N296" s="66"/>
      <c r="O296" s="66"/>
      <c r="P296" s="66"/>
      <c r="Q296" s="66"/>
      <c r="R296" s="67"/>
      <c r="S296" s="67"/>
      <c r="T296" s="67"/>
      <c r="U296" s="66"/>
      <c r="V296" s="66"/>
      <c r="W296" s="66"/>
      <c r="X296" s="85"/>
      <c r="AP296" t="str">
        <v/>
      </c>
    </row>
    <row r="297" spans="4:42" ht="15.75" x14ac:dyDescent="0.25">
      <c r="D297" s="3">
        <v>1</v>
      </c>
      <c r="F297" s="16" t="str" cm="1">
        <f t="array" ref="F2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7" s="31" cm="1">
        <f t="array" ref="G2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7" s="33" t="str">
        <f>_xlfn.IFNA(IF(MOD(HLG_03[[#This Row],[Rit]],
    _xlfn.XLOOKUP($G$2,Int_Sample[Ore],Int_Sample[Inc])) = 0, "YES", "NO"),"")</f>
        <v/>
      </c>
      <c r="I297" s="32" t="str">
        <f>TEXT(HLG_03[[#This Row],[Batch]],"000")&amp; " / " &amp; TEXT(HLG_03[[#This Row],[Rit]],"000")</f>
        <v>N/A / 000</v>
      </c>
      <c r="J297" s="34"/>
      <c r="K297" s="38"/>
      <c r="L297" s="35"/>
      <c r="M297" s="66"/>
      <c r="N297" s="66"/>
      <c r="O297" s="66"/>
      <c r="P297" s="66"/>
      <c r="Q297" s="66"/>
      <c r="R297" s="67"/>
      <c r="S297" s="67"/>
      <c r="T297" s="67"/>
      <c r="U297" s="66"/>
      <c r="V297" s="66"/>
      <c r="W297" s="66"/>
      <c r="X297" s="85"/>
      <c r="AP297" t="str">
        <v/>
      </c>
    </row>
    <row r="298" spans="4:42" ht="15.75" x14ac:dyDescent="0.25">
      <c r="D298" s="3">
        <v>1</v>
      </c>
      <c r="F298" s="16" t="str" cm="1">
        <f t="array" ref="F2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8" s="31" cm="1">
        <f t="array" ref="G2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8" s="33" t="str">
        <f>_xlfn.IFNA(IF(MOD(HLG_03[[#This Row],[Rit]],
    _xlfn.XLOOKUP($G$2,Int_Sample[Ore],Int_Sample[Inc])) = 0, "YES", "NO"),"")</f>
        <v/>
      </c>
      <c r="I298" s="32" t="str">
        <f>TEXT(HLG_03[[#This Row],[Batch]],"000")&amp; " / " &amp; TEXT(HLG_03[[#This Row],[Rit]],"000")</f>
        <v>N/A / 000</v>
      </c>
      <c r="J298" s="34"/>
      <c r="K298" s="38"/>
      <c r="L298" s="35"/>
      <c r="M298" s="66"/>
      <c r="N298" s="66"/>
      <c r="O298" s="66"/>
      <c r="P298" s="66"/>
      <c r="Q298" s="66"/>
      <c r="R298" s="67"/>
      <c r="S298" s="67"/>
      <c r="T298" s="67"/>
      <c r="U298" s="66"/>
      <c r="V298" s="66"/>
      <c r="W298" s="66"/>
      <c r="X298" s="85"/>
      <c r="AP298" t="str">
        <v/>
      </c>
    </row>
    <row r="299" spans="4:42" ht="15.75" x14ac:dyDescent="0.25">
      <c r="D299" s="3">
        <v>1</v>
      </c>
      <c r="F299" s="16" t="str" cm="1">
        <f t="array" ref="F2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9" s="31" cm="1">
        <f t="array" ref="G2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9" s="33" t="str">
        <f>_xlfn.IFNA(IF(MOD(HLG_03[[#This Row],[Rit]],
    _xlfn.XLOOKUP($G$2,Int_Sample[Ore],Int_Sample[Inc])) = 0, "YES", "NO"),"")</f>
        <v/>
      </c>
      <c r="I299" s="32" t="str">
        <f>TEXT(HLG_03[[#This Row],[Batch]],"000")&amp; " / " &amp; TEXT(HLG_03[[#This Row],[Rit]],"000")</f>
        <v>N/A / 000</v>
      </c>
      <c r="J299" s="34"/>
      <c r="K299" s="38"/>
      <c r="L299" s="35"/>
      <c r="M299" s="66"/>
      <c r="N299" s="66"/>
      <c r="O299" s="66"/>
      <c r="P299" s="66"/>
      <c r="Q299" s="66"/>
      <c r="R299" s="67"/>
      <c r="S299" s="67"/>
      <c r="T299" s="67"/>
      <c r="U299" s="66"/>
      <c r="V299" s="66"/>
      <c r="W299" s="66"/>
      <c r="X299" s="85"/>
      <c r="AP299" t="str">
        <v/>
      </c>
    </row>
    <row r="300" spans="4:42" ht="15.75" x14ac:dyDescent="0.25">
      <c r="D300" s="3">
        <v>1</v>
      </c>
      <c r="F300" s="16" t="str" cm="1">
        <f t="array" ref="F3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0" s="31" cm="1">
        <f t="array" ref="G3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0" s="33" t="str">
        <f>_xlfn.IFNA(IF(MOD(HLG_03[[#This Row],[Rit]],
    _xlfn.XLOOKUP($G$2,Int_Sample[Ore],Int_Sample[Inc])) = 0, "YES", "NO"),"")</f>
        <v/>
      </c>
      <c r="I300" s="32" t="str">
        <f>TEXT(HLG_03[[#This Row],[Batch]],"000")&amp; " / " &amp; TEXT(HLG_03[[#This Row],[Rit]],"000")</f>
        <v>N/A / 000</v>
      </c>
      <c r="J300" s="34"/>
      <c r="K300" s="38"/>
      <c r="L300" s="35"/>
      <c r="M300" s="66"/>
      <c r="N300" s="66"/>
      <c r="O300" s="66"/>
      <c r="P300" s="66"/>
      <c r="Q300" s="66"/>
      <c r="R300" s="67"/>
      <c r="S300" s="67"/>
      <c r="T300" s="67"/>
      <c r="U300" s="66"/>
      <c r="V300" s="66"/>
      <c r="W300" s="66"/>
      <c r="X300" s="85"/>
      <c r="AP300" t="str">
        <v/>
      </c>
    </row>
    <row r="301" spans="4:42" ht="15.75" x14ac:dyDescent="0.25">
      <c r="D301" s="3">
        <v>1</v>
      </c>
      <c r="F301" s="16" t="str" cm="1">
        <f t="array" ref="F3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1" s="31" cm="1">
        <f t="array" ref="G3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1" s="33" t="str">
        <f>_xlfn.IFNA(IF(MOD(HLG_03[[#This Row],[Rit]],
    _xlfn.XLOOKUP($G$2,Int_Sample[Ore],Int_Sample[Inc])) = 0, "YES", "NO"),"")</f>
        <v/>
      </c>
      <c r="I301" s="32" t="str">
        <f>TEXT(HLG_03[[#This Row],[Batch]],"000")&amp; " / " &amp; TEXT(HLG_03[[#This Row],[Rit]],"000")</f>
        <v>N/A / 000</v>
      </c>
      <c r="J301" s="34"/>
      <c r="K301" s="38"/>
      <c r="L301" s="35"/>
      <c r="M301" s="66"/>
      <c r="N301" s="66"/>
      <c r="O301" s="66"/>
      <c r="P301" s="66"/>
      <c r="Q301" s="66"/>
      <c r="R301" s="67"/>
      <c r="S301" s="67"/>
      <c r="T301" s="67"/>
      <c r="U301" s="66"/>
      <c r="V301" s="66"/>
      <c r="W301" s="66"/>
      <c r="X301" s="85"/>
      <c r="AP301" t="str">
        <v/>
      </c>
    </row>
    <row r="302" spans="4:42" ht="15.75" x14ac:dyDescent="0.25">
      <c r="D302" s="3">
        <v>1</v>
      </c>
      <c r="F302" s="16" t="str" cm="1">
        <f t="array" ref="F3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2" s="31" cm="1">
        <f t="array" ref="G3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2" s="33" t="str">
        <f>_xlfn.IFNA(IF(MOD(HLG_03[[#This Row],[Rit]],
    _xlfn.XLOOKUP($G$2,Int_Sample[Ore],Int_Sample[Inc])) = 0, "YES", "NO"),"")</f>
        <v/>
      </c>
      <c r="I302" s="32" t="str">
        <f>TEXT(HLG_03[[#This Row],[Batch]],"000")&amp; " / " &amp; TEXT(HLG_03[[#This Row],[Rit]],"000")</f>
        <v>N/A / 000</v>
      </c>
      <c r="J302" s="34"/>
      <c r="K302" s="38"/>
      <c r="L302" s="35"/>
      <c r="M302" s="66"/>
      <c r="N302" s="66"/>
      <c r="O302" s="66"/>
      <c r="P302" s="66"/>
      <c r="Q302" s="66"/>
      <c r="R302" s="67"/>
      <c r="S302" s="67"/>
      <c r="T302" s="67"/>
      <c r="U302" s="66"/>
      <c r="V302" s="66"/>
      <c r="W302" s="66"/>
      <c r="X302" s="85"/>
      <c r="AP302" t="str">
        <v/>
      </c>
    </row>
    <row r="303" spans="4:42" ht="15.75" x14ac:dyDescent="0.25">
      <c r="D303" s="3">
        <v>1</v>
      </c>
      <c r="F303" s="16" t="str" cm="1">
        <f t="array" ref="F3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3" s="31" cm="1">
        <f t="array" ref="G3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3" s="33" t="str">
        <f>_xlfn.IFNA(IF(MOD(HLG_03[[#This Row],[Rit]],
    _xlfn.XLOOKUP($G$2,Int_Sample[Ore],Int_Sample[Inc])) = 0, "YES", "NO"),"")</f>
        <v/>
      </c>
      <c r="I303" s="32" t="str">
        <f>TEXT(HLG_03[[#This Row],[Batch]],"000")&amp; " / " &amp; TEXT(HLG_03[[#This Row],[Rit]],"000")</f>
        <v>N/A / 000</v>
      </c>
      <c r="J303" s="34"/>
      <c r="K303" s="38"/>
      <c r="L303" s="35"/>
      <c r="M303" s="66"/>
      <c r="N303" s="66"/>
      <c r="O303" s="66"/>
      <c r="P303" s="66"/>
      <c r="Q303" s="66"/>
      <c r="R303" s="67"/>
      <c r="S303" s="67"/>
      <c r="T303" s="67"/>
      <c r="U303" s="66"/>
      <c r="V303" s="66"/>
      <c r="W303" s="66"/>
      <c r="X303" s="85"/>
      <c r="AP303" t="str">
        <v/>
      </c>
    </row>
    <row r="304" spans="4:42" ht="15.75" x14ac:dyDescent="0.25">
      <c r="D304" s="3">
        <v>1</v>
      </c>
      <c r="F304" s="16" t="str" cm="1">
        <f t="array" ref="F3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4" s="31" cm="1">
        <f t="array" ref="G3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4" s="33" t="str">
        <f>_xlfn.IFNA(IF(MOD(HLG_03[[#This Row],[Rit]],
    _xlfn.XLOOKUP($G$2,Int_Sample[Ore],Int_Sample[Inc])) = 0, "YES", "NO"),"")</f>
        <v/>
      </c>
      <c r="I304" s="32" t="str">
        <f>TEXT(HLG_03[[#This Row],[Batch]],"000")&amp; " / " &amp; TEXT(HLG_03[[#This Row],[Rit]],"000")</f>
        <v>N/A / 000</v>
      </c>
      <c r="J304" s="34"/>
      <c r="K304" s="38"/>
      <c r="L304" s="35"/>
      <c r="M304" s="66"/>
      <c r="N304" s="66"/>
      <c r="O304" s="66"/>
      <c r="P304" s="66"/>
      <c r="Q304" s="66"/>
      <c r="R304" s="67"/>
      <c r="S304" s="67"/>
      <c r="T304" s="67"/>
      <c r="U304" s="66"/>
      <c r="V304" s="66"/>
      <c r="W304" s="66"/>
      <c r="X304" s="85"/>
      <c r="AP304" t="str">
        <v/>
      </c>
    </row>
    <row r="305" spans="4:42" ht="15.75" x14ac:dyDescent="0.25">
      <c r="D305" s="3">
        <v>1</v>
      </c>
      <c r="F305" s="16" t="str" cm="1">
        <f t="array" ref="F3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5" s="31" cm="1">
        <f t="array" ref="G3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5" s="33" t="str">
        <f>_xlfn.IFNA(IF(MOD(HLG_03[[#This Row],[Rit]],
    _xlfn.XLOOKUP($G$2,Int_Sample[Ore],Int_Sample[Inc])) = 0, "YES", "NO"),"")</f>
        <v/>
      </c>
      <c r="I305" s="32" t="str">
        <f>TEXT(HLG_03[[#This Row],[Batch]],"000")&amp; " / " &amp; TEXT(HLG_03[[#This Row],[Rit]],"000")</f>
        <v>N/A / 000</v>
      </c>
      <c r="J305" s="34"/>
      <c r="K305" s="38"/>
      <c r="L305" s="35"/>
      <c r="M305" s="66"/>
      <c r="N305" s="66"/>
      <c r="O305" s="66"/>
      <c r="P305" s="66"/>
      <c r="Q305" s="66"/>
      <c r="R305" s="67"/>
      <c r="S305" s="67"/>
      <c r="T305" s="67"/>
      <c r="U305" s="66"/>
      <c r="V305" s="66"/>
      <c r="W305" s="66"/>
      <c r="X305" s="85"/>
      <c r="AP305" t="str">
        <v/>
      </c>
    </row>
    <row r="306" spans="4:42" ht="15.75" x14ac:dyDescent="0.25">
      <c r="D306" s="3">
        <v>1</v>
      </c>
      <c r="F306" s="16" t="str" cm="1">
        <f t="array" ref="F3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6" s="31" cm="1">
        <f t="array" ref="G3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6" s="33" t="str">
        <f>_xlfn.IFNA(IF(MOD(HLG_03[[#This Row],[Rit]],
    _xlfn.XLOOKUP($G$2,Int_Sample[Ore],Int_Sample[Inc])) = 0, "YES", "NO"),"")</f>
        <v/>
      </c>
      <c r="I306" s="32" t="str">
        <f>TEXT(HLG_03[[#This Row],[Batch]],"000")&amp; " / " &amp; TEXT(HLG_03[[#This Row],[Rit]],"000")</f>
        <v>N/A / 000</v>
      </c>
      <c r="J306" s="34"/>
      <c r="K306" s="38"/>
      <c r="L306" s="35"/>
      <c r="M306" s="66"/>
      <c r="N306" s="66"/>
      <c r="O306" s="66"/>
      <c r="P306" s="66"/>
      <c r="Q306" s="66"/>
      <c r="R306" s="67"/>
      <c r="S306" s="67"/>
      <c r="T306" s="67"/>
      <c r="U306" s="66"/>
      <c r="V306" s="66"/>
      <c r="W306" s="66"/>
      <c r="X306" s="85"/>
      <c r="AP306" t="str">
        <v/>
      </c>
    </row>
    <row r="307" spans="4:42" ht="15.75" x14ac:dyDescent="0.25">
      <c r="D307" s="3">
        <v>1</v>
      </c>
      <c r="F307" s="16" t="str" cm="1">
        <f t="array" ref="F3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7" s="31" cm="1">
        <f t="array" ref="G3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7" s="33" t="str">
        <f>_xlfn.IFNA(IF(MOD(HLG_03[[#This Row],[Rit]],
    _xlfn.XLOOKUP($G$2,Int_Sample[Ore],Int_Sample[Inc])) = 0, "YES", "NO"),"")</f>
        <v/>
      </c>
      <c r="I307" s="32" t="str">
        <f>TEXT(HLG_03[[#This Row],[Batch]],"000")&amp; " / " &amp; TEXT(HLG_03[[#This Row],[Rit]],"000")</f>
        <v>N/A / 000</v>
      </c>
      <c r="J307" s="34"/>
      <c r="K307" s="38"/>
      <c r="L307" s="35"/>
      <c r="M307" s="66"/>
      <c r="N307" s="66"/>
      <c r="O307" s="66"/>
      <c r="P307" s="66"/>
      <c r="Q307" s="66"/>
      <c r="R307" s="67"/>
      <c r="S307" s="67"/>
      <c r="T307" s="67"/>
      <c r="U307" s="66"/>
      <c r="V307" s="66"/>
      <c r="W307" s="66"/>
      <c r="X307" s="85"/>
      <c r="AP307" t="str">
        <v/>
      </c>
    </row>
    <row r="308" spans="4:42" ht="15.75" x14ac:dyDescent="0.25">
      <c r="D308" s="3">
        <v>1</v>
      </c>
      <c r="F308" s="16" t="str" cm="1">
        <f t="array" ref="F3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8" s="31" cm="1">
        <f t="array" ref="G3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8" s="33" t="str">
        <f>_xlfn.IFNA(IF(MOD(HLG_03[[#This Row],[Rit]],
    _xlfn.XLOOKUP($G$2,Int_Sample[Ore],Int_Sample[Inc])) = 0, "YES", "NO"),"")</f>
        <v/>
      </c>
      <c r="I308" s="32" t="str">
        <f>TEXT(HLG_03[[#This Row],[Batch]],"000")&amp; " / " &amp; TEXT(HLG_03[[#This Row],[Rit]],"000")</f>
        <v>N/A / 000</v>
      </c>
      <c r="J308" s="34"/>
      <c r="K308" s="38"/>
      <c r="L308" s="35"/>
      <c r="M308" s="66"/>
      <c r="N308" s="66"/>
      <c r="O308" s="66"/>
      <c r="P308" s="66"/>
      <c r="Q308" s="66"/>
      <c r="R308" s="67"/>
      <c r="S308" s="67"/>
      <c r="T308" s="67"/>
      <c r="U308" s="66"/>
      <c r="V308" s="66"/>
      <c r="W308" s="66"/>
      <c r="X308" s="85"/>
      <c r="AP308" t="str">
        <v/>
      </c>
    </row>
    <row r="309" spans="4:42" ht="15.75" x14ac:dyDescent="0.25">
      <c r="D309" s="3">
        <v>1</v>
      </c>
      <c r="F309" s="16" t="str" cm="1">
        <f t="array" ref="F3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9" s="31" cm="1">
        <f t="array" ref="G3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9" s="33" t="str">
        <f>_xlfn.IFNA(IF(MOD(HLG_03[[#This Row],[Rit]],
    _xlfn.XLOOKUP($G$2,Int_Sample[Ore],Int_Sample[Inc])) = 0, "YES", "NO"),"")</f>
        <v/>
      </c>
      <c r="I309" s="32" t="str">
        <f>TEXT(HLG_03[[#This Row],[Batch]],"000")&amp; " / " &amp; TEXT(HLG_03[[#This Row],[Rit]],"000")</f>
        <v>N/A / 000</v>
      </c>
      <c r="J309" s="34"/>
      <c r="K309" s="38"/>
      <c r="L309" s="35"/>
      <c r="M309" s="66"/>
      <c r="N309" s="66"/>
      <c r="O309" s="66"/>
      <c r="P309" s="66"/>
      <c r="Q309" s="66"/>
      <c r="R309" s="67"/>
      <c r="S309" s="67"/>
      <c r="T309" s="67"/>
      <c r="U309" s="66"/>
      <c r="V309" s="66"/>
      <c r="W309" s="66"/>
      <c r="X309" s="85"/>
      <c r="AP309" t="str">
        <v/>
      </c>
    </row>
    <row r="310" spans="4:42" ht="15.75" x14ac:dyDescent="0.25">
      <c r="D310" s="3">
        <v>1</v>
      </c>
      <c r="F310" s="16" t="str" cm="1">
        <f t="array" ref="F3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0" s="31" cm="1">
        <f t="array" ref="G3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0" s="33" t="str">
        <f>_xlfn.IFNA(IF(MOD(HLG_03[[#This Row],[Rit]],
    _xlfn.XLOOKUP($G$2,Int_Sample[Ore],Int_Sample[Inc])) = 0, "YES", "NO"),"")</f>
        <v/>
      </c>
      <c r="I310" s="32" t="str">
        <f>TEXT(HLG_03[[#This Row],[Batch]],"000")&amp; " / " &amp; TEXT(HLG_03[[#This Row],[Rit]],"000")</f>
        <v>N/A / 000</v>
      </c>
      <c r="J310" s="34"/>
      <c r="K310" s="38"/>
      <c r="L310" s="35"/>
      <c r="M310" s="66"/>
      <c r="N310" s="66"/>
      <c r="O310" s="66"/>
      <c r="P310" s="66"/>
      <c r="Q310" s="66"/>
      <c r="R310" s="67"/>
      <c r="S310" s="67"/>
      <c r="T310" s="67"/>
      <c r="U310" s="66"/>
      <c r="V310" s="66"/>
      <c r="W310" s="66"/>
      <c r="X310" s="85"/>
      <c r="AP310" t="str">
        <v/>
      </c>
    </row>
    <row r="311" spans="4:42" ht="15.75" x14ac:dyDescent="0.25">
      <c r="D311" s="3">
        <v>1</v>
      </c>
      <c r="F311" s="16" t="str" cm="1">
        <f t="array" ref="F3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1" s="31" cm="1">
        <f t="array" ref="G3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1" s="33" t="str">
        <f>_xlfn.IFNA(IF(MOD(HLG_03[[#This Row],[Rit]],
    _xlfn.XLOOKUP($G$2,Int_Sample[Ore],Int_Sample[Inc])) = 0, "YES", "NO"),"")</f>
        <v/>
      </c>
      <c r="I311" s="32" t="str">
        <f>TEXT(HLG_03[[#This Row],[Batch]],"000")&amp; " / " &amp; TEXT(HLG_03[[#This Row],[Rit]],"000")</f>
        <v>N/A / 000</v>
      </c>
      <c r="J311" s="34"/>
      <c r="K311" s="38"/>
      <c r="L311" s="35"/>
      <c r="M311" s="66"/>
      <c r="N311" s="66"/>
      <c r="O311" s="66"/>
      <c r="P311" s="66"/>
      <c r="Q311" s="66"/>
      <c r="R311" s="67"/>
      <c r="S311" s="67"/>
      <c r="T311" s="67"/>
      <c r="U311" s="66"/>
      <c r="V311" s="66"/>
      <c r="W311" s="66"/>
      <c r="X311" s="85"/>
      <c r="AP311" t="str">
        <v/>
      </c>
    </row>
    <row r="312" spans="4:42" ht="15.75" x14ac:dyDescent="0.25">
      <c r="D312" s="3">
        <v>1</v>
      </c>
      <c r="F312" s="16" t="str" cm="1">
        <f t="array" ref="F3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2" s="31" cm="1">
        <f t="array" ref="G3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2" s="33" t="str">
        <f>_xlfn.IFNA(IF(MOD(HLG_03[[#This Row],[Rit]],
    _xlfn.XLOOKUP($G$2,Int_Sample[Ore],Int_Sample[Inc])) = 0, "YES", "NO"),"")</f>
        <v/>
      </c>
      <c r="I312" s="32" t="str">
        <f>TEXT(HLG_03[[#This Row],[Batch]],"000")&amp; " / " &amp; TEXT(HLG_03[[#This Row],[Rit]],"000")</f>
        <v>N/A / 000</v>
      </c>
      <c r="J312" s="34"/>
      <c r="K312" s="38"/>
      <c r="L312" s="35"/>
      <c r="M312" s="66"/>
      <c r="N312" s="66"/>
      <c r="O312" s="66"/>
      <c r="P312" s="66"/>
      <c r="Q312" s="66"/>
      <c r="R312" s="67"/>
      <c r="S312" s="67"/>
      <c r="T312" s="67"/>
      <c r="U312" s="66"/>
      <c r="V312" s="66"/>
      <c r="W312" s="66"/>
      <c r="X312" s="85"/>
      <c r="AP312" t="str">
        <v/>
      </c>
    </row>
    <row r="313" spans="4:42" ht="15.75" x14ac:dyDescent="0.25">
      <c r="D313" s="3">
        <v>1</v>
      </c>
      <c r="F313" s="16" t="str" cm="1">
        <f t="array" ref="F3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3" s="31" cm="1">
        <f t="array" ref="G3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3" s="33" t="str">
        <f>_xlfn.IFNA(IF(MOD(HLG_03[[#This Row],[Rit]],
    _xlfn.XLOOKUP($G$2,Int_Sample[Ore],Int_Sample[Inc])) = 0, "YES", "NO"),"")</f>
        <v/>
      </c>
      <c r="I313" s="32" t="str">
        <f>TEXT(HLG_03[[#This Row],[Batch]],"000")&amp; " / " &amp; TEXT(HLG_03[[#This Row],[Rit]],"000")</f>
        <v>N/A / 000</v>
      </c>
      <c r="J313" s="34"/>
      <c r="K313" s="38"/>
      <c r="L313" s="35"/>
      <c r="M313" s="66"/>
      <c r="N313" s="66"/>
      <c r="O313" s="66"/>
      <c r="P313" s="66"/>
      <c r="Q313" s="66"/>
      <c r="R313" s="67"/>
      <c r="S313" s="67"/>
      <c r="T313" s="67"/>
      <c r="U313" s="66"/>
      <c r="V313" s="66"/>
      <c r="W313" s="66"/>
      <c r="X313" s="85"/>
      <c r="AP313" t="str">
        <v/>
      </c>
    </row>
    <row r="314" spans="4:42" ht="15.75" x14ac:dyDescent="0.25">
      <c r="D314" s="3">
        <v>1</v>
      </c>
      <c r="F314" s="16" t="str" cm="1">
        <f t="array" ref="F3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4" s="31" cm="1">
        <f t="array" ref="G3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4" s="33" t="str">
        <f>_xlfn.IFNA(IF(MOD(HLG_03[[#This Row],[Rit]],
    _xlfn.XLOOKUP($G$2,Int_Sample[Ore],Int_Sample[Inc])) = 0, "YES", "NO"),"")</f>
        <v/>
      </c>
      <c r="I314" s="32" t="str">
        <f>TEXT(HLG_03[[#This Row],[Batch]],"000")&amp; " / " &amp; TEXT(HLG_03[[#This Row],[Rit]],"000")</f>
        <v>N/A / 000</v>
      </c>
      <c r="J314" s="34"/>
      <c r="K314" s="38"/>
      <c r="L314" s="35"/>
      <c r="M314" s="66"/>
      <c r="N314" s="66"/>
      <c r="O314" s="66"/>
      <c r="P314" s="66"/>
      <c r="Q314" s="66"/>
      <c r="R314" s="67"/>
      <c r="S314" s="67"/>
      <c r="T314" s="67"/>
      <c r="U314" s="66"/>
      <c r="V314" s="66"/>
      <c r="W314" s="66"/>
      <c r="X314" s="85"/>
      <c r="AP314" t="str">
        <v/>
      </c>
    </row>
    <row r="315" spans="4:42" ht="15.75" x14ac:dyDescent="0.25">
      <c r="D315" s="3">
        <v>1</v>
      </c>
      <c r="F315" s="16" t="str" cm="1">
        <f t="array" ref="F3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5" s="31" cm="1">
        <f t="array" ref="G3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5" s="33" t="str">
        <f>_xlfn.IFNA(IF(MOD(HLG_03[[#This Row],[Rit]],
    _xlfn.XLOOKUP($G$2,Int_Sample[Ore],Int_Sample[Inc])) = 0, "YES", "NO"),"")</f>
        <v/>
      </c>
      <c r="I315" s="32" t="str">
        <f>TEXT(HLG_03[[#This Row],[Batch]],"000")&amp; " / " &amp; TEXT(HLG_03[[#This Row],[Rit]],"000")</f>
        <v>N/A / 000</v>
      </c>
      <c r="J315" s="34"/>
      <c r="K315" s="38"/>
      <c r="L315" s="35"/>
      <c r="M315" s="66"/>
      <c r="N315" s="66"/>
      <c r="O315" s="66"/>
      <c r="P315" s="66"/>
      <c r="Q315" s="66"/>
      <c r="R315" s="67"/>
      <c r="S315" s="67"/>
      <c r="T315" s="67"/>
      <c r="U315" s="66"/>
      <c r="V315" s="66"/>
      <c r="W315" s="66"/>
      <c r="X315" s="85"/>
      <c r="AP315" t="str">
        <v/>
      </c>
    </row>
    <row r="316" spans="4:42" ht="15.75" x14ac:dyDescent="0.25">
      <c r="D316" s="3">
        <v>1</v>
      </c>
      <c r="F316" s="16" t="str" cm="1">
        <f t="array" ref="F3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6" s="31" cm="1">
        <f t="array" ref="G3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6" s="33" t="str">
        <f>_xlfn.IFNA(IF(MOD(HLG_03[[#This Row],[Rit]],
    _xlfn.XLOOKUP($G$2,Int_Sample[Ore],Int_Sample[Inc])) = 0, "YES", "NO"),"")</f>
        <v/>
      </c>
      <c r="I316" s="32" t="str">
        <f>TEXT(HLG_03[[#This Row],[Batch]],"000")&amp; " / " &amp; TEXT(HLG_03[[#This Row],[Rit]],"000")</f>
        <v>N/A / 000</v>
      </c>
      <c r="J316" s="34"/>
      <c r="K316" s="38"/>
      <c r="L316" s="35"/>
      <c r="M316" s="66"/>
      <c r="N316" s="66"/>
      <c r="O316" s="66"/>
      <c r="P316" s="66"/>
      <c r="Q316" s="66"/>
      <c r="R316" s="67"/>
      <c r="S316" s="67"/>
      <c r="T316" s="67"/>
      <c r="U316" s="66"/>
      <c r="V316" s="66"/>
      <c r="W316" s="66"/>
      <c r="X316" s="85"/>
      <c r="AP316" t="str">
        <v/>
      </c>
    </row>
    <row r="317" spans="4:42" ht="15.75" x14ac:dyDescent="0.25">
      <c r="D317" s="3">
        <v>1</v>
      </c>
      <c r="F317" s="16" t="str" cm="1">
        <f t="array" ref="F3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7" s="31" cm="1">
        <f t="array" ref="G3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7" s="33" t="str">
        <f>_xlfn.IFNA(IF(MOD(HLG_03[[#This Row],[Rit]],
    _xlfn.XLOOKUP($G$2,Int_Sample[Ore],Int_Sample[Inc])) = 0, "YES", "NO"),"")</f>
        <v/>
      </c>
      <c r="I317" s="32" t="str">
        <f>TEXT(HLG_03[[#This Row],[Batch]],"000")&amp; " / " &amp; TEXT(HLG_03[[#This Row],[Rit]],"000")</f>
        <v>N/A / 000</v>
      </c>
      <c r="J317" s="34"/>
      <c r="K317" s="38"/>
      <c r="L317" s="35"/>
      <c r="M317" s="66"/>
      <c r="N317" s="66"/>
      <c r="O317" s="66"/>
      <c r="P317" s="66"/>
      <c r="Q317" s="66"/>
      <c r="R317" s="67"/>
      <c r="S317" s="67"/>
      <c r="T317" s="67"/>
      <c r="U317" s="66"/>
      <c r="V317" s="66"/>
      <c r="W317" s="66"/>
      <c r="X317" s="85"/>
      <c r="AP317" t="str">
        <v/>
      </c>
    </row>
    <row r="318" spans="4:42" ht="15.75" x14ac:dyDescent="0.25">
      <c r="D318" s="3">
        <v>1</v>
      </c>
      <c r="F318" s="16" t="str" cm="1">
        <f t="array" ref="F3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8" s="31" cm="1">
        <f t="array" ref="G3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8" s="33" t="str">
        <f>_xlfn.IFNA(IF(MOD(HLG_03[[#This Row],[Rit]],
    _xlfn.XLOOKUP($G$2,Int_Sample[Ore],Int_Sample[Inc])) = 0, "YES", "NO"),"")</f>
        <v/>
      </c>
      <c r="I318" s="32" t="str">
        <f>TEXT(HLG_03[[#This Row],[Batch]],"000")&amp; " / " &amp; TEXT(HLG_03[[#This Row],[Rit]],"000")</f>
        <v>N/A / 000</v>
      </c>
      <c r="J318" s="34"/>
      <c r="K318" s="38"/>
      <c r="L318" s="35"/>
      <c r="M318" s="66"/>
      <c r="N318" s="66"/>
      <c r="O318" s="66"/>
      <c r="P318" s="66"/>
      <c r="Q318" s="66"/>
      <c r="R318" s="67"/>
      <c r="S318" s="67"/>
      <c r="T318" s="67"/>
      <c r="U318" s="66"/>
      <c r="V318" s="66"/>
      <c r="W318" s="66"/>
      <c r="X318" s="85"/>
      <c r="AP318" t="str">
        <v/>
      </c>
    </row>
    <row r="319" spans="4:42" ht="15.75" x14ac:dyDescent="0.25">
      <c r="D319" s="3">
        <v>1</v>
      </c>
      <c r="F319" s="16" t="str" cm="1">
        <f t="array" ref="F3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9" s="31" cm="1">
        <f t="array" ref="G3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9" s="33" t="str">
        <f>_xlfn.IFNA(IF(MOD(HLG_03[[#This Row],[Rit]],
    _xlfn.XLOOKUP($G$2,Int_Sample[Ore],Int_Sample[Inc])) = 0, "YES", "NO"),"")</f>
        <v/>
      </c>
      <c r="I319" s="32" t="str">
        <f>TEXT(HLG_03[[#This Row],[Batch]],"000")&amp; " / " &amp; TEXT(HLG_03[[#This Row],[Rit]],"000")</f>
        <v>N/A / 000</v>
      </c>
      <c r="J319" s="34"/>
      <c r="K319" s="38"/>
      <c r="L319" s="35"/>
      <c r="M319" s="66"/>
      <c r="N319" s="66"/>
      <c r="O319" s="66"/>
      <c r="P319" s="66"/>
      <c r="Q319" s="66"/>
      <c r="R319" s="67"/>
      <c r="S319" s="67"/>
      <c r="T319" s="67"/>
      <c r="U319" s="66"/>
      <c r="V319" s="66"/>
      <c r="W319" s="66"/>
      <c r="X319" s="85"/>
      <c r="AP319" t="str">
        <v/>
      </c>
    </row>
    <row r="320" spans="4:42" ht="15.75" x14ac:dyDescent="0.25">
      <c r="D320" s="3">
        <v>1</v>
      </c>
      <c r="F320" s="16" t="str" cm="1">
        <f t="array" ref="F3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0" s="31" cm="1">
        <f t="array" ref="G3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0" s="33" t="str">
        <f>_xlfn.IFNA(IF(MOD(HLG_03[[#This Row],[Rit]],
    _xlfn.XLOOKUP($G$2,Int_Sample[Ore],Int_Sample[Inc])) = 0, "YES", "NO"),"")</f>
        <v/>
      </c>
      <c r="I320" s="32" t="str">
        <f>TEXT(HLG_03[[#This Row],[Batch]],"000")&amp; " / " &amp; TEXT(HLG_03[[#This Row],[Rit]],"000")</f>
        <v>N/A / 000</v>
      </c>
      <c r="J320" s="34"/>
      <c r="K320" s="38"/>
      <c r="L320" s="35"/>
      <c r="M320" s="66"/>
      <c r="N320" s="66"/>
      <c r="O320" s="66"/>
      <c r="P320" s="66"/>
      <c r="Q320" s="66"/>
      <c r="R320" s="67"/>
      <c r="S320" s="67"/>
      <c r="T320" s="67"/>
      <c r="U320" s="66"/>
      <c r="V320" s="66"/>
      <c r="W320" s="66"/>
      <c r="X320" s="85"/>
      <c r="AP320" t="str">
        <v/>
      </c>
    </row>
    <row r="321" spans="4:42" ht="15.75" x14ac:dyDescent="0.25">
      <c r="D321" s="3">
        <v>1</v>
      </c>
      <c r="F321" s="16" t="str" cm="1">
        <f t="array" ref="F3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1" s="31" cm="1">
        <f t="array" ref="G3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1" s="33" t="str">
        <f>_xlfn.IFNA(IF(MOD(HLG_03[[#This Row],[Rit]],
    _xlfn.XLOOKUP($G$2,Int_Sample[Ore],Int_Sample[Inc])) = 0, "YES", "NO"),"")</f>
        <v/>
      </c>
      <c r="I321" s="32" t="str">
        <f>TEXT(HLG_03[[#This Row],[Batch]],"000")&amp; " / " &amp; TEXT(HLG_03[[#This Row],[Rit]],"000")</f>
        <v>N/A / 000</v>
      </c>
      <c r="J321" s="34"/>
      <c r="K321" s="38"/>
      <c r="L321" s="35"/>
      <c r="M321" s="66"/>
      <c r="N321" s="66"/>
      <c r="O321" s="66"/>
      <c r="P321" s="66"/>
      <c r="Q321" s="66"/>
      <c r="R321" s="67"/>
      <c r="S321" s="67"/>
      <c r="T321" s="67"/>
      <c r="U321" s="66"/>
      <c r="V321" s="66"/>
      <c r="W321" s="66"/>
      <c r="X321" s="85"/>
      <c r="AP321" t="str">
        <v/>
      </c>
    </row>
    <row r="322" spans="4:42" ht="15.75" x14ac:dyDescent="0.25">
      <c r="D322" s="3">
        <v>1</v>
      </c>
      <c r="F322" s="16" t="str" cm="1">
        <f t="array" ref="F3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2" s="31" cm="1">
        <f t="array" ref="G3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2" s="33" t="str">
        <f>_xlfn.IFNA(IF(MOD(HLG_03[[#This Row],[Rit]],
    _xlfn.XLOOKUP($G$2,Int_Sample[Ore],Int_Sample[Inc])) = 0, "YES", "NO"),"")</f>
        <v/>
      </c>
      <c r="I322" s="32" t="str">
        <f>TEXT(HLG_03[[#This Row],[Batch]],"000")&amp; " / " &amp; TEXT(HLG_03[[#This Row],[Rit]],"000")</f>
        <v>N/A / 000</v>
      </c>
      <c r="J322" s="34"/>
      <c r="K322" s="38"/>
      <c r="L322" s="35"/>
      <c r="M322" s="66"/>
      <c r="N322" s="66"/>
      <c r="O322" s="66"/>
      <c r="P322" s="66"/>
      <c r="Q322" s="66"/>
      <c r="R322" s="67"/>
      <c r="S322" s="67"/>
      <c r="T322" s="67"/>
      <c r="U322" s="66"/>
      <c r="V322" s="66"/>
      <c r="W322" s="66"/>
      <c r="X322" s="85"/>
      <c r="AP322" t="str">
        <v/>
      </c>
    </row>
    <row r="323" spans="4:42" ht="15.75" x14ac:dyDescent="0.25">
      <c r="D323" s="3">
        <v>1</v>
      </c>
      <c r="F323" s="16" t="str" cm="1">
        <f t="array" ref="F3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3" s="31" cm="1">
        <f t="array" ref="G3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3" s="33" t="str">
        <f>_xlfn.IFNA(IF(MOD(HLG_03[[#This Row],[Rit]],
    _xlfn.XLOOKUP($G$2,Int_Sample[Ore],Int_Sample[Inc])) = 0, "YES", "NO"),"")</f>
        <v/>
      </c>
      <c r="I323" s="32" t="str">
        <f>TEXT(HLG_03[[#This Row],[Batch]],"000")&amp; " / " &amp; TEXT(HLG_03[[#This Row],[Rit]],"000")</f>
        <v>N/A / 000</v>
      </c>
      <c r="J323" s="34"/>
      <c r="K323" s="38"/>
      <c r="L323" s="35"/>
      <c r="M323" s="66"/>
      <c r="N323" s="66"/>
      <c r="O323" s="66"/>
      <c r="P323" s="66"/>
      <c r="Q323" s="66"/>
      <c r="R323" s="67"/>
      <c r="S323" s="67"/>
      <c r="T323" s="67"/>
      <c r="U323" s="66"/>
      <c r="V323" s="66"/>
      <c r="W323" s="66"/>
      <c r="X323" s="85"/>
      <c r="AP323" t="str">
        <v/>
      </c>
    </row>
    <row r="324" spans="4:42" ht="15.75" x14ac:dyDescent="0.25">
      <c r="D324" s="3">
        <v>1</v>
      </c>
      <c r="F324" s="16" t="str" cm="1">
        <f t="array" ref="F3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4" s="31" cm="1">
        <f t="array" ref="G3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4" s="33" t="str">
        <f>_xlfn.IFNA(IF(MOD(HLG_03[[#This Row],[Rit]],
    _xlfn.XLOOKUP($G$2,Int_Sample[Ore],Int_Sample[Inc])) = 0, "YES", "NO"),"")</f>
        <v/>
      </c>
      <c r="I324" s="32" t="str">
        <f>TEXT(HLG_03[[#This Row],[Batch]],"000")&amp; " / " &amp; TEXT(HLG_03[[#This Row],[Rit]],"000")</f>
        <v>N/A / 000</v>
      </c>
      <c r="J324" s="34"/>
      <c r="K324" s="38"/>
      <c r="L324" s="35"/>
      <c r="M324" s="66"/>
      <c r="N324" s="66"/>
      <c r="O324" s="66"/>
      <c r="P324" s="66"/>
      <c r="Q324" s="66"/>
      <c r="R324" s="67"/>
      <c r="S324" s="67"/>
      <c r="T324" s="67"/>
      <c r="U324" s="66"/>
      <c r="V324" s="66"/>
      <c r="W324" s="66"/>
      <c r="X324" s="85"/>
      <c r="AP324" t="str">
        <v/>
      </c>
    </row>
    <row r="325" spans="4:42" ht="15.75" x14ac:dyDescent="0.25">
      <c r="D325" s="3">
        <v>1</v>
      </c>
      <c r="F325" s="16" t="str" cm="1">
        <f t="array" ref="F3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5" s="31" cm="1">
        <f t="array" ref="G3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5" s="33" t="str">
        <f>_xlfn.IFNA(IF(MOD(HLG_03[[#This Row],[Rit]],
    _xlfn.XLOOKUP($G$2,Int_Sample[Ore],Int_Sample[Inc])) = 0, "YES", "NO"),"")</f>
        <v/>
      </c>
      <c r="I325" s="32" t="str">
        <f>TEXT(HLG_03[[#This Row],[Batch]],"000")&amp; " / " &amp; TEXT(HLG_03[[#This Row],[Rit]],"000")</f>
        <v>N/A / 000</v>
      </c>
      <c r="J325" s="34"/>
      <c r="K325" s="38"/>
      <c r="L325" s="35"/>
      <c r="M325" s="66"/>
      <c r="N325" s="66"/>
      <c r="O325" s="66"/>
      <c r="P325" s="66"/>
      <c r="Q325" s="66"/>
      <c r="R325" s="67"/>
      <c r="S325" s="67"/>
      <c r="T325" s="67"/>
      <c r="U325" s="66"/>
      <c r="V325" s="66"/>
      <c r="W325" s="66"/>
      <c r="X325" s="85"/>
      <c r="AP325" t="str">
        <v/>
      </c>
    </row>
    <row r="326" spans="4:42" ht="15.75" x14ac:dyDescent="0.25">
      <c r="D326" s="3">
        <v>1</v>
      </c>
      <c r="F326" s="16" t="str" cm="1">
        <f t="array" ref="F3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6" s="31" cm="1">
        <f t="array" ref="G3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6" s="33" t="str">
        <f>_xlfn.IFNA(IF(MOD(HLG_03[[#This Row],[Rit]],
    _xlfn.XLOOKUP($G$2,Int_Sample[Ore],Int_Sample[Inc])) = 0, "YES", "NO"),"")</f>
        <v/>
      </c>
      <c r="I326" s="32" t="str">
        <f>TEXT(HLG_03[[#This Row],[Batch]],"000")&amp; " / " &amp; TEXT(HLG_03[[#This Row],[Rit]],"000")</f>
        <v>N/A / 000</v>
      </c>
      <c r="J326" s="34"/>
      <c r="K326" s="38"/>
      <c r="L326" s="35"/>
      <c r="M326" s="66"/>
      <c r="N326" s="66"/>
      <c r="O326" s="66"/>
      <c r="P326" s="66"/>
      <c r="Q326" s="66"/>
      <c r="R326" s="67"/>
      <c r="S326" s="67"/>
      <c r="T326" s="67"/>
      <c r="U326" s="66"/>
      <c r="V326" s="66"/>
      <c r="W326" s="66"/>
      <c r="X326" s="85"/>
      <c r="AP326" t="str">
        <v/>
      </c>
    </row>
    <row r="327" spans="4:42" ht="15.75" x14ac:dyDescent="0.25">
      <c r="D327" s="3">
        <v>1</v>
      </c>
      <c r="F327" s="16" t="str" cm="1">
        <f t="array" ref="F3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7" s="31" cm="1">
        <f t="array" ref="G3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7" s="33" t="str">
        <f>_xlfn.IFNA(IF(MOD(HLG_03[[#This Row],[Rit]],
    _xlfn.XLOOKUP($G$2,Int_Sample[Ore],Int_Sample[Inc])) = 0, "YES", "NO"),"")</f>
        <v/>
      </c>
      <c r="I327" s="32" t="str">
        <f>TEXT(HLG_03[[#This Row],[Batch]],"000")&amp; " / " &amp; TEXT(HLG_03[[#This Row],[Rit]],"000")</f>
        <v>N/A / 000</v>
      </c>
      <c r="J327" s="34"/>
      <c r="K327" s="38"/>
      <c r="L327" s="35"/>
      <c r="M327" s="66"/>
      <c r="N327" s="66"/>
      <c r="O327" s="66"/>
      <c r="P327" s="66"/>
      <c r="Q327" s="66"/>
      <c r="R327" s="67"/>
      <c r="S327" s="67"/>
      <c r="T327" s="67"/>
      <c r="U327" s="66"/>
      <c r="V327" s="66"/>
      <c r="W327" s="66"/>
      <c r="X327" s="85"/>
      <c r="AP327" t="str">
        <v/>
      </c>
    </row>
    <row r="328" spans="4:42" ht="15.75" x14ac:dyDescent="0.25">
      <c r="D328" s="3">
        <v>1</v>
      </c>
      <c r="F328" s="16" t="str" cm="1">
        <f t="array" ref="F3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8" s="31" cm="1">
        <f t="array" ref="G3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8" s="33" t="str">
        <f>_xlfn.IFNA(IF(MOD(HLG_03[[#This Row],[Rit]],
    _xlfn.XLOOKUP($G$2,Int_Sample[Ore],Int_Sample[Inc])) = 0, "YES", "NO"),"")</f>
        <v/>
      </c>
      <c r="I328" s="32" t="str">
        <f>TEXT(HLG_03[[#This Row],[Batch]],"000")&amp; " / " &amp; TEXT(HLG_03[[#This Row],[Rit]],"000")</f>
        <v>N/A / 000</v>
      </c>
      <c r="J328" s="34"/>
      <c r="K328" s="38"/>
      <c r="L328" s="35"/>
      <c r="M328" s="66"/>
      <c r="N328" s="66"/>
      <c r="O328" s="66"/>
      <c r="P328" s="66"/>
      <c r="Q328" s="66"/>
      <c r="R328" s="67"/>
      <c r="S328" s="67"/>
      <c r="T328" s="67"/>
      <c r="U328" s="66"/>
      <c r="V328" s="66"/>
      <c r="W328" s="66"/>
      <c r="X328" s="85"/>
      <c r="AP328" t="str">
        <v/>
      </c>
    </row>
    <row r="329" spans="4:42" ht="15.75" x14ac:dyDescent="0.25">
      <c r="D329" s="3">
        <v>1</v>
      </c>
      <c r="F329" s="16" t="str" cm="1">
        <f t="array" ref="F3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9" s="31" cm="1">
        <f t="array" ref="G3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9" s="33" t="str">
        <f>_xlfn.IFNA(IF(MOD(HLG_03[[#This Row],[Rit]],
    _xlfn.XLOOKUP($G$2,Int_Sample[Ore],Int_Sample[Inc])) = 0, "YES", "NO"),"")</f>
        <v/>
      </c>
      <c r="I329" s="32" t="str">
        <f>TEXT(HLG_03[[#This Row],[Batch]],"000")&amp; " / " &amp; TEXT(HLG_03[[#This Row],[Rit]],"000")</f>
        <v>N/A / 000</v>
      </c>
      <c r="J329" s="34"/>
      <c r="K329" s="38"/>
      <c r="L329" s="35"/>
      <c r="M329" s="66"/>
      <c r="N329" s="66"/>
      <c r="O329" s="66"/>
      <c r="P329" s="66"/>
      <c r="Q329" s="66"/>
      <c r="R329" s="67"/>
      <c r="S329" s="67"/>
      <c r="T329" s="67"/>
      <c r="U329" s="66"/>
      <c r="V329" s="66"/>
      <c r="W329" s="66"/>
      <c r="X329" s="85"/>
      <c r="AP329" t="str">
        <v/>
      </c>
    </row>
    <row r="330" spans="4:42" ht="15.75" x14ac:dyDescent="0.25">
      <c r="D330" s="3">
        <v>1</v>
      </c>
      <c r="F330" s="16" t="str" cm="1">
        <f t="array" ref="F3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0" s="31" cm="1">
        <f t="array" ref="G3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0" s="33" t="str">
        <f>_xlfn.IFNA(IF(MOD(HLG_03[[#This Row],[Rit]],
    _xlfn.XLOOKUP($G$2,Int_Sample[Ore],Int_Sample[Inc])) = 0, "YES", "NO"),"")</f>
        <v/>
      </c>
      <c r="I330" s="32" t="str">
        <f>TEXT(HLG_03[[#This Row],[Batch]],"000")&amp; " / " &amp; TEXT(HLG_03[[#This Row],[Rit]],"000")</f>
        <v>N/A / 000</v>
      </c>
      <c r="J330" s="34"/>
      <c r="K330" s="38"/>
      <c r="L330" s="35"/>
      <c r="M330" s="66"/>
      <c r="N330" s="66"/>
      <c r="O330" s="66"/>
      <c r="P330" s="66"/>
      <c r="Q330" s="66"/>
      <c r="R330" s="67"/>
      <c r="S330" s="67"/>
      <c r="T330" s="67"/>
      <c r="U330" s="66"/>
      <c r="V330" s="66"/>
      <c r="W330" s="66"/>
      <c r="X330" s="85"/>
      <c r="AP330" t="str">
        <v/>
      </c>
    </row>
    <row r="331" spans="4:42" ht="15.75" x14ac:dyDescent="0.25">
      <c r="D331" s="3">
        <v>1</v>
      </c>
      <c r="F331" s="16" t="str" cm="1">
        <f t="array" ref="F3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1" s="31" cm="1">
        <f t="array" ref="G3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1" s="33" t="str">
        <f>_xlfn.IFNA(IF(MOD(HLG_03[[#This Row],[Rit]],
    _xlfn.XLOOKUP($G$2,Int_Sample[Ore],Int_Sample[Inc])) = 0, "YES", "NO"),"")</f>
        <v/>
      </c>
      <c r="I331" s="32" t="str">
        <f>TEXT(HLG_03[[#This Row],[Batch]],"000")&amp; " / " &amp; TEXT(HLG_03[[#This Row],[Rit]],"000")</f>
        <v>N/A / 000</v>
      </c>
      <c r="J331" s="34"/>
      <c r="K331" s="38"/>
      <c r="L331" s="35"/>
      <c r="M331" s="66"/>
      <c r="N331" s="66"/>
      <c r="O331" s="66"/>
      <c r="P331" s="66"/>
      <c r="Q331" s="66"/>
      <c r="R331" s="67"/>
      <c r="S331" s="67"/>
      <c r="T331" s="67"/>
      <c r="U331" s="66"/>
      <c r="V331" s="66"/>
      <c r="W331" s="66"/>
      <c r="X331" s="85"/>
      <c r="AP331" t="str">
        <v/>
      </c>
    </row>
    <row r="332" spans="4:42" ht="15.75" x14ac:dyDescent="0.25">
      <c r="D332" s="3">
        <v>1</v>
      </c>
      <c r="F332" s="16" t="str" cm="1">
        <f t="array" ref="F3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2" s="31" cm="1">
        <f t="array" ref="G3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2" s="33" t="str">
        <f>_xlfn.IFNA(IF(MOD(HLG_03[[#This Row],[Rit]],
    _xlfn.XLOOKUP($G$2,Int_Sample[Ore],Int_Sample[Inc])) = 0, "YES", "NO"),"")</f>
        <v/>
      </c>
      <c r="I332" s="32" t="str">
        <f>TEXT(HLG_03[[#This Row],[Batch]],"000")&amp; " / " &amp; TEXT(HLG_03[[#This Row],[Rit]],"000")</f>
        <v>N/A / 000</v>
      </c>
      <c r="J332" s="34"/>
      <c r="K332" s="38"/>
      <c r="L332" s="35"/>
      <c r="M332" s="66"/>
      <c r="N332" s="66"/>
      <c r="O332" s="66"/>
      <c r="P332" s="66"/>
      <c r="Q332" s="66"/>
      <c r="R332" s="67"/>
      <c r="S332" s="67"/>
      <c r="T332" s="67"/>
      <c r="U332" s="66"/>
      <c r="V332" s="66"/>
      <c r="W332" s="66"/>
      <c r="X332" s="85"/>
      <c r="AP332" t="str">
        <v/>
      </c>
    </row>
    <row r="333" spans="4:42" ht="15.75" x14ac:dyDescent="0.25">
      <c r="D333" s="3">
        <v>1</v>
      </c>
      <c r="F333" s="16" t="str" cm="1">
        <f t="array" ref="F3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3" s="31" cm="1">
        <f t="array" ref="G3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3" s="33" t="str">
        <f>_xlfn.IFNA(IF(MOD(HLG_03[[#This Row],[Rit]],
    _xlfn.XLOOKUP($G$2,Int_Sample[Ore],Int_Sample[Inc])) = 0, "YES", "NO"),"")</f>
        <v/>
      </c>
      <c r="I333" s="32" t="str">
        <f>TEXT(HLG_03[[#This Row],[Batch]],"000")&amp; " / " &amp; TEXT(HLG_03[[#This Row],[Rit]],"000")</f>
        <v>N/A / 000</v>
      </c>
      <c r="J333" s="34"/>
      <c r="K333" s="38"/>
      <c r="L333" s="35"/>
      <c r="M333" s="66"/>
      <c r="N333" s="66"/>
      <c r="O333" s="66"/>
      <c r="P333" s="66"/>
      <c r="Q333" s="66"/>
      <c r="R333" s="67"/>
      <c r="S333" s="67"/>
      <c r="T333" s="67"/>
      <c r="U333" s="66"/>
      <c r="V333" s="66"/>
      <c r="W333" s="66"/>
      <c r="X333" s="85"/>
      <c r="AP333" t="str">
        <v/>
      </c>
    </row>
    <row r="334" spans="4:42" ht="15.75" x14ac:dyDescent="0.25">
      <c r="D334" s="3">
        <v>1</v>
      </c>
      <c r="F334" s="16" t="str" cm="1">
        <f t="array" ref="F3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4" s="31" cm="1">
        <f t="array" ref="G3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4" s="33" t="str">
        <f>_xlfn.IFNA(IF(MOD(HLG_03[[#This Row],[Rit]],
    _xlfn.XLOOKUP($G$2,Int_Sample[Ore],Int_Sample[Inc])) = 0, "YES", "NO"),"")</f>
        <v/>
      </c>
      <c r="I334" s="32" t="str">
        <f>TEXT(HLG_03[[#This Row],[Batch]],"000")&amp; " / " &amp; TEXT(HLG_03[[#This Row],[Rit]],"000")</f>
        <v>N/A / 000</v>
      </c>
      <c r="J334" s="34"/>
      <c r="K334" s="38"/>
      <c r="L334" s="35"/>
      <c r="M334" s="66"/>
      <c r="N334" s="66"/>
      <c r="O334" s="66"/>
      <c r="P334" s="66"/>
      <c r="Q334" s="66"/>
      <c r="R334" s="67"/>
      <c r="S334" s="67"/>
      <c r="T334" s="67"/>
      <c r="U334" s="66"/>
      <c r="V334" s="66"/>
      <c r="W334" s="66"/>
      <c r="X334" s="85"/>
      <c r="AP334" t="str">
        <v/>
      </c>
    </row>
    <row r="335" spans="4:42" ht="15.75" x14ac:dyDescent="0.25">
      <c r="D335" s="3">
        <v>1</v>
      </c>
      <c r="F335" s="16" t="str" cm="1">
        <f t="array" ref="F3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5" s="31" cm="1">
        <f t="array" ref="G3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5" s="33" t="str">
        <f>_xlfn.IFNA(IF(MOD(HLG_03[[#This Row],[Rit]],
    _xlfn.XLOOKUP($G$2,Int_Sample[Ore],Int_Sample[Inc])) = 0, "YES", "NO"),"")</f>
        <v/>
      </c>
      <c r="I335" s="32" t="str">
        <f>TEXT(HLG_03[[#This Row],[Batch]],"000")&amp; " / " &amp; TEXT(HLG_03[[#This Row],[Rit]],"000")</f>
        <v>N/A / 000</v>
      </c>
      <c r="J335" s="34"/>
      <c r="K335" s="38"/>
      <c r="L335" s="35"/>
      <c r="M335" s="66"/>
      <c r="N335" s="66"/>
      <c r="O335" s="66"/>
      <c r="P335" s="66"/>
      <c r="Q335" s="66"/>
      <c r="R335" s="67"/>
      <c r="S335" s="67"/>
      <c r="T335" s="67"/>
      <c r="U335" s="66"/>
      <c r="V335" s="66"/>
      <c r="W335" s="66"/>
      <c r="X335" s="85"/>
      <c r="AP335" t="str">
        <v/>
      </c>
    </row>
    <row r="336" spans="4:42" ht="15.75" x14ac:dyDescent="0.25">
      <c r="D336" s="3">
        <v>1</v>
      </c>
      <c r="F336" s="16" t="str" cm="1">
        <f t="array" ref="F3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6" s="31" cm="1">
        <f t="array" ref="G3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6" s="33" t="str">
        <f>_xlfn.IFNA(IF(MOD(HLG_03[[#This Row],[Rit]],
    _xlfn.XLOOKUP($G$2,Int_Sample[Ore],Int_Sample[Inc])) = 0, "YES", "NO"),"")</f>
        <v/>
      </c>
      <c r="I336" s="32" t="str">
        <f>TEXT(HLG_03[[#This Row],[Batch]],"000")&amp; " / " &amp; TEXT(HLG_03[[#This Row],[Rit]],"000")</f>
        <v>N/A / 000</v>
      </c>
      <c r="J336" s="34"/>
      <c r="K336" s="38"/>
      <c r="L336" s="35"/>
      <c r="M336" s="66"/>
      <c r="N336" s="66"/>
      <c r="O336" s="66"/>
      <c r="P336" s="66"/>
      <c r="Q336" s="66"/>
      <c r="R336" s="67"/>
      <c r="S336" s="67"/>
      <c r="T336" s="67"/>
      <c r="U336" s="66"/>
      <c r="V336" s="66"/>
      <c r="W336" s="66"/>
      <c r="X336" s="85"/>
      <c r="AP336" t="str">
        <v/>
      </c>
    </row>
    <row r="337" spans="4:42" ht="15.75" x14ac:dyDescent="0.25">
      <c r="D337" s="3">
        <v>1</v>
      </c>
      <c r="F337" s="16" t="str" cm="1">
        <f t="array" ref="F3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7" s="31" cm="1">
        <f t="array" ref="G3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7" s="33" t="str">
        <f>_xlfn.IFNA(IF(MOD(HLG_03[[#This Row],[Rit]],
    _xlfn.XLOOKUP($G$2,Int_Sample[Ore],Int_Sample[Inc])) = 0, "YES", "NO"),"")</f>
        <v/>
      </c>
      <c r="I337" s="32" t="str">
        <f>TEXT(HLG_03[[#This Row],[Batch]],"000")&amp; " / " &amp; TEXT(HLG_03[[#This Row],[Rit]],"000")</f>
        <v>N/A / 000</v>
      </c>
      <c r="J337" s="34"/>
      <c r="K337" s="38"/>
      <c r="L337" s="35"/>
      <c r="M337" s="66"/>
      <c r="N337" s="66"/>
      <c r="O337" s="66"/>
      <c r="P337" s="66"/>
      <c r="Q337" s="66"/>
      <c r="R337" s="67"/>
      <c r="S337" s="67"/>
      <c r="T337" s="67"/>
      <c r="U337" s="66"/>
      <c r="V337" s="66"/>
      <c r="W337" s="66"/>
      <c r="X337" s="85"/>
      <c r="AP337" t="str">
        <v/>
      </c>
    </row>
    <row r="338" spans="4:42" ht="15.75" x14ac:dyDescent="0.25">
      <c r="D338" s="3">
        <v>1</v>
      </c>
      <c r="F338" s="16" t="str" cm="1">
        <f t="array" ref="F3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8" s="31" cm="1">
        <f t="array" ref="G3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8" s="33" t="str">
        <f>_xlfn.IFNA(IF(MOD(HLG_03[[#This Row],[Rit]],
    _xlfn.XLOOKUP($G$2,Int_Sample[Ore],Int_Sample[Inc])) = 0, "YES", "NO"),"")</f>
        <v/>
      </c>
      <c r="I338" s="32" t="str">
        <f>TEXT(HLG_03[[#This Row],[Batch]],"000")&amp; " / " &amp; TEXT(HLG_03[[#This Row],[Rit]],"000")</f>
        <v>N/A / 000</v>
      </c>
      <c r="J338" s="34"/>
      <c r="K338" s="38"/>
      <c r="L338" s="35"/>
      <c r="M338" s="66"/>
      <c r="N338" s="66"/>
      <c r="O338" s="66"/>
      <c r="P338" s="66"/>
      <c r="Q338" s="66"/>
      <c r="R338" s="67"/>
      <c r="S338" s="67"/>
      <c r="T338" s="67"/>
      <c r="U338" s="66"/>
      <c r="V338" s="66"/>
      <c r="W338" s="66"/>
      <c r="X338" s="85"/>
      <c r="AP338" t="str">
        <v/>
      </c>
    </row>
    <row r="339" spans="4:42" ht="15.75" x14ac:dyDescent="0.25">
      <c r="D339" s="3">
        <v>1</v>
      </c>
      <c r="F339" s="16" t="str" cm="1">
        <f t="array" ref="F3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9" s="31" cm="1">
        <f t="array" ref="G3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9" s="33" t="str">
        <f>_xlfn.IFNA(IF(MOD(HLG_03[[#This Row],[Rit]],
    _xlfn.XLOOKUP($G$2,Int_Sample[Ore],Int_Sample[Inc])) = 0, "YES", "NO"),"")</f>
        <v/>
      </c>
      <c r="I339" s="32" t="str">
        <f>TEXT(HLG_03[[#This Row],[Batch]],"000")&amp; " / " &amp; TEXT(HLG_03[[#This Row],[Rit]],"000")</f>
        <v>N/A / 000</v>
      </c>
      <c r="J339" s="34"/>
      <c r="K339" s="38"/>
      <c r="L339" s="35"/>
      <c r="M339" s="66"/>
      <c r="N339" s="66"/>
      <c r="O339" s="66"/>
      <c r="P339" s="66"/>
      <c r="Q339" s="66"/>
      <c r="R339" s="67"/>
      <c r="S339" s="67"/>
      <c r="T339" s="67"/>
      <c r="U339" s="66"/>
      <c r="V339" s="66"/>
      <c r="W339" s="66"/>
      <c r="X339" s="85"/>
      <c r="AP339" t="str">
        <v/>
      </c>
    </row>
    <row r="340" spans="4:42" ht="15.75" x14ac:dyDescent="0.25">
      <c r="D340" s="3">
        <v>1</v>
      </c>
      <c r="F340" s="16" t="str" cm="1">
        <f t="array" ref="F3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0" s="31" cm="1">
        <f t="array" ref="G3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0" s="33" t="str">
        <f>_xlfn.IFNA(IF(MOD(HLG_03[[#This Row],[Rit]],
    _xlfn.XLOOKUP($G$2,Int_Sample[Ore],Int_Sample[Inc])) = 0, "YES", "NO"),"")</f>
        <v/>
      </c>
      <c r="I340" s="32" t="str">
        <f>TEXT(HLG_03[[#This Row],[Batch]],"000")&amp; " / " &amp; TEXT(HLG_03[[#This Row],[Rit]],"000")</f>
        <v>N/A / 000</v>
      </c>
      <c r="J340" s="34"/>
      <c r="K340" s="38"/>
      <c r="L340" s="35"/>
      <c r="M340" s="66"/>
      <c r="N340" s="66"/>
      <c r="O340" s="66"/>
      <c r="P340" s="66"/>
      <c r="Q340" s="66"/>
      <c r="R340" s="67"/>
      <c r="S340" s="67"/>
      <c r="T340" s="67"/>
      <c r="U340" s="66"/>
      <c r="V340" s="66"/>
      <c r="W340" s="66"/>
      <c r="X340" s="85"/>
      <c r="AP340" t="str">
        <v/>
      </c>
    </row>
    <row r="341" spans="4:42" ht="15.75" x14ac:dyDescent="0.25">
      <c r="D341" s="3">
        <v>1</v>
      </c>
      <c r="F341" s="16" t="str" cm="1">
        <f t="array" ref="F3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1" s="31" cm="1">
        <f t="array" ref="G3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1" s="33" t="str">
        <f>_xlfn.IFNA(IF(MOD(HLG_03[[#This Row],[Rit]],
    _xlfn.XLOOKUP($G$2,Int_Sample[Ore],Int_Sample[Inc])) = 0, "YES", "NO"),"")</f>
        <v/>
      </c>
      <c r="I341" s="32" t="str">
        <f>TEXT(HLG_03[[#This Row],[Batch]],"000")&amp; " / " &amp; TEXT(HLG_03[[#This Row],[Rit]],"000")</f>
        <v>N/A / 000</v>
      </c>
      <c r="J341" s="34"/>
      <c r="K341" s="38"/>
      <c r="L341" s="35"/>
      <c r="M341" s="66"/>
      <c r="N341" s="66"/>
      <c r="O341" s="66"/>
      <c r="P341" s="66"/>
      <c r="Q341" s="66"/>
      <c r="R341" s="67"/>
      <c r="S341" s="67"/>
      <c r="T341" s="67"/>
      <c r="U341" s="66"/>
      <c r="V341" s="66"/>
      <c r="W341" s="66"/>
      <c r="X341" s="85"/>
      <c r="AP341" t="str">
        <v/>
      </c>
    </row>
    <row r="342" spans="4:42" ht="15.75" x14ac:dyDescent="0.25">
      <c r="D342" s="3">
        <v>1</v>
      </c>
      <c r="F342" s="16" t="str" cm="1">
        <f t="array" ref="F3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2" s="31" cm="1">
        <f t="array" ref="G3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2" s="33" t="str">
        <f>_xlfn.IFNA(IF(MOD(HLG_03[[#This Row],[Rit]],
    _xlfn.XLOOKUP($G$2,Int_Sample[Ore],Int_Sample[Inc])) = 0, "YES", "NO"),"")</f>
        <v/>
      </c>
      <c r="I342" s="32" t="str">
        <f>TEXT(HLG_03[[#This Row],[Batch]],"000")&amp; " / " &amp; TEXT(HLG_03[[#This Row],[Rit]],"000")</f>
        <v>N/A / 000</v>
      </c>
      <c r="J342" s="34"/>
      <c r="K342" s="38"/>
      <c r="L342" s="35"/>
      <c r="M342" s="66"/>
      <c r="N342" s="66"/>
      <c r="O342" s="66"/>
      <c r="P342" s="66"/>
      <c r="Q342" s="66"/>
      <c r="R342" s="67"/>
      <c r="S342" s="67"/>
      <c r="T342" s="67"/>
      <c r="U342" s="66"/>
      <c r="V342" s="66"/>
      <c r="W342" s="66"/>
      <c r="X342" s="85"/>
      <c r="AP342" t="str">
        <v/>
      </c>
    </row>
    <row r="343" spans="4:42" ht="15.75" x14ac:dyDescent="0.25">
      <c r="D343" s="3">
        <v>1</v>
      </c>
      <c r="F343" s="16" t="str" cm="1">
        <f t="array" ref="F3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3" s="31" cm="1">
        <f t="array" ref="G3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3" s="33" t="str">
        <f>_xlfn.IFNA(IF(MOD(HLG_03[[#This Row],[Rit]],
    _xlfn.XLOOKUP($G$2,Int_Sample[Ore],Int_Sample[Inc])) = 0, "YES", "NO"),"")</f>
        <v/>
      </c>
      <c r="I343" s="32" t="str">
        <f>TEXT(HLG_03[[#This Row],[Batch]],"000")&amp; " / " &amp; TEXT(HLG_03[[#This Row],[Rit]],"000")</f>
        <v>N/A / 000</v>
      </c>
      <c r="J343" s="34"/>
      <c r="K343" s="38"/>
      <c r="L343" s="35"/>
      <c r="M343" s="66"/>
      <c r="N343" s="66"/>
      <c r="O343" s="66"/>
      <c r="P343" s="66"/>
      <c r="Q343" s="66"/>
      <c r="R343" s="67"/>
      <c r="S343" s="67"/>
      <c r="T343" s="67"/>
      <c r="U343" s="66"/>
      <c r="V343" s="66"/>
      <c r="W343" s="66"/>
      <c r="X343" s="85"/>
      <c r="AP343" t="str">
        <v/>
      </c>
    </row>
    <row r="344" spans="4:42" ht="15.75" x14ac:dyDescent="0.25">
      <c r="D344" s="3">
        <v>1</v>
      </c>
      <c r="F344" s="16" t="str" cm="1">
        <f t="array" ref="F3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4" s="31" cm="1">
        <f t="array" ref="G3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4" s="33" t="str">
        <f>_xlfn.IFNA(IF(MOD(HLG_03[[#This Row],[Rit]],
    _xlfn.XLOOKUP($G$2,Int_Sample[Ore],Int_Sample[Inc])) = 0, "YES", "NO"),"")</f>
        <v/>
      </c>
      <c r="I344" s="32" t="str">
        <f>TEXT(HLG_03[[#This Row],[Batch]],"000")&amp; " / " &amp; TEXT(HLG_03[[#This Row],[Rit]],"000")</f>
        <v>N/A / 000</v>
      </c>
      <c r="J344" s="34"/>
      <c r="K344" s="38"/>
      <c r="L344" s="35"/>
      <c r="M344" s="66"/>
      <c r="N344" s="66"/>
      <c r="O344" s="66"/>
      <c r="P344" s="66"/>
      <c r="Q344" s="66"/>
      <c r="R344" s="67"/>
      <c r="S344" s="67"/>
      <c r="T344" s="67"/>
      <c r="U344" s="66"/>
      <c r="V344" s="66"/>
      <c r="W344" s="66"/>
      <c r="X344" s="85"/>
      <c r="AP344" t="str">
        <v/>
      </c>
    </row>
    <row r="345" spans="4:42" ht="15.75" x14ac:dyDescent="0.25">
      <c r="D345" s="3">
        <v>1</v>
      </c>
      <c r="F345" s="16" t="str" cm="1">
        <f t="array" ref="F3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5" s="31" cm="1">
        <f t="array" ref="G3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5" s="33" t="str">
        <f>_xlfn.IFNA(IF(MOD(HLG_03[[#This Row],[Rit]],
    _xlfn.XLOOKUP($G$2,Int_Sample[Ore],Int_Sample[Inc])) = 0, "YES", "NO"),"")</f>
        <v/>
      </c>
      <c r="I345" s="32" t="str">
        <f>TEXT(HLG_03[[#This Row],[Batch]],"000")&amp; " / " &amp; TEXT(HLG_03[[#This Row],[Rit]],"000")</f>
        <v>N/A / 000</v>
      </c>
      <c r="J345" s="34"/>
      <c r="K345" s="38"/>
      <c r="L345" s="35"/>
      <c r="M345" s="66"/>
      <c r="N345" s="66"/>
      <c r="O345" s="66"/>
      <c r="P345" s="66"/>
      <c r="Q345" s="66"/>
      <c r="R345" s="67"/>
      <c r="S345" s="67"/>
      <c r="T345" s="67"/>
      <c r="U345" s="66"/>
      <c r="V345" s="66"/>
      <c r="W345" s="66"/>
      <c r="X345" s="85"/>
      <c r="AP345" t="str">
        <v/>
      </c>
    </row>
    <row r="346" spans="4:42" ht="15.75" x14ac:dyDescent="0.25">
      <c r="D346" s="3">
        <v>1</v>
      </c>
      <c r="F346" s="16" t="str" cm="1">
        <f t="array" ref="F3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6" s="31" cm="1">
        <f t="array" ref="G3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6" s="33" t="str">
        <f>_xlfn.IFNA(IF(MOD(HLG_03[[#This Row],[Rit]],
    _xlfn.XLOOKUP($G$2,Int_Sample[Ore],Int_Sample[Inc])) = 0, "YES", "NO"),"")</f>
        <v/>
      </c>
      <c r="I346" s="32" t="str">
        <f>TEXT(HLG_03[[#This Row],[Batch]],"000")&amp; " / " &amp; TEXT(HLG_03[[#This Row],[Rit]],"000")</f>
        <v>N/A / 000</v>
      </c>
      <c r="J346" s="34"/>
      <c r="K346" s="38"/>
      <c r="L346" s="35"/>
      <c r="M346" s="66"/>
      <c r="N346" s="66"/>
      <c r="O346" s="66"/>
      <c r="P346" s="66"/>
      <c r="Q346" s="66"/>
      <c r="R346" s="67"/>
      <c r="S346" s="67"/>
      <c r="T346" s="67"/>
      <c r="U346" s="66"/>
      <c r="V346" s="66"/>
      <c r="W346" s="66"/>
      <c r="X346" s="85"/>
      <c r="AP346" t="str">
        <v/>
      </c>
    </row>
    <row r="347" spans="4:42" ht="15.75" x14ac:dyDescent="0.25">
      <c r="D347" s="3">
        <v>1</v>
      </c>
      <c r="F347" s="16" t="str" cm="1">
        <f t="array" ref="F3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7" s="31" cm="1">
        <f t="array" ref="G3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7" s="33" t="str">
        <f>_xlfn.IFNA(IF(MOD(HLG_03[[#This Row],[Rit]],
    _xlfn.XLOOKUP($G$2,Int_Sample[Ore],Int_Sample[Inc])) = 0, "YES", "NO"),"")</f>
        <v/>
      </c>
      <c r="I347" s="32" t="str">
        <f>TEXT(HLG_03[[#This Row],[Batch]],"000")&amp; " / " &amp; TEXT(HLG_03[[#This Row],[Rit]],"000")</f>
        <v>N/A / 000</v>
      </c>
      <c r="J347" s="34"/>
      <c r="K347" s="38"/>
      <c r="L347" s="35"/>
      <c r="M347" s="66"/>
      <c r="N347" s="66"/>
      <c r="O347" s="66"/>
      <c r="P347" s="66"/>
      <c r="Q347" s="66"/>
      <c r="R347" s="67"/>
      <c r="S347" s="67"/>
      <c r="T347" s="67"/>
      <c r="U347" s="66"/>
      <c r="V347" s="66"/>
      <c r="W347" s="66"/>
      <c r="X347" s="85"/>
      <c r="AP347" t="str">
        <v/>
      </c>
    </row>
    <row r="348" spans="4:42" ht="15.75" x14ac:dyDescent="0.25">
      <c r="D348" s="3">
        <v>1</v>
      </c>
      <c r="F348" s="16" t="str" cm="1">
        <f t="array" ref="F3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8" s="31" cm="1">
        <f t="array" ref="G3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8" s="33" t="str">
        <f>_xlfn.IFNA(IF(MOD(HLG_03[[#This Row],[Rit]],
    _xlfn.XLOOKUP($G$2,Int_Sample[Ore],Int_Sample[Inc])) = 0, "YES", "NO"),"")</f>
        <v/>
      </c>
      <c r="I348" s="32" t="str">
        <f>TEXT(HLG_03[[#This Row],[Batch]],"000")&amp; " / " &amp; TEXT(HLG_03[[#This Row],[Rit]],"000")</f>
        <v>N/A / 000</v>
      </c>
      <c r="J348" s="34"/>
      <c r="K348" s="38"/>
      <c r="L348" s="35"/>
      <c r="M348" s="66"/>
      <c r="N348" s="66"/>
      <c r="O348" s="66"/>
      <c r="P348" s="66"/>
      <c r="Q348" s="66"/>
      <c r="R348" s="67"/>
      <c r="S348" s="67"/>
      <c r="T348" s="67"/>
      <c r="U348" s="66"/>
      <c r="V348" s="66"/>
      <c r="W348" s="66"/>
      <c r="X348" s="85"/>
      <c r="AP348" t="str">
        <v/>
      </c>
    </row>
    <row r="349" spans="4:42" ht="15.75" x14ac:dyDescent="0.25">
      <c r="D349" s="3">
        <v>1</v>
      </c>
      <c r="F349" s="16" t="str" cm="1">
        <f t="array" ref="F3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9" s="31" cm="1">
        <f t="array" ref="G3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9" s="33" t="str">
        <f>_xlfn.IFNA(IF(MOD(HLG_03[[#This Row],[Rit]],
    _xlfn.XLOOKUP($G$2,Int_Sample[Ore],Int_Sample[Inc])) = 0, "YES", "NO"),"")</f>
        <v/>
      </c>
      <c r="I349" s="32" t="str">
        <f>TEXT(HLG_03[[#This Row],[Batch]],"000")&amp; " / " &amp; TEXT(HLG_03[[#This Row],[Rit]],"000")</f>
        <v>N/A / 000</v>
      </c>
      <c r="J349" s="34"/>
      <c r="K349" s="38"/>
      <c r="L349" s="35"/>
      <c r="M349" s="66"/>
      <c r="N349" s="66"/>
      <c r="O349" s="66"/>
      <c r="P349" s="66"/>
      <c r="Q349" s="66"/>
      <c r="R349" s="67"/>
      <c r="S349" s="67"/>
      <c r="T349" s="67"/>
      <c r="U349" s="66"/>
      <c r="V349" s="66"/>
      <c r="W349" s="66"/>
      <c r="X349" s="85"/>
      <c r="AP349" t="str">
        <v/>
      </c>
    </row>
    <row r="350" spans="4:42" ht="15.75" x14ac:dyDescent="0.25">
      <c r="D350" s="3">
        <v>1</v>
      </c>
      <c r="F350" s="16" t="str" cm="1">
        <f t="array" ref="F3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0" s="31" cm="1">
        <f t="array" ref="G3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0" s="33" t="str">
        <f>_xlfn.IFNA(IF(MOD(HLG_03[[#This Row],[Rit]],
    _xlfn.XLOOKUP($G$2,Int_Sample[Ore],Int_Sample[Inc])) = 0, "YES", "NO"),"")</f>
        <v/>
      </c>
      <c r="I350" s="32" t="str">
        <f>TEXT(HLG_03[[#This Row],[Batch]],"000")&amp; " / " &amp; TEXT(HLG_03[[#This Row],[Rit]],"000")</f>
        <v>N/A / 000</v>
      </c>
      <c r="J350" s="34"/>
      <c r="K350" s="38"/>
      <c r="L350" s="35"/>
      <c r="M350" s="66"/>
      <c r="N350" s="66"/>
      <c r="O350" s="66"/>
      <c r="P350" s="66"/>
      <c r="Q350" s="66"/>
      <c r="R350" s="67"/>
      <c r="S350" s="67"/>
      <c r="T350" s="67"/>
      <c r="U350" s="66"/>
      <c r="V350" s="66"/>
      <c r="W350" s="66"/>
      <c r="X350" s="85"/>
      <c r="AP350" t="str">
        <v/>
      </c>
    </row>
    <row r="351" spans="4:42" ht="15.75" x14ac:dyDescent="0.25">
      <c r="D351" s="3">
        <v>1</v>
      </c>
      <c r="F351" s="16" t="str" cm="1">
        <f t="array" ref="F3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1" s="31" cm="1">
        <f t="array" ref="G3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1" s="33" t="str">
        <f>_xlfn.IFNA(IF(MOD(HLG_03[[#This Row],[Rit]],
    _xlfn.XLOOKUP($G$2,Int_Sample[Ore],Int_Sample[Inc])) = 0, "YES", "NO"),"")</f>
        <v/>
      </c>
      <c r="I351" s="32" t="str">
        <f>TEXT(HLG_03[[#This Row],[Batch]],"000")&amp; " / " &amp; TEXT(HLG_03[[#This Row],[Rit]],"000")</f>
        <v>N/A / 000</v>
      </c>
      <c r="J351" s="34"/>
      <c r="K351" s="38"/>
      <c r="L351" s="35"/>
      <c r="M351" s="66"/>
      <c r="N351" s="66"/>
      <c r="O351" s="66"/>
      <c r="P351" s="66"/>
      <c r="Q351" s="66"/>
      <c r="R351" s="67"/>
      <c r="S351" s="67"/>
      <c r="T351" s="67"/>
      <c r="U351" s="66"/>
      <c r="V351" s="66"/>
      <c r="W351" s="66"/>
      <c r="X351" s="85"/>
      <c r="AP351" t="str">
        <v/>
      </c>
    </row>
    <row r="352" spans="4:42" ht="15.75" x14ac:dyDescent="0.25">
      <c r="D352" s="3">
        <v>1</v>
      </c>
      <c r="F352" s="16" t="str" cm="1">
        <f t="array" ref="F3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2" s="31" cm="1">
        <f t="array" ref="G3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2" s="33" t="str">
        <f>_xlfn.IFNA(IF(MOD(HLG_03[[#This Row],[Rit]],
    _xlfn.XLOOKUP($G$2,Int_Sample[Ore],Int_Sample[Inc])) = 0, "YES", "NO"),"")</f>
        <v/>
      </c>
      <c r="I352" s="32" t="str">
        <f>TEXT(HLG_03[[#This Row],[Batch]],"000")&amp; " / " &amp; TEXT(HLG_03[[#This Row],[Rit]],"000")</f>
        <v>N/A / 000</v>
      </c>
      <c r="J352" s="34"/>
      <c r="K352" s="38"/>
      <c r="L352" s="35"/>
      <c r="M352" s="66"/>
      <c r="N352" s="66"/>
      <c r="O352" s="66"/>
      <c r="P352" s="66"/>
      <c r="Q352" s="66"/>
      <c r="R352" s="67"/>
      <c r="S352" s="67"/>
      <c r="T352" s="67"/>
      <c r="U352" s="66"/>
      <c r="V352" s="66"/>
      <c r="W352" s="66"/>
      <c r="X352" s="85"/>
      <c r="AP352" t="str">
        <v/>
      </c>
    </row>
    <row r="353" spans="4:42" ht="15.75" x14ac:dyDescent="0.25">
      <c r="D353" s="3">
        <v>1</v>
      </c>
      <c r="F353" s="16" t="str" cm="1">
        <f t="array" ref="F3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3" s="31" cm="1">
        <f t="array" ref="G3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3" s="33" t="str">
        <f>_xlfn.IFNA(IF(MOD(HLG_03[[#This Row],[Rit]],
    _xlfn.XLOOKUP($G$2,Int_Sample[Ore],Int_Sample[Inc])) = 0, "YES", "NO"),"")</f>
        <v/>
      </c>
      <c r="I353" s="32" t="str">
        <f>TEXT(HLG_03[[#This Row],[Batch]],"000")&amp; " / " &amp; TEXT(HLG_03[[#This Row],[Rit]],"000")</f>
        <v>N/A / 000</v>
      </c>
      <c r="J353" s="34"/>
      <c r="K353" s="38"/>
      <c r="L353" s="35"/>
      <c r="M353" s="66"/>
      <c r="N353" s="66"/>
      <c r="O353" s="66"/>
      <c r="P353" s="66"/>
      <c r="Q353" s="66"/>
      <c r="R353" s="67"/>
      <c r="S353" s="67"/>
      <c r="T353" s="67"/>
      <c r="U353" s="66"/>
      <c r="V353" s="66"/>
      <c r="W353" s="66"/>
      <c r="X353" s="85"/>
      <c r="AP353" t="str">
        <v/>
      </c>
    </row>
    <row r="354" spans="4:42" ht="15.75" x14ac:dyDescent="0.25">
      <c r="D354" s="3">
        <v>1</v>
      </c>
      <c r="F354" s="16" t="str" cm="1">
        <f t="array" ref="F3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4" s="31" cm="1">
        <f t="array" ref="G3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4" s="33" t="str">
        <f>_xlfn.IFNA(IF(MOD(HLG_03[[#This Row],[Rit]],
    _xlfn.XLOOKUP($G$2,Int_Sample[Ore],Int_Sample[Inc])) = 0, "YES", "NO"),"")</f>
        <v/>
      </c>
      <c r="I354" s="32" t="str">
        <f>TEXT(HLG_03[[#This Row],[Batch]],"000")&amp; " / " &amp; TEXT(HLG_03[[#This Row],[Rit]],"000")</f>
        <v>N/A / 000</v>
      </c>
      <c r="J354" s="34"/>
      <c r="K354" s="38"/>
      <c r="L354" s="35"/>
      <c r="M354" s="66"/>
      <c r="N354" s="66"/>
      <c r="O354" s="66"/>
      <c r="P354" s="66"/>
      <c r="Q354" s="66"/>
      <c r="R354" s="67"/>
      <c r="S354" s="67"/>
      <c r="T354" s="67"/>
      <c r="U354" s="66"/>
      <c r="V354" s="66"/>
      <c r="W354" s="66"/>
      <c r="X354" s="85"/>
      <c r="AP354" t="str">
        <v/>
      </c>
    </row>
    <row r="355" spans="4:42" ht="15.75" x14ac:dyDescent="0.25">
      <c r="D355" s="3">
        <v>1</v>
      </c>
      <c r="F355" s="16" t="str" cm="1">
        <f t="array" ref="F3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5" s="31" cm="1">
        <f t="array" ref="G3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5" s="33" t="str">
        <f>_xlfn.IFNA(IF(MOD(HLG_03[[#This Row],[Rit]],
    _xlfn.XLOOKUP($G$2,Int_Sample[Ore],Int_Sample[Inc])) = 0, "YES", "NO"),"")</f>
        <v/>
      </c>
      <c r="I355" s="32" t="str">
        <f>TEXT(HLG_03[[#This Row],[Batch]],"000")&amp; " / " &amp; TEXT(HLG_03[[#This Row],[Rit]],"000")</f>
        <v>N/A / 000</v>
      </c>
      <c r="J355" s="34"/>
      <c r="K355" s="38"/>
      <c r="L355" s="35"/>
      <c r="M355" s="66"/>
      <c r="N355" s="66"/>
      <c r="O355" s="66"/>
      <c r="P355" s="66"/>
      <c r="Q355" s="66"/>
      <c r="R355" s="67"/>
      <c r="S355" s="67"/>
      <c r="T355" s="67"/>
      <c r="U355" s="66"/>
      <c r="V355" s="66"/>
      <c r="W355" s="66"/>
      <c r="X355" s="85"/>
      <c r="AP355" t="str">
        <v/>
      </c>
    </row>
    <row r="356" spans="4:42" ht="15.75" x14ac:dyDescent="0.25">
      <c r="D356" s="3">
        <v>1</v>
      </c>
      <c r="F356" s="16" t="str" cm="1">
        <f t="array" ref="F3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6" s="31" cm="1">
        <f t="array" ref="G3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6" s="33" t="str">
        <f>_xlfn.IFNA(IF(MOD(HLG_03[[#This Row],[Rit]],
    _xlfn.XLOOKUP($G$2,Int_Sample[Ore],Int_Sample[Inc])) = 0, "YES", "NO"),"")</f>
        <v/>
      </c>
      <c r="I356" s="32" t="str">
        <f>TEXT(HLG_03[[#This Row],[Batch]],"000")&amp; " / " &amp; TEXT(HLG_03[[#This Row],[Rit]],"000")</f>
        <v>N/A / 000</v>
      </c>
      <c r="J356" s="34"/>
      <c r="K356" s="38"/>
      <c r="L356" s="35"/>
      <c r="M356" s="66"/>
      <c r="N356" s="66"/>
      <c r="O356" s="66"/>
      <c r="P356" s="66"/>
      <c r="Q356" s="66"/>
      <c r="R356" s="67"/>
      <c r="S356" s="67"/>
      <c r="T356" s="67"/>
      <c r="U356" s="66"/>
      <c r="V356" s="66"/>
      <c r="W356" s="66"/>
      <c r="X356" s="85"/>
      <c r="AP356" t="str">
        <v/>
      </c>
    </row>
    <row r="357" spans="4:42" ht="15.75" x14ac:dyDescent="0.25">
      <c r="D357" s="3">
        <v>1</v>
      </c>
      <c r="F357" s="16" t="str" cm="1">
        <f t="array" ref="F3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7" s="31" cm="1">
        <f t="array" ref="G3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7" s="33" t="str">
        <f>_xlfn.IFNA(IF(MOD(HLG_03[[#This Row],[Rit]],
    _xlfn.XLOOKUP($G$2,Int_Sample[Ore],Int_Sample[Inc])) = 0, "YES", "NO"),"")</f>
        <v/>
      </c>
      <c r="I357" s="32" t="str">
        <f>TEXT(HLG_03[[#This Row],[Batch]],"000")&amp; " / " &amp; TEXT(HLG_03[[#This Row],[Rit]],"000")</f>
        <v>N/A / 000</v>
      </c>
      <c r="J357" s="34"/>
      <c r="K357" s="38"/>
      <c r="L357" s="35"/>
      <c r="M357" s="66"/>
      <c r="N357" s="66"/>
      <c r="O357" s="66"/>
      <c r="P357" s="66"/>
      <c r="Q357" s="66"/>
      <c r="R357" s="67"/>
      <c r="S357" s="67"/>
      <c r="T357" s="67"/>
      <c r="U357" s="66"/>
      <c r="V357" s="66"/>
      <c r="W357" s="66"/>
      <c r="X357" s="85"/>
      <c r="AP357" t="str">
        <v/>
      </c>
    </row>
    <row r="358" spans="4:42" ht="15.75" x14ac:dyDescent="0.25">
      <c r="D358" s="3">
        <v>1</v>
      </c>
      <c r="F358" s="16" t="str" cm="1">
        <f t="array" ref="F3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8" s="31" cm="1">
        <f t="array" ref="G3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8" s="33" t="str">
        <f>_xlfn.IFNA(IF(MOD(HLG_03[[#This Row],[Rit]],
    _xlfn.XLOOKUP($G$2,Int_Sample[Ore],Int_Sample[Inc])) = 0, "YES", "NO"),"")</f>
        <v/>
      </c>
      <c r="I358" s="32" t="str">
        <f>TEXT(HLG_03[[#This Row],[Batch]],"000")&amp; " / " &amp; TEXT(HLG_03[[#This Row],[Rit]],"000")</f>
        <v>N/A / 000</v>
      </c>
      <c r="J358" s="34"/>
      <c r="K358" s="38"/>
      <c r="L358" s="35"/>
      <c r="M358" s="66"/>
      <c r="N358" s="66"/>
      <c r="O358" s="66"/>
      <c r="P358" s="66"/>
      <c r="Q358" s="66"/>
      <c r="R358" s="67"/>
      <c r="S358" s="67"/>
      <c r="T358" s="67"/>
      <c r="U358" s="66"/>
      <c r="V358" s="66"/>
      <c r="W358" s="66"/>
      <c r="X358" s="85"/>
      <c r="AP358" t="str">
        <v/>
      </c>
    </row>
    <row r="359" spans="4:42" ht="15.75" x14ac:dyDescent="0.25">
      <c r="D359" s="3">
        <v>1</v>
      </c>
      <c r="F359" s="16" t="str" cm="1">
        <f t="array" ref="F3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9" s="31" cm="1">
        <f t="array" ref="G3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9" s="33" t="str">
        <f>_xlfn.IFNA(IF(MOD(HLG_03[[#This Row],[Rit]],
    _xlfn.XLOOKUP($G$2,Int_Sample[Ore],Int_Sample[Inc])) = 0, "YES", "NO"),"")</f>
        <v/>
      </c>
      <c r="I359" s="32" t="str">
        <f>TEXT(HLG_03[[#This Row],[Batch]],"000")&amp; " / " &amp; TEXT(HLG_03[[#This Row],[Rit]],"000")</f>
        <v>N/A / 000</v>
      </c>
      <c r="J359" s="34"/>
      <c r="K359" s="38"/>
      <c r="L359" s="35"/>
      <c r="M359" s="66"/>
      <c r="N359" s="66"/>
      <c r="O359" s="66"/>
      <c r="P359" s="66"/>
      <c r="Q359" s="66"/>
      <c r="R359" s="67"/>
      <c r="S359" s="67"/>
      <c r="T359" s="67"/>
      <c r="U359" s="66"/>
      <c r="V359" s="66"/>
      <c r="W359" s="66"/>
      <c r="X359" s="85"/>
      <c r="AP359" t="str">
        <v/>
      </c>
    </row>
    <row r="360" spans="4:42" ht="15.75" x14ac:dyDescent="0.25">
      <c r="D360" s="3">
        <v>1</v>
      </c>
      <c r="F360" s="16" t="str" cm="1">
        <f t="array" ref="F3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0" s="31" cm="1">
        <f t="array" ref="G3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0" s="33" t="str">
        <f>_xlfn.IFNA(IF(MOD(HLG_03[[#This Row],[Rit]],
    _xlfn.XLOOKUP($G$2,Int_Sample[Ore],Int_Sample[Inc])) = 0, "YES", "NO"),"")</f>
        <v/>
      </c>
      <c r="I360" s="32" t="str">
        <f>TEXT(HLG_03[[#This Row],[Batch]],"000")&amp; " / " &amp; TEXT(HLG_03[[#This Row],[Rit]],"000")</f>
        <v>N/A / 000</v>
      </c>
      <c r="J360" s="34"/>
      <c r="K360" s="38"/>
      <c r="L360" s="35"/>
      <c r="M360" s="66"/>
      <c r="N360" s="66"/>
      <c r="O360" s="66"/>
      <c r="P360" s="66"/>
      <c r="Q360" s="66"/>
      <c r="R360" s="67"/>
      <c r="S360" s="67"/>
      <c r="T360" s="67"/>
      <c r="U360" s="66"/>
      <c r="V360" s="66"/>
      <c r="W360" s="66"/>
      <c r="X360" s="85"/>
      <c r="AP360" t="str">
        <v/>
      </c>
    </row>
    <row r="361" spans="4:42" ht="15.75" x14ac:dyDescent="0.25">
      <c r="D361" s="3">
        <v>1</v>
      </c>
      <c r="F361" s="16" t="str" cm="1">
        <f t="array" ref="F3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1" s="31" cm="1">
        <f t="array" ref="G3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1" s="33" t="str">
        <f>_xlfn.IFNA(IF(MOD(HLG_03[[#This Row],[Rit]],
    _xlfn.XLOOKUP($G$2,Int_Sample[Ore],Int_Sample[Inc])) = 0, "YES", "NO"),"")</f>
        <v/>
      </c>
      <c r="I361" s="32" t="str">
        <f>TEXT(HLG_03[[#This Row],[Batch]],"000")&amp; " / " &amp; TEXT(HLG_03[[#This Row],[Rit]],"000")</f>
        <v>N/A / 000</v>
      </c>
      <c r="J361" s="34"/>
      <c r="K361" s="38"/>
      <c r="L361" s="35"/>
      <c r="M361" s="66"/>
      <c r="N361" s="66"/>
      <c r="O361" s="66"/>
      <c r="P361" s="66"/>
      <c r="Q361" s="66"/>
      <c r="R361" s="67"/>
      <c r="S361" s="67"/>
      <c r="T361" s="67"/>
      <c r="U361" s="66"/>
      <c r="V361" s="66"/>
      <c r="W361" s="66"/>
      <c r="X361" s="85"/>
      <c r="AP361" t="str">
        <v/>
      </c>
    </row>
    <row r="362" spans="4:42" ht="15.75" x14ac:dyDescent="0.25">
      <c r="D362" s="3">
        <v>1</v>
      </c>
      <c r="F362" s="16" t="str" cm="1">
        <f t="array" ref="F3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2" s="31" cm="1">
        <f t="array" ref="G3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2" s="33" t="str">
        <f>_xlfn.IFNA(IF(MOD(HLG_03[[#This Row],[Rit]],
    _xlfn.XLOOKUP($G$2,Int_Sample[Ore],Int_Sample[Inc])) = 0, "YES", "NO"),"")</f>
        <v/>
      </c>
      <c r="I362" s="32" t="str">
        <f>TEXT(HLG_03[[#This Row],[Batch]],"000")&amp; " / " &amp; TEXT(HLG_03[[#This Row],[Rit]],"000")</f>
        <v>N/A / 000</v>
      </c>
      <c r="J362" s="34"/>
      <c r="K362" s="38"/>
      <c r="L362" s="35"/>
      <c r="M362" s="66"/>
      <c r="N362" s="66"/>
      <c r="O362" s="66"/>
      <c r="P362" s="66"/>
      <c r="Q362" s="66"/>
      <c r="R362" s="67"/>
      <c r="S362" s="67"/>
      <c r="T362" s="67"/>
      <c r="U362" s="66"/>
      <c r="V362" s="66"/>
      <c r="W362" s="66"/>
      <c r="X362" s="85"/>
      <c r="AP362" t="str">
        <v/>
      </c>
    </row>
    <row r="363" spans="4:42" ht="15.75" x14ac:dyDescent="0.25">
      <c r="D363" s="3">
        <v>1</v>
      </c>
      <c r="F363" s="16" t="str" cm="1">
        <f t="array" ref="F3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3" s="31" cm="1">
        <f t="array" ref="G3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3" s="33" t="str">
        <f>_xlfn.IFNA(IF(MOD(HLG_03[[#This Row],[Rit]],
    _xlfn.XLOOKUP($G$2,Int_Sample[Ore],Int_Sample[Inc])) = 0, "YES", "NO"),"")</f>
        <v/>
      </c>
      <c r="I363" s="32" t="str">
        <f>TEXT(HLG_03[[#This Row],[Batch]],"000")&amp; " / " &amp; TEXT(HLG_03[[#This Row],[Rit]],"000")</f>
        <v>N/A / 000</v>
      </c>
      <c r="J363" s="34"/>
      <c r="K363" s="38"/>
      <c r="L363" s="35"/>
      <c r="M363" s="66"/>
      <c r="N363" s="66"/>
      <c r="O363" s="66"/>
      <c r="P363" s="66"/>
      <c r="Q363" s="66"/>
      <c r="R363" s="67"/>
      <c r="S363" s="67"/>
      <c r="T363" s="67"/>
      <c r="U363" s="66"/>
      <c r="V363" s="66"/>
      <c r="W363" s="66"/>
      <c r="X363" s="85"/>
      <c r="AP363" t="str">
        <v/>
      </c>
    </row>
    <row r="364" spans="4:42" ht="15.75" x14ac:dyDescent="0.25">
      <c r="D364" s="3">
        <v>1</v>
      </c>
      <c r="F364" s="16" t="str" cm="1">
        <f t="array" ref="F3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4" s="31" cm="1">
        <f t="array" ref="G3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4" s="33" t="str">
        <f>_xlfn.IFNA(IF(MOD(HLG_03[[#This Row],[Rit]],
    _xlfn.XLOOKUP($G$2,Int_Sample[Ore],Int_Sample[Inc])) = 0, "YES", "NO"),"")</f>
        <v/>
      </c>
      <c r="I364" s="32" t="str">
        <f>TEXT(HLG_03[[#This Row],[Batch]],"000")&amp; " / " &amp; TEXT(HLG_03[[#This Row],[Rit]],"000")</f>
        <v>N/A / 000</v>
      </c>
      <c r="J364" s="34"/>
      <c r="K364" s="38"/>
      <c r="L364" s="35"/>
      <c r="M364" s="66"/>
      <c r="N364" s="66"/>
      <c r="O364" s="66"/>
      <c r="P364" s="66"/>
      <c r="Q364" s="66"/>
      <c r="R364" s="67"/>
      <c r="S364" s="67"/>
      <c r="T364" s="67"/>
      <c r="U364" s="66"/>
      <c r="V364" s="66"/>
      <c r="W364" s="66"/>
      <c r="X364" s="85"/>
      <c r="AP364" t="str">
        <v/>
      </c>
    </row>
    <row r="365" spans="4:42" ht="15.75" x14ac:dyDescent="0.25">
      <c r="D365" s="3">
        <v>1</v>
      </c>
      <c r="F365" s="16" t="str" cm="1">
        <f t="array" ref="F3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5" s="31" cm="1">
        <f t="array" ref="G3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5" s="33" t="str">
        <f>_xlfn.IFNA(IF(MOD(HLG_03[[#This Row],[Rit]],
    _xlfn.XLOOKUP($G$2,Int_Sample[Ore],Int_Sample[Inc])) = 0, "YES", "NO"),"")</f>
        <v/>
      </c>
      <c r="I365" s="32" t="str">
        <f>TEXT(HLG_03[[#This Row],[Batch]],"000")&amp; " / " &amp; TEXT(HLG_03[[#This Row],[Rit]],"000")</f>
        <v>N/A / 000</v>
      </c>
      <c r="J365" s="34"/>
      <c r="K365" s="38"/>
      <c r="L365" s="35"/>
      <c r="M365" s="66"/>
      <c r="N365" s="66"/>
      <c r="O365" s="66"/>
      <c r="P365" s="66"/>
      <c r="Q365" s="66"/>
      <c r="R365" s="67"/>
      <c r="S365" s="67"/>
      <c r="T365" s="67"/>
      <c r="U365" s="66"/>
      <c r="V365" s="66"/>
      <c r="W365" s="66"/>
      <c r="X365" s="85"/>
      <c r="AP365" t="str">
        <v/>
      </c>
    </row>
    <row r="366" spans="4:42" ht="15.75" x14ac:dyDescent="0.25">
      <c r="D366" s="3">
        <v>1</v>
      </c>
      <c r="F366" s="16" t="str" cm="1">
        <f t="array" ref="F3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6" s="31" cm="1">
        <f t="array" ref="G3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6" s="33" t="str">
        <f>_xlfn.IFNA(IF(MOD(HLG_03[[#This Row],[Rit]],
    _xlfn.XLOOKUP($G$2,Int_Sample[Ore],Int_Sample[Inc])) = 0, "YES", "NO"),"")</f>
        <v/>
      </c>
      <c r="I366" s="32" t="str">
        <f>TEXT(HLG_03[[#This Row],[Batch]],"000")&amp; " / " &amp; TEXT(HLG_03[[#This Row],[Rit]],"000")</f>
        <v>N/A / 000</v>
      </c>
      <c r="J366" s="34"/>
      <c r="K366" s="38"/>
      <c r="L366" s="35"/>
      <c r="M366" s="66"/>
      <c r="N366" s="66"/>
      <c r="O366" s="66"/>
      <c r="P366" s="66"/>
      <c r="Q366" s="66"/>
      <c r="R366" s="67"/>
      <c r="S366" s="67"/>
      <c r="T366" s="67"/>
      <c r="U366" s="66"/>
      <c r="V366" s="66"/>
      <c r="W366" s="66"/>
      <c r="X366" s="85"/>
      <c r="AP366" t="str">
        <v/>
      </c>
    </row>
    <row r="367" spans="4:42" ht="15.75" x14ac:dyDescent="0.25">
      <c r="D367" s="3">
        <v>1</v>
      </c>
      <c r="F367" s="16" t="str" cm="1">
        <f t="array" ref="F3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7" s="31" cm="1">
        <f t="array" ref="G3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7" s="33" t="str">
        <f>_xlfn.IFNA(IF(MOD(HLG_03[[#This Row],[Rit]],
    _xlfn.XLOOKUP($G$2,Int_Sample[Ore],Int_Sample[Inc])) = 0, "YES", "NO"),"")</f>
        <v/>
      </c>
      <c r="I367" s="32" t="str">
        <f>TEXT(HLG_03[[#This Row],[Batch]],"000")&amp; " / " &amp; TEXT(HLG_03[[#This Row],[Rit]],"000")</f>
        <v>N/A / 000</v>
      </c>
      <c r="J367" s="34"/>
      <c r="K367" s="38"/>
      <c r="L367" s="35"/>
      <c r="M367" s="66"/>
      <c r="N367" s="66"/>
      <c r="O367" s="66"/>
      <c r="P367" s="66"/>
      <c r="Q367" s="66"/>
      <c r="R367" s="67"/>
      <c r="S367" s="67"/>
      <c r="T367" s="67"/>
      <c r="U367" s="66"/>
      <c r="V367" s="66"/>
      <c r="W367" s="66"/>
      <c r="X367" s="85"/>
      <c r="AP367" t="str">
        <v/>
      </c>
    </row>
    <row r="368" spans="4:42" ht="15.75" x14ac:dyDescent="0.25">
      <c r="D368" s="3">
        <v>1</v>
      </c>
      <c r="F368" s="16" t="str" cm="1">
        <f t="array" ref="F3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8" s="31" cm="1">
        <f t="array" ref="G3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8" s="33" t="str">
        <f>_xlfn.IFNA(IF(MOD(HLG_03[[#This Row],[Rit]],
    _xlfn.XLOOKUP($G$2,Int_Sample[Ore],Int_Sample[Inc])) = 0, "YES", "NO"),"")</f>
        <v/>
      </c>
      <c r="I368" s="32" t="str">
        <f>TEXT(HLG_03[[#This Row],[Batch]],"000")&amp; " / " &amp; TEXT(HLG_03[[#This Row],[Rit]],"000")</f>
        <v>N/A / 000</v>
      </c>
      <c r="J368" s="34"/>
      <c r="K368" s="38"/>
      <c r="L368" s="35"/>
      <c r="M368" s="66"/>
      <c r="N368" s="66"/>
      <c r="O368" s="66"/>
      <c r="P368" s="66"/>
      <c r="Q368" s="66"/>
      <c r="R368" s="67"/>
      <c r="S368" s="67"/>
      <c r="T368" s="67"/>
      <c r="U368" s="66"/>
      <c r="V368" s="66"/>
      <c r="W368" s="66"/>
      <c r="X368" s="85"/>
      <c r="AP368" t="str">
        <v/>
      </c>
    </row>
    <row r="369" spans="4:42" ht="15.75" x14ac:dyDescent="0.25">
      <c r="D369" s="3">
        <v>1</v>
      </c>
      <c r="F369" s="16" t="str" cm="1">
        <f t="array" ref="F3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9" s="31" cm="1">
        <f t="array" ref="G3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9" s="33" t="str">
        <f>_xlfn.IFNA(IF(MOD(HLG_03[[#This Row],[Rit]],
    _xlfn.XLOOKUP($G$2,Int_Sample[Ore],Int_Sample[Inc])) = 0, "YES", "NO"),"")</f>
        <v/>
      </c>
      <c r="I369" s="32" t="str">
        <f>TEXT(HLG_03[[#This Row],[Batch]],"000")&amp; " / " &amp; TEXT(HLG_03[[#This Row],[Rit]],"000")</f>
        <v>N/A / 000</v>
      </c>
      <c r="J369" s="34"/>
      <c r="K369" s="38"/>
      <c r="L369" s="35"/>
      <c r="M369" s="66"/>
      <c r="N369" s="66"/>
      <c r="O369" s="66"/>
      <c r="P369" s="66"/>
      <c r="Q369" s="66"/>
      <c r="R369" s="67"/>
      <c r="S369" s="67"/>
      <c r="T369" s="67"/>
      <c r="U369" s="66"/>
      <c r="V369" s="66"/>
      <c r="W369" s="66"/>
      <c r="X369" s="85"/>
      <c r="AP369" t="str">
        <v/>
      </c>
    </row>
    <row r="370" spans="4:42" ht="15.75" x14ac:dyDescent="0.25">
      <c r="D370" s="3">
        <v>1</v>
      </c>
      <c r="F370" s="16" t="str" cm="1">
        <f t="array" ref="F3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0" s="31" cm="1">
        <f t="array" ref="G3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0" s="33" t="str">
        <f>_xlfn.IFNA(IF(MOD(HLG_03[[#This Row],[Rit]],
    _xlfn.XLOOKUP($G$2,Int_Sample[Ore],Int_Sample[Inc])) = 0, "YES", "NO"),"")</f>
        <v/>
      </c>
      <c r="I370" s="32" t="str">
        <f>TEXT(HLG_03[[#This Row],[Batch]],"000")&amp; " / " &amp; TEXT(HLG_03[[#This Row],[Rit]],"000")</f>
        <v>N/A / 000</v>
      </c>
      <c r="J370" s="34"/>
      <c r="K370" s="38"/>
      <c r="L370" s="35"/>
      <c r="M370" s="66"/>
      <c r="N370" s="66"/>
      <c r="O370" s="66"/>
      <c r="P370" s="66"/>
      <c r="Q370" s="66"/>
      <c r="R370" s="67"/>
      <c r="S370" s="67"/>
      <c r="T370" s="67"/>
      <c r="U370" s="66"/>
      <c r="V370" s="66"/>
      <c r="W370" s="66"/>
      <c r="X370" s="85"/>
      <c r="AP370" t="str">
        <v/>
      </c>
    </row>
    <row r="371" spans="4:42" ht="15.75" x14ac:dyDescent="0.25">
      <c r="D371" s="3">
        <v>1</v>
      </c>
      <c r="F371" s="16" t="str" cm="1">
        <f t="array" ref="F3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1" s="31" cm="1">
        <f t="array" ref="G3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1" s="33" t="str">
        <f>_xlfn.IFNA(IF(MOD(HLG_03[[#This Row],[Rit]],
    _xlfn.XLOOKUP($G$2,Int_Sample[Ore],Int_Sample[Inc])) = 0, "YES", "NO"),"")</f>
        <v/>
      </c>
      <c r="I371" s="32" t="str">
        <f>TEXT(HLG_03[[#This Row],[Batch]],"000")&amp; " / " &amp; TEXT(HLG_03[[#This Row],[Rit]],"000")</f>
        <v>N/A / 000</v>
      </c>
      <c r="J371" s="34"/>
      <c r="K371" s="38"/>
      <c r="L371" s="35"/>
      <c r="M371" s="66"/>
      <c r="N371" s="66"/>
      <c r="O371" s="66"/>
      <c r="P371" s="66"/>
      <c r="Q371" s="66"/>
      <c r="R371" s="67"/>
      <c r="S371" s="67"/>
      <c r="T371" s="67"/>
      <c r="U371" s="66"/>
      <c r="V371" s="66"/>
      <c r="W371" s="66"/>
      <c r="X371" s="85"/>
      <c r="AP371" t="str">
        <v/>
      </c>
    </row>
    <row r="372" spans="4:42" ht="15.75" x14ac:dyDescent="0.25">
      <c r="D372" s="3">
        <v>1</v>
      </c>
      <c r="F372" s="16" t="str" cm="1">
        <f t="array" ref="F3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2" s="31" cm="1">
        <f t="array" ref="G3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2" s="33" t="str">
        <f>_xlfn.IFNA(IF(MOD(HLG_03[[#This Row],[Rit]],
    _xlfn.XLOOKUP($G$2,Int_Sample[Ore],Int_Sample[Inc])) = 0, "YES", "NO"),"")</f>
        <v/>
      </c>
      <c r="I372" s="32" t="str">
        <f>TEXT(HLG_03[[#This Row],[Batch]],"000")&amp; " / " &amp; TEXT(HLG_03[[#This Row],[Rit]],"000")</f>
        <v>N/A / 000</v>
      </c>
      <c r="J372" s="34"/>
      <c r="K372" s="38"/>
      <c r="L372" s="35"/>
      <c r="M372" s="66"/>
      <c r="N372" s="66"/>
      <c r="O372" s="66"/>
      <c r="P372" s="66"/>
      <c r="Q372" s="66"/>
      <c r="R372" s="67"/>
      <c r="S372" s="67"/>
      <c r="T372" s="67"/>
      <c r="U372" s="66"/>
      <c r="V372" s="66"/>
      <c r="W372" s="66"/>
      <c r="X372" s="85"/>
      <c r="AP372" t="str">
        <v/>
      </c>
    </row>
    <row r="373" spans="4:42" ht="15.75" x14ac:dyDescent="0.25">
      <c r="D373" s="3">
        <v>1</v>
      </c>
      <c r="F373" s="16" t="str" cm="1">
        <f t="array" ref="F3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3" s="31" cm="1">
        <f t="array" ref="G3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3" s="33" t="str">
        <f>_xlfn.IFNA(IF(MOD(HLG_03[[#This Row],[Rit]],
    _xlfn.XLOOKUP($G$2,Int_Sample[Ore],Int_Sample[Inc])) = 0, "YES", "NO"),"")</f>
        <v/>
      </c>
      <c r="I373" s="32" t="str">
        <f>TEXT(HLG_03[[#This Row],[Batch]],"000")&amp; " / " &amp; TEXT(HLG_03[[#This Row],[Rit]],"000")</f>
        <v>N/A / 000</v>
      </c>
      <c r="J373" s="34"/>
      <c r="K373" s="38"/>
      <c r="L373" s="35"/>
      <c r="M373" s="66"/>
      <c r="N373" s="66"/>
      <c r="O373" s="66"/>
      <c r="P373" s="66"/>
      <c r="Q373" s="66"/>
      <c r="R373" s="67"/>
      <c r="S373" s="67"/>
      <c r="T373" s="67"/>
      <c r="U373" s="66"/>
      <c r="V373" s="66"/>
      <c r="W373" s="66"/>
      <c r="X373" s="85"/>
      <c r="AP373" t="str">
        <v/>
      </c>
    </row>
    <row r="374" spans="4:42" ht="15.75" x14ac:dyDescent="0.25">
      <c r="D374" s="3">
        <v>1</v>
      </c>
      <c r="F374" s="16" t="str" cm="1">
        <f t="array" ref="F3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4" s="31" cm="1">
        <f t="array" ref="G3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4" s="33" t="str">
        <f>_xlfn.IFNA(IF(MOD(HLG_03[[#This Row],[Rit]],
    _xlfn.XLOOKUP($G$2,Int_Sample[Ore],Int_Sample[Inc])) = 0, "YES", "NO"),"")</f>
        <v/>
      </c>
      <c r="I374" s="32" t="str">
        <f>TEXT(HLG_03[[#This Row],[Batch]],"000")&amp; " / " &amp; TEXT(HLG_03[[#This Row],[Rit]],"000")</f>
        <v>N/A / 000</v>
      </c>
      <c r="J374" s="34"/>
      <c r="K374" s="38"/>
      <c r="L374" s="35"/>
      <c r="M374" s="66"/>
      <c r="N374" s="66"/>
      <c r="O374" s="66"/>
      <c r="P374" s="66"/>
      <c r="Q374" s="66"/>
      <c r="R374" s="67"/>
      <c r="S374" s="67"/>
      <c r="T374" s="67"/>
      <c r="U374" s="66"/>
      <c r="V374" s="66"/>
      <c r="W374" s="66"/>
      <c r="X374" s="85"/>
      <c r="AP374" t="str">
        <v/>
      </c>
    </row>
    <row r="375" spans="4:42" ht="15.75" x14ac:dyDescent="0.25">
      <c r="D375" s="3">
        <v>1</v>
      </c>
      <c r="F375" s="16" t="str" cm="1">
        <f t="array" ref="F3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5" s="31" cm="1">
        <f t="array" ref="G3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5" s="33" t="str">
        <f>_xlfn.IFNA(IF(MOD(HLG_03[[#This Row],[Rit]],
    _xlfn.XLOOKUP($G$2,Int_Sample[Ore],Int_Sample[Inc])) = 0, "YES", "NO"),"")</f>
        <v/>
      </c>
      <c r="I375" s="32" t="str">
        <f>TEXT(HLG_03[[#This Row],[Batch]],"000")&amp; " / " &amp; TEXT(HLG_03[[#This Row],[Rit]],"000")</f>
        <v>N/A / 000</v>
      </c>
      <c r="J375" s="34"/>
      <c r="K375" s="38"/>
      <c r="L375" s="35"/>
      <c r="M375" s="66"/>
      <c r="N375" s="66"/>
      <c r="O375" s="66"/>
      <c r="P375" s="66"/>
      <c r="Q375" s="66"/>
      <c r="R375" s="67"/>
      <c r="S375" s="67"/>
      <c r="T375" s="67"/>
      <c r="U375" s="66"/>
      <c r="V375" s="66"/>
      <c r="W375" s="66"/>
      <c r="X375" s="85"/>
      <c r="AP375" t="str">
        <v/>
      </c>
    </row>
    <row r="376" spans="4:42" ht="15.75" x14ac:dyDescent="0.25">
      <c r="D376" s="3">
        <v>1</v>
      </c>
      <c r="F376" s="16" t="str" cm="1">
        <f t="array" ref="F3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6" s="31" cm="1">
        <f t="array" ref="G3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6" s="33" t="str">
        <f>_xlfn.IFNA(IF(MOD(HLG_03[[#This Row],[Rit]],
    _xlfn.XLOOKUP($G$2,Int_Sample[Ore],Int_Sample[Inc])) = 0, "YES", "NO"),"")</f>
        <v/>
      </c>
      <c r="I376" s="32" t="str">
        <f>TEXT(HLG_03[[#This Row],[Batch]],"000")&amp; " / " &amp; TEXT(HLG_03[[#This Row],[Rit]],"000")</f>
        <v>N/A / 000</v>
      </c>
      <c r="J376" s="34"/>
      <c r="K376" s="38"/>
      <c r="L376" s="35"/>
      <c r="M376" s="66"/>
      <c r="N376" s="66"/>
      <c r="O376" s="66"/>
      <c r="P376" s="66"/>
      <c r="Q376" s="66"/>
      <c r="R376" s="67"/>
      <c r="S376" s="67"/>
      <c r="T376" s="67"/>
      <c r="U376" s="66"/>
      <c r="V376" s="66"/>
      <c r="W376" s="66"/>
      <c r="X376" s="85"/>
      <c r="AP376" t="str">
        <v/>
      </c>
    </row>
    <row r="377" spans="4:42" ht="15.75" x14ac:dyDescent="0.25">
      <c r="D377" s="3">
        <v>1</v>
      </c>
      <c r="F377" s="16" t="str" cm="1">
        <f t="array" ref="F3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7" s="31" cm="1">
        <f t="array" ref="G3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7" s="33" t="str">
        <f>_xlfn.IFNA(IF(MOD(HLG_03[[#This Row],[Rit]],
    _xlfn.XLOOKUP($G$2,Int_Sample[Ore],Int_Sample[Inc])) = 0, "YES", "NO"),"")</f>
        <v/>
      </c>
      <c r="I377" s="32" t="str">
        <f>TEXT(HLG_03[[#This Row],[Batch]],"000")&amp; " / " &amp; TEXT(HLG_03[[#This Row],[Rit]],"000")</f>
        <v>N/A / 000</v>
      </c>
      <c r="J377" s="34"/>
      <c r="K377" s="38"/>
      <c r="L377" s="35"/>
      <c r="M377" s="66"/>
      <c r="N377" s="66"/>
      <c r="O377" s="66"/>
      <c r="P377" s="66"/>
      <c r="Q377" s="66"/>
      <c r="R377" s="67"/>
      <c r="S377" s="67"/>
      <c r="T377" s="67"/>
      <c r="U377" s="66"/>
      <c r="V377" s="66"/>
      <c r="W377" s="66"/>
      <c r="X377" s="85"/>
      <c r="AP377" t="str">
        <v/>
      </c>
    </row>
    <row r="378" spans="4:42" ht="15.75" x14ac:dyDescent="0.25">
      <c r="D378" s="3">
        <v>1</v>
      </c>
      <c r="F378" s="16" t="str" cm="1">
        <f t="array" ref="F3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8" s="31" cm="1">
        <f t="array" ref="G3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8" s="33" t="str">
        <f>_xlfn.IFNA(IF(MOD(HLG_03[[#This Row],[Rit]],
    _xlfn.XLOOKUP($G$2,Int_Sample[Ore],Int_Sample[Inc])) = 0, "YES", "NO"),"")</f>
        <v/>
      </c>
      <c r="I378" s="32" t="str">
        <f>TEXT(HLG_03[[#This Row],[Batch]],"000")&amp; " / " &amp; TEXT(HLG_03[[#This Row],[Rit]],"000")</f>
        <v>N/A / 000</v>
      </c>
      <c r="J378" s="34"/>
      <c r="K378" s="38"/>
      <c r="L378" s="35"/>
      <c r="M378" s="66"/>
      <c r="N378" s="66"/>
      <c r="O378" s="66"/>
      <c r="P378" s="66"/>
      <c r="Q378" s="66"/>
      <c r="R378" s="67"/>
      <c r="S378" s="67"/>
      <c r="T378" s="67"/>
      <c r="U378" s="66"/>
      <c r="V378" s="66"/>
      <c r="W378" s="66"/>
      <c r="X378" s="85"/>
      <c r="AP378" t="str">
        <v/>
      </c>
    </row>
    <row r="379" spans="4:42" ht="15.75" x14ac:dyDescent="0.25">
      <c r="D379" s="3">
        <v>1</v>
      </c>
      <c r="F379" s="16" t="str" cm="1">
        <f t="array" ref="F3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9" s="31" cm="1">
        <f t="array" ref="G3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9" s="33" t="str">
        <f>_xlfn.IFNA(IF(MOD(HLG_03[[#This Row],[Rit]],
    _xlfn.XLOOKUP($G$2,Int_Sample[Ore],Int_Sample[Inc])) = 0, "YES", "NO"),"")</f>
        <v/>
      </c>
      <c r="I379" s="32" t="str">
        <f>TEXT(HLG_03[[#This Row],[Batch]],"000")&amp; " / " &amp; TEXT(HLG_03[[#This Row],[Rit]],"000")</f>
        <v>N/A / 000</v>
      </c>
      <c r="J379" s="34"/>
      <c r="K379" s="38"/>
      <c r="L379" s="35"/>
      <c r="M379" s="66"/>
      <c r="N379" s="66"/>
      <c r="O379" s="66"/>
      <c r="P379" s="66"/>
      <c r="Q379" s="66"/>
      <c r="R379" s="67"/>
      <c r="S379" s="67"/>
      <c r="T379" s="67"/>
      <c r="U379" s="66"/>
      <c r="V379" s="66"/>
      <c r="W379" s="66"/>
      <c r="X379" s="85"/>
      <c r="AP379" t="str">
        <v/>
      </c>
    </row>
    <row r="380" spans="4:42" ht="15.75" x14ac:dyDescent="0.25">
      <c r="D380" s="3">
        <v>1</v>
      </c>
      <c r="F380" s="16" t="str" cm="1">
        <f t="array" ref="F3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0" s="31" cm="1">
        <f t="array" ref="G3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0" s="33" t="str">
        <f>_xlfn.IFNA(IF(MOD(HLG_03[[#This Row],[Rit]],
    _xlfn.XLOOKUP($G$2,Int_Sample[Ore],Int_Sample[Inc])) = 0, "YES", "NO"),"")</f>
        <v/>
      </c>
      <c r="I380" s="32" t="str">
        <f>TEXT(HLG_03[[#This Row],[Batch]],"000")&amp; " / " &amp; TEXT(HLG_03[[#This Row],[Rit]],"000")</f>
        <v>N/A / 000</v>
      </c>
      <c r="J380" s="34"/>
      <c r="K380" s="38"/>
      <c r="L380" s="35"/>
      <c r="M380" s="66"/>
      <c r="N380" s="66"/>
      <c r="O380" s="66"/>
      <c r="P380" s="66"/>
      <c r="Q380" s="66"/>
      <c r="R380" s="67"/>
      <c r="S380" s="67"/>
      <c r="T380" s="67"/>
      <c r="U380" s="66"/>
      <c r="V380" s="66"/>
      <c r="W380" s="66"/>
      <c r="X380" s="85"/>
      <c r="AP380" t="str">
        <v/>
      </c>
    </row>
    <row r="381" spans="4:42" ht="15.75" x14ac:dyDescent="0.25">
      <c r="D381" s="3">
        <v>1</v>
      </c>
      <c r="F381" s="16" t="str" cm="1">
        <f t="array" ref="F3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1" s="31" cm="1">
        <f t="array" ref="G3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1" s="33" t="str">
        <f>_xlfn.IFNA(IF(MOD(HLG_03[[#This Row],[Rit]],
    _xlfn.XLOOKUP($G$2,Int_Sample[Ore],Int_Sample[Inc])) = 0, "YES", "NO"),"")</f>
        <v/>
      </c>
      <c r="I381" s="32" t="str">
        <f>TEXT(HLG_03[[#This Row],[Batch]],"000")&amp; " / " &amp; TEXT(HLG_03[[#This Row],[Rit]],"000")</f>
        <v>N/A / 000</v>
      </c>
      <c r="J381" s="34"/>
      <c r="K381" s="38"/>
      <c r="L381" s="35"/>
      <c r="M381" s="66"/>
      <c r="N381" s="66"/>
      <c r="O381" s="66"/>
      <c r="P381" s="66"/>
      <c r="Q381" s="66"/>
      <c r="R381" s="67"/>
      <c r="S381" s="67"/>
      <c r="T381" s="67"/>
      <c r="U381" s="66"/>
      <c r="V381" s="66"/>
      <c r="W381" s="66"/>
      <c r="X381" s="85"/>
      <c r="AP381" t="str">
        <v/>
      </c>
    </row>
    <row r="382" spans="4:42" ht="15.75" x14ac:dyDescent="0.25">
      <c r="D382" s="3">
        <v>1</v>
      </c>
      <c r="F382" s="16" t="str" cm="1">
        <f t="array" ref="F3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2" s="31" cm="1">
        <f t="array" ref="G3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2" s="33" t="str">
        <f>_xlfn.IFNA(IF(MOD(HLG_03[[#This Row],[Rit]],
    _xlfn.XLOOKUP($G$2,Int_Sample[Ore],Int_Sample[Inc])) = 0, "YES", "NO"),"")</f>
        <v/>
      </c>
      <c r="I382" s="32" t="str">
        <f>TEXT(HLG_03[[#This Row],[Batch]],"000")&amp; " / " &amp; TEXT(HLG_03[[#This Row],[Rit]],"000")</f>
        <v>N/A / 000</v>
      </c>
      <c r="J382" s="34"/>
      <c r="K382" s="38"/>
      <c r="L382" s="35"/>
      <c r="M382" s="66"/>
      <c r="N382" s="66"/>
      <c r="O382" s="66"/>
      <c r="P382" s="66"/>
      <c r="Q382" s="66"/>
      <c r="R382" s="67"/>
      <c r="S382" s="67"/>
      <c r="T382" s="67"/>
      <c r="U382" s="66"/>
      <c r="V382" s="66"/>
      <c r="W382" s="66"/>
      <c r="X382" s="85"/>
      <c r="AP382" t="str">
        <v/>
      </c>
    </row>
    <row r="383" spans="4:42" ht="15.75" x14ac:dyDescent="0.25">
      <c r="D383" s="3">
        <v>1</v>
      </c>
      <c r="F383" s="16" t="str" cm="1">
        <f t="array" ref="F3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3" s="31" cm="1">
        <f t="array" ref="G3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3" s="33" t="str">
        <f>_xlfn.IFNA(IF(MOD(HLG_03[[#This Row],[Rit]],
    _xlfn.XLOOKUP($G$2,Int_Sample[Ore],Int_Sample[Inc])) = 0, "YES", "NO"),"")</f>
        <v/>
      </c>
      <c r="I383" s="32" t="str">
        <f>TEXT(HLG_03[[#This Row],[Batch]],"000")&amp; " / " &amp; TEXT(HLG_03[[#This Row],[Rit]],"000")</f>
        <v>N/A / 000</v>
      </c>
      <c r="J383" s="34"/>
      <c r="K383" s="38"/>
      <c r="L383" s="35"/>
      <c r="M383" s="66"/>
      <c r="N383" s="66"/>
      <c r="O383" s="66"/>
      <c r="P383" s="66"/>
      <c r="Q383" s="66"/>
      <c r="R383" s="67"/>
      <c r="S383" s="67"/>
      <c r="T383" s="67"/>
      <c r="U383" s="66"/>
      <c r="V383" s="66"/>
      <c r="W383" s="66"/>
      <c r="X383" s="85"/>
      <c r="AP383" t="str">
        <v/>
      </c>
    </row>
    <row r="384" spans="4:42" ht="15.75" x14ac:dyDescent="0.25">
      <c r="D384" s="3">
        <v>1</v>
      </c>
      <c r="F384" s="16" t="str" cm="1">
        <f t="array" ref="F3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4" s="31" cm="1">
        <f t="array" ref="G3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4" s="33" t="str">
        <f>_xlfn.IFNA(IF(MOD(HLG_03[[#This Row],[Rit]],
    _xlfn.XLOOKUP($G$2,Int_Sample[Ore],Int_Sample[Inc])) = 0, "YES", "NO"),"")</f>
        <v/>
      </c>
      <c r="I384" s="32" t="str">
        <f>TEXT(HLG_03[[#This Row],[Batch]],"000")&amp; " / " &amp; TEXT(HLG_03[[#This Row],[Rit]],"000")</f>
        <v>N/A / 000</v>
      </c>
      <c r="J384" s="34"/>
      <c r="K384" s="38"/>
      <c r="L384" s="35"/>
      <c r="M384" s="66"/>
      <c r="N384" s="66"/>
      <c r="O384" s="66"/>
      <c r="P384" s="66"/>
      <c r="Q384" s="66"/>
      <c r="R384" s="67"/>
      <c r="S384" s="67"/>
      <c r="T384" s="67"/>
      <c r="U384" s="66"/>
      <c r="V384" s="66"/>
      <c r="W384" s="66"/>
      <c r="X384" s="85"/>
      <c r="AP384" t="str">
        <v/>
      </c>
    </row>
    <row r="385" spans="4:42" ht="15.75" x14ac:dyDescent="0.25">
      <c r="D385" s="3">
        <v>1</v>
      </c>
      <c r="F385" s="16" t="str" cm="1">
        <f t="array" ref="F3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5" s="31" cm="1">
        <f t="array" ref="G3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5" s="33" t="str">
        <f>_xlfn.IFNA(IF(MOD(HLG_03[[#This Row],[Rit]],
    _xlfn.XLOOKUP($G$2,Int_Sample[Ore],Int_Sample[Inc])) = 0, "YES", "NO"),"")</f>
        <v/>
      </c>
      <c r="I385" s="32" t="str">
        <f>TEXT(HLG_03[[#This Row],[Batch]],"000")&amp; " / " &amp; TEXT(HLG_03[[#This Row],[Rit]],"000")</f>
        <v>N/A / 000</v>
      </c>
      <c r="J385" s="34"/>
      <c r="K385" s="38"/>
      <c r="L385" s="35"/>
      <c r="M385" s="66"/>
      <c r="N385" s="66"/>
      <c r="O385" s="66"/>
      <c r="P385" s="66"/>
      <c r="Q385" s="66"/>
      <c r="R385" s="67"/>
      <c r="S385" s="67"/>
      <c r="T385" s="67"/>
      <c r="U385" s="66"/>
      <c r="V385" s="66"/>
      <c r="W385" s="66"/>
      <c r="X385" s="85"/>
      <c r="AP385" t="str">
        <v/>
      </c>
    </row>
    <row r="386" spans="4:42" ht="15.75" x14ac:dyDescent="0.25">
      <c r="D386" s="3">
        <v>1</v>
      </c>
      <c r="F386" s="16" t="str" cm="1">
        <f t="array" ref="F3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6" s="31" cm="1">
        <f t="array" ref="G3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6" s="33" t="str">
        <f>_xlfn.IFNA(IF(MOD(HLG_03[[#This Row],[Rit]],
    _xlfn.XLOOKUP($G$2,Int_Sample[Ore],Int_Sample[Inc])) = 0, "YES", "NO"),"")</f>
        <v/>
      </c>
      <c r="I386" s="32" t="str">
        <f>TEXT(HLG_03[[#This Row],[Batch]],"000")&amp; " / " &amp; TEXT(HLG_03[[#This Row],[Rit]],"000")</f>
        <v>N/A / 000</v>
      </c>
      <c r="J386" s="34"/>
      <c r="K386" s="38"/>
      <c r="L386" s="35"/>
      <c r="M386" s="66"/>
      <c r="N386" s="66"/>
      <c r="O386" s="66"/>
      <c r="P386" s="66"/>
      <c r="Q386" s="66"/>
      <c r="R386" s="67"/>
      <c r="S386" s="67"/>
      <c r="T386" s="67"/>
      <c r="U386" s="66"/>
      <c r="V386" s="66"/>
      <c r="W386" s="66"/>
      <c r="X386" s="85"/>
      <c r="AP386" t="str">
        <v/>
      </c>
    </row>
    <row r="387" spans="4:42" ht="15.75" x14ac:dyDescent="0.25">
      <c r="D387" s="3">
        <v>1</v>
      </c>
      <c r="F387" s="16" t="str" cm="1">
        <f t="array" ref="F3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7" s="31" cm="1">
        <f t="array" ref="G3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7" s="33" t="str">
        <f>_xlfn.IFNA(IF(MOD(HLG_03[[#This Row],[Rit]],
    _xlfn.XLOOKUP($G$2,Int_Sample[Ore],Int_Sample[Inc])) = 0, "YES", "NO"),"")</f>
        <v/>
      </c>
      <c r="I387" s="32" t="str">
        <f>TEXT(HLG_03[[#This Row],[Batch]],"000")&amp; " / " &amp; TEXT(HLG_03[[#This Row],[Rit]],"000")</f>
        <v>N/A / 000</v>
      </c>
      <c r="J387" s="34"/>
      <c r="K387" s="38"/>
      <c r="L387" s="35"/>
      <c r="M387" s="66"/>
      <c r="N387" s="66"/>
      <c r="O387" s="66"/>
      <c r="P387" s="66"/>
      <c r="Q387" s="66"/>
      <c r="R387" s="67"/>
      <c r="S387" s="67"/>
      <c r="T387" s="67"/>
      <c r="U387" s="66"/>
      <c r="V387" s="66"/>
      <c r="W387" s="66"/>
      <c r="X387" s="85"/>
      <c r="AP387" t="str">
        <v/>
      </c>
    </row>
    <row r="388" spans="4:42" ht="15.75" x14ac:dyDescent="0.25">
      <c r="D388" s="3">
        <v>1</v>
      </c>
      <c r="F388" s="16" t="str" cm="1">
        <f t="array" ref="F3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8" s="31" cm="1">
        <f t="array" ref="G3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8" s="33" t="str">
        <f>_xlfn.IFNA(IF(MOD(HLG_03[[#This Row],[Rit]],
    _xlfn.XLOOKUP($G$2,Int_Sample[Ore],Int_Sample[Inc])) = 0, "YES", "NO"),"")</f>
        <v/>
      </c>
      <c r="I388" s="32" t="str">
        <f>TEXT(HLG_03[[#This Row],[Batch]],"000")&amp; " / " &amp; TEXT(HLG_03[[#This Row],[Rit]],"000")</f>
        <v>N/A / 000</v>
      </c>
      <c r="J388" s="34"/>
      <c r="K388" s="38"/>
      <c r="L388" s="35"/>
      <c r="M388" s="66"/>
      <c r="N388" s="66"/>
      <c r="O388" s="66"/>
      <c r="P388" s="66"/>
      <c r="Q388" s="66"/>
      <c r="R388" s="67"/>
      <c r="S388" s="67"/>
      <c r="T388" s="67"/>
      <c r="U388" s="66"/>
      <c r="V388" s="66"/>
      <c r="W388" s="66"/>
      <c r="X388" s="85"/>
      <c r="AP388" t="str">
        <v/>
      </c>
    </row>
    <row r="389" spans="4:42" ht="15.75" x14ac:dyDescent="0.25">
      <c r="D389" s="3">
        <v>1</v>
      </c>
      <c r="F389" s="16" t="str" cm="1">
        <f t="array" ref="F3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9" s="31" cm="1">
        <f t="array" ref="G3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9" s="33" t="str">
        <f>_xlfn.IFNA(IF(MOD(HLG_03[[#This Row],[Rit]],
    _xlfn.XLOOKUP($G$2,Int_Sample[Ore],Int_Sample[Inc])) = 0, "YES", "NO"),"")</f>
        <v/>
      </c>
      <c r="I389" s="32" t="str">
        <f>TEXT(HLG_03[[#This Row],[Batch]],"000")&amp; " / " &amp; TEXT(HLG_03[[#This Row],[Rit]],"000")</f>
        <v>N/A / 000</v>
      </c>
      <c r="J389" s="34"/>
      <c r="K389" s="38"/>
      <c r="L389" s="35"/>
      <c r="M389" s="66"/>
      <c r="N389" s="66"/>
      <c r="O389" s="66"/>
      <c r="P389" s="66"/>
      <c r="Q389" s="66"/>
      <c r="R389" s="67"/>
      <c r="S389" s="67"/>
      <c r="T389" s="67"/>
      <c r="U389" s="66"/>
      <c r="V389" s="66"/>
      <c r="W389" s="66"/>
      <c r="X389" s="85"/>
      <c r="AP389" t="str">
        <v/>
      </c>
    </row>
    <row r="390" spans="4:42" ht="15.75" x14ac:dyDescent="0.25">
      <c r="D390" s="3">
        <v>1</v>
      </c>
      <c r="F390" s="16" t="str" cm="1">
        <f t="array" ref="F3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0" s="31" cm="1">
        <f t="array" ref="G3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0" s="33" t="str">
        <f>_xlfn.IFNA(IF(MOD(HLG_03[[#This Row],[Rit]],
    _xlfn.XLOOKUP($G$2,Int_Sample[Ore],Int_Sample[Inc])) = 0, "YES", "NO"),"")</f>
        <v/>
      </c>
      <c r="I390" s="32" t="str">
        <f>TEXT(HLG_03[[#This Row],[Batch]],"000")&amp; " / " &amp; TEXT(HLG_03[[#This Row],[Rit]],"000")</f>
        <v>N/A / 000</v>
      </c>
      <c r="J390" s="34"/>
      <c r="K390" s="38"/>
      <c r="L390" s="35"/>
      <c r="M390" s="66"/>
      <c r="N390" s="66"/>
      <c r="O390" s="66"/>
      <c r="P390" s="66"/>
      <c r="Q390" s="66"/>
      <c r="R390" s="67"/>
      <c r="S390" s="67"/>
      <c r="T390" s="67"/>
      <c r="U390" s="66"/>
      <c r="V390" s="66"/>
      <c r="W390" s="66"/>
      <c r="X390" s="85"/>
      <c r="AP390" t="str">
        <v/>
      </c>
    </row>
    <row r="391" spans="4:42" ht="15.75" x14ac:dyDescent="0.25">
      <c r="D391" s="3">
        <v>1</v>
      </c>
      <c r="F391" s="16" t="str" cm="1">
        <f t="array" ref="F3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1" s="31" cm="1">
        <f t="array" ref="G3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1" s="33" t="str">
        <f>_xlfn.IFNA(IF(MOD(HLG_03[[#This Row],[Rit]],
    _xlfn.XLOOKUP($G$2,Int_Sample[Ore],Int_Sample[Inc])) = 0, "YES", "NO"),"")</f>
        <v/>
      </c>
      <c r="I391" s="32" t="str">
        <f>TEXT(HLG_03[[#This Row],[Batch]],"000")&amp; " / " &amp; TEXT(HLG_03[[#This Row],[Rit]],"000")</f>
        <v>N/A / 000</v>
      </c>
      <c r="J391" s="34"/>
      <c r="K391" s="38"/>
      <c r="L391" s="35"/>
      <c r="M391" s="66"/>
      <c r="N391" s="66"/>
      <c r="O391" s="66"/>
      <c r="P391" s="66"/>
      <c r="Q391" s="66"/>
      <c r="R391" s="67"/>
      <c r="S391" s="67"/>
      <c r="T391" s="67"/>
      <c r="U391" s="66"/>
      <c r="V391" s="66"/>
      <c r="W391" s="66"/>
      <c r="X391" s="85"/>
      <c r="AP391" t="str">
        <v/>
      </c>
    </row>
    <row r="392" spans="4:42" ht="15.75" x14ac:dyDescent="0.25">
      <c r="D392" s="3">
        <v>1</v>
      </c>
      <c r="F392" s="16" t="str" cm="1">
        <f t="array" ref="F3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2" s="31" cm="1">
        <f t="array" ref="G3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2" s="33" t="str">
        <f>_xlfn.IFNA(IF(MOD(HLG_03[[#This Row],[Rit]],
    _xlfn.XLOOKUP($G$2,Int_Sample[Ore],Int_Sample[Inc])) = 0, "YES", "NO"),"")</f>
        <v/>
      </c>
      <c r="I392" s="32" t="str">
        <f>TEXT(HLG_03[[#This Row],[Batch]],"000")&amp; " / " &amp; TEXT(HLG_03[[#This Row],[Rit]],"000")</f>
        <v>N/A / 000</v>
      </c>
      <c r="J392" s="34"/>
      <c r="K392" s="38"/>
      <c r="L392" s="35"/>
      <c r="M392" s="66"/>
      <c r="N392" s="66"/>
      <c r="O392" s="66"/>
      <c r="P392" s="66"/>
      <c r="Q392" s="66"/>
      <c r="R392" s="67"/>
      <c r="S392" s="67"/>
      <c r="T392" s="67"/>
      <c r="U392" s="66"/>
      <c r="V392" s="66"/>
      <c r="W392" s="66"/>
      <c r="X392" s="85"/>
      <c r="AP392" t="str">
        <v/>
      </c>
    </row>
    <row r="393" spans="4:42" ht="15.75" x14ac:dyDescent="0.25">
      <c r="D393" s="3">
        <v>1</v>
      </c>
      <c r="F393" s="16" t="str" cm="1">
        <f t="array" ref="F3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3" s="31" cm="1">
        <f t="array" ref="G3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3" s="33" t="str">
        <f>_xlfn.IFNA(IF(MOD(HLG_03[[#This Row],[Rit]],
    _xlfn.XLOOKUP($G$2,Int_Sample[Ore],Int_Sample[Inc])) = 0, "YES", "NO"),"")</f>
        <v/>
      </c>
      <c r="I393" s="32" t="str">
        <f>TEXT(HLG_03[[#This Row],[Batch]],"000")&amp; " / " &amp; TEXT(HLG_03[[#This Row],[Rit]],"000")</f>
        <v>N/A / 000</v>
      </c>
      <c r="J393" s="34"/>
      <c r="K393" s="38"/>
      <c r="L393" s="35"/>
      <c r="M393" s="66"/>
      <c r="N393" s="66"/>
      <c r="O393" s="66"/>
      <c r="P393" s="66"/>
      <c r="Q393" s="66"/>
      <c r="R393" s="67"/>
      <c r="S393" s="67"/>
      <c r="T393" s="67"/>
      <c r="U393" s="66"/>
      <c r="V393" s="66"/>
      <c r="W393" s="66"/>
      <c r="X393" s="85"/>
      <c r="AP393" t="str">
        <v/>
      </c>
    </row>
    <row r="394" spans="4:42" ht="15.75" x14ac:dyDescent="0.25">
      <c r="D394" s="3">
        <v>1</v>
      </c>
      <c r="F394" s="16" t="str" cm="1">
        <f t="array" ref="F3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4" s="31" cm="1">
        <f t="array" ref="G3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4" s="33" t="str">
        <f>_xlfn.IFNA(IF(MOD(HLG_03[[#This Row],[Rit]],
    _xlfn.XLOOKUP($G$2,Int_Sample[Ore],Int_Sample[Inc])) = 0, "YES", "NO"),"")</f>
        <v/>
      </c>
      <c r="I394" s="32" t="str">
        <f>TEXT(HLG_03[[#This Row],[Batch]],"000")&amp; " / " &amp; TEXT(HLG_03[[#This Row],[Rit]],"000")</f>
        <v>N/A / 000</v>
      </c>
      <c r="J394" s="34"/>
      <c r="K394" s="38"/>
      <c r="L394" s="35"/>
      <c r="M394" s="66"/>
      <c r="N394" s="66"/>
      <c r="O394" s="66"/>
      <c r="P394" s="66"/>
      <c r="Q394" s="66"/>
      <c r="R394" s="67"/>
      <c r="S394" s="67"/>
      <c r="T394" s="67"/>
      <c r="U394" s="66"/>
      <c r="V394" s="66"/>
      <c r="W394" s="66"/>
      <c r="X394" s="85"/>
      <c r="AP394" t="str">
        <v/>
      </c>
    </row>
    <row r="395" spans="4:42" ht="15.75" x14ac:dyDescent="0.25">
      <c r="D395" s="3">
        <v>1</v>
      </c>
      <c r="F395" s="16" t="str" cm="1">
        <f t="array" ref="F3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5" s="31" cm="1">
        <f t="array" ref="G3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5" s="33" t="str">
        <f>_xlfn.IFNA(IF(MOD(HLG_03[[#This Row],[Rit]],
    _xlfn.XLOOKUP($G$2,Int_Sample[Ore],Int_Sample[Inc])) = 0, "YES", "NO"),"")</f>
        <v/>
      </c>
      <c r="I395" s="32" t="str">
        <f>TEXT(HLG_03[[#This Row],[Batch]],"000")&amp; " / " &amp; TEXT(HLG_03[[#This Row],[Rit]],"000")</f>
        <v>N/A / 000</v>
      </c>
      <c r="J395" s="34"/>
      <c r="K395" s="38"/>
      <c r="L395" s="35"/>
      <c r="M395" s="66"/>
      <c r="N395" s="66"/>
      <c r="O395" s="66"/>
      <c r="P395" s="66"/>
      <c r="Q395" s="66"/>
      <c r="R395" s="67"/>
      <c r="S395" s="67"/>
      <c r="T395" s="67"/>
      <c r="U395" s="66"/>
      <c r="V395" s="66"/>
      <c r="W395" s="66"/>
      <c r="X395" s="85"/>
      <c r="AP395" t="str">
        <v/>
      </c>
    </row>
    <row r="396" spans="4:42" ht="15.75" x14ac:dyDescent="0.25">
      <c r="D396" s="3">
        <v>1</v>
      </c>
      <c r="F396" s="16" t="str" cm="1">
        <f t="array" ref="F3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6" s="31" cm="1">
        <f t="array" ref="G3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6" s="33" t="str">
        <f>_xlfn.IFNA(IF(MOD(HLG_03[[#This Row],[Rit]],
    _xlfn.XLOOKUP($G$2,Int_Sample[Ore],Int_Sample[Inc])) = 0, "YES", "NO"),"")</f>
        <v/>
      </c>
      <c r="I396" s="32" t="str">
        <f>TEXT(HLG_03[[#This Row],[Batch]],"000")&amp; " / " &amp; TEXT(HLG_03[[#This Row],[Rit]],"000")</f>
        <v>N/A / 000</v>
      </c>
      <c r="J396" s="34"/>
      <c r="K396" s="38"/>
      <c r="L396" s="35"/>
      <c r="M396" s="66"/>
      <c r="N396" s="66"/>
      <c r="O396" s="66"/>
      <c r="P396" s="66"/>
      <c r="Q396" s="66"/>
      <c r="R396" s="67"/>
      <c r="S396" s="67"/>
      <c r="T396" s="67"/>
      <c r="U396" s="66"/>
      <c r="V396" s="66"/>
      <c r="W396" s="66"/>
      <c r="X396" s="85"/>
      <c r="AP396" t="str">
        <v/>
      </c>
    </row>
    <row r="397" spans="4:42" ht="15.75" x14ac:dyDescent="0.25">
      <c r="D397" s="3">
        <v>1</v>
      </c>
      <c r="F397" s="16" t="str" cm="1">
        <f t="array" ref="F3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7" s="31" cm="1">
        <f t="array" ref="G3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7" s="33" t="str">
        <f>_xlfn.IFNA(IF(MOD(HLG_03[[#This Row],[Rit]],
    _xlfn.XLOOKUP($G$2,Int_Sample[Ore],Int_Sample[Inc])) = 0, "YES", "NO"),"")</f>
        <v/>
      </c>
      <c r="I397" s="32" t="str">
        <f>TEXT(HLG_03[[#This Row],[Batch]],"000")&amp; " / " &amp; TEXT(HLG_03[[#This Row],[Rit]],"000")</f>
        <v>N/A / 000</v>
      </c>
      <c r="J397" s="34"/>
      <c r="K397" s="38"/>
      <c r="L397" s="35"/>
      <c r="M397" s="66"/>
      <c r="N397" s="66"/>
      <c r="O397" s="66"/>
      <c r="P397" s="66"/>
      <c r="Q397" s="66"/>
      <c r="R397" s="67"/>
      <c r="S397" s="67"/>
      <c r="T397" s="67"/>
      <c r="U397" s="66"/>
      <c r="V397" s="66"/>
      <c r="W397" s="66"/>
      <c r="X397" s="85"/>
      <c r="AP397" t="str">
        <v/>
      </c>
    </row>
    <row r="398" spans="4:42" ht="15.75" x14ac:dyDescent="0.25">
      <c r="D398" s="3">
        <v>1</v>
      </c>
      <c r="F398" s="16" t="str" cm="1">
        <f t="array" ref="F3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8" s="31" cm="1">
        <f t="array" ref="G3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8" s="33" t="str">
        <f>_xlfn.IFNA(IF(MOD(HLG_03[[#This Row],[Rit]],
    _xlfn.XLOOKUP($G$2,Int_Sample[Ore],Int_Sample[Inc])) = 0, "YES", "NO"),"")</f>
        <v/>
      </c>
      <c r="I398" s="32" t="str">
        <f>TEXT(HLG_03[[#This Row],[Batch]],"000")&amp; " / " &amp; TEXT(HLG_03[[#This Row],[Rit]],"000")</f>
        <v>N/A / 000</v>
      </c>
      <c r="J398" s="34"/>
      <c r="K398" s="38"/>
      <c r="L398" s="35"/>
      <c r="M398" s="66"/>
      <c r="N398" s="66"/>
      <c r="O398" s="66"/>
      <c r="P398" s="66"/>
      <c r="Q398" s="66"/>
      <c r="R398" s="67"/>
      <c r="S398" s="67"/>
      <c r="T398" s="67"/>
      <c r="U398" s="66"/>
      <c r="V398" s="66"/>
      <c r="W398" s="66"/>
      <c r="X398" s="85"/>
      <c r="AP398" t="str">
        <v/>
      </c>
    </row>
    <row r="399" spans="4:42" ht="15.75" x14ac:dyDescent="0.25">
      <c r="D399" s="3">
        <v>1</v>
      </c>
      <c r="F399" s="16" t="str" cm="1">
        <f t="array" ref="F3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9" s="31" cm="1">
        <f t="array" ref="G3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9" s="33" t="str">
        <f>_xlfn.IFNA(IF(MOD(HLG_03[[#This Row],[Rit]],
    _xlfn.XLOOKUP($G$2,Int_Sample[Ore],Int_Sample[Inc])) = 0, "YES", "NO"),"")</f>
        <v/>
      </c>
      <c r="I399" s="32" t="str">
        <f>TEXT(HLG_03[[#This Row],[Batch]],"000")&amp; " / " &amp; TEXT(HLG_03[[#This Row],[Rit]],"000")</f>
        <v>N/A / 000</v>
      </c>
      <c r="J399" s="34"/>
      <c r="K399" s="38"/>
      <c r="L399" s="35"/>
      <c r="M399" s="66"/>
      <c r="N399" s="66"/>
      <c r="O399" s="66"/>
      <c r="P399" s="66"/>
      <c r="Q399" s="66"/>
      <c r="R399" s="67"/>
      <c r="S399" s="67"/>
      <c r="T399" s="67"/>
      <c r="U399" s="66"/>
      <c r="V399" s="66"/>
      <c r="W399" s="66"/>
      <c r="X399" s="85"/>
      <c r="AP399" t="str">
        <v/>
      </c>
    </row>
    <row r="400" spans="4:42" ht="15.75" x14ac:dyDescent="0.25">
      <c r="D400" s="3">
        <v>1</v>
      </c>
      <c r="F400" s="16" t="str" cm="1">
        <f t="array" ref="F4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0" s="31" cm="1">
        <f t="array" ref="G4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0" s="33" t="str">
        <f>_xlfn.IFNA(IF(MOD(HLG_03[[#This Row],[Rit]],
    _xlfn.XLOOKUP($G$2,Int_Sample[Ore],Int_Sample[Inc])) = 0, "YES", "NO"),"")</f>
        <v/>
      </c>
      <c r="I400" s="32" t="str">
        <f>TEXT(HLG_03[[#This Row],[Batch]],"000")&amp; " / " &amp; TEXT(HLG_03[[#This Row],[Rit]],"000")</f>
        <v>N/A / 000</v>
      </c>
      <c r="J400" s="34"/>
      <c r="K400" s="38"/>
      <c r="L400" s="35"/>
      <c r="M400" s="66"/>
      <c r="N400" s="66"/>
      <c r="O400" s="66"/>
      <c r="P400" s="66"/>
      <c r="Q400" s="66"/>
      <c r="R400" s="67"/>
      <c r="S400" s="67"/>
      <c r="T400" s="67"/>
      <c r="U400" s="66"/>
      <c r="V400" s="66"/>
      <c r="W400" s="66"/>
      <c r="X400" s="85"/>
      <c r="AP400" t="str">
        <v/>
      </c>
    </row>
    <row r="401" spans="4:42" ht="15.75" x14ac:dyDescent="0.25">
      <c r="D401" s="3">
        <v>1</v>
      </c>
      <c r="F401" s="16" t="str" cm="1">
        <f t="array" ref="F4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1" s="31" cm="1">
        <f t="array" ref="G4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1" s="33" t="str">
        <f>_xlfn.IFNA(IF(MOD(HLG_03[[#This Row],[Rit]],
    _xlfn.XLOOKUP($G$2,Int_Sample[Ore],Int_Sample[Inc])) = 0, "YES", "NO"),"")</f>
        <v/>
      </c>
      <c r="I401" s="32" t="str">
        <f>TEXT(HLG_03[[#This Row],[Batch]],"000")&amp; " / " &amp; TEXT(HLG_03[[#This Row],[Rit]],"000")</f>
        <v>N/A / 000</v>
      </c>
      <c r="J401" s="34"/>
      <c r="K401" s="38"/>
      <c r="L401" s="35"/>
      <c r="M401" s="66"/>
      <c r="N401" s="66"/>
      <c r="O401" s="66"/>
      <c r="P401" s="66"/>
      <c r="Q401" s="66"/>
      <c r="R401" s="67"/>
      <c r="S401" s="67"/>
      <c r="T401" s="67"/>
      <c r="U401" s="66"/>
      <c r="V401" s="66"/>
      <c r="W401" s="66"/>
      <c r="X401" s="85"/>
      <c r="AP401" t="str">
        <v/>
      </c>
    </row>
    <row r="402" spans="4:42" ht="15.75" x14ac:dyDescent="0.25">
      <c r="D402" s="3">
        <v>1</v>
      </c>
      <c r="F402" s="16" t="str" cm="1">
        <f t="array" ref="F4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2" s="31" cm="1">
        <f t="array" ref="G4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2" s="33" t="str">
        <f>_xlfn.IFNA(IF(MOD(HLG_03[[#This Row],[Rit]],
    _xlfn.XLOOKUP($G$2,Int_Sample[Ore],Int_Sample[Inc])) = 0, "YES", "NO"),"")</f>
        <v/>
      </c>
      <c r="I402" s="32" t="str">
        <f>TEXT(HLG_03[[#This Row],[Batch]],"000")&amp; " / " &amp; TEXT(HLG_03[[#This Row],[Rit]],"000")</f>
        <v>N/A / 000</v>
      </c>
      <c r="J402" s="34"/>
      <c r="K402" s="38"/>
      <c r="L402" s="35"/>
      <c r="M402" s="66"/>
      <c r="N402" s="66"/>
      <c r="O402" s="66"/>
      <c r="P402" s="66"/>
      <c r="Q402" s="66"/>
      <c r="R402" s="67"/>
      <c r="S402" s="67"/>
      <c r="T402" s="67"/>
      <c r="U402" s="66"/>
      <c r="V402" s="66"/>
      <c r="W402" s="66"/>
      <c r="X402" s="85"/>
      <c r="AP402" t="str">
        <v/>
      </c>
    </row>
    <row r="403" spans="4:42" ht="15.75" x14ac:dyDescent="0.25">
      <c r="D403" s="3">
        <v>1</v>
      </c>
      <c r="F403" s="16" t="str" cm="1">
        <f t="array" ref="F4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3" s="31" cm="1">
        <f t="array" ref="G4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3" s="33" t="str">
        <f>_xlfn.IFNA(IF(MOD(HLG_03[[#This Row],[Rit]],
    _xlfn.XLOOKUP($G$2,Int_Sample[Ore],Int_Sample[Inc])) = 0, "YES", "NO"),"")</f>
        <v/>
      </c>
      <c r="I403" s="32" t="str">
        <f>TEXT(HLG_03[[#This Row],[Batch]],"000")&amp; " / " &amp; TEXT(HLG_03[[#This Row],[Rit]],"000")</f>
        <v>N/A / 000</v>
      </c>
      <c r="J403" s="34"/>
      <c r="K403" s="38"/>
      <c r="L403" s="35"/>
      <c r="M403" s="66"/>
      <c r="N403" s="66"/>
      <c r="O403" s="66"/>
      <c r="P403" s="66"/>
      <c r="Q403" s="66"/>
      <c r="R403" s="67"/>
      <c r="S403" s="67"/>
      <c r="T403" s="67"/>
      <c r="U403" s="66"/>
      <c r="V403" s="66"/>
      <c r="W403" s="66"/>
      <c r="X403" s="85"/>
      <c r="AP403" t="str">
        <v/>
      </c>
    </row>
    <row r="404" spans="4:42" ht="15.75" x14ac:dyDescent="0.25">
      <c r="D404" s="3">
        <v>1</v>
      </c>
      <c r="F404" s="16" t="str" cm="1">
        <f t="array" ref="F4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4" s="31" cm="1">
        <f t="array" ref="G4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4" s="33" t="str">
        <f>_xlfn.IFNA(IF(MOD(HLG_03[[#This Row],[Rit]],
    _xlfn.XLOOKUP($G$2,Int_Sample[Ore],Int_Sample[Inc])) = 0, "YES", "NO"),"")</f>
        <v/>
      </c>
      <c r="I404" s="32" t="str">
        <f>TEXT(HLG_03[[#This Row],[Batch]],"000")&amp; " / " &amp; TEXT(HLG_03[[#This Row],[Rit]],"000")</f>
        <v>N/A / 000</v>
      </c>
      <c r="J404" s="34"/>
      <c r="K404" s="38"/>
      <c r="L404" s="35"/>
      <c r="M404" s="66"/>
      <c r="N404" s="66"/>
      <c r="O404" s="66"/>
      <c r="P404" s="66"/>
      <c r="Q404" s="66"/>
      <c r="R404" s="67"/>
      <c r="S404" s="67"/>
      <c r="T404" s="67"/>
      <c r="U404" s="66"/>
      <c r="V404" s="66"/>
      <c r="W404" s="66"/>
      <c r="X404" s="85"/>
      <c r="AP404" t="str">
        <v/>
      </c>
    </row>
    <row r="405" spans="4:42" ht="15.75" x14ac:dyDescent="0.25">
      <c r="D405" s="3">
        <v>1</v>
      </c>
      <c r="F405" s="16" t="str" cm="1">
        <f t="array" ref="F4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5" s="31" cm="1">
        <f t="array" ref="G4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5" s="33" t="str">
        <f>_xlfn.IFNA(IF(MOD(HLG_03[[#This Row],[Rit]],
    _xlfn.XLOOKUP($G$2,Int_Sample[Ore],Int_Sample[Inc])) = 0, "YES", "NO"),"")</f>
        <v/>
      </c>
      <c r="I405" s="32" t="str">
        <f>TEXT(HLG_03[[#This Row],[Batch]],"000")&amp; " / " &amp; TEXT(HLG_03[[#This Row],[Rit]],"000")</f>
        <v>N/A / 000</v>
      </c>
      <c r="J405" s="34"/>
      <c r="K405" s="38"/>
      <c r="L405" s="35"/>
      <c r="M405" s="66"/>
      <c r="N405" s="66"/>
      <c r="O405" s="66"/>
      <c r="P405" s="66"/>
      <c r="Q405" s="66"/>
      <c r="R405" s="67"/>
      <c r="S405" s="67"/>
      <c r="T405" s="67"/>
      <c r="U405" s="66"/>
      <c r="V405" s="66"/>
      <c r="W405" s="66"/>
      <c r="X405" s="85"/>
      <c r="AP405" t="str">
        <v/>
      </c>
    </row>
    <row r="406" spans="4:42" ht="15.75" x14ac:dyDescent="0.25">
      <c r="D406" s="3">
        <v>1</v>
      </c>
      <c r="F406" s="16" t="str" cm="1">
        <f t="array" ref="F4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6" s="31" cm="1">
        <f t="array" ref="G4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6" s="33" t="str">
        <f>_xlfn.IFNA(IF(MOD(HLG_03[[#This Row],[Rit]],
    _xlfn.XLOOKUP($G$2,Int_Sample[Ore],Int_Sample[Inc])) = 0, "YES", "NO"),"")</f>
        <v/>
      </c>
      <c r="I406" s="32" t="str">
        <f>TEXT(HLG_03[[#This Row],[Batch]],"000")&amp; " / " &amp; TEXT(HLG_03[[#This Row],[Rit]],"000")</f>
        <v>N/A / 000</v>
      </c>
      <c r="J406" s="34"/>
      <c r="K406" s="38"/>
      <c r="L406" s="35"/>
      <c r="M406" s="66"/>
      <c r="N406" s="66"/>
      <c r="O406" s="66"/>
      <c r="P406" s="66"/>
      <c r="Q406" s="66"/>
      <c r="R406" s="67"/>
      <c r="S406" s="67"/>
      <c r="T406" s="67"/>
      <c r="U406" s="66"/>
      <c r="V406" s="66"/>
      <c r="W406" s="66"/>
      <c r="X406" s="85"/>
      <c r="AP406" t="str">
        <v/>
      </c>
    </row>
    <row r="407" spans="4:42" ht="15.75" x14ac:dyDescent="0.25">
      <c r="D407" s="3">
        <v>1</v>
      </c>
      <c r="F407" s="16" t="str" cm="1">
        <f t="array" ref="F4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7" s="31" cm="1">
        <f t="array" ref="G4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7" s="33" t="str">
        <f>_xlfn.IFNA(IF(MOD(HLG_03[[#This Row],[Rit]],
    _xlfn.XLOOKUP($G$2,Int_Sample[Ore],Int_Sample[Inc])) = 0, "YES", "NO"),"")</f>
        <v/>
      </c>
      <c r="I407" s="32" t="str">
        <f>TEXT(HLG_03[[#This Row],[Batch]],"000")&amp; " / " &amp; TEXT(HLG_03[[#This Row],[Rit]],"000")</f>
        <v>N/A / 000</v>
      </c>
      <c r="J407" s="34"/>
      <c r="K407" s="38"/>
      <c r="L407" s="35"/>
      <c r="M407" s="66"/>
      <c r="N407" s="66"/>
      <c r="O407" s="66"/>
      <c r="P407" s="66"/>
      <c r="Q407" s="66"/>
      <c r="R407" s="67"/>
      <c r="S407" s="67"/>
      <c r="T407" s="67"/>
      <c r="U407" s="66"/>
      <c r="V407" s="66"/>
      <c r="W407" s="66"/>
      <c r="X407" s="85"/>
      <c r="AP407" t="str">
        <v/>
      </c>
    </row>
    <row r="408" spans="4:42" ht="15.75" x14ac:dyDescent="0.25">
      <c r="D408" s="3">
        <v>1</v>
      </c>
      <c r="F408" s="16" t="str" cm="1">
        <f t="array" ref="F4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8" s="31" cm="1">
        <f t="array" ref="G4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8" s="33" t="str">
        <f>_xlfn.IFNA(IF(MOD(HLG_03[[#This Row],[Rit]],
    _xlfn.XLOOKUP($G$2,Int_Sample[Ore],Int_Sample[Inc])) = 0, "YES", "NO"),"")</f>
        <v/>
      </c>
      <c r="I408" s="32" t="str">
        <f>TEXT(HLG_03[[#This Row],[Batch]],"000")&amp; " / " &amp; TEXT(HLG_03[[#This Row],[Rit]],"000")</f>
        <v>N/A / 000</v>
      </c>
      <c r="J408" s="34"/>
      <c r="K408" s="38"/>
      <c r="L408" s="35"/>
      <c r="M408" s="66"/>
      <c r="N408" s="66"/>
      <c r="O408" s="66"/>
      <c r="P408" s="66"/>
      <c r="Q408" s="66"/>
      <c r="R408" s="67"/>
      <c r="S408" s="67"/>
      <c r="T408" s="67"/>
      <c r="U408" s="66"/>
      <c r="V408" s="66"/>
      <c r="W408" s="66"/>
      <c r="X408" s="85"/>
      <c r="AP408" t="str">
        <v/>
      </c>
    </row>
    <row r="409" spans="4:42" ht="15.75" x14ac:dyDescent="0.25">
      <c r="D409" s="3">
        <v>1</v>
      </c>
      <c r="F409" s="16" t="str" cm="1">
        <f t="array" ref="F4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9" s="31" cm="1">
        <f t="array" ref="G4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9" s="33" t="str">
        <f>_xlfn.IFNA(IF(MOD(HLG_03[[#This Row],[Rit]],
    _xlfn.XLOOKUP($G$2,Int_Sample[Ore],Int_Sample[Inc])) = 0, "YES", "NO"),"")</f>
        <v/>
      </c>
      <c r="I409" s="32" t="str">
        <f>TEXT(HLG_03[[#This Row],[Batch]],"000")&amp; " / " &amp; TEXT(HLG_03[[#This Row],[Rit]],"000")</f>
        <v>N/A / 000</v>
      </c>
      <c r="J409" s="34"/>
      <c r="K409" s="38"/>
      <c r="L409" s="35"/>
      <c r="M409" s="66"/>
      <c r="N409" s="66"/>
      <c r="O409" s="66"/>
      <c r="P409" s="66"/>
      <c r="Q409" s="66"/>
      <c r="R409" s="67"/>
      <c r="S409" s="67"/>
      <c r="T409" s="67"/>
      <c r="U409" s="66"/>
      <c r="V409" s="66"/>
      <c r="W409" s="66"/>
      <c r="X409" s="85"/>
      <c r="AP409" t="str">
        <v/>
      </c>
    </row>
    <row r="410" spans="4:42" ht="15.75" x14ac:dyDescent="0.25">
      <c r="D410" s="3">
        <v>1</v>
      </c>
      <c r="F410" s="16" t="str" cm="1">
        <f t="array" ref="F4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0" s="31" cm="1">
        <f t="array" ref="G4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0" s="33" t="str">
        <f>_xlfn.IFNA(IF(MOD(HLG_03[[#This Row],[Rit]],
    _xlfn.XLOOKUP($G$2,Int_Sample[Ore],Int_Sample[Inc])) = 0, "YES", "NO"),"")</f>
        <v/>
      </c>
      <c r="I410" s="32" t="str">
        <f>TEXT(HLG_03[[#This Row],[Batch]],"000")&amp; " / " &amp; TEXT(HLG_03[[#This Row],[Rit]],"000")</f>
        <v>N/A / 000</v>
      </c>
      <c r="J410" s="34"/>
      <c r="K410" s="38"/>
      <c r="L410" s="35"/>
      <c r="M410" s="66"/>
      <c r="N410" s="66"/>
      <c r="O410" s="66"/>
      <c r="P410" s="66"/>
      <c r="Q410" s="66"/>
      <c r="R410" s="67"/>
      <c r="S410" s="67"/>
      <c r="T410" s="67"/>
      <c r="U410" s="66"/>
      <c r="V410" s="66"/>
      <c r="W410" s="66"/>
      <c r="X410" s="85"/>
      <c r="AP410" t="str">
        <v/>
      </c>
    </row>
    <row r="411" spans="4:42" ht="15.75" x14ac:dyDescent="0.25">
      <c r="D411" s="3">
        <v>1</v>
      </c>
      <c r="F411" s="16" t="str" cm="1">
        <f t="array" ref="F4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1" s="31" cm="1">
        <f t="array" ref="G4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1" s="33" t="str">
        <f>_xlfn.IFNA(IF(MOD(HLG_03[[#This Row],[Rit]],
    _xlfn.XLOOKUP($G$2,Int_Sample[Ore],Int_Sample[Inc])) = 0, "YES", "NO"),"")</f>
        <v/>
      </c>
      <c r="I411" s="32" t="str">
        <f>TEXT(HLG_03[[#This Row],[Batch]],"000")&amp; " / " &amp; TEXT(HLG_03[[#This Row],[Rit]],"000")</f>
        <v>N/A / 000</v>
      </c>
      <c r="J411" s="34"/>
      <c r="K411" s="38"/>
      <c r="L411" s="35"/>
      <c r="M411" s="66"/>
      <c r="N411" s="66"/>
      <c r="O411" s="66"/>
      <c r="P411" s="66"/>
      <c r="Q411" s="66"/>
      <c r="R411" s="67"/>
      <c r="S411" s="67"/>
      <c r="T411" s="67"/>
      <c r="U411" s="66"/>
      <c r="V411" s="66"/>
      <c r="W411" s="66"/>
      <c r="X411" s="85"/>
      <c r="AP411" t="str">
        <v/>
      </c>
    </row>
    <row r="412" spans="4:42" ht="15.75" x14ac:dyDescent="0.25">
      <c r="D412" s="3">
        <v>1</v>
      </c>
      <c r="F412" s="16" t="str" cm="1">
        <f t="array" ref="F4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2" s="31" cm="1">
        <f t="array" ref="G4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2" s="33" t="str">
        <f>_xlfn.IFNA(IF(MOD(HLG_03[[#This Row],[Rit]],
    _xlfn.XLOOKUP($G$2,Int_Sample[Ore],Int_Sample[Inc])) = 0, "YES", "NO"),"")</f>
        <v/>
      </c>
      <c r="I412" s="32" t="str">
        <f>TEXT(HLG_03[[#This Row],[Batch]],"000")&amp; " / " &amp; TEXT(HLG_03[[#This Row],[Rit]],"000")</f>
        <v>N/A / 000</v>
      </c>
      <c r="J412" s="34"/>
      <c r="K412" s="38"/>
      <c r="L412" s="35"/>
      <c r="M412" s="66"/>
      <c r="N412" s="66"/>
      <c r="O412" s="66"/>
      <c r="P412" s="66"/>
      <c r="Q412" s="66"/>
      <c r="R412" s="67"/>
      <c r="S412" s="67"/>
      <c r="T412" s="67"/>
      <c r="U412" s="66"/>
      <c r="V412" s="66"/>
      <c r="W412" s="66"/>
      <c r="X412" s="85"/>
      <c r="AP412" t="str">
        <v/>
      </c>
    </row>
    <row r="413" spans="4:42" ht="15.75" x14ac:dyDescent="0.25">
      <c r="D413" s="3">
        <v>1</v>
      </c>
      <c r="F413" s="16" t="str" cm="1">
        <f t="array" ref="F4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3" s="31" cm="1">
        <f t="array" ref="G4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3" s="33" t="str">
        <f>_xlfn.IFNA(IF(MOD(HLG_03[[#This Row],[Rit]],
    _xlfn.XLOOKUP($G$2,Int_Sample[Ore],Int_Sample[Inc])) = 0, "YES", "NO"),"")</f>
        <v/>
      </c>
      <c r="I413" s="32" t="str">
        <f>TEXT(HLG_03[[#This Row],[Batch]],"000")&amp; " / " &amp; TEXT(HLG_03[[#This Row],[Rit]],"000")</f>
        <v>N/A / 000</v>
      </c>
      <c r="J413" s="34"/>
      <c r="K413" s="38"/>
      <c r="L413" s="35"/>
      <c r="M413" s="66"/>
      <c r="N413" s="66"/>
      <c r="O413" s="66"/>
      <c r="P413" s="66"/>
      <c r="Q413" s="66"/>
      <c r="R413" s="67"/>
      <c r="S413" s="67"/>
      <c r="T413" s="67"/>
      <c r="U413" s="66"/>
      <c r="V413" s="66"/>
      <c r="W413" s="66"/>
      <c r="X413" s="85"/>
      <c r="AP413" t="str">
        <v/>
      </c>
    </row>
    <row r="414" spans="4:42" ht="15.75" x14ac:dyDescent="0.25">
      <c r="D414" s="3">
        <v>1</v>
      </c>
      <c r="F414" s="16" t="str" cm="1">
        <f t="array" ref="F4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4" s="31" cm="1">
        <f t="array" ref="G4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4" s="33" t="str">
        <f>_xlfn.IFNA(IF(MOD(HLG_03[[#This Row],[Rit]],
    _xlfn.XLOOKUP($G$2,Int_Sample[Ore],Int_Sample[Inc])) = 0, "YES", "NO"),"")</f>
        <v/>
      </c>
      <c r="I414" s="32" t="str">
        <f>TEXT(HLG_03[[#This Row],[Batch]],"000")&amp; " / " &amp; TEXT(HLG_03[[#This Row],[Rit]],"000")</f>
        <v>N/A / 000</v>
      </c>
      <c r="J414" s="34"/>
      <c r="K414" s="38"/>
      <c r="L414" s="35"/>
      <c r="M414" s="66"/>
      <c r="N414" s="66"/>
      <c r="O414" s="66"/>
      <c r="P414" s="66"/>
      <c r="Q414" s="66"/>
      <c r="R414" s="67"/>
      <c r="S414" s="67"/>
      <c r="T414" s="67"/>
      <c r="U414" s="66"/>
      <c r="V414" s="66"/>
      <c r="W414" s="66"/>
      <c r="X414" s="85"/>
      <c r="AP414" t="str">
        <v/>
      </c>
    </row>
    <row r="415" spans="4:42" ht="15.75" x14ac:dyDescent="0.25">
      <c r="D415" s="3">
        <v>1</v>
      </c>
      <c r="F415" s="16" t="str" cm="1">
        <f t="array" ref="F4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5" s="31" cm="1">
        <f t="array" ref="G4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5" s="33" t="str">
        <f>_xlfn.IFNA(IF(MOD(HLG_03[[#This Row],[Rit]],
    _xlfn.XLOOKUP($G$2,Int_Sample[Ore],Int_Sample[Inc])) = 0, "YES", "NO"),"")</f>
        <v/>
      </c>
      <c r="I415" s="32" t="str">
        <f>TEXT(HLG_03[[#This Row],[Batch]],"000")&amp; " / " &amp; TEXT(HLG_03[[#This Row],[Rit]],"000")</f>
        <v>N/A / 000</v>
      </c>
      <c r="J415" s="34"/>
      <c r="K415" s="38"/>
      <c r="L415" s="35"/>
      <c r="M415" s="66"/>
      <c r="N415" s="66"/>
      <c r="O415" s="66"/>
      <c r="P415" s="66"/>
      <c r="Q415" s="66"/>
      <c r="R415" s="67"/>
      <c r="S415" s="67"/>
      <c r="T415" s="67"/>
      <c r="U415" s="66"/>
      <c r="V415" s="66"/>
      <c r="W415" s="66"/>
      <c r="X415" s="85"/>
      <c r="AP415" t="str">
        <v/>
      </c>
    </row>
    <row r="416" spans="4:42" ht="15.75" x14ac:dyDescent="0.25">
      <c r="D416" s="3">
        <v>1</v>
      </c>
      <c r="F416" s="16" t="str" cm="1">
        <f t="array" ref="F4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6" s="31" cm="1">
        <f t="array" ref="G4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6" s="33" t="str">
        <f>_xlfn.IFNA(IF(MOD(HLG_03[[#This Row],[Rit]],
    _xlfn.XLOOKUP($G$2,Int_Sample[Ore],Int_Sample[Inc])) = 0, "YES", "NO"),"")</f>
        <v/>
      </c>
      <c r="I416" s="32" t="str">
        <f>TEXT(HLG_03[[#This Row],[Batch]],"000")&amp; " / " &amp; TEXT(HLG_03[[#This Row],[Rit]],"000")</f>
        <v>N/A / 000</v>
      </c>
      <c r="J416" s="34"/>
      <c r="K416" s="38"/>
      <c r="L416" s="35"/>
      <c r="M416" s="66"/>
      <c r="N416" s="66"/>
      <c r="O416" s="66"/>
      <c r="P416" s="66"/>
      <c r="Q416" s="66"/>
      <c r="R416" s="67"/>
      <c r="S416" s="67"/>
      <c r="T416" s="67"/>
      <c r="U416" s="66"/>
      <c r="V416" s="66"/>
      <c r="W416" s="66"/>
      <c r="X416" s="85"/>
      <c r="AP416" t="str">
        <v/>
      </c>
    </row>
    <row r="417" spans="4:42" ht="15.75" x14ac:dyDescent="0.25">
      <c r="D417" s="3">
        <v>1</v>
      </c>
      <c r="F417" s="16" t="str" cm="1">
        <f t="array" ref="F4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7" s="31" cm="1">
        <f t="array" ref="G4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7" s="33" t="str">
        <f>_xlfn.IFNA(IF(MOD(HLG_03[[#This Row],[Rit]],
    _xlfn.XLOOKUP($G$2,Int_Sample[Ore],Int_Sample[Inc])) = 0, "YES", "NO"),"")</f>
        <v/>
      </c>
      <c r="I417" s="32" t="str">
        <f>TEXT(HLG_03[[#This Row],[Batch]],"000")&amp; " / " &amp; TEXT(HLG_03[[#This Row],[Rit]],"000")</f>
        <v>N/A / 000</v>
      </c>
      <c r="J417" s="34"/>
      <c r="K417" s="38"/>
      <c r="L417" s="35"/>
      <c r="M417" s="66"/>
      <c r="N417" s="66"/>
      <c r="O417" s="66"/>
      <c r="P417" s="66"/>
      <c r="Q417" s="66"/>
      <c r="R417" s="67"/>
      <c r="S417" s="67"/>
      <c r="T417" s="67"/>
      <c r="U417" s="66"/>
      <c r="V417" s="66"/>
      <c r="W417" s="66"/>
      <c r="X417" s="85"/>
      <c r="AP417" t="str">
        <v/>
      </c>
    </row>
    <row r="418" spans="4:42" ht="15.75" x14ac:dyDescent="0.25">
      <c r="D418" s="3">
        <v>1</v>
      </c>
      <c r="F418" s="16" t="str" cm="1">
        <f t="array" ref="F4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8" s="31" cm="1">
        <f t="array" ref="G4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8" s="33" t="str">
        <f>_xlfn.IFNA(IF(MOD(HLG_03[[#This Row],[Rit]],
    _xlfn.XLOOKUP($G$2,Int_Sample[Ore],Int_Sample[Inc])) = 0, "YES", "NO"),"")</f>
        <v/>
      </c>
      <c r="I418" s="32" t="str">
        <f>TEXT(HLG_03[[#This Row],[Batch]],"000")&amp; " / " &amp; TEXT(HLG_03[[#This Row],[Rit]],"000")</f>
        <v>N/A / 000</v>
      </c>
      <c r="J418" s="34"/>
      <c r="K418" s="38"/>
      <c r="L418" s="35"/>
      <c r="M418" s="66"/>
      <c r="N418" s="66"/>
      <c r="O418" s="66"/>
      <c r="P418" s="66"/>
      <c r="Q418" s="66"/>
      <c r="R418" s="67"/>
      <c r="S418" s="67"/>
      <c r="T418" s="67"/>
      <c r="U418" s="66"/>
      <c r="V418" s="66"/>
      <c r="W418" s="66"/>
      <c r="X418" s="85"/>
      <c r="AP418" t="str">
        <v/>
      </c>
    </row>
    <row r="419" spans="4:42" ht="15.75" x14ac:dyDescent="0.25">
      <c r="D419" s="3">
        <v>1</v>
      </c>
      <c r="F419" s="16" t="str" cm="1">
        <f t="array" ref="F4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9" s="31" cm="1">
        <f t="array" ref="G4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9" s="33" t="str">
        <f>_xlfn.IFNA(IF(MOD(HLG_03[[#This Row],[Rit]],
    _xlfn.XLOOKUP($G$2,Int_Sample[Ore],Int_Sample[Inc])) = 0, "YES", "NO"),"")</f>
        <v/>
      </c>
      <c r="I419" s="32" t="str">
        <f>TEXT(HLG_03[[#This Row],[Batch]],"000")&amp; " / " &amp; TEXT(HLG_03[[#This Row],[Rit]],"000")</f>
        <v>N/A / 000</v>
      </c>
      <c r="J419" s="34"/>
      <c r="K419" s="38"/>
      <c r="L419" s="35"/>
      <c r="M419" s="66"/>
      <c r="N419" s="66"/>
      <c r="O419" s="66"/>
      <c r="P419" s="66"/>
      <c r="Q419" s="66"/>
      <c r="R419" s="67"/>
      <c r="S419" s="67"/>
      <c r="T419" s="67"/>
      <c r="U419" s="66"/>
      <c r="V419" s="66"/>
      <c r="W419" s="66"/>
      <c r="X419" s="85"/>
      <c r="AP419" t="str">
        <v/>
      </c>
    </row>
    <row r="420" spans="4:42" ht="15.75" x14ac:dyDescent="0.25">
      <c r="D420" s="3">
        <v>1</v>
      </c>
      <c r="F420" s="16" t="str" cm="1">
        <f t="array" ref="F4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0" s="31" cm="1">
        <f t="array" ref="G4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0" s="33" t="str">
        <f>_xlfn.IFNA(IF(MOD(HLG_03[[#This Row],[Rit]],
    _xlfn.XLOOKUP($G$2,Int_Sample[Ore],Int_Sample[Inc])) = 0, "YES", "NO"),"")</f>
        <v/>
      </c>
      <c r="I420" s="32" t="str">
        <f>TEXT(HLG_03[[#This Row],[Batch]],"000")&amp; " / " &amp; TEXT(HLG_03[[#This Row],[Rit]],"000")</f>
        <v>N/A / 000</v>
      </c>
      <c r="J420" s="34"/>
      <c r="K420" s="38"/>
      <c r="L420" s="35"/>
      <c r="M420" s="66"/>
      <c r="N420" s="66"/>
      <c r="O420" s="66"/>
      <c r="P420" s="66"/>
      <c r="Q420" s="66"/>
      <c r="R420" s="67"/>
      <c r="S420" s="67"/>
      <c r="T420" s="67"/>
      <c r="U420" s="66"/>
      <c r="V420" s="66"/>
      <c r="W420" s="66"/>
      <c r="X420" s="85"/>
      <c r="AP420" t="str">
        <v/>
      </c>
    </row>
    <row r="421" spans="4:42" ht="15.75" x14ac:dyDescent="0.25">
      <c r="D421" s="3">
        <v>1</v>
      </c>
      <c r="F421" s="16" t="str" cm="1">
        <f t="array" ref="F4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1" s="31" cm="1">
        <f t="array" ref="G4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1" s="33" t="str">
        <f>_xlfn.IFNA(IF(MOD(HLG_03[[#This Row],[Rit]],
    _xlfn.XLOOKUP($G$2,Int_Sample[Ore],Int_Sample[Inc])) = 0, "YES", "NO"),"")</f>
        <v/>
      </c>
      <c r="I421" s="32" t="str">
        <f>TEXT(HLG_03[[#This Row],[Batch]],"000")&amp; " / " &amp; TEXT(HLG_03[[#This Row],[Rit]],"000")</f>
        <v>N/A / 000</v>
      </c>
      <c r="J421" s="34"/>
      <c r="K421" s="38"/>
      <c r="L421" s="35"/>
      <c r="M421" s="66"/>
      <c r="N421" s="66"/>
      <c r="O421" s="66"/>
      <c r="P421" s="66"/>
      <c r="Q421" s="66"/>
      <c r="R421" s="67"/>
      <c r="S421" s="67"/>
      <c r="T421" s="67"/>
      <c r="U421" s="66"/>
      <c r="V421" s="66"/>
      <c r="W421" s="66"/>
      <c r="X421" s="85"/>
      <c r="AP421" t="str">
        <v/>
      </c>
    </row>
    <row r="422" spans="4:42" ht="15.75" x14ac:dyDescent="0.25">
      <c r="D422" s="3">
        <v>1</v>
      </c>
      <c r="F422" s="16" t="str" cm="1">
        <f t="array" ref="F4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2" s="31" cm="1">
        <f t="array" ref="G4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2" s="33" t="str">
        <f>_xlfn.IFNA(IF(MOD(HLG_03[[#This Row],[Rit]],
    _xlfn.XLOOKUP($G$2,Int_Sample[Ore],Int_Sample[Inc])) = 0, "YES", "NO"),"")</f>
        <v/>
      </c>
      <c r="I422" s="32" t="str">
        <f>TEXT(HLG_03[[#This Row],[Batch]],"000")&amp; " / " &amp; TEXT(HLG_03[[#This Row],[Rit]],"000")</f>
        <v>N/A / 000</v>
      </c>
      <c r="J422" s="34"/>
      <c r="K422" s="38"/>
      <c r="L422" s="35"/>
      <c r="M422" s="66"/>
      <c r="N422" s="66"/>
      <c r="O422" s="66"/>
      <c r="P422" s="66"/>
      <c r="Q422" s="66"/>
      <c r="R422" s="67"/>
      <c r="S422" s="67"/>
      <c r="T422" s="67"/>
      <c r="U422" s="66"/>
      <c r="V422" s="66"/>
      <c r="W422" s="66"/>
      <c r="X422" s="85"/>
      <c r="AP422" t="str">
        <v/>
      </c>
    </row>
    <row r="423" spans="4:42" ht="15.75" x14ac:dyDescent="0.25">
      <c r="D423" s="3">
        <v>1</v>
      </c>
      <c r="F423" s="16" t="str" cm="1">
        <f t="array" ref="F4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3" s="31" cm="1">
        <f t="array" ref="G4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3" s="33" t="str">
        <f>_xlfn.IFNA(IF(MOD(HLG_03[[#This Row],[Rit]],
    _xlfn.XLOOKUP($G$2,Int_Sample[Ore],Int_Sample[Inc])) = 0, "YES", "NO"),"")</f>
        <v/>
      </c>
      <c r="I423" s="32" t="str">
        <f>TEXT(HLG_03[[#This Row],[Batch]],"000")&amp; " / " &amp; TEXT(HLG_03[[#This Row],[Rit]],"000")</f>
        <v>N/A / 000</v>
      </c>
      <c r="J423" s="34"/>
      <c r="K423" s="38"/>
      <c r="L423" s="35"/>
      <c r="M423" s="66"/>
      <c r="N423" s="66"/>
      <c r="O423" s="66"/>
      <c r="P423" s="66"/>
      <c r="Q423" s="66"/>
      <c r="R423" s="67"/>
      <c r="S423" s="67"/>
      <c r="T423" s="67"/>
      <c r="U423" s="66"/>
      <c r="V423" s="66"/>
      <c r="W423" s="66"/>
      <c r="X423" s="85"/>
      <c r="AP423" t="str">
        <v/>
      </c>
    </row>
    <row r="424" spans="4:42" ht="15.75" x14ac:dyDescent="0.25">
      <c r="D424" s="3">
        <v>1</v>
      </c>
      <c r="F424" s="16" t="str" cm="1">
        <f t="array" ref="F4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4" s="31" cm="1">
        <f t="array" ref="G4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4" s="33" t="str">
        <f>_xlfn.IFNA(IF(MOD(HLG_03[[#This Row],[Rit]],
    _xlfn.XLOOKUP($G$2,Int_Sample[Ore],Int_Sample[Inc])) = 0, "YES", "NO"),"")</f>
        <v/>
      </c>
      <c r="I424" s="32" t="str">
        <f>TEXT(HLG_03[[#This Row],[Batch]],"000")&amp; " / " &amp; TEXT(HLG_03[[#This Row],[Rit]],"000")</f>
        <v>N/A / 000</v>
      </c>
      <c r="J424" s="34"/>
      <c r="K424" s="38"/>
      <c r="L424" s="35"/>
      <c r="M424" s="66"/>
      <c r="N424" s="66"/>
      <c r="O424" s="66"/>
      <c r="P424" s="66"/>
      <c r="Q424" s="66"/>
      <c r="R424" s="67"/>
      <c r="S424" s="67"/>
      <c r="T424" s="67"/>
      <c r="U424" s="66"/>
      <c r="V424" s="66"/>
      <c r="W424" s="66"/>
      <c r="X424" s="85"/>
      <c r="AP424" t="str">
        <v/>
      </c>
    </row>
    <row r="425" spans="4:42" ht="15.75" x14ac:dyDescent="0.25">
      <c r="D425" s="3">
        <v>1</v>
      </c>
      <c r="F425" s="16" t="str" cm="1">
        <f t="array" ref="F4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5" s="31" cm="1">
        <f t="array" ref="G4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5" s="33" t="str">
        <f>_xlfn.IFNA(IF(MOD(HLG_03[[#This Row],[Rit]],
    _xlfn.XLOOKUP($G$2,Int_Sample[Ore],Int_Sample[Inc])) = 0, "YES", "NO"),"")</f>
        <v/>
      </c>
      <c r="I425" s="32" t="str">
        <f>TEXT(HLG_03[[#This Row],[Batch]],"000")&amp; " / " &amp; TEXT(HLG_03[[#This Row],[Rit]],"000")</f>
        <v>N/A / 000</v>
      </c>
      <c r="J425" s="34"/>
      <c r="K425" s="38"/>
      <c r="L425" s="35"/>
      <c r="M425" s="66"/>
      <c r="N425" s="66"/>
      <c r="O425" s="66"/>
      <c r="P425" s="66"/>
      <c r="Q425" s="66"/>
      <c r="R425" s="67"/>
      <c r="S425" s="67"/>
      <c r="T425" s="67"/>
      <c r="U425" s="66"/>
      <c r="V425" s="66"/>
      <c r="W425" s="66"/>
      <c r="X425" s="85"/>
      <c r="AP425" t="str">
        <v/>
      </c>
    </row>
    <row r="426" spans="4:42" ht="15.75" x14ac:dyDescent="0.25">
      <c r="D426" s="3">
        <v>1</v>
      </c>
      <c r="F426" s="16" t="str" cm="1">
        <f t="array" ref="F4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6" s="31" cm="1">
        <f t="array" ref="G4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6" s="33" t="str">
        <f>_xlfn.IFNA(IF(MOD(HLG_03[[#This Row],[Rit]],
    _xlfn.XLOOKUP($G$2,Int_Sample[Ore],Int_Sample[Inc])) = 0, "YES", "NO"),"")</f>
        <v/>
      </c>
      <c r="I426" s="32" t="str">
        <f>TEXT(HLG_03[[#This Row],[Batch]],"000")&amp; " / " &amp; TEXT(HLG_03[[#This Row],[Rit]],"000")</f>
        <v>N/A / 000</v>
      </c>
      <c r="J426" s="34"/>
      <c r="K426" s="38"/>
      <c r="L426" s="35"/>
      <c r="M426" s="66"/>
      <c r="N426" s="66"/>
      <c r="O426" s="66"/>
      <c r="P426" s="66"/>
      <c r="Q426" s="66"/>
      <c r="R426" s="67"/>
      <c r="S426" s="67"/>
      <c r="T426" s="67"/>
      <c r="U426" s="66"/>
      <c r="V426" s="66"/>
      <c r="W426" s="66"/>
      <c r="X426" s="85"/>
      <c r="AP426" t="str">
        <v/>
      </c>
    </row>
    <row r="427" spans="4:42" ht="15.75" x14ac:dyDescent="0.25">
      <c r="D427" s="3">
        <v>1</v>
      </c>
      <c r="F427" s="16" t="str" cm="1">
        <f t="array" ref="F4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7" s="31" cm="1">
        <f t="array" ref="G4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7" s="33" t="str">
        <f>_xlfn.IFNA(IF(MOD(HLG_03[[#This Row],[Rit]],
    _xlfn.XLOOKUP($G$2,Int_Sample[Ore],Int_Sample[Inc])) = 0, "YES", "NO"),"")</f>
        <v/>
      </c>
      <c r="I427" s="32" t="str">
        <f>TEXT(HLG_03[[#This Row],[Batch]],"000")&amp; " / " &amp; TEXT(HLG_03[[#This Row],[Rit]],"000")</f>
        <v>N/A / 000</v>
      </c>
      <c r="J427" s="34"/>
      <c r="K427" s="38"/>
      <c r="L427" s="35"/>
      <c r="M427" s="66"/>
      <c r="N427" s="66"/>
      <c r="O427" s="66"/>
      <c r="P427" s="66"/>
      <c r="Q427" s="66"/>
      <c r="R427" s="67"/>
      <c r="S427" s="67"/>
      <c r="T427" s="67"/>
      <c r="U427" s="66"/>
      <c r="V427" s="66"/>
      <c r="W427" s="66"/>
      <c r="X427" s="85"/>
      <c r="AP427" t="str">
        <v/>
      </c>
    </row>
    <row r="428" spans="4:42" ht="15.75" x14ac:dyDescent="0.25">
      <c r="D428" s="3">
        <v>1</v>
      </c>
      <c r="F428" s="16" t="str" cm="1">
        <f t="array" ref="F4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8" s="31" cm="1">
        <f t="array" ref="G4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8" s="33" t="str">
        <f>_xlfn.IFNA(IF(MOD(HLG_03[[#This Row],[Rit]],
    _xlfn.XLOOKUP($G$2,Int_Sample[Ore],Int_Sample[Inc])) = 0, "YES", "NO"),"")</f>
        <v/>
      </c>
      <c r="I428" s="32" t="str">
        <f>TEXT(HLG_03[[#This Row],[Batch]],"000")&amp; " / " &amp; TEXT(HLG_03[[#This Row],[Rit]],"000")</f>
        <v>N/A / 000</v>
      </c>
      <c r="J428" s="34"/>
      <c r="K428" s="38"/>
      <c r="L428" s="35"/>
      <c r="M428" s="66"/>
      <c r="N428" s="66"/>
      <c r="O428" s="66"/>
      <c r="P428" s="66"/>
      <c r="Q428" s="66"/>
      <c r="R428" s="67"/>
      <c r="S428" s="67"/>
      <c r="T428" s="67"/>
      <c r="U428" s="66"/>
      <c r="V428" s="66"/>
      <c r="W428" s="66"/>
      <c r="X428" s="85"/>
      <c r="AP428" t="str">
        <v/>
      </c>
    </row>
    <row r="429" spans="4:42" ht="15.75" x14ac:dyDescent="0.25">
      <c r="D429" s="3">
        <v>1</v>
      </c>
      <c r="F429" s="16" t="str" cm="1">
        <f t="array" ref="F4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9" s="31" cm="1">
        <f t="array" ref="G4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9" s="33" t="str">
        <f>_xlfn.IFNA(IF(MOD(HLG_03[[#This Row],[Rit]],
    _xlfn.XLOOKUP($G$2,Int_Sample[Ore],Int_Sample[Inc])) = 0, "YES", "NO"),"")</f>
        <v/>
      </c>
      <c r="I429" s="32" t="str">
        <f>TEXT(HLG_03[[#This Row],[Batch]],"000")&amp; " / " &amp; TEXT(HLG_03[[#This Row],[Rit]],"000")</f>
        <v>N/A / 000</v>
      </c>
      <c r="J429" s="34"/>
      <c r="K429" s="38"/>
      <c r="L429" s="35"/>
      <c r="M429" s="66"/>
      <c r="N429" s="66"/>
      <c r="O429" s="66"/>
      <c r="P429" s="66"/>
      <c r="Q429" s="66"/>
      <c r="R429" s="67"/>
      <c r="S429" s="67"/>
      <c r="T429" s="67"/>
      <c r="U429" s="66"/>
      <c r="V429" s="66"/>
      <c r="W429" s="66"/>
      <c r="X429" s="85"/>
      <c r="AP429" t="str">
        <v/>
      </c>
    </row>
    <row r="430" spans="4:42" ht="15.75" x14ac:dyDescent="0.25">
      <c r="D430" s="3">
        <v>1</v>
      </c>
      <c r="F430" s="16" t="str" cm="1">
        <f t="array" ref="F4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0" s="31" cm="1">
        <f t="array" ref="G4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0" s="33" t="str">
        <f>_xlfn.IFNA(IF(MOD(HLG_03[[#This Row],[Rit]],
    _xlfn.XLOOKUP($G$2,Int_Sample[Ore],Int_Sample[Inc])) = 0, "YES", "NO"),"")</f>
        <v/>
      </c>
      <c r="I430" s="32" t="str">
        <f>TEXT(HLG_03[[#This Row],[Batch]],"000")&amp; " / " &amp; TEXT(HLG_03[[#This Row],[Rit]],"000")</f>
        <v>N/A / 000</v>
      </c>
      <c r="J430" s="34"/>
      <c r="K430" s="38"/>
      <c r="L430" s="35"/>
      <c r="M430" s="66"/>
      <c r="N430" s="66"/>
      <c r="O430" s="66"/>
      <c r="P430" s="66"/>
      <c r="Q430" s="66"/>
      <c r="R430" s="67"/>
      <c r="S430" s="67"/>
      <c r="T430" s="67"/>
      <c r="U430" s="66"/>
      <c r="V430" s="66"/>
      <c r="W430" s="66"/>
      <c r="X430" s="85"/>
      <c r="AP430" t="str">
        <v/>
      </c>
    </row>
    <row r="431" spans="4:42" ht="15.75" x14ac:dyDescent="0.25">
      <c r="D431" s="3">
        <v>1</v>
      </c>
      <c r="F431" s="16" t="str" cm="1">
        <f t="array" ref="F4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1" s="31" cm="1">
        <f t="array" ref="G4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1" s="33" t="str">
        <f>_xlfn.IFNA(IF(MOD(HLG_03[[#This Row],[Rit]],
    _xlfn.XLOOKUP($G$2,Int_Sample[Ore],Int_Sample[Inc])) = 0, "YES", "NO"),"")</f>
        <v/>
      </c>
      <c r="I431" s="32" t="str">
        <f>TEXT(HLG_03[[#This Row],[Batch]],"000")&amp; " / " &amp; TEXT(HLG_03[[#This Row],[Rit]],"000")</f>
        <v>N/A / 000</v>
      </c>
      <c r="J431" s="34"/>
      <c r="K431" s="38"/>
      <c r="L431" s="35"/>
      <c r="M431" s="66"/>
      <c r="N431" s="66"/>
      <c r="O431" s="66"/>
      <c r="P431" s="66"/>
      <c r="Q431" s="66"/>
      <c r="R431" s="67"/>
      <c r="S431" s="67"/>
      <c r="T431" s="67"/>
      <c r="U431" s="66"/>
      <c r="V431" s="66"/>
      <c r="W431" s="66"/>
      <c r="X431" s="85"/>
      <c r="AP431" t="str">
        <v/>
      </c>
    </row>
    <row r="432" spans="4:42" ht="15.75" x14ac:dyDescent="0.25">
      <c r="D432" s="3">
        <v>1</v>
      </c>
      <c r="F432" s="16" t="str" cm="1">
        <f t="array" ref="F4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2" s="31" cm="1">
        <f t="array" ref="G4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2" s="33" t="str">
        <f>_xlfn.IFNA(IF(MOD(HLG_03[[#This Row],[Rit]],
    _xlfn.XLOOKUP($G$2,Int_Sample[Ore],Int_Sample[Inc])) = 0, "YES", "NO"),"")</f>
        <v/>
      </c>
      <c r="I432" s="32" t="str">
        <f>TEXT(HLG_03[[#This Row],[Batch]],"000")&amp; " / " &amp; TEXT(HLG_03[[#This Row],[Rit]],"000")</f>
        <v>N/A / 000</v>
      </c>
      <c r="J432" s="34"/>
      <c r="K432" s="38"/>
      <c r="L432" s="35"/>
      <c r="M432" s="66"/>
      <c r="N432" s="66"/>
      <c r="O432" s="66"/>
      <c r="P432" s="66"/>
      <c r="Q432" s="66"/>
      <c r="R432" s="67"/>
      <c r="S432" s="67"/>
      <c r="T432" s="67"/>
      <c r="U432" s="66"/>
      <c r="V432" s="66"/>
      <c r="W432" s="66"/>
      <c r="X432" s="85"/>
      <c r="AP432" t="str">
        <v/>
      </c>
    </row>
    <row r="433" spans="4:42" ht="15.75" x14ac:dyDescent="0.25">
      <c r="D433" s="3">
        <v>1</v>
      </c>
      <c r="F433" s="16" t="str" cm="1">
        <f t="array" ref="F4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3" s="31" cm="1">
        <f t="array" ref="G4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3" s="33" t="str">
        <f>_xlfn.IFNA(IF(MOD(HLG_03[[#This Row],[Rit]],
    _xlfn.XLOOKUP($G$2,Int_Sample[Ore],Int_Sample[Inc])) = 0, "YES", "NO"),"")</f>
        <v/>
      </c>
      <c r="I433" s="32" t="str">
        <f>TEXT(HLG_03[[#This Row],[Batch]],"000")&amp; " / " &amp; TEXT(HLG_03[[#This Row],[Rit]],"000")</f>
        <v>N/A / 000</v>
      </c>
      <c r="J433" s="34"/>
      <c r="K433" s="38"/>
      <c r="L433" s="35"/>
      <c r="M433" s="66"/>
      <c r="N433" s="66"/>
      <c r="O433" s="66"/>
      <c r="P433" s="66"/>
      <c r="Q433" s="66"/>
      <c r="R433" s="67"/>
      <c r="S433" s="67"/>
      <c r="T433" s="67"/>
      <c r="U433" s="66"/>
      <c r="V433" s="66"/>
      <c r="W433" s="66"/>
      <c r="X433" s="85"/>
      <c r="AP433" t="str">
        <v/>
      </c>
    </row>
    <row r="434" spans="4:42" ht="15.75" x14ac:dyDescent="0.25">
      <c r="D434" s="3">
        <v>1</v>
      </c>
      <c r="F434" s="16" t="str" cm="1">
        <f t="array" ref="F4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4" s="31" cm="1">
        <f t="array" ref="G4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4" s="33" t="str">
        <f>_xlfn.IFNA(IF(MOD(HLG_03[[#This Row],[Rit]],
    _xlfn.XLOOKUP($G$2,Int_Sample[Ore],Int_Sample[Inc])) = 0, "YES", "NO"),"")</f>
        <v/>
      </c>
      <c r="I434" s="32" t="str">
        <f>TEXT(HLG_03[[#This Row],[Batch]],"000")&amp; " / " &amp; TEXT(HLG_03[[#This Row],[Rit]],"000")</f>
        <v>N/A / 000</v>
      </c>
      <c r="J434" s="34"/>
      <c r="K434" s="38"/>
      <c r="L434" s="35"/>
      <c r="M434" s="66"/>
      <c r="N434" s="66"/>
      <c r="O434" s="66"/>
      <c r="P434" s="66"/>
      <c r="Q434" s="66"/>
      <c r="R434" s="67"/>
      <c r="S434" s="67"/>
      <c r="T434" s="67"/>
      <c r="U434" s="66"/>
      <c r="V434" s="66"/>
      <c r="W434" s="66"/>
      <c r="X434" s="85"/>
      <c r="AP434" t="str">
        <v/>
      </c>
    </row>
    <row r="435" spans="4:42" ht="15.75" x14ac:dyDescent="0.25">
      <c r="D435" s="3">
        <v>1</v>
      </c>
      <c r="F435" s="16" t="str" cm="1">
        <f t="array" ref="F4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5" s="31" cm="1">
        <f t="array" ref="G4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5" s="33" t="str">
        <f>_xlfn.IFNA(IF(MOD(HLG_03[[#This Row],[Rit]],
    _xlfn.XLOOKUP($G$2,Int_Sample[Ore],Int_Sample[Inc])) = 0, "YES", "NO"),"")</f>
        <v/>
      </c>
      <c r="I435" s="32" t="str">
        <f>TEXT(HLG_03[[#This Row],[Batch]],"000")&amp; " / " &amp; TEXT(HLG_03[[#This Row],[Rit]],"000")</f>
        <v>N/A / 000</v>
      </c>
      <c r="J435" s="34"/>
      <c r="K435" s="38"/>
      <c r="L435" s="35"/>
      <c r="M435" s="66"/>
      <c r="N435" s="66"/>
      <c r="O435" s="66"/>
      <c r="P435" s="66"/>
      <c r="Q435" s="66"/>
      <c r="R435" s="67"/>
      <c r="S435" s="67"/>
      <c r="T435" s="67"/>
      <c r="U435" s="66"/>
      <c r="V435" s="66"/>
      <c r="W435" s="66"/>
      <c r="X435" s="85"/>
      <c r="AP435" t="str">
        <v/>
      </c>
    </row>
    <row r="436" spans="4:42" ht="15.75" x14ac:dyDescent="0.25">
      <c r="D436" s="3">
        <v>1</v>
      </c>
      <c r="F436" s="16" t="str" cm="1">
        <f t="array" ref="F4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6" s="31" cm="1">
        <f t="array" ref="G4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6" s="33" t="str">
        <f>_xlfn.IFNA(IF(MOD(HLG_03[[#This Row],[Rit]],
    _xlfn.XLOOKUP($G$2,Int_Sample[Ore],Int_Sample[Inc])) = 0, "YES", "NO"),"")</f>
        <v/>
      </c>
      <c r="I436" s="32" t="str">
        <f>TEXT(HLG_03[[#This Row],[Batch]],"000")&amp; " / " &amp; TEXT(HLG_03[[#This Row],[Rit]],"000")</f>
        <v>N/A / 000</v>
      </c>
      <c r="J436" s="34"/>
      <c r="K436" s="38"/>
      <c r="L436" s="35"/>
      <c r="M436" s="66"/>
      <c r="N436" s="66"/>
      <c r="O436" s="66"/>
      <c r="P436" s="66"/>
      <c r="Q436" s="66"/>
      <c r="R436" s="67"/>
      <c r="S436" s="67"/>
      <c r="T436" s="67"/>
      <c r="U436" s="66"/>
      <c r="V436" s="66"/>
      <c r="W436" s="66"/>
      <c r="X436" s="85"/>
      <c r="AP436" t="str">
        <v/>
      </c>
    </row>
    <row r="437" spans="4:42" ht="15.75" x14ac:dyDescent="0.25">
      <c r="D437" s="3">
        <v>1</v>
      </c>
      <c r="F437" s="16" t="str" cm="1">
        <f t="array" ref="F4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7" s="31" cm="1">
        <f t="array" ref="G4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7" s="33" t="str">
        <f>_xlfn.IFNA(IF(MOD(HLG_03[[#This Row],[Rit]],
    _xlfn.XLOOKUP($G$2,Int_Sample[Ore],Int_Sample[Inc])) = 0, "YES", "NO"),"")</f>
        <v/>
      </c>
      <c r="I437" s="32" t="str">
        <f>TEXT(HLG_03[[#This Row],[Batch]],"000")&amp; " / " &amp; TEXT(HLG_03[[#This Row],[Rit]],"000")</f>
        <v>N/A / 000</v>
      </c>
      <c r="J437" s="34"/>
      <c r="K437" s="38"/>
      <c r="L437" s="35"/>
      <c r="M437" s="66"/>
      <c r="N437" s="66"/>
      <c r="O437" s="66"/>
      <c r="P437" s="66"/>
      <c r="Q437" s="66"/>
      <c r="R437" s="67"/>
      <c r="S437" s="67"/>
      <c r="T437" s="67"/>
      <c r="U437" s="66"/>
      <c r="V437" s="66"/>
      <c r="W437" s="66"/>
      <c r="X437" s="85"/>
      <c r="AP437" t="str">
        <v/>
      </c>
    </row>
    <row r="438" spans="4:42" ht="15.75" x14ac:dyDescent="0.25">
      <c r="D438" s="3">
        <v>1</v>
      </c>
      <c r="F438" s="16" t="str" cm="1">
        <f t="array" ref="F4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8" s="31" cm="1">
        <f t="array" ref="G4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8" s="33" t="str">
        <f>_xlfn.IFNA(IF(MOD(HLG_03[[#This Row],[Rit]],
    _xlfn.XLOOKUP($G$2,Int_Sample[Ore],Int_Sample[Inc])) = 0, "YES", "NO"),"")</f>
        <v/>
      </c>
      <c r="I438" s="32" t="str">
        <f>TEXT(HLG_03[[#This Row],[Batch]],"000")&amp; " / " &amp; TEXT(HLG_03[[#This Row],[Rit]],"000")</f>
        <v>N/A / 000</v>
      </c>
      <c r="J438" s="34"/>
      <c r="K438" s="38"/>
      <c r="L438" s="35"/>
      <c r="M438" s="66"/>
      <c r="N438" s="66"/>
      <c r="O438" s="66"/>
      <c r="P438" s="66"/>
      <c r="Q438" s="66"/>
      <c r="R438" s="67"/>
      <c r="S438" s="67"/>
      <c r="T438" s="67"/>
      <c r="U438" s="66"/>
      <c r="V438" s="66"/>
      <c r="W438" s="66"/>
      <c r="X438" s="85"/>
      <c r="AP438" t="str">
        <v/>
      </c>
    </row>
    <row r="439" spans="4:42" ht="15.75" x14ac:dyDescent="0.25">
      <c r="D439" s="3">
        <v>1</v>
      </c>
      <c r="F439" s="16" t="str" cm="1">
        <f t="array" ref="F4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9" s="31" cm="1">
        <f t="array" ref="G4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9" s="33" t="str">
        <f>_xlfn.IFNA(IF(MOD(HLG_03[[#This Row],[Rit]],
    _xlfn.XLOOKUP($G$2,Int_Sample[Ore],Int_Sample[Inc])) = 0, "YES", "NO"),"")</f>
        <v/>
      </c>
      <c r="I439" s="32" t="str">
        <f>TEXT(HLG_03[[#This Row],[Batch]],"000")&amp; " / " &amp; TEXT(HLG_03[[#This Row],[Rit]],"000")</f>
        <v>N/A / 000</v>
      </c>
      <c r="J439" s="34"/>
      <c r="K439" s="38"/>
      <c r="L439" s="35"/>
      <c r="M439" s="66"/>
      <c r="N439" s="66"/>
      <c r="O439" s="66"/>
      <c r="P439" s="66"/>
      <c r="Q439" s="66"/>
      <c r="R439" s="67"/>
      <c r="S439" s="67"/>
      <c r="T439" s="67"/>
      <c r="U439" s="66"/>
      <c r="V439" s="66"/>
      <c r="W439" s="66"/>
      <c r="X439" s="85"/>
      <c r="AP439" t="str">
        <v/>
      </c>
    </row>
    <row r="440" spans="4:42" ht="15.75" x14ac:dyDescent="0.25">
      <c r="D440" s="3">
        <v>1</v>
      </c>
      <c r="F440" s="16" t="str" cm="1">
        <f t="array" ref="F4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0" s="31" cm="1">
        <f t="array" ref="G4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0" s="33" t="str">
        <f>_xlfn.IFNA(IF(MOD(HLG_03[[#This Row],[Rit]],
    _xlfn.XLOOKUP($G$2,Int_Sample[Ore],Int_Sample[Inc])) = 0, "YES", "NO"),"")</f>
        <v/>
      </c>
      <c r="I440" s="32" t="str">
        <f>TEXT(HLG_03[[#This Row],[Batch]],"000")&amp; " / " &amp; TEXT(HLG_03[[#This Row],[Rit]],"000")</f>
        <v>N/A / 000</v>
      </c>
      <c r="J440" s="34"/>
      <c r="K440" s="38"/>
      <c r="L440" s="35"/>
      <c r="M440" s="66"/>
      <c r="N440" s="66"/>
      <c r="O440" s="66"/>
      <c r="P440" s="66"/>
      <c r="Q440" s="66"/>
      <c r="R440" s="67"/>
      <c r="S440" s="67"/>
      <c r="T440" s="67"/>
      <c r="U440" s="66"/>
      <c r="V440" s="66"/>
      <c r="W440" s="66"/>
      <c r="X440" s="85"/>
      <c r="AP440" t="str">
        <v/>
      </c>
    </row>
    <row r="441" spans="4:42" ht="15.75" x14ac:dyDescent="0.25">
      <c r="D441" s="3">
        <v>1</v>
      </c>
      <c r="F441" s="16" t="str" cm="1">
        <f t="array" ref="F4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1" s="31" cm="1">
        <f t="array" ref="G4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1" s="33" t="str">
        <f>_xlfn.IFNA(IF(MOD(HLG_03[[#This Row],[Rit]],
    _xlfn.XLOOKUP($G$2,Int_Sample[Ore],Int_Sample[Inc])) = 0, "YES", "NO"),"")</f>
        <v/>
      </c>
      <c r="I441" s="32" t="str">
        <f>TEXT(HLG_03[[#This Row],[Batch]],"000")&amp; " / " &amp; TEXT(HLG_03[[#This Row],[Rit]],"000")</f>
        <v>N/A / 000</v>
      </c>
      <c r="J441" s="34"/>
      <c r="K441" s="38"/>
      <c r="L441" s="35"/>
      <c r="M441" s="66"/>
      <c r="N441" s="66"/>
      <c r="O441" s="66"/>
      <c r="P441" s="66"/>
      <c r="Q441" s="66"/>
      <c r="R441" s="67"/>
      <c r="S441" s="67"/>
      <c r="T441" s="67"/>
      <c r="U441" s="66"/>
      <c r="V441" s="66"/>
      <c r="W441" s="66"/>
      <c r="X441" s="85"/>
      <c r="AP441" t="str">
        <v/>
      </c>
    </row>
    <row r="442" spans="4:42" ht="15.75" x14ac:dyDescent="0.25">
      <c r="D442" s="3">
        <v>1</v>
      </c>
      <c r="F442" s="16" t="str" cm="1">
        <f t="array" ref="F4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2" s="31" cm="1">
        <f t="array" ref="G4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2" s="33" t="str">
        <f>_xlfn.IFNA(IF(MOD(HLG_03[[#This Row],[Rit]],
    _xlfn.XLOOKUP($G$2,Int_Sample[Ore],Int_Sample[Inc])) = 0, "YES", "NO"),"")</f>
        <v/>
      </c>
      <c r="I442" s="32" t="str">
        <f>TEXT(HLG_03[[#This Row],[Batch]],"000")&amp; " / " &amp; TEXT(HLG_03[[#This Row],[Rit]],"000")</f>
        <v>N/A / 000</v>
      </c>
      <c r="J442" s="34"/>
      <c r="K442" s="38"/>
      <c r="L442" s="35"/>
      <c r="M442" s="66"/>
      <c r="N442" s="66"/>
      <c r="O442" s="66"/>
      <c r="P442" s="66"/>
      <c r="Q442" s="66"/>
      <c r="R442" s="67"/>
      <c r="S442" s="67"/>
      <c r="T442" s="67"/>
      <c r="U442" s="66"/>
      <c r="V442" s="66"/>
      <c r="W442" s="66"/>
      <c r="X442" s="85"/>
      <c r="AP442" t="str">
        <v/>
      </c>
    </row>
    <row r="443" spans="4:42" ht="15.75" x14ac:dyDescent="0.25">
      <c r="D443" s="3">
        <v>1</v>
      </c>
      <c r="F443" s="16" t="str" cm="1">
        <f t="array" ref="F4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3" s="31" cm="1">
        <f t="array" ref="G4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3" s="33" t="str">
        <f>_xlfn.IFNA(IF(MOD(HLG_03[[#This Row],[Rit]],
    _xlfn.XLOOKUP($G$2,Int_Sample[Ore],Int_Sample[Inc])) = 0, "YES", "NO"),"")</f>
        <v/>
      </c>
      <c r="I443" s="32" t="str">
        <f>TEXT(HLG_03[[#This Row],[Batch]],"000")&amp; " / " &amp; TEXT(HLG_03[[#This Row],[Rit]],"000")</f>
        <v>N/A / 000</v>
      </c>
      <c r="J443" s="34"/>
      <c r="K443" s="38"/>
      <c r="L443" s="35"/>
      <c r="M443" s="66"/>
      <c r="N443" s="66"/>
      <c r="O443" s="66"/>
      <c r="P443" s="66"/>
      <c r="Q443" s="66"/>
      <c r="R443" s="67"/>
      <c r="S443" s="67"/>
      <c r="T443" s="67"/>
      <c r="U443" s="66"/>
      <c r="V443" s="66"/>
      <c r="W443" s="66"/>
      <c r="X443" s="85"/>
      <c r="AP443" t="str">
        <v/>
      </c>
    </row>
    <row r="444" spans="4:42" ht="15.75" x14ac:dyDescent="0.25">
      <c r="D444" s="3">
        <v>1</v>
      </c>
      <c r="F444" s="16" t="str" cm="1">
        <f t="array" ref="F4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4" s="31" cm="1">
        <f t="array" ref="G4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4" s="33" t="str">
        <f>_xlfn.IFNA(IF(MOD(HLG_03[[#This Row],[Rit]],
    _xlfn.XLOOKUP($G$2,Int_Sample[Ore],Int_Sample[Inc])) = 0, "YES", "NO"),"")</f>
        <v/>
      </c>
      <c r="I444" s="32" t="str">
        <f>TEXT(HLG_03[[#This Row],[Batch]],"000")&amp; " / " &amp; TEXT(HLG_03[[#This Row],[Rit]],"000")</f>
        <v>N/A / 000</v>
      </c>
      <c r="J444" s="34"/>
      <c r="K444" s="38"/>
      <c r="L444" s="35"/>
      <c r="M444" s="66"/>
      <c r="N444" s="66"/>
      <c r="O444" s="66"/>
      <c r="P444" s="66"/>
      <c r="Q444" s="66"/>
      <c r="R444" s="67"/>
      <c r="S444" s="67"/>
      <c r="T444" s="67"/>
      <c r="U444" s="66"/>
      <c r="V444" s="66"/>
      <c r="W444" s="66"/>
      <c r="X444" s="85"/>
      <c r="AP444" t="str">
        <v/>
      </c>
    </row>
    <row r="445" spans="4:42" ht="15.75" x14ac:dyDescent="0.25">
      <c r="D445" s="3">
        <v>1</v>
      </c>
      <c r="F445" s="16" t="str" cm="1">
        <f t="array" ref="F4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5" s="31" cm="1">
        <f t="array" ref="G4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5" s="33" t="str">
        <f>_xlfn.IFNA(IF(MOD(HLG_03[[#This Row],[Rit]],
    _xlfn.XLOOKUP($G$2,Int_Sample[Ore],Int_Sample[Inc])) = 0, "YES", "NO"),"")</f>
        <v/>
      </c>
      <c r="I445" s="32" t="str">
        <f>TEXT(HLG_03[[#This Row],[Batch]],"000")&amp; " / " &amp; TEXT(HLG_03[[#This Row],[Rit]],"000")</f>
        <v>N/A / 000</v>
      </c>
      <c r="J445" s="34"/>
      <c r="K445" s="38"/>
      <c r="L445" s="35"/>
      <c r="M445" s="66"/>
      <c r="N445" s="66"/>
      <c r="O445" s="66"/>
      <c r="P445" s="66"/>
      <c r="Q445" s="66"/>
      <c r="R445" s="67"/>
      <c r="S445" s="67"/>
      <c r="T445" s="67"/>
      <c r="U445" s="66"/>
      <c r="V445" s="66"/>
      <c r="W445" s="66"/>
      <c r="X445" s="85"/>
      <c r="AP445" t="str">
        <v/>
      </c>
    </row>
    <row r="446" spans="4:42" ht="15.75" x14ac:dyDescent="0.25">
      <c r="D446" s="3">
        <v>1</v>
      </c>
      <c r="F446" s="16" t="str" cm="1">
        <f t="array" ref="F4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6" s="31" cm="1">
        <f t="array" ref="G4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6" s="33" t="str">
        <f>_xlfn.IFNA(IF(MOD(HLG_03[[#This Row],[Rit]],
    _xlfn.XLOOKUP($G$2,Int_Sample[Ore],Int_Sample[Inc])) = 0, "YES", "NO"),"")</f>
        <v/>
      </c>
      <c r="I446" s="32" t="str">
        <f>TEXT(HLG_03[[#This Row],[Batch]],"000")&amp; " / " &amp; TEXT(HLG_03[[#This Row],[Rit]],"000")</f>
        <v>N/A / 000</v>
      </c>
      <c r="J446" s="34"/>
      <c r="K446" s="38"/>
      <c r="L446" s="35"/>
      <c r="M446" s="66"/>
      <c r="N446" s="66"/>
      <c r="O446" s="66"/>
      <c r="P446" s="66"/>
      <c r="Q446" s="66"/>
      <c r="R446" s="67"/>
      <c r="S446" s="67"/>
      <c r="T446" s="67"/>
      <c r="U446" s="66"/>
      <c r="V446" s="66"/>
      <c r="W446" s="66"/>
      <c r="X446" s="85"/>
      <c r="AP446" t="str">
        <v/>
      </c>
    </row>
    <row r="447" spans="4:42" ht="15.75" x14ac:dyDescent="0.25">
      <c r="D447" s="3">
        <v>1</v>
      </c>
      <c r="F447" s="16" t="str" cm="1">
        <f t="array" ref="F4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7" s="31" cm="1">
        <f t="array" ref="G4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7" s="33" t="str">
        <f>_xlfn.IFNA(IF(MOD(HLG_03[[#This Row],[Rit]],
    _xlfn.XLOOKUP($G$2,Int_Sample[Ore],Int_Sample[Inc])) = 0, "YES", "NO"),"")</f>
        <v/>
      </c>
      <c r="I447" s="32" t="str">
        <f>TEXT(HLG_03[[#This Row],[Batch]],"000")&amp; " / " &amp; TEXT(HLG_03[[#This Row],[Rit]],"000")</f>
        <v>N/A / 000</v>
      </c>
      <c r="J447" s="34"/>
      <c r="K447" s="38"/>
      <c r="L447" s="35"/>
      <c r="M447" s="66"/>
      <c r="N447" s="66"/>
      <c r="O447" s="66"/>
      <c r="P447" s="66"/>
      <c r="Q447" s="66"/>
      <c r="R447" s="67"/>
      <c r="S447" s="67"/>
      <c r="T447" s="67"/>
      <c r="U447" s="66"/>
      <c r="V447" s="66"/>
      <c r="W447" s="66"/>
      <c r="X447" s="85"/>
      <c r="AP447" t="str">
        <v/>
      </c>
    </row>
    <row r="448" spans="4:42" ht="15.75" x14ac:dyDescent="0.25">
      <c r="D448" s="3">
        <v>1</v>
      </c>
      <c r="F448" s="16" t="str" cm="1">
        <f t="array" ref="F4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8" s="31" cm="1">
        <f t="array" ref="G4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8" s="33" t="str">
        <f>_xlfn.IFNA(IF(MOD(HLG_03[[#This Row],[Rit]],
    _xlfn.XLOOKUP($G$2,Int_Sample[Ore],Int_Sample[Inc])) = 0, "YES", "NO"),"")</f>
        <v/>
      </c>
      <c r="I448" s="32" t="str">
        <f>TEXT(HLG_03[[#This Row],[Batch]],"000")&amp; " / " &amp; TEXT(HLG_03[[#This Row],[Rit]],"000")</f>
        <v>N/A / 000</v>
      </c>
      <c r="J448" s="34"/>
      <c r="K448" s="38"/>
      <c r="L448" s="35"/>
      <c r="M448" s="66"/>
      <c r="N448" s="66"/>
      <c r="O448" s="66"/>
      <c r="P448" s="66"/>
      <c r="Q448" s="66"/>
      <c r="R448" s="67"/>
      <c r="S448" s="67"/>
      <c r="T448" s="67"/>
      <c r="U448" s="66"/>
      <c r="V448" s="66"/>
      <c r="W448" s="66"/>
      <c r="X448" s="85"/>
      <c r="AP448" t="str">
        <v/>
      </c>
    </row>
    <row r="449" spans="4:42" ht="15.75" x14ac:dyDescent="0.25">
      <c r="D449" s="3">
        <v>1</v>
      </c>
      <c r="F449" s="16" t="str" cm="1">
        <f t="array" ref="F4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9" s="31" cm="1">
        <f t="array" ref="G4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9" s="33" t="str">
        <f>_xlfn.IFNA(IF(MOD(HLG_03[[#This Row],[Rit]],
    _xlfn.XLOOKUP($G$2,Int_Sample[Ore],Int_Sample[Inc])) = 0, "YES", "NO"),"")</f>
        <v/>
      </c>
      <c r="I449" s="32" t="str">
        <f>TEXT(HLG_03[[#This Row],[Batch]],"000")&amp; " / " &amp; TEXT(HLG_03[[#This Row],[Rit]],"000")</f>
        <v>N/A / 000</v>
      </c>
      <c r="J449" s="34"/>
      <c r="K449" s="38"/>
      <c r="L449" s="35"/>
      <c r="M449" s="66"/>
      <c r="N449" s="66"/>
      <c r="O449" s="66"/>
      <c r="P449" s="66"/>
      <c r="Q449" s="66"/>
      <c r="R449" s="67"/>
      <c r="S449" s="67"/>
      <c r="T449" s="67"/>
      <c r="U449" s="66"/>
      <c r="V449" s="66"/>
      <c r="W449" s="66"/>
      <c r="X449" s="85"/>
      <c r="AP449" t="str">
        <v/>
      </c>
    </row>
    <row r="450" spans="4:42" ht="15.75" x14ac:dyDescent="0.25">
      <c r="D450" s="3">
        <v>1</v>
      </c>
      <c r="F450" s="16" t="str" cm="1">
        <f t="array" ref="F4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0" s="31" cm="1">
        <f t="array" ref="G4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0" s="33" t="str">
        <f>_xlfn.IFNA(IF(MOD(HLG_03[[#This Row],[Rit]],
    _xlfn.XLOOKUP($G$2,Int_Sample[Ore],Int_Sample[Inc])) = 0, "YES", "NO"),"")</f>
        <v/>
      </c>
      <c r="I450" s="32" t="str">
        <f>TEXT(HLG_03[[#This Row],[Batch]],"000")&amp; " / " &amp; TEXT(HLG_03[[#This Row],[Rit]],"000")</f>
        <v>N/A / 000</v>
      </c>
      <c r="J450" s="34"/>
      <c r="K450" s="38"/>
      <c r="L450" s="35"/>
      <c r="M450" s="66"/>
      <c r="N450" s="66"/>
      <c r="O450" s="66"/>
      <c r="P450" s="66"/>
      <c r="Q450" s="66"/>
      <c r="R450" s="67"/>
      <c r="S450" s="67"/>
      <c r="T450" s="67"/>
      <c r="U450" s="66"/>
      <c r="V450" s="66"/>
      <c r="W450" s="66"/>
      <c r="X450" s="85"/>
      <c r="AP450" t="str">
        <v/>
      </c>
    </row>
    <row r="451" spans="4:42" ht="15.75" x14ac:dyDescent="0.25">
      <c r="D451" s="3">
        <v>1</v>
      </c>
      <c r="F451" s="16" t="str" cm="1">
        <f t="array" ref="F4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1" s="31" cm="1">
        <f t="array" ref="G4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1" s="33" t="str">
        <f>_xlfn.IFNA(IF(MOD(HLG_03[[#This Row],[Rit]],
    _xlfn.XLOOKUP($G$2,Int_Sample[Ore],Int_Sample[Inc])) = 0, "YES", "NO"),"")</f>
        <v/>
      </c>
      <c r="I451" s="32" t="str">
        <f>TEXT(HLG_03[[#This Row],[Batch]],"000")&amp; " / " &amp; TEXT(HLG_03[[#This Row],[Rit]],"000")</f>
        <v>N/A / 000</v>
      </c>
      <c r="J451" s="34"/>
      <c r="K451" s="38"/>
      <c r="L451" s="35"/>
      <c r="M451" s="66"/>
      <c r="N451" s="66"/>
      <c r="O451" s="66"/>
      <c r="P451" s="66"/>
      <c r="Q451" s="66"/>
      <c r="R451" s="67"/>
      <c r="S451" s="67"/>
      <c r="T451" s="67"/>
      <c r="U451" s="66"/>
      <c r="V451" s="66"/>
      <c r="W451" s="66"/>
      <c r="X451" s="85"/>
      <c r="AP451" t="str">
        <v/>
      </c>
    </row>
    <row r="452" spans="4:42" ht="15.75" x14ac:dyDescent="0.25">
      <c r="D452" s="3">
        <v>1</v>
      </c>
      <c r="F452" s="16" t="str" cm="1">
        <f t="array" ref="F4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2" s="31" cm="1">
        <f t="array" ref="G4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2" s="33" t="str">
        <f>_xlfn.IFNA(IF(MOD(HLG_03[[#This Row],[Rit]],
    _xlfn.XLOOKUP($G$2,Int_Sample[Ore],Int_Sample[Inc])) = 0, "YES", "NO"),"")</f>
        <v/>
      </c>
      <c r="I452" s="32" t="str">
        <f>TEXT(HLG_03[[#This Row],[Batch]],"000")&amp; " / " &amp; TEXT(HLG_03[[#This Row],[Rit]],"000")</f>
        <v>N/A / 000</v>
      </c>
      <c r="J452" s="34"/>
      <c r="K452" s="38"/>
      <c r="L452" s="35"/>
      <c r="M452" s="66"/>
      <c r="N452" s="66"/>
      <c r="O452" s="66"/>
      <c r="P452" s="66"/>
      <c r="Q452" s="66"/>
      <c r="R452" s="67"/>
      <c r="S452" s="67"/>
      <c r="T452" s="67"/>
      <c r="U452" s="66"/>
      <c r="V452" s="66"/>
      <c r="W452" s="66"/>
      <c r="X452" s="85"/>
      <c r="AP452" t="str">
        <v/>
      </c>
    </row>
    <row r="453" spans="4:42" ht="15.75" x14ac:dyDescent="0.25">
      <c r="D453" s="3">
        <v>1</v>
      </c>
      <c r="F453" s="16" t="str" cm="1">
        <f t="array" ref="F4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3" s="31" cm="1">
        <f t="array" ref="G4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3" s="33" t="str">
        <f>_xlfn.IFNA(IF(MOD(HLG_03[[#This Row],[Rit]],
    _xlfn.XLOOKUP($G$2,Int_Sample[Ore],Int_Sample[Inc])) = 0, "YES", "NO"),"")</f>
        <v/>
      </c>
      <c r="I453" s="32" t="str">
        <f>TEXT(HLG_03[[#This Row],[Batch]],"000")&amp; " / " &amp; TEXT(HLG_03[[#This Row],[Rit]],"000")</f>
        <v>N/A / 000</v>
      </c>
      <c r="J453" s="34"/>
      <c r="K453" s="38"/>
      <c r="L453" s="35"/>
      <c r="M453" s="66"/>
      <c r="N453" s="66"/>
      <c r="O453" s="66"/>
      <c r="P453" s="66"/>
      <c r="Q453" s="66"/>
      <c r="R453" s="67"/>
      <c r="S453" s="67"/>
      <c r="T453" s="67"/>
      <c r="U453" s="66"/>
      <c r="V453" s="66"/>
      <c r="W453" s="66"/>
      <c r="X453" s="85"/>
      <c r="AP453" t="str">
        <v/>
      </c>
    </row>
    <row r="454" spans="4:42" ht="15.75" x14ac:dyDescent="0.25">
      <c r="D454" s="3">
        <v>1</v>
      </c>
      <c r="F454" s="16" t="str" cm="1">
        <f t="array" ref="F4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4" s="31" cm="1">
        <f t="array" ref="G4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4" s="33" t="str">
        <f>_xlfn.IFNA(IF(MOD(HLG_03[[#This Row],[Rit]],
    _xlfn.XLOOKUP($G$2,Int_Sample[Ore],Int_Sample[Inc])) = 0, "YES", "NO"),"")</f>
        <v/>
      </c>
      <c r="I454" s="32" t="str">
        <f>TEXT(HLG_03[[#This Row],[Batch]],"000")&amp; " / " &amp; TEXT(HLG_03[[#This Row],[Rit]],"000")</f>
        <v>N/A / 000</v>
      </c>
      <c r="J454" s="34"/>
      <c r="K454" s="38"/>
      <c r="L454" s="35"/>
      <c r="M454" s="66"/>
      <c r="N454" s="66"/>
      <c r="O454" s="66"/>
      <c r="P454" s="66"/>
      <c r="Q454" s="66"/>
      <c r="R454" s="67"/>
      <c r="S454" s="67"/>
      <c r="T454" s="67"/>
      <c r="U454" s="66"/>
      <c r="V454" s="66"/>
      <c r="W454" s="66"/>
      <c r="X454" s="85"/>
      <c r="AP454" t="str">
        <v/>
      </c>
    </row>
    <row r="455" spans="4:42" ht="15.75" x14ac:dyDescent="0.25">
      <c r="D455" s="3">
        <v>1</v>
      </c>
      <c r="F455" s="16" t="str" cm="1">
        <f t="array" ref="F4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5" s="31" cm="1">
        <f t="array" ref="G4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5" s="33" t="str">
        <f>_xlfn.IFNA(IF(MOD(HLG_03[[#This Row],[Rit]],
    _xlfn.XLOOKUP($G$2,Int_Sample[Ore],Int_Sample[Inc])) = 0, "YES", "NO"),"")</f>
        <v/>
      </c>
      <c r="I455" s="32" t="str">
        <f>TEXT(HLG_03[[#This Row],[Batch]],"000")&amp; " / " &amp; TEXT(HLG_03[[#This Row],[Rit]],"000")</f>
        <v>N/A / 000</v>
      </c>
      <c r="J455" s="34"/>
      <c r="K455" s="38"/>
      <c r="L455" s="35"/>
      <c r="M455" s="66"/>
      <c r="N455" s="66"/>
      <c r="O455" s="66"/>
      <c r="P455" s="66"/>
      <c r="Q455" s="66"/>
      <c r="R455" s="67"/>
      <c r="S455" s="67"/>
      <c r="T455" s="67"/>
      <c r="U455" s="66"/>
      <c r="V455" s="66"/>
      <c r="W455" s="66"/>
      <c r="X455" s="85"/>
      <c r="AP455" t="str">
        <v/>
      </c>
    </row>
    <row r="456" spans="4:42" ht="15.75" x14ac:dyDescent="0.25">
      <c r="D456" s="3">
        <v>1</v>
      </c>
      <c r="F456" s="16" t="str" cm="1">
        <f t="array" ref="F4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6" s="31" cm="1">
        <f t="array" ref="G4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6" s="33" t="str">
        <f>_xlfn.IFNA(IF(MOD(HLG_03[[#This Row],[Rit]],
    _xlfn.XLOOKUP($G$2,Int_Sample[Ore],Int_Sample[Inc])) = 0, "YES", "NO"),"")</f>
        <v/>
      </c>
      <c r="I456" s="32" t="str">
        <f>TEXT(HLG_03[[#This Row],[Batch]],"000")&amp; " / " &amp; TEXT(HLG_03[[#This Row],[Rit]],"000")</f>
        <v>N/A / 000</v>
      </c>
      <c r="J456" s="34"/>
      <c r="K456" s="38"/>
      <c r="L456" s="35"/>
      <c r="M456" s="66"/>
      <c r="N456" s="66"/>
      <c r="O456" s="66"/>
      <c r="P456" s="66"/>
      <c r="Q456" s="66"/>
      <c r="R456" s="67"/>
      <c r="S456" s="67"/>
      <c r="T456" s="67"/>
      <c r="U456" s="66"/>
      <c r="V456" s="66"/>
      <c r="W456" s="66"/>
      <c r="X456" s="85"/>
      <c r="AP456" t="str">
        <v/>
      </c>
    </row>
    <row r="457" spans="4:42" ht="15.75" x14ac:dyDescent="0.25">
      <c r="D457" s="3">
        <v>1</v>
      </c>
      <c r="F457" s="16" t="str" cm="1">
        <f t="array" ref="F4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7" s="31" cm="1">
        <f t="array" ref="G4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7" s="33" t="str">
        <f>_xlfn.IFNA(IF(MOD(HLG_03[[#This Row],[Rit]],
    _xlfn.XLOOKUP($G$2,Int_Sample[Ore],Int_Sample[Inc])) = 0, "YES", "NO"),"")</f>
        <v/>
      </c>
      <c r="I457" s="32" t="str">
        <f>TEXT(HLG_03[[#This Row],[Batch]],"000")&amp; " / " &amp; TEXT(HLG_03[[#This Row],[Rit]],"000")</f>
        <v>N/A / 000</v>
      </c>
      <c r="J457" s="34"/>
      <c r="K457" s="38"/>
      <c r="L457" s="35"/>
      <c r="M457" s="66"/>
      <c r="N457" s="66"/>
      <c r="O457" s="66"/>
      <c r="P457" s="66"/>
      <c r="Q457" s="66"/>
      <c r="R457" s="67"/>
      <c r="S457" s="67"/>
      <c r="T457" s="67"/>
      <c r="U457" s="66"/>
      <c r="V457" s="66"/>
      <c r="W457" s="66"/>
      <c r="X457" s="85"/>
      <c r="AP457" t="str">
        <v/>
      </c>
    </row>
    <row r="458" spans="4:42" ht="15.75" x14ac:dyDescent="0.25">
      <c r="D458" s="3">
        <v>1</v>
      </c>
      <c r="F458" s="16" t="str" cm="1">
        <f t="array" ref="F4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8" s="31" cm="1">
        <f t="array" ref="G4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8" s="33" t="str">
        <f>_xlfn.IFNA(IF(MOD(HLG_03[[#This Row],[Rit]],
    _xlfn.XLOOKUP($G$2,Int_Sample[Ore],Int_Sample[Inc])) = 0, "YES", "NO"),"")</f>
        <v/>
      </c>
      <c r="I458" s="32" t="str">
        <f>TEXT(HLG_03[[#This Row],[Batch]],"000")&amp; " / " &amp; TEXT(HLG_03[[#This Row],[Rit]],"000")</f>
        <v>N/A / 000</v>
      </c>
      <c r="J458" s="34"/>
      <c r="K458" s="38"/>
      <c r="L458" s="35"/>
      <c r="M458" s="66"/>
      <c r="N458" s="66"/>
      <c r="O458" s="66"/>
      <c r="P458" s="66"/>
      <c r="Q458" s="66"/>
      <c r="R458" s="67"/>
      <c r="S458" s="67"/>
      <c r="T458" s="67"/>
      <c r="U458" s="66"/>
      <c r="V458" s="66"/>
      <c r="W458" s="66"/>
      <c r="X458" s="85"/>
      <c r="AP458" t="str">
        <v/>
      </c>
    </row>
    <row r="459" spans="4:42" ht="15.75" x14ac:dyDescent="0.25">
      <c r="D459" s="3">
        <v>1</v>
      </c>
      <c r="F459" s="16" t="str" cm="1">
        <f t="array" ref="F4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9" s="31" cm="1">
        <f t="array" ref="G4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9" s="33" t="str">
        <f>_xlfn.IFNA(IF(MOD(HLG_03[[#This Row],[Rit]],
    _xlfn.XLOOKUP($G$2,Int_Sample[Ore],Int_Sample[Inc])) = 0, "YES", "NO"),"")</f>
        <v/>
      </c>
      <c r="I459" s="32" t="str">
        <f>TEXT(HLG_03[[#This Row],[Batch]],"000")&amp; " / " &amp; TEXT(HLG_03[[#This Row],[Rit]],"000")</f>
        <v>N/A / 000</v>
      </c>
      <c r="J459" s="34"/>
      <c r="K459" s="38"/>
      <c r="L459" s="35"/>
      <c r="M459" s="66"/>
      <c r="N459" s="66"/>
      <c r="O459" s="66"/>
      <c r="P459" s="66"/>
      <c r="Q459" s="66"/>
      <c r="R459" s="67"/>
      <c r="S459" s="67"/>
      <c r="T459" s="67"/>
      <c r="U459" s="66"/>
      <c r="V459" s="66"/>
      <c r="W459" s="66"/>
      <c r="X459" s="85"/>
      <c r="AP459" t="str">
        <v/>
      </c>
    </row>
    <row r="460" spans="4:42" ht="15.75" x14ac:dyDescent="0.25">
      <c r="D460" s="3">
        <v>1</v>
      </c>
      <c r="F460" s="16" t="str" cm="1">
        <f t="array" ref="F4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0" s="31" cm="1">
        <f t="array" ref="G4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0" s="33" t="str">
        <f>_xlfn.IFNA(IF(MOD(HLG_03[[#This Row],[Rit]],
    _xlfn.XLOOKUP($G$2,Int_Sample[Ore],Int_Sample[Inc])) = 0, "YES", "NO"),"")</f>
        <v/>
      </c>
      <c r="I460" s="32" t="str">
        <f>TEXT(HLG_03[[#This Row],[Batch]],"000")&amp; " / " &amp; TEXT(HLG_03[[#This Row],[Rit]],"000")</f>
        <v>N/A / 000</v>
      </c>
      <c r="J460" s="34"/>
      <c r="K460" s="38"/>
      <c r="L460" s="35"/>
      <c r="M460" s="66"/>
      <c r="N460" s="66"/>
      <c r="O460" s="66"/>
      <c r="P460" s="66"/>
      <c r="Q460" s="66"/>
      <c r="R460" s="67"/>
      <c r="S460" s="67"/>
      <c r="T460" s="67"/>
      <c r="U460" s="66"/>
      <c r="V460" s="66"/>
      <c r="W460" s="66"/>
      <c r="X460" s="85"/>
      <c r="AP460" t="str">
        <v/>
      </c>
    </row>
    <row r="461" spans="4:42" ht="15.75" x14ac:dyDescent="0.25">
      <c r="D461" s="3">
        <v>1</v>
      </c>
      <c r="F461" s="16" t="str" cm="1">
        <f t="array" ref="F4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1" s="31" cm="1">
        <f t="array" ref="G4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1" s="33" t="str">
        <f>_xlfn.IFNA(IF(MOD(HLG_03[[#This Row],[Rit]],
    _xlfn.XLOOKUP($G$2,Int_Sample[Ore],Int_Sample[Inc])) = 0, "YES", "NO"),"")</f>
        <v/>
      </c>
      <c r="I461" s="32" t="str">
        <f>TEXT(HLG_03[[#This Row],[Batch]],"000")&amp; " / " &amp; TEXT(HLG_03[[#This Row],[Rit]],"000")</f>
        <v>N/A / 000</v>
      </c>
      <c r="J461" s="34"/>
      <c r="K461" s="38"/>
      <c r="L461" s="35"/>
      <c r="M461" s="66"/>
      <c r="N461" s="66"/>
      <c r="O461" s="66"/>
      <c r="P461" s="66"/>
      <c r="Q461" s="66"/>
      <c r="R461" s="67"/>
      <c r="S461" s="67"/>
      <c r="T461" s="67"/>
      <c r="U461" s="66"/>
      <c r="V461" s="66"/>
      <c r="W461" s="66"/>
      <c r="X461" s="85"/>
      <c r="AP461" t="str">
        <v/>
      </c>
    </row>
    <row r="462" spans="4:42" ht="15.75" x14ac:dyDescent="0.25">
      <c r="D462" s="3">
        <v>1</v>
      </c>
      <c r="F462" s="16" t="str" cm="1">
        <f t="array" ref="F4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2" s="31" cm="1">
        <f t="array" ref="G4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2" s="33" t="str">
        <f>_xlfn.IFNA(IF(MOD(HLG_03[[#This Row],[Rit]],
    _xlfn.XLOOKUP($G$2,Int_Sample[Ore],Int_Sample[Inc])) = 0, "YES", "NO"),"")</f>
        <v/>
      </c>
      <c r="I462" s="32" t="str">
        <f>TEXT(HLG_03[[#This Row],[Batch]],"000")&amp; " / " &amp; TEXT(HLG_03[[#This Row],[Rit]],"000")</f>
        <v>N/A / 000</v>
      </c>
      <c r="J462" s="34"/>
      <c r="K462" s="38"/>
      <c r="L462" s="35"/>
      <c r="M462" s="66"/>
      <c r="N462" s="66"/>
      <c r="O462" s="66"/>
      <c r="P462" s="66"/>
      <c r="Q462" s="66"/>
      <c r="R462" s="67"/>
      <c r="S462" s="67"/>
      <c r="T462" s="67"/>
      <c r="U462" s="66"/>
      <c r="V462" s="66"/>
      <c r="W462" s="66"/>
      <c r="X462" s="85"/>
      <c r="AP462" t="str">
        <v/>
      </c>
    </row>
    <row r="463" spans="4:42" ht="15.75" x14ac:dyDescent="0.25">
      <c r="D463" s="3">
        <v>1</v>
      </c>
      <c r="F463" s="16" t="str" cm="1">
        <f t="array" ref="F4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3" s="31" cm="1">
        <f t="array" ref="G4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3" s="33" t="str">
        <f>_xlfn.IFNA(IF(MOD(HLG_03[[#This Row],[Rit]],
    _xlfn.XLOOKUP($G$2,Int_Sample[Ore],Int_Sample[Inc])) = 0, "YES", "NO"),"")</f>
        <v/>
      </c>
      <c r="I463" s="32" t="str">
        <f>TEXT(HLG_03[[#This Row],[Batch]],"000")&amp; " / " &amp; TEXT(HLG_03[[#This Row],[Rit]],"000")</f>
        <v>N/A / 000</v>
      </c>
      <c r="J463" s="34"/>
      <c r="K463" s="38"/>
      <c r="L463" s="35"/>
      <c r="M463" s="66"/>
      <c r="N463" s="66"/>
      <c r="O463" s="66"/>
      <c r="P463" s="66"/>
      <c r="Q463" s="66"/>
      <c r="R463" s="67"/>
      <c r="S463" s="67"/>
      <c r="T463" s="67"/>
      <c r="U463" s="66"/>
      <c r="V463" s="66"/>
      <c r="W463" s="66"/>
      <c r="X463" s="85"/>
      <c r="AP463" t="str">
        <v/>
      </c>
    </row>
    <row r="464" spans="4:42" ht="15.75" x14ac:dyDescent="0.25">
      <c r="D464" s="3">
        <v>1</v>
      </c>
      <c r="F464" s="16" t="str" cm="1">
        <f t="array" ref="F4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4" s="31" cm="1">
        <f t="array" ref="G4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4" s="33" t="str">
        <f>_xlfn.IFNA(IF(MOD(HLG_03[[#This Row],[Rit]],
    _xlfn.XLOOKUP($G$2,Int_Sample[Ore],Int_Sample[Inc])) = 0, "YES", "NO"),"")</f>
        <v/>
      </c>
      <c r="I464" s="32" t="str">
        <f>TEXT(HLG_03[[#This Row],[Batch]],"000")&amp; " / " &amp; TEXT(HLG_03[[#This Row],[Rit]],"000")</f>
        <v>N/A / 000</v>
      </c>
      <c r="J464" s="34"/>
      <c r="K464" s="38"/>
      <c r="L464" s="35"/>
      <c r="M464" s="66"/>
      <c r="N464" s="66"/>
      <c r="O464" s="66"/>
      <c r="P464" s="66"/>
      <c r="Q464" s="66"/>
      <c r="R464" s="67"/>
      <c r="S464" s="67"/>
      <c r="T464" s="67"/>
      <c r="U464" s="66"/>
      <c r="V464" s="66"/>
      <c r="W464" s="66"/>
      <c r="X464" s="85"/>
      <c r="AP464" t="str">
        <v/>
      </c>
    </row>
    <row r="465" spans="4:42" ht="15.75" x14ac:dyDescent="0.25">
      <c r="D465" s="3">
        <v>1</v>
      </c>
      <c r="F465" s="16" t="str" cm="1">
        <f t="array" ref="F4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5" s="31" cm="1">
        <f t="array" ref="G4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5" s="33" t="str">
        <f>_xlfn.IFNA(IF(MOD(HLG_03[[#This Row],[Rit]],
    _xlfn.XLOOKUP($G$2,Int_Sample[Ore],Int_Sample[Inc])) = 0, "YES", "NO"),"")</f>
        <v/>
      </c>
      <c r="I465" s="32" t="str">
        <f>TEXT(HLG_03[[#This Row],[Batch]],"000")&amp; " / " &amp; TEXT(HLG_03[[#This Row],[Rit]],"000")</f>
        <v>N/A / 000</v>
      </c>
      <c r="J465" s="34"/>
      <c r="K465" s="38"/>
      <c r="L465" s="35"/>
      <c r="M465" s="66"/>
      <c r="N465" s="66"/>
      <c r="O465" s="66"/>
      <c r="P465" s="66"/>
      <c r="Q465" s="66"/>
      <c r="R465" s="67"/>
      <c r="S465" s="67"/>
      <c r="T465" s="67"/>
      <c r="U465" s="66"/>
      <c r="V465" s="66"/>
      <c r="W465" s="66"/>
      <c r="X465" s="85"/>
      <c r="AP465" t="str">
        <v/>
      </c>
    </row>
    <row r="466" spans="4:42" ht="15.75" x14ac:dyDescent="0.25">
      <c r="D466" s="3">
        <v>1</v>
      </c>
      <c r="F466" s="16" t="str" cm="1">
        <f t="array" ref="F4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6" s="31" cm="1">
        <f t="array" ref="G4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6" s="33" t="str">
        <f>_xlfn.IFNA(IF(MOD(HLG_03[[#This Row],[Rit]],
    _xlfn.XLOOKUP($G$2,Int_Sample[Ore],Int_Sample[Inc])) = 0, "YES", "NO"),"")</f>
        <v/>
      </c>
      <c r="I466" s="32" t="str">
        <f>TEXT(HLG_03[[#This Row],[Batch]],"000")&amp; " / " &amp; TEXT(HLG_03[[#This Row],[Rit]],"000")</f>
        <v>N/A / 000</v>
      </c>
      <c r="J466" s="34"/>
      <c r="K466" s="38"/>
      <c r="L466" s="35"/>
      <c r="M466" s="66"/>
      <c r="N466" s="66"/>
      <c r="O466" s="66"/>
      <c r="P466" s="66"/>
      <c r="Q466" s="66"/>
      <c r="R466" s="67"/>
      <c r="S466" s="67"/>
      <c r="T466" s="67"/>
      <c r="U466" s="66"/>
      <c r="V466" s="66"/>
      <c r="W466" s="66"/>
      <c r="X466" s="85"/>
      <c r="AP466" t="str">
        <v/>
      </c>
    </row>
    <row r="467" spans="4:42" ht="15.75" x14ac:dyDescent="0.25">
      <c r="D467" s="3">
        <v>1</v>
      </c>
      <c r="F467" s="16" t="str" cm="1">
        <f t="array" ref="F4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7" s="31" cm="1">
        <f t="array" ref="G4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7" s="33" t="str">
        <f>_xlfn.IFNA(IF(MOD(HLG_03[[#This Row],[Rit]],
    _xlfn.XLOOKUP($G$2,Int_Sample[Ore],Int_Sample[Inc])) = 0, "YES", "NO"),"")</f>
        <v/>
      </c>
      <c r="I467" s="32" t="str">
        <f>TEXT(HLG_03[[#This Row],[Batch]],"000")&amp; " / " &amp; TEXT(HLG_03[[#This Row],[Rit]],"000")</f>
        <v>N/A / 000</v>
      </c>
      <c r="J467" s="34"/>
      <c r="K467" s="38"/>
      <c r="L467" s="35"/>
      <c r="M467" s="66"/>
      <c r="N467" s="66"/>
      <c r="O467" s="66"/>
      <c r="P467" s="66"/>
      <c r="Q467" s="66"/>
      <c r="R467" s="67"/>
      <c r="S467" s="67"/>
      <c r="T467" s="67"/>
      <c r="U467" s="66"/>
      <c r="V467" s="66"/>
      <c r="W467" s="66"/>
      <c r="X467" s="85"/>
      <c r="AP467" t="str">
        <v/>
      </c>
    </row>
    <row r="468" spans="4:42" ht="15.75" x14ac:dyDescent="0.25">
      <c r="D468" s="3">
        <v>1</v>
      </c>
      <c r="F468" s="16" t="str" cm="1">
        <f t="array" ref="F4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8" s="31" cm="1">
        <f t="array" ref="G4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8" s="33" t="str">
        <f>_xlfn.IFNA(IF(MOD(HLG_03[[#This Row],[Rit]],
    _xlfn.XLOOKUP($G$2,Int_Sample[Ore],Int_Sample[Inc])) = 0, "YES", "NO"),"")</f>
        <v/>
      </c>
      <c r="I468" s="32" t="str">
        <f>TEXT(HLG_03[[#This Row],[Batch]],"000")&amp; " / " &amp; TEXT(HLG_03[[#This Row],[Rit]],"000")</f>
        <v>N/A / 000</v>
      </c>
      <c r="J468" s="34"/>
      <c r="K468" s="38"/>
      <c r="L468" s="35"/>
      <c r="M468" s="66"/>
      <c r="N468" s="66"/>
      <c r="O468" s="66"/>
      <c r="P468" s="66"/>
      <c r="Q468" s="66"/>
      <c r="R468" s="67"/>
      <c r="S468" s="67"/>
      <c r="T468" s="67"/>
      <c r="U468" s="66"/>
      <c r="V468" s="66"/>
      <c r="W468" s="66"/>
      <c r="X468" s="85"/>
      <c r="AP468" t="str">
        <v/>
      </c>
    </row>
    <row r="469" spans="4:42" ht="15.75" x14ac:dyDescent="0.25">
      <c r="D469" s="3">
        <v>1</v>
      </c>
      <c r="F469" s="16" t="str" cm="1">
        <f t="array" ref="F4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9" s="31" cm="1">
        <f t="array" ref="G4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9" s="33" t="str">
        <f>_xlfn.IFNA(IF(MOD(HLG_03[[#This Row],[Rit]],
    _xlfn.XLOOKUP($G$2,Int_Sample[Ore],Int_Sample[Inc])) = 0, "YES", "NO"),"")</f>
        <v/>
      </c>
      <c r="I469" s="32" t="str">
        <f>TEXT(HLG_03[[#This Row],[Batch]],"000")&amp; " / " &amp; TEXT(HLG_03[[#This Row],[Rit]],"000")</f>
        <v>N/A / 000</v>
      </c>
      <c r="J469" s="34"/>
      <c r="K469" s="38"/>
      <c r="L469" s="35"/>
      <c r="M469" s="66"/>
      <c r="N469" s="66"/>
      <c r="O469" s="66"/>
      <c r="P469" s="66"/>
      <c r="Q469" s="66"/>
      <c r="R469" s="67"/>
      <c r="S469" s="67"/>
      <c r="T469" s="67"/>
      <c r="U469" s="66"/>
      <c r="V469" s="66"/>
      <c r="W469" s="66"/>
      <c r="X469" s="85"/>
      <c r="AP469" t="str">
        <v/>
      </c>
    </row>
    <row r="470" spans="4:42" ht="15.75" x14ac:dyDescent="0.25">
      <c r="D470" s="3">
        <v>1</v>
      </c>
      <c r="F470" s="16" t="str" cm="1">
        <f t="array" ref="F4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0" s="31" cm="1">
        <f t="array" ref="G4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0" s="33" t="str">
        <f>_xlfn.IFNA(IF(MOD(HLG_03[[#This Row],[Rit]],
    _xlfn.XLOOKUP($G$2,Int_Sample[Ore],Int_Sample[Inc])) = 0, "YES", "NO"),"")</f>
        <v/>
      </c>
      <c r="I470" s="32" t="str">
        <f>TEXT(HLG_03[[#This Row],[Batch]],"000")&amp; " / " &amp; TEXT(HLG_03[[#This Row],[Rit]],"000")</f>
        <v>N/A / 000</v>
      </c>
      <c r="J470" s="34"/>
      <c r="K470" s="38"/>
      <c r="L470" s="35"/>
      <c r="M470" s="66"/>
      <c r="N470" s="66"/>
      <c r="O470" s="66"/>
      <c r="P470" s="66"/>
      <c r="Q470" s="66"/>
      <c r="R470" s="67"/>
      <c r="S470" s="67"/>
      <c r="T470" s="67"/>
      <c r="U470" s="66"/>
      <c r="V470" s="66"/>
      <c r="W470" s="66"/>
      <c r="X470" s="85"/>
      <c r="AP470" t="str">
        <v/>
      </c>
    </row>
    <row r="471" spans="4:42" ht="15.75" x14ac:dyDescent="0.25">
      <c r="D471" s="3">
        <v>1</v>
      </c>
      <c r="F471" s="16" t="str" cm="1">
        <f t="array" ref="F4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1" s="31" cm="1">
        <f t="array" ref="G4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1" s="33" t="str">
        <f>_xlfn.IFNA(IF(MOD(HLG_03[[#This Row],[Rit]],
    _xlfn.XLOOKUP($G$2,Int_Sample[Ore],Int_Sample[Inc])) = 0, "YES", "NO"),"")</f>
        <v/>
      </c>
      <c r="I471" s="32" t="str">
        <f>TEXT(HLG_03[[#This Row],[Batch]],"000")&amp; " / " &amp; TEXT(HLG_03[[#This Row],[Rit]],"000")</f>
        <v>N/A / 000</v>
      </c>
      <c r="J471" s="34"/>
      <c r="K471" s="38"/>
      <c r="L471" s="35"/>
      <c r="M471" s="66"/>
      <c r="N471" s="66"/>
      <c r="O471" s="66"/>
      <c r="P471" s="66"/>
      <c r="Q471" s="66"/>
      <c r="R471" s="67"/>
      <c r="S471" s="67"/>
      <c r="T471" s="67"/>
      <c r="U471" s="66"/>
      <c r="V471" s="66"/>
      <c r="W471" s="66"/>
      <c r="X471" s="85"/>
      <c r="AP471" t="str">
        <v/>
      </c>
    </row>
    <row r="472" spans="4:42" ht="15.75" x14ac:dyDescent="0.25">
      <c r="D472" s="3">
        <v>1</v>
      </c>
      <c r="F472" s="16" t="str" cm="1">
        <f t="array" ref="F4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2" s="31" cm="1">
        <f t="array" ref="G4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2" s="33" t="str">
        <f>_xlfn.IFNA(IF(MOD(HLG_03[[#This Row],[Rit]],
    _xlfn.XLOOKUP($G$2,Int_Sample[Ore],Int_Sample[Inc])) = 0, "YES", "NO"),"")</f>
        <v/>
      </c>
      <c r="I472" s="32" t="str">
        <f>TEXT(HLG_03[[#This Row],[Batch]],"000")&amp; " / " &amp; TEXT(HLG_03[[#This Row],[Rit]],"000")</f>
        <v>N/A / 000</v>
      </c>
      <c r="J472" s="34"/>
      <c r="K472" s="38"/>
      <c r="L472" s="35"/>
      <c r="M472" s="66"/>
      <c r="N472" s="66"/>
      <c r="O472" s="66"/>
      <c r="P472" s="66"/>
      <c r="Q472" s="66"/>
      <c r="R472" s="67"/>
      <c r="S472" s="67"/>
      <c r="T472" s="67"/>
      <c r="U472" s="66"/>
      <c r="V472" s="66"/>
      <c r="W472" s="66"/>
      <c r="X472" s="85"/>
      <c r="AP472" t="str">
        <v/>
      </c>
    </row>
    <row r="473" spans="4:42" ht="15.75" x14ac:dyDescent="0.25">
      <c r="D473" s="3">
        <v>1</v>
      </c>
      <c r="F473" s="16" t="str" cm="1">
        <f t="array" ref="F4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3" s="31" cm="1">
        <f t="array" ref="G4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3" s="33" t="str">
        <f>_xlfn.IFNA(IF(MOD(HLG_03[[#This Row],[Rit]],
    _xlfn.XLOOKUP($G$2,Int_Sample[Ore],Int_Sample[Inc])) = 0, "YES", "NO"),"")</f>
        <v/>
      </c>
      <c r="I473" s="32" t="str">
        <f>TEXT(HLG_03[[#This Row],[Batch]],"000")&amp; " / " &amp; TEXT(HLG_03[[#This Row],[Rit]],"000")</f>
        <v>N/A / 000</v>
      </c>
      <c r="J473" s="34"/>
      <c r="K473" s="38"/>
      <c r="L473" s="35"/>
      <c r="M473" s="66"/>
      <c r="N473" s="66"/>
      <c r="O473" s="66"/>
      <c r="P473" s="66"/>
      <c r="Q473" s="66"/>
      <c r="R473" s="67"/>
      <c r="S473" s="67"/>
      <c r="T473" s="67"/>
      <c r="U473" s="66"/>
      <c r="V473" s="66"/>
      <c r="W473" s="66"/>
      <c r="X473" s="85"/>
      <c r="AP473" t="str">
        <v/>
      </c>
    </row>
    <row r="474" spans="4:42" ht="15.75" x14ac:dyDescent="0.25">
      <c r="D474" s="3">
        <v>1</v>
      </c>
      <c r="F474" s="16" t="str" cm="1">
        <f t="array" ref="F4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4" s="31" cm="1">
        <f t="array" ref="G4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4" s="33" t="str">
        <f>_xlfn.IFNA(IF(MOD(HLG_03[[#This Row],[Rit]],
    _xlfn.XLOOKUP($G$2,Int_Sample[Ore],Int_Sample[Inc])) = 0, "YES", "NO"),"")</f>
        <v/>
      </c>
      <c r="I474" s="32" t="str">
        <f>TEXT(HLG_03[[#This Row],[Batch]],"000")&amp; " / " &amp; TEXT(HLG_03[[#This Row],[Rit]],"000")</f>
        <v>N/A / 000</v>
      </c>
      <c r="J474" s="34"/>
      <c r="K474" s="38"/>
      <c r="L474" s="35"/>
      <c r="M474" s="66"/>
      <c r="N474" s="66"/>
      <c r="O474" s="66"/>
      <c r="P474" s="66"/>
      <c r="Q474" s="66"/>
      <c r="R474" s="67"/>
      <c r="S474" s="67"/>
      <c r="T474" s="67"/>
      <c r="U474" s="66"/>
      <c r="V474" s="66"/>
      <c r="W474" s="66"/>
      <c r="X474" s="85"/>
      <c r="AP474" t="str">
        <v/>
      </c>
    </row>
    <row r="475" spans="4:42" ht="15.75" x14ac:dyDescent="0.25">
      <c r="D475" s="3">
        <v>1</v>
      </c>
      <c r="F475" s="16" t="str" cm="1">
        <f t="array" ref="F4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5" s="31" cm="1">
        <f t="array" ref="G4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5" s="33" t="str">
        <f>_xlfn.IFNA(IF(MOD(HLG_03[[#This Row],[Rit]],
    _xlfn.XLOOKUP($G$2,Int_Sample[Ore],Int_Sample[Inc])) = 0, "YES", "NO"),"")</f>
        <v/>
      </c>
      <c r="I475" s="32" t="str">
        <f>TEXT(HLG_03[[#This Row],[Batch]],"000")&amp; " / " &amp; TEXT(HLG_03[[#This Row],[Rit]],"000")</f>
        <v>N/A / 000</v>
      </c>
      <c r="J475" s="34"/>
      <c r="K475" s="38"/>
      <c r="L475" s="35"/>
      <c r="M475" s="66"/>
      <c r="N475" s="66"/>
      <c r="O475" s="66"/>
      <c r="P475" s="66"/>
      <c r="Q475" s="66"/>
      <c r="R475" s="67"/>
      <c r="S475" s="67"/>
      <c r="T475" s="67"/>
      <c r="U475" s="66"/>
      <c r="V475" s="66"/>
      <c r="W475" s="66"/>
      <c r="X475" s="85"/>
      <c r="AP475" t="str">
        <v/>
      </c>
    </row>
    <row r="476" spans="4:42" ht="15.75" x14ac:dyDescent="0.25">
      <c r="D476" s="3">
        <v>1</v>
      </c>
      <c r="F476" s="16" t="str" cm="1">
        <f t="array" ref="F4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6" s="31" cm="1">
        <f t="array" ref="G4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6" s="33" t="str">
        <f>_xlfn.IFNA(IF(MOD(HLG_03[[#This Row],[Rit]],
    _xlfn.XLOOKUP($G$2,Int_Sample[Ore],Int_Sample[Inc])) = 0, "YES", "NO"),"")</f>
        <v/>
      </c>
      <c r="I476" s="32" t="str">
        <f>TEXT(HLG_03[[#This Row],[Batch]],"000")&amp; " / " &amp; TEXT(HLG_03[[#This Row],[Rit]],"000")</f>
        <v>N/A / 000</v>
      </c>
      <c r="J476" s="34"/>
      <c r="K476" s="38"/>
      <c r="L476" s="35"/>
      <c r="M476" s="66"/>
      <c r="N476" s="66"/>
      <c r="O476" s="66"/>
      <c r="P476" s="66"/>
      <c r="Q476" s="66"/>
      <c r="R476" s="67"/>
      <c r="S476" s="67"/>
      <c r="T476" s="67"/>
      <c r="U476" s="66"/>
      <c r="V476" s="66"/>
      <c r="W476" s="66"/>
      <c r="X476" s="85"/>
      <c r="AP476" t="str">
        <v/>
      </c>
    </row>
    <row r="477" spans="4:42" ht="15.75" x14ac:dyDescent="0.25">
      <c r="D477" s="3">
        <v>1</v>
      </c>
      <c r="F477" s="16" t="str" cm="1">
        <f t="array" ref="F4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7" s="31" cm="1">
        <f t="array" ref="G4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7" s="33" t="str">
        <f>_xlfn.IFNA(IF(MOD(HLG_03[[#This Row],[Rit]],
    _xlfn.XLOOKUP($G$2,Int_Sample[Ore],Int_Sample[Inc])) = 0, "YES", "NO"),"")</f>
        <v/>
      </c>
      <c r="I477" s="32" t="str">
        <f>TEXT(HLG_03[[#This Row],[Batch]],"000")&amp; " / " &amp; TEXT(HLG_03[[#This Row],[Rit]],"000")</f>
        <v>N/A / 000</v>
      </c>
      <c r="J477" s="34"/>
      <c r="K477" s="38"/>
      <c r="L477" s="35"/>
      <c r="M477" s="66"/>
      <c r="N477" s="66"/>
      <c r="O477" s="66"/>
      <c r="P477" s="66"/>
      <c r="Q477" s="66"/>
      <c r="R477" s="67"/>
      <c r="S477" s="67"/>
      <c r="T477" s="67"/>
      <c r="U477" s="66"/>
      <c r="V477" s="66"/>
      <c r="W477" s="66"/>
      <c r="X477" s="85"/>
      <c r="AP477" t="str">
        <v/>
      </c>
    </row>
    <row r="478" spans="4:42" ht="15.75" x14ac:dyDescent="0.25">
      <c r="D478" s="3">
        <v>1</v>
      </c>
      <c r="F478" s="16" t="str" cm="1">
        <f t="array" ref="F4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8" s="31" cm="1">
        <f t="array" ref="G4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8" s="33" t="str">
        <f>_xlfn.IFNA(IF(MOD(HLG_03[[#This Row],[Rit]],
    _xlfn.XLOOKUP($G$2,Int_Sample[Ore],Int_Sample[Inc])) = 0, "YES", "NO"),"")</f>
        <v/>
      </c>
      <c r="I478" s="32" t="str">
        <f>TEXT(HLG_03[[#This Row],[Batch]],"000")&amp; " / " &amp; TEXT(HLG_03[[#This Row],[Rit]],"000")</f>
        <v>N/A / 000</v>
      </c>
      <c r="J478" s="34"/>
      <c r="K478" s="38"/>
      <c r="L478" s="35"/>
      <c r="M478" s="66"/>
      <c r="N478" s="66"/>
      <c r="O478" s="66"/>
      <c r="P478" s="66"/>
      <c r="Q478" s="66"/>
      <c r="R478" s="67"/>
      <c r="S478" s="67"/>
      <c r="T478" s="67"/>
      <c r="U478" s="66"/>
      <c r="V478" s="66"/>
      <c r="W478" s="66"/>
      <c r="X478" s="85"/>
      <c r="AP478" t="str">
        <v/>
      </c>
    </row>
    <row r="479" spans="4:42" ht="15.75" x14ac:dyDescent="0.25">
      <c r="D479" s="3">
        <v>1</v>
      </c>
      <c r="F479" s="16" t="str" cm="1">
        <f t="array" ref="F4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9" s="31" cm="1">
        <f t="array" ref="G4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9" s="33" t="str">
        <f>_xlfn.IFNA(IF(MOD(HLG_03[[#This Row],[Rit]],
    _xlfn.XLOOKUP($G$2,Int_Sample[Ore],Int_Sample[Inc])) = 0, "YES", "NO"),"")</f>
        <v/>
      </c>
      <c r="I479" s="32" t="str">
        <f>TEXT(HLG_03[[#This Row],[Batch]],"000")&amp; " / " &amp; TEXT(HLG_03[[#This Row],[Rit]],"000")</f>
        <v>N/A / 000</v>
      </c>
      <c r="J479" s="34"/>
      <c r="K479" s="38"/>
      <c r="L479" s="35"/>
      <c r="M479" s="66"/>
      <c r="N479" s="66"/>
      <c r="O479" s="66"/>
      <c r="P479" s="66"/>
      <c r="Q479" s="66"/>
      <c r="R479" s="67"/>
      <c r="S479" s="67"/>
      <c r="T479" s="67"/>
      <c r="U479" s="66"/>
      <c r="V479" s="66"/>
      <c r="W479" s="66"/>
      <c r="X479" s="85"/>
      <c r="AP479" t="str">
        <v/>
      </c>
    </row>
    <row r="480" spans="4:42" ht="15.75" x14ac:dyDescent="0.25">
      <c r="D480" s="3">
        <v>1</v>
      </c>
      <c r="F480" s="16" t="str" cm="1">
        <f t="array" ref="F4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0" s="31" cm="1">
        <f t="array" ref="G4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0" s="33" t="str">
        <f>_xlfn.IFNA(IF(MOD(HLG_03[[#This Row],[Rit]],
    _xlfn.XLOOKUP($G$2,Int_Sample[Ore],Int_Sample[Inc])) = 0, "YES", "NO"),"")</f>
        <v/>
      </c>
      <c r="I480" s="32" t="str">
        <f>TEXT(HLG_03[[#This Row],[Batch]],"000")&amp; " / " &amp; TEXT(HLG_03[[#This Row],[Rit]],"000")</f>
        <v>N/A / 000</v>
      </c>
      <c r="J480" s="34"/>
      <c r="K480" s="38"/>
      <c r="L480" s="35"/>
      <c r="M480" s="66"/>
      <c r="N480" s="66"/>
      <c r="O480" s="66"/>
      <c r="P480" s="66"/>
      <c r="Q480" s="66"/>
      <c r="R480" s="67"/>
      <c r="S480" s="67"/>
      <c r="T480" s="67"/>
      <c r="U480" s="66"/>
      <c r="V480" s="66"/>
      <c r="W480" s="66"/>
      <c r="X480" s="85"/>
      <c r="AP480" t="str">
        <v/>
      </c>
    </row>
    <row r="481" spans="4:42" ht="15.75" x14ac:dyDescent="0.25">
      <c r="D481" s="3">
        <v>1</v>
      </c>
      <c r="F481" s="16" t="str" cm="1">
        <f t="array" ref="F4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1" s="31" cm="1">
        <f t="array" ref="G4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1" s="33" t="str">
        <f>_xlfn.IFNA(IF(MOD(HLG_03[[#This Row],[Rit]],
    _xlfn.XLOOKUP($G$2,Int_Sample[Ore],Int_Sample[Inc])) = 0, "YES", "NO"),"")</f>
        <v/>
      </c>
      <c r="I481" s="32" t="str">
        <f>TEXT(HLG_03[[#This Row],[Batch]],"000")&amp; " / " &amp; TEXT(HLG_03[[#This Row],[Rit]],"000")</f>
        <v>N/A / 000</v>
      </c>
      <c r="J481" s="34"/>
      <c r="K481" s="38"/>
      <c r="L481" s="35"/>
      <c r="M481" s="66"/>
      <c r="N481" s="66"/>
      <c r="O481" s="66"/>
      <c r="P481" s="66"/>
      <c r="Q481" s="66"/>
      <c r="R481" s="67"/>
      <c r="S481" s="67"/>
      <c r="T481" s="67"/>
      <c r="U481" s="66"/>
      <c r="V481" s="66"/>
      <c r="W481" s="66"/>
      <c r="X481" s="85"/>
      <c r="AP481" t="str">
        <v/>
      </c>
    </row>
    <row r="482" spans="4:42" ht="15.75" x14ac:dyDescent="0.25">
      <c r="D482" s="3">
        <v>1</v>
      </c>
      <c r="F482" s="16" t="str" cm="1">
        <f t="array" ref="F4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2" s="31" cm="1">
        <f t="array" ref="G4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2" s="33" t="str">
        <f>_xlfn.IFNA(IF(MOD(HLG_03[[#This Row],[Rit]],
    _xlfn.XLOOKUP($G$2,Int_Sample[Ore],Int_Sample[Inc])) = 0, "YES", "NO"),"")</f>
        <v/>
      </c>
      <c r="I482" s="32" t="str">
        <f>TEXT(HLG_03[[#This Row],[Batch]],"000")&amp; " / " &amp; TEXT(HLG_03[[#This Row],[Rit]],"000")</f>
        <v>N/A / 000</v>
      </c>
      <c r="J482" s="34"/>
      <c r="K482" s="38"/>
      <c r="L482" s="35"/>
      <c r="M482" s="66"/>
      <c r="N482" s="66"/>
      <c r="O482" s="66"/>
      <c r="P482" s="66"/>
      <c r="Q482" s="66"/>
      <c r="R482" s="67"/>
      <c r="S482" s="67"/>
      <c r="T482" s="67"/>
      <c r="U482" s="66"/>
      <c r="V482" s="66"/>
      <c r="W482" s="66"/>
      <c r="X482" s="85"/>
      <c r="AP482" t="str">
        <v/>
      </c>
    </row>
    <row r="483" spans="4:42" ht="15.75" x14ac:dyDescent="0.25">
      <c r="D483" s="3">
        <v>1</v>
      </c>
      <c r="F483" s="16" t="str" cm="1">
        <f t="array" ref="F4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3" s="31" cm="1">
        <f t="array" ref="G4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3" s="33" t="str">
        <f>_xlfn.IFNA(IF(MOD(HLG_03[[#This Row],[Rit]],
    _xlfn.XLOOKUP($G$2,Int_Sample[Ore],Int_Sample[Inc])) = 0, "YES", "NO"),"")</f>
        <v/>
      </c>
      <c r="I483" s="32" t="str">
        <f>TEXT(HLG_03[[#This Row],[Batch]],"000")&amp; " / " &amp; TEXT(HLG_03[[#This Row],[Rit]],"000")</f>
        <v>N/A / 000</v>
      </c>
      <c r="J483" s="34"/>
      <c r="K483" s="38"/>
      <c r="L483" s="35"/>
      <c r="M483" s="66"/>
      <c r="N483" s="66"/>
      <c r="O483" s="66"/>
      <c r="P483" s="66"/>
      <c r="Q483" s="66"/>
      <c r="R483" s="67"/>
      <c r="S483" s="67"/>
      <c r="T483" s="67"/>
      <c r="U483" s="66"/>
      <c r="V483" s="66"/>
      <c r="W483" s="66"/>
      <c r="X483" s="85"/>
      <c r="AP483" t="str">
        <v/>
      </c>
    </row>
    <row r="484" spans="4:42" ht="15.75" x14ac:dyDescent="0.25">
      <c r="D484" s="3">
        <v>1</v>
      </c>
      <c r="F484" s="16" t="str" cm="1">
        <f t="array" ref="F4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4" s="31" cm="1">
        <f t="array" ref="G4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4" s="33" t="str">
        <f>_xlfn.IFNA(IF(MOD(HLG_03[[#This Row],[Rit]],
    _xlfn.XLOOKUP($G$2,Int_Sample[Ore],Int_Sample[Inc])) = 0, "YES", "NO"),"")</f>
        <v/>
      </c>
      <c r="I484" s="32" t="str">
        <f>TEXT(HLG_03[[#This Row],[Batch]],"000")&amp; " / " &amp; TEXT(HLG_03[[#This Row],[Rit]],"000")</f>
        <v>N/A / 000</v>
      </c>
      <c r="J484" s="34"/>
      <c r="K484" s="38"/>
      <c r="L484" s="35"/>
      <c r="M484" s="66"/>
      <c r="N484" s="66"/>
      <c r="O484" s="66"/>
      <c r="P484" s="66"/>
      <c r="Q484" s="66"/>
      <c r="R484" s="67"/>
      <c r="S484" s="67"/>
      <c r="T484" s="67"/>
      <c r="U484" s="66"/>
      <c r="V484" s="66"/>
      <c r="W484" s="66"/>
      <c r="X484" s="85"/>
      <c r="AP484" t="str">
        <v/>
      </c>
    </row>
    <row r="485" spans="4:42" ht="15.75" x14ac:dyDescent="0.25">
      <c r="D485" s="3">
        <v>1</v>
      </c>
      <c r="F485" s="16" t="str" cm="1">
        <f t="array" ref="F4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5" s="31" cm="1">
        <f t="array" ref="G4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5" s="33" t="str">
        <f>_xlfn.IFNA(IF(MOD(HLG_03[[#This Row],[Rit]],
    _xlfn.XLOOKUP($G$2,Int_Sample[Ore],Int_Sample[Inc])) = 0, "YES", "NO"),"")</f>
        <v/>
      </c>
      <c r="I485" s="32" t="str">
        <f>TEXT(HLG_03[[#This Row],[Batch]],"000")&amp; " / " &amp; TEXT(HLG_03[[#This Row],[Rit]],"000")</f>
        <v>N/A / 000</v>
      </c>
      <c r="J485" s="34"/>
      <c r="K485" s="38"/>
      <c r="L485" s="35"/>
      <c r="M485" s="66"/>
      <c r="N485" s="66"/>
      <c r="O485" s="66"/>
      <c r="P485" s="66"/>
      <c r="Q485" s="66"/>
      <c r="R485" s="67"/>
      <c r="S485" s="67"/>
      <c r="T485" s="67"/>
      <c r="U485" s="66"/>
      <c r="V485" s="66"/>
      <c r="W485" s="66"/>
      <c r="X485" s="85"/>
      <c r="AP485" t="str">
        <v/>
      </c>
    </row>
    <row r="486" spans="4:42" ht="15.75" x14ac:dyDescent="0.25">
      <c r="D486" s="3">
        <v>1</v>
      </c>
      <c r="F486" s="16" t="str" cm="1">
        <f t="array" ref="F4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6" s="31" cm="1">
        <f t="array" ref="G4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6" s="33" t="str">
        <f>_xlfn.IFNA(IF(MOD(HLG_03[[#This Row],[Rit]],
    _xlfn.XLOOKUP($G$2,Int_Sample[Ore],Int_Sample[Inc])) = 0, "YES", "NO"),"")</f>
        <v/>
      </c>
      <c r="I486" s="32" t="str">
        <f>TEXT(HLG_03[[#This Row],[Batch]],"000")&amp; " / " &amp; TEXT(HLG_03[[#This Row],[Rit]],"000")</f>
        <v>N/A / 000</v>
      </c>
      <c r="J486" s="34"/>
      <c r="K486" s="38"/>
      <c r="L486" s="35"/>
      <c r="M486" s="66"/>
      <c r="N486" s="66"/>
      <c r="O486" s="66"/>
      <c r="P486" s="66"/>
      <c r="Q486" s="66"/>
      <c r="R486" s="67"/>
      <c r="S486" s="67"/>
      <c r="T486" s="67"/>
      <c r="U486" s="66"/>
      <c r="V486" s="66"/>
      <c r="W486" s="66"/>
      <c r="X486" s="85"/>
      <c r="AP486" t="str">
        <v/>
      </c>
    </row>
    <row r="487" spans="4:42" ht="15.75" x14ac:dyDescent="0.25">
      <c r="D487" s="3">
        <v>1</v>
      </c>
      <c r="F487" s="16" t="str" cm="1">
        <f t="array" ref="F4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7" s="31" cm="1">
        <f t="array" ref="G4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7" s="33" t="str">
        <f>_xlfn.IFNA(IF(MOD(HLG_03[[#This Row],[Rit]],
    _xlfn.XLOOKUP($G$2,Int_Sample[Ore],Int_Sample[Inc])) = 0, "YES", "NO"),"")</f>
        <v/>
      </c>
      <c r="I487" s="32" t="str">
        <f>TEXT(HLG_03[[#This Row],[Batch]],"000")&amp; " / " &amp; TEXT(HLG_03[[#This Row],[Rit]],"000")</f>
        <v>N/A / 000</v>
      </c>
      <c r="J487" s="34"/>
      <c r="K487" s="38"/>
      <c r="L487" s="35"/>
      <c r="M487" s="66"/>
      <c r="N487" s="66"/>
      <c r="O487" s="66"/>
      <c r="P487" s="66"/>
      <c r="Q487" s="66"/>
      <c r="R487" s="67"/>
      <c r="S487" s="67"/>
      <c r="T487" s="67"/>
      <c r="U487" s="66"/>
      <c r="V487" s="66"/>
      <c r="W487" s="66"/>
      <c r="X487" s="85"/>
      <c r="AP487" t="str">
        <v/>
      </c>
    </row>
    <row r="488" spans="4:42" ht="15.75" x14ac:dyDescent="0.25">
      <c r="D488" s="3">
        <v>1</v>
      </c>
      <c r="F488" s="16" t="str" cm="1">
        <f t="array" ref="F4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8" s="31" cm="1">
        <f t="array" ref="G4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8" s="33" t="str">
        <f>_xlfn.IFNA(IF(MOD(HLG_03[[#This Row],[Rit]],
    _xlfn.XLOOKUP($G$2,Int_Sample[Ore],Int_Sample[Inc])) = 0, "YES", "NO"),"")</f>
        <v/>
      </c>
      <c r="I488" s="32" t="str">
        <f>TEXT(HLG_03[[#This Row],[Batch]],"000")&amp; " / " &amp; TEXT(HLG_03[[#This Row],[Rit]],"000")</f>
        <v>N/A / 000</v>
      </c>
      <c r="J488" s="34"/>
      <c r="K488" s="38"/>
      <c r="L488" s="35"/>
      <c r="M488" s="66"/>
      <c r="N488" s="66"/>
      <c r="O488" s="66"/>
      <c r="P488" s="66"/>
      <c r="Q488" s="66"/>
      <c r="R488" s="67"/>
      <c r="S488" s="67"/>
      <c r="T488" s="67"/>
      <c r="U488" s="66"/>
      <c r="V488" s="66"/>
      <c r="W488" s="66"/>
      <c r="X488" s="85"/>
      <c r="AP488" t="str">
        <v/>
      </c>
    </row>
    <row r="489" spans="4:42" ht="15.75" x14ac:dyDescent="0.25">
      <c r="D489" s="3">
        <v>1</v>
      </c>
      <c r="F489" s="16" t="str" cm="1">
        <f t="array" ref="F4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9" s="31" cm="1">
        <f t="array" ref="G4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9" s="33" t="str">
        <f>_xlfn.IFNA(IF(MOD(HLG_03[[#This Row],[Rit]],
    _xlfn.XLOOKUP($G$2,Int_Sample[Ore],Int_Sample[Inc])) = 0, "YES", "NO"),"")</f>
        <v/>
      </c>
      <c r="I489" s="32" t="str">
        <f>TEXT(HLG_03[[#This Row],[Batch]],"000")&amp; " / " &amp; TEXT(HLG_03[[#This Row],[Rit]],"000")</f>
        <v>N/A / 000</v>
      </c>
      <c r="J489" s="34"/>
      <c r="K489" s="38"/>
      <c r="L489" s="35"/>
      <c r="M489" s="66"/>
      <c r="N489" s="66"/>
      <c r="O489" s="66"/>
      <c r="P489" s="66"/>
      <c r="Q489" s="66"/>
      <c r="R489" s="67"/>
      <c r="S489" s="67"/>
      <c r="T489" s="67"/>
      <c r="U489" s="66"/>
      <c r="V489" s="66"/>
      <c r="W489" s="66"/>
      <c r="X489" s="85"/>
      <c r="AP489" t="str">
        <v/>
      </c>
    </row>
    <row r="490" spans="4:42" ht="15.75" x14ac:dyDescent="0.25">
      <c r="D490" s="3">
        <v>1</v>
      </c>
      <c r="F490" s="16" t="str" cm="1">
        <f t="array" ref="F4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0" s="31" cm="1">
        <f t="array" ref="G4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0" s="33" t="str">
        <f>_xlfn.IFNA(IF(MOD(HLG_03[[#This Row],[Rit]],
    _xlfn.XLOOKUP($G$2,Int_Sample[Ore],Int_Sample[Inc])) = 0, "YES", "NO"),"")</f>
        <v/>
      </c>
      <c r="I490" s="32" t="str">
        <f>TEXT(HLG_03[[#This Row],[Batch]],"000")&amp; " / " &amp; TEXT(HLG_03[[#This Row],[Rit]],"000")</f>
        <v>N/A / 000</v>
      </c>
      <c r="J490" s="34"/>
      <c r="K490" s="38"/>
      <c r="L490" s="35"/>
      <c r="M490" s="66"/>
      <c r="N490" s="66"/>
      <c r="O490" s="66"/>
      <c r="P490" s="66"/>
      <c r="Q490" s="66"/>
      <c r="R490" s="67"/>
      <c r="S490" s="67"/>
      <c r="T490" s="67"/>
      <c r="U490" s="66"/>
      <c r="V490" s="66"/>
      <c r="W490" s="66"/>
      <c r="X490" s="85"/>
      <c r="AP490" t="str">
        <v/>
      </c>
    </row>
    <row r="491" spans="4:42" ht="15.75" x14ac:dyDescent="0.25">
      <c r="D491" s="3">
        <v>1</v>
      </c>
      <c r="F491" s="16" t="str" cm="1">
        <f t="array" ref="F4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1" s="31" cm="1">
        <f t="array" ref="G4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1" s="33" t="str">
        <f>_xlfn.IFNA(IF(MOD(HLG_03[[#This Row],[Rit]],
    _xlfn.XLOOKUP($G$2,Int_Sample[Ore],Int_Sample[Inc])) = 0, "YES", "NO"),"")</f>
        <v/>
      </c>
      <c r="I491" s="32" t="str">
        <f>TEXT(HLG_03[[#This Row],[Batch]],"000")&amp; " / " &amp; TEXT(HLG_03[[#This Row],[Rit]],"000")</f>
        <v>N/A / 000</v>
      </c>
      <c r="J491" s="34"/>
      <c r="K491" s="38"/>
      <c r="L491" s="35"/>
      <c r="M491" s="66"/>
      <c r="N491" s="66"/>
      <c r="O491" s="66"/>
      <c r="P491" s="66"/>
      <c r="Q491" s="66"/>
      <c r="R491" s="67"/>
      <c r="S491" s="67"/>
      <c r="T491" s="67"/>
      <c r="U491" s="66"/>
      <c r="V491" s="66"/>
      <c r="W491" s="66"/>
      <c r="X491" s="85"/>
      <c r="AP491" t="str">
        <v/>
      </c>
    </row>
    <row r="492" spans="4:42" ht="15.75" x14ac:dyDescent="0.25">
      <c r="D492" s="3">
        <v>1</v>
      </c>
      <c r="F492" s="16" t="str" cm="1">
        <f t="array" ref="F4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2" s="31" cm="1">
        <f t="array" ref="G4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2" s="33" t="str">
        <f>_xlfn.IFNA(IF(MOD(HLG_03[[#This Row],[Rit]],
    _xlfn.XLOOKUP($G$2,Int_Sample[Ore],Int_Sample[Inc])) = 0, "YES", "NO"),"")</f>
        <v/>
      </c>
      <c r="I492" s="32" t="str">
        <f>TEXT(HLG_03[[#This Row],[Batch]],"000")&amp; " / " &amp; TEXT(HLG_03[[#This Row],[Rit]],"000")</f>
        <v>N/A / 000</v>
      </c>
      <c r="J492" s="34"/>
      <c r="K492" s="38"/>
      <c r="L492" s="35"/>
      <c r="M492" s="66"/>
      <c r="N492" s="66"/>
      <c r="O492" s="66"/>
      <c r="P492" s="66"/>
      <c r="Q492" s="66"/>
      <c r="R492" s="67"/>
      <c r="S492" s="67"/>
      <c r="T492" s="67"/>
      <c r="U492" s="66"/>
      <c r="V492" s="66"/>
      <c r="W492" s="66"/>
      <c r="X492" s="85"/>
      <c r="AP492" t="str">
        <v/>
      </c>
    </row>
    <row r="493" spans="4:42" ht="15.75" x14ac:dyDescent="0.25">
      <c r="D493" s="3">
        <v>1</v>
      </c>
      <c r="F493" s="16" t="str" cm="1">
        <f t="array" ref="F4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3" s="31" cm="1">
        <f t="array" ref="G4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3" s="33" t="str">
        <f>_xlfn.IFNA(IF(MOD(HLG_03[[#This Row],[Rit]],
    _xlfn.XLOOKUP($G$2,Int_Sample[Ore],Int_Sample[Inc])) = 0, "YES", "NO"),"")</f>
        <v/>
      </c>
      <c r="I493" s="32" t="str">
        <f>TEXT(HLG_03[[#This Row],[Batch]],"000")&amp; " / " &amp; TEXT(HLG_03[[#This Row],[Rit]],"000")</f>
        <v>N/A / 000</v>
      </c>
      <c r="J493" s="34"/>
      <c r="K493" s="38"/>
      <c r="L493" s="35"/>
      <c r="M493" s="66"/>
      <c r="N493" s="66"/>
      <c r="O493" s="66"/>
      <c r="P493" s="66"/>
      <c r="Q493" s="66"/>
      <c r="R493" s="67"/>
      <c r="S493" s="67"/>
      <c r="T493" s="67"/>
      <c r="U493" s="66"/>
      <c r="V493" s="66"/>
      <c r="W493" s="66"/>
      <c r="X493" s="85"/>
      <c r="AP493" t="str">
        <v/>
      </c>
    </row>
    <row r="494" spans="4:42" ht="15.75" x14ac:dyDescent="0.25">
      <c r="D494" s="3">
        <v>1</v>
      </c>
      <c r="F494" s="16" t="str" cm="1">
        <f t="array" ref="F4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4" s="31" cm="1">
        <f t="array" ref="G4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4" s="33" t="str">
        <f>_xlfn.IFNA(IF(MOD(HLG_03[[#This Row],[Rit]],
    _xlfn.XLOOKUP($G$2,Int_Sample[Ore],Int_Sample[Inc])) = 0, "YES", "NO"),"")</f>
        <v/>
      </c>
      <c r="I494" s="32" t="str">
        <f>TEXT(HLG_03[[#This Row],[Batch]],"000")&amp; " / " &amp; TEXT(HLG_03[[#This Row],[Rit]],"000")</f>
        <v>N/A / 000</v>
      </c>
      <c r="J494" s="34"/>
      <c r="K494" s="38"/>
      <c r="L494" s="35"/>
      <c r="M494" s="66"/>
      <c r="N494" s="66"/>
      <c r="O494" s="66"/>
      <c r="P494" s="66"/>
      <c r="Q494" s="66"/>
      <c r="R494" s="67"/>
      <c r="S494" s="67"/>
      <c r="T494" s="67"/>
      <c r="U494" s="66"/>
      <c r="V494" s="66"/>
      <c r="W494" s="66"/>
      <c r="X494" s="85"/>
      <c r="AP494" t="str">
        <v/>
      </c>
    </row>
    <row r="495" spans="4:42" ht="15.75" x14ac:dyDescent="0.25">
      <c r="D495" s="3">
        <v>1</v>
      </c>
      <c r="F495" s="16" t="str" cm="1">
        <f t="array" ref="F4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5" s="31" cm="1">
        <f t="array" ref="G4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5" s="33" t="str">
        <f>_xlfn.IFNA(IF(MOD(HLG_03[[#This Row],[Rit]],
    _xlfn.XLOOKUP($G$2,Int_Sample[Ore],Int_Sample[Inc])) = 0, "YES", "NO"),"")</f>
        <v/>
      </c>
      <c r="I495" s="32" t="str">
        <f>TEXT(HLG_03[[#This Row],[Batch]],"000")&amp; " / " &amp; TEXT(HLG_03[[#This Row],[Rit]],"000")</f>
        <v>N/A / 000</v>
      </c>
      <c r="J495" s="34"/>
      <c r="K495" s="38"/>
      <c r="L495" s="35"/>
      <c r="M495" s="66"/>
      <c r="N495" s="66"/>
      <c r="O495" s="66"/>
      <c r="P495" s="66"/>
      <c r="Q495" s="66"/>
      <c r="R495" s="67"/>
      <c r="S495" s="67"/>
      <c r="T495" s="67"/>
      <c r="U495" s="66"/>
      <c r="V495" s="66"/>
      <c r="W495" s="66"/>
      <c r="X495" s="85"/>
      <c r="AP495" t="str">
        <v/>
      </c>
    </row>
    <row r="496" spans="4:42" ht="15.75" x14ac:dyDescent="0.25">
      <c r="D496" s="3">
        <v>1</v>
      </c>
      <c r="F496" s="16" t="str" cm="1">
        <f t="array" ref="F4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6" s="31" cm="1">
        <f t="array" ref="G4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6" s="33" t="str">
        <f>_xlfn.IFNA(IF(MOD(HLG_03[[#This Row],[Rit]],
    _xlfn.XLOOKUP($G$2,Int_Sample[Ore],Int_Sample[Inc])) = 0, "YES", "NO"),"")</f>
        <v/>
      </c>
      <c r="I496" s="32" t="str">
        <f>TEXT(HLG_03[[#This Row],[Batch]],"000")&amp; " / " &amp; TEXT(HLG_03[[#This Row],[Rit]],"000")</f>
        <v>N/A / 000</v>
      </c>
      <c r="J496" s="34"/>
      <c r="K496" s="38"/>
      <c r="L496" s="35"/>
      <c r="M496" s="66"/>
      <c r="N496" s="66"/>
      <c r="O496" s="66"/>
      <c r="P496" s="66"/>
      <c r="Q496" s="66"/>
      <c r="R496" s="67"/>
      <c r="S496" s="67"/>
      <c r="T496" s="67"/>
      <c r="U496" s="66"/>
      <c r="V496" s="66"/>
      <c r="W496" s="66"/>
      <c r="X496" s="85"/>
      <c r="AP496" t="str">
        <v/>
      </c>
    </row>
    <row r="497" spans="4:42" ht="15.75" x14ac:dyDescent="0.25">
      <c r="D497" s="3">
        <v>1</v>
      </c>
      <c r="F497" s="16" t="str" cm="1">
        <f t="array" ref="F4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7" s="31" cm="1">
        <f t="array" ref="G4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7" s="33" t="str">
        <f>_xlfn.IFNA(IF(MOD(HLG_03[[#This Row],[Rit]],
    _xlfn.XLOOKUP($G$2,Int_Sample[Ore],Int_Sample[Inc])) = 0, "YES", "NO"),"")</f>
        <v/>
      </c>
      <c r="I497" s="32" t="str">
        <f>TEXT(HLG_03[[#This Row],[Batch]],"000")&amp; " / " &amp; TEXT(HLG_03[[#This Row],[Rit]],"000")</f>
        <v>N/A / 000</v>
      </c>
      <c r="J497" s="34"/>
      <c r="K497" s="38"/>
      <c r="L497" s="35"/>
      <c r="M497" s="66"/>
      <c r="N497" s="66"/>
      <c r="O497" s="66"/>
      <c r="P497" s="66"/>
      <c r="Q497" s="66"/>
      <c r="R497" s="67"/>
      <c r="S497" s="67"/>
      <c r="T497" s="67"/>
      <c r="U497" s="66"/>
      <c r="V497" s="66"/>
      <c r="W497" s="66"/>
      <c r="X497" s="85"/>
      <c r="AP497" t="str">
        <v/>
      </c>
    </row>
    <row r="498" spans="4:42" ht="15.75" x14ac:dyDescent="0.25">
      <c r="D498" s="3">
        <v>1</v>
      </c>
      <c r="F498" s="16" t="str" cm="1">
        <f t="array" ref="F4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8" s="31" cm="1">
        <f t="array" ref="G4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8" s="33" t="str">
        <f>_xlfn.IFNA(IF(MOD(HLG_03[[#This Row],[Rit]],
    _xlfn.XLOOKUP($G$2,Int_Sample[Ore],Int_Sample[Inc])) = 0, "YES", "NO"),"")</f>
        <v/>
      </c>
      <c r="I498" s="32" t="str">
        <f>TEXT(HLG_03[[#This Row],[Batch]],"000")&amp; " / " &amp; TEXT(HLG_03[[#This Row],[Rit]],"000")</f>
        <v>N/A / 000</v>
      </c>
      <c r="J498" s="34"/>
      <c r="K498" s="38"/>
      <c r="L498" s="35"/>
      <c r="M498" s="66"/>
      <c r="N498" s="66"/>
      <c r="O498" s="66"/>
      <c r="P498" s="66"/>
      <c r="Q498" s="66"/>
      <c r="R498" s="67"/>
      <c r="S498" s="67"/>
      <c r="T498" s="67"/>
      <c r="U498" s="66"/>
      <c r="V498" s="66"/>
      <c r="W498" s="66"/>
      <c r="X498" s="85"/>
      <c r="AP498" t="str">
        <v/>
      </c>
    </row>
    <row r="499" spans="4:42" ht="15.75" x14ac:dyDescent="0.25">
      <c r="D499" s="3">
        <v>1</v>
      </c>
      <c r="F499" s="16" t="str" cm="1">
        <f t="array" ref="F4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9" s="31" cm="1">
        <f t="array" ref="G4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9" s="33" t="str">
        <f>_xlfn.IFNA(IF(MOD(HLG_03[[#This Row],[Rit]],
    _xlfn.XLOOKUP($G$2,Int_Sample[Ore],Int_Sample[Inc])) = 0, "YES", "NO"),"")</f>
        <v/>
      </c>
      <c r="I499" s="32" t="str">
        <f>TEXT(HLG_03[[#This Row],[Batch]],"000")&amp; " / " &amp; TEXT(HLG_03[[#This Row],[Rit]],"000")</f>
        <v>N/A / 000</v>
      </c>
      <c r="J499" s="34"/>
      <c r="K499" s="38"/>
      <c r="L499" s="35"/>
      <c r="M499" s="66"/>
      <c r="N499" s="66"/>
      <c r="O499" s="66"/>
      <c r="P499" s="66"/>
      <c r="Q499" s="66"/>
      <c r="R499" s="67"/>
      <c r="S499" s="67"/>
      <c r="T499" s="67"/>
      <c r="U499" s="66"/>
      <c r="V499" s="66"/>
      <c r="W499" s="66"/>
      <c r="X499" s="85"/>
      <c r="AP499" t="str">
        <v/>
      </c>
    </row>
    <row r="500" spans="4:42" ht="15.75" x14ac:dyDescent="0.25">
      <c r="D500" s="3">
        <v>1</v>
      </c>
      <c r="F500" s="16" t="str" cm="1">
        <f t="array" ref="F5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0" s="31" cm="1">
        <f t="array" ref="G5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0" s="33" t="str">
        <f>_xlfn.IFNA(IF(MOD(HLG_03[[#This Row],[Rit]],
    _xlfn.XLOOKUP($G$2,Int_Sample[Ore],Int_Sample[Inc])) = 0, "YES", "NO"),"")</f>
        <v/>
      </c>
      <c r="I500" s="32" t="str">
        <f>TEXT(HLG_03[[#This Row],[Batch]],"000")&amp; " / " &amp; TEXT(HLG_03[[#This Row],[Rit]],"000")</f>
        <v>N/A / 000</v>
      </c>
      <c r="J500" s="34"/>
      <c r="K500" s="38"/>
      <c r="L500" s="35"/>
      <c r="M500" s="66"/>
      <c r="N500" s="66"/>
      <c r="O500" s="66"/>
      <c r="P500" s="66"/>
      <c r="Q500" s="66"/>
      <c r="R500" s="67"/>
      <c r="S500" s="67"/>
      <c r="T500" s="67"/>
      <c r="U500" s="66"/>
      <c r="V500" s="66"/>
      <c r="W500" s="66"/>
      <c r="X500" s="85"/>
      <c r="AP500" t="str">
        <v/>
      </c>
    </row>
    <row r="501" spans="4:42" ht="15.75" x14ac:dyDescent="0.25">
      <c r="D501" s="3">
        <v>1</v>
      </c>
      <c r="F501" s="16" t="str" cm="1">
        <f t="array" ref="F5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1" s="31" cm="1">
        <f t="array" ref="G5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1" s="33" t="str">
        <f>_xlfn.IFNA(IF(MOD(HLG_03[[#This Row],[Rit]],
    _xlfn.XLOOKUP($G$2,Int_Sample[Ore],Int_Sample[Inc])) = 0, "YES", "NO"),"")</f>
        <v/>
      </c>
      <c r="I501" s="32" t="str">
        <f>TEXT(HLG_03[[#This Row],[Batch]],"000")&amp; " / " &amp; TEXT(HLG_03[[#This Row],[Rit]],"000")</f>
        <v>N/A / 000</v>
      </c>
      <c r="J501" s="34"/>
      <c r="K501" s="38"/>
      <c r="L501" s="35"/>
      <c r="M501" s="66"/>
      <c r="N501" s="66"/>
      <c r="O501" s="66"/>
      <c r="P501" s="66"/>
      <c r="Q501" s="66"/>
      <c r="R501" s="67"/>
      <c r="S501" s="67"/>
      <c r="T501" s="67"/>
      <c r="U501" s="66"/>
      <c r="V501" s="66"/>
      <c r="W501" s="66"/>
      <c r="X501" s="85"/>
      <c r="AP501" t="str">
        <v/>
      </c>
    </row>
    <row r="502" spans="4:42" ht="15.75" x14ac:dyDescent="0.25">
      <c r="D502" s="3">
        <v>1</v>
      </c>
      <c r="F502" s="16" t="str" cm="1">
        <f t="array" ref="F5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2" s="31" cm="1">
        <f t="array" ref="G5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2" s="33" t="str">
        <f>_xlfn.IFNA(IF(MOD(HLG_03[[#This Row],[Rit]],
    _xlfn.XLOOKUP($G$2,Int_Sample[Ore],Int_Sample[Inc])) = 0, "YES", "NO"),"")</f>
        <v/>
      </c>
      <c r="I502" s="32" t="str">
        <f>TEXT(HLG_03[[#This Row],[Batch]],"000")&amp; " / " &amp; TEXT(HLG_03[[#This Row],[Rit]],"000")</f>
        <v>N/A / 000</v>
      </c>
      <c r="J502" s="34"/>
      <c r="K502" s="38"/>
      <c r="L502" s="35"/>
      <c r="M502" s="66"/>
      <c r="N502" s="66"/>
      <c r="O502" s="66"/>
      <c r="P502" s="66"/>
      <c r="Q502" s="66"/>
      <c r="R502" s="67"/>
      <c r="S502" s="67"/>
      <c r="T502" s="67"/>
      <c r="U502" s="66"/>
      <c r="V502" s="66"/>
      <c r="W502" s="66"/>
      <c r="X502" s="85"/>
      <c r="AP502" t="str">
        <v/>
      </c>
    </row>
    <row r="503" spans="4:42" ht="15.75" x14ac:dyDescent="0.25">
      <c r="D503" s="3">
        <v>1</v>
      </c>
      <c r="F503" s="16" t="str" cm="1">
        <f t="array" ref="F5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3" s="31" cm="1">
        <f t="array" ref="G5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3" s="33" t="str">
        <f>_xlfn.IFNA(IF(MOD(HLG_03[[#This Row],[Rit]],
    _xlfn.XLOOKUP($G$2,Int_Sample[Ore],Int_Sample[Inc])) = 0, "YES", "NO"),"")</f>
        <v/>
      </c>
      <c r="I503" s="32" t="str">
        <f>TEXT(HLG_03[[#This Row],[Batch]],"000")&amp; " / " &amp; TEXT(HLG_03[[#This Row],[Rit]],"000")</f>
        <v>N/A / 000</v>
      </c>
      <c r="J503" s="34"/>
      <c r="K503" s="38"/>
      <c r="L503" s="35"/>
      <c r="M503" s="66"/>
      <c r="N503" s="66"/>
      <c r="O503" s="66"/>
      <c r="P503" s="66"/>
      <c r="Q503" s="66"/>
      <c r="R503" s="67"/>
      <c r="S503" s="67"/>
      <c r="T503" s="67"/>
      <c r="U503" s="66"/>
      <c r="V503" s="66"/>
      <c r="W503" s="66"/>
      <c r="X503" s="85"/>
      <c r="AP503" t="str">
        <v/>
      </c>
    </row>
    <row r="504" spans="4:42" ht="15.75" x14ac:dyDescent="0.25">
      <c r="D504" s="3">
        <v>1</v>
      </c>
      <c r="F504" s="16" t="str" cm="1">
        <f t="array" ref="F5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4" s="31" cm="1">
        <f t="array" ref="G5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4" s="33" t="str">
        <f>_xlfn.IFNA(IF(MOD(HLG_03[[#This Row],[Rit]],
    _xlfn.XLOOKUP($G$2,Int_Sample[Ore],Int_Sample[Inc])) = 0, "YES", "NO"),"")</f>
        <v/>
      </c>
      <c r="I504" s="32" t="str">
        <f>TEXT(HLG_03[[#This Row],[Batch]],"000")&amp; " / " &amp; TEXT(HLG_03[[#This Row],[Rit]],"000")</f>
        <v>N/A / 000</v>
      </c>
      <c r="J504" s="34"/>
      <c r="K504" s="38"/>
      <c r="L504" s="35"/>
      <c r="M504" s="66"/>
      <c r="N504" s="66"/>
      <c r="O504" s="66"/>
      <c r="P504" s="66"/>
      <c r="Q504" s="66"/>
      <c r="R504" s="67"/>
      <c r="S504" s="67"/>
      <c r="T504" s="67"/>
      <c r="U504" s="66"/>
      <c r="V504" s="66"/>
      <c r="W504" s="66"/>
      <c r="X504" s="85"/>
      <c r="AP504" t="str">
        <v/>
      </c>
    </row>
    <row r="505" spans="4:42" ht="15.75" x14ac:dyDescent="0.25">
      <c r="D505" s="3">
        <v>1</v>
      </c>
      <c r="F505" s="16" t="str" cm="1">
        <f t="array" ref="F5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5" s="31" cm="1">
        <f t="array" ref="G5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5" s="33" t="str">
        <f>_xlfn.IFNA(IF(MOD(HLG_03[[#This Row],[Rit]],
    _xlfn.XLOOKUP($G$2,Int_Sample[Ore],Int_Sample[Inc])) = 0, "YES", "NO"),"")</f>
        <v/>
      </c>
      <c r="I505" s="32" t="str">
        <f>TEXT(HLG_03[[#This Row],[Batch]],"000")&amp; " / " &amp; TEXT(HLG_03[[#This Row],[Rit]],"000")</f>
        <v>N/A / 000</v>
      </c>
      <c r="J505" s="34"/>
      <c r="K505" s="38"/>
      <c r="L505" s="35"/>
      <c r="M505" s="66"/>
      <c r="N505" s="66"/>
      <c r="O505" s="66"/>
      <c r="P505" s="66"/>
      <c r="Q505" s="66"/>
      <c r="R505" s="67"/>
      <c r="S505" s="67"/>
      <c r="T505" s="67"/>
      <c r="U505" s="66"/>
      <c r="V505" s="66"/>
      <c r="W505" s="66"/>
      <c r="X505" s="85"/>
      <c r="AP505" t="str">
        <v/>
      </c>
    </row>
    <row r="506" spans="4:42" ht="15.75" x14ac:dyDescent="0.25">
      <c r="D506" s="3">
        <v>1</v>
      </c>
      <c r="F506" s="16" t="str" cm="1">
        <f t="array" ref="F5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6" s="31" cm="1">
        <f t="array" ref="G5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6" s="33" t="str">
        <f>_xlfn.IFNA(IF(MOD(HLG_03[[#This Row],[Rit]],
    _xlfn.XLOOKUP($G$2,Int_Sample[Ore],Int_Sample[Inc])) = 0, "YES", "NO"),"")</f>
        <v/>
      </c>
      <c r="I506" s="32" t="str">
        <f>TEXT(HLG_03[[#This Row],[Batch]],"000")&amp; " / " &amp; TEXT(HLG_03[[#This Row],[Rit]],"000")</f>
        <v>N/A / 000</v>
      </c>
      <c r="J506" s="34"/>
      <c r="K506" s="38"/>
      <c r="L506" s="35"/>
      <c r="M506" s="66"/>
      <c r="N506" s="66"/>
      <c r="O506" s="66"/>
      <c r="P506" s="66"/>
      <c r="Q506" s="66"/>
      <c r="R506" s="67"/>
      <c r="S506" s="67"/>
      <c r="T506" s="67"/>
      <c r="U506" s="66"/>
      <c r="V506" s="66"/>
      <c r="W506" s="66"/>
      <c r="X506" s="85"/>
      <c r="AP506" t="str">
        <v/>
      </c>
    </row>
    <row r="507" spans="4:42" ht="15.75" x14ac:dyDescent="0.25">
      <c r="D507" s="3">
        <v>1</v>
      </c>
      <c r="F507" s="16" t="str" cm="1">
        <f t="array" ref="F5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7" s="31" cm="1">
        <f t="array" ref="G5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7" s="33" t="str">
        <f>_xlfn.IFNA(IF(MOD(HLG_03[[#This Row],[Rit]],
    _xlfn.XLOOKUP($G$2,Int_Sample[Ore],Int_Sample[Inc])) = 0, "YES", "NO"),"")</f>
        <v/>
      </c>
      <c r="I507" s="32" t="str">
        <f>TEXT(HLG_03[[#This Row],[Batch]],"000")&amp; " / " &amp; TEXT(HLG_03[[#This Row],[Rit]],"000")</f>
        <v>N/A / 000</v>
      </c>
      <c r="J507" s="34"/>
      <c r="K507" s="38"/>
      <c r="L507" s="35"/>
      <c r="M507" s="66"/>
      <c r="N507" s="66"/>
      <c r="O507" s="66"/>
      <c r="P507" s="66"/>
      <c r="Q507" s="66"/>
      <c r="R507" s="67"/>
      <c r="S507" s="67"/>
      <c r="T507" s="67"/>
      <c r="U507" s="66"/>
      <c r="V507" s="66"/>
      <c r="W507" s="66"/>
      <c r="X507" s="85"/>
      <c r="AP507" t="str">
        <v/>
      </c>
    </row>
    <row r="508" spans="4:42" ht="15.75" x14ac:dyDescent="0.25">
      <c r="D508" s="3">
        <v>1</v>
      </c>
      <c r="F508" s="16" t="str" cm="1">
        <f t="array" ref="F5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8" s="31" cm="1">
        <f t="array" ref="G5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8" s="33" t="str">
        <f>_xlfn.IFNA(IF(MOD(HLG_03[[#This Row],[Rit]],
    _xlfn.XLOOKUP($G$2,Int_Sample[Ore],Int_Sample[Inc])) = 0, "YES", "NO"),"")</f>
        <v/>
      </c>
      <c r="I508" s="32" t="str">
        <f>TEXT(HLG_03[[#This Row],[Batch]],"000")&amp; " / " &amp; TEXT(HLG_03[[#This Row],[Rit]],"000")</f>
        <v>N/A / 000</v>
      </c>
      <c r="J508" s="34"/>
      <c r="K508" s="38"/>
      <c r="L508" s="35"/>
      <c r="M508" s="66"/>
      <c r="N508" s="66"/>
      <c r="O508" s="66"/>
      <c r="P508" s="66"/>
      <c r="Q508" s="66"/>
      <c r="R508" s="67"/>
      <c r="S508" s="67"/>
      <c r="T508" s="67"/>
      <c r="U508" s="66"/>
      <c r="V508" s="66"/>
      <c r="W508" s="66"/>
      <c r="X508" s="85"/>
      <c r="AP508" t="str">
        <v/>
      </c>
    </row>
    <row r="509" spans="4:42" ht="15.75" x14ac:dyDescent="0.25">
      <c r="D509" s="3">
        <v>1</v>
      </c>
      <c r="F509" s="16" t="str" cm="1">
        <f t="array" ref="F5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9" s="31" cm="1">
        <f t="array" ref="G5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9" s="33" t="str">
        <f>_xlfn.IFNA(IF(MOD(HLG_03[[#This Row],[Rit]],
    _xlfn.XLOOKUP($G$2,Int_Sample[Ore],Int_Sample[Inc])) = 0, "YES", "NO"),"")</f>
        <v/>
      </c>
      <c r="I509" s="32" t="str">
        <f>TEXT(HLG_03[[#This Row],[Batch]],"000")&amp; " / " &amp; TEXT(HLG_03[[#This Row],[Rit]],"000")</f>
        <v>N/A / 000</v>
      </c>
      <c r="J509" s="34"/>
      <c r="K509" s="38"/>
      <c r="L509" s="35"/>
      <c r="M509" s="66"/>
      <c r="N509" s="66"/>
      <c r="O509" s="66"/>
      <c r="P509" s="66"/>
      <c r="Q509" s="66"/>
      <c r="R509" s="67"/>
      <c r="S509" s="67"/>
      <c r="T509" s="67"/>
      <c r="U509" s="66"/>
      <c r="V509" s="66"/>
      <c r="W509" s="66"/>
      <c r="X509" s="85"/>
      <c r="AP509" t="str">
        <v/>
      </c>
    </row>
    <row r="510" spans="4:42" ht="15.75" x14ac:dyDescent="0.25">
      <c r="D510" s="3">
        <v>1</v>
      </c>
      <c r="F510" s="16" t="str" cm="1">
        <f t="array" ref="F5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0" s="31" cm="1">
        <f t="array" ref="G5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0" s="33" t="str">
        <f>_xlfn.IFNA(IF(MOD(HLG_03[[#This Row],[Rit]],
    _xlfn.XLOOKUP($G$2,Int_Sample[Ore],Int_Sample[Inc])) = 0, "YES", "NO"),"")</f>
        <v/>
      </c>
      <c r="I510" s="32" t="str">
        <f>TEXT(HLG_03[[#This Row],[Batch]],"000")&amp; " / " &amp; TEXT(HLG_03[[#This Row],[Rit]],"000")</f>
        <v>N/A / 000</v>
      </c>
      <c r="J510" s="34"/>
      <c r="K510" s="38"/>
      <c r="L510" s="35"/>
      <c r="M510" s="66"/>
      <c r="N510" s="66"/>
      <c r="O510" s="66"/>
      <c r="P510" s="66"/>
      <c r="Q510" s="66"/>
      <c r="R510" s="67"/>
      <c r="S510" s="67"/>
      <c r="T510" s="67"/>
      <c r="U510" s="66"/>
      <c r="V510" s="66"/>
      <c r="W510" s="66"/>
      <c r="X510" s="85"/>
      <c r="AP510" t="str">
        <v/>
      </c>
    </row>
    <row r="511" spans="4:42" ht="15.75" x14ac:dyDescent="0.25">
      <c r="D511" s="3">
        <v>1</v>
      </c>
      <c r="F511" s="16" t="str" cm="1">
        <f t="array" ref="F5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1" s="31" cm="1">
        <f t="array" ref="G5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1" s="33" t="str">
        <f>_xlfn.IFNA(IF(MOD(HLG_03[[#This Row],[Rit]],
    _xlfn.XLOOKUP($G$2,Int_Sample[Ore],Int_Sample[Inc])) = 0, "YES", "NO"),"")</f>
        <v/>
      </c>
      <c r="I511" s="32" t="str">
        <f>TEXT(HLG_03[[#This Row],[Batch]],"000")&amp; " / " &amp; TEXT(HLG_03[[#This Row],[Rit]],"000")</f>
        <v>N/A / 000</v>
      </c>
      <c r="J511" s="34"/>
      <c r="K511" s="38"/>
      <c r="L511" s="35"/>
      <c r="M511" s="66"/>
      <c r="N511" s="66"/>
      <c r="O511" s="66"/>
      <c r="P511" s="66"/>
      <c r="Q511" s="66"/>
      <c r="R511" s="67"/>
      <c r="S511" s="67"/>
      <c r="T511" s="67"/>
      <c r="U511" s="66"/>
      <c r="V511" s="66"/>
      <c r="W511" s="66"/>
      <c r="X511" s="85"/>
      <c r="AP511" t="str">
        <v/>
      </c>
    </row>
    <row r="512" spans="4:42" ht="15.75" x14ac:dyDescent="0.25">
      <c r="D512" s="3">
        <v>1</v>
      </c>
      <c r="F512" s="16" t="str" cm="1">
        <f t="array" ref="F5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2" s="31" cm="1">
        <f t="array" ref="G5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2" s="33" t="str">
        <f>_xlfn.IFNA(IF(MOD(HLG_03[[#This Row],[Rit]],
    _xlfn.XLOOKUP($G$2,Int_Sample[Ore],Int_Sample[Inc])) = 0, "YES", "NO"),"")</f>
        <v/>
      </c>
      <c r="I512" s="32" t="str">
        <f>TEXT(HLG_03[[#This Row],[Batch]],"000")&amp; " / " &amp; TEXT(HLG_03[[#This Row],[Rit]],"000")</f>
        <v>N/A / 000</v>
      </c>
      <c r="J512" s="34"/>
      <c r="K512" s="38"/>
      <c r="L512" s="35"/>
      <c r="M512" s="66"/>
      <c r="N512" s="66"/>
      <c r="O512" s="66"/>
      <c r="P512" s="66"/>
      <c r="Q512" s="66"/>
      <c r="R512" s="67"/>
      <c r="S512" s="67"/>
      <c r="T512" s="67"/>
      <c r="U512" s="66"/>
      <c r="V512" s="66"/>
      <c r="W512" s="66"/>
      <c r="X512" s="85"/>
      <c r="AP512" t="str">
        <v/>
      </c>
    </row>
    <row r="513" spans="4:42" ht="15.75" x14ac:dyDescent="0.25">
      <c r="D513" s="3">
        <v>1</v>
      </c>
      <c r="F513" s="16" t="str" cm="1">
        <f t="array" ref="F5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3" s="31" cm="1">
        <f t="array" ref="G5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3" s="33" t="str">
        <f>_xlfn.IFNA(IF(MOD(HLG_03[[#This Row],[Rit]],
    _xlfn.XLOOKUP($G$2,Int_Sample[Ore],Int_Sample[Inc])) = 0, "YES", "NO"),"")</f>
        <v/>
      </c>
      <c r="I513" s="32" t="str">
        <f>TEXT(HLG_03[[#This Row],[Batch]],"000")&amp; " / " &amp; TEXT(HLG_03[[#This Row],[Rit]],"000")</f>
        <v>N/A / 000</v>
      </c>
      <c r="J513" s="34"/>
      <c r="K513" s="38"/>
      <c r="L513" s="35"/>
      <c r="M513" s="66"/>
      <c r="N513" s="66"/>
      <c r="O513" s="66"/>
      <c r="P513" s="66"/>
      <c r="Q513" s="66"/>
      <c r="R513" s="67"/>
      <c r="S513" s="67"/>
      <c r="T513" s="67"/>
      <c r="U513" s="66"/>
      <c r="V513" s="66"/>
      <c r="W513" s="66"/>
      <c r="X513" s="85"/>
      <c r="AP513" t="str">
        <v/>
      </c>
    </row>
    <row r="514" spans="4:42" ht="15.75" x14ac:dyDescent="0.25">
      <c r="D514" s="3">
        <v>1</v>
      </c>
      <c r="F514" s="16" t="str" cm="1">
        <f t="array" ref="F5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4" s="31" cm="1">
        <f t="array" ref="G5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4" s="33" t="str">
        <f>_xlfn.IFNA(IF(MOD(HLG_03[[#This Row],[Rit]],
    _xlfn.XLOOKUP($G$2,Int_Sample[Ore],Int_Sample[Inc])) = 0, "YES", "NO"),"")</f>
        <v/>
      </c>
      <c r="I514" s="32" t="str">
        <f>TEXT(HLG_03[[#This Row],[Batch]],"000")&amp; " / " &amp; TEXT(HLG_03[[#This Row],[Rit]],"000")</f>
        <v>N/A / 000</v>
      </c>
      <c r="J514" s="34"/>
      <c r="K514" s="38"/>
      <c r="L514" s="35"/>
      <c r="M514" s="66"/>
      <c r="N514" s="66"/>
      <c r="O514" s="66"/>
      <c r="P514" s="66"/>
      <c r="Q514" s="66"/>
      <c r="R514" s="67"/>
      <c r="S514" s="67"/>
      <c r="T514" s="67"/>
      <c r="U514" s="66"/>
      <c r="V514" s="66"/>
      <c r="W514" s="66"/>
      <c r="X514" s="85"/>
      <c r="AP514" t="str">
        <v/>
      </c>
    </row>
    <row r="515" spans="4:42" ht="15.75" x14ac:dyDescent="0.25">
      <c r="D515" s="3">
        <v>1</v>
      </c>
      <c r="F515" s="16" t="str" cm="1">
        <f t="array" ref="F5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5" s="31" cm="1">
        <f t="array" ref="G5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5" s="33" t="str">
        <f>_xlfn.IFNA(IF(MOD(HLG_03[[#This Row],[Rit]],
    _xlfn.XLOOKUP($G$2,Int_Sample[Ore],Int_Sample[Inc])) = 0, "YES", "NO"),"")</f>
        <v/>
      </c>
      <c r="I515" s="32" t="str">
        <f>TEXT(HLG_03[[#This Row],[Batch]],"000")&amp; " / " &amp; TEXT(HLG_03[[#This Row],[Rit]],"000")</f>
        <v>N/A / 000</v>
      </c>
      <c r="J515" s="34"/>
      <c r="K515" s="38"/>
      <c r="L515" s="35"/>
      <c r="M515" s="66"/>
      <c r="N515" s="66"/>
      <c r="O515" s="66"/>
      <c r="P515" s="66"/>
      <c r="Q515" s="66"/>
      <c r="R515" s="67"/>
      <c r="S515" s="67"/>
      <c r="T515" s="67"/>
      <c r="U515" s="66"/>
      <c r="V515" s="66"/>
      <c r="W515" s="66"/>
      <c r="X515" s="85"/>
      <c r="AP515" t="str">
        <v/>
      </c>
    </row>
    <row r="516" spans="4:42" ht="15.75" x14ac:dyDescent="0.25">
      <c r="D516" s="3">
        <v>1</v>
      </c>
      <c r="F516" s="16" t="str" cm="1">
        <f t="array" ref="F5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6" s="31" cm="1">
        <f t="array" ref="G5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6" s="33" t="str">
        <f>_xlfn.IFNA(IF(MOD(HLG_03[[#This Row],[Rit]],
    _xlfn.XLOOKUP($G$2,Int_Sample[Ore],Int_Sample[Inc])) = 0, "YES", "NO"),"")</f>
        <v/>
      </c>
      <c r="I516" s="32" t="str">
        <f>TEXT(HLG_03[[#This Row],[Batch]],"000")&amp; " / " &amp; TEXT(HLG_03[[#This Row],[Rit]],"000")</f>
        <v>N/A / 000</v>
      </c>
      <c r="J516" s="34"/>
      <c r="K516" s="38"/>
      <c r="L516" s="35"/>
      <c r="M516" s="66"/>
      <c r="N516" s="66"/>
      <c r="O516" s="66"/>
      <c r="P516" s="66"/>
      <c r="Q516" s="66"/>
      <c r="R516" s="67"/>
      <c r="S516" s="67"/>
      <c r="T516" s="67"/>
      <c r="U516" s="66"/>
      <c r="V516" s="66"/>
      <c r="W516" s="66"/>
      <c r="X516" s="85"/>
      <c r="AP516" t="str">
        <v/>
      </c>
    </row>
    <row r="517" spans="4:42" ht="15.75" x14ac:dyDescent="0.25">
      <c r="D517" s="3">
        <v>1</v>
      </c>
      <c r="F517" s="16" t="str" cm="1">
        <f t="array" ref="F5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7" s="31" cm="1">
        <f t="array" ref="G5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7" s="33" t="str">
        <f>_xlfn.IFNA(IF(MOD(HLG_03[[#This Row],[Rit]],
    _xlfn.XLOOKUP($G$2,Int_Sample[Ore],Int_Sample[Inc])) = 0, "YES", "NO"),"")</f>
        <v/>
      </c>
      <c r="I517" s="32" t="str">
        <f>TEXT(HLG_03[[#This Row],[Batch]],"000")&amp; " / " &amp; TEXT(HLG_03[[#This Row],[Rit]],"000")</f>
        <v>N/A / 000</v>
      </c>
      <c r="J517" s="34"/>
      <c r="K517" s="38"/>
      <c r="L517" s="35"/>
      <c r="M517" s="66"/>
      <c r="N517" s="66"/>
      <c r="O517" s="66"/>
      <c r="P517" s="66"/>
      <c r="Q517" s="66"/>
      <c r="R517" s="67"/>
      <c r="S517" s="67"/>
      <c r="T517" s="67"/>
      <c r="U517" s="66"/>
      <c r="V517" s="66"/>
      <c r="W517" s="66"/>
      <c r="X517" s="85"/>
      <c r="AP517" t="str">
        <v/>
      </c>
    </row>
    <row r="518" spans="4:42" ht="15.75" x14ac:dyDescent="0.25">
      <c r="D518" s="3">
        <v>1</v>
      </c>
      <c r="F518" s="16" t="str" cm="1">
        <f t="array" ref="F5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8" s="31" cm="1">
        <f t="array" ref="G5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8" s="33" t="str">
        <f>_xlfn.IFNA(IF(MOD(HLG_03[[#This Row],[Rit]],
    _xlfn.XLOOKUP($G$2,Int_Sample[Ore],Int_Sample[Inc])) = 0, "YES", "NO"),"")</f>
        <v/>
      </c>
      <c r="I518" s="32" t="str">
        <f>TEXT(HLG_03[[#This Row],[Batch]],"000")&amp; " / " &amp; TEXT(HLG_03[[#This Row],[Rit]],"000")</f>
        <v>N/A / 000</v>
      </c>
      <c r="J518" s="34"/>
      <c r="K518" s="38"/>
      <c r="L518" s="35"/>
      <c r="M518" s="66"/>
      <c r="N518" s="66"/>
      <c r="O518" s="66"/>
      <c r="P518" s="66"/>
      <c r="Q518" s="66"/>
      <c r="R518" s="67"/>
      <c r="S518" s="67"/>
      <c r="T518" s="67"/>
      <c r="U518" s="66"/>
      <c r="V518" s="66"/>
      <c r="W518" s="66"/>
      <c r="X518" s="85"/>
      <c r="AP518" t="str">
        <v/>
      </c>
    </row>
    <row r="519" spans="4:42" ht="15.75" x14ac:dyDescent="0.25">
      <c r="D519" s="3">
        <v>1</v>
      </c>
      <c r="F519" s="16" t="str" cm="1">
        <f t="array" ref="F5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9" s="31" cm="1">
        <f t="array" ref="G5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9" s="33" t="str">
        <f>_xlfn.IFNA(IF(MOD(HLG_03[[#This Row],[Rit]],
    _xlfn.XLOOKUP($G$2,Int_Sample[Ore],Int_Sample[Inc])) = 0, "YES", "NO"),"")</f>
        <v/>
      </c>
      <c r="I519" s="32" t="str">
        <f>TEXT(HLG_03[[#This Row],[Batch]],"000")&amp; " / " &amp; TEXT(HLG_03[[#This Row],[Rit]],"000")</f>
        <v>N/A / 000</v>
      </c>
      <c r="J519" s="34"/>
      <c r="K519" s="38"/>
      <c r="L519" s="35"/>
      <c r="M519" s="66"/>
      <c r="N519" s="66"/>
      <c r="O519" s="66"/>
      <c r="P519" s="66"/>
      <c r="Q519" s="66"/>
      <c r="R519" s="67"/>
      <c r="S519" s="67"/>
      <c r="T519" s="67"/>
      <c r="U519" s="66"/>
      <c r="V519" s="66"/>
      <c r="W519" s="66"/>
      <c r="X519" s="85"/>
      <c r="AP519" t="str">
        <v/>
      </c>
    </row>
    <row r="520" spans="4:42" ht="15.75" x14ac:dyDescent="0.25">
      <c r="D520" s="3">
        <v>1</v>
      </c>
      <c r="F520" s="16" t="str" cm="1">
        <f t="array" ref="F5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0" s="31" cm="1">
        <f t="array" ref="G5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0" s="33" t="str">
        <f>_xlfn.IFNA(IF(MOD(HLG_03[[#This Row],[Rit]],
    _xlfn.XLOOKUP($G$2,Int_Sample[Ore],Int_Sample[Inc])) = 0, "YES", "NO"),"")</f>
        <v/>
      </c>
      <c r="I520" s="32" t="str">
        <f>TEXT(HLG_03[[#This Row],[Batch]],"000")&amp; " / " &amp; TEXT(HLG_03[[#This Row],[Rit]],"000")</f>
        <v>N/A / 000</v>
      </c>
      <c r="J520" s="34"/>
      <c r="K520" s="38"/>
      <c r="L520" s="35"/>
      <c r="M520" s="66"/>
      <c r="N520" s="66"/>
      <c r="O520" s="66"/>
      <c r="P520" s="66"/>
      <c r="Q520" s="66"/>
      <c r="R520" s="67"/>
      <c r="S520" s="67"/>
      <c r="T520" s="67"/>
      <c r="U520" s="66"/>
      <c r="V520" s="66"/>
      <c r="W520" s="66"/>
      <c r="X520" s="85"/>
      <c r="AP520" t="str">
        <v/>
      </c>
    </row>
    <row r="521" spans="4:42" ht="15.75" x14ac:dyDescent="0.25">
      <c r="D521" s="3">
        <v>1</v>
      </c>
      <c r="F521" s="16" t="str" cm="1">
        <f t="array" ref="F5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1" s="31" cm="1">
        <f t="array" ref="G5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1" s="33" t="str">
        <f>_xlfn.IFNA(IF(MOD(HLG_03[[#This Row],[Rit]],
    _xlfn.XLOOKUP($G$2,Int_Sample[Ore],Int_Sample[Inc])) = 0, "YES", "NO"),"")</f>
        <v/>
      </c>
      <c r="I521" s="32" t="str">
        <f>TEXT(HLG_03[[#This Row],[Batch]],"000")&amp; " / " &amp; TEXT(HLG_03[[#This Row],[Rit]],"000")</f>
        <v>N/A / 000</v>
      </c>
      <c r="J521" s="34"/>
      <c r="K521" s="38"/>
      <c r="L521" s="35"/>
      <c r="M521" s="66"/>
      <c r="N521" s="66"/>
      <c r="O521" s="66"/>
      <c r="P521" s="66"/>
      <c r="Q521" s="66"/>
      <c r="R521" s="67"/>
      <c r="S521" s="67"/>
      <c r="T521" s="67"/>
      <c r="U521" s="66"/>
      <c r="V521" s="66"/>
      <c r="W521" s="66"/>
      <c r="X521" s="85"/>
      <c r="AP521" t="str">
        <v/>
      </c>
    </row>
    <row r="522" spans="4:42" ht="15.75" x14ac:dyDescent="0.25">
      <c r="D522" s="3">
        <v>1</v>
      </c>
      <c r="F522" s="16" t="str" cm="1">
        <f t="array" ref="F5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2" s="31" cm="1">
        <f t="array" ref="G5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2" s="33" t="str">
        <f>_xlfn.IFNA(IF(MOD(HLG_03[[#This Row],[Rit]],
    _xlfn.XLOOKUP($G$2,Int_Sample[Ore],Int_Sample[Inc])) = 0, "YES", "NO"),"")</f>
        <v/>
      </c>
      <c r="I522" s="32" t="str">
        <f>TEXT(HLG_03[[#This Row],[Batch]],"000")&amp; " / " &amp; TEXT(HLG_03[[#This Row],[Rit]],"000")</f>
        <v>N/A / 000</v>
      </c>
      <c r="J522" s="34"/>
      <c r="K522" s="38"/>
      <c r="L522" s="35"/>
      <c r="M522" s="66"/>
      <c r="N522" s="66"/>
      <c r="O522" s="66"/>
      <c r="P522" s="66"/>
      <c r="Q522" s="66"/>
      <c r="R522" s="67"/>
      <c r="S522" s="67"/>
      <c r="T522" s="67"/>
      <c r="U522" s="66"/>
      <c r="V522" s="66"/>
      <c r="W522" s="66"/>
      <c r="X522" s="85"/>
      <c r="AP522" t="str">
        <v/>
      </c>
    </row>
    <row r="523" spans="4:42" ht="15.75" x14ac:dyDescent="0.25">
      <c r="D523" s="3">
        <v>1</v>
      </c>
      <c r="F523" s="16" t="str" cm="1">
        <f t="array" ref="F5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3" s="31" cm="1">
        <f t="array" ref="G5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3" s="33" t="str">
        <f>_xlfn.IFNA(IF(MOD(HLG_03[[#This Row],[Rit]],
    _xlfn.XLOOKUP($G$2,Int_Sample[Ore],Int_Sample[Inc])) = 0, "YES", "NO"),"")</f>
        <v/>
      </c>
      <c r="I523" s="32" t="str">
        <f>TEXT(HLG_03[[#This Row],[Batch]],"000")&amp; " / " &amp; TEXT(HLG_03[[#This Row],[Rit]],"000")</f>
        <v>N/A / 000</v>
      </c>
      <c r="J523" s="34"/>
      <c r="K523" s="38"/>
      <c r="L523" s="35"/>
      <c r="M523" s="66"/>
      <c r="N523" s="66"/>
      <c r="O523" s="66"/>
      <c r="P523" s="66"/>
      <c r="Q523" s="66"/>
      <c r="R523" s="67"/>
      <c r="S523" s="67"/>
      <c r="T523" s="67"/>
      <c r="U523" s="66"/>
      <c r="V523" s="66"/>
      <c r="W523" s="66"/>
      <c r="X523" s="85"/>
      <c r="AP523" t="str">
        <v/>
      </c>
    </row>
    <row r="524" spans="4:42" ht="15.75" x14ac:dyDescent="0.25">
      <c r="D524" s="3">
        <v>1</v>
      </c>
      <c r="F524" s="16" t="str" cm="1">
        <f t="array" ref="F5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4" s="31" cm="1">
        <f t="array" ref="G5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4" s="33" t="str">
        <f>_xlfn.IFNA(IF(MOD(HLG_03[[#This Row],[Rit]],
    _xlfn.XLOOKUP($G$2,Int_Sample[Ore],Int_Sample[Inc])) = 0, "YES", "NO"),"")</f>
        <v/>
      </c>
      <c r="I524" s="32" t="str">
        <f>TEXT(HLG_03[[#This Row],[Batch]],"000")&amp; " / " &amp; TEXT(HLG_03[[#This Row],[Rit]],"000")</f>
        <v>N/A / 000</v>
      </c>
      <c r="J524" s="34"/>
      <c r="K524" s="38"/>
      <c r="L524" s="35"/>
      <c r="M524" s="66"/>
      <c r="N524" s="66"/>
      <c r="O524" s="66"/>
      <c r="P524" s="66"/>
      <c r="Q524" s="66"/>
      <c r="R524" s="67"/>
      <c r="S524" s="67"/>
      <c r="T524" s="67"/>
      <c r="U524" s="66"/>
      <c r="V524" s="66"/>
      <c r="W524" s="66"/>
      <c r="X524" s="85"/>
      <c r="AP524" t="str">
        <v/>
      </c>
    </row>
    <row r="525" spans="4:42" ht="15.75" x14ac:dyDescent="0.25">
      <c r="D525" s="3">
        <v>1</v>
      </c>
      <c r="F525" s="16" t="str" cm="1">
        <f t="array" ref="F5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5" s="31" cm="1">
        <f t="array" ref="G5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5" s="33" t="str">
        <f>_xlfn.IFNA(IF(MOD(HLG_03[[#This Row],[Rit]],
    _xlfn.XLOOKUP($G$2,Int_Sample[Ore],Int_Sample[Inc])) = 0, "YES", "NO"),"")</f>
        <v/>
      </c>
      <c r="I525" s="32" t="str">
        <f>TEXT(HLG_03[[#This Row],[Batch]],"000")&amp; " / " &amp; TEXT(HLG_03[[#This Row],[Rit]],"000")</f>
        <v>N/A / 000</v>
      </c>
      <c r="J525" s="34"/>
      <c r="K525" s="38"/>
      <c r="L525" s="35"/>
      <c r="M525" s="66"/>
      <c r="N525" s="66"/>
      <c r="O525" s="66"/>
      <c r="P525" s="66"/>
      <c r="Q525" s="66"/>
      <c r="R525" s="67"/>
      <c r="S525" s="67"/>
      <c r="T525" s="67"/>
      <c r="U525" s="66"/>
      <c r="V525" s="66"/>
      <c r="W525" s="66"/>
      <c r="X525" s="85"/>
      <c r="AP525" t="str">
        <v/>
      </c>
    </row>
    <row r="526" spans="4:42" ht="15.75" x14ac:dyDescent="0.25">
      <c r="D526" s="3">
        <v>1</v>
      </c>
      <c r="F526" s="16" t="str" cm="1">
        <f t="array" ref="F5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6" s="31" cm="1">
        <f t="array" ref="G5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6" s="33" t="str">
        <f>_xlfn.IFNA(IF(MOD(HLG_03[[#This Row],[Rit]],
    _xlfn.XLOOKUP($G$2,Int_Sample[Ore],Int_Sample[Inc])) = 0, "YES", "NO"),"")</f>
        <v/>
      </c>
      <c r="I526" s="32" t="str">
        <f>TEXT(HLG_03[[#This Row],[Batch]],"000")&amp; " / " &amp; TEXT(HLG_03[[#This Row],[Rit]],"000")</f>
        <v>N/A / 000</v>
      </c>
      <c r="J526" s="34"/>
      <c r="K526" s="38"/>
      <c r="L526" s="35"/>
      <c r="M526" s="66"/>
      <c r="N526" s="66"/>
      <c r="O526" s="66"/>
      <c r="P526" s="66"/>
      <c r="Q526" s="66"/>
      <c r="R526" s="67"/>
      <c r="S526" s="67"/>
      <c r="T526" s="67"/>
      <c r="U526" s="66"/>
      <c r="V526" s="66"/>
      <c r="W526" s="66"/>
      <c r="X526" s="85"/>
      <c r="AP526" t="str">
        <v/>
      </c>
    </row>
    <row r="527" spans="4:42" ht="15.75" x14ac:dyDescent="0.25">
      <c r="D527" s="3">
        <v>1</v>
      </c>
      <c r="F527" s="16" t="str" cm="1">
        <f t="array" ref="F5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7" s="31" cm="1">
        <f t="array" ref="G5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7" s="33" t="str">
        <f>_xlfn.IFNA(IF(MOD(HLG_03[[#This Row],[Rit]],
    _xlfn.XLOOKUP($G$2,Int_Sample[Ore],Int_Sample[Inc])) = 0, "YES", "NO"),"")</f>
        <v/>
      </c>
      <c r="I527" s="32" t="str">
        <f>TEXT(HLG_03[[#This Row],[Batch]],"000")&amp; " / " &amp; TEXT(HLG_03[[#This Row],[Rit]],"000")</f>
        <v>N/A / 000</v>
      </c>
      <c r="J527" s="34"/>
      <c r="K527" s="38"/>
      <c r="L527" s="35"/>
      <c r="M527" s="66"/>
      <c r="N527" s="66"/>
      <c r="O527" s="66"/>
      <c r="P527" s="66"/>
      <c r="Q527" s="66"/>
      <c r="R527" s="67"/>
      <c r="S527" s="67"/>
      <c r="T527" s="67"/>
      <c r="U527" s="66"/>
      <c r="V527" s="66"/>
      <c r="W527" s="66"/>
      <c r="X527" s="85"/>
      <c r="AP527" t="str">
        <v/>
      </c>
    </row>
    <row r="528" spans="4:42" ht="15.75" x14ac:dyDescent="0.25">
      <c r="D528" s="3">
        <v>1</v>
      </c>
      <c r="F528" s="16" t="str" cm="1">
        <f t="array" ref="F5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8" s="31" cm="1">
        <f t="array" ref="G5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8" s="33" t="str">
        <f>_xlfn.IFNA(IF(MOD(HLG_03[[#This Row],[Rit]],
    _xlfn.XLOOKUP($G$2,Int_Sample[Ore],Int_Sample[Inc])) = 0, "YES", "NO"),"")</f>
        <v/>
      </c>
      <c r="I528" s="32" t="str">
        <f>TEXT(HLG_03[[#This Row],[Batch]],"000")&amp; " / " &amp; TEXT(HLG_03[[#This Row],[Rit]],"000")</f>
        <v>N/A / 000</v>
      </c>
      <c r="J528" s="34"/>
      <c r="K528" s="38"/>
      <c r="L528" s="35"/>
      <c r="M528" s="66"/>
      <c r="N528" s="66"/>
      <c r="O528" s="66"/>
      <c r="P528" s="66"/>
      <c r="Q528" s="66"/>
      <c r="R528" s="67"/>
      <c r="S528" s="67"/>
      <c r="T528" s="67"/>
      <c r="U528" s="66"/>
      <c r="V528" s="66"/>
      <c r="W528" s="66"/>
      <c r="X528" s="85"/>
      <c r="AP528" t="str">
        <v/>
      </c>
    </row>
    <row r="529" spans="4:42" ht="15.75" x14ac:dyDescent="0.25">
      <c r="D529" s="3">
        <v>1</v>
      </c>
      <c r="F529" s="16" t="str" cm="1">
        <f t="array" ref="F5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9" s="31" cm="1">
        <f t="array" ref="G5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9" s="33" t="str">
        <f>_xlfn.IFNA(IF(MOD(HLG_03[[#This Row],[Rit]],
    _xlfn.XLOOKUP($G$2,Int_Sample[Ore],Int_Sample[Inc])) = 0, "YES", "NO"),"")</f>
        <v/>
      </c>
      <c r="I529" s="32" t="str">
        <f>TEXT(HLG_03[[#This Row],[Batch]],"000")&amp; " / " &amp; TEXT(HLG_03[[#This Row],[Rit]],"000")</f>
        <v>N/A / 000</v>
      </c>
      <c r="J529" s="34"/>
      <c r="K529" s="38"/>
      <c r="L529" s="35"/>
      <c r="M529" s="66"/>
      <c r="N529" s="66"/>
      <c r="O529" s="66"/>
      <c r="P529" s="66"/>
      <c r="Q529" s="66"/>
      <c r="R529" s="67"/>
      <c r="S529" s="67"/>
      <c r="T529" s="67"/>
      <c r="U529" s="66"/>
      <c r="V529" s="66"/>
      <c r="W529" s="66"/>
      <c r="X529" s="85"/>
      <c r="AP529" t="str">
        <v/>
      </c>
    </row>
    <row r="530" spans="4:42" ht="15.75" x14ac:dyDescent="0.25">
      <c r="D530" s="3">
        <v>1</v>
      </c>
      <c r="F530" s="16" t="str" cm="1">
        <f t="array" ref="F5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0" s="31" cm="1">
        <f t="array" ref="G5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0" s="33" t="str">
        <f>_xlfn.IFNA(IF(MOD(HLG_03[[#This Row],[Rit]],
    _xlfn.XLOOKUP($G$2,Int_Sample[Ore],Int_Sample[Inc])) = 0, "YES", "NO"),"")</f>
        <v/>
      </c>
      <c r="I530" s="32" t="str">
        <f>TEXT(HLG_03[[#This Row],[Batch]],"000")&amp; " / " &amp; TEXT(HLG_03[[#This Row],[Rit]],"000")</f>
        <v>N/A / 000</v>
      </c>
      <c r="J530" s="34"/>
      <c r="K530" s="38"/>
      <c r="L530" s="35"/>
      <c r="M530" s="66"/>
      <c r="N530" s="66"/>
      <c r="O530" s="66"/>
      <c r="P530" s="66"/>
      <c r="Q530" s="66"/>
      <c r="R530" s="67"/>
      <c r="S530" s="67"/>
      <c r="T530" s="67"/>
      <c r="U530" s="66"/>
      <c r="V530" s="66"/>
      <c r="W530" s="66"/>
      <c r="X530" s="85"/>
      <c r="AP530" t="str">
        <v/>
      </c>
    </row>
    <row r="531" spans="4:42" ht="15.75" x14ac:dyDescent="0.25">
      <c r="D531" s="3">
        <v>1</v>
      </c>
      <c r="F531" s="16" t="str" cm="1">
        <f t="array" ref="F5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1" s="31" cm="1">
        <f t="array" ref="G5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1" s="33" t="str">
        <f>_xlfn.IFNA(IF(MOD(HLG_03[[#This Row],[Rit]],
    _xlfn.XLOOKUP($G$2,Int_Sample[Ore],Int_Sample[Inc])) = 0, "YES", "NO"),"")</f>
        <v/>
      </c>
      <c r="I531" s="32" t="str">
        <f>TEXT(HLG_03[[#This Row],[Batch]],"000")&amp; " / " &amp; TEXT(HLG_03[[#This Row],[Rit]],"000")</f>
        <v>N/A / 000</v>
      </c>
      <c r="J531" s="34"/>
      <c r="K531" s="38"/>
      <c r="L531" s="35"/>
      <c r="M531" s="66"/>
      <c r="N531" s="66"/>
      <c r="O531" s="66"/>
      <c r="P531" s="66"/>
      <c r="Q531" s="66"/>
      <c r="R531" s="67"/>
      <c r="S531" s="67"/>
      <c r="T531" s="67"/>
      <c r="U531" s="66"/>
      <c r="V531" s="66"/>
      <c r="W531" s="66"/>
      <c r="X531" s="85"/>
      <c r="AP531" t="str">
        <v/>
      </c>
    </row>
    <row r="532" spans="4:42" ht="15.75" x14ac:dyDescent="0.25">
      <c r="D532" s="3">
        <v>1</v>
      </c>
      <c r="F532" s="16" t="str" cm="1">
        <f t="array" ref="F5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2" s="31" cm="1">
        <f t="array" ref="G5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2" s="33" t="str">
        <f>_xlfn.IFNA(IF(MOD(HLG_03[[#This Row],[Rit]],
    _xlfn.XLOOKUP($G$2,Int_Sample[Ore],Int_Sample[Inc])) = 0, "YES", "NO"),"")</f>
        <v/>
      </c>
      <c r="I532" s="32" t="str">
        <f>TEXT(HLG_03[[#This Row],[Batch]],"000")&amp; " / " &amp; TEXT(HLG_03[[#This Row],[Rit]],"000")</f>
        <v>N/A / 000</v>
      </c>
      <c r="J532" s="34"/>
      <c r="K532" s="38"/>
      <c r="L532" s="35"/>
      <c r="M532" s="66"/>
      <c r="N532" s="66"/>
      <c r="O532" s="66"/>
      <c r="P532" s="66"/>
      <c r="Q532" s="66"/>
      <c r="R532" s="67"/>
      <c r="S532" s="67"/>
      <c r="T532" s="67"/>
      <c r="U532" s="66"/>
      <c r="V532" s="66"/>
      <c r="W532" s="66"/>
      <c r="X532" s="85"/>
      <c r="AP532" t="str">
        <v/>
      </c>
    </row>
    <row r="533" spans="4:42" ht="15.75" x14ac:dyDescent="0.25">
      <c r="D533" s="3">
        <v>1</v>
      </c>
      <c r="F533" s="16" t="str" cm="1">
        <f t="array" ref="F5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3" s="31" cm="1">
        <f t="array" ref="G5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3" s="33" t="str">
        <f>_xlfn.IFNA(IF(MOD(HLG_03[[#This Row],[Rit]],
    _xlfn.XLOOKUP($G$2,Int_Sample[Ore],Int_Sample[Inc])) = 0, "YES", "NO"),"")</f>
        <v/>
      </c>
      <c r="I533" s="32" t="str">
        <f>TEXT(HLG_03[[#This Row],[Batch]],"000")&amp; " / " &amp; TEXT(HLG_03[[#This Row],[Rit]],"000")</f>
        <v>N/A / 000</v>
      </c>
      <c r="J533" s="34"/>
      <c r="K533" s="38"/>
      <c r="L533" s="35"/>
      <c r="M533" s="66"/>
      <c r="N533" s="66"/>
      <c r="O533" s="66"/>
      <c r="P533" s="66"/>
      <c r="Q533" s="66"/>
      <c r="R533" s="67"/>
      <c r="S533" s="67"/>
      <c r="T533" s="67"/>
      <c r="U533" s="66"/>
      <c r="V533" s="66"/>
      <c r="W533" s="66"/>
      <c r="X533" s="85"/>
      <c r="AP533" t="str">
        <v/>
      </c>
    </row>
    <row r="534" spans="4:42" ht="15.75" x14ac:dyDescent="0.25">
      <c r="D534" s="3">
        <v>1</v>
      </c>
      <c r="F534" s="16" t="str" cm="1">
        <f t="array" ref="F5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4" s="31" cm="1">
        <f t="array" ref="G5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4" s="33" t="str">
        <f>_xlfn.IFNA(IF(MOD(HLG_03[[#This Row],[Rit]],
    _xlfn.XLOOKUP($G$2,Int_Sample[Ore],Int_Sample[Inc])) = 0, "YES", "NO"),"")</f>
        <v/>
      </c>
      <c r="I534" s="32" t="str">
        <f>TEXT(HLG_03[[#This Row],[Batch]],"000")&amp; " / " &amp; TEXT(HLG_03[[#This Row],[Rit]],"000")</f>
        <v>N/A / 000</v>
      </c>
      <c r="J534" s="34"/>
      <c r="K534" s="38"/>
      <c r="L534" s="35"/>
      <c r="M534" s="66"/>
      <c r="N534" s="66"/>
      <c r="O534" s="66"/>
      <c r="P534" s="66"/>
      <c r="Q534" s="66"/>
      <c r="R534" s="67"/>
      <c r="S534" s="67"/>
      <c r="T534" s="67"/>
      <c r="U534" s="66"/>
      <c r="V534" s="66"/>
      <c r="W534" s="66"/>
      <c r="X534" s="85"/>
      <c r="AP534" t="str">
        <v/>
      </c>
    </row>
    <row r="535" spans="4:42" ht="15.75" x14ac:dyDescent="0.25">
      <c r="D535" s="3">
        <v>1</v>
      </c>
      <c r="F535" s="16" t="str" cm="1">
        <f t="array" ref="F5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5" s="31" cm="1">
        <f t="array" ref="G5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5" s="33" t="str">
        <f>_xlfn.IFNA(IF(MOD(HLG_03[[#This Row],[Rit]],
    _xlfn.XLOOKUP($G$2,Int_Sample[Ore],Int_Sample[Inc])) = 0, "YES", "NO"),"")</f>
        <v/>
      </c>
      <c r="I535" s="32" t="str">
        <f>TEXT(HLG_03[[#This Row],[Batch]],"000")&amp; " / " &amp; TEXT(HLG_03[[#This Row],[Rit]],"000")</f>
        <v>N/A / 000</v>
      </c>
      <c r="J535" s="34"/>
      <c r="K535" s="38"/>
      <c r="L535" s="35"/>
      <c r="M535" s="66"/>
      <c r="N535" s="66"/>
      <c r="O535" s="66"/>
      <c r="P535" s="66"/>
      <c r="Q535" s="66"/>
      <c r="R535" s="67"/>
      <c r="S535" s="67"/>
      <c r="T535" s="67"/>
      <c r="U535" s="66"/>
      <c r="V535" s="66"/>
      <c r="W535" s="66"/>
      <c r="X535" s="85"/>
      <c r="AP535" t="str">
        <v/>
      </c>
    </row>
    <row r="536" spans="4:42" ht="15.75" x14ac:dyDescent="0.25">
      <c r="D536" s="3">
        <v>1</v>
      </c>
      <c r="F536" s="16" t="str" cm="1">
        <f t="array" ref="F5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6" s="31" cm="1">
        <f t="array" ref="G5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6" s="33" t="str">
        <f>_xlfn.IFNA(IF(MOD(HLG_03[[#This Row],[Rit]],
    _xlfn.XLOOKUP($G$2,Int_Sample[Ore],Int_Sample[Inc])) = 0, "YES", "NO"),"")</f>
        <v/>
      </c>
      <c r="I536" s="32" t="str">
        <f>TEXT(HLG_03[[#This Row],[Batch]],"000")&amp; " / " &amp; TEXT(HLG_03[[#This Row],[Rit]],"000")</f>
        <v>N/A / 000</v>
      </c>
      <c r="J536" s="34"/>
      <c r="K536" s="38"/>
      <c r="L536" s="35"/>
      <c r="M536" s="66"/>
      <c r="N536" s="66"/>
      <c r="O536" s="66"/>
      <c r="P536" s="66"/>
      <c r="Q536" s="66"/>
      <c r="R536" s="67"/>
      <c r="S536" s="67"/>
      <c r="T536" s="67"/>
      <c r="U536" s="66"/>
      <c r="V536" s="66"/>
      <c r="W536" s="66"/>
      <c r="X536" s="85"/>
      <c r="AP536" t="str">
        <v/>
      </c>
    </row>
    <row r="537" spans="4:42" ht="15.75" x14ac:dyDescent="0.25">
      <c r="D537" s="3">
        <v>1</v>
      </c>
      <c r="F537" s="16" t="str" cm="1">
        <f t="array" ref="F5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7" s="31" cm="1">
        <f t="array" ref="G5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7" s="33" t="str">
        <f>_xlfn.IFNA(IF(MOD(HLG_03[[#This Row],[Rit]],
    _xlfn.XLOOKUP($G$2,Int_Sample[Ore],Int_Sample[Inc])) = 0, "YES", "NO"),"")</f>
        <v/>
      </c>
      <c r="I537" s="32" t="str">
        <f>TEXT(HLG_03[[#This Row],[Batch]],"000")&amp; " / " &amp; TEXT(HLG_03[[#This Row],[Rit]],"000")</f>
        <v>N/A / 000</v>
      </c>
      <c r="J537" s="34"/>
      <c r="K537" s="38"/>
      <c r="L537" s="35"/>
      <c r="M537" s="66"/>
      <c r="N537" s="66"/>
      <c r="O537" s="66"/>
      <c r="P537" s="66"/>
      <c r="Q537" s="66"/>
      <c r="R537" s="67"/>
      <c r="S537" s="67"/>
      <c r="T537" s="67"/>
      <c r="U537" s="66"/>
      <c r="V537" s="66"/>
      <c r="W537" s="66"/>
      <c r="X537" s="85"/>
      <c r="AP537" t="str">
        <v/>
      </c>
    </row>
    <row r="538" spans="4:42" ht="15.75" x14ac:dyDescent="0.25">
      <c r="D538" s="3">
        <v>1</v>
      </c>
      <c r="F538" s="16" t="str" cm="1">
        <f t="array" ref="F5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8" s="31" cm="1">
        <f t="array" ref="G5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8" s="33" t="str">
        <f>_xlfn.IFNA(IF(MOD(HLG_03[[#This Row],[Rit]],
    _xlfn.XLOOKUP($G$2,Int_Sample[Ore],Int_Sample[Inc])) = 0, "YES", "NO"),"")</f>
        <v/>
      </c>
      <c r="I538" s="32" t="str">
        <f>TEXT(HLG_03[[#This Row],[Batch]],"000")&amp; " / " &amp; TEXT(HLG_03[[#This Row],[Rit]],"000")</f>
        <v>N/A / 000</v>
      </c>
      <c r="J538" s="34"/>
      <c r="K538" s="38"/>
      <c r="L538" s="35"/>
      <c r="M538" s="66"/>
      <c r="N538" s="66"/>
      <c r="O538" s="66"/>
      <c r="P538" s="66"/>
      <c r="Q538" s="66"/>
      <c r="R538" s="67"/>
      <c r="S538" s="67"/>
      <c r="T538" s="67"/>
      <c r="U538" s="66"/>
      <c r="V538" s="66"/>
      <c r="W538" s="66"/>
      <c r="X538" s="85"/>
      <c r="AP538" t="str">
        <v/>
      </c>
    </row>
    <row r="539" spans="4:42" ht="15.75" x14ac:dyDescent="0.25">
      <c r="D539" s="3">
        <v>1</v>
      </c>
      <c r="F539" s="16" t="str" cm="1">
        <f t="array" ref="F5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9" s="31" cm="1">
        <f t="array" ref="G5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9" s="33" t="str">
        <f>_xlfn.IFNA(IF(MOD(HLG_03[[#This Row],[Rit]],
    _xlfn.XLOOKUP($G$2,Int_Sample[Ore],Int_Sample[Inc])) = 0, "YES", "NO"),"")</f>
        <v/>
      </c>
      <c r="I539" s="32" t="str">
        <f>TEXT(HLG_03[[#This Row],[Batch]],"000")&amp; " / " &amp; TEXT(HLG_03[[#This Row],[Rit]],"000")</f>
        <v>N/A / 000</v>
      </c>
      <c r="J539" s="34"/>
      <c r="K539" s="38"/>
      <c r="L539" s="35"/>
      <c r="M539" s="66"/>
      <c r="N539" s="66"/>
      <c r="O539" s="66"/>
      <c r="P539" s="66"/>
      <c r="Q539" s="66"/>
      <c r="R539" s="67"/>
      <c r="S539" s="67"/>
      <c r="T539" s="67"/>
      <c r="U539" s="66"/>
      <c r="V539" s="66"/>
      <c r="W539" s="66"/>
      <c r="X539" s="85"/>
      <c r="AP539" t="str">
        <v/>
      </c>
    </row>
    <row r="540" spans="4:42" ht="15.75" x14ac:dyDescent="0.25">
      <c r="D540" s="3">
        <v>1</v>
      </c>
      <c r="F540" s="16" t="str" cm="1">
        <f t="array" ref="F5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0" s="31" cm="1">
        <f t="array" ref="G5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0" s="33" t="str">
        <f>_xlfn.IFNA(IF(MOD(HLG_03[[#This Row],[Rit]],
    _xlfn.XLOOKUP($G$2,Int_Sample[Ore],Int_Sample[Inc])) = 0, "YES", "NO"),"")</f>
        <v/>
      </c>
      <c r="I540" s="32" t="str">
        <f>TEXT(HLG_03[[#This Row],[Batch]],"000")&amp; " / " &amp; TEXT(HLG_03[[#This Row],[Rit]],"000")</f>
        <v>N/A / 000</v>
      </c>
      <c r="J540" s="34"/>
      <c r="K540" s="38"/>
      <c r="L540" s="35"/>
      <c r="M540" s="66"/>
      <c r="N540" s="66"/>
      <c r="O540" s="66"/>
      <c r="P540" s="66"/>
      <c r="Q540" s="66"/>
      <c r="R540" s="67"/>
      <c r="S540" s="67"/>
      <c r="T540" s="67"/>
      <c r="U540" s="66"/>
      <c r="V540" s="66"/>
      <c r="W540" s="66"/>
      <c r="X540" s="85"/>
      <c r="AP540" t="str">
        <v/>
      </c>
    </row>
    <row r="541" spans="4:42" ht="15.75" x14ac:dyDescent="0.25">
      <c r="D541" s="3">
        <v>1</v>
      </c>
      <c r="F541" s="16" t="str" cm="1">
        <f t="array" ref="F5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1" s="31" cm="1">
        <f t="array" ref="G5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1" s="33" t="str">
        <f>_xlfn.IFNA(IF(MOD(HLG_03[[#This Row],[Rit]],
    _xlfn.XLOOKUP($G$2,Int_Sample[Ore],Int_Sample[Inc])) = 0, "YES", "NO"),"")</f>
        <v/>
      </c>
      <c r="I541" s="32" t="str">
        <f>TEXT(HLG_03[[#This Row],[Batch]],"000")&amp; " / " &amp; TEXT(HLG_03[[#This Row],[Rit]],"000")</f>
        <v>N/A / 000</v>
      </c>
      <c r="J541" s="34"/>
      <c r="K541" s="38"/>
      <c r="L541" s="35"/>
      <c r="M541" s="66"/>
      <c r="N541" s="66"/>
      <c r="O541" s="66"/>
      <c r="P541" s="66"/>
      <c r="Q541" s="66"/>
      <c r="R541" s="67"/>
      <c r="S541" s="67"/>
      <c r="T541" s="67"/>
      <c r="U541" s="66"/>
      <c r="V541" s="66"/>
      <c r="W541" s="66"/>
      <c r="X541" s="85"/>
      <c r="AP541" t="str">
        <v/>
      </c>
    </row>
    <row r="542" spans="4:42" ht="15.75" x14ac:dyDescent="0.25">
      <c r="D542" s="3">
        <v>1</v>
      </c>
      <c r="F542" s="16" t="str" cm="1">
        <f t="array" ref="F5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2" s="31" cm="1">
        <f t="array" ref="G5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2" s="33" t="str">
        <f>_xlfn.IFNA(IF(MOD(HLG_03[[#This Row],[Rit]],
    _xlfn.XLOOKUP($G$2,Int_Sample[Ore],Int_Sample[Inc])) = 0, "YES", "NO"),"")</f>
        <v/>
      </c>
      <c r="I542" s="32" t="str">
        <f>TEXT(HLG_03[[#This Row],[Batch]],"000")&amp; " / " &amp; TEXT(HLG_03[[#This Row],[Rit]],"000")</f>
        <v>N/A / 000</v>
      </c>
      <c r="J542" s="34"/>
      <c r="K542" s="38"/>
      <c r="L542" s="35"/>
      <c r="M542" s="66"/>
      <c r="N542" s="66"/>
      <c r="O542" s="66"/>
      <c r="P542" s="66"/>
      <c r="Q542" s="66"/>
      <c r="R542" s="67"/>
      <c r="S542" s="67"/>
      <c r="T542" s="67"/>
      <c r="U542" s="66"/>
      <c r="V542" s="66"/>
      <c r="W542" s="66"/>
      <c r="X542" s="85"/>
      <c r="AP542" t="str">
        <v/>
      </c>
    </row>
    <row r="543" spans="4:42" ht="15.75" x14ac:dyDescent="0.25">
      <c r="D543" s="3">
        <v>1</v>
      </c>
      <c r="F543" s="16" t="str" cm="1">
        <f t="array" ref="F5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3" s="31" cm="1">
        <f t="array" ref="G5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3" s="33" t="str">
        <f>_xlfn.IFNA(IF(MOD(HLG_03[[#This Row],[Rit]],
    _xlfn.XLOOKUP($G$2,Int_Sample[Ore],Int_Sample[Inc])) = 0, "YES", "NO"),"")</f>
        <v/>
      </c>
      <c r="I543" s="32" t="str">
        <f>TEXT(HLG_03[[#This Row],[Batch]],"000")&amp; " / " &amp; TEXT(HLG_03[[#This Row],[Rit]],"000")</f>
        <v>N/A / 000</v>
      </c>
      <c r="J543" s="34"/>
      <c r="K543" s="38"/>
      <c r="L543" s="35"/>
      <c r="M543" s="66"/>
      <c r="N543" s="66"/>
      <c r="O543" s="66"/>
      <c r="P543" s="66"/>
      <c r="Q543" s="66"/>
      <c r="R543" s="67"/>
      <c r="S543" s="67"/>
      <c r="T543" s="67"/>
      <c r="U543" s="66"/>
      <c r="V543" s="66"/>
      <c r="W543" s="66"/>
      <c r="X543" s="85"/>
      <c r="AP543" t="str">
        <v/>
      </c>
    </row>
    <row r="544" spans="4:42" ht="15.75" x14ac:dyDescent="0.25">
      <c r="D544" s="3">
        <v>1</v>
      </c>
      <c r="F544" s="16" t="str" cm="1">
        <f t="array" ref="F5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4" s="31" cm="1">
        <f t="array" ref="G5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4" s="33" t="str">
        <f>_xlfn.IFNA(IF(MOD(HLG_03[[#This Row],[Rit]],
    _xlfn.XLOOKUP($G$2,Int_Sample[Ore],Int_Sample[Inc])) = 0, "YES", "NO"),"")</f>
        <v/>
      </c>
      <c r="I544" s="32" t="str">
        <f>TEXT(HLG_03[[#This Row],[Batch]],"000")&amp; " / " &amp; TEXT(HLG_03[[#This Row],[Rit]],"000")</f>
        <v>N/A / 000</v>
      </c>
      <c r="J544" s="34"/>
      <c r="K544" s="38"/>
      <c r="L544" s="35"/>
      <c r="M544" s="66"/>
      <c r="N544" s="66"/>
      <c r="O544" s="66"/>
      <c r="P544" s="66"/>
      <c r="Q544" s="66"/>
      <c r="R544" s="67"/>
      <c r="S544" s="67"/>
      <c r="T544" s="67"/>
      <c r="U544" s="66"/>
      <c r="V544" s="66"/>
      <c r="W544" s="66"/>
      <c r="X544" s="85"/>
      <c r="AP544" t="str">
        <v/>
      </c>
    </row>
    <row r="545" spans="4:42" ht="15.75" x14ac:dyDescent="0.25">
      <c r="D545" s="3">
        <v>1</v>
      </c>
      <c r="F545" s="16" t="str" cm="1">
        <f t="array" ref="F5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5" s="31" cm="1">
        <f t="array" ref="G5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5" s="33" t="str">
        <f>_xlfn.IFNA(IF(MOD(HLG_03[[#This Row],[Rit]],
    _xlfn.XLOOKUP($G$2,Int_Sample[Ore],Int_Sample[Inc])) = 0, "YES", "NO"),"")</f>
        <v/>
      </c>
      <c r="I545" s="32" t="str">
        <f>TEXT(HLG_03[[#This Row],[Batch]],"000")&amp; " / " &amp; TEXT(HLG_03[[#This Row],[Rit]],"000")</f>
        <v>N/A / 000</v>
      </c>
      <c r="J545" s="34"/>
      <c r="K545" s="38"/>
      <c r="L545" s="35"/>
      <c r="M545" s="66"/>
      <c r="N545" s="66"/>
      <c r="O545" s="66"/>
      <c r="P545" s="66"/>
      <c r="Q545" s="66"/>
      <c r="R545" s="67"/>
      <c r="S545" s="67"/>
      <c r="T545" s="67"/>
      <c r="U545" s="66"/>
      <c r="V545" s="66"/>
      <c r="W545" s="66"/>
      <c r="X545" s="85"/>
      <c r="AP545" t="str">
        <v/>
      </c>
    </row>
    <row r="546" spans="4:42" ht="15.75" x14ac:dyDescent="0.25">
      <c r="D546" s="3">
        <v>1</v>
      </c>
      <c r="F546" s="16" t="str" cm="1">
        <f t="array" ref="F5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6" s="31" cm="1">
        <f t="array" ref="G5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6" s="33" t="str">
        <f>_xlfn.IFNA(IF(MOD(HLG_03[[#This Row],[Rit]],
    _xlfn.XLOOKUP($G$2,Int_Sample[Ore],Int_Sample[Inc])) = 0, "YES", "NO"),"")</f>
        <v/>
      </c>
      <c r="I546" s="32" t="str">
        <f>TEXT(HLG_03[[#This Row],[Batch]],"000")&amp; " / " &amp; TEXT(HLG_03[[#This Row],[Rit]],"000")</f>
        <v>N/A / 000</v>
      </c>
      <c r="J546" s="34"/>
      <c r="K546" s="38"/>
      <c r="L546" s="35"/>
      <c r="M546" s="66"/>
      <c r="N546" s="66"/>
      <c r="O546" s="66"/>
      <c r="P546" s="66"/>
      <c r="Q546" s="66"/>
      <c r="R546" s="67"/>
      <c r="S546" s="67"/>
      <c r="T546" s="67"/>
      <c r="U546" s="66"/>
      <c r="V546" s="66"/>
      <c r="W546" s="66"/>
      <c r="X546" s="85"/>
      <c r="AP546" t="str">
        <v/>
      </c>
    </row>
    <row r="547" spans="4:42" ht="15.75" x14ac:dyDescent="0.25">
      <c r="D547" s="3">
        <v>1</v>
      </c>
      <c r="F547" s="16" t="str" cm="1">
        <f t="array" ref="F5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7" s="31" cm="1">
        <f t="array" ref="G5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7" s="33" t="str">
        <f>_xlfn.IFNA(IF(MOD(HLG_03[[#This Row],[Rit]],
    _xlfn.XLOOKUP($G$2,Int_Sample[Ore],Int_Sample[Inc])) = 0, "YES", "NO"),"")</f>
        <v/>
      </c>
      <c r="I547" s="32" t="str">
        <f>TEXT(HLG_03[[#This Row],[Batch]],"000")&amp; " / " &amp; TEXT(HLG_03[[#This Row],[Rit]],"000")</f>
        <v>N/A / 000</v>
      </c>
      <c r="J547" s="34"/>
      <c r="K547" s="38"/>
      <c r="L547" s="35"/>
      <c r="M547" s="66"/>
      <c r="N547" s="66"/>
      <c r="O547" s="66"/>
      <c r="P547" s="66"/>
      <c r="Q547" s="66"/>
      <c r="R547" s="67"/>
      <c r="S547" s="67"/>
      <c r="T547" s="67"/>
      <c r="U547" s="66"/>
      <c r="V547" s="66"/>
      <c r="W547" s="66"/>
      <c r="X547" s="85"/>
      <c r="AP547" t="str">
        <v/>
      </c>
    </row>
    <row r="548" spans="4:42" ht="15.75" x14ac:dyDescent="0.25">
      <c r="D548" s="3">
        <v>1</v>
      </c>
      <c r="F548" s="16" t="str" cm="1">
        <f t="array" ref="F5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8" s="31" cm="1">
        <f t="array" ref="G5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8" s="33" t="str">
        <f>_xlfn.IFNA(IF(MOD(HLG_03[[#This Row],[Rit]],
    _xlfn.XLOOKUP($G$2,Int_Sample[Ore],Int_Sample[Inc])) = 0, "YES", "NO"),"")</f>
        <v/>
      </c>
      <c r="I548" s="32" t="str">
        <f>TEXT(HLG_03[[#This Row],[Batch]],"000")&amp; " / " &amp; TEXT(HLG_03[[#This Row],[Rit]],"000")</f>
        <v>N/A / 000</v>
      </c>
      <c r="J548" s="34"/>
      <c r="K548" s="38"/>
      <c r="L548" s="35"/>
      <c r="M548" s="66"/>
      <c r="N548" s="66"/>
      <c r="O548" s="66"/>
      <c r="P548" s="66"/>
      <c r="Q548" s="66"/>
      <c r="R548" s="67"/>
      <c r="S548" s="67"/>
      <c r="T548" s="67"/>
      <c r="U548" s="66"/>
      <c r="V548" s="66"/>
      <c r="W548" s="66"/>
      <c r="X548" s="85"/>
      <c r="AP548" t="str">
        <v/>
      </c>
    </row>
    <row r="549" spans="4:42" ht="15.75" x14ac:dyDescent="0.25">
      <c r="D549" s="3">
        <v>1</v>
      </c>
      <c r="F549" s="16" t="str" cm="1">
        <f t="array" ref="F5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9" s="31" cm="1">
        <f t="array" ref="G5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9" s="33" t="str">
        <f>_xlfn.IFNA(IF(MOD(HLG_03[[#This Row],[Rit]],
    _xlfn.XLOOKUP($G$2,Int_Sample[Ore],Int_Sample[Inc])) = 0, "YES", "NO"),"")</f>
        <v/>
      </c>
      <c r="I549" s="32" t="str">
        <f>TEXT(HLG_03[[#This Row],[Batch]],"000")&amp; " / " &amp; TEXT(HLG_03[[#This Row],[Rit]],"000")</f>
        <v>N/A / 000</v>
      </c>
      <c r="J549" s="34"/>
      <c r="K549" s="38"/>
      <c r="L549" s="35"/>
      <c r="M549" s="66"/>
      <c r="N549" s="66"/>
      <c r="O549" s="66"/>
      <c r="P549" s="66"/>
      <c r="Q549" s="66"/>
      <c r="R549" s="67"/>
      <c r="S549" s="67"/>
      <c r="T549" s="67"/>
      <c r="U549" s="66"/>
      <c r="V549" s="66"/>
      <c r="W549" s="66"/>
      <c r="X549" s="85"/>
      <c r="AP549" t="str">
        <v/>
      </c>
    </row>
    <row r="550" spans="4:42" ht="15.75" x14ac:dyDescent="0.25">
      <c r="D550" s="3">
        <v>1</v>
      </c>
      <c r="F550" s="16" t="str" cm="1">
        <f t="array" ref="F5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0" s="31" cm="1">
        <f t="array" ref="G5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0" s="33" t="str">
        <f>_xlfn.IFNA(IF(MOD(HLG_03[[#This Row],[Rit]],
    _xlfn.XLOOKUP($G$2,Int_Sample[Ore],Int_Sample[Inc])) = 0, "YES", "NO"),"")</f>
        <v/>
      </c>
      <c r="I550" s="32" t="str">
        <f>TEXT(HLG_03[[#This Row],[Batch]],"000")&amp; " / " &amp; TEXT(HLG_03[[#This Row],[Rit]],"000")</f>
        <v>N/A / 000</v>
      </c>
      <c r="J550" s="34"/>
      <c r="K550" s="38"/>
      <c r="L550" s="35"/>
      <c r="M550" s="66"/>
      <c r="N550" s="66"/>
      <c r="O550" s="66"/>
      <c r="P550" s="66"/>
      <c r="Q550" s="66"/>
      <c r="R550" s="67"/>
      <c r="S550" s="67"/>
      <c r="T550" s="67"/>
      <c r="U550" s="66"/>
      <c r="V550" s="66"/>
      <c r="W550" s="66"/>
      <c r="X550" s="85"/>
      <c r="AP550" t="str">
        <v/>
      </c>
    </row>
    <row r="551" spans="4:42" ht="15.75" x14ac:dyDescent="0.25">
      <c r="D551" s="3">
        <v>1</v>
      </c>
      <c r="F551" s="16" t="str" cm="1">
        <f t="array" ref="F5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1" s="31" cm="1">
        <f t="array" ref="G5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1" s="33" t="str">
        <f>_xlfn.IFNA(IF(MOD(HLG_03[[#This Row],[Rit]],
    _xlfn.XLOOKUP($G$2,Int_Sample[Ore],Int_Sample[Inc])) = 0, "YES", "NO"),"")</f>
        <v/>
      </c>
      <c r="I551" s="32" t="str">
        <f>TEXT(HLG_03[[#This Row],[Batch]],"000")&amp; " / " &amp; TEXT(HLG_03[[#This Row],[Rit]],"000")</f>
        <v>N/A / 000</v>
      </c>
      <c r="J551" s="34"/>
      <c r="K551" s="38"/>
      <c r="L551" s="35"/>
      <c r="M551" s="66"/>
      <c r="N551" s="66"/>
      <c r="O551" s="66"/>
      <c r="P551" s="66"/>
      <c r="Q551" s="66"/>
      <c r="R551" s="67"/>
      <c r="S551" s="67"/>
      <c r="T551" s="67"/>
      <c r="U551" s="66"/>
      <c r="V551" s="66"/>
      <c r="W551" s="66"/>
      <c r="X551" s="85"/>
      <c r="AP551" t="str">
        <v/>
      </c>
    </row>
    <row r="552" spans="4:42" ht="15.75" x14ac:dyDescent="0.25">
      <c r="D552" s="3">
        <v>1</v>
      </c>
      <c r="F552" s="16" t="str" cm="1">
        <f t="array" ref="F5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2" s="31" cm="1">
        <f t="array" ref="G5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2" s="33" t="str">
        <f>_xlfn.IFNA(IF(MOD(HLG_03[[#This Row],[Rit]],
    _xlfn.XLOOKUP($G$2,Int_Sample[Ore],Int_Sample[Inc])) = 0, "YES", "NO"),"")</f>
        <v/>
      </c>
      <c r="I552" s="32" t="str">
        <f>TEXT(HLG_03[[#This Row],[Batch]],"000")&amp; " / " &amp; TEXT(HLG_03[[#This Row],[Rit]],"000")</f>
        <v>N/A / 000</v>
      </c>
      <c r="J552" s="34"/>
      <c r="K552" s="38"/>
      <c r="L552" s="35"/>
      <c r="M552" s="66"/>
      <c r="N552" s="66"/>
      <c r="O552" s="66"/>
      <c r="P552" s="66"/>
      <c r="Q552" s="66"/>
      <c r="R552" s="67"/>
      <c r="S552" s="67"/>
      <c r="T552" s="67"/>
      <c r="U552" s="66"/>
      <c r="V552" s="66"/>
      <c r="W552" s="66"/>
      <c r="X552" s="85"/>
      <c r="AP552" t="str">
        <v/>
      </c>
    </row>
    <row r="553" spans="4:42" ht="15.75" x14ac:dyDescent="0.25">
      <c r="D553" s="3">
        <v>1</v>
      </c>
      <c r="F553" s="16" t="str" cm="1">
        <f t="array" ref="F5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3" s="31" cm="1">
        <f t="array" ref="G5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3" s="33" t="str">
        <f>_xlfn.IFNA(IF(MOD(HLG_03[[#This Row],[Rit]],
    _xlfn.XLOOKUP($G$2,Int_Sample[Ore],Int_Sample[Inc])) = 0, "YES", "NO"),"")</f>
        <v/>
      </c>
      <c r="I553" s="32" t="str">
        <f>TEXT(HLG_03[[#This Row],[Batch]],"000")&amp; " / " &amp; TEXT(HLG_03[[#This Row],[Rit]],"000")</f>
        <v>N/A / 000</v>
      </c>
      <c r="J553" s="34"/>
      <c r="K553" s="38"/>
      <c r="L553" s="35"/>
      <c r="M553" s="66"/>
      <c r="N553" s="66"/>
      <c r="O553" s="66"/>
      <c r="P553" s="66"/>
      <c r="Q553" s="66"/>
      <c r="R553" s="67"/>
      <c r="S553" s="67"/>
      <c r="T553" s="67"/>
      <c r="U553" s="66"/>
      <c r="V553" s="66"/>
      <c r="W553" s="66"/>
      <c r="X553" s="85"/>
      <c r="AP553" t="str">
        <v/>
      </c>
    </row>
    <row r="554" spans="4:42" ht="15.75" x14ac:dyDescent="0.25">
      <c r="D554" s="3">
        <v>1</v>
      </c>
      <c r="F554" s="16" t="str" cm="1">
        <f t="array" ref="F5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4" s="31" cm="1">
        <f t="array" ref="G5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4" s="33" t="str">
        <f>_xlfn.IFNA(IF(MOD(HLG_03[[#This Row],[Rit]],
    _xlfn.XLOOKUP($G$2,Int_Sample[Ore],Int_Sample[Inc])) = 0, "YES", "NO"),"")</f>
        <v/>
      </c>
      <c r="I554" s="32" t="str">
        <f>TEXT(HLG_03[[#This Row],[Batch]],"000")&amp; " / " &amp; TEXT(HLG_03[[#This Row],[Rit]],"000")</f>
        <v>N/A / 000</v>
      </c>
      <c r="J554" s="34"/>
      <c r="K554" s="38"/>
      <c r="L554" s="35"/>
      <c r="M554" s="66"/>
      <c r="N554" s="66"/>
      <c r="O554" s="66"/>
      <c r="P554" s="66"/>
      <c r="Q554" s="66"/>
      <c r="R554" s="67"/>
      <c r="S554" s="67"/>
      <c r="T554" s="67"/>
      <c r="U554" s="66"/>
      <c r="V554" s="66"/>
      <c r="W554" s="66"/>
      <c r="X554" s="85"/>
      <c r="AP554" t="str">
        <v/>
      </c>
    </row>
    <row r="555" spans="4:42" ht="15.75" x14ac:dyDescent="0.25">
      <c r="D555" s="3">
        <v>1</v>
      </c>
      <c r="F555" s="16" t="str" cm="1">
        <f t="array" ref="F5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5" s="31" cm="1">
        <f t="array" ref="G5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5" s="33" t="str">
        <f>_xlfn.IFNA(IF(MOD(HLG_03[[#This Row],[Rit]],
    _xlfn.XLOOKUP($G$2,Int_Sample[Ore],Int_Sample[Inc])) = 0, "YES", "NO"),"")</f>
        <v/>
      </c>
      <c r="I555" s="32" t="str">
        <f>TEXT(HLG_03[[#This Row],[Batch]],"000")&amp; " / " &amp; TEXT(HLG_03[[#This Row],[Rit]],"000")</f>
        <v>N/A / 000</v>
      </c>
      <c r="J555" s="34"/>
      <c r="K555" s="38"/>
      <c r="L555" s="35"/>
      <c r="M555" s="66"/>
      <c r="N555" s="66"/>
      <c r="O555" s="66"/>
      <c r="P555" s="66"/>
      <c r="Q555" s="66"/>
      <c r="R555" s="67"/>
      <c r="S555" s="67"/>
      <c r="T555" s="67"/>
      <c r="U555" s="66"/>
      <c r="V555" s="66"/>
      <c r="W555" s="66"/>
      <c r="X555" s="85"/>
      <c r="AP555" t="str">
        <v/>
      </c>
    </row>
    <row r="556" spans="4:42" ht="15.75" x14ac:dyDescent="0.25">
      <c r="D556" s="3">
        <v>1</v>
      </c>
      <c r="F556" s="16" t="str" cm="1">
        <f t="array" ref="F5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6" s="31" cm="1">
        <f t="array" ref="G5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6" s="33" t="str">
        <f>_xlfn.IFNA(IF(MOD(HLG_03[[#This Row],[Rit]],
    _xlfn.XLOOKUP($G$2,Int_Sample[Ore],Int_Sample[Inc])) = 0, "YES", "NO"),"")</f>
        <v/>
      </c>
      <c r="I556" s="32" t="str">
        <f>TEXT(HLG_03[[#This Row],[Batch]],"000")&amp; " / " &amp; TEXT(HLG_03[[#This Row],[Rit]],"000")</f>
        <v>N/A / 000</v>
      </c>
      <c r="J556" s="34"/>
      <c r="K556" s="38"/>
      <c r="L556" s="35"/>
      <c r="M556" s="66"/>
      <c r="N556" s="66"/>
      <c r="O556" s="66"/>
      <c r="P556" s="66"/>
      <c r="Q556" s="66"/>
      <c r="R556" s="67"/>
      <c r="S556" s="67"/>
      <c r="T556" s="67"/>
      <c r="U556" s="66"/>
      <c r="V556" s="66"/>
      <c r="W556" s="66"/>
      <c r="X556" s="85"/>
      <c r="AP556" t="str">
        <v/>
      </c>
    </row>
    <row r="557" spans="4:42" ht="15.75" x14ac:dyDescent="0.25">
      <c r="D557" s="3">
        <v>1</v>
      </c>
      <c r="F557" s="16" t="str" cm="1">
        <f t="array" ref="F5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7" s="31" cm="1">
        <f t="array" ref="G5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7" s="33" t="str">
        <f>_xlfn.IFNA(IF(MOD(HLG_03[[#This Row],[Rit]],
    _xlfn.XLOOKUP($G$2,Int_Sample[Ore],Int_Sample[Inc])) = 0, "YES", "NO"),"")</f>
        <v/>
      </c>
      <c r="I557" s="32" t="str">
        <f>TEXT(HLG_03[[#This Row],[Batch]],"000")&amp; " / " &amp; TEXT(HLG_03[[#This Row],[Rit]],"000")</f>
        <v>N/A / 000</v>
      </c>
      <c r="J557" s="34"/>
      <c r="K557" s="38"/>
      <c r="L557" s="35"/>
      <c r="M557" s="66"/>
      <c r="N557" s="66"/>
      <c r="O557" s="66"/>
      <c r="P557" s="66"/>
      <c r="Q557" s="66"/>
      <c r="R557" s="67"/>
      <c r="S557" s="67"/>
      <c r="T557" s="67"/>
      <c r="U557" s="66"/>
      <c r="V557" s="66"/>
      <c r="W557" s="66"/>
      <c r="X557" s="85"/>
      <c r="AP557" t="str">
        <v/>
      </c>
    </row>
    <row r="558" spans="4:42" ht="15.75" x14ac:dyDescent="0.25">
      <c r="D558" s="3">
        <v>1</v>
      </c>
      <c r="F558" s="16" t="str" cm="1">
        <f t="array" ref="F5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8" s="31" cm="1">
        <f t="array" ref="G5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8" s="33" t="str">
        <f>_xlfn.IFNA(IF(MOD(HLG_03[[#This Row],[Rit]],
    _xlfn.XLOOKUP($G$2,Int_Sample[Ore],Int_Sample[Inc])) = 0, "YES", "NO"),"")</f>
        <v/>
      </c>
      <c r="I558" s="32" t="str">
        <f>TEXT(HLG_03[[#This Row],[Batch]],"000")&amp; " / " &amp; TEXT(HLG_03[[#This Row],[Rit]],"000")</f>
        <v>N/A / 000</v>
      </c>
      <c r="J558" s="34"/>
      <c r="K558" s="38"/>
      <c r="L558" s="35"/>
      <c r="M558" s="66"/>
      <c r="N558" s="66"/>
      <c r="O558" s="66"/>
      <c r="P558" s="66"/>
      <c r="Q558" s="66"/>
      <c r="R558" s="67"/>
      <c r="S558" s="67"/>
      <c r="T558" s="67"/>
      <c r="U558" s="66"/>
      <c r="V558" s="66"/>
      <c r="W558" s="66"/>
      <c r="X558" s="85"/>
      <c r="AP558" t="str">
        <v/>
      </c>
    </row>
    <row r="559" spans="4:42" ht="15.75" x14ac:dyDescent="0.25">
      <c r="D559" s="3">
        <v>1</v>
      </c>
      <c r="F559" s="16" t="str" cm="1">
        <f t="array" ref="F5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9" s="31" cm="1">
        <f t="array" ref="G5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9" s="33" t="str">
        <f>_xlfn.IFNA(IF(MOD(HLG_03[[#This Row],[Rit]],
    _xlfn.XLOOKUP($G$2,Int_Sample[Ore],Int_Sample[Inc])) = 0, "YES", "NO"),"")</f>
        <v/>
      </c>
      <c r="I559" s="32" t="str">
        <f>TEXT(HLG_03[[#This Row],[Batch]],"000")&amp; " / " &amp; TEXT(HLG_03[[#This Row],[Rit]],"000")</f>
        <v>N/A / 000</v>
      </c>
      <c r="J559" s="34"/>
      <c r="K559" s="38"/>
      <c r="L559" s="35"/>
      <c r="M559" s="66"/>
      <c r="N559" s="66"/>
      <c r="O559" s="66"/>
      <c r="P559" s="66"/>
      <c r="Q559" s="66"/>
      <c r="R559" s="67"/>
      <c r="S559" s="67"/>
      <c r="T559" s="67"/>
      <c r="U559" s="66"/>
      <c r="V559" s="66"/>
      <c r="W559" s="66"/>
      <c r="X559" s="85"/>
      <c r="AP559" t="str">
        <v/>
      </c>
    </row>
    <row r="560" spans="4:42" ht="15.75" x14ac:dyDescent="0.25">
      <c r="D560" s="3">
        <v>1</v>
      </c>
      <c r="F560" s="16" t="str" cm="1">
        <f t="array" ref="F5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0" s="31" cm="1">
        <f t="array" ref="G5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0" s="33" t="str">
        <f>_xlfn.IFNA(IF(MOD(HLG_03[[#This Row],[Rit]],
    _xlfn.XLOOKUP($G$2,Int_Sample[Ore],Int_Sample[Inc])) = 0, "YES", "NO"),"")</f>
        <v/>
      </c>
      <c r="I560" s="32" t="str">
        <f>TEXT(HLG_03[[#This Row],[Batch]],"000")&amp; " / " &amp; TEXT(HLG_03[[#This Row],[Rit]],"000")</f>
        <v>N/A / 000</v>
      </c>
      <c r="J560" s="34"/>
      <c r="K560" s="38"/>
      <c r="L560" s="35"/>
      <c r="M560" s="66"/>
      <c r="N560" s="66"/>
      <c r="O560" s="66"/>
      <c r="P560" s="66"/>
      <c r="Q560" s="66"/>
      <c r="R560" s="67"/>
      <c r="S560" s="67"/>
      <c r="T560" s="67"/>
      <c r="U560" s="66"/>
      <c r="V560" s="66"/>
      <c r="W560" s="66"/>
      <c r="X560" s="85"/>
      <c r="AP560" t="str">
        <v/>
      </c>
    </row>
    <row r="561" spans="4:42" ht="15.75" x14ac:dyDescent="0.25">
      <c r="D561" s="3">
        <v>1</v>
      </c>
      <c r="F561" s="16" t="str" cm="1">
        <f t="array" ref="F5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1" s="31" cm="1">
        <f t="array" ref="G5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1" s="33" t="str">
        <f>_xlfn.IFNA(IF(MOD(HLG_03[[#This Row],[Rit]],
    _xlfn.XLOOKUP($G$2,Int_Sample[Ore],Int_Sample[Inc])) = 0, "YES", "NO"),"")</f>
        <v/>
      </c>
      <c r="I561" s="32" t="str">
        <f>TEXT(HLG_03[[#This Row],[Batch]],"000")&amp; " / " &amp; TEXT(HLG_03[[#This Row],[Rit]],"000")</f>
        <v>N/A / 000</v>
      </c>
      <c r="J561" s="34"/>
      <c r="K561" s="38"/>
      <c r="L561" s="35"/>
      <c r="M561" s="66"/>
      <c r="N561" s="66"/>
      <c r="O561" s="66"/>
      <c r="P561" s="66"/>
      <c r="Q561" s="66"/>
      <c r="R561" s="67"/>
      <c r="S561" s="67"/>
      <c r="T561" s="67"/>
      <c r="U561" s="66"/>
      <c r="V561" s="66"/>
      <c r="W561" s="66"/>
      <c r="X561" s="85"/>
      <c r="AP561" t="str">
        <v/>
      </c>
    </row>
    <row r="562" spans="4:42" ht="15.75" x14ac:dyDescent="0.25">
      <c r="D562" s="3">
        <v>1</v>
      </c>
      <c r="F562" s="16" t="str" cm="1">
        <f t="array" ref="F5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2" s="31" cm="1">
        <f t="array" ref="G5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2" s="33" t="str">
        <f>_xlfn.IFNA(IF(MOD(HLG_03[[#This Row],[Rit]],
    _xlfn.XLOOKUP($G$2,Int_Sample[Ore],Int_Sample[Inc])) = 0, "YES", "NO"),"")</f>
        <v/>
      </c>
      <c r="I562" s="32" t="str">
        <f>TEXT(HLG_03[[#This Row],[Batch]],"000")&amp; " / " &amp; TEXT(HLG_03[[#This Row],[Rit]],"000")</f>
        <v>N/A / 000</v>
      </c>
      <c r="J562" s="34"/>
      <c r="K562" s="38"/>
      <c r="L562" s="35"/>
      <c r="M562" s="66"/>
      <c r="N562" s="66"/>
      <c r="O562" s="66"/>
      <c r="P562" s="66"/>
      <c r="Q562" s="66"/>
      <c r="R562" s="67"/>
      <c r="S562" s="67"/>
      <c r="T562" s="67"/>
      <c r="U562" s="66"/>
      <c r="V562" s="66"/>
      <c r="W562" s="66"/>
      <c r="X562" s="85"/>
      <c r="AP562" t="str">
        <v/>
      </c>
    </row>
    <row r="563" spans="4:42" ht="15.75" x14ac:dyDescent="0.25">
      <c r="D563" s="3">
        <v>1</v>
      </c>
      <c r="F563" s="16" t="str" cm="1">
        <f t="array" ref="F5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3" s="31" cm="1">
        <f t="array" ref="G5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3" s="33" t="str">
        <f>_xlfn.IFNA(IF(MOD(HLG_03[[#This Row],[Rit]],
    _xlfn.XLOOKUP($G$2,Int_Sample[Ore],Int_Sample[Inc])) = 0, "YES", "NO"),"")</f>
        <v/>
      </c>
      <c r="I563" s="32" t="str">
        <f>TEXT(HLG_03[[#This Row],[Batch]],"000")&amp; " / " &amp; TEXT(HLG_03[[#This Row],[Rit]],"000")</f>
        <v>N/A / 000</v>
      </c>
      <c r="J563" s="34"/>
      <c r="K563" s="38"/>
      <c r="L563" s="35"/>
      <c r="M563" s="66"/>
      <c r="N563" s="66"/>
      <c r="O563" s="66"/>
      <c r="P563" s="66"/>
      <c r="Q563" s="66"/>
      <c r="R563" s="67"/>
      <c r="S563" s="67"/>
      <c r="T563" s="67"/>
      <c r="U563" s="66"/>
      <c r="V563" s="66"/>
      <c r="W563" s="66"/>
      <c r="X563" s="85"/>
      <c r="AP563" t="str">
        <v/>
      </c>
    </row>
    <row r="564" spans="4:42" ht="15.75" x14ac:dyDescent="0.25">
      <c r="D564" s="3">
        <v>1</v>
      </c>
      <c r="F564" s="16" t="str" cm="1">
        <f t="array" ref="F5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4" s="31" cm="1">
        <f t="array" ref="G5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4" s="33" t="str">
        <f>_xlfn.IFNA(IF(MOD(HLG_03[[#This Row],[Rit]],
    _xlfn.XLOOKUP($G$2,Int_Sample[Ore],Int_Sample[Inc])) = 0, "YES", "NO"),"")</f>
        <v/>
      </c>
      <c r="I564" s="32" t="str">
        <f>TEXT(HLG_03[[#This Row],[Batch]],"000")&amp; " / " &amp; TEXT(HLG_03[[#This Row],[Rit]],"000")</f>
        <v>N/A / 000</v>
      </c>
      <c r="J564" s="34"/>
      <c r="K564" s="38"/>
      <c r="L564" s="35"/>
      <c r="M564" s="66"/>
      <c r="N564" s="66"/>
      <c r="O564" s="66"/>
      <c r="P564" s="66"/>
      <c r="Q564" s="66"/>
      <c r="R564" s="67"/>
      <c r="S564" s="67"/>
      <c r="T564" s="67"/>
      <c r="U564" s="66"/>
      <c r="V564" s="66"/>
      <c r="W564" s="66"/>
      <c r="X564" s="85"/>
      <c r="AP564" t="str">
        <v/>
      </c>
    </row>
    <row r="565" spans="4:42" ht="15.75" x14ac:dyDescent="0.25">
      <c r="D565" s="3">
        <v>1</v>
      </c>
      <c r="F565" s="16" t="str" cm="1">
        <f t="array" ref="F5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5" s="31" cm="1">
        <f t="array" ref="G5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5" s="33" t="str">
        <f>_xlfn.IFNA(IF(MOD(HLG_03[[#This Row],[Rit]],
    _xlfn.XLOOKUP($G$2,Int_Sample[Ore],Int_Sample[Inc])) = 0, "YES", "NO"),"")</f>
        <v/>
      </c>
      <c r="I565" s="32" t="str">
        <f>TEXT(HLG_03[[#This Row],[Batch]],"000")&amp; " / " &amp; TEXT(HLG_03[[#This Row],[Rit]],"000")</f>
        <v>N/A / 000</v>
      </c>
      <c r="J565" s="34"/>
      <c r="K565" s="38"/>
      <c r="L565" s="35"/>
      <c r="M565" s="66"/>
      <c r="N565" s="66"/>
      <c r="O565" s="66"/>
      <c r="P565" s="66"/>
      <c r="Q565" s="66"/>
      <c r="R565" s="67"/>
      <c r="S565" s="67"/>
      <c r="T565" s="67"/>
      <c r="U565" s="66"/>
      <c r="V565" s="66"/>
      <c r="W565" s="66"/>
      <c r="X565" s="85"/>
      <c r="AP565" t="str">
        <v/>
      </c>
    </row>
    <row r="566" spans="4:42" ht="15.75" x14ac:dyDescent="0.25">
      <c r="D566" s="3">
        <v>1</v>
      </c>
      <c r="F566" s="16" t="str" cm="1">
        <f t="array" ref="F5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6" s="31" cm="1">
        <f t="array" ref="G5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6" s="33" t="str">
        <f>_xlfn.IFNA(IF(MOD(HLG_03[[#This Row],[Rit]],
    _xlfn.XLOOKUP($G$2,Int_Sample[Ore],Int_Sample[Inc])) = 0, "YES", "NO"),"")</f>
        <v/>
      </c>
      <c r="I566" s="32" t="str">
        <f>TEXT(HLG_03[[#This Row],[Batch]],"000")&amp; " / " &amp; TEXT(HLG_03[[#This Row],[Rit]],"000")</f>
        <v>N/A / 000</v>
      </c>
      <c r="J566" s="34"/>
      <c r="K566" s="38"/>
      <c r="L566" s="35"/>
      <c r="M566" s="66"/>
      <c r="N566" s="66"/>
      <c r="O566" s="66"/>
      <c r="P566" s="66"/>
      <c r="Q566" s="66"/>
      <c r="R566" s="67"/>
      <c r="S566" s="67"/>
      <c r="T566" s="67"/>
      <c r="U566" s="66"/>
      <c r="V566" s="66"/>
      <c r="W566" s="66"/>
      <c r="X566" s="85"/>
      <c r="AP566" t="str">
        <v/>
      </c>
    </row>
    <row r="567" spans="4:42" ht="15.75" x14ac:dyDescent="0.25">
      <c r="D567" s="3">
        <v>1</v>
      </c>
      <c r="F567" s="16" t="str" cm="1">
        <f t="array" ref="F5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7" s="31" cm="1">
        <f t="array" ref="G5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7" s="33" t="str">
        <f>_xlfn.IFNA(IF(MOD(HLG_03[[#This Row],[Rit]],
    _xlfn.XLOOKUP($G$2,Int_Sample[Ore],Int_Sample[Inc])) = 0, "YES", "NO"),"")</f>
        <v/>
      </c>
      <c r="I567" s="32" t="str">
        <f>TEXT(HLG_03[[#This Row],[Batch]],"000")&amp; " / " &amp; TEXT(HLG_03[[#This Row],[Rit]],"000")</f>
        <v>N/A / 000</v>
      </c>
      <c r="J567" s="34"/>
      <c r="K567" s="38"/>
      <c r="L567" s="35"/>
      <c r="M567" s="66"/>
      <c r="N567" s="66"/>
      <c r="O567" s="66"/>
      <c r="P567" s="66"/>
      <c r="Q567" s="66"/>
      <c r="R567" s="67"/>
      <c r="S567" s="67"/>
      <c r="T567" s="67"/>
      <c r="U567" s="66"/>
      <c r="V567" s="66"/>
      <c r="W567" s="66"/>
      <c r="X567" s="85"/>
      <c r="AP567" t="str">
        <v/>
      </c>
    </row>
    <row r="568" spans="4:42" ht="15.75" x14ac:dyDescent="0.25">
      <c r="D568" s="3">
        <v>1</v>
      </c>
      <c r="F568" s="16" t="str" cm="1">
        <f t="array" ref="F5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8" s="31" cm="1">
        <f t="array" ref="G5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8" s="33" t="str">
        <f>_xlfn.IFNA(IF(MOD(HLG_03[[#This Row],[Rit]],
    _xlfn.XLOOKUP($G$2,Int_Sample[Ore],Int_Sample[Inc])) = 0, "YES", "NO"),"")</f>
        <v/>
      </c>
      <c r="I568" s="32" t="str">
        <f>TEXT(HLG_03[[#This Row],[Batch]],"000")&amp; " / " &amp; TEXT(HLG_03[[#This Row],[Rit]],"000")</f>
        <v>N/A / 000</v>
      </c>
      <c r="J568" s="34"/>
      <c r="K568" s="38"/>
      <c r="L568" s="35"/>
      <c r="M568" s="66"/>
      <c r="N568" s="66"/>
      <c r="O568" s="66"/>
      <c r="P568" s="66"/>
      <c r="Q568" s="66"/>
      <c r="R568" s="67"/>
      <c r="S568" s="67"/>
      <c r="T568" s="67"/>
      <c r="U568" s="66"/>
      <c r="V568" s="66"/>
      <c r="W568" s="66"/>
      <c r="X568" s="85"/>
      <c r="AP568" t="str">
        <v/>
      </c>
    </row>
    <row r="569" spans="4:42" ht="15.75" x14ac:dyDescent="0.25">
      <c r="D569" s="3">
        <v>1</v>
      </c>
      <c r="F569" s="16" t="str" cm="1">
        <f t="array" ref="F5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9" s="31" cm="1">
        <f t="array" ref="G5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9" s="33" t="str">
        <f>_xlfn.IFNA(IF(MOD(HLG_03[[#This Row],[Rit]],
    _xlfn.XLOOKUP($G$2,Int_Sample[Ore],Int_Sample[Inc])) = 0, "YES", "NO"),"")</f>
        <v/>
      </c>
      <c r="I569" s="32" t="str">
        <f>TEXT(HLG_03[[#This Row],[Batch]],"000")&amp; " / " &amp; TEXT(HLG_03[[#This Row],[Rit]],"000")</f>
        <v>N/A / 000</v>
      </c>
      <c r="J569" s="34"/>
      <c r="K569" s="38"/>
      <c r="L569" s="35"/>
      <c r="M569" s="66"/>
      <c r="N569" s="66"/>
      <c r="O569" s="66"/>
      <c r="P569" s="66"/>
      <c r="Q569" s="66"/>
      <c r="R569" s="67"/>
      <c r="S569" s="67"/>
      <c r="T569" s="67"/>
      <c r="U569" s="66"/>
      <c r="V569" s="66"/>
      <c r="W569" s="66"/>
      <c r="X569" s="85"/>
      <c r="AP569" t="str">
        <v/>
      </c>
    </row>
    <row r="570" spans="4:42" ht="15.75" x14ac:dyDescent="0.25">
      <c r="D570" s="3">
        <v>1</v>
      </c>
      <c r="F570" s="16" t="str" cm="1">
        <f t="array" ref="F5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0" s="31" cm="1">
        <f t="array" ref="G5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0" s="33" t="str">
        <f>_xlfn.IFNA(IF(MOD(HLG_03[[#This Row],[Rit]],
    _xlfn.XLOOKUP($G$2,Int_Sample[Ore],Int_Sample[Inc])) = 0, "YES", "NO"),"")</f>
        <v/>
      </c>
      <c r="I570" s="32" t="str">
        <f>TEXT(HLG_03[[#This Row],[Batch]],"000")&amp; " / " &amp; TEXT(HLG_03[[#This Row],[Rit]],"000")</f>
        <v>N/A / 000</v>
      </c>
      <c r="J570" s="34"/>
      <c r="K570" s="38"/>
      <c r="L570" s="35"/>
      <c r="M570" s="66"/>
      <c r="N570" s="66"/>
      <c r="O570" s="66"/>
      <c r="P570" s="66"/>
      <c r="Q570" s="66"/>
      <c r="R570" s="67"/>
      <c r="S570" s="67"/>
      <c r="T570" s="67"/>
      <c r="U570" s="66"/>
      <c r="V570" s="66"/>
      <c r="W570" s="66"/>
      <c r="X570" s="85"/>
      <c r="AP570" t="str">
        <v/>
      </c>
    </row>
    <row r="571" spans="4:42" ht="15.75" x14ac:dyDescent="0.25">
      <c r="D571" s="3">
        <v>1</v>
      </c>
      <c r="F571" s="16" t="str" cm="1">
        <f t="array" ref="F5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1" s="31" cm="1">
        <f t="array" ref="G5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1" s="33" t="str">
        <f>_xlfn.IFNA(IF(MOD(HLG_03[[#This Row],[Rit]],
    _xlfn.XLOOKUP($G$2,Int_Sample[Ore],Int_Sample[Inc])) = 0, "YES", "NO"),"")</f>
        <v/>
      </c>
      <c r="I571" s="32" t="str">
        <f>TEXT(HLG_03[[#This Row],[Batch]],"000")&amp; " / " &amp; TEXT(HLG_03[[#This Row],[Rit]],"000")</f>
        <v>N/A / 000</v>
      </c>
      <c r="J571" s="34"/>
      <c r="K571" s="38"/>
      <c r="L571" s="35"/>
      <c r="M571" s="66"/>
      <c r="N571" s="66"/>
      <c r="O571" s="66"/>
      <c r="P571" s="66"/>
      <c r="Q571" s="66"/>
      <c r="R571" s="67"/>
      <c r="S571" s="67"/>
      <c r="T571" s="67"/>
      <c r="U571" s="66"/>
      <c r="V571" s="66"/>
      <c r="W571" s="66"/>
      <c r="X571" s="85"/>
      <c r="AP571" t="str">
        <v/>
      </c>
    </row>
    <row r="572" spans="4:42" ht="15.75" x14ac:dyDescent="0.25">
      <c r="D572" s="3">
        <v>1</v>
      </c>
      <c r="F572" s="16" t="str" cm="1">
        <f t="array" ref="F5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2" s="31" cm="1">
        <f t="array" ref="G5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2" s="33" t="str">
        <f>_xlfn.IFNA(IF(MOD(HLG_03[[#This Row],[Rit]],
    _xlfn.XLOOKUP($G$2,Int_Sample[Ore],Int_Sample[Inc])) = 0, "YES", "NO"),"")</f>
        <v/>
      </c>
      <c r="I572" s="32" t="str">
        <f>TEXT(HLG_03[[#This Row],[Batch]],"000")&amp; " / " &amp; TEXT(HLG_03[[#This Row],[Rit]],"000")</f>
        <v>N/A / 000</v>
      </c>
      <c r="J572" s="34"/>
      <c r="K572" s="38"/>
      <c r="L572" s="35"/>
      <c r="M572" s="66"/>
      <c r="N572" s="66"/>
      <c r="O572" s="66"/>
      <c r="P572" s="66"/>
      <c r="Q572" s="66"/>
      <c r="R572" s="67"/>
      <c r="S572" s="67"/>
      <c r="T572" s="67"/>
      <c r="U572" s="66"/>
      <c r="V572" s="66"/>
      <c r="W572" s="66"/>
      <c r="X572" s="85"/>
      <c r="AP572" t="str">
        <v/>
      </c>
    </row>
    <row r="573" spans="4:42" ht="15.75" x14ac:dyDescent="0.25">
      <c r="D573" s="3">
        <v>1</v>
      </c>
      <c r="F573" s="16" t="str" cm="1">
        <f t="array" ref="F5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3" s="31" cm="1">
        <f t="array" ref="G5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3" s="33" t="str">
        <f>_xlfn.IFNA(IF(MOD(HLG_03[[#This Row],[Rit]],
    _xlfn.XLOOKUP($G$2,Int_Sample[Ore],Int_Sample[Inc])) = 0, "YES", "NO"),"")</f>
        <v/>
      </c>
      <c r="I573" s="32" t="str">
        <f>TEXT(HLG_03[[#This Row],[Batch]],"000")&amp; " / " &amp; TEXT(HLG_03[[#This Row],[Rit]],"000")</f>
        <v>N/A / 000</v>
      </c>
      <c r="J573" s="34"/>
      <c r="K573" s="38"/>
      <c r="L573" s="35"/>
      <c r="M573" s="66"/>
      <c r="N573" s="66"/>
      <c r="O573" s="66"/>
      <c r="P573" s="66"/>
      <c r="Q573" s="66"/>
      <c r="R573" s="67"/>
      <c r="S573" s="67"/>
      <c r="T573" s="67"/>
      <c r="U573" s="66"/>
      <c r="V573" s="66"/>
      <c r="W573" s="66"/>
      <c r="X573" s="85"/>
      <c r="AP573" t="str">
        <v/>
      </c>
    </row>
    <row r="574" spans="4:42" ht="15.75" x14ac:dyDescent="0.25">
      <c r="D574" s="3">
        <v>1</v>
      </c>
      <c r="F574" s="16" t="str" cm="1">
        <f t="array" ref="F5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4" s="31" cm="1">
        <f t="array" ref="G5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4" s="33" t="str">
        <f>_xlfn.IFNA(IF(MOD(HLG_03[[#This Row],[Rit]],
    _xlfn.XLOOKUP($G$2,Int_Sample[Ore],Int_Sample[Inc])) = 0, "YES", "NO"),"")</f>
        <v/>
      </c>
      <c r="I574" s="32" t="str">
        <f>TEXT(HLG_03[[#This Row],[Batch]],"000")&amp; " / " &amp; TEXT(HLG_03[[#This Row],[Rit]],"000")</f>
        <v>N/A / 000</v>
      </c>
      <c r="J574" s="34"/>
      <c r="K574" s="38"/>
      <c r="L574" s="35"/>
      <c r="M574" s="66"/>
      <c r="N574" s="66"/>
      <c r="O574" s="66"/>
      <c r="P574" s="66"/>
      <c r="Q574" s="66"/>
      <c r="R574" s="67"/>
      <c r="S574" s="67"/>
      <c r="T574" s="67"/>
      <c r="U574" s="66"/>
      <c r="V574" s="66"/>
      <c r="W574" s="66"/>
      <c r="X574" s="85"/>
      <c r="AP574" t="str">
        <v/>
      </c>
    </row>
    <row r="575" spans="4:42" ht="15.75" x14ac:dyDescent="0.25">
      <c r="D575" s="3">
        <v>1</v>
      </c>
      <c r="F575" s="16" t="str" cm="1">
        <f t="array" ref="F5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5" s="31" cm="1">
        <f t="array" ref="G5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5" s="33" t="str">
        <f>_xlfn.IFNA(IF(MOD(HLG_03[[#This Row],[Rit]],
    _xlfn.XLOOKUP($G$2,Int_Sample[Ore],Int_Sample[Inc])) = 0, "YES", "NO"),"")</f>
        <v/>
      </c>
      <c r="I575" s="32" t="str">
        <f>TEXT(HLG_03[[#This Row],[Batch]],"000")&amp; " / " &amp; TEXT(HLG_03[[#This Row],[Rit]],"000")</f>
        <v>N/A / 000</v>
      </c>
      <c r="J575" s="34"/>
      <c r="K575" s="38"/>
      <c r="L575" s="35"/>
      <c r="M575" s="66"/>
      <c r="N575" s="66"/>
      <c r="O575" s="66"/>
      <c r="P575" s="66"/>
      <c r="Q575" s="66"/>
      <c r="R575" s="67"/>
      <c r="S575" s="67"/>
      <c r="T575" s="67"/>
      <c r="U575" s="66"/>
      <c r="V575" s="66"/>
      <c r="W575" s="66"/>
      <c r="X575" s="85"/>
      <c r="AP575" t="str">
        <v/>
      </c>
    </row>
    <row r="576" spans="4:42" ht="15.75" x14ac:dyDescent="0.25">
      <c r="D576" s="3">
        <v>1</v>
      </c>
      <c r="F576" s="16" t="str" cm="1">
        <f t="array" ref="F5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6" s="31" cm="1">
        <f t="array" ref="G5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6" s="33" t="str">
        <f>_xlfn.IFNA(IF(MOD(HLG_03[[#This Row],[Rit]],
    _xlfn.XLOOKUP($G$2,Int_Sample[Ore],Int_Sample[Inc])) = 0, "YES", "NO"),"")</f>
        <v/>
      </c>
      <c r="I576" s="32" t="str">
        <f>TEXT(HLG_03[[#This Row],[Batch]],"000")&amp; " / " &amp; TEXT(HLG_03[[#This Row],[Rit]],"000")</f>
        <v>N/A / 000</v>
      </c>
      <c r="J576" s="34"/>
      <c r="K576" s="38"/>
      <c r="L576" s="35"/>
      <c r="M576" s="66"/>
      <c r="N576" s="66"/>
      <c r="O576" s="66"/>
      <c r="P576" s="66"/>
      <c r="Q576" s="66"/>
      <c r="R576" s="67"/>
      <c r="S576" s="67"/>
      <c r="T576" s="67"/>
      <c r="U576" s="66"/>
      <c r="V576" s="66"/>
      <c r="W576" s="66"/>
      <c r="X576" s="85"/>
      <c r="AP576" t="str">
        <v/>
      </c>
    </row>
    <row r="577" spans="4:42" ht="15.75" x14ac:dyDescent="0.25">
      <c r="D577" s="3">
        <v>1</v>
      </c>
      <c r="F577" s="16" t="str" cm="1">
        <f t="array" ref="F5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7" s="31" cm="1">
        <f t="array" ref="G5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7" s="33" t="str">
        <f>_xlfn.IFNA(IF(MOD(HLG_03[[#This Row],[Rit]],
    _xlfn.XLOOKUP($G$2,Int_Sample[Ore],Int_Sample[Inc])) = 0, "YES", "NO"),"")</f>
        <v/>
      </c>
      <c r="I577" s="32" t="str">
        <f>TEXT(HLG_03[[#This Row],[Batch]],"000")&amp; " / " &amp; TEXT(HLG_03[[#This Row],[Rit]],"000")</f>
        <v>N/A / 000</v>
      </c>
      <c r="J577" s="34"/>
      <c r="K577" s="38"/>
      <c r="L577" s="35"/>
      <c r="M577" s="66"/>
      <c r="N577" s="66"/>
      <c r="O577" s="66"/>
      <c r="P577" s="66"/>
      <c r="Q577" s="66"/>
      <c r="R577" s="67"/>
      <c r="S577" s="67"/>
      <c r="T577" s="67"/>
      <c r="U577" s="66"/>
      <c r="V577" s="66"/>
      <c r="W577" s="66"/>
      <c r="X577" s="85"/>
      <c r="AP577" t="str">
        <v/>
      </c>
    </row>
    <row r="578" spans="4:42" ht="15.75" x14ac:dyDescent="0.25">
      <c r="D578" s="3">
        <v>1</v>
      </c>
      <c r="F578" s="16" t="str" cm="1">
        <f t="array" ref="F5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8" s="31" cm="1">
        <f t="array" ref="G5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8" s="33" t="str">
        <f>_xlfn.IFNA(IF(MOD(HLG_03[[#This Row],[Rit]],
    _xlfn.XLOOKUP($G$2,Int_Sample[Ore],Int_Sample[Inc])) = 0, "YES", "NO"),"")</f>
        <v/>
      </c>
      <c r="I578" s="32" t="str">
        <f>TEXT(HLG_03[[#This Row],[Batch]],"000")&amp; " / " &amp; TEXT(HLG_03[[#This Row],[Rit]],"000")</f>
        <v>N/A / 000</v>
      </c>
      <c r="J578" s="34"/>
      <c r="K578" s="38"/>
      <c r="L578" s="35"/>
      <c r="M578" s="66"/>
      <c r="N578" s="66"/>
      <c r="O578" s="66"/>
      <c r="P578" s="66"/>
      <c r="Q578" s="66"/>
      <c r="R578" s="67"/>
      <c r="S578" s="67"/>
      <c r="T578" s="67"/>
      <c r="U578" s="66"/>
      <c r="V578" s="66"/>
      <c r="W578" s="66"/>
      <c r="X578" s="85"/>
      <c r="AP578" t="str">
        <v/>
      </c>
    </row>
    <row r="579" spans="4:42" ht="15.75" x14ac:dyDescent="0.25">
      <c r="D579" s="3">
        <v>1</v>
      </c>
      <c r="F579" s="16" t="str" cm="1">
        <f t="array" ref="F5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9" s="31" cm="1">
        <f t="array" ref="G5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9" s="33" t="str">
        <f>_xlfn.IFNA(IF(MOD(HLG_03[[#This Row],[Rit]],
    _xlfn.XLOOKUP($G$2,Int_Sample[Ore],Int_Sample[Inc])) = 0, "YES", "NO"),"")</f>
        <v/>
      </c>
      <c r="I579" s="32" t="str">
        <f>TEXT(HLG_03[[#This Row],[Batch]],"000")&amp; " / " &amp; TEXT(HLG_03[[#This Row],[Rit]],"000")</f>
        <v>N/A / 000</v>
      </c>
      <c r="J579" s="34"/>
      <c r="K579" s="38"/>
      <c r="L579" s="35"/>
      <c r="M579" s="66"/>
      <c r="N579" s="66"/>
      <c r="O579" s="66"/>
      <c r="P579" s="66"/>
      <c r="Q579" s="66"/>
      <c r="R579" s="67"/>
      <c r="S579" s="67"/>
      <c r="T579" s="67"/>
      <c r="U579" s="66"/>
      <c r="V579" s="66"/>
      <c r="W579" s="66"/>
      <c r="X579" s="85"/>
      <c r="AP579" t="str">
        <v/>
      </c>
    </row>
    <row r="580" spans="4:42" ht="15.75" x14ac:dyDescent="0.25">
      <c r="D580" s="3">
        <v>1</v>
      </c>
      <c r="F580" s="16" t="str" cm="1">
        <f t="array" ref="F5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0" s="31" cm="1">
        <f t="array" ref="G5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0" s="33" t="str">
        <f>_xlfn.IFNA(IF(MOD(HLG_03[[#This Row],[Rit]],
    _xlfn.XLOOKUP($G$2,Int_Sample[Ore],Int_Sample[Inc])) = 0, "YES", "NO"),"")</f>
        <v/>
      </c>
      <c r="I580" s="32" t="str">
        <f>TEXT(HLG_03[[#This Row],[Batch]],"000")&amp; " / " &amp; TEXT(HLG_03[[#This Row],[Rit]],"000")</f>
        <v>N/A / 000</v>
      </c>
      <c r="J580" s="34"/>
      <c r="K580" s="38"/>
      <c r="L580" s="35"/>
      <c r="M580" s="66"/>
      <c r="N580" s="66"/>
      <c r="O580" s="66"/>
      <c r="P580" s="66"/>
      <c r="Q580" s="66"/>
      <c r="R580" s="67"/>
      <c r="S580" s="67"/>
      <c r="T580" s="67"/>
      <c r="U580" s="66"/>
      <c r="V580" s="66"/>
      <c r="W580" s="66"/>
      <c r="X580" s="85"/>
      <c r="AP580" t="str">
        <v/>
      </c>
    </row>
    <row r="581" spans="4:42" ht="15.75" x14ac:dyDescent="0.25">
      <c r="D581" s="3">
        <v>1</v>
      </c>
      <c r="F581" s="16" t="str" cm="1">
        <f t="array" ref="F5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1" s="31" cm="1">
        <f t="array" ref="G5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1" s="33" t="str">
        <f>_xlfn.IFNA(IF(MOD(HLG_03[[#This Row],[Rit]],
    _xlfn.XLOOKUP($G$2,Int_Sample[Ore],Int_Sample[Inc])) = 0, "YES", "NO"),"")</f>
        <v/>
      </c>
      <c r="I581" s="32" t="str">
        <f>TEXT(HLG_03[[#This Row],[Batch]],"000")&amp; " / " &amp; TEXT(HLG_03[[#This Row],[Rit]],"000")</f>
        <v>N/A / 000</v>
      </c>
      <c r="J581" s="34"/>
      <c r="K581" s="38"/>
      <c r="L581" s="35"/>
      <c r="M581" s="66"/>
      <c r="N581" s="66"/>
      <c r="O581" s="66"/>
      <c r="P581" s="66"/>
      <c r="Q581" s="66"/>
      <c r="R581" s="67"/>
      <c r="S581" s="67"/>
      <c r="T581" s="67"/>
      <c r="U581" s="66"/>
      <c r="V581" s="66"/>
      <c r="W581" s="66"/>
      <c r="X581" s="85"/>
      <c r="AP581" t="str">
        <v/>
      </c>
    </row>
    <row r="582" spans="4:42" ht="15.75" x14ac:dyDescent="0.25">
      <c r="D582" s="3">
        <v>1</v>
      </c>
      <c r="F582" s="16" t="str" cm="1">
        <f t="array" ref="F5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2" s="31" cm="1">
        <f t="array" ref="G5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2" s="33" t="str">
        <f>_xlfn.IFNA(IF(MOD(HLG_03[[#This Row],[Rit]],
    _xlfn.XLOOKUP($G$2,Int_Sample[Ore],Int_Sample[Inc])) = 0, "YES", "NO"),"")</f>
        <v/>
      </c>
      <c r="I582" s="32" t="str">
        <f>TEXT(HLG_03[[#This Row],[Batch]],"000")&amp; " / " &amp; TEXT(HLG_03[[#This Row],[Rit]],"000")</f>
        <v>N/A / 000</v>
      </c>
      <c r="J582" s="34"/>
      <c r="K582" s="38"/>
      <c r="L582" s="35"/>
      <c r="M582" s="66"/>
      <c r="N582" s="66"/>
      <c r="O582" s="66"/>
      <c r="P582" s="66"/>
      <c r="Q582" s="66"/>
      <c r="R582" s="67"/>
      <c r="S582" s="67"/>
      <c r="T582" s="67"/>
      <c r="U582" s="66"/>
      <c r="V582" s="66"/>
      <c r="W582" s="66"/>
      <c r="X582" s="85"/>
      <c r="AP582" t="str">
        <v/>
      </c>
    </row>
    <row r="583" spans="4:42" ht="15.75" x14ac:dyDescent="0.25">
      <c r="D583" s="3">
        <v>1</v>
      </c>
      <c r="F583" s="16" t="str" cm="1">
        <f t="array" ref="F5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3" s="31" cm="1">
        <f t="array" ref="G5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3" s="33" t="str">
        <f>_xlfn.IFNA(IF(MOD(HLG_03[[#This Row],[Rit]],
    _xlfn.XLOOKUP($G$2,Int_Sample[Ore],Int_Sample[Inc])) = 0, "YES", "NO"),"")</f>
        <v/>
      </c>
      <c r="I583" s="32" t="str">
        <f>TEXT(HLG_03[[#This Row],[Batch]],"000")&amp; " / " &amp; TEXT(HLG_03[[#This Row],[Rit]],"000")</f>
        <v>N/A / 000</v>
      </c>
      <c r="J583" s="34"/>
      <c r="K583" s="38"/>
      <c r="L583" s="35"/>
      <c r="M583" s="66"/>
      <c r="N583" s="66"/>
      <c r="O583" s="66"/>
      <c r="P583" s="66"/>
      <c r="Q583" s="66"/>
      <c r="R583" s="67"/>
      <c r="S583" s="67"/>
      <c r="T583" s="67"/>
      <c r="U583" s="66"/>
      <c r="V583" s="66"/>
      <c r="W583" s="66"/>
      <c r="X583" s="85"/>
      <c r="AP583" t="str">
        <v/>
      </c>
    </row>
    <row r="584" spans="4:42" ht="15.75" x14ac:dyDescent="0.25">
      <c r="D584" s="3">
        <v>1</v>
      </c>
      <c r="F584" s="16" t="str" cm="1">
        <f t="array" ref="F5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4" s="31" cm="1">
        <f t="array" ref="G5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4" s="33" t="str">
        <f>_xlfn.IFNA(IF(MOD(HLG_03[[#This Row],[Rit]],
    _xlfn.XLOOKUP($G$2,Int_Sample[Ore],Int_Sample[Inc])) = 0, "YES", "NO"),"")</f>
        <v/>
      </c>
      <c r="I584" s="32" t="str">
        <f>TEXT(HLG_03[[#This Row],[Batch]],"000")&amp; " / " &amp; TEXT(HLG_03[[#This Row],[Rit]],"000")</f>
        <v>N/A / 000</v>
      </c>
      <c r="J584" s="34"/>
      <c r="K584" s="38"/>
      <c r="L584" s="35"/>
      <c r="M584" s="66"/>
      <c r="N584" s="66"/>
      <c r="O584" s="66"/>
      <c r="P584" s="66"/>
      <c r="Q584" s="66"/>
      <c r="R584" s="67"/>
      <c r="S584" s="67"/>
      <c r="T584" s="67"/>
      <c r="U584" s="66"/>
      <c r="V584" s="66"/>
      <c r="W584" s="66"/>
      <c r="X584" s="85"/>
      <c r="AP584" t="str">
        <v/>
      </c>
    </row>
    <row r="585" spans="4:42" ht="15.75" x14ac:dyDescent="0.25">
      <c r="D585" s="3">
        <v>1</v>
      </c>
      <c r="F585" s="16" t="str" cm="1">
        <f t="array" ref="F5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5" s="31" cm="1">
        <f t="array" ref="G5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5" s="33" t="str">
        <f>_xlfn.IFNA(IF(MOD(HLG_03[[#This Row],[Rit]],
    _xlfn.XLOOKUP($G$2,Int_Sample[Ore],Int_Sample[Inc])) = 0, "YES", "NO"),"")</f>
        <v/>
      </c>
      <c r="I585" s="32" t="str">
        <f>TEXT(HLG_03[[#This Row],[Batch]],"000")&amp; " / " &amp; TEXT(HLG_03[[#This Row],[Rit]],"000")</f>
        <v>N/A / 000</v>
      </c>
      <c r="J585" s="34"/>
      <c r="K585" s="38"/>
      <c r="L585" s="35"/>
      <c r="M585" s="66"/>
      <c r="N585" s="66"/>
      <c r="O585" s="66"/>
      <c r="P585" s="66"/>
      <c r="Q585" s="66"/>
      <c r="R585" s="67"/>
      <c r="S585" s="67"/>
      <c r="T585" s="67"/>
      <c r="U585" s="66"/>
      <c r="V585" s="66"/>
      <c r="W585" s="66"/>
      <c r="X585" s="85"/>
      <c r="AP585" t="str">
        <v/>
      </c>
    </row>
    <row r="586" spans="4:42" ht="15.75" x14ac:dyDescent="0.25">
      <c r="D586" s="3">
        <v>1</v>
      </c>
      <c r="F586" s="16" t="str" cm="1">
        <f t="array" ref="F5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6" s="31" cm="1">
        <f t="array" ref="G5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6" s="33" t="str">
        <f>_xlfn.IFNA(IF(MOD(HLG_03[[#This Row],[Rit]],
    _xlfn.XLOOKUP($G$2,Int_Sample[Ore],Int_Sample[Inc])) = 0, "YES", "NO"),"")</f>
        <v/>
      </c>
      <c r="I586" s="32" t="str">
        <f>TEXT(HLG_03[[#This Row],[Batch]],"000")&amp; " / " &amp; TEXT(HLG_03[[#This Row],[Rit]],"000")</f>
        <v>N/A / 000</v>
      </c>
      <c r="J586" s="34"/>
      <c r="K586" s="38"/>
      <c r="L586" s="35"/>
      <c r="M586" s="66"/>
      <c r="N586" s="66"/>
      <c r="O586" s="66"/>
      <c r="P586" s="66"/>
      <c r="Q586" s="66"/>
      <c r="R586" s="67"/>
      <c r="S586" s="67"/>
      <c r="T586" s="67"/>
      <c r="U586" s="66"/>
      <c r="V586" s="66"/>
      <c r="W586" s="66"/>
      <c r="X586" s="85"/>
      <c r="AP586" t="str">
        <v/>
      </c>
    </row>
    <row r="587" spans="4:42" ht="15.75" x14ac:dyDescent="0.25">
      <c r="D587" s="3">
        <v>1</v>
      </c>
      <c r="F587" s="16" t="str" cm="1">
        <f t="array" ref="F5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7" s="31" cm="1">
        <f t="array" ref="G5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7" s="33" t="str">
        <f>_xlfn.IFNA(IF(MOD(HLG_03[[#This Row],[Rit]],
    _xlfn.XLOOKUP($G$2,Int_Sample[Ore],Int_Sample[Inc])) = 0, "YES", "NO"),"")</f>
        <v/>
      </c>
      <c r="I587" s="32" t="str">
        <f>TEXT(HLG_03[[#This Row],[Batch]],"000")&amp; " / " &amp; TEXT(HLG_03[[#This Row],[Rit]],"000")</f>
        <v>N/A / 000</v>
      </c>
      <c r="J587" s="34"/>
      <c r="K587" s="38"/>
      <c r="L587" s="35"/>
      <c r="M587" s="66"/>
      <c r="N587" s="66"/>
      <c r="O587" s="66"/>
      <c r="P587" s="66"/>
      <c r="Q587" s="66"/>
      <c r="R587" s="67"/>
      <c r="S587" s="67"/>
      <c r="T587" s="67"/>
      <c r="U587" s="66"/>
      <c r="V587" s="66"/>
      <c r="W587" s="66"/>
      <c r="X587" s="85"/>
      <c r="AP587" t="str">
        <v/>
      </c>
    </row>
    <row r="588" spans="4:42" ht="15.75" x14ac:dyDescent="0.25">
      <c r="D588" s="3">
        <v>1</v>
      </c>
      <c r="F588" s="16" t="str" cm="1">
        <f t="array" ref="F5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8" s="31" cm="1">
        <f t="array" ref="G5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8" s="33" t="str">
        <f>_xlfn.IFNA(IF(MOD(HLG_03[[#This Row],[Rit]],
    _xlfn.XLOOKUP($G$2,Int_Sample[Ore],Int_Sample[Inc])) = 0, "YES", "NO"),"")</f>
        <v/>
      </c>
      <c r="I588" s="32" t="str">
        <f>TEXT(HLG_03[[#This Row],[Batch]],"000")&amp; " / " &amp; TEXT(HLG_03[[#This Row],[Rit]],"000")</f>
        <v>N/A / 000</v>
      </c>
      <c r="J588" s="34"/>
      <c r="K588" s="38"/>
      <c r="L588" s="35"/>
      <c r="M588" s="66"/>
      <c r="N588" s="66"/>
      <c r="O588" s="66"/>
      <c r="P588" s="66"/>
      <c r="Q588" s="66"/>
      <c r="R588" s="67"/>
      <c r="S588" s="67"/>
      <c r="T588" s="67"/>
      <c r="U588" s="66"/>
      <c r="V588" s="66"/>
      <c r="W588" s="66"/>
      <c r="X588" s="85"/>
      <c r="AP588" t="str">
        <v/>
      </c>
    </row>
    <row r="589" spans="4:42" ht="15.75" x14ac:dyDescent="0.25">
      <c r="D589" s="3">
        <v>1</v>
      </c>
      <c r="F589" s="16" t="str" cm="1">
        <f t="array" ref="F5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9" s="31" cm="1">
        <f t="array" ref="G5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9" s="33" t="str">
        <f>_xlfn.IFNA(IF(MOD(HLG_03[[#This Row],[Rit]],
    _xlfn.XLOOKUP($G$2,Int_Sample[Ore],Int_Sample[Inc])) = 0, "YES", "NO"),"")</f>
        <v/>
      </c>
      <c r="I589" s="32" t="str">
        <f>TEXT(HLG_03[[#This Row],[Batch]],"000")&amp; " / " &amp; TEXT(HLG_03[[#This Row],[Rit]],"000")</f>
        <v>N/A / 000</v>
      </c>
      <c r="J589" s="34"/>
      <c r="K589" s="38"/>
      <c r="L589" s="35"/>
      <c r="M589" s="66"/>
      <c r="N589" s="66"/>
      <c r="O589" s="66"/>
      <c r="P589" s="66"/>
      <c r="Q589" s="66"/>
      <c r="R589" s="67"/>
      <c r="S589" s="67"/>
      <c r="T589" s="67"/>
      <c r="U589" s="66"/>
      <c r="V589" s="66"/>
      <c r="W589" s="66"/>
      <c r="X589" s="85"/>
      <c r="AP589" t="str">
        <v/>
      </c>
    </row>
    <row r="590" spans="4:42" ht="15.75" x14ac:dyDescent="0.25">
      <c r="D590" s="3">
        <v>1</v>
      </c>
      <c r="F590" s="16" t="str" cm="1">
        <f t="array" ref="F5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0" s="31" cm="1">
        <f t="array" ref="G5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0" s="33" t="str">
        <f>_xlfn.IFNA(IF(MOD(HLG_03[[#This Row],[Rit]],
    _xlfn.XLOOKUP($G$2,Int_Sample[Ore],Int_Sample[Inc])) = 0, "YES", "NO"),"")</f>
        <v/>
      </c>
      <c r="I590" s="32" t="str">
        <f>TEXT(HLG_03[[#This Row],[Batch]],"000")&amp; " / " &amp; TEXT(HLG_03[[#This Row],[Rit]],"000")</f>
        <v>N/A / 000</v>
      </c>
      <c r="J590" s="34"/>
      <c r="K590" s="38"/>
      <c r="L590" s="35"/>
      <c r="M590" s="66"/>
      <c r="N590" s="66"/>
      <c r="O590" s="66"/>
      <c r="P590" s="66"/>
      <c r="Q590" s="66"/>
      <c r="R590" s="67"/>
      <c r="S590" s="67"/>
      <c r="T590" s="67"/>
      <c r="U590" s="66"/>
      <c r="V590" s="66"/>
      <c r="W590" s="66"/>
      <c r="X590" s="85"/>
      <c r="AP590" t="str">
        <v/>
      </c>
    </row>
    <row r="591" spans="4:42" ht="15.75" x14ac:dyDescent="0.25">
      <c r="D591" s="3">
        <v>1</v>
      </c>
      <c r="F591" s="16" t="str" cm="1">
        <f t="array" ref="F5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1" s="31" cm="1">
        <f t="array" ref="G5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1" s="33" t="str">
        <f>_xlfn.IFNA(IF(MOD(HLG_03[[#This Row],[Rit]],
    _xlfn.XLOOKUP($G$2,Int_Sample[Ore],Int_Sample[Inc])) = 0, "YES", "NO"),"")</f>
        <v/>
      </c>
      <c r="I591" s="32" t="str">
        <f>TEXT(HLG_03[[#This Row],[Batch]],"000")&amp; " / " &amp; TEXT(HLG_03[[#This Row],[Rit]],"000")</f>
        <v>N/A / 000</v>
      </c>
      <c r="J591" s="34"/>
      <c r="K591" s="38"/>
      <c r="L591" s="35"/>
      <c r="M591" s="66"/>
      <c r="N591" s="66"/>
      <c r="O591" s="66"/>
      <c r="P591" s="66"/>
      <c r="Q591" s="66"/>
      <c r="R591" s="67"/>
      <c r="S591" s="67"/>
      <c r="T591" s="67"/>
      <c r="U591" s="66"/>
      <c r="V591" s="66"/>
      <c r="W591" s="66"/>
      <c r="X591" s="85"/>
      <c r="AP591" t="str">
        <v/>
      </c>
    </row>
    <row r="592" spans="4:42" ht="15.75" x14ac:dyDescent="0.25">
      <c r="D592" s="3">
        <v>1</v>
      </c>
      <c r="F592" s="16" t="str" cm="1">
        <f t="array" ref="F5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2" s="31" cm="1">
        <f t="array" ref="G5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2" s="33" t="str">
        <f>_xlfn.IFNA(IF(MOD(HLG_03[[#This Row],[Rit]],
    _xlfn.XLOOKUP($G$2,Int_Sample[Ore],Int_Sample[Inc])) = 0, "YES", "NO"),"")</f>
        <v/>
      </c>
      <c r="I592" s="32" t="str">
        <f>TEXT(HLG_03[[#This Row],[Batch]],"000")&amp; " / " &amp; TEXT(HLG_03[[#This Row],[Rit]],"000")</f>
        <v>N/A / 000</v>
      </c>
      <c r="J592" s="34"/>
      <c r="K592" s="38"/>
      <c r="L592" s="35"/>
      <c r="M592" s="66"/>
      <c r="N592" s="66"/>
      <c r="O592" s="66"/>
      <c r="P592" s="66"/>
      <c r="Q592" s="66"/>
      <c r="R592" s="67"/>
      <c r="S592" s="67"/>
      <c r="T592" s="67"/>
      <c r="U592" s="66"/>
      <c r="V592" s="66"/>
      <c r="W592" s="66"/>
      <c r="X592" s="85"/>
      <c r="AP592" t="str">
        <v/>
      </c>
    </row>
    <row r="593" spans="4:42" ht="15.75" x14ac:dyDescent="0.25">
      <c r="D593" s="3">
        <v>1</v>
      </c>
      <c r="F593" s="16" t="str" cm="1">
        <f t="array" ref="F5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3" s="31" cm="1">
        <f t="array" ref="G5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3" s="33" t="str">
        <f>_xlfn.IFNA(IF(MOD(HLG_03[[#This Row],[Rit]],
    _xlfn.XLOOKUP($G$2,Int_Sample[Ore],Int_Sample[Inc])) = 0, "YES", "NO"),"")</f>
        <v/>
      </c>
      <c r="I593" s="32" t="str">
        <f>TEXT(HLG_03[[#This Row],[Batch]],"000")&amp; " / " &amp; TEXT(HLG_03[[#This Row],[Rit]],"000")</f>
        <v>N/A / 000</v>
      </c>
      <c r="J593" s="34"/>
      <c r="K593" s="38"/>
      <c r="L593" s="35"/>
      <c r="M593" s="66"/>
      <c r="N593" s="66"/>
      <c r="O593" s="66"/>
      <c r="P593" s="66"/>
      <c r="Q593" s="66"/>
      <c r="R593" s="67"/>
      <c r="S593" s="67"/>
      <c r="T593" s="67"/>
      <c r="U593" s="66"/>
      <c r="V593" s="66"/>
      <c r="W593" s="66"/>
      <c r="X593" s="85"/>
      <c r="AP593" t="str">
        <v/>
      </c>
    </row>
    <row r="594" spans="4:42" ht="15.75" x14ac:dyDescent="0.25">
      <c r="D594" s="3">
        <v>1</v>
      </c>
      <c r="F594" s="16" t="str" cm="1">
        <f t="array" ref="F5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4" s="31" cm="1">
        <f t="array" ref="G5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4" s="33" t="str">
        <f>_xlfn.IFNA(IF(MOD(HLG_03[[#This Row],[Rit]],
    _xlfn.XLOOKUP($G$2,Int_Sample[Ore],Int_Sample[Inc])) = 0, "YES", "NO"),"")</f>
        <v/>
      </c>
      <c r="I594" s="32" t="str">
        <f>TEXT(HLG_03[[#This Row],[Batch]],"000")&amp; " / " &amp; TEXT(HLG_03[[#This Row],[Rit]],"000")</f>
        <v>N/A / 000</v>
      </c>
      <c r="J594" s="34"/>
      <c r="K594" s="38"/>
      <c r="L594" s="35"/>
      <c r="M594" s="66"/>
      <c r="N594" s="66"/>
      <c r="O594" s="66"/>
      <c r="P594" s="66"/>
      <c r="Q594" s="66"/>
      <c r="R594" s="67"/>
      <c r="S594" s="67"/>
      <c r="T594" s="67"/>
      <c r="U594" s="66"/>
      <c r="V594" s="66"/>
      <c r="W594" s="66"/>
      <c r="X594" s="85"/>
      <c r="AP594" t="str">
        <v/>
      </c>
    </row>
    <row r="595" spans="4:42" ht="15.75" x14ac:dyDescent="0.25">
      <c r="D595" s="3">
        <v>1</v>
      </c>
      <c r="F595" s="16" t="str" cm="1">
        <f t="array" ref="F5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5" s="31" cm="1">
        <f t="array" ref="G5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5" s="33" t="str">
        <f>_xlfn.IFNA(IF(MOD(HLG_03[[#This Row],[Rit]],
    _xlfn.XLOOKUP($G$2,Int_Sample[Ore],Int_Sample[Inc])) = 0, "YES", "NO"),"")</f>
        <v/>
      </c>
      <c r="I595" s="32" t="str">
        <f>TEXT(HLG_03[[#This Row],[Batch]],"000")&amp; " / " &amp; TEXT(HLG_03[[#This Row],[Rit]],"000")</f>
        <v>N/A / 000</v>
      </c>
      <c r="J595" s="34"/>
      <c r="K595" s="38"/>
      <c r="L595" s="35"/>
      <c r="M595" s="66"/>
      <c r="N595" s="66"/>
      <c r="O595" s="66"/>
      <c r="P595" s="66"/>
      <c r="Q595" s="66"/>
      <c r="R595" s="67"/>
      <c r="S595" s="67"/>
      <c r="T595" s="67"/>
      <c r="U595" s="66"/>
      <c r="V595" s="66"/>
      <c r="W595" s="66"/>
      <c r="X595" s="85"/>
      <c r="AP595" t="str">
        <v/>
      </c>
    </row>
    <row r="596" spans="4:42" ht="15.75" x14ac:dyDescent="0.25">
      <c r="D596" s="3">
        <v>1</v>
      </c>
      <c r="F596" s="16" t="str" cm="1">
        <f t="array" ref="F5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6" s="31" cm="1">
        <f t="array" ref="G5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6" s="33" t="str">
        <f>_xlfn.IFNA(IF(MOD(HLG_03[[#This Row],[Rit]],
    _xlfn.XLOOKUP($G$2,Int_Sample[Ore],Int_Sample[Inc])) = 0, "YES", "NO"),"")</f>
        <v/>
      </c>
      <c r="I596" s="32" t="str">
        <f>TEXT(HLG_03[[#This Row],[Batch]],"000")&amp; " / " &amp; TEXT(HLG_03[[#This Row],[Rit]],"000")</f>
        <v>N/A / 000</v>
      </c>
      <c r="J596" s="34"/>
      <c r="K596" s="38"/>
      <c r="L596" s="35"/>
      <c r="M596" s="66"/>
      <c r="N596" s="66"/>
      <c r="O596" s="66"/>
      <c r="P596" s="66"/>
      <c r="Q596" s="66"/>
      <c r="R596" s="67"/>
      <c r="S596" s="67"/>
      <c r="T596" s="67"/>
      <c r="U596" s="66"/>
      <c r="V596" s="66"/>
      <c r="W596" s="66"/>
      <c r="X596" s="85"/>
      <c r="AP596" t="str">
        <v/>
      </c>
    </row>
    <row r="597" spans="4:42" ht="15.75" x14ac:dyDescent="0.25">
      <c r="D597" s="3">
        <v>1</v>
      </c>
      <c r="F597" s="16" t="str" cm="1">
        <f t="array" ref="F5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7" s="31" cm="1">
        <f t="array" ref="G5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7" s="33" t="str">
        <f>_xlfn.IFNA(IF(MOD(HLG_03[[#This Row],[Rit]],
    _xlfn.XLOOKUP($G$2,Int_Sample[Ore],Int_Sample[Inc])) = 0, "YES", "NO"),"")</f>
        <v/>
      </c>
      <c r="I597" s="32" t="str">
        <f>TEXT(HLG_03[[#This Row],[Batch]],"000")&amp; " / " &amp; TEXT(HLG_03[[#This Row],[Rit]],"000")</f>
        <v>N/A / 000</v>
      </c>
      <c r="J597" s="34"/>
      <c r="K597" s="38"/>
      <c r="L597" s="35"/>
      <c r="M597" s="66"/>
      <c r="N597" s="66"/>
      <c r="O597" s="66"/>
      <c r="P597" s="66"/>
      <c r="Q597" s="66"/>
      <c r="R597" s="67"/>
      <c r="S597" s="67"/>
      <c r="T597" s="67"/>
      <c r="U597" s="66"/>
      <c r="V597" s="66"/>
      <c r="W597" s="66"/>
      <c r="X597" s="85"/>
      <c r="AP597" t="str">
        <v/>
      </c>
    </row>
    <row r="598" spans="4:42" ht="15.75" x14ac:dyDescent="0.25">
      <c r="D598" s="3">
        <v>1</v>
      </c>
      <c r="F598" s="16" t="str" cm="1">
        <f t="array" ref="F5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8" s="31" cm="1">
        <f t="array" ref="G5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8" s="33" t="str">
        <f>_xlfn.IFNA(IF(MOD(HLG_03[[#This Row],[Rit]],
    _xlfn.XLOOKUP($G$2,Int_Sample[Ore],Int_Sample[Inc])) = 0, "YES", "NO"),"")</f>
        <v/>
      </c>
      <c r="I598" s="32" t="str">
        <f>TEXT(HLG_03[[#This Row],[Batch]],"000")&amp; " / " &amp; TEXT(HLG_03[[#This Row],[Rit]],"000")</f>
        <v>N/A / 000</v>
      </c>
      <c r="J598" s="34"/>
      <c r="K598" s="38"/>
      <c r="L598" s="35"/>
      <c r="M598" s="66"/>
      <c r="N598" s="66"/>
      <c r="O598" s="66"/>
      <c r="P598" s="66"/>
      <c r="Q598" s="66"/>
      <c r="R598" s="67"/>
      <c r="S598" s="67"/>
      <c r="T598" s="67"/>
      <c r="U598" s="66"/>
      <c r="V598" s="66"/>
      <c r="W598" s="66"/>
      <c r="X598" s="85"/>
      <c r="AP598" t="str">
        <v/>
      </c>
    </row>
    <row r="599" spans="4:42" ht="15.75" x14ac:dyDescent="0.25">
      <c r="D599" s="3">
        <v>1</v>
      </c>
      <c r="F599" s="16" t="str" cm="1">
        <f t="array" ref="F5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9" s="31" cm="1">
        <f t="array" ref="G5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9" s="33" t="str">
        <f>_xlfn.IFNA(IF(MOD(HLG_03[[#This Row],[Rit]],
    _xlfn.XLOOKUP($G$2,Int_Sample[Ore],Int_Sample[Inc])) = 0, "YES", "NO"),"")</f>
        <v/>
      </c>
      <c r="I599" s="32" t="str">
        <f>TEXT(HLG_03[[#This Row],[Batch]],"000")&amp; " / " &amp; TEXT(HLG_03[[#This Row],[Rit]],"000")</f>
        <v>N/A / 000</v>
      </c>
      <c r="J599" s="34"/>
      <c r="K599" s="38"/>
      <c r="L599" s="35"/>
      <c r="M599" s="66"/>
      <c r="N599" s="66"/>
      <c r="O599" s="66"/>
      <c r="P599" s="66"/>
      <c r="Q599" s="66"/>
      <c r="R599" s="67"/>
      <c r="S599" s="67"/>
      <c r="T599" s="67"/>
      <c r="U599" s="66"/>
      <c r="V599" s="66"/>
      <c r="W599" s="66"/>
      <c r="X599" s="85"/>
      <c r="AP599" t="str">
        <v/>
      </c>
    </row>
    <row r="600" spans="4:42" ht="15.75" x14ac:dyDescent="0.25">
      <c r="D600" s="3">
        <v>1</v>
      </c>
      <c r="F600" s="16" t="str" cm="1">
        <f t="array" ref="F6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0" s="31" cm="1">
        <f t="array" ref="G6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0" s="33" t="str">
        <f>_xlfn.IFNA(IF(MOD(HLG_03[[#This Row],[Rit]],
    _xlfn.XLOOKUP($G$2,Int_Sample[Ore],Int_Sample[Inc])) = 0, "YES", "NO"),"")</f>
        <v/>
      </c>
      <c r="I600" s="32" t="str">
        <f>TEXT(HLG_03[[#This Row],[Batch]],"000")&amp; " / " &amp; TEXT(HLG_03[[#This Row],[Rit]],"000")</f>
        <v>N/A / 000</v>
      </c>
      <c r="J600" s="34"/>
      <c r="K600" s="38"/>
      <c r="L600" s="35"/>
      <c r="M600" s="66"/>
      <c r="N600" s="66"/>
      <c r="O600" s="66"/>
      <c r="P600" s="66"/>
      <c r="Q600" s="66"/>
      <c r="R600" s="67"/>
      <c r="S600" s="67"/>
      <c r="T600" s="67"/>
      <c r="U600" s="66"/>
      <c r="V600" s="66"/>
      <c r="W600" s="66"/>
      <c r="X600" s="85"/>
      <c r="AP600" t="str">
        <v/>
      </c>
    </row>
    <row r="601" spans="4:42" ht="15.75" x14ac:dyDescent="0.25">
      <c r="D601" s="3">
        <v>1</v>
      </c>
      <c r="F601" s="16" t="str" cm="1">
        <f t="array" ref="F6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1" s="31" cm="1">
        <f t="array" ref="G6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1" s="33" t="str">
        <f>_xlfn.IFNA(IF(MOD(HLG_03[[#This Row],[Rit]],
    _xlfn.XLOOKUP($G$2,Int_Sample[Ore],Int_Sample[Inc])) = 0, "YES", "NO"),"")</f>
        <v/>
      </c>
      <c r="I601" s="32" t="str">
        <f>TEXT(HLG_03[[#This Row],[Batch]],"000")&amp; " / " &amp; TEXT(HLG_03[[#This Row],[Rit]],"000")</f>
        <v>N/A / 000</v>
      </c>
      <c r="J601" s="34"/>
      <c r="K601" s="38"/>
      <c r="L601" s="35"/>
      <c r="M601" s="66"/>
      <c r="N601" s="66"/>
      <c r="O601" s="66"/>
      <c r="P601" s="66"/>
      <c r="Q601" s="66"/>
      <c r="R601" s="67"/>
      <c r="S601" s="67"/>
      <c r="T601" s="67"/>
      <c r="U601" s="66"/>
      <c r="V601" s="66"/>
      <c r="W601" s="66"/>
      <c r="X601" s="85"/>
      <c r="AP601" t="str">
        <v/>
      </c>
    </row>
    <row r="602" spans="4:42" ht="15.75" x14ac:dyDescent="0.25">
      <c r="D602" s="3">
        <v>1</v>
      </c>
      <c r="F602" s="16" t="str" cm="1">
        <f t="array" ref="F6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2" s="31" cm="1">
        <f t="array" ref="G6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2" s="33" t="str">
        <f>_xlfn.IFNA(IF(MOD(HLG_03[[#This Row],[Rit]],
    _xlfn.XLOOKUP($G$2,Int_Sample[Ore],Int_Sample[Inc])) = 0, "YES", "NO"),"")</f>
        <v/>
      </c>
      <c r="I602" s="32" t="str">
        <f>TEXT(HLG_03[[#This Row],[Batch]],"000")&amp; " / " &amp; TEXT(HLG_03[[#This Row],[Rit]],"000")</f>
        <v>N/A / 000</v>
      </c>
      <c r="J602" s="34"/>
      <c r="K602" s="38"/>
      <c r="L602" s="35"/>
      <c r="M602" s="66"/>
      <c r="N602" s="66"/>
      <c r="O602" s="66"/>
      <c r="P602" s="66"/>
      <c r="Q602" s="66"/>
      <c r="R602" s="67"/>
      <c r="S602" s="67"/>
      <c r="T602" s="67"/>
      <c r="U602" s="66"/>
      <c r="V602" s="66"/>
      <c r="W602" s="66"/>
      <c r="X602" s="85"/>
      <c r="AP602" t="str">
        <v/>
      </c>
    </row>
    <row r="603" spans="4:42" ht="15.75" x14ac:dyDescent="0.25">
      <c r="D603" s="3">
        <v>1</v>
      </c>
      <c r="F603" s="16" t="str" cm="1">
        <f t="array" ref="F6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3" s="31" cm="1">
        <f t="array" ref="G6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3" s="33" t="str">
        <f>_xlfn.IFNA(IF(MOD(HLG_03[[#This Row],[Rit]],
    _xlfn.XLOOKUP($G$2,Int_Sample[Ore],Int_Sample[Inc])) = 0, "YES", "NO"),"")</f>
        <v/>
      </c>
      <c r="I603" s="32" t="str">
        <f>TEXT(HLG_03[[#This Row],[Batch]],"000")&amp; " / " &amp; TEXT(HLG_03[[#This Row],[Rit]],"000")</f>
        <v>N/A / 000</v>
      </c>
      <c r="J603" s="34"/>
      <c r="K603" s="38"/>
      <c r="L603" s="35"/>
      <c r="M603" s="66"/>
      <c r="N603" s="66"/>
      <c r="O603" s="66"/>
      <c r="P603" s="66"/>
      <c r="Q603" s="66"/>
      <c r="R603" s="67"/>
      <c r="S603" s="67"/>
      <c r="T603" s="67"/>
      <c r="U603" s="66"/>
      <c r="V603" s="66"/>
      <c r="W603" s="66"/>
      <c r="X603" s="85"/>
      <c r="AP603" t="str">
        <v/>
      </c>
    </row>
    <row r="604" spans="4:42" ht="15.75" x14ac:dyDescent="0.25">
      <c r="D604" s="3">
        <v>1</v>
      </c>
      <c r="F604" s="16" t="str" cm="1">
        <f t="array" ref="F6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4" s="31" cm="1">
        <f t="array" ref="G6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4" s="33" t="str">
        <f>_xlfn.IFNA(IF(MOD(HLG_03[[#This Row],[Rit]],
    _xlfn.XLOOKUP($G$2,Int_Sample[Ore],Int_Sample[Inc])) = 0, "YES", "NO"),"")</f>
        <v/>
      </c>
      <c r="I604" s="32" t="str">
        <f>TEXT(HLG_03[[#This Row],[Batch]],"000")&amp; " / " &amp; TEXT(HLG_03[[#This Row],[Rit]],"000")</f>
        <v>N/A / 000</v>
      </c>
      <c r="J604" s="34"/>
      <c r="K604" s="38"/>
      <c r="L604" s="35"/>
      <c r="M604" s="66"/>
      <c r="N604" s="66"/>
      <c r="O604" s="66"/>
      <c r="P604" s="66"/>
      <c r="Q604" s="66"/>
      <c r="R604" s="67"/>
      <c r="S604" s="67"/>
      <c r="T604" s="67"/>
      <c r="U604" s="66"/>
      <c r="V604" s="66"/>
      <c r="W604" s="66"/>
      <c r="X604" s="85"/>
      <c r="AP604" t="str">
        <v/>
      </c>
    </row>
    <row r="605" spans="4:42" ht="15.75" x14ac:dyDescent="0.25">
      <c r="D605" s="3">
        <v>1</v>
      </c>
      <c r="F605" s="16" t="str" cm="1">
        <f t="array" ref="F6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5" s="31" cm="1">
        <f t="array" ref="G6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5" s="33" t="str">
        <f>_xlfn.IFNA(IF(MOD(HLG_03[[#This Row],[Rit]],
    _xlfn.XLOOKUP($G$2,Int_Sample[Ore],Int_Sample[Inc])) = 0, "YES", "NO"),"")</f>
        <v/>
      </c>
      <c r="I605" s="32" t="str">
        <f>TEXT(HLG_03[[#This Row],[Batch]],"000")&amp; " / " &amp; TEXT(HLG_03[[#This Row],[Rit]],"000")</f>
        <v>N/A / 000</v>
      </c>
      <c r="J605" s="34"/>
      <c r="K605" s="38"/>
      <c r="L605" s="35"/>
      <c r="M605" s="66"/>
      <c r="N605" s="66"/>
      <c r="O605" s="66"/>
      <c r="P605" s="66"/>
      <c r="Q605" s="66"/>
      <c r="R605" s="67"/>
      <c r="S605" s="67"/>
      <c r="T605" s="67"/>
      <c r="U605" s="66"/>
      <c r="V605" s="66"/>
      <c r="W605" s="66"/>
      <c r="X605" s="85"/>
      <c r="AP605" t="str">
        <v/>
      </c>
    </row>
    <row r="606" spans="4:42" ht="15.75" x14ac:dyDescent="0.25">
      <c r="D606" s="3">
        <v>1</v>
      </c>
      <c r="F606" s="16" t="str" cm="1">
        <f t="array" ref="F6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6" s="31" cm="1">
        <f t="array" ref="G6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6" s="33" t="str">
        <f>_xlfn.IFNA(IF(MOD(HLG_03[[#This Row],[Rit]],
    _xlfn.XLOOKUP($G$2,Int_Sample[Ore],Int_Sample[Inc])) = 0, "YES", "NO"),"")</f>
        <v/>
      </c>
      <c r="I606" s="32" t="str">
        <f>TEXT(HLG_03[[#This Row],[Batch]],"000")&amp; " / " &amp; TEXT(HLG_03[[#This Row],[Rit]],"000")</f>
        <v>N/A / 000</v>
      </c>
      <c r="J606" s="34"/>
      <c r="K606" s="38"/>
      <c r="L606" s="35"/>
      <c r="M606" s="66"/>
      <c r="N606" s="66"/>
      <c r="O606" s="66"/>
      <c r="P606" s="66"/>
      <c r="Q606" s="66"/>
      <c r="R606" s="67"/>
      <c r="S606" s="67"/>
      <c r="T606" s="67"/>
      <c r="U606" s="66"/>
      <c r="V606" s="66"/>
      <c r="W606" s="66"/>
      <c r="X606" s="85"/>
      <c r="AP606" t="str">
        <v/>
      </c>
    </row>
    <row r="607" spans="4:42" ht="15.75" x14ac:dyDescent="0.25">
      <c r="D607" s="3">
        <v>1</v>
      </c>
      <c r="F607" s="16" t="str" cm="1">
        <f t="array" ref="F6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7" s="31" cm="1">
        <f t="array" ref="G6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7" s="33" t="str">
        <f>_xlfn.IFNA(IF(MOD(HLG_03[[#This Row],[Rit]],
    _xlfn.XLOOKUP($G$2,Int_Sample[Ore],Int_Sample[Inc])) = 0, "YES", "NO"),"")</f>
        <v/>
      </c>
      <c r="I607" s="32" t="str">
        <f>TEXT(HLG_03[[#This Row],[Batch]],"000")&amp; " / " &amp; TEXT(HLG_03[[#This Row],[Rit]],"000")</f>
        <v>N/A / 000</v>
      </c>
      <c r="J607" s="34"/>
      <c r="K607" s="38"/>
      <c r="L607" s="35"/>
      <c r="M607" s="66"/>
      <c r="N607" s="66"/>
      <c r="O607" s="66"/>
      <c r="P607" s="66"/>
      <c r="Q607" s="66"/>
      <c r="R607" s="67"/>
      <c r="S607" s="67"/>
      <c r="T607" s="67"/>
      <c r="U607" s="66"/>
      <c r="V607" s="66"/>
      <c r="W607" s="66"/>
      <c r="X607" s="85"/>
      <c r="AP607" t="str">
        <v/>
      </c>
    </row>
    <row r="608" spans="4:42" ht="15.75" x14ac:dyDescent="0.25">
      <c r="D608" s="3">
        <v>1</v>
      </c>
      <c r="F608" s="16" t="str" cm="1">
        <f t="array" ref="F6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8" s="31" cm="1">
        <f t="array" ref="G6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8" s="33" t="str">
        <f>_xlfn.IFNA(IF(MOD(HLG_03[[#This Row],[Rit]],
    _xlfn.XLOOKUP($G$2,Int_Sample[Ore],Int_Sample[Inc])) = 0, "YES", "NO"),"")</f>
        <v/>
      </c>
      <c r="I608" s="32" t="str">
        <f>TEXT(HLG_03[[#This Row],[Batch]],"000")&amp; " / " &amp; TEXT(HLG_03[[#This Row],[Rit]],"000")</f>
        <v>N/A / 000</v>
      </c>
      <c r="J608" s="34"/>
      <c r="K608" s="38"/>
      <c r="L608" s="35"/>
      <c r="M608" s="66"/>
      <c r="N608" s="66"/>
      <c r="O608" s="66"/>
      <c r="P608" s="66"/>
      <c r="Q608" s="66"/>
      <c r="R608" s="67"/>
      <c r="S608" s="67"/>
      <c r="T608" s="67"/>
      <c r="U608" s="66"/>
      <c r="V608" s="66"/>
      <c r="W608" s="66"/>
      <c r="X608" s="85"/>
      <c r="AP608" t="str">
        <v/>
      </c>
    </row>
    <row r="609" spans="4:42" ht="15.75" x14ac:dyDescent="0.25">
      <c r="D609" s="3">
        <v>1</v>
      </c>
      <c r="F609" s="16" t="str" cm="1">
        <f t="array" ref="F6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9" s="31" cm="1">
        <f t="array" ref="G6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9" s="33" t="str">
        <f>_xlfn.IFNA(IF(MOD(HLG_03[[#This Row],[Rit]],
    _xlfn.XLOOKUP($G$2,Int_Sample[Ore],Int_Sample[Inc])) = 0, "YES", "NO"),"")</f>
        <v/>
      </c>
      <c r="I609" s="32" t="str">
        <f>TEXT(HLG_03[[#This Row],[Batch]],"000")&amp; " / " &amp; TEXT(HLG_03[[#This Row],[Rit]],"000")</f>
        <v>N/A / 000</v>
      </c>
      <c r="J609" s="34"/>
      <c r="K609" s="38"/>
      <c r="L609" s="35"/>
      <c r="M609" s="66"/>
      <c r="N609" s="66"/>
      <c r="O609" s="66"/>
      <c r="P609" s="66"/>
      <c r="Q609" s="66"/>
      <c r="R609" s="67"/>
      <c r="S609" s="67"/>
      <c r="T609" s="67"/>
      <c r="U609" s="66"/>
      <c r="V609" s="66"/>
      <c r="W609" s="66"/>
      <c r="X609" s="85"/>
      <c r="AP609" t="str">
        <v/>
      </c>
    </row>
    <row r="610" spans="4:42" ht="15.75" x14ac:dyDescent="0.25">
      <c r="D610" s="3">
        <v>1</v>
      </c>
      <c r="F610" s="16" t="str" cm="1">
        <f t="array" ref="F6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0" s="31" cm="1">
        <f t="array" ref="G6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0" s="33" t="str">
        <f>_xlfn.IFNA(IF(MOD(HLG_03[[#This Row],[Rit]],
    _xlfn.XLOOKUP($G$2,Int_Sample[Ore],Int_Sample[Inc])) = 0, "YES", "NO"),"")</f>
        <v/>
      </c>
      <c r="I610" s="32" t="str">
        <f>TEXT(HLG_03[[#This Row],[Batch]],"000")&amp; " / " &amp; TEXT(HLG_03[[#This Row],[Rit]],"000")</f>
        <v>N/A / 000</v>
      </c>
      <c r="J610" s="34"/>
      <c r="K610" s="38"/>
      <c r="L610" s="35"/>
      <c r="M610" s="66"/>
      <c r="N610" s="66"/>
      <c r="O610" s="66"/>
      <c r="P610" s="66"/>
      <c r="Q610" s="66"/>
      <c r="R610" s="67"/>
      <c r="S610" s="67"/>
      <c r="T610" s="67"/>
      <c r="U610" s="66"/>
      <c r="V610" s="66"/>
      <c r="W610" s="66"/>
      <c r="X610" s="85"/>
      <c r="AP610" t="str">
        <v/>
      </c>
    </row>
    <row r="611" spans="4:42" ht="15.75" x14ac:dyDescent="0.25">
      <c r="D611" s="3">
        <v>1</v>
      </c>
      <c r="F611" s="16" t="str" cm="1">
        <f t="array" ref="F6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1" s="31" cm="1">
        <f t="array" ref="G6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1" s="33" t="str">
        <f>_xlfn.IFNA(IF(MOD(HLG_03[[#This Row],[Rit]],
    _xlfn.XLOOKUP($G$2,Int_Sample[Ore],Int_Sample[Inc])) = 0, "YES", "NO"),"")</f>
        <v/>
      </c>
      <c r="I611" s="32" t="str">
        <f>TEXT(HLG_03[[#This Row],[Batch]],"000")&amp; " / " &amp; TEXT(HLG_03[[#This Row],[Rit]],"000")</f>
        <v>N/A / 000</v>
      </c>
      <c r="J611" s="34"/>
      <c r="K611" s="38"/>
      <c r="L611" s="35"/>
      <c r="M611" s="66"/>
      <c r="N611" s="66"/>
      <c r="O611" s="66"/>
      <c r="P611" s="66"/>
      <c r="Q611" s="66"/>
      <c r="R611" s="67"/>
      <c r="S611" s="67"/>
      <c r="T611" s="67"/>
      <c r="U611" s="66"/>
      <c r="V611" s="66"/>
      <c r="W611" s="66"/>
      <c r="X611" s="85"/>
      <c r="AP611" t="str">
        <v/>
      </c>
    </row>
    <row r="612" spans="4:42" ht="15.75" x14ac:dyDescent="0.25">
      <c r="D612" s="3">
        <v>1</v>
      </c>
      <c r="F612" s="16" t="str" cm="1">
        <f t="array" ref="F6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2" s="31" cm="1">
        <f t="array" ref="G6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2" s="33" t="str">
        <f>_xlfn.IFNA(IF(MOD(HLG_03[[#This Row],[Rit]],
    _xlfn.XLOOKUP($G$2,Int_Sample[Ore],Int_Sample[Inc])) = 0, "YES", "NO"),"")</f>
        <v/>
      </c>
      <c r="I612" s="32" t="str">
        <f>TEXT(HLG_03[[#This Row],[Batch]],"000")&amp; " / " &amp; TEXT(HLG_03[[#This Row],[Rit]],"000")</f>
        <v>N/A / 000</v>
      </c>
      <c r="J612" s="34"/>
      <c r="K612" s="38"/>
      <c r="L612" s="35"/>
      <c r="M612" s="66"/>
      <c r="N612" s="66"/>
      <c r="O612" s="66"/>
      <c r="P612" s="66"/>
      <c r="Q612" s="66"/>
      <c r="R612" s="67"/>
      <c r="S612" s="67"/>
      <c r="T612" s="67"/>
      <c r="U612" s="66"/>
      <c r="V612" s="66"/>
      <c r="W612" s="66"/>
      <c r="X612" s="85"/>
      <c r="AP612" t="str">
        <v/>
      </c>
    </row>
    <row r="613" spans="4:42" ht="15.75" x14ac:dyDescent="0.25">
      <c r="D613" s="3">
        <v>1</v>
      </c>
      <c r="F613" s="16" t="str" cm="1">
        <f t="array" ref="F6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3" s="31" cm="1">
        <f t="array" ref="G6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3" s="33" t="str">
        <f>_xlfn.IFNA(IF(MOD(HLG_03[[#This Row],[Rit]],
    _xlfn.XLOOKUP($G$2,Int_Sample[Ore],Int_Sample[Inc])) = 0, "YES", "NO"),"")</f>
        <v/>
      </c>
      <c r="I613" s="32" t="str">
        <f>TEXT(HLG_03[[#This Row],[Batch]],"000")&amp; " / " &amp; TEXT(HLG_03[[#This Row],[Rit]],"000")</f>
        <v>N/A / 000</v>
      </c>
      <c r="J613" s="34"/>
      <c r="K613" s="38"/>
      <c r="L613" s="35"/>
      <c r="M613" s="66"/>
      <c r="N613" s="66"/>
      <c r="O613" s="66"/>
      <c r="P613" s="66"/>
      <c r="Q613" s="66"/>
      <c r="R613" s="67"/>
      <c r="S613" s="67"/>
      <c r="T613" s="67"/>
      <c r="U613" s="66"/>
      <c r="V613" s="66"/>
      <c r="W613" s="66"/>
      <c r="X613" s="85"/>
      <c r="AP613" t="str">
        <v/>
      </c>
    </row>
    <row r="614" spans="4:42" ht="15.75" x14ac:dyDescent="0.25">
      <c r="D614" s="3">
        <v>1</v>
      </c>
      <c r="F614" s="16" t="str" cm="1">
        <f t="array" ref="F6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4" s="31" cm="1">
        <f t="array" ref="G6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4" s="33" t="str">
        <f>_xlfn.IFNA(IF(MOD(HLG_03[[#This Row],[Rit]],
    _xlfn.XLOOKUP($G$2,Int_Sample[Ore],Int_Sample[Inc])) = 0, "YES", "NO"),"")</f>
        <v/>
      </c>
      <c r="I614" s="32" t="str">
        <f>TEXT(HLG_03[[#This Row],[Batch]],"000")&amp; " / " &amp; TEXT(HLG_03[[#This Row],[Rit]],"000")</f>
        <v>N/A / 000</v>
      </c>
      <c r="J614" s="34"/>
      <c r="K614" s="38"/>
      <c r="L614" s="35"/>
      <c r="M614" s="66"/>
      <c r="N614" s="66"/>
      <c r="O614" s="66"/>
      <c r="P614" s="66"/>
      <c r="Q614" s="66"/>
      <c r="R614" s="67"/>
      <c r="S614" s="67"/>
      <c r="T614" s="67"/>
      <c r="U614" s="66"/>
      <c r="V614" s="66"/>
      <c r="W614" s="66"/>
      <c r="X614" s="85"/>
      <c r="AP614" t="str">
        <v/>
      </c>
    </row>
    <row r="615" spans="4:42" ht="15.75" x14ac:dyDescent="0.25">
      <c r="D615" s="3">
        <v>1</v>
      </c>
      <c r="F615" s="16" t="str" cm="1">
        <f t="array" ref="F6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5" s="31" cm="1">
        <f t="array" ref="G6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5" s="33" t="str">
        <f>_xlfn.IFNA(IF(MOD(HLG_03[[#This Row],[Rit]],
    _xlfn.XLOOKUP($G$2,Int_Sample[Ore],Int_Sample[Inc])) = 0, "YES", "NO"),"")</f>
        <v/>
      </c>
      <c r="I615" s="32" t="str">
        <f>TEXT(HLG_03[[#This Row],[Batch]],"000")&amp; " / " &amp; TEXT(HLG_03[[#This Row],[Rit]],"000")</f>
        <v>N/A / 000</v>
      </c>
      <c r="J615" s="34"/>
      <c r="K615" s="38"/>
      <c r="L615" s="35"/>
      <c r="M615" s="66"/>
      <c r="N615" s="66"/>
      <c r="O615" s="66"/>
      <c r="P615" s="66"/>
      <c r="Q615" s="66"/>
      <c r="R615" s="67"/>
      <c r="S615" s="67"/>
      <c r="T615" s="67"/>
      <c r="U615" s="66"/>
      <c r="V615" s="66"/>
      <c r="W615" s="66"/>
      <c r="X615" s="85"/>
      <c r="AP615" t="str">
        <v/>
      </c>
    </row>
    <row r="616" spans="4:42" ht="15.75" x14ac:dyDescent="0.25">
      <c r="D616" s="3">
        <v>1</v>
      </c>
      <c r="F616" s="16" t="str" cm="1">
        <f t="array" ref="F6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6" s="31" cm="1">
        <f t="array" ref="G6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6" s="33" t="str">
        <f>_xlfn.IFNA(IF(MOD(HLG_03[[#This Row],[Rit]],
    _xlfn.XLOOKUP($G$2,Int_Sample[Ore],Int_Sample[Inc])) = 0, "YES", "NO"),"")</f>
        <v/>
      </c>
      <c r="I616" s="32" t="str">
        <f>TEXT(HLG_03[[#This Row],[Batch]],"000")&amp; " / " &amp; TEXT(HLG_03[[#This Row],[Rit]],"000")</f>
        <v>N/A / 000</v>
      </c>
      <c r="J616" s="34"/>
      <c r="K616" s="38"/>
      <c r="L616" s="35"/>
      <c r="M616" s="66"/>
      <c r="N616" s="66"/>
      <c r="O616" s="66"/>
      <c r="P616" s="66"/>
      <c r="Q616" s="66"/>
      <c r="R616" s="67"/>
      <c r="S616" s="67"/>
      <c r="T616" s="67"/>
      <c r="U616" s="66"/>
      <c r="V616" s="66"/>
      <c r="W616" s="66"/>
      <c r="X616" s="85"/>
      <c r="AP616" t="str">
        <v/>
      </c>
    </row>
    <row r="617" spans="4:42" ht="15.75" x14ac:dyDescent="0.25">
      <c r="D617" s="3">
        <v>1</v>
      </c>
      <c r="F617" s="16" t="str" cm="1">
        <f t="array" ref="F6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7" s="31" cm="1">
        <f t="array" ref="G6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7" s="33" t="str">
        <f>_xlfn.IFNA(IF(MOD(HLG_03[[#This Row],[Rit]],
    _xlfn.XLOOKUP($G$2,Int_Sample[Ore],Int_Sample[Inc])) = 0, "YES", "NO"),"")</f>
        <v/>
      </c>
      <c r="I617" s="32" t="str">
        <f>TEXT(HLG_03[[#This Row],[Batch]],"000")&amp; " / " &amp; TEXT(HLG_03[[#This Row],[Rit]],"000")</f>
        <v>N/A / 000</v>
      </c>
      <c r="J617" s="34"/>
      <c r="K617" s="38"/>
      <c r="L617" s="35"/>
      <c r="M617" s="66"/>
      <c r="N617" s="66"/>
      <c r="O617" s="66"/>
      <c r="P617" s="66"/>
      <c r="Q617" s="66"/>
      <c r="R617" s="67"/>
      <c r="S617" s="67"/>
      <c r="T617" s="67"/>
      <c r="U617" s="66"/>
      <c r="V617" s="66"/>
      <c r="W617" s="66"/>
      <c r="X617" s="85"/>
      <c r="AP617" t="str">
        <v/>
      </c>
    </row>
    <row r="618" spans="4:42" ht="15.75" x14ac:dyDescent="0.25">
      <c r="D618" s="3">
        <v>1</v>
      </c>
      <c r="F618" s="16" t="str" cm="1">
        <f t="array" ref="F6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8" s="31" cm="1">
        <f t="array" ref="G6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8" s="33" t="str">
        <f>_xlfn.IFNA(IF(MOD(HLG_03[[#This Row],[Rit]],
    _xlfn.XLOOKUP($G$2,Int_Sample[Ore],Int_Sample[Inc])) = 0, "YES", "NO"),"")</f>
        <v/>
      </c>
      <c r="I618" s="32" t="str">
        <f>TEXT(HLG_03[[#This Row],[Batch]],"000")&amp; " / " &amp; TEXT(HLG_03[[#This Row],[Rit]],"000")</f>
        <v>N/A / 000</v>
      </c>
      <c r="J618" s="34"/>
      <c r="K618" s="38"/>
      <c r="L618" s="35"/>
      <c r="M618" s="66"/>
      <c r="N618" s="66"/>
      <c r="O618" s="66"/>
      <c r="P618" s="66"/>
      <c r="Q618" s="66"/>
      <c r="R618" s="67"/>
      <c r="S618" s="67"/>
      <c r="T618" s="67"/>
      <c r="U618" s="66"/>
      <c r="V618" s="66"/>
      <c r="W618" s="66"/>
      <c r="X618" s="85"/>
      <c r="AP618" t="str">
        <v/>
      </c>
    </row>
    <row r="619" spans="4:42" ht="15.75" x14ac:dyDescent="0.25">
      <c r="D619" s="3">
        <v>1</v>
      </c>
      <c r="F619" s="16" t="str" cm="1">
        <f t="array" ref="F6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9" s="31" cm="1">
        <f t="array" ref="G6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9" s="33" t="str">
        <f>_xlfn.IFNA(IF(MOD(HLG_03[[#This Row],[Rit]],
    _xlfn.XLOOKUP($G$2,Int_Sample[Ore],Int_Sample[Inc])) = 0, "YES", "NO"),"")</f>
        <v/>
      </c>
      <c r="I619" s="32" t="str">
        <f>TEXT(HLG_03[[#This Row],[Batch]],"000")&amp; " / " &amp; TEXT(HLG_03[[#This Row],[Rit]],"000")</f>
        <v>N/A / 000</v>
      </c>
      <c r="J619" s="34"/>
      <c r="K619" s="38"/>
      <c r="L619" s="35"/>
      <c r="M619" s="66"/>
      <c r="N619" s="66"/>
      <c r="O619" s="66"/>
      <c r="P619" s="66"/>
      <c r="Q619" s="66"/>
      <c r="R619" s="67"/>
      <c r="S619" s="67"/>
      <c r="T619" s="67"/>
      <c r="U619" s="66"/>
      <c r="V619" s="66"/>
      <c r="W619" s="66"/>
      <c r="X619" s="85"/>
      <c r="AP619" t="str">
        <v/>
      </c>
    </row>
    <row r="620" spans="4:42" ht="15.75" x14ac:dyDescent="0.25">
      <c r="D620" s="3">
        <v>1</v>
      </c>
      <c r="F620" s="16" t="str" cm="1">
        <f t="array" ref="F6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0" s="31" cm="1">
        <f t="array" ref="G6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0" s="33" t="str">
        <f>_xlfn.IFNA(IF(MOD(HLG_03[[#This Row],[Rit]],
    _xlfn.XLOOKUP($G$2,Int_Sample[Ore],Int_Sample[Inc])) = 0, "YES", "NO"),"")</f>
        <v/>
      </c>
      <c r="I620" s="32" t="str">
        <f>TEXT(HLG_03[[#This Row],[Batch]],"000")&amp; " / " &amp; TEXT(HLG_03[[#This Row],[Rit]],"000")</f>
        <v>N/A / 000</v>
      </c>
      <c r="J620" s="34"/>
      <c r="K620" s="38"/>
      <c r="L620" s="35"/>
      <c r="M620" s="66"/>
      <c r="N620" s="66"/>
      <c r="O620" s="66"/>
      <c r="P620" s="66"/>
      <c r="Q620" s="66"/>
      <c r="R620" s="67"/>
      <c r="S620" s="67"/>
      <c r="T620" s="67"/>
      <c r="U620" s="66"/>
      <c r="V620" s="66"/>
      <c r="W620" s="66"/>
      <c r="X620" s="85"/>
      <c r="AP620" t="str">
        <v/>
      </c>
    </row>
    <row r="621" spans="4:42" ht="15.75" x14ac:dyDescent="0.25">
      <c r="D621" s="3">
        <v>1</v>
      </c>
      <c r="F621" s="16" t="str" cm="1">
        <f t="array" ref="F6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1" s="31" cm="1">
        <f t="array" ref="G6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1" s="33" t="str">
        <f>_xlfn.IFNA(IF(MOD(HLG_03[[#This Row],[Rit]],
    _xlfn.XLOOKUP($G$2,Int_Sample[Ore],Int_Sample[Inc])) = 0, "YES", "NO"),"")</f>
        <v/>
      </c>
      <c r="I621" s="32" t="str">
        <f>TEXT(HLG_03[[#This Row],[Batch]],"000")&amp; " / " &amp; TEXT(HLG_03[[#This Row],[Rit]],"000")</f>
        <v>N/A / 000</v>
      </c>
      <c r="J621" s="34"/>
      <c r="K621" s="38"/>
      <c r="L621" s="35"/>
      <c r="M621" s="66"/>
      <c r="N621" s="66"/>
      <c r="O621" s="66"/>
      <c r="P621" s="66"/>
      <c r="Q621" s="66"/>
      <c r="R621" s="67"/>
      <c r="S621" s="67"/>
      <c r="T621" s="67"/>
      <c r="U621" s="66"/>
      <c r="V621" s="66"/>
      <c r="W621" s="66"/>
      <c r="X621" s="85"/>
      <c r="AP621" t="str">
        <v/>
      </c>
    </row>
    <row r="622" spans="4:42" ht="15.75" x14ac:dyDescent="0.25">
      <c r="D622" s="3">
        <v>1</v>
      </c>
      <c r="F622" s="16" t="str" cm="1">
        <f t="array" ref="F6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2" s="31" cm="1">
        <f t="array" ref="G6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2" s="33" t="str">
        <f>_xlfn.IFNA(IF(MOD(HLG_03[[#This Row],[Rit]],
    _xlfn.XLOOKUP($G$2,Int_Sample[Ore],Int_Sample[Inc])) = 0, "YES", "NO"),"")</f>
        <v/>
      </c>
      <c r="I622" s="32" t="str">
        <f>TEXT(HLG_03[[#This Row],[Batch]],"000")&amp; " / " &amp; TEXT(HLG_03[[#This Row],[Rit]],"000")</f>
        <v>N/A / 000</v>
      </c>
      <c r="J622" s="34"/>
      <c r="K622" s="38"/>
      <c r="L622" s="35"/>
      <c r="M622" s="66"/>
      <c r="N622" s="66"/>
      <c r="O622" s="66"/>
      <c r="P622" s="66"/>
      <c r="Q622" s="66"/>
      <c r="R622" s="67"/>
      <c r="S622" s="67"/>
      <c r="T622" s="67"/>
      <c r="U622" s="66"/>
      <c r="V622" s="66"/>
      <c r="W622" s="66"/>
      <c r="X622" s="85"/>
      <c r="AP622" t="str">
        <v/>
      </c>
    </row>
    <row r="623" spans="4:42" ht="15.75" x14ac:dyDescent="0.25">
      <c r="D623" s="3">
        <v>1</v>
      </c>
      <c r="F623" s="16" t="str" cm="1">
        <f t="array" ref="F6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3" s="31" cm="1">
        <f t="array" ref="G6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3" s="33" t="str">
        <f>_xlfn.IFNA(IF(MOD(HLG_03[[#This Row],[Rit]],
    _xlfn.XLOOKUP($G$2,Int_Sample[Ore],Int_Sample[Inc])) = 0, "YES", "NO"),"")</f>
        <v/>
      </c>
      <c r="I623" s="32" t="str">
        <f>TEXT(HLG_03[[#This Row],[Batch]],"000")&amp; " / " &amp; TEXT(HLG_03[[#This Row],[Rit]],"000")</f>
        <v>N/A / 000</v>
      </c>
      <c r="J623" s="34"/>
      <c r="K623" s="38"/>
      <c r="L623" s="35"/>
      <c r="M623" s="66"/>
      <c r="N623" s="66"/>
      <c r="O623" s="66"/>
      <c r="P623" s="66"/>
      <c r="Q623" s="66"/>
      <c r="R623" s="67"/>
      <c r="S623" s="67"/>
      <c r="T623" s="67"/>
      <c r="U623" s="66"/>
      <c r="V623" s="66"/>
      <c r="W623" s="66"/>
      <c r="X623" s="85"/>
      <c r="AP623" t="str">
        <v/>
      </c>
    </row>
    <row r="624" spans="4:42" ht="15.75" x14ac:dyDescent="0.25">
      <c r="D624" s="3">
        <v>1</v>
      </c>
      <c r="F624" s="16" t="str" cm="1">
        <f t="array" ref="F6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4" s="31" cm="1">
        <f t="array" ref="G6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4" s="33" t="str">
        <f>_xlfn.IFNA(IF(MOD(HLG_03[[#This Row],[Rit]],
    _xlfn.XLOOKUP($G$2,Int_Sample[Ore],Int_Sample[Inc])) = 0, "YES", "NO"),"")</f>
        <v/>
      </c>
      <c r="I624" s="32" t="str">
        <f>TEXT(HLG_03[[#This Row],[Batch]],"000")&amp; " / " &amp; TEXT(HLG_03[[#This Row],[Rit]],"000")</f>
        <v>N/A / 000</v>
      </c>
      <c r="J624" s="34"/>
      <c r="K624" s="38"/>
      <c r="L624" s="35"/>
      <c r="M624" s="66"/>
      <c r="N624" s="66"/>
      <c r="O624" s="66"/>
      <c r="P624" s="66"/>
      <c r="Q624" s="66"/>
      <c r="R624" s="67"/>
      <c r="S624" s="67"/>
      <c r="T624" s="67"/>
      <c r="U624" s="66"/>
      <c r="V624" s="66"/>
      <c r="W624" s="66"/>
      <c r="X624" s="85"/>
      <c r="AP624" t="str">
        <v/>
      </c>
    </row>
    <row r="625" spans="4:42" ht="15.75" x14ac:dyDescent="0.25">
      <c r="D625" s="3">
        <v>1</v>
      </c>
      <c r="F625" s="16" t="str" cm="1">
        <f t="array" ref="F6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5" s="31" cm="1">
        <f t="array" ref="G6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5" s="33" t="str">
        <f>_xlfn.IFNA(IF(MOD(HLG_03[[#This Row],[Rit]],
    _xlfn.XLOOKUP($G$2,Int_Sample[Ore],Int_Sample[Inc])) = 0, "YES", "NO"),"")</f>
        <v/>
      </c>
      <c r="I625" s="32" t="str">
        <f>TEXT(HLG_03[[#This Row],[Batch]],"000")&amp; " / " &amp; TEXT(HLG_03[[#This Row],[Rit]],"000")</f>
        <v>N/A / 000</v>
      </c>
      <c r="J625" s="34"/>
      <c r="K625" s="38"/>
      <c r="L625" s="35"/>
      <c r="M625" s="66"/>
      <c r="N625" s="66"/>
      <c r="O625" s="66"/>
      <c r="P625" s="66"/>
      <c r="Q625" s="66"/>
      <c r="R625" s="67"/>
      <c r="S625" s="67"/>
      <c r="T625" s="67"/>
      <c r="U625" s="66"/>
      <c r="V625" s="66"/>
      <c r="W625" s="66"/>
      <c r="X625" s="85"/>
      <c r="AP625" t="str">
        <v/>
      </c>
    </row>
    <row r="626" spans="4:42" ht="15.75" x14ac:dyDescent="0.25">
      <c r="D626" s="3">
        <v>1</v>
      </c>
      <c r="F626" s="16" t="str" cm="1">
        <f t="array" ref="F6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6" s="31" cm="1">
        <f t="array" ref="G6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6" s="33" t="str">
        <f>_xlfn.IFNA(IF(MOD(HLG_03[[#This Row],[Rit]],
    _xlfn.XLOOKUP($G$2,Int_Sample[Ore],Int_Sample[Inc])) = 0, "YES", "NO"),"")</f>
        <v/>
      </c>
      <c r="I626" s="32" t="str">
        <f>TEXT(HLG_03[[#This Row],[Batch]],"000")&amp; " / " &amp; TEXT(HLG_03[[#This Row],[Rit]],"000")</f>
        <v>N/A / 000</v>
      </c>
      <c r="J626" s="34"/>
      <c r="K626" s="38"/>
      <c r="L626" s="35"/>
      <c r="M626" s="66"/>
      <c r="N626" s="66"/>
      <c r="O626" s="66"/>
      <c r="P626" s="66"/>
      <c r="Q626" s="66"/>
      <c r="R626" s="67"/>
      <c r="S626" s="67"/>
      <c r="T626" s="67"/>
      <c r="U626" s="66"/>
      <c r="V626" s="66"/>
      <c r="W626" s="66"/>
      <c r="X626" s="85"/>
      <c r="AP626" t="str">
        <v/>
      </c>
    </row>
    <row r="627" spans="4:42" ht="15.75" x14ac:dyDescent="0.25">
      <c r="D627" s="3">
        <v>1</v>
      </c>
      <c r="F627" s="16" t="str" cm="1">
        <f t="array" ref="F6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7" s="31" cm="1">
        <f t="array" ref="G6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7" s="33" t="str">
        <f>_xlfn.IFNA(IF(MOD(HLG_03[[#This Row],[Rit]],
    _xlfn.XLOOKUP($G$2,Int_Sample[Ore],Int_Sample[Inc])) = 0, "YES", "NO"),"")</f>
        <v/>
      </c>
      <c r="I627" s="32" t="str">
        <f>TEXT(HLG_03[[#This Row],[Batch]],"000")&amp; " / " &amp; TEXT(HLG_03[[#This Row],[Rit]],"000")</f>
        <v>N/A / 000</v>
      </c>
      <c r="J627" s="34"/>
      <c r="K627" s="38"/>
      <c r="L627" s="35"/>
      <c r="M627" s="66"/>
      <c r="N627" s="66"/>
      <c r="O627" s="66"/>
      <c r="P627" s="66"/>
      <c r="Q627" s="66"/>
      <c r="R627" s="67"/>
      <c r="S627" s="67"/>
      <c r="T627" s="67"/>
      <c r="U627" s="66"/>
      <c r="V627" s="66"/>
      <c r="W627" s="66"/>
      <c r="X627" s="85"/>
      <c r="AP627" t="str">
        <v/>
      </c>
    </row>
    <row r="628" spans="4:42" ht="15.75" x14ac:dyDescent="0.25">
      <c r="D628" s="3">
        <v>1</v>
      </c>
      <c r="F628" s="16" t="str" cm="1">
        <f t="array" ref="F6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8" s="31" cm="1">
        <f t="array" ref="G6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8" s="33" t="str">
        <f>_xlfn.IFNA(IF(MOD(HLG_03[[#This Row],[Rit]],
    _xlfn.XLOOKUP($G$2,Int_Sample[Ore],Int_Sample[Inc])) = 0, "YES", "NO"),"")</f>
        <v/>
      </c>
      <c r="I628" s="32" t="str">
        <f>TEXT(HLG_03[[#This Row],[Batch]],"000")&amp; " / " &amp; TEXT(HLG_03[[#This Row],[Rit]],"000")</f>
        <v>N/A / 000</v>
      </c>
      <c r="J628" s="34"/>
      <c r="K628" s="38"/>
      <c r="L628" s="35"/>
      <c r="M628" s="66"/>
      <c r="N628" s="66"/>
      <c r="O628" s="66"/>
      <c r="P628" s="66"/>
      <c r="Q628" s="66"/>
      <c r="R628" s="67"/>
      <c r="S628" s="67"/>
      <c r="T628" s="67"/>
      <c r="U628" s="66"/>
      <c r="V628" s="66"/>
      <c r="W628" s="66"/>
      <c r="X628" s="85"/>
      <c r="AP628" t="str">
        <v/>
      </c>
    </row>
    <row r="629" spans="4:42" ht="15.75" x14ac:dyDescent="0.25">
      <c r="D629" s="3">
        <v>1</v>
      </c>
      <c r="F629" s="16" t="str" cm="1">
        <f t="array" ref="F6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9" s="31" cm="1">
        <f t="array" ref="G6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9" s="33" t="str">
        <f>_xlfn.IFNA(IF(MOD(HLG_03[[#This Row],[Rit]],
    _xlfn.XLOOKUP($G$2,Int_Sample[Ore],Int_Sample[Inc])) = 0, "YES", "NO"),"")</f>
        <v/>
      </c>
      <c r="I629" s="32" t="str">
        <f>TEXT(HLG_03[[#This Row],[Batch]],"000")&amp; " / " &amp; TEXT(HLG_03[[#This Row],[Rit]],"000")</f>
        <v>N/A / 000</v>
      </c>
      <c r="J629" s="34"/>
      <c r="K629" s="38"/>
      <c r="L629" s="35"/>
      <c r="M629" s="66"/>
      <c r="N629" s="66"/>
      <c r="O629" s="66"/>
      <c r="P629" s="66"/>
      <c r="Q629" s="66"/>
      <c r="R629" s="67"/>
      <c r="S629" s="67"/>
      <c r="T629" s="67"/>
      <c r="U629" s="66"/>
      <c r="V629" s="66"/>
      <c r="W629" s="66"/>
      <c r="X629" s="85"/>
      <c r="AP629" t="str">
        <v/>
      </c>
    </row>
    <row r="630" spans="4:42" ht="15.75" x14ac:dyDescent="0.25">
      <c r="D630" s="3">
        <v>1</v>
      </c>
      <c r="F630" s="16" t="str" cm="1">
        <f t="array" ref="F6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0" s="31" cm="1">
        <f t="array" ref="G6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0" s="33" t="str">
        <f>_xlfn.IFNA(IF(MOD(HLG_03[[#This Row],[Rit]],
    _xlfn.XLOOKUP($G$2,Int_Sample[Ore],Int_Sample[Inc])) = 0, "YES", "NO"),"")</f>
        <v/>
      </c>
      <c r="I630" s="32" t="str">
        <f>TEXT(HLG_03[[#This Row],[Batch]],"000")&amp; " / " &amp; TEXT(HLG_03[[#This Row],[Rit]],"000")</f>
        <v>N/A / 000</v>
      </c>
      <c r="J630" s="34"/>
      <c r="K630" s="38"/>
      <c r="L630" s="35"/>
      <c r="M630" s="66"/>
      <c r="N630" s="66"/>
      <c r="O630" s="66"/>
      <c r="P630" s="66"/>
      <c r="Q630" s="66"/>
      <c r="R630" s="67"/>
      <c r="S630" s="67"/>
      <c r="T630" s="67"/>
      <c r="U630" s="66"/>
      <c r="V630" s="66"/>
      <c r="W630" s="66"/>
      <c r="X630" s="85"/>
      <c r="AP630" t="str">
        <v/>
      </c>
    </row>
    <row r="631" spans="4:42" ht="15.75" x14ac:dyDescent="0.25">
      <c r="D631" s="3">
        <v>1</v>
      </c>
      <c r="F631" s="16" t="str" cm="1">
        <f t="array" ref="F6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1" s="31" cm="1">
        <f t="array" ref="G6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1" s="33" t="str">
        <f>_xlfn.IFNA(IF(MOD(HLG_03[[#This Row],[Rit]],
    _xlfn.XLOOKUP($G$2,Int_Sample[Ore],Int_Sample[Inc])) = 0, "YES", "NO"),"")</f>
        <v/>
      </c>
      <c r="I631" s="32" t="str">
        <f>TEXT(HLG_03[[#This Row],[Batch]],"000")&amp; " / " &amp; TEXT(HLG_03[[#This Row],[Rit]],"000")</f>
        <v>N/A / 000</v>
      </c>
      <c r="J631" s="34"/>
      <c r="K631" s="38"/>
      <c r="L631" s="35"/>
      <c r="M631" s="66"/>
      <c r="N631" s="66"/>
      <c r="O631" s="66"/>
      <c r="P631" s="66"/>
      <c r="Q631" s="66"/>
      <c r="R631" s="67"/>
      <c r="S631" s="67"/>
      <c r="T631" s="67"/>
      <c r="U631" s="66"/>
      <c r="V631" s="66"/>
      <c r="W631" s="66"/>
      <c r="X631" s="85"/>
      <c r="AP631" t="str">
        <v/>
      </c>
    </row>
    <row r="632" spans="4:42" ht="15.75" x14ac:dyDescent="0.25">
      <c r="D632" s="3">
        <v>1</v>
      </c>
      <c r="F632" s="16" t="str" cm="1">
        <f t="array" ref="F6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2" s="31" cm="1">
        <f t="array" ref="G6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2" s="33" t="str">
        <f>_xlfn.IFNA(IF(MOD(HLG_03[[#This Row],[Rit]],
    _xlfn.XLOOKUP($G$2,Int_Sample[Ore],Int_Sample[Inc])) = 0, "YES", "NO"),"")</f>
        <v/>
      </c>
      <c r="I632" s="32" t="str">
        <f>TEXT(HLG_03[[#This Row],[Batch]],"000")&amp; " / " &amp; TEXT(HLG_03[[#This Row],[Rit]],"000")</f>
        <v>N/A / 000</v>
      </c>
      <c r="J632" s="34"/>
      <c r="K632" s="38"/>
      <c r="L632" s="35"/>
      <c r="M632" s="66"/>
      <c r="N632" s="66"/>
      <c r="O632" s="66"/>
      <c r="P632" s="66"/>
      <c r="Q632" s="66"/>
      <c r="R632" s="67"/>
      <c r="S632" s="67"/>
      <c r="T632" s="67"/>
      <c r="U632" s="66"/>
      <c r="V632" s="66"/>
      <c r="W632" s="66"/>
      <c r="X632" s="85"/>
      <c r="AP632" t="str">
        <v/>
      </c>
    </row>
    <row r="633" spans="4:42" ht="15.75" x14ac:dyDescent="0.25">
      <c r="D633" s="3">
        <v>1</v>
      </c>
      <c r="F633" s="16" t="str" cm="1">
        <f t="array" ref="F6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3" s="31" cm="1">
        <f t="array" ref="G6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3" s="33" t="str">
        <f>_xlfn.IFNA(IF(MOD(HLG_03[[#This Row],[Rit]],
    _xlfn.XLOOKUP($G$2,Int_Sample[Ore],Int_Sample[Inc])) = 0, "YES", "NO"),"")</f>
        <v/>
      </c>
      <c r="I633" s="32" t="str">
        <f>TEXT(HLG_03[[#This Row],[Batch]],"000")&amp; " / " &amp; TEXT(HLG_03[[#This Row],[Rit]],"000")</f>
        <v>N/A / 000</v>
      </c>
      <c r="J633" s="34"/>
      <c r="K633" s="38"/>
      <c r="L633" s="35"/>
      <c r="M633" s="66"/>
      <c r="N633" s="66"/>
      <c r="O633" s="66"/>
      <c r="P633" s="66"/>
      <c r="Q633" s="66"/>
      <c r="R633" s="67"/>
      <c r="S633" s="67"/>
      <c r="T633" s="67"/>
      <c r="U633" s="66"/>
      <c r="V633" s="66"/>
      <c r="W633" s="66"/>
      <c r="X633" s="85"/>
      <c r="AP633" t="str">
        <v/>
      </c>
    </row>
    <row r="634" spans="4:42" ht="15.75" x14ac:dyDescent="0.25">
      <c r="D634" s="3">
        <v>1</v>
      </c>
      <c r="F634" s="16" t="str" cm="1">
        <f t="array" ref="F6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4" s="31" cm="1">
        <f t="array" ref="G6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4" s="33" t="str">
        <f>_xlfn.IFNA(IF(MOD(HLG_03[[#This Row],[Rit]],
    _xlfn.XLOOKUP($G$2,Int_Sample[Ore],Int_Sample[Inc])) = 0, "YES", "NO"),"")</f>
        <v/>
      </c>
      <c r="I634" s="32" t="str">
        <f>TEXT(HLG_03[[#This Row],[Batch]],"000")&amp; " / " &amp; TEXT(HLG_03[[#This Row],[Rit]],"000")</f>
        <v>N/A / 000</v>
      </c>
      <c r="J634" s="34"/>
      <c r="K634" s="38"/>
      <c r="L634" s="35"/>
      <c r="M634" s="66"/>
      <c r="N634" s="66"/>
      <c r="O634" s="66"/>
      <c r="P634" s="66"/>
      <c r="Q634" s="66"/>
      <c r="R634" s="67"/>
      <c r="S634" s="67"/>
      <c r="T634" s="67"/>
      <c r="U634" s="66"/>
      <c r="V634" s="66"/>
      <c r="W634" s="66"/>
      <c r="X634" s="85"/>
      <c r="AP634" t="str">
        <v/>
      </c>
    </row>
    <row r="635" spans="4:42" ht="15.75" x14ac:dyDescent="0.25">
      <c r="D635" s="3">
        <v>1</v>
      </c>
      <c r="F635" s="16" t="str" cm="1">
        <f t="array" ref="F6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5" s="31" cm="1">
        <f t="array" ref="G6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5" s="33" t="str">
        <f>_xlfn.IFNA(IF(MOD(HLG_03[[#This Row],[Rit]],
    _xlfn.XLOOKUP($G$2,Int_Sample[Ore],Int_Sample[Inc])) = 0, "YES", "NO"),"")</f>
        <v/>
      </c>
      <c r="I635" s="32" t="str">
        <f>TEXT(HLG_03[[#This Row],[Batch]],"000")&amp; " / " &amp; TEXT(HLG_03[[#This Row],[Rit]],"000")</f>
        <v>N/A / 000</v>
      </c>
      <c r="J635" s="34"/>
      <c r="K635" s="38"/>
      <c r="L635" s="35"/>
      <c r="M635" s="66"/>
      <c r="N635" s="66"/>
      <c r="O635" s="66"/>
      <c r="P635" s="66"/>
      <c r="Q635" s="66"/>
      <c r="R635" s="67"/>
      <c r="S635" s="67"/>
      <c r="T635" s="67"/>
      <c r="U635" s="66"/>
      <c r="V635" s="66"/>
      <c r="W635" s="66"/>
      <c r="X635" s="85"/>
      <c r="AP635" t="str">
        <v/>
      </c>
    </row>
    <row r="636" spans="4:42" ht="15.75" x14ac:dyDescent="0.25">
      <c r="D636" s="3">
        <v>1</v>
      </c>
      <c r="F636" s="16" t="str" cm="1">
        <f t="array" ref="F6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6" s="31" cm="1">
        <f t="array" ref="G6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6" s="33" t="str">
        <f>_xlfn.IFNA(IF(MOD(HLG_03[[#This Row],[Rit]],
    _xlfn.XLOOKUP($G$2,Int_Sample[Ore],Int_Sample[Inc])) = 0, "YES", "NO"),"")</f>
        <v/>
      </c>
      <c r="I636" s="32" t="str">
        <f>TEXT(HLG_03[[#This Row],[Batch]],"000")&amp; " / " &amp; TEXT(HLG_03[[#This Row],[Rit]],"000")</f>
        <v>N/A / 000</v>
      </c>
      <c r="J636" s="34"/>
      <c r="K636" s="38"/>
      <c r="L636" s="35"/>
      <c r="M636" s="66"/>
      <c r="N636" s="66"/>
      <c r="O636" s="66"/>
      <c r="P636" s="66"/>
      <c r="Q636" s="66"/>
      <c r="R636" s="67"/>
      <c r="S636" s="67"/>
      <c r="T636" s="67"/>
      <c r="U636" s="66"/>
      <c r="V636" s="66"/>
      <c r="W636" s="66"/>
      <c r="X636" s="85"/>
      <c r="AN636" s="3"/>
      <c r="AO636" s="3"/>
      <c r="AP636" t="str">
        <v/>
      </c>
    </row>
    <row r="637" spans="4:42" ht="15.75" x14ac:dyDescent="0.25">
      <c r="D637" s="3">
        <v>1</v>
      </c>
      <c r="F637" s="16" t="str" cm="1">
        <f t="array" ref="F6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7" s="31" cm="1">
        <f t="array" ref="G6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7" s="33" t="str">
        <f>_xlfn.IFNA(IF(MOD(HLG_03[[#This Row],[Rit]],
    _xlfn.XLOOKUP($G$2,Int_Sample[Ore],Int_Sample[Inc])) = 0, "YES", "NO"),"")</f>
        <v/>
      </c>
      <c r="I637" s="32" t="str">
        <f>TEXT(HLG_03[[#This Row],[Batch]],"000")&amp; " / " &amp; TEXT(HLG_03[[#This Row],[Rit]],"000")</f>
        <v>N/A / 000</v>
      </c>
      <c r="J637" s="34"/>
      <c r="K637" s="38"/>
      <c r="L637" s="35"/>
      <c r="M637" s="66"/>
      <c r="N637" s="66"/>
      <c r="O637" s="66"/>
      <c r="P637" s="66"/>
      <c r="Q637" s="66"/>
      <c r="R637" s="67"/>
      <c r="S637" s="67"/>
      <c r="T637" s="67"/>
      <c r="U637" s="66"/>
      <c r="V637" s="66"/>
      <c r="W637" s="66"/>
      <c r="X637" s="85"/>
      <c r="AN637" s="3"/>
      <c r="AO637" s="3"/>
      <c r="AP637" t="str">
        <v/>
      </c>
    </row>
    <row r="638" spans="4:42" ht="15.75" x14ac:dyDescent="0.25">
      <c r="D638" s="3">
        <v>1</v>
      </c>
      <c r="F638" s="16" t="str" cm="1">
        <f t="array" ref="F6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8" s="31" cm="1">
        <f t="array" ref="G6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ROW(HLG_03[[#This Row],[Truck_ID]]) - ROW(HLG_03[#Headers]),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8" s="33" t="str">
        <f>_xlfn.IFNA(IF(MOD(HLG_03[[#This Row],[Rit]],
    _xlfn.XLOOKUP($G$2,Int_Sample[Ore],Int_Sample[Inc])) = 0, "YES", "NO"),"")</f>
        <v/>
      </c>
      <c r="I638" s="32" t="str">
        <f>TEXT(HLG_03[[#This Row],[Batch]],"000")&amp; " / " &amp; TEXT(HLG_03[[#This Row],[Rit]],"000")</f>
        <v>N/A / 000</v>
      </c>
      <c r="J638" s="34"/>
      <c r="K638" s="38"/>
      <c r="L638" s="35"/>
      <c r="M638" s="66"/>
      <c r="N638" s="66"/>
      <c r="O638" s="66"/>
      <c r="P638" s="66"/>
      <c r="Q638" s="66"/>
      <c r="R638" s="67"/>
      <c r="S638" s="67"/>
      <c r="T638" s="67"/>
      <c r="U638" s="66"/>
      <c r="V638" s="66"/>
      <c r="W638" s="66"/>
      <c r="X638" s="85"/>
      <c r="AN638" s="3"/>
      <c r="AO638" s="3"/>
      <c r="AP638" t="str">
        <v/>
      </c>
    </row>
    <row r="639" spans="4:42" x14ac:dyDescent="0.25">
      <c r="I639" s="66"/>
      <c r="J639" s="66"/>
      <c r="K639" s="66"/>
      <c r="L639" s="66"/>
      <c r="M639" s="66"/>
      <c r="N639" s="66"/>
      <c r="O639" s="66"/>
      <c r="P639" s="66"/>
      <c r="Q639" s="66"/>
      <c r="R639" s="67"/>
      <c r="S639" s="67"/>
      <c r="T639" s="67"/>
      <c r="U639" s="66"/>
      <c r="V639" s="66"/>
      <c r="W639" s="66"/>
      <c r="X639" s="85"/>
      <c r="AN639" s="3"/>
      <c r="AO639" s="3"/>
    </row>
    <row r="640" spans="4:42" x14ac:dyDescent="0.25">
      <c r="I640" s="66"/>
      <c r="J640" s="66"/>
      <c r="K640" s="66"/>
      <c r="L640" s="66"/>
      <c r="M640" s="66"/>
      <c r="N640" s="66"/>
      <c r="O640" s="66"/>
      <c r="P640" s="66"/>
      <c r="Q640" s="66"/>
      <c r="R640" s="67"/>
      <c r="S640" s="67"/>
      <c r="T640" s="67"/>
      <c r="U640" s="66"/>
      <c r="V640" s="66"/>
      <c r="W640" s="66"/>
      <c r="X640" s="85"/>
      <c r="AN640" s="3"/>
      <c r="AO640" s="3"/>
    </row>
    <row r="641" spans="9:41" x14ac:dyDescent="0.25">
      <c r="I641" s="66"/>
      <c r="J641" s="66"/>
      <c r="K641" s="66"/>
      <c r="L641" s="66"/>
      <c r="M641" s="66"/>
      <c r="N641" s="66"/>
      <c r="O641" s="66"/>
      <c r="P641" s="66"/>
      <c r="Q641" s="66"/>
      <c r="R641" s="67"/>
      <c r="S641" s="67"/>
      <c r="T641" s="67"/>
      <c r="U641" s="66"/>
      <c r="V641" s="66"/>
      <c r="W641" s="66"/>
      <c r="X641" s="85"/>
      <c r="AN641" s="3"/>
      <c r="AO641" s="3"/>
    </row>
    <row r="642" spans="9:41" x14ac:dyDescent="0.25">
      <c r="I642" s="66"/>
      <c r="J642" s="66"/>
      <c r="K642" s="66"/>
      <c r="L642" s="66"/>
      <c r="M642" s="66"/>
      <c r="N642" s="66"/>
      <c r="O642" s="66"/>
      <c r="P642" s="66"/>
      <c r="Q642" s="66"/>
      <c r="R642" s="67"/>
      <c r="S642" s="67"/>
      <c r="T642" s="67"/>
      <c r="U642" s="66"/>
      <c r="V642" s="66"/>
      <c r="W642" s="66"/>
      <c r="X642" s="85"/>
      <c r="AN642" s="3"/>
      <c r="AO642" s="3"/>
    </row>
    <row r="643" spans="9:41" x14ac:dyDescent="0.25">
      <c r="I643" s="66"/>
      <c r="J643" s="66"/>
      <c r="K643" s="66"/>
      <c r="L643" s="66"/>
      <c r="M643" s="66"/>
      <c r="N643" s="66"/>
      <c r="O643" s="66"/>
      <c r="P643" s="66"/>
      <c r="Q643" s="66"/>
      <c r="R643" s="67"/>
      <c r="S643" s="67"/>
      <c r="T643" s="67"/>
      <c r="U643" s="66"/>
      <c r="V643" s="66"/>
      <c r="W643" s="66"/>
      <c r="X643" s="85"/>
      <c r="AN643" s="3"/>
      <c r="AO643" s="3"/>
    </row>
    <row r="644" spans="9:41" x14ac:dyDescent="0.25">
      <c r="I644" s="66"/>
      <c r="J644" s="66"/>
      <c r="K644" s="66"/>
      <c r="L644" s="66"/>
      <c r="M644" s="66"/>
      <c r="N644" s="66"/>
      <c r="O644" s="66"/>
      <c r="P644" s="66"/>
      <c r="Q644" s="66"/>
      <c r="R644" s="67"/>
      <c r="S644" s="67"/>
      <c r="T644" s="67"/>
      <c r="U644" s="66"/>
      <c r="V644" s="66"/>
      <c r="W644" s="66"/>
      <c r="X644" s="85"/>
      <c r="AN644" s="3"/>
      <c r="AO644" s="3"/>
    </row>
    <row r="645" spans="9:41" x14ac:dyDescent="0.25">
      <c r="I645" s="66"/>
      <c r="J645" s="66"/>
      <c r="K645" s="66"/>
      <c r="L645" s="66"/>
      <c r="M645" s="66"/>
      <c r="N645" s="66"/>
      <c r="O645" s="66"/>
      <c r="P645" s="66"/>
      <c r="Q645" s="66"/>
      <c r="R645" s="67"/>
      <c r="S645" s="67"/>
      <c r="T645" s="67"/>
      <c r="U645" s="66"/>
      <c r="V645" s="66"/>
      <c r="W645" s="66"/>
      <c r="X645" s="85"/>
      <c r="AN645" s="3"/>
      <c r="AO645" s="3"/>
    </row>
    <row r="646" spans="9:41" x14ac:dyDescent="0.25">
      <c r="I646" s="66"/>
      <c r="J646" s="66"/>
      <c r="K646" s="66"/>
      <c r="L646" s="66"/>
      <c r="M646" s="66"/>
      <c r="N646" s="66"/>
      <c r="O646" s="66"/>
      <c r="P646" s="66"/>
      <c r="Q646" s="66"/>
      <c r="R646" s="67"/>
      <c r="S646" s="67"/>
      <c r="T646" s="67"/>
      <c r="U646" s="66"/>
      <c r="V646" s="66"/>
      <c r="W646" s="66"/>
      <c r="X646" s="85"/>
      <c r="AN646" s="3"/>
      <c r="AO646" s="3"/>
    </row>
    <row r="647" spans="9:41" x14ac:dyDescent="0.25">
      <c r="I647" s="66"/>
      <c r="J647" s="66"/>
      <c r="K647" s="66"/>
      <c r="L647" s="66"/>
      <c r="M647" s="66"/>
      <c r="N647" s="66"/>
      <c r="O647" s="66"/>
      <c r="P647" s="66"/>
      <c r="Q647" s="66"/>
      <c r="R647" s="67"/>
      <c r="S647" s="67"/>
      <c r="T647" s="67"/>
      <c r="U647" s="66"/>
      <c r="V647" s="66"/>
      <c r="W647" s="66"/>
      <c r="X647" s="85"/>
      <c r="AN647" s="3"/>
      <c r="AO647" s="3"/>
    </row>
    <row r="648" spans="9:41" x14ac:dyDescent="0.25">
      <c r="I648" s="66"/>
      <c r="J648" s="66"/>
      <c r="K648" s="66"/>
      <c r="L648" s="66"/>
      <c r="M648" s="66"/>
      <c r="N648" s="66"/>
      <c r="O648" s="66"/>
      <c r="P648" s="66"/>
      <c r="Q648" s="66"/>
      <c r="R648" s="67"/>
      <c r="S648" s="67"/>
      <c r="T648" s="67"/>
      <c r="U648" s="66"/>
      <c r="V648" s="66"/>
      <c r="W648" s="66"/>
      <c r="X648" s="85"/>
      <c r="AN648" s="3"/>
      <c r="AO648" s="3"/>
    </row>
    <row r="649" spans="9:41" x14ac:dyDescent="0.25">
      <c r="I649" s="66"/>
      <c r="J649" s="66"/>
      <c r="K649" s="66"/>
      <c r="L649" s="66"/>
      <c r="M649" s="66"/>
      <c r="N649" s="66"/>
      <c r="O649" s="66"/>
      <c r="P649" s="66"/>
      <c r="Q649" s="66"/>
      <c r="R649" s="67"/>
      <c r="S649" s="67"/>
      <c r="T649" s="67"/>
      <c r="U649" s="68"/>
      <c r="V649" s="66"/>
      <c r="W649" s="66"/>
      <c r="X649" s="85"/>
      <c r="AN649" s="3"/>
      <c r="AO649" s="3"/>
    </row>
    <row r="650" spans="9:41" x14ac:dyDescent="0.25">
      <c r="I650" s="66"/>
      <c r="J650" s="66"/>
      <c r="K650" s="66"/>
      <c r="L650" s="66"/>
      <c r="M650" s="66"/>
      <c r="N650" s="66"/>
      <c r="O650" s="66"/>
      <c r="P650" s="66"/>
      <c r="Q650" s="66"/>
      <c r="R650" s="67"/>
      <c r="S650" s="67"/>
      <c r="T650" s="67"/>
      <c r="U650" s="68"/>
      <c r="V650" s="66"/>
      <c r="W650" s="66"/>
      <c r="X650" s="85"/>
      <c r="AN650" s="3"/>
      <c r="AO650" s="3"/>
    </row>
    <row r="651" spans="9:41" x14ac:dyDescent="0.25">
      <c r="I651" s="66"/>
      <c r="J651" s="66"/>
      <c r="K651" s="66"/>
      <c r="L651" s="66"/>
      <c r="M651" s="66"/>
      <c r="N651" s="66"/>
      <c r="O651" s="66"/>
      <c r="P651" s="66"/>
      <c r="Q651" s="66"/>
      <c r="R651" s="67"/>
      <c r="S651" s="67"/>
      <c r="T651" s="67"/>
      <c r="U651" s="68"/>
      <c r="V651" s="66"/>
      <c r="W651" s="66"/>
      <c r="X651" s="85"/>
      <c r="AN651" s="3"/>
      <c r="AO651" s="3"/>
    </row>
    <row r="652" spans="9:41" x14ac:dyDescent="0.25">
      <c r="I652" s="66"/>
      <c r="J652" s="66"/>
      <c r="K652" s="66"/>
      <c r="L652" s="66"/>
      <c r="M652" s="66"/>
      <c r="N652" s="66"/>
      <c r="O652" s="66"/>
      <c r="P652" s="66"/>
      <c r="Q652" s="66"/>
      <c r="R652" s="67"/>
      <c r="S652" s="67"/>
      <c r="T652" s="67"/>
      <c r="U652" s="66"/>
      <c r="V652" s="66"/>
      <c r="W652" s="66"/>
      <c r="X652" s="85"/>
      <c r="AN652" s="3"/>
      <c r="AO652" s="3"/>
    </row>
    <row r="653" spans="9:41" x14ac:dyDescent="0.25">
      <c r="I653" s="66"/>
      <c r="J653" s="66"/>
      <c r="K653" s="66"/>
      <c r="L653" s="66"/>
      <c r="M653" s="66"/>
      <c r="N653" s="66"/>
      <c r="O653" s="66"/>
      <c r="P653" s="66"/>
      <c r="Q653" s="66"/>
      <c r="R653" s="67"/>
      <c r="S653" s="67"/>
      <c r="T653" s="67"/>
      <c r="U653" s="66"/>
      <c r="V653" s="66"/>
      <c r="W653" s="66"/>
      <c r="X653" s="85"/>
      <c r="AN653" s="3"/>
      <c r="AO653" s="3"/>
    </row>
    <row r="654" spans="9:41" x14ac:dyDescent="0.25">
      <c r="I654" s="66"/>
      <c r="J654" s="66"/>
      <c r="K654" s="66"/>
      <c r="L654" s="66"/>
      <c r="M654" s="66"/>
      <c r="N654" s="66"/>
      <c r="O654" s="66"/>
      <c r="P654" s="66"/>
      <c r="Q654" s="66"/>
      <c r="R654" s="67"/>
      <c r="S654" s="67"/>
      <c r="T654" s="67"/>
      <c r="U654" s="66"/>
      <c r="V654" s="66"/>
      <c r="W654" s="66"/>
      <c r="X654" s="85"/>
      <c r="AN654" s="3"/>
      <c r="AO654" s="3"/>
    </row>
    <row r="655" spans="9:41" x14ac:dyDescent="0.25">
      <c r="I655" s="66"/>
      <c r="J655" s="66"/>
      <c r="K655" s="66"/>
      <c r="L655" s="66"/>
      <c r="M655" s="66"/>
      <c r="N655" s="66"/>
      <c r="O655" s="66"/>
      <c r="P655" s="66"/>
      <c r="Q655" s="66"/>
      <c r="R655" s="67"/>
      <c r="S655" s="67"/>
      <c r="T655" s="67"/>
      <c r="U655" s="66"/>
      <c r="V655" s="66"/>
      <c r="W655" s="66"/>
      <c r="X655" s="85"/>
      <c r="AN655" s="3"/>
      <c r="AO655" s="3"/>
    </row>
    <row r="656" spans="9:41" x14ac:dyDescent="0.25">
      <c r="I656" s="66"/>
      <c r="J656" s="66"/>
      <c r="K656" s="66"/>
      <c r="L656" s="66"/>
      <c r="M656" s="66"/>
      <c r="N656" s="66"/>
      <c r="O656" s="66"/>
      <c r="P656" s="66"/>
      <c r="Q656" s="66"/>
      <c r="R656" s="67"/>
      <c r="S656" s="67"/>
      <c r="T656" s="67"/>
      <c r="U656" s="66"/>
      <c r="V656" s="66"/>
      <c r="W656" s="66"/>
      <c r="X656" s="85"/>
      <c r="AN656" s="3"/>
      <c r="AO656" s="3"/>
    </row>
    <row r="657" spans="9:24" x14ac:dyDescent="0.25">
      <c r="I657" s="66"/>
      <c r="J657" s="66"/>
      <c r="K657" s="66"/>
      <c r="L657" s="66"/>
      <c r="M657" s="66"/>
      <c r="N657" s="66"/>
      <c r="O657" s="66"/>
      <c r="P657" s="66"/>
      <c r="Q657" s="66"/>
      <c r="R657" s="67"/>
      <c r="S657" s="67"/>
      <c r="T657" s="67"/>
      <c r="U657" s="66"/>
      <c r="V657" s="66"/>
      <c r="W657" s="66"/>
      <c r="X657" s="85"/>
    </row>
    <row r="658" spans="9:24" x14ac:dyDescent="0.25">
      <c r="I658" s="66"/>
      <c r="J658" s="66"/>
      <c r="K658" s="66"/>
      <c r="L658" s="66"/>
      <c r="M658" s="66"/>
      <c r="N658" s="66"/>
      <c r="O658" s="66"/>
      <c r="P658" s="66"/>
      <c r="Q658" s="66"/>
      <c r="R658" s="67"/>
      <c r="S658" s="67"/>
      <c r="T658" s="67"/>
      <c r="U658" s="66"/>
      <c r="V658" s="66"/>
      <c r="W658" s="66"/>
      <c r="X658" s="85"/>
    </row>
    <row r="659" spans="9:24" x14ac:dyDescent="0.25">
      <c r="I659" s="66"/>
      <c r="J659" s="66"/>
      <c r="K659" s="66"/>
      <c r="L659" s="66"/>
      <c r="M659" s="66"/>
      <c r="N659" s="66"/>
      <c r="O659" s="66"/>
      <c r="P659" s="66"/>
      <c r="Q659" s="66"/>
      <c r="R659" s="67"/>
      <c r="S659" s="67"/>
      <c r="T659" s="67"/>
      <c r="U659" s="66"/>
      <c r="V659" s="66"/>
      <c r="W659" s="66"/>
      <c r="X659" s="85"/>
    </row>
    <row r="660" spans="9:24" x14ac:dyDescent="0.25">
      <c r="I660" s="66"/>
      <c r="J660" s="66"/>
      <c r="K660" s="66"/>
      <c r="L660" s="66"/>
      <c r="M660" s="66"/>
      <c r="N660" s="66"/>
      <c r="O660" s="66"/>
      <c r="P660" s="66"/>
      <c r="Q660" s="66"/>
      <c r="R660" s="67"/>
      <c r="S660" s="67"/>
      <c r="T660" s="67"/>
      <c r="U660" s="66"/>
      <c r="V660" s="66"/>
      <c r="W660" s="66"/>
      <c r="X660" s="85"/>
    </row>
    <row r="661" spans="9:24" x14ac:dyDescent="0.25">
      <c r="I661" s="66"/>
      <c r="J661" s="66"/>
      <c r="K661" s="66"/>
      <c r="L661" s="66"/>
      <c r="M661" s="66"/>
      <c r="N661" s="66"/>
      <c r="O661" s="66"/>
      <c r="P661" s="66"/>
      <c r="Q661" s="66"/>
      <c r="R661" s="67"/>
      <c r="S661" s="67"/>
      <c r="T661" s="67"/>
      <c r="U661" s="66"/>
      <c r="V661" s="66"/>
      <c r="W661" s="66"/>
      <c r="X661" s="85"/>
    </row>
    <row r="662" spans="9:24" x14ac:dyDescent="0.25">
      <c r="I662" s="66"/>
      <c r="J662" s="66"/>
      <c r="K662" s="66"/>
      <c r="L662" s="66"/>
      <c r="M662" s="66"/>
      <c r="N662" s="66"/>
      <c r="O662" s="66"/>
      <c r="P662" s="66"/>
      <c r="Q662" s="66"/>
      <c r="R662" s="67"/>
      <c r="S662" s="67"/>
      <c r="T662" s="67"/>
      <c r="U662" s="66"/>
      <c r="V662" s="66"/>
      <c r="W662" s="66"/>
      <c r="X662" s="85"/>
    </row>
    <row r="663" spans="9:24" x14ac:dyDescent="0.25">
      <c r="I663" s="66"/>
      <c r="J663" s="66"/>
      <c r="K663" s="66"/>
      <c r="L663" s="66"/>
      <c r="M663" s="66"/>
      <c r="N663" s="66"/>
      <c r="O663" s="66"/>
      <c r="P663" s="66"/>
      <c r="Q663" s="66"/>
      <c r="R663" s="67"/>
      <c r="S663" s="67"/>
      <c r="T663" s="67"/>
      <c r="U663" s="66"/>
      <c r="V663" s="66"/>
      <c r="W663" s="66"/>
      <c r="X663" s="85"/>
    </row>
    <row r="664" spans="9:24" x14ac:dyDescent="0.25">
      <c r="I664" s="66"/>
      <c r="J664" s="66"/>
      <c r="K664" s="66"/>
      <c r="L664" s="66"/>
      <c r="M664" s="66"/>
      <c r="N664" s="66"/>
      <c r="O664" s="66"/>
      <c r="P664" s="66"/>
      <c r="Q664" s="66"/>
      <c r="R664" s="67"/>
      <c r="S664" s="67"/>
      <c r="T664" s="67"/>
      <c r="U664" s="66"/>
      <c r="V664" s="66"/>
      <c r="W664" s="66"/>
      <c r="X664" s="85"/>
    </row>
    <row r="665" spans="9:24" x14ac:dyDescent="0.25">
      <c r="I665" s="66"/>
      <c r="J665" s="66"/>
      <c r="K665" s="66"/>
      <c r="L665" s="66"/>
      <c r="M665" s="66"/>
      <c r="N665" s="66"/>
      <c r="O665" s="66"/>
      <c r="P665" s="66"/>
      <c r="Q665" s="66"/>
      <c r="R665" s="67"/>
      <c r="S665" s="67"/>
      <c r="T665" s="67"/>
      <c r="U665" s="66"/>
      <c r="V665" s="66"/>
      <c r="W665" s="66"/>
      <c r="X665" s="85"/>
    </row>
    <row r="666" spans="9:24" x14ac:dyDescent="0.25">
      <c r="I666" s="66"/>
      <c r="J666" s="66"/>
      <c r="K666" s="66"/>
      <c r="L666" s="66"/>
      <c r="M666" s="66"/>
      <c r="N666" s="66"/>
      <c r="O666" s="66"/>
      <c r="P666" s="66"/>
      <c r="Q666" s="66"/>
      <c r="R666" s="67"/>
      <c r="S666" s="67"/>
      <c r="T666" s="67"/>
      <c r="U666" s="66"/>
      <c r="V666" s="66"/>
      <c r="W666" s="66"/>
      <c r="X666" s="85"/>
    </row>
    <row r="667" spans="9:24" x14ac:dyDescent="0.25">
      <c r="I667" s="66"/>
      <c r="J667" s="66"/>
      <c r="K667" s="66"/>
      <c r="L667" s="66"/>
      <c r="M667" s="66"/>
      <c r="N667" s="66"/>
      <c r="O667" s="66"/>
      <c r="P667" s="66"/>
      <c r="Q667" s="66"/>
      <c r="R667" s="67"/>
      <c r="S667" s="67"/>
      <c r="T667" s="67"/>
      <c r="U667" s="66"/>
      <c r="V667" s="66"/>
      <c r="W667" s="66"/>
      <c r="X667" s="85"/>
    </row>
    <row r="668" spans="9:24" x14ac:dyDescent="0.25">
      <c r="I668" s="66"/>
      <c r="J668" s="66"/>
      <c r="K668" s="66"/>
      <c r="L668" s="66"/>
      <c r="M668" s="66"/>
      <c r="N668" s="66"/>
      <c r="O668" s="66"/>
      <c r="P668" s="66"/>
      <c r="Q668" s="66"/>
      <c r="R668" s="67"/>
      <c r="S668" s="67"/>
      <c r="T668" s="67"/>
      <c r="U668" s="66"/>
      <c r="V668" s="66"/>
      <c r="W668" s="66"/>
      <c r="X668" s="85"/>
    </row>
    <row r="669" spans="9:24" x14ac:dyDescent="0.25">
      <c r="I669" s="66"/>
      <c r="J669" s="66"/>
      <c r="K669" s="66"/>
      <c r="L669" s="66"/>
      <c r="M669" s="66"/>
      <c r="N669" s="66"/>
      <c r="O669" s="66"/>
      <c r="P669" s="66"/>
      <c r="Q669" s="66"/>
      <c r="R669" s="67"/>
      <c r="S669" s="67"/>
      <c r="T669" s="67"/>
      <c r="U669" s="66"/>
      <c r="V669" s="66"/>
      <c r="W669" s="66"/>
      <c r="X669" s="85"/>
    </row>
    <row r="670" spans="9:24" x14ac:dyDescent="0.25">
      <c r="I670" s="66"/>
      <c r="J670" s="66"/>
      <c r="K670" s="66"/>
      <c r="L670" s="66"/>
      <c r="M670" s="66"/>
      <c r="N670" s="66"/>
      <c r="O670" s="66"/>
      <c r="P670" s="66"/>
      <c r="Q670" s="66"/>
      <c r="R670" s="67"/>
      <c r="S670" s="67"/>
      <c r="T670" s="67"/>
      <c r="U670" s="66"/>
      <c r="V670" s="66"/>
      <c r="W670" s="66"/>
      <c r="X670" s="85"/>
    </row>
    <row r="671" spans="9:24" x14ac:dyDescent="0.25">
      <c r="I671" s="66"/>
      <c r="J671" s="66"/>
      <c r="K671" s="66"/>
      <c r="L671" s="66"/>
      <c r="M671" s="66"/>
      <c r="N671" s="66"/>
      <c r="O671" s="66"/>
      <c r="P671" s="66"/>
      <c r="Q671" s="66"/>
      <c r="R671" s="67"/>
      <c r="S671" s="67"/>
      <c r="T671" s="67"/>
      <c r="U671" s="66"/>
      <c r="V671" s="66"/>
      <c r="W671" s="66"/>
      <c r="X671" s="85"/>
    </row>
    <row r="672" spans="9:24" x14ac:dyDescent="0.25">
      <c r="I672" s="66"/>
      <c r="J672" s="66"/>
      <c r="K672" s="66"/>
      <c r="L672" s="66"/>
      <c r="M672" s="66"/>
      <c r="N672" s="66"/>
      <c r="O672" s="66"/>
      <c r="P672" s="66"/>
      <c r="Q672" s="66"/>
      <c r="R672" s="67"/>
      <c r="S672" s="67"/>
      <c r="T672" s="67"/>
      <c r="U672" s="66"/>
      <c r="V672" s="66"/>
      <c r="W672" s="66"/>
      <c r="X672" s="85"/>
    </row>
    <row r="673" spans="9:24" x14ac:dyDescent="0.25">
      <c r="I673" s="66"/>
      <c r="J673" s="66"/>
      <c r="K673" s="66"/>
      <c r="L673" s="66"/>
      <c r="M673" s="66"/>
      <c r="N673" s="66"/>
      <c r="O673" s="66"/>
      <c r="P673" s="66"/>
      <c r="Q673" s="66"/>
      <c r="R673" s="67"/>
      <c r="S673" s="67"/>
      <c r="T673" s="67"/>
      <c r="U673" s="66"/>
      <c r="V673" s="66"/>
      <c r="W673" s="66"/>
      <c r="X673" s="85"/>
    </row>
  </sheetData>
  <sheetProtection sheet="1" objects="1" scenarios="1"/>
  <conditionalFormatting sqref="F2">
    <cfRule type="expression" dxfId="56" priority="11">
      <formula>AND($F$2&gt;0,ISNA(MATCH($F$2,_xlfn.ANCHORARRAY(#REF!),0)))</formula>
    </cfRule>
  </conditionalFormatting>
  <conditionalFormatting sqref="H5:L638">
    <cfRule type="expression" dxfId="55" priority="14">
      <formula>AND($G$2="SAP",$H5="YES")</formula>
    </cfRule>
    <cfRule type="expression" dxfId="54" priority="15">
      <formula>AND($G$2="LIM",$H5="YES")</formula>
    </cfRule>
  </conditionalFormatting>
  <conditionalFormatting sqref="I2">
    <cfRule type="expression" dxfId="53" priority="10">
      <formula>AND($I$2&gt;0,ISNA(MATCH($I$2,_xlfn.ANCHORARRAY($A$1),0)))</formula>
    </cfRule>
  </conditionalFormatting>
  <conditionalFormatting sqref="J1">
    <cfRule type="containsText" dxfId="52" priority="8" operator="containsText" text="Skipped">
      <formula>NOT(ISERROR(SEARCH("Skipped",J1)))</formula>
    </cfRule>
  </conditionalFormatting>
  <conditionalFormatting sqref="J5:J638">
    <cfRule type="expression" dxfId="51" priority="13">
      <formula>AND($J5&gt;0,ISNA(MATCH($J5,_xlfn.ANCHORARRAY($B$1),0)))</formula>
    </cfRule>
  </conditionalFormatting>
  <conditionalFormatting sqref="J5:K638">
    <cfRule type="expression" dxfId="50" priority="7">
      <formula>$D5="Skipped"</formula>
    </cfRule>
  </conditionalFormatting>
  <conditionalFormatting sqref="J1:L3">
    <cfRule type="cellIs" dxfId="49" priority="12" operator="greaterThan">
      <formula>0</formula>
    </cfRule>
  </conditionalFormatting>
  <conditionalFormatting sqref="K5:K638">
    <cfRule type="expression" dxfId="48" priority="9">
      <formula>(ISNA($D5))</formula>
    </cfRule>
  </conditionalFormatting>
  <conditionalFormatting sqref="M1:N1">
    <cfRule type="expression" dxfId="47" priority="2">
      <formula>$N$1&gt;0</formula>
    </cfRule>
  </conditionalFormatting>
  <conditionalFormatting sqref="S1:T100">
    <cfRule type="expression" dxfId="46" priority="1">
      <formula>$T1&lt;&gt;""</formula>
    </cfRule>
  </conditionalFormatting>
  <dataValidations count="3">
    <dataValidation type="list" allowBlank="1" showInputMessage="1" showErrorMessage="1" sqref="J5:J638" xr:uid="{D9416A6E-4889-4664-B4E6-37FE54ECFAC1}">
      <formula1>_xlfn.ANCHORARRAY($B$1)</formula1>
    </dataValidation>
    <dataValidation type="list" allowBlank="1" showInputMessage="1" showErrorMessage="1" sqref="I2" xr:uid="{634CE870-F8E6-464D-86DD-B848FEF0C119}">
      <formula1>_xlfn.ANCHORARRAY($A$1)</formula1>
    </dataValidation>
    <dataValidation type="list" allowBlank="1" showInputMessage="1" showErrorMessage="1" sqref="K5:K638" xr:uid="{CF6E009C-A5D5-437D-9F75-BF5CB08A4A27}">
      <formula1>Input_Truck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46D7A-6728-411D-B374-5B62B6B180C9}">
  <sheetPr codeName="Sheet8">
    <tabColor rgb="FF00FFCC"/>
  </sheetPr>
  <dimension ref="A1:DU673"/>
  <sheetViews>
    <sheetView showGridLines="0" zoomScale="130" zoomScaleNormal="130" zoomScaleSheetLayoutView="100" workbookViewId="0">
      <pane xSplit="11" ySplit="4" topLeftCell="L5" activePane="bottomRight" state="frozen"/>
      <selection activeCell="K27" sqref="K27"/>
      <selection pane="topRight" activeCell="K27" sqref="K27"/>
      <selection pane="bottomLeft" activeCell="K27" sqref="K27"/>
      <selection pane="bottomRight" activeCell="I6" sqref="I6"/>
    </sheetView>
  </sheetViews>
  <sheetFormatPr defaultRowHeight="15" x14ac:dyDescent="0.25"/>
  <cols>
    <col min="1" max="1" width="10" hidden="1" customWidth="1"/>
    <col min="2" max="2" width="9.5703125" hidden="1" customWidth="1"/>
    <col min="3" max="3" width="1.5703125" style="14" hidden="1" customWidth="1"/>
    <col min="4" max="4" width="7.7109375" style="3" hidden="1" customWidth="1"/>
    <col min="5" max="5" width="6.140625" hidden="1" customWidth="1"/>
    <col min="6" max="6" width="5.5703125" hidden="1" customWidth="1"/>
    <col min="7" max="7" width="10.140625" hidden="1" customWidth="1"/>
    <col min="8" max="8" width="2.140625" hidden="1" customWidth="1"/>
    <col min="9" max="9" width="13.42578125" customWidth="1"/>
    <col min="10" max="10" width="11.42578125" bestFit="1" customWidth="1"/>
    <col min="11" max="11" width="15.85546875" customWidth="1"/>
    <col min="12" max="12" width="14.85546875" customWidth="1"/>
    <col min="13" max="13" width="10.28515625" customWidth="1"/>
    <col min="14" max="14" width="9.28515625" bestFit="1" customWidth="1"/>
    <col min="15" max="15" width="9.7109375" bestFit="1" customWidth="1"/>
    <col min="16" max="17" width="0" hidden="1" customWidth="1"/>
    <col min="18" max="18" width="0" style="3" hidden="1" customWidth="1"/>
    <col min="19" max="19" width="6.42578125" style="3" bestFit="1" customWidth="1"/>
    <col min="20" max="20" width="4.85546875" style="3" customWidth="1"/>
    <col min="21" max="21" width="0" hidden="1" customWidth="1"/>
    <col min="22" max="23" width="14.28515625" customWidth="1"/>
    <col min="24" max="24" width="12.7109375" style="86" customWidth="1"/>
    <col min="25" max="25" width="7.7109375" hidden="1" customWidth="1"/>
    <col min="26" max="26" width="18.140625" hidden="1" customWidth="1"/>
    <col min="27" max="27" width="12.7109375" hidden="1" customWidth="1"/>
    <col min="28" max="28" width="9" hidden="1" customWidth="1"/>
    <col min="29" max="29" width="11.7109375" hidden="1" customWidth="1"/>
    <col min="30" max="30" width="9.5703125" hidden="1" customWidth="1"/>
    <col min="31" max="31" width="8.5703125" hidden="1" customWidth="1"/>
    <col min="32" max="32" width="7.5703125" hidden="1" customWidth="1"/>
    <col min="33" max="33" width="8.140625" hidden="1" customWidth="1"/>
    <col min="34" max="34" width="9.5703125" hidden="1" customWidth="1"/>
    <col min="35" max="39" width="6.140625" hidden="1" customWidth="1"/>
    <col min="40" max="41" width="11.7109375" hidden="1" customWidth="1"/>
    <col min="42" max="92" width="13.42578125" hidden="1" customWidth="1"/>
    <col min="93" max="125" width="9.140625" hidden="1" customWidth="1"/>
    <col min="126" max="176" width="9.140625" customWidth="1"/>
  </cols>
  <sheetData>
    <row r="1" spans="1:125" ht="17.25" customHeight="1" x14ac:dyDescent="0.25">
      <c r="A1" t="str" cm="1">
        <f t="array" ref="A1:A8">_xlfn.UNIQUE(_xlfn._xlws.SORT(_xlfn._xlws.FILTER(Sample_Pending[Pile_ID],(Sample_Pending[Status]="Cont")*(Sample_Pending[Pile_ID]&gt;0)*(ISNUMBER(MATCH(Sample_Pending[Pile_ID],Pile_area[pile_id],0))))))</f>
        <v>BR-C12_L12</v>
      </c>
      <c r="B1" t="e" cm="1" vm="1">
        <f t="array" ref="B1">_xlfn._xlws.FILTER(List_Front,(Front_Des[Dest]=$I$2)*(List_Front&lt;&gt;""))</f>
        <v>#VALUE!</v>
      </c>
      <c r="C1" s="3"/>
      <c r="F1" s="29" t="s">
        <v>101</v>
      </c>
      <c r="G1" s="28" t="s">
        <v>2473</v>
      </c>
      <c r="I1" s="29" t="s">
        <v>2450</v>
      </c>
      <c r="J1" s="65" cm="1">
        <f t="array" ref="J1">_xlfn.LET(_xlpm.skp, COUNTIF(_xlfn.ANCHORARRAY($D$5),"Skipped"),
     _xlpm.fltr,(Sample_Pending[Pile_ID]=$I$2)*(Sample_Pending[Rit]&gt;0)*(Sample_Pending[Status]="Cont"),
     _xlpm.list,_xlfn._xlws.SORT(_xlfn._xlws.FILTER(TEXT(Sample_Pending[Batch],"000")&amp;" / "&amp;TEXT(Sample_Pending[Rit],"00"),_xlpm.fltr)),
     _xlpm.drp,2,
     _xlpm.trnd, TRANSPOSE(_xlfn.SEQUENCE(_xlpm.drp,3,_xlpm.drp+1)),
     _xlpm.pndng, _xlfn.IFNA(IF(SUM(--_xlpm.fltr)&gt;0,
             _xlfn.HSTACK(_xlfn.VSTACK(SUM(--_xlpm.fltr)&amp;" PENDING",_xlfn.TAKE(_xlpm.list,_xlpm.drp)),
                    IFERROR(INDEX(_xlpm.list,_xlpm.trnd),0)),0),0),
     _xlpm.skipped, _xlfn.LET( _xlpm.lst, _xlfn._xlws.FILTER(HLG_04[Incriment], ISNA(_xlfn.ANCHORARRAY($D$5)) + IFERROR(_xlfn.ANCHORARRAY($D$5)="Skipped", 0)),
                        _xlfn.IFNA(_xlfn.HSTACK(_xlfn.VSTACK( _xlpm.skp &amp; " Skipped", _xlfn.TAKE(_xlpm.lst,_xlpm.drp)),
                               IFERROR(INDEX(_xlpm.lst, _xlpm.trnd),0)),0)),
     _xlpm.rslt, IF(_xlpm.skp&gt;0, _xlpm.skipped, _xlpm.pndng),
     _xlpm.rslt)</f>
        <v>0</v>
      </c>
      <c r="K1" s="65"/>
      <c r="L1" s="65"/>
      <c r="M1" s="89"/>
      <c r="N1" s="101">
        <f>IF(COUNTBLANK(_xlfn.ANCHORARRAY(O2))=7,0,"Undeliver Samples")</f>
        <v>0</v>
      </c>
      <c r="O1" s="102"/>
      <c r="P1" s="103"/>
      <c r="Q1" s="102"/>
      <c r="R1" s="102"/>
      <c r="S1" s="102" cm="1">
        <f t="array" ref="S1">IF(COUNTBLANK(_xlfn.ANCHORARRAY(O2))=7,0,{"Batch","Rit"})</f>
        <v>0</v>
      </c>
      <c r="T1" s="102"/>
      <c r="U1" s="97" t="s">
        <v>2593</v>
      </c>
      <c r="V1" s="89"/>
      <c r="W1" s="89"/>
      <c r="X1" s="85" t="s">
        <v>2552</v>
      </c>
      <c r="Y1" t="s">
        <v>2552</v>
      </c>
      <c r="Z1" t="s">
        <v>2551</v>
      </c>
      <c r="AA1" t="s">
        <v>2477</v>
      </c>
      <c r="AB1" t="s">
        <v>2461</v>
      </c>
      <c r="AC1" t="s">
        <v>101</v>
      </c>
      <c r="AD1" t="s">
        <v>2450</v>
      </c>
      <c r="AE1" t="s">
        <v>2451</v>
      </c>
      <c r="AF1" t="s">
        <v>2594</v>
      </c>
      <c r="AG1" t="s">
        <v>2550</v>
      </c>
      <c r="AH1" t="s">
        <v>2584</v>
      </c>
      <c r="AN1" t="s">
        <v>2489</v>
      </c>
      <c r="DU1" t="s">
        <v>2489</v>
      </c>
    </row>
    <row r="2" spans="1:125" ht="21" x14ac:dyDescent="0.25">
      <c r="A2" t="str">
        <v>BR-C3_L10</v>
      </c>
      <c r="F2" s="57">
        <f>_xlfn.XLOOKUP($I$2,Pile_area[pile_id],Pile_area[stockpile])</f>
        <v>0</v>
      </c>
      <c r="G2" s="54">
        <f>_xlfn.XLOOKUP($I$2,Pile_area[pile_id],Pile_area[Ore])</f>
        <v>0</v>
      </c>
      <c r="I2" s="62"/>
      <c r="J2" s="65"/>
      <c r="K2" s="65"/>
      <c r="L2" s="65"/>
      <c r="M2" s="85"/>
      <c r="N2" s="85"/>
      <c r="O2" s="85" t="str" cm="1">
        <f t="array" ref="O2:U2">_xlfn.LET( _xlpm.db,HLG_04[],
      _xlpm.btch, INDEX(_xlpm.db,,1),
      _xlpm.rit,  INDEX(_xlpm.db,,2),
      _xlpm.smpl, INDEX(_xlpm.db,,3),
      _xlpm.frnt, INDEX(_xlpm.db,,5),
      _xlpm.carry,ISNA(MATCH($I$2&amp; _xlpm.btch &amp; _xlpm.rit,_xlfn.BYROW(_xlfn.CHOOSECOLS(_xlfn.ANCHORARRAY(Sample_Pos!$V$3),4,5,6), _xleta.CONCAT), 0)),
      _xlpm.no,   (--(_xlpm.smpl="YES")*(_xlpm.frnt&gt;0)*_xlpm.carry)&gt;0,
      _xlpm.bag, IF(_xlpm.no, _xlfn.BYROW(INDEX(_xlfn.HSTACK(Int_Sample[Inc],Int_Sample[Packing]), MATCH($G$2,Int_Sample[Ore],0)), _xlfn.LAMBDA(_xlpm.x, INDEX(_xlpm.x,,1)/INDEX(_xlpm.x,,2))),""),
      _xlpm.note, IF(_xlpm.no,_xlfn.HSTACK({"Unknown","Unknown"},$G$2,$I$2),""),
      _xlpm.rslt, _xlfn._xlws.FILTER(_xlfn.HSTACK(_xlpm.note,_xlpm.btch,_xlpm.rit,_xlpm.bag), _xlpm.no, {"","","","","","",""}),
      _xlpm.rslt)</f>
        <v/>
      </c>
      <c r="P2" s="85" t="str">
        <v/>
      </c>
      <c r="Q2" s="85" t="str">
        <v/>
      </c>
      <c r="R2" s="85" t="str">
        <v/>
      </c>
      <c r="S2" s="100" t="str">
        <v/>
      </c>
      <c r="T2" s="100" t="str">
        <v/>
      </c>
      <c r="U2" s="98" t="str">
        <v/>
      </c>
      <c r="V2" s="95"/>
      <c r="W2" s="95"/>
      <c r="X2" s="85"/>
      <c r="Z2" t="str" cm="1">
        <f t="array" ref="Z2">_xlfn.LET(
    _xlpm.note,_xlfn.ANCHORARRAY( $D$5),
    _xlpm.data, HLG_04[],
    _xlpm.IsErr, _xlfn.IFS(ISNUMBER(_xlpm.note), "", ISERROR(_xlpm.note), "TRUCK SALAH", _xlpm.note="Skipped", "TERLEWAT", TRUE, ""),
    _xlpm.src, IF(_xlpm.IsErr="TERLEWAT", "TERLEWAT", INDEX(_xlpm.data,,5)),
    _xlpm.hlr, IF(_xlpm.IsErr="TERLEWAT", _xlpm.IsErr, INDEX(_xlpm.data,,6)),
    _xlpm.id, Regist!$H$1 &amp; "/" &amp; Regist!$I$1 &amp; "|" &amp; _xlpm.src,
    _xlpm.pile, IF(_xlpm.src&lt;&gt;"", $I$2, ""),
    _xlpm.ore, _xlfn.XLOOKUP(_xlpm.pile, Pile_area[pile_id], Pile_area[Ore]),
    _xlpm.stp, _xlfn.XLOOKUP(_xlpm.pile, Pile_area[pile_id], Pile_area[stockpile]),
    _xlpm.field, _xlfn.HSTACK(
        _xlpm.id,
        _xlpm.hlr,
        _xlpm.ore,
        _xlpm.stp,
        _xlpm.pile,
        INDEX(_xlpm.data,,4),
        PROPER(INDEX(_xlpm.data,,3)),
        IF(INDEX(_xlpm.data,,5) = _xlfn.XLOOKUP(_xlpm.ore, Int_Sample[Ore], Int_Sample[Batch]), "Complete", ""),
        _xlfn.BYROW(_xlfn.HSTACK(INDEX(_xlpm.data,,7), _xlpm.IsErr), _xlfn.LAMBDA(_xlpm.x, _xlfn.TEXTJOIN("|", TRUE, _xlpm.x)))
    ),
    _xlpm.rslt, _xlfn.UNIQUE(_xlfn._xlws.FILTER(_xlpm.field, _xlpm.src&gt;0)),
     IF(ISERR(_xlfn.SINGLE(_xlpm.rslt)),"",_xlpm.rslt))</f>
        <v/>
      </c>
    </row>
    <row r="3" spans="1:125" ht="15.75" x14ac:dyDescent="0.25">
      <c r="A3" t="str">
        <v>BR-C6_S10</v>
      </c>
      <c r="I3" s="66"/>
      <c r="J3" s="65"/>
      <c r="K3" s="65"/>
      <c r="L3" s="65"/>
      <c r="M3" s="85"/>
      <c r="N3" s="85"/>
      <c r="O3" s="85"/>
      <c r="P3" s="85"/>
      <c r="Q3" s="85"/>
      <c r="R3" s="85"/>
      <c r="S3" s="100"/>
      <c r="T3" s="100"/>
      <c r="U3" s="98"/>
      <c r="V3" s="95"/>
      <c r="W3" s="95"/>
      <c r="X3" s="85"/>
    </row>
    <row r="4" spans="1:125" x14ac:dyDescent="0.25">
      <c r="A4" t="str">
        <v>L18_S09</v>
      </c>
      <c r="F4" t="s">
        <v>2451</v>
      </c>
      <c r="G4" t="s">
        <v>2474</v>
      </c>
      <c r="H4" s="14" t="s">
        <v>2549</v>
      </c>
      <c r="I4" s="14" t="s">
        <v>2567</v>
      </c>
      <c r="J4" s="14" t="s">
        <v>115</v>
      </c>
      <c r="K4" s="14" t="s">
        <v>2477</v>
      </c>
      <c r="L4" s="14" t="s">
        <v>2452</v>
      </c>
      <c r="M4" s="85"/>
      <c r="N4" s="85"/>
      <c r="O4" s="85"/>
      <c r="P4" s="85"/>
      <c r="Q4" s="85"/>
      <c r="R4" s="85"/>
      <c r="S4" s="100"/>
      <c r="T4" s="100"/>
      <c r="U4" s="85"/>
      <c r="V4" s="85"/>
      <c r="W4" s="85"/>
      <c r="X4" s="85"/>
    </row>
    <row r="5" spans="1:125" ht="15.75" x14ac:dyDescent="0.25">
      <c r="A5" t="str">
        <v>L9_26</v>
      </c>
      <c r="D5" s="3" cm="1">
        <f t="array" ref="D5:D638">_xlfn.LET( _xlpm.Batch,HLG_04[Batch],
      _xlpm.rit, HLG_04[Rit],
      _xlpm.front,HLG_04[Front_ID],
      _xlpm.truck, HLG_04[Truck_ID],
      _xlpm.Unik, _xlfn.UNIQUE(_xlfn._xlws.FILTER(_xlpm.Batch, _xlpm.Batch&lt;&gt;"")),
      _xlpm.seqBtch, _xlfn.MAP(_xlpm.Batch,_xlfn.LAMBDA(_xlpm.b,IF(_xlpm.b="","",MATCH(_xlpm.b, _xlpm.Unik,0)))),
      _xlpm.r, ROWS(_xlpm.truck),
      _xlpm.vld,_xlfn.MAP(_xlfn.SEQUENCE(_xlpm.r),_xlfn.LAMBDA(_xlpm.idx,MATCH(INDEX(_xlpm.truck,_xlpm.idx),INDEX(_xlfn.ANCHORARRAY($AP$5),_xlpm.idx,0),0))),
      _xlpm.isSkip, IF(_xlpm.front&gt;0,"",_xlfn.MAP(_xlpm.Batch, _xlpm.rit, _xlfn.LAMBDA(_xlpm.bx,_xlpm.rx,
        IFERROR(IF(_xlfn.XMATCH(1, --(_xlpm.Batch=_xlpm.bx) * (_xlpm.rit&gt;_xlpm.rx) * (_xlpm.front&gt;0), 0), "Skipped"), "")))),
      _xlpm.rslt, IF(_xlpm.isSkip="",IF((--(ISNA(_xlpm.vld)*(_xlpm.truck&gt;0))+((_xlpm.front&gt;0)*(_xlpm.truck=0)))&gt;0,_xlpm.vld,_xlpm.seqBtch),_xlpm.isSkip),
      _xlpm.rslt)</f>
        <v>1</v>
      </c>
      <c r="F5" s="16" t="str" cm="1">
        <f t="array" ref="F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" s="31" cm="1">
        <f t="array" ref="G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" s="33" t="str">
        <f>_xlfn.IFNA(IF(MOD(HLG_04[[#This Row],[Rit]],
    _xlfn.XLOOKUP($G$2,Int_Sample[Ore],Int_Sample[Inc])) = 0, "YES", "NO"),"")</f>
        <v/>
      </c>
      <c r="I5" s="32" t="str">
        <f>TEXT(HLG_04[[#This Row],[Batch]],"000")&amp; " / " &amp; TEXT(HLG_04[[#This Row],[Rit]],"000")</f>
        <v>N/A / 000</v>
      </c>
      <c r="J5" s="34"/>
      <c r="K5" s="38"/>
      <c r="L5" s="35"/>
      <c r="M5" s="85"/>
      <c r="N5" s="85"/>
      <c r="O5" s="85"/>
      <c r="P5" s="85"/>
      <c r="Q5" s="85"/>
      <c r="R5" s="85"/>
      <c r="S5" s="100"/>
      <c r="T5" s="100"/>
      <c r="U5" s="85"/>
      <c r="V5" s="85"/>
      <c r="W5" s="85"/>
      <c r="X5" s="85"/>
      <c r="AP5" t="str" cm="1">
        <f t="array" ref="AP5:AP638">_xlfn.DROP(
    _xlfn.REDUCE("", HLG_04[Front_ID],
        _xlfn.LAMBDA(_xlpm.matriks,_xlpm.p,
            _xlfn.VSTACK(_xlpm.matriks,
                IFERROR(
                    _xlfn.LET(
                        _xlpm.baris_idx, MATCH(_xlpm.p, List_Front, 0),
                        _xlpm.truk_valid, INDEX(_xlfn.ANCHORARRAY(Fleet_Det!$CE$4), _xlpm.baris_idx, ),
                        _xlpm.fleet_str, INDEX(List_Unit_Fleet, _xlpm.baris_idx),
                        _xlpm.daftar_truk, IFERROR(_xlfn.TEXTSPLIT(_xlpm.fleet_str, "|"), ""),
                        _xlpm.daftar_truk_vec, _xlfn.TOCOL(_xlpm.daftar_truk, 1),
                        _xlpm.hasil, _xlfn._xlws.FILTER(_xlpm.daftar_truk_vec, ISNUMBER(MATCH(_xlpm.daftar_truk_vec, _xlpm.truk_valid, 0))),
                        _xlfn.TOROW(_xlfn._xlws.SORT(_xlfn.UNIQUE(_xlpm.hasil)))
                    ),
                    ""
                )
            )
        )
    ),
    1
)</f>
        <v/>
      </c>
    </row>
    <row r="6" spans="1:125" ht="15.75" x14ac:dyDescent="0.25">
      <c r="A6" t="str">
        <v>S5_77</v>
      </c>
      <c r="D6" s="3">
        <v>1</v>
      </c>
      <c r="F6" s="16" t="str" cm="1">
        <f t="array" ref="F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" s="31" cm="1">
        <f t="array" ref="G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" s="33" t="str">
        <f>_xlfn.IFNA(IF(MOD(HLG_04[[#This Row],[Rit]],
    _xlfn.XLOOKUP($G$2,Int_Sample[Ore],Int_Sample[Inc])) = 0, "YES", "NO"),"")</f>
        <v/>
      </c>
      <c r="I6" s="32" t="str">
        <f>TEXT(HLG_04[[#This Row],[Batch]],"000")&amp; " / " &amp; TEXT(HLG_04[[#This Row],[Rit]],"000")</f>
        <v>N/A / 000</v>
      </c>
      <c r="J6" s="34"/>
      <c r="K6" s="38"/>
      <c r="L6" s="35"/>
      <c r="M6" s="85"/>
      <c r="N6" s="85"/>
      <c r="O6" s="85"/>
      <c r="P6" s="85"/>
      <c r="Q6" s="85"/>
      <c r="R6" s="85"/>
      <c r="S6" s="100"/>
      <c r="T6" s="100"/>
      <c r="U6" s="85"/>
      <c r="V6" s="85"/>
      <c r="W6" s="85"/>
      <c r="X6" s="85"/>
      <c r="AN6" s="3"/>
      <c r="AO6" s="3"/>
      <c r="AP6" t="str">
        <v/>
      </c>
    </row>
    <row r="7" spans="1:125" ht="15.75" x14ac:dyDescent="0.25">
      <c r="A7" t="str">
        <v>S5_88</v>
      </c>
      <c r="D7" s="3">
        <v>1</v>
      </c>
      <c r="F7" s="16" t="str" cm="1">
        <f t="array" ref="F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" s="31" cm="1">
        <f t="array" ref="G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" s="33" t="str">
        <f>_xlfn.IFNA(IF(MOD(HLG_04[[#This Row],[Rit]],
    _xlfn.XLOOKUP($G$2,Int_Sample[Ore],Int_Sample[Inc])) = 0, "YES", "NO"),"")</f>
        <v/>
      </c>
      <c r="I7" s="32" t="str">
        <f>TEXT(HLG_04[[#This Row],[Batch]],"000")&amp; " / " &amp; TEXT(HLG_04[[#This Row],[Rit]],"000")</f>
        <v>N/A / 000</v>
      </c>
      <c r="J7" s="34"/>
      <c r="K7" s="38"/>
      <c r="L7" s="35"/>
      <c r="M7" s="85"/>
      <c r="N7" s="85"/>
      <c r="O7" s="85"/>
      <c r="P7" s="85"/>
      <c r="Q7" s="85"/>
      <c r="R7" s="85"/>
      <c r="S7" s="100"/>
      <c r="T7" s="100"/>
      <c r="U7" s="85"/>
      <c r="V7" s="85"/>
      <c r="W7" s="85"/>
      <c r="X7" s="85"/>
      <c r="AN7" s="3"/>
      <c r="AO7" s="3"/>
      <c r="AP7" t="str">
        <v/>
      </c>
    </row>
    <row r="8" spans="1:125" ht="15.75" x14ac:dyDescent="0.25">
      <c r="A8" t="str">
        <v>S5_93</v>
      </c>
      <c r="D8" s="3">
        <v>1</v>
      </c>
      <c r="F8" s="16" t="str" cm="1">
        <f t="array" ref="F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" s="31" cm="1">
        <f t="array" ref="G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" s="33" t="str">
        <f>_xlfn.IFNA(IF(MOD(HLG_04[[#This Row],[Rit]],
    _xlfn.XLOOKUP($G$2,Int_Sample[Ore],Int_Sample[Inc])) = 0, "YES", "NO"),"")</f>
        <v/>
      </c>
      <c r="I8" s="32" t="str">
        <f>TEXT(HLG_04[[#This Row],[Batch]],"000")&amp; " / " &amp; TEXT(HLG_04[[#This Row],[Rit]],"000")</f>
        <v>N/A / 000</v>
      </c>
      <c r="J8" s="34"/>
      <c r="K8" s="38"/>
      <c r="L8" s="35"/>
      <c r="M8" s="85"/>
      <c r="N8" s="85"/>
      <c r="O8" s="85"/>
      <c r="P8" s="85"/>
      <c r="Q8" s="85"/>
      <c r="R8" s="85"/>
      <c r="S8" s="100"/>
      <c r="T8" s="100"/>
      <c r="U8" s="85"/>
      <c r="V8" s="85"/>
      <c r="W8" s="85"/>
      <c r="X8" s="85"/>
      <c r="AN8" s="3"/>
      <c r="AO8" s="3"/>
      <c r="AP8" t="str">
        <v/>
      </c>
    </row>
    <row r="9" spans="1:125" ht="15.75" x14ac:dyDescent="0.25">
      <c r="D9" s="3">
        <v>1</v>
      </c>
      <c r="F9" s="16" t="str" cm="1">
        <f t="array" ref="F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" s="31" cm="1">
        <f t="array" ref="G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" s="33" t="str">
        <f>_xlfn.IFNA(IF(MOD(HLG_04[[#This Row],[Rit]],
    _xlfn.XLOOKUP($G$2,Int_Sample[Ore],Int_Sample[Inc])) = 0, "YES", "NO"),"")</f>
        <v/>
      </c>
      <c r="I9" s="32" t="str">
        <f>TEXT(HLG_04[[#This Row],[Batch]],"000")&amp; " / " &amp; TEXT(HLG_04[[#This Row],[Rit]],"000")</f>
        <v>N/A / 000</v>
      </c>
      <c r="J9" s="34"/>
      <c r="K9" s="38"/>
      <c r="L9" s="35"/>
      <c r="M9" s="85"/>
      <c r="N9" s="85"/>
      <c r="O9" s="85"/>
      <c r="P9" s="85"/>
      <c r="Q9" s="85"/>
      <c r="R9" s="85"/>
      <c r="S9" s="100"/>
      <c r="T9" s="100"/>
      <c r="U9" s="85"/>
      <c r="V9" s="85"/>
      <c r="W9" s="85"/>
      <c r="X9" s="85"/>
      <c r="AN9" s="3"/>
      <c r="AO9" s="3"/>
      <c r="AP9" t="str">
        <v/>
      </c>
    </row>
    <row r="10" spans="1:125" ht="15.75" x14ac:dyDescent="0.25">
      <c r="D10" s="3">
        <v>1</v>
      </c>
      <c r="F10" s="16" t="str" cm="1">
        <f t="array" ref="F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" s="31" cm="1">
        <f t="array" ref="G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" s="33" t="str">
        <f>_xlfn.IFNA(IF(MOD(HLG_04[[#This Row],[Rit]],
    _xlfn.XLOOKUP($G$2,Int_Sample[Ore],Int_Sample[Inc])) = 0, "YES", "NO"),"")</f>
        <v/>
      </c>
      <c r="I10" s="32" t="str">
        <f>TEXT(HLG_04[[#This Row],[Batch]],"000")&amp; " / " &amp; TEXT(HLG_04[[#This Row],[Rit]],"000")</f>
        <v>N/A / 000</v>
      </c>
      <c r="J10" s="34"/>
      <c r="K10" s="38"/>
      <c r="L10" s="35"/>
      <c r="M10" s="85"/>
      <c r="N10" s="85"/>
      <c r="O10" s="85"/>
      <c r="P10" s="85"/>
      <c r="Q10" s="85"/>
      <c r="R10" s="85"/>
      <c r="S10" s="100"/>
      <c r="T10" s="100"/>
      <c r="U10" s="85"/>
      <c r="V10" s="85"/>
      <c r="W10" s="85"/>
      <c r="X10" s="85"/>
      <c r="AN10" s="3"/>
      <c r="AO10" s="3"/>
      <c r="AP10" t="str">
        <v/>
      </c>
    </row>
    <row r="11" spans="1:125" ht="15.75" x14ac:dyDescent="0.25">
      <c r="D11" s="3">
        <v>1</v>
      </c>
      <c r="F11" s="16" t="str" cm="1">
        <f t="array" ref="F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" s="31" cm="1">
        <f t="array" ref="G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" s="33" t="str">
        <f>_xlfn.IFNA(IF(MOD(HLG_04[[#This Row],[Rit]],
    _xlfn.XLOOKUP($G$2,Int_Sample[Ore],Int_Sample[Inc])) = 0, "YES", "NO"),"")</f>
        <v/>
      </c>
      <c r="I11" s="32" t="str">
        <f>TEXT(HLG_04[[#This Row],[Batch]],"000")&amp; " / " &amp; TEXT(HLG_04[[#This Row],[Rit]],"000")</f>
        <v>N/A / 000</v>
      </c>
      <c r="J11" s="34"/>
      <c r="K11" s="38"/>
      <c r="L11" s="35"/>
      <c r="M11" s="85"/>
      <c r="N11" s="85"/>
      <c r="O11" s="85"/>
      <c r="P11" s="85"/>
      <c r="Q11" s="85"/>
      <c r="R11" s="85"/>
      <c r="S11" s="100"/>
      <c r="T11" s="100"/>
      <c r="U11" s="85"/>
      <c r="V11" s="85"/>
      <c r="W11" s="85"/>
      <c r="X11" s="85"/>
      <c r="AP11" t="str">
        <v/>
      </c>
    </row>
    <row r="12" spans="1:125" ht="15.75" x14ac:dyDescent="0.25">
      <c r="D12" s="3">
        <v>1</v>
      </c>
      <c r="F12" s="16" t="str" cm="1">
        <f t="array" ref="F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" s="31" cm="1">
        <f t="array" ref="G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" s="33" t="str">
        <f>_xlfn.IFNA(IF(MOD(HLG_04[[#This Row],[Rit]],
    _xlfn.XLOOKUP($G$2,Int_Sample[Ore],Int_Sample[Inc])) = 0, "YES", "NO"),"")</f>
        <v/>
      </c>
      <c r="I12" s="32" t="str">
        <f>TEXT(HLG_04[[#This Row],[Batch]],"000")&amp; " / " &amp; TEXT(HLG_04[[#This Row],[Rit]],"000")</f>
        <v>N/A / 000</v>
      </c>
      <c r="J12" s="34"/>
      <c r="K12" s="38"/>
      <c r="L12" s="35"/>
      <c r="M12" s="85"/>
      <c r="N12" s="85"/>
      <c r="O12" s="85"/>
      <c r="P12" s="85"/>
      <c r="Q12" s="85"/>
      <c r="R12" s="85"/>
      <c r="S12" s="100"/>
      <c r="T12" s="100"/>
      <c r="U12" s="85"/>
      <c r="V12" s="85"/>
      <c r="W12" s="85"/>
      <c r="X12" s="85"/>
      <c r="AP12" t="str">
        <v/>
      </c>
    </row>
    <row r="13" spans="1:125" ht="15.75" x14ac:dyDescent="0.25">
      <c r="D13" s="3">
        <v>1</v>
      </c>
      <c r="F13" s="16" t="str" cm="1">
        <f t="array" ref="F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" s="31" cm="1">
        <f t="array" ref="G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" s="33" t="str">
        <f>_xlfn.IFNA(IF(MOD(HLG_04[[#This Row],[Rit]],
    _xlfn.XLOOKUP($G$2,Int_Sample[Ore],Int_Sample[Inc])) = 0, "YES", "NO"),"")</f>
        <v/>
      </c>
      <c r="I13" s="32" t="str">
        <f>TEXT(HLG_04[[#This Row],[Batch]],"000")&amp; " / " &amp; TEXT(HLG_04[[#This Row],[Rit]],"000")</f>
        <v>N/A / 000</v>
      </c>
      <c r="J13" s="34"/>
      <c r="K13" s="38"/>
      <c r="L13" s="35"/>
      <c r="M13" s="85"/>
      <c r="N13" s="85"/>
      <c r="O13" s="85"/>
      <c r="P13" s="85"/>
      <c r="Q13" s="85"/>
      <c r="R13" s="85"/>
      <c r="S13" s="100"/>
      <c r="T13" s="100"/>
      <c r="U13" s="85"/>
      <c r="V13" s="85"/>
      <c r="W13" s="85"/>
      <c r="X13" s="85"/>
      <c r="AP13" t="str">
        <v/>
      </c>
    </row>
    <row r="14" spans="1:125" ht="15.75" x14ac:dyDescent="0.25">
      <c r="D14" s="3">
        <v>1</v>
      </c>
      <c r="F14" s="16" t="str" cm="1">
        <f t="array" ref="F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" s="31" cm="1">
        <f t="array" ref="G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" s="33" t="str">
        <f>_xlfn.IFNA(IF(MOD(HLG_04[[#This Row],[Rit]],
    _xlfn.XLOOKUP($G$2,Int_Sample[Ore],Int_Sample[Inc])) = 0, "YES", "NO"),"")</f>
        <v/>
      </c>
      <c r="I14" s="32" t="str">
        <f>TEXT(HLG_04[[#This Row],[Batch]],"000")&amp; " / " &amp; TEXT(HLG_04[[#This Row],[Rit]],"000")</f>
        <v>N/A / 000</v>
      </c>
      <c r="J14" s="34"/>
      <c r="K14" s="38"/>
      <c r="L14" s="35"/>
      <c r="M14" s="85"/>
      <c r="N14" s="85"/>
      <c r="O14" s="85"/>
      <c r="P14" s="85"/>
      <c r="Q14" s="85"/>
      <c r="R14" s="85"/>
      <c r="S14" s="100"/>
      <c r="T14" s="100"/>
      <c r="U14" s="85"/>
      <c r="V14" s="85"/>
      <c r="W14" s="85"/>
      <c r="X14" s="85"/>
      <c r="AP14" t="str">
        <v/>
      </c>
    </row>
    <row r="15" spans="1:125" ht="15.75" x14ac:dyDescent="0.25">
      <c r="D15" s="3">
        <v>1</v>
      </c>
      <c r="F15" s="16" t="str" cm="1">
        <f t="array" ref="F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" s="31" cm="1">
        <f t="array" ref="G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" s="33" t="str">
        <f>_xlfn.IFNA(IF(MOD(HLG_04[[#This Row],[Rit]],
    _xlfn.XLOOKUP($G$2,Int_Sample[Ore],Int_Sample[Inc])) = 0, "YES", "NO"),"")</f>
        <v/>
      </c>
      <c r="I15" s="32" t="str">
        <f>TEXT(HLG_04[[#This Row],[Batch]],"000")&amp; " / " &amp; TEXT(HLG_04[[#This Row],[Rit]],"000")</f>
        <v>N/A / 000</v>
      </c>
      <c r="J15" s="34"/>
      <c r="K15" s="38"/>
      <c r="L15" s="35"/>
      <c r="M15" s="85"/>
      <c r="N15" s="85"/>
      <c r="O15" s="85"/>
      <c r="P15" s="85"/>
      <c r="Q15" s="85"/>
      <c r="R15" s="85"/>
      <c r="S15" s="100"/>
      <c r="T15" s="100"/>
      <c r="U15" s="85"/>
      <c r="V15" s="85"/>
      <c r="W15" s="85"/>
      <c r="X15" s="85"/>
      <c r="AP15" t="str">
        <v/>
      </c>
    </row>
    <row r="16" spans="1:125" ht="15.75" x14ac:dyDescent="0.25">
      <c r="D16" s="3">
        <v>1</v>
      </c>
      <c r="F16" s="16" t="str" cm="1">
        <f t="array" ref="F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" s="31" cm="1">
        <f t="array" ref="G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" s="33" t="str">
        <f>_xlfn.IFNA(IF(MOD(HLG_04[[#This Row],[Rit]],
    _xlfn.XLOOKUP($G$2,Int_Sample[Ore],Int_Sample[Inc])) = 0, "YES", "NO"),"")</f>
        <v/>
      </c>
      <c r="I16" s="32" t="str">
        <f>TEXT(HLG_04[[#This Row],[Batch]],"000")&amp; " / " &amp; TEXT(HLG_04[[#This Row],[Rit]],"000")</f>
        <v>N/A / 000</v>
      </c>
      <c r="J16" s="34"/>
      <c r="K16" s="38"/>
      <c r="L16" s="35"/>
      <c r="M16" s="85"/>
      <c r="N16" s="85"/>
      <c r="O16" s="85"/>
      <c r="P16" s="85"/>
      <c r="Q16" s="85"/>
      <c r="R16" s="85"/>
      <c r="S16" s="100"/>
      <c r="T16" s="100"/>
      <c r="U16" s="85"/>
      <c r="V16" s="85"/>
      <c r="W16" s="85"/>
      <c r="X16" s="85"/>
      <c r="AP16" t="str">
        <v/>
      </c>
    </row>
    <row r="17" spans="4:42" ht="15.75" x14ac:dyDescent="0.25">
      <c r="D17" s="3">
        <v>1</v>
      </c>
      <c r="F17" s="16" t="str" cm="1">
        <f t="array" ref="F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" s="31" cm="1">
        <f t="array" ref="G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" s="33" t="str">
        <f>_xlfn.IFNA(IF(MOD(HLG_04[[#This Row],[Rit]],
    _xlfn.XLOOKUP($G$2,Int_Sample[Ore],Int_Sample[Inc])) = 0, "YES", "NO"),"")</f>
        <v/>
      </c>
      <c r="I17" s="32" t="str">
        <f>TEXT(HLG_04[[#This Row],[Batch]],"000")&amp; " / " &amp; TEXT(HLG_04[[#This Row],[Rit]],"000")</f>
        <v>N/A / 000</v>
      </c>
      <c r="J17" s="34"/>
      <c r="K17" s="38"/>
      <c r="L17" s="35"/>
      <c r="M17" s="85"/>
      <c r="N17" s="85"/>
      <c r="O17" s="85"/>
      <c r="P17" s="85"/>
      <c r="Q17" s="85"/>
      <c r="R17" s="85"/>
      <c r="S17" s="100"/>
      <c r="T17" s="100"/>
      <c r="U17" s="85"/>
      <c r="V17" s="85"/>
      <c r="W17" s="85"/>
      <c r="X17" s="85"/>
      <c r="AP17" t="str">
        <v/>
      </c>
    </row>
    <row r="18" spans="4:42" ht="15.75" x14ac:dyDescent="0.25">
      <c r="D18" s="3">
        <v>1</v>
      </c>
      <c r="F18" s="16" t="str" cm="1">
        <f t="array" ref="F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" s="31" cm="1">
        <f t="array" ref="G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" s="33" t="str">
        <f>_xlfn.IFNA(IF(MOD(HLG_04[[#This Row],[Rit]],
    _xlfn.XLOOKUP($G$2,Int_Sample[Ore],Int_Sample[Inc])) = 0, "YES", "NO"),"")</f>
        <v/>
      </c>
      <c r="I18" s="32" t="str">
        <f>TEXT(HLG_04[[#This Row],[Batch]],"000")&amp; " / " &amp; TEXT(HLG_04[[#This Row],[Rit]],"000")</f>
        <v>N/A / 000</v>
      </c>
      <c r="J18" s="34"/>
      <c r="K18" s="38"/>
      <c r="L18" s="35"/>
      <c r="M18" s="85"/>
      <c r="N18" s="85"/>
      <c r="O18" s="85"/>
      <c r="P18" s="85"/>
      <c r="Q18" s="85"/>
      <c r="R18" s="85"/>
      <c r="S18" s="100"/>
      <c r="T18" s="100"/>
      <c r="U18" s="85"/>
      <c r="V18" s="85"/>
      <c r="W18" s="85"/>
      <c r="X18" s="85"/>
      <c r="AP18" t="str">
        <v/>
      </c>
    </row>
    <row r="19" spans="4:42" ht="15.75" x14ac:dyDescent="0.25">
      <c r="D19" s="3">
        <v>1</v>
      </c>
      <c r="F19" s="16" t="str" cm="1">
        <f t="array" ref="F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" s="31" cm="1">
        <f t="array" ref="G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" s="33" t="str">
        <f>_xlfn.IFNA(IF(MOD(HLG_04[[#This Row],[Rit]],
    _xlfn.XLOOKUP($G$2,Int_Sample[Ore],Int_Sample[Inc])) = 0, "YES", "NO"),"")</f>
        <v/>
      </c>
      <c r="I19" s="32" t="str">
        <f>TEXT(HLG_04[[#This Row],[Batch]],"000")&amp; " / " &amp; TEXT(HLG_04[[#This Row],[Rit]],"000")</f>
        <v>N/A / 000</v>
      </c>
      <c r="J19" s="34"/>
      <c r="K19" s="38"/>
      <c r="L19" s="35"/>
      <c r="M19" s="85"/>
      <c r="N19" s="85"/>
      <c r="O19" s="85"/>
      <c r="P19" s="85"/>
      <c r="Q19" s="85"/>
      <c r="R19" s="85"/>
      <c r="S19" s="100"/>
      <c r="T19" s="100"/>
      <c r="U19" s="85"/>
      <c r="V19" s="85"/>
      <c r="W19" s="85"/>
      <c r="X19" s="85"/>
      <c r="AP19" t="str">
        <v/>
      </c>
    </row>
    <row r="20" spans="4:42" ht="15.75" x14ac:dyDescent="0.25">
      <c r="D20" s="3">
        <v>1</v>
      </c>
      <c r="F20" s="16" t="str" cm="1">
        <f t="array" ref="F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" s="31" cm="1">
        <f t="array" ref="G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" s="33" t="str">
        <f>_xlfn.IFNA(IF(MOD(HLG_04[[#This Row],[Rit]],
    _xlfn.XLOOKUP($G$2,Int_Sample[Ore],Int_Sample[Inc])) = 0, "YES", "NO"),"")</f>
        <v/>
      </c>
      <c r="I20" s="32" t="str">
        <f>TEXT(HLG_04[[#This Row],[Batch]],"000")&amp; " / " &amp; TEXT(HLG_04[[#This Row],[Rit]],"000")</f>
        <v>N/A / 000</v>
      </c>
      <c r="J20" s="34"/>
      <c r="K20" s="38"/>
      <c r="L20" s="35"/>
      <c r="M20" s="85"/>
      <c r="N20" s="85"/>
      <c r="O20" s="85"/>
      <c r="P20" s="85"/>
      <c r="Q20" s="85"/>
      <c r="R20" s="85"/>
      <c r="S20" s="100"/>
      <c r="T20" s="100"/>
      <c r="U20" s="85"/>
      <c r="V20" s="85"/>
      <c r="W20" s="85"/>
      <c r="X20" s="85"/>
      <c r="AP20" t="str">
        <v/>
      </c>
    </row>
    <row r="21" spans="4:42" ht="15.75" x14ac:dyDescent="0.25">
      <c r="D21" s="3">
        <v>1</v>
      </c>
      <c r="F21" s="16" t="str" cm="1">
        <f t="array" ref="F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" s="31" cm="1">
        <f t="array" ref="G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" s="33" t="str">
        <f>_xlfn.IFNA(IF(MOD(HLG_04[[#This Row],[Rit]],
    _xlfn.XLOOKUP($G$2,Int_Sample[Ore],Int_Sample[Inc])) = 0, "YES", "NO"),"")</f>
        <v/>
      </c>
      <c r="I21" s="32" t="str">
        <f>TEXT(HLG_04[[#This Row],[Batch]],"000")&amp; " / " &amp; TEXT(HLG_04[[#This Row],[Rit]],"000")</f>
        <v>N/A / 000</v>
      </c>
      <c r="J21" s="34"/>
      <c r="K21" s="38"/>
      <c r="L21" s="35"/>
      <c r="M21" s="85"/>
      <c r="N21" s="85"/>
      <c r="O21" s="85"/>
      <c r="P21" s="85"/>
      <c r="Q21" s="85"/>
      <c r="R21" s="85"/>
      <c r="S21" s="100"/>
      <c r="T21" s="100"/>
      <c r="U21" s="85"/>
      <c r="V21" s="85"/>
      <c r="W21" s="85"/>
      <c r="X21" s="85"/>
      <c r="AP21" t="str">
        <v/>
      </c>
    </row>
    <row r="22" spans="4:42" ht="15.75" x14ac:dyDescent="0.25">
      <c r="D22" s="3">
        <v>1</v>
      </c>
      <c r="F22" s="16" t="str" cm="1">
        <f t="array" ref="F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" s="31" cm="1">
        <f t="array" ref="G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" s="33" t="str">
        <f>_xlfn.IFNA(IF(MOD(HLG_04[[#This Row],[Rit]],
    _xlfn.XLOOKUP($G$2,Int_Sample[Ore],Int_Sample[Inc])) = 0, "YES", "NO"),"")</f>
        <v/>
      </c>
      <c r="I22" s="32" t="str">
        <f>TEXT(HLG_04[[#This Row],[Batch]],"000")&amp; " / " &amp; TEXT(HLG_04[[#This Row],[Rit]],"000")</f>
        <v>N/A / 000</v>
      </c>
      <c r="J22" s="34"/>
      <c r="K22" s="38"/>
      <c r="L22" s="35"/>
      <c r="M22" s="85"/>
      <c r="N22" s="85"/>
      <c r="O22" s="85"/>
      <c r="P22" s="85"/>
      <c r="Q22" s="85"/>
      <c r="R22" s="85"/>
      <c r="S22" s="100"/>
      <c r="T22" s="100"/>
      <c r="U22" s="85"/>
      <c r="V22" s="85"/>
      <c r="W22" s="85"/>
      <c r="X22" s="85"/>
      <c r="AP22" t="str">
        <v/>
      </c>
    </row>
    <row r="23" spans="4:42" ht="15.75" x14ac:dyDescent="0.25">
      <c r="D23" s="3">
        <v>1</v>
      </c>
      <c r="F23" s="16" t="str" cm="1">
        <f t="array" ref="F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" s="31" cm="1">
        <f t="array" ref="G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" s="33" t="str">
        <f>_xlfn.IFNA(IF(MOD(HLG_04[[#This Row],[Rit]],
    _xlfn.XLOOKUP($G$2,Int_Sample[Ore],Int_Sample[Inc])) = 0, "YES", "NO"),"")</f>
        <v/>
      </c>
      <c r="I23" s="32" t="str">
        <f>TEXT(HLG_04[[#This Row],[Batch]],"000")&amp; " / " &amp; TEXT(HLG_04[[#This Row],[Rit]],"000")</f>
        <v>N/A / 000</v>
      </c>
      <c r="J23" s="34"/>
      <c r="K23" s="38"/>
      <c r="L23" s="35"/>
      <c r="M23" s="85"/>
      <c r="N23" s="85"/>
      <c r="O23" s="85"/>
      <c r="P23" s="85"/>
      <c r="Q23" s="85"/>
      <c r="R23" s="85"/>
      <c r="S23" s="100"/>
      <c r="T23" s="100"/>
      <c r="U23" s="85"/>
      <c r="V23" s="85"/>
      <c r="W23" s="85"/>
      <c r="X23" s="85"/>
      <c r="AP23" t="str">
        <v/>
      </c>
    </row>
    <row r="24" spans="4:42" ht="15.75" x14ac:dyDescent="0.25">
      <c r="D24" s="3">
        <v>1</v>
      </c>
      <c r="F24" s="16" t="str" cm="1">
        <f t="array" ref="F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" s="31" cm="1">
        <f t="array" ref="G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" s="33" t="str">
        <f>_xlfn.IFNA(IF(MOD(HLG_04[[#This Row],[Rit]],
    _xlfn.XLOOKUP($G$2,Int_Sample[Ore],Int_Sample[Inc])) = 0, "YES", "NO"),"")</f>
        <v/>
      </c>
      <c r="I24" s="32" t="str">
        <f>TEXT(HLG_04[[#This Row],[Batch]],"000")&amp; " / " &amp; TEXT(HLG_04[[#This Row],[Rit]],"000")</f>
        <v>N/A / 000</v>
      </c>
      <c r="J24" s="34"/>
      <c r="K24" s="38"/>
      <c r="L24" s="35"/>
      <c r="M24" s="85"/>
      <c r="N24" s="85"/>
      <c r="O24" s="85"/>
      <c r="P24" s="85"/>
      <c r="Q24" s="85"/>
      <c r="R24" s="85"/>
      <c r="S24" s="100"/>
      <c r="T24" s="100"/>
      <c r="U24" s="85"/>
      <c r="V24" s="85"/>
      <c r="W24" s="85"/>
      <c r="X24" s="85"/>
      <c r="AP24" t="str">
        <v/>
      </c>
    </row>
    <row r="25" spans="4:42" ht="15.75" x14ac:dyDescent="0.25">
      <c r="D25" s="3">
        <v>1</v>
      </c>
      <c r="F25" s="16" t="str" cm="1">
        <f t="array" ref="F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" s="31" cm="1">
        <f t="array" ref="G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" s="33" t="str">
        <f>_xlfn.IFNA(IF(MOD(HLG_04[[#This Row],[Rit]],
    _xlfn.XLOOKUP($G$2,Int_Sample[Ore],Int_Sample[Inc])) = 0, "YES", "NO"),"")</f>
        <v/>
      </c>
      <c r="I25" s="32" t="str">
        <f>TEXT(HLG_04[[#This Row],[Batch]],"000")&amp; " / " &amp; TEXT(HLG_04[[#This Row],[Rit]],"000")</f>
        <v>N/A / 000</v>
      </c>
      <c r="J25" s="34"/>
      <c r="K25" s="38"/>
      <c r="L25" s="35"/>
      <c r="M25" s="85"/>
      <c r="N25" s="85"/>
      <c r="O25" s="85"/>
      <c r="P25" s="85"/>
      <c r="Q25" s="85"/>
      <c r="R25" s="85"/>
      <c r="S25" s="100"/>
      <c r="T25" s="100"/>
      <c r="U25" s="85"/>
      <c r="V25" s="85"/>
      <c r="W25" s="85"/>
      <c r="X25" s="85"/>
      <c r="AP25" t="str">
        <v/>
      </c>
    </row>
    <row r="26" spans="4:42" ht="15.75" x14ac:dyDescent="0.25">
      <c r="D26" s="3">
        <v>1</v>
      </c>
      <c r="F26" s="16" t="str" cm="1">
        <f t="array" ref="F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" s="31" cm="1">
        <f t="array" ref="G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" s="33" t="str">
        <f>_xlfn.IFNA(IF(MOD(HLG_04[[#This Row],[Rit]],
    _xlfn.XLOOKUP($G$2,Int_Sample[Ore],Int_Sample[Inc])) = 0, "YES", "NO"),"")</f>
        <v/>
      </c>
      <c r="I26" s="32" t="str">
        <f>TEXT(HLG_04[[#This Row],[Batch]],"000")&amp; " / " &amp; TEXT(HLG_04[[#This Row],[Rit]],"000")</f>
        <v>N/A / 000</v>
      </c>
      <c r="J26" s="34"/>
      <c r="K26" s="38"/>
      <c r="L26" s="35"/>
      <c r="M26" s="85"/>
      <c r="N26" s="85"/>
      <c r="O26" s="85"/>
      <c r="P26" s="85"/>
      <c r="Q26" s="85"/>
      <c r="R26" s="85"/>
      <c r="S26" s="100"/>
      <c r="T26" s="100"/>
      <c r="U26" s="85"/>
      <c r="V26" s="85"/>
      <c r="W26" s="85"/>
      <c r="X26" s="85"/>
      <c r="AP26" t="str">
        <v/>
      </c>
    </row>
    <row r="27" spans="4:42" ht="15.75" x14ac:dyDescent="0.25">
      <c r="D27" s="3">
        <v>1</v>
      </c>
      <c r="F27" s="16" t="str" cm="1">
        <f t="array" ref="F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" s="31" cm="1">
        <f t="array" ref="G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" s="33" t="str">
        <f>_xlfn.IFNA(IF(MOD(HLG_04[[#This Row],[Rit]],
    _xlfn.XLOOKUP($G$2,Int_Sample[Ore],Int_Sample[Inc])) = 0, "YES", "NO"),"")</f>
        <v/>
      </c>
      <c r="I27" s="32" t="str">
        <f>TEXT(HLG_04[[#This Row],[Batch]],"000")&amp; " / " &amp; TEXT(HLG_04[[#This Row],[Rit]],"000")</f>
        <v>N/A / 000</v>
      </c>
      <c r="J27" s="34"/>
      <c r="K27" s="38"/>
      <c r="L27" s="35"/>
      <c r="M27" s="85"/>
      <c r="N27" s="85"/>
      <c r="O27" s="85"/>
      <c r="P27" s="85"/>
      <c r="Q27" s="85"/>
      <c r="R27" s="85"/>
      <c r="S27" s="100"/>
      <c r="T27" s="100"/>
      <c r="U27" s="85"/>
      <c r="V27" s="85"/>
      <c r="W27" s="85"/>
      <c r="X27" s="85"/>
      <c r="AP27" t="str">
        <v/>
      </c>
    </row>
    <row r="28" spans="4:42" ht="15.75" x14ac:dyDescent="0.25">
      <c r="D28" s="3">
        <v>1</v>
      </c>
      <c r="F28" s="16" t="str" cm="1">
        <f t="array" ref="F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" s="31" cm="1">
        <f t="array" ref="G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" s="33" t="str">
        <f>_xlfn.IFNA(IF(MOD(HLG_04[[#This Row],[Rit]],
    _xlfn.XLOOKUP($G$2,Int_Sample[Ore],Int_Sample[Inc])) = 0, "YES", "NO"),"")</f>
        <v/>
      </c>
      <c r="I28" s="32" t="str">
        <f>TEXT(HLG_04[[#This Row],[Batch]],"000")&amp; " / " &amp; TEXT(HLG_04[[#This Row],[Rit]],"000")</f>
        <v>N/A / 000</v>
      </c>
      <c r="J28" s="34"/>
      <c r="K28" s="38"/>
      <c r="L28" s="35"/>
      <c r="M28" s="85"/>
      <c r="N28" s="85"/>
      <c r="O28" s="85"/>
      <c r="P28" s="85"/>
      <c r="Q28" s="85"/>
      <c r="R28" s="85"/>
      <c r="S28" s="100"/>
      <c r="T28" s="100"/>
      <c r="U28" s="85"/>
      <c r="V28" s="85"/>
      <c r="W28" s="85"/>
      <c r="X28" s="85"/>
      <c r="AP28" t="str">
        <v/>
      </c>
    </row>
    <row r="29" spans="4:42" ht="15.75" x14ac:dyDescent="0.25">
      <c r="D29" s="3">
        <v>1</v>
      </c>
      <c r="F29" s="16" t="str" cm="1">
        <f t="array" ref="F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" s="31" cm="1">
        <f t="array" ref="G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" s="33" t="str">
        <f>_xlfn.IFNA(IF(MOD(HLG_04[[#This Row],[Rit]],
    _xlfn.XLOOKUP($G$2,Int_Sample[Ore],Int_Sample[Inc])) = 0, "YES", "NO"),"")</f>
        <v/>
      </c>
      <c r="I29" s="32" t="str">
        <f>TEXT(HLG_04[[#This Row],[Batch]],"000")&amp; " / " &amp; TEXT(HLG_04[[#This Row],[Rit]],"000")</f>
        <v>N/A / 000</v>
      </c>
      <c r="J29" s="34"/>
      <c r="K29" s="38"/>
      <c r="L29" s="35"/>
      <c r="M29" s="85"/>
      <c r="N29" s="85"/>
      <c r="O29" s="85"/>
      <c r="P29" s="85"/>
      <c r="Q29" s="85"/>
      <c r="R29" s="85"/>
      <c r="S29" s="100"/>
      <c r="T29" s="100"/>
      <c r="U29" s="85"/>
      <c r="V29" s="85"/>
      <c r="W29" s="85"/>
      <c r="X29" s="85"/>
      <c r="AP29" t="str">
        <v/>
      </c>
    </row>
    <row r="30" spans="4:42" ht="15.75" x14ac:dyDescent="0.25">
      <c r="D30" s="3">
        <v>1</v>
      </c>
      <c r="F30" s="16" t="str" cm="1">
        <f t="array" ref="F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" s="31" cm="1">
        <f t="array" ref="G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" s="33" t="str">
        <f>_xlfn.IFNA(IF(MOD(HLG_04[[#This Row],[Rit]],
    _xlfn.XLOOKUP($G$2,Int_Sample[Ore],Int_Sample[Inc])) = 0, "YES", "NO"),"")</f>
        <v/>
      </c>
      <c r="I30" s="32" t="str">
        <f>TEXT(HLG_04[[#This Row],[Batch]],"000")&amp; " / " &amp; TEXT(HLG_04[[#This Row],[Rit]],"000")</f>
        <v>N/A / 000</v>
      </c>
      <c r="J30" s="34"/>
      <c r="K30" s="38"/>
      <c r="L30" s="35"/>
      <c r="M30" s="85"/>
      <c r="N30" s="85"/>
      <c r="O30" s="85"/>
      <c r="P30" s="85"/>
      <c r="Q30" s="85"/>
      <c r="R30" s="85"/>
      <c r="S30" s="100"/>
      <c r="T30" s="100"/>
      <c r="U30" s="85"/>
      <c r="V30" s="85"/>
      <c r="W30" s="85"/>
      <c r="X30" s="85"/>
      <c r="AP30" t="str">
        <v/>
      </c>
    </row>
    <row r="31" spans="4:42" ht="15.75" x14ac:dyDescent="0.25">
      <c r="D31" s="3">
        <v>1</v>
      </c>
      <c r="F31" s="16" t="str" cm="1">
        <f t="array" ref="F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" s="31" cm="1">
        <f t="array" ref="G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" s="33" t="str">
        <f>_xlfn.IFNA(IF(MOD(HLG_04[[#This Row],[Rit]],
    _xlfn.XLOOKUP($G$2,Int_Sample[Ore],Int_Sample[Inc])) = 0, "YES", "NO"),"")</f>
        <v/>
      </c>
      <c r="I31" s="32" t="str">
        <f>TEXT(HLG_04[[#This Row],[Batch]],"000")&amp; " / " &amp; TEXT(HLG_04[[#This Row],[Rit]],"000")</f>
        <v>N/A / 000</v>
      </c>
      <c r="J31" s="34"/>
      <c r="K31" s="38"/>
      <c r="L31" s="35"/>
      <c r="M31" s="85"/>
      <c r="N31" s="85"/>
      <c r="O31" s="85"/>
      <c r="P31" s="85"/>
      <c r="Q31" s="85"/>
      <c r="R31" s="85"/>
      <c r="S31" s="100"/>
      <c r="T31" s="100"/>
      <c r="U31" s="85"/>
      <c r="V31" s="85"/>
      <c r="W31" s="85"/>
      <c r="X31" s="85"/>
      <c r="AP31" t="str">
        <v/>
      </c>
    </row>
    <row r="32" spans="4:42" ht="15.75" x14ac:dyDescent="0.25">
      <c r="D32" s="3">
        <v>1</v>
      </c>
      <c r="F32" s="16" t="str" cm="1">
        <f t="array" ref="F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" s="31" cm="1">
        <f t="array" ref="G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" s="33" t="str">
        <f>_xlfn.IFNA(IF(MOD(HLG_04[[#This Row],[Rit]],
    _xlfn.XLOOKUP($G$2,Int_Sample[Ore],Int_Sample[Inc])) = 0, "YES", "NO"),"")</f>
        <v/>
      </c>
      <c r="I32" s="32" t="str">
        <f>TEXT(HLG_04[[#This Row],[Batch]],"000")&amp; " / " &amp; TEXT(HLG_04[[#This Row],[Rit]],"000")</f>
        <v>N/A / 000</v>
      </c>
      <c r="J32" s="34"/>
      <c r="K32" s="38"/>
      <c r="L32" s="35"/>
      <c r="M32" s="85"/>
      <c r="N32" s="85"/>
      <c r="O32" s="85"/>
      <c r="P32" s="85"/>
      <c r="Q32" s="85"/>
      <c r="R32" s="85"/>
      <c r="S32" s="100"/>
      <c r="T32" s="100"/>
      <c r="U32" s="85"/>
      <c r="V32" s="85"/>
      <c r="W32" s="85"/>
      <c r="X32" s="85"/>
      <c r="AP32" t="str">
        <v/>
      </c>
    </row>
    <row r="33" spans="4:42" ht="15.75" x14ac:dyDescent="0.25">
      <c r="D33" s="3">
        <v>1</v>
      </c>
      <c r="F33" s="16" t="str" cm="1">
        <f t="array" ref="F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" s="31" cm="1">
        <f t="array" ref="G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" s="33" t="str">
        <f>_xlfn.IFNA(IF(MOD(HLG_04[[#This Row],[Rit]],
    _xlfn.XLOOKUP($G$2,Int_Sample[Ore],Int_Sample[Inc])) = 0, "YES", "NO"),"")</f>
        <v/>
      </c>
      <c r="I33" s="32" t="str">
        <f>TEXT(HLG_04[[#This Row],[Batch]],"000")&amp; " / " &amp; TEXT(HLG_04[[#This Row],[Rit]],"000")</f>
        <v>N/A / 000</v>
      </c>
      <c r="J33" s="34"/>
      <c r="K33" s="38"/>
      <c r="L33" s="35"/>
      <c r="M33" s="85"/>
      <c r="N33" s="85"/>
      <c r="O33" s="85"/>
      <c r="P33" s="85"/>
      <c r="Q33" s="85"/>
      <c r="R33" s="85"/>
      <c r="S33" s="100"/>
      <c r="T33" s="100"/>
      <c r="U33" s="85"/>
      <c r="V33" s="85"/>
      <c r="W33" s="85"/>
      <c r="X33" s="85"/>
      <c r="AP33" t="str">
        <v/>
      </c>
    </row>
    <row r="34" spans="4:42" ht="15.75" x14ac:dyDescent="0.25">
      <c r="D34" s="3">
        <v>1</v>
      </c>
      <c r="F34" s="16" t="str" cm="1">
        <f t="array" ref="F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" s="31" cm="1">
        <f t="array" ref="G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" s="33" t="str">
        <f>_xlfn.IFNA(IF(MOD(HLG_04[[#This Row],[Rit]],
    _xlfn.XLOOKUP($G$2,Int_Sample[Ore],Int_Sample[Inc])) = 0, "YES", "NO"),"")</f>
        <v/>
      </c>
      <c r="I34" s="32" t="str">
        <f>TEXT(HLG_04[[#This Row],[Batch]],"000")&amp; " / " &amp; TEXT(HLG_04[[#This Row],[Rit]],"000")</f>
        <v>N/A / 000</v>
      </c>
      <c r="J34" s="34"/>
      <c r="K34" s="38"/>
      <c r="L34" s="35"/>
      <c r="M34" s="85"/>
      <c r="N34" s="85"/>
      <c r="O34" s="85"/>
      <c r="P34" s="85"/>
      <c r="Q34" s="85"/>
      <c r="R34" s="85"/>
      <c r="S34" s="100"/>
      <c r="T34" s="100"/>
      <c r="U34" s="85"/>
      <c r="V34" s="85"/>
      <c r="W34" s="85"/>
      <c r="X34" s="85"/>
      <c r="AP34" t="str">
        <v/>
      </c>
    </row>
    <row r="35" spans="4:42" ht="15.75" x14ac:dyDescent="0.25">
      <c r="D35" s="3">
        <v>1</v>
      </c>
      <c r="F35" s="16" t="str" cm="1">
        <f t="array" ref="F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" s="31" cm="1">
        <f t="array" ref="G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" s="33" t="str">
        <f>_xlfn.IFNA(IF(MOD(HLG_04[[#This Row],[Rit]],
    _xlfn.XLOOKUP($G$2,Int_Sample[Ore],Int_Sample[Inc])) = 0, "YES", "NO"),"")</f>
        <v/>
      </c>
      <c r="I35" s="32" t="str">
        <f>TEXT(HLG_04[[#This Row],[Batch]],"000")&amp; " / " &amp; TEXT(HLG_04[[#This Row],[Rit]],"000")</f>
        <v>N/A / 000</v>
      </c>
      <c r="J35" s="34"/>
      <c r="K35" s="38"/>
      <c r="L35" s="35"/>
      <c r="M35" s="85"/>
      <c r="N35" s="85"/>
      <c r="O35" s="85"/>
      <c r="P35" s="85"/>
      <c r="Q35" s="85"/>
      <c r="R35" s="85"/>
      <c r="S35" s="100"/>
      <c r="T35" s="100"/>
      <c r="U35" s="85"/>
      <c r="V35" s="85"/>
      <c r="W35" s="85"/>
      <c r="X35" s="85"/>
      <c r="AP35" t="str">
        <v/>
      </c>
    </row>
    <row r="36" spans="4:42" ht="15.75" x14ac:dyDescent="0.25">
      <c r="D36" s="3">
        <v>1</v>
      </c>
      <c r="F36" s="16" t="str" cm="1">
        <f t="array" ref="F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" s="31" cm="1">
        <f t="array" ref="G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" s="33" t="str">
        <f>_xlfn.IFNA(IF(MOD(HLG_04[[#This Row],[Rit]],
    _xlfn.XLOOKUP($G$2,Int_Sample[Ore],Int_Sample[Inc])) = 0, "YES", "NO"),"")</f>
        <v/>
      </c>
      <c r="I36" s="32" t="str">
        <f>TEXT(HLG_04[[#This Row],[Batch]],"000")&amp; " / " &amp; TEXT(HLG_04[[#This Row],[Rit]],"000")</f>
        <v>N/A / 000</v>
      </c>
      <c r="J36" s="34"/>
      <c r="K36" s="38"/>
      <c r="L36" s="35"/>
      <c r="M36" s="85"/>
      <c r="N36" s="85"/>
      <c r="O36" s="85"/>
      <c r="P36" s="85"/>
      <c r="Q36" s="85"/>
      <c r="R36" s="85"/>
      <c r="S36" s="100"/>
      <c r="T36" s="100"/>
      <c r="U36" s="85"/>
      <c r="V36" s="85"/>
      <c r="W36" s="85"/>
      <c r="X36" s="85"/>
      <c r="AP36" t="str">
        <v/>
      </c>
    </row>
    <row r="37" spans="4:42" ht="15.75" x14ac:dyDescent="0.25">
      <c r="D37" s="3">
        <v>1</v>
      </c>
      <c r="F37" s="16" t="str" cm="1">
        <f t="array" ref="F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" s="31" cm="1">
        <f t="array" ref="G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" s="33" t="str">
        <f>_xlfn.IFNA(IF(MOD(HLG_04[[#This Row],[Rit]],
    _xlfn.XLOOKUP($G$2,Int_Sample[Ore],Int_Sample[Inc])) = 0, "YES", "NO"),"")</f>
        <v/>
      </c>
      <c r="I37" s="32" t="str">
        <f>TEXT(HLG_04[[#This Row],[Batch]],"000")&amp; " / " &amp; TEXT(HLG_04[[#This Row],[Rit]],"000")</f>
        <v>N/A / 000</v>
      </c>
      <c r="J37" s="34"/>
      <c r="K37" s="38"/>
      <c r="L37" s="35"/>
      <c r="M37" s="85"/>
      <c r="N37" s="85"/>
      <c r="O37" s="85"/>
      <c r="P37" s="85"/>
      <c r="Q37" s="85"/>
      <c r="R37" s="85"/>
      <c r="S37" s="100"/>
      <c r="T37" s="100"/>
      <c r="U37" s="85"/>
      <c r="V37" s="85"/>
      <c r="W37" s="85"/>
      <c r="X37" s="85"/>
      <c r="AP37" t="str">
        <v/>
      </c>
    </row>
    <row r="38" spans="4:42" ht="15.75" x14ac:dyDescent="0.25">
      <c r="D38" s="3">
        <v>1</v>
      </c>
      <c r="F38" s="16" t="str" cm="1">
        <f t="array" ref="F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" s="31" cm="1">
        <f t="array" ref="G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" s="33" t="str">
        <f>_xlfn.IFNA(IF(MOD(HLG_04[[#This Row],[Rit]],
    _xlfn.XLOOKUP($G$2,Int_Sample[Ore],Int_Sample[Inc])) = 0, "YES", "NO"),"")</f>
        <v/>
      </c>
      <c r="I38" s="32" t="str">
        <f>TEXT(HLG_04[[#This Row],[Batch]],"000")&amp; " / " &amp; TEXT(HLG_04[[#This Row],[Rit]],"000")</f>
        <v>N/A / 000</v>
      </c>
      <c r="J38" s="34"/>
      <c r="K38" s="38"/>
      <c r="L38" s="35"/>
      <c r="M38" s="85"/>
      <c r="N38" s="85"/>
      <c r="O38" s="85"/>
      <c r="P38" s="85"/>
      <c r="Q38" s="85"/>
      <c r="R38" s="85"/>
      <c r="S38" s="100"/>
      <c r="T38" s="100"/>
      <c r="U38" s="85"/>
      <c r="V38" s="85"/>
      <c r="W38" s="85"/>
      <c r="X38" s="85"/>
      <c r="AP38" t="str">
        <v/>
      </c>
    </row>
    <row r="39" spans="4:42" ht="15.75" x14ac:dyDescent="0.25">
      <c r="D39" s="3">
        <v>1</v>
      </c>
      <c r="F39" s="16" t="str" cm="1">
        <f t="array" ref="F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" s="31" cm="1">
        <f t="array" ref="G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" s="33" t="str">
        <f>_xlfn.IFNA(IF(MOD(HLG_04[[#This Row],[Rit]],
    _xlfn.XLOOKUP($G$2,Int_Sample[Ore],Int_Sample[Inc])) = 0, "YES", "NO"),"")</f>
        <v/>
      </c>
      <c r="I39" s="32" t="str">
        <f>TEXT(HLG_04[[#This Row],[Batch]],"000")&amp; " / " &amp; TEXT(HLG_04[[#This Row],[Rit]],"000")</f>
        <v>N/A / 000</v>
      </c>
      <c r="J39" s="34"/>
      <c r="K39" s="38"/>
      <c r="L39" s="35"/>
      <c r="M39" s="85"/>
      <c r="N39" s="85"/>
      <c r="O39" s="85"/>
      <c r="P39" s="85"/>
      <c r="Q39" s="85"/>
      <c r="R39" s="85"/>
      <c r="S39" s="100"/>
      <c r="T39" s="100"/>
      <c r="U39" s="85"/>
      <c r="V39" s="85"/>
      <c r="W39" s="85"/>
      <c r="X39" s="85"/>
      <c r="AP39" t="str">
        <v/>
      </c>
    </row>
    <row r="40" spans="4:42" ht="15.75" x14ac:dyDescent="0.25">
      <c r="D40" s="3">
        <v>1</v>
      </c>
      <c r="F40" s="16" t="str" cm="1">
        <f t="array" ref="F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" s="31" cm="1">
        <f t="array" ref="G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" s="33" t="str">
        <f>_xlfn.IFNA(IF(MOD(HLG_04[[#This Row],[Rit]],
    _xlfn.XLOOKUP($G$2,Int_Sample[Ore],Int_Sample[Inc])) = 0, "YES", "NO"),"")</f>
        <v/>
      </c>
      <c r="I40" s="32" t="str">
        <f>TEXT(HLG_04[[#This Row],[Batch]],"000")&amp; " / " &amp; TEXT(HLG_04[[#This Row],[Rit]],"000")</f>
        <v>N/A / 000</v>
      </c>
      <c r="J40" s="34"/>
      <c r="K40" s="38"/>
      <c r="L40" s="35"/>
      <c r="M40" s="85"/>
      <c r="N40" s="85"/>
      <c r="O40" s="85"/>
      <c r="P40" s="85"/>
      <c r="Q40" s="85"/>
      <c r="R40" s="85"/>
      <c r="S40" s="100"/>
      <c r="T40" s="100"/>
      <c r="U40" s="85"/>
      <c r="V40" s="85"/>
      <c r="W40" s="85"/>
      <c r="X40" s="85"/>
      <c r="AP40" t="str">
        <v/>
      </c>
    </row>
    <row r="41" spans="4:42" ht="15.75" x14ac:dyDescent="0.25">
      <c r="D41" s="3">
        <v>1</v>
      </c>
      <c r="F41" s="16" t="str" cm="1">
        <f t="array" ref="F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" s="31" cm="1">
        <f t="array" ref="G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" s="33" t="str">
        <f>_xlfn.IFNA(IF(MOD(HLG_04[[#This Row],[Rit]],
    _xlfn.XLOOKUP($G$2,Int_Sample[Ore],Int_Sample[Inc])) = 0, "YES", "NO"),"")</f>
        <v/>
      </c>
      <c r="I41" s="32" t="str">
        <f>TEXT(HLG_04[[#This Row],[Batch]],"000")&amp; " / " &amp; TEXT(HLG_04[[#This Row],[Rit]],"000")</f>
        <v>N/A / 000</v>
      </c>
      <c r="J41" s="34"/>
      <c r="K41" s="38"/>
      <c r="L41" s="35"/>
      <c r="M41" s="85"/>
      <c r="N41" s="85"/>
      <c r="O41" s="85"/>
      <c r="P41" s="85"/>
      <c r="Q41" s="85"/>
      <c r="R41" s="85"/>
      <c r="S41" s="100"/>
      <c r="T41" s="100"/>
      <c r="U41" s="85"/>
      <c r="V41" s="85"/>
      <c r="W41" s="85"/>
      <c r="X41" s="85"/>
      <c r="AP41" t="str">
        <v/>
      </c>
    </row>
    <row r="42" spans="4:42" ht="15.75" x14ac:dyDescent="0.25">
      <c r="D42" s="3">
        <v>1</v>
      </c>
      <c r="F42" s="16" t="str" cm="1">
        <f t="array" ref="F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" s="31" cm="1">
        <f t="array" ref="G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" s="33" t="str">
        <f>_xlfn.IFNA(IF(MOD(HLG_04[[#This Row],[Rit]],
    _xlfn.XLOOKUP($G$2,Int_Sample[Ore],Int_Sample[Inc])) = 0, "YES", "NO"),"")</f>
        <v/>
      </c>
      <c r="I42" s="32" t="str">
        <f>TEXT(HLG_04[[#This Row],[Batch]],"000")&amp; " / " &amp; TEXT(HLG_04[[#This Row],[Rit]],"000")</f>
        <v>N/A / 000</v>
      </c>
      <c r="J42" s="34"/>
      <c r="K42" s="38"/>
      <c r="L42" s="35"/>
      <c r="M42" s="85"/>
      <c r="N42" s="85"/>
      <c r="O42" s="85"/>
      <c r="P42" s="85"/>
      <c r="Q42" s="85"/>
      <c r="R42" s="85"/>
      <c r="S42" s="100"/>
      <c r="T42" s="100"/>
      <c r="U42" s="85"/>
      <c r="V42" s="85"/>
      <c r="W42" s="85"/>
      <c r="X42" s="85"/>
      <c r="AP42" t="str">
        <v/>
      </c>
    </row>
    <row r="43" spans="4:42" ht="15.75" x14ac:dyDescent="0.25">
      <c r="D43" s="3">
        <v>1</v>
      </c>
      <c r="F43" s="16" t="str" cm="1">
        <f t="array" ref="F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" s="31" cm="1">
        <f t="array" ref="G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" s="33" t="str">
        <f>_xlfn.IFNA(IF(MOD(HLG_04[[#This Row],[Rit]],
    _xlfn.XLOOKUP($G$2,Int_Sample[Ore],Int_Sample[Inc])) = 0, "YES", "NO"),"")</f>
        <v/>
      </c>
      <c r="I43" s="32" t="str">
        <f>TEXT(HLG_04[[#This Row],[Batch]],"000")&amp; " / " &amp; TEXT(HLG_04[[#This Row],[Rit]],"000")</f>
        <v>N/A / 000</v>
      </c>
      <c r="J43" s="34"/>
      <c r="K43" s="38"/>
      <c r="L43" s="35"/>
      <c r="M43" s="85"/>
      <c r="N43" s="85"/>
      <c r="O43" s="85"/>
      <c r="P43" s="85"/>
      <c r="Q43" s="85"/>
      <c r="R43" s="85"/>
      <c r="S43" s="100"/>
      <c r="T43" s="100"/>
      <c r="U43" s="85"/>
      <c r="V43" s="85"/>
      <c r="W43" s="85"/>
      <c r="X43" s="85"/>
      <c r="AP43" t="str">
        <v/>
      </c>
    </row>
    <row r="44" spans="4:42" ht="15.75" x14ac:dyDescent="0.25">
      <c r="D44" s="3">
        <v>1</v>
      </c>
      <c r="F44" s="16" t="str" cm="1">
        <f t="array" ref="F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" s="31" cm="1">
        <f t="array" ref="G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" s="33" t="str">
        <f>_xlfn.IFNA(IF(MOD(HLG_04[[#This Row],[Rit]],
    _xlfn.XLOOKUP($G$2,Int_Sample[Ore],Int_Sample[Inc])) = 0, "YES", "NO"),"")</f>
        <v/>
      </c>
      <c r="I44" s="32" t="str">
        <f>TEXT(HLG_04[[#This Row],[Batch]],"000")&amp; " / " &amp; TEXT(HLG_04[[#This Row],[Rit]],"000")</f>
        <v>N/A / 000</v>
      </c>
      <c r="J44" s="34"/>
      <c r="K44" s="38"/>
      <c r="L44" s="35"/>
      <c r="M44" s="85"/>
      <c r="N44" s="85"/>
      <c r="O44" s="85"/>
      <c r="P44" s="85"/>
      <c r="Q44" s="85"/>
      <c r="R44" s="85"/>
      <c r="S44" s="100"/>
      <c r="T44" s="100"/>
      <c r="U44" s="85"/>
      <c r="V44" s="85"/>
      <c r="W44" s="85"/>
      <c r="X44" s="85"/>
      <c r="AP44" t="str">
        <v/>
      </c>
    </row>
    <row r="45" spans="4:42" ht="15.75" x14ac:dyDescent="0.25">
      <c r="D45" s="3">
        <v>1</v>
      </c>
      <c r="F45" s="16" t="str" cm="1">
        <f t="array" ref="F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" s="31" cm="1">
        <f t="array" ref="G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" s="33" t="str">
        <f>_xlfn.IFNA(IF(MOD(HLG_04[[#This Row],[Rit]],
    _xlfn.XLOOKUP($G$2,Int_Sample[Ore],Int_Sample[Inc])) = 0, "YES", "NO"),"")</f>
        <v/>
      </c>
      <c r="I45" s="32" t="str">
        <f>TEXT(HLG_04[[#This Row],[Batch]],"000")&amp; " / " &amp; TEXT(HLG_04[[#This Row],[Rit]],"000")</f>
        <v>N/A / 000</v>
      </c>
      <c r="J45" s="34"/>
      <c r="K45" s="38"/>
      <c r="L45" s="35"/>
      <c r="M45" s="85"/>
      <c r="N45" s="85"/>
      <c r="O45" s="85"/>
      <c r="P45" s="85"/>
      <c r="Q45" s="85"/>
      <c r="R45" s="85"/>
      <c r="S45" s="100"/>
      <c r="T45" s="100"/>
      <c r="U45" s="85"/>
      <c r="V45" s="85"/>
      <c r="W45" s="85"/>
      <c r="X45" s="85"/>
      <c r="AP45" t="str">
        <v/>
      </c>
    </row>
    <row r="46" spans="4:42" ht="15.75" x14ac:dyDescent="0.25">
      <c r="D46" s="3">
        <v>1</v>
      </c>
      <c r="F46" s="16" t="str" cm="1">
        <f t="array" ref="F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" s="31" cm="1">
        <f t="array" ref="G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" s="33" t="str">
        <f>_xlfn.IFNA(IF(MOD(HLG_04[[#This Row],[Rit]],
    _xlfn.XLOOKUP($G$2,Int_Sample[Ore],Int_Sample[Inc])) = 0, "YES", "NO"),"")</f>
        <v/>
      </c>
      <c r="I46" s="32" t="str">
        <f>TEXT(HLG_04[[#This Row],[Batch]],"000")&amp; " / " &amp; TEXT(HLG_04[[#This Row],[Rit]],"000")</f>
        <v>N/A / 000</v>
      </c>
      <c r="J46" s="34"/>
      <c r="K46" s="38"/>
      <c r="L46" s="35"/>
      <c r="M46" s="85"/>
      <c r="N46" s="85"/>
      <c r="O46" s="85"/>
      <c r="P46" s="85"/>
      <c r="Q46" s="85"/>
      <c r="R46" s="85"/>
      <c r="S46" s="100"/>
      <c r="T46" s="100"/>
      <c r="U46" s="85"/>
      <c r="V46" s="85"/>
      <c r="W46" s="85"/>
      <c r="X46" s="85"/>
      <c r="AP46" t="str">
        <v/>
      </c>
    </row>
    <row r="47" spans="4:42" ht="15.75" x14ac:dyDescent="0.25">
      <c r="D47" s="3">
        <v>1</v>
      </c>
      <c r="F47" s="16" t="str" cm="1">
        <f t="array" ref="F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" s="31" cm="1">
        <f t="array" ref="G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" s="33" t="str">
        <f>_xlfn.IFNA(IF(MOD(HLG_04[[#This Row],[Rit]],
    _xlfn.XLOOKUP($G$2,Int_Sample[Ore],Int_Sample[Inc])) = 0, "YES", "NO"),"")</f>
        <v/>
      </c>
      <c r="I47" s="32" t="str">
        <f>TEXT(HLG_04[[#This Row],[Batch]],"000")&amp; " / " &amp; TEXT(HLG_04[[#This Row],[Rit]],"000")</f>
        <v>N/A / 000</v>
      </c>
      <c r="J47" s="34"/>
      <c r="K47" s="38"/>
      <c r="L47" s="35"/>
      <c r="M47" s="85"/>
      <c r="N47" s="85"/>
      <c r="O47" s="85"/>
      <c r="P47" s="85"/>
      <c r="Q47" s="85"/>
      <c r="R47" s="85"/>
      <c r="S47" s="100"/>
      <c r="T47" s="100"/>
      <c r="U47" s="85"/>
      <c r="V47" s="85"/>
      <c r="W47" s="85"/>
      <c r="X47" s="85"/>
      <c r="AP47" t="str">
        <v/>
      </c>
    </row>
    <row r="48" spans="4:42" ht="15.75" x14ac:dyDescent="0.25">
      <c r="D48" s="3">
        <v>1</v>
      </c>
      <c r="F48" s="16" t="str" cm="1">
        <f t="array" ref="F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" s="31" cm="1">
        <f t="array" ref="G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" s="33" t="str">
        <f>_xlfn.IFNA(IF(MOD(HLG_04[[#This Row],[Rit]],
    _xlfn.XLOOKUP($G$2,Int_Sample[Ore],Int_Sample[Inc])) = 0, "YES", "NO"),"")</f>
        <v/>
      </c>
      <c r="I48" s="32" t="str">
        <f>TEXT(HLG_04[[#This Row],[Batch]],"000")&amp; " / " &amp; TEXT(HLG_04[[#This Row],[Rit]],"000")</f>
        <v>N/A / 000</v>
      </c>
      <c r="J48" s="34"/>
      <c r="K48" s="38"/>
      <c r="L48" s="35"/>
      <c r="M48" s="85"/>
      <c r="N48" s="85"/>
      <c r="O48" s="85"/>
      <c r="P48" s="85"/>
      <c r="Q48" s="85"/>
      <c r="R48" s="85"/>
      <c r="S48" s="100"/>
      <c r="T48" s="100"/>
      <c r="U48" s="85"/>
      <c r="V48" s="85"/>
      <c r="W48" s="85"/>
      <c r="X48" s="85"/>
      <c r="AP48" t="str">
        <v/>
      </c>
    </row>
    <row r="49" spans="4:42" ht="15.75" x14ac:dyDescent="0.25">
      <c r="D49" s="3">
        <v>1</v>
      </c>
      <c r="F49" s="16" t="str" cm="1">
        <f t="array" ref="F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" s="31" cm="1">
        <f t="array" ref="G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" s="33" t="str">
        <f>_xlfn.IFNA(IF(MOD(HLG_04[[#This Row],[Rit]],
    _xlfn.XLOOKUP($G$2,Int_Sample[Ore],Int_Sample[Inc])) = 0, "YES", "NO"),"")</f>
        <v/>
      </c>
      <c r="I49" s="32" t="str">
        <f>TEXT(HLG_04[[#This Row],[Batch]],"000")&amp; " / " &amp; TEXT(HLG_04[[#This Row],[Rit]],"000")</f>
        <v>N/A / 000</v>
      </c>
      <c r="J49" s="34"/>
      <c r="K49" s="38"/>
      <c r="L49" s="35"/>
      <c r="M49" s="85"/>
      <c r="N49" s="85"/>
      <c r="O49" s="85"/>
      <c r="P49" s="85"/>
      <c r="Q49" s="85"/>
      <c r="R49" s="85"/>
      <c r="S49" s="100"/>
      <c r="T49" s="100"/>
      <c r="U49" s="85"/>
      <c r="V49" s="85"/>
      <c r="W49" s="85"/>
      <c r="X49" s="85"/>
      <c r="AP49" t="str">
        <v/>
      </c>
    </row>
    <row r="50" spans="4:42" ht="15.75" x14ac:dyDescent="0.25">
      <c r="D50" s="3">
        <v>1</v>
      </c>
      <c r="F50" s="16" t="str" cm="1">
        <f t="array" ref="F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" s="31" cm="1">
        <f t="array" ref="G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" s="33" t="str">
        <f>_xlfn.IFNA(IF(MOD(HLG_04[[#This Row],[Rit]],
    _xlfn.XLOOKUP($G$2,Int_Sample[Ore],Int_Sample[Inc])) = 0, "YES", "NO"),"")</f>
        <v/>
      </c>
      <c r="I50" s="32" t="str">
        <f>TEXT(HLG_04[[#This Row],[Batch]],"000")&amp; " / " &amp; TEXT(HLG_04[[#This Row],[Rit]],"000")</f>
        <v>N/A / 000</v>
      </c>
      <c r="J50" s="34"/>
      <c r="K50" s="38"/>
      <c r="L50" s="35"/>
      <c r="M50" s="85"/>
      <c r="N50" s="85"/>
      <c r="O50" s="85"/>
      <c r="P50" s="85"/>
      <c r="Q50" s="85"/>
      <c r="R50" s="85"/>
      <c r="S50" s="100"/>
      <c r="T50" s="100"/>
      <c r="U50" s="85"/>
      <c r="V50" s="85"/>
      <c r="W50" s="85"/>
      <c r="X50" s="85"/>
      <c r="AP50" t="str">
        <v/>
      </c>
    </row>
    <row r="51" spans="4:42" ht="15.75" x14ac:dyDescent="0.25">
      <c r="D51" s="3">
        <v>1</v>
      </c>
      <c r="F51" s="16" t="str" cm="1">
        <f t="array" ref="F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" s="31" cm="1">
        <f t="array" ref="G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" s="33" t="str">
        <f>_xlfn.IFNA(IF(MOD(HLG_04[[#This Row],[Rit]],
    _xlfn.XLOOKUP($G$2,Int_Sample[Ore],Int_Sample[Inc])) = 0, "YES", "NO"),"")</f>
        <v/>
      </c>
      <c r="I51" s="32" t="str">
        <f>TEXT(HLG_04[[#This Row],[Batch]],"000")&amp; " / " &amp; TEXT(HLG_04[[#This Row],[Rit]],"000")</f>
        <v>N/A / 000</v>
      </c>
      <c r="J51" s="34"/>
      <c r="K51" s="38"/>
      <c r="L51" s="35"/>
      <c r="M51" s="85"/>
      <c r="N51" s="85"/>
      <c r="O51" s="85"/>
      <c r="P51" s="85"/>
      <c r="Q51" s="85"/>
      <c r="R51" s="85"/>
      <c r="S51" s="100"/>
      <c r="T51" s="100"/>
      <c r="U51" s="85"/>
      <c r="V51" s="85"/>
      <c r="W51" s="85"/>
      <c r="X51" s="85"/>
      <c r="AP51" t="str">
        <v/>
      </c>
    </row>
    <row r="52" spans="4:42" ht="15.75" x14ac:dyDescent="0.25">
      <c r="D52" s="3">
        <v>1</v>
      </c>
      <c r="F52" s="16" t="str" cm="1">
        <f t="array" ref="F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" s="31" cm="1">
        <f t="array" ref="G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" s="33" t="str">
        <f>_xlfn.IFNA(IF(MOD(HLG_04[[#This Row],[Rit]],
    _xlfn.XLOOKUP($G$2,Int_Sample[Ore],Int_Sample[Inc])) = 0, "YES", "NO"),"")</f>
        <v/>
      </c>
      <c r="I52" s="32" t="str">
        <f>TEXT(HLG_04[[#This Row],[Batch]],"000")&amp; " / " &amp; TEXT(HLG_04[[#This Row],[Rit]],"000")</f>
        <v>N/A / 000</v>
      </c>
      <c r="J52" s="34"/>
      <c r="K52" s="38"/>
      <c r="L52" s="35"/>
      <c r="M52" s="85"/>
      <c r="N52" s="85"/>
      <c r="O52" s="85"/>
      <c r="P52" s="85"/>
      <c r="Q52" s="85"/>
      <c r="R52" s="85"/>
      <c r="S52" s="100"/>
      <c r="T52" s="100"/>
      <c r="U52" s="85"/>
      <c r="V52" s="85"/>
      <c r="W52" s="85"/>
      <c r="X52" s="85"/>
      <c r="AP52" t="str">
        <v/>
      </c>
    </row>
    <row r="53" spans="4:42" ht="15.75" x14ac:dyDescent="0.25">
      <c r="D53" s="3">
        <v>1</v>
      </c>
      <c r="F53" s="16" t="str" cm="1">
        <f t="array" ref="F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" s="31" cm="1">
        <f t="array" ref="G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" s="33" t="str">
        <f>_xlfn.IFNA(IF(MOD(HLG_04[[#This Row],[Rit]],
    _xlfn.XLOOKUP($G$2,Int_Sample[Ore],Int_Sample[Inc])) = 0, "YES", "NO"),"")</f>
        <v/>
      </c>
      <c r="I53" s="32" t="str">
        <f>TEXT(HLG_04[[#This Row],[Batch]],"000")&amp; " / " &amp; TEXT(HLG_04[[#This Row],[Rit]],"000")</f>
        <v>N/A / 000</v>
      </c>
      <c r="J53" s="34"/>
      <c r="K53" s="38"/>
      <c r="L53" s="35"/>
      <c r="M53" s="85"/>
      <c r="N53" s="85"/>
      <c r="O53" s="85"/>
      <c r="P53" s="85"/>
      <c r="Q53" s="85"/>
      <c r="R53" s="85"/>
      <c r="S53" s="100"/>
      <c r="T53" s="100"/>
      <c r="U53" s="85"/>
      <c r="V53" s="85"/>
      <c r="W53" s="85"/>
      <c r="X53" s="85"/>
      <c r="AP53" t="str">
        <v/>
      </c>
    </row>
    <row r="54" spans="4:42" ht="15.75" x14ac:dyDescent="0.25">
      <c r="D54" s="3">
        <v>1</v>
      </c>
      <c r="F54" s="16" t="str" cm="1">
        <f t="array" ref="F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" s="31" cm="1">
        <f t="array" ref="G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" s="33" t="str">
        <f>_xlfn.IFNA(IF(MOD(HLG_04[[#This Row],[Rit]],
    _xlfn.XLOOKUP($G$2,Int_Sample[Ore],Int_Sample[Inc])) = 0, "YES", "NO"),"")</f>
        <v/>
      </c>
      <c r="I54" s="32" t="str">
        <f>TEXT(HLG_04[[#This Row],[Batch]],"000")&amp; " / " &amp; TEXT(HLG_04[[#This Row],[Rit]],"000")</f>
        <v>N/A / 000</v>
      </c>
      <c r="J54" s="34"/>
      <c r="K54" s="38"/>
      <c r="L54" s="35"/>
      <c r="M54" s="85"/>
      <c r="N54" s="85"/>
      <c r="O54" s="85"/>
      <c r="P54" s="85"/>
      <c r="Q54" s="85"/>
      <c r="R54" s="85"/>
      <c r="S54" s="100"/>
      <c r="T54" s="100"/>
      <c r="U54" s="85"/>
      <c r="V54" s="85"/>
      <c r="W54" s="85"/>
      <c r="X54" s="85"/>
      <c r="AP54" t="str">
        <v/>
      </c>
    </row>
    <row r="55" spans="4:42" ht="15.75" x14ac:dyDescent="0.25">
      <c r="D55" s="3">
        <v>1</v>
      </c>
      <c r="F55" s="16" t="str" cm="1">
        <f t="array" ref="F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" s="31" cm="1">
        <f t="array" ref="G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" s="33" t="str">
        <f>_xlfn.IFNA(IF(MOD(HLG_04[[#This Row],[Rit]],
    _xlfn.XLOOKUP($G$2,Int_Sample[Ore],Int_Sample[Inc])) = 0, "YES", "NO"),"")</f>
        <v/>
      </c>
      <c r="I55" s="32" t="str">
        <f>TEXT(HLG_04[[#This Row],[Batch]],"000")&amp; " / " &amp; TEXT(HLG_04[[#This Row],[Rit]],"000")</f>
        <v>N/A / 000</v>
      </c>
      <c r="J55" s="34"/>
      <c r="K55" s="38"/>
      <c r="L55" s="35"/>
      <c r="M55" s="85"/>
      <c r="N55" s="85"/>
      <c r="O55" s="85"/>
      <c r="P55" s="85"/>
      <c r="Q55" s="85"/>
      <c r="R55" s="85"/>
      <c r="S55" s="100"/>
      <c r="T55" s="100"/>
      <c r="U55" s="85"/>
      <c r="V55" s="85"/>
      <c r="W55" s="85"/>
      <c r="X55" s="85"/>
      <c r="AP55" t="str">
        <v/>
      </c>
    </row>
    <row r="56" spans="4:42" ht="15.75" x14ac:dyDescent="0.25">
      <c r="D56" s="3">
        <v>1</v>
      </c>
      <c r="F56" s="16" t="str" cm="1">
        <f t="array" ref="F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" s="31" cm="1">
        <f t="array" ref="G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" s="33" t="str">
        <f>_xlfn.IFNA(IF(MOD(HLG_04[[#This Row],[Rit]],
    _xlfn.XLOOKUP($G$2,Int_Sample[Ore],Int_Sample[Inc])) = 0, "YES", "NO"),"")</f>
        <v/>
      </c>
      <c r="I56" s="32" t="str">
        <f>TEXT(HLG_04[[#This Row],[Batch]],"000")&amp; " / " &amp; TEXT(HLG_04[[#This Row],[Rit]],"000")</f>
        <v>N/A / 000</v>
      </c>
      <c r="J56" s="34"/>
      <c r="K56" s="38"/>
      <c r="L56" s="35"/>
      <c r="M56" s="85"/>
      <c r="N56" s="85"/>
      <c r="O56" s="85"/>
      <c r="P56" s="85"/>
      <c r="Q56" s="85"/>
      <c r="R56" s="85"/>
      <c r="S56" s="100"/>
      <c r="T56" s="100"/>
      <c r="U56" s="85"/>
      <c r="V56" s="85"/>
      <c r="W56" s="85"/>
      <c r="X56" s="85"/>
      <c r="AP56" t="str">
        <v/>
      </c>
    </row>
    <row r="57" spans="4:42" ht="15.75" x14ac:dyDescent="0.25">
      <c r="D57" s="3">
        <v>1</v>
      </c>
      <c r="F57" s="16" t="str" cm="1">
        <f t="array" ref="F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" s="31" cm="1">
        <f t="array" ref="G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" s="33" t="str">
        <f>_xlfn.IFNA(IF(MOD(HLG_04[[#This Row],[Rit]],
    _xlfn.XLOOKUP($G$2,Int_Sample[Ore],Int_Sample[Inc])) = 0, "YES", "NO"),"")</f>
        <v/>
      </c>
      <c r="I57" s="32" t="str">
        <f>TEXT(HLG_04[[#This Row],[Batch]],"000")&amp; " / " &amp; TEXT(HLG_04[[#This Row],[Rit]],"000")</f>
        <v>N/A / 000</v>
      </c>
      <c r="J57" s="34"/>
      <c r="K57" s="38"/>
      <c r="L57" s="35"/>
      <c r="M57" s="85"/>
      <c r="N57" s="85"/>
      <c r="O57" s="85"/>
      <c r="P57" s="85"/>
      <c r="Q57" s="85"/>
      <c r="R57" s="85"/>
      <c r="S57" s="100"/>
      <c r="T57" s="100"/>
      <c r="U57" s="85"/>
      <c r="V57" s="85"/>
      <c r="W57" s="85"/>
      <c r="X57" s="85"/>
      <c r="AP57" t="str">
        <v/>
      </c>
    </row>
    <row r="58" spans="4:42" ht="15.75" x14ac:dyDescent="0.25">
      <c r="D58" s="3">
        <v>1</v>
      </c>
      <c r="F58" s="16" t="str" cm="1">
        <f t="array" ref="F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" s="31" cm="1">
        <f t="array" ref="G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" s="33" t="str">
        <f>_xlfn.IFNA(IF(MOD(HLG_04[[#This Row],[Rit]],
    _xlfn.XLOOKUP($G$2,Int_Sample[Ore],Int_Sample[Inc])) = 0, "YES", "NO"),"")</f>
        <v/>
      </c>
      <c r="I58" s="32" t="str">
        <f>TEXT(HLG_04[[#This Row],[Batch]],"000")&amp; " / " &amp; TEXT(HLG_04[[#This Row],[Rit]],"000")</f>
        <v>N/A / 000</v>
      </c>
      <c r="J58" s="34"/>
      <c r="K58" s="38"/>
      <c r="L58" s="35"/>
      <c r="M58" s="85"/>
      <c r="N58" s="85"/>
      <c r="O58" s="85"/>
      <c r="P58" s="85"/>
      <c r="Q58" s="85"/>
      <c r="R58" s="85"/>
      <c r="S58" s="100"/>
      <c r="T58" s="100"/>
      <c r="U58" s="85"/>
      <c r="V58" s="85"/>
      <c r="W58" s="85"/>
      <c r="X58" s="85"/>
      <c r="AP58" t="str">
        <v/>
      </c>
    </row>
    <row r="59" spans="4:42" ht="15.75" x14ac:dyDescent="0.25">
      <c r="D59" s="3">
        <v>1</v>
      </c>
      <c r="F59" s="16" t="str" cm="1">
        <f t="array" ref="F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" s="31" cm="1">
        <f t="array" ref="G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" s="33" t="str">
        <f>_xlfn.IFNA(IF(MOD(HLG_04[[#This Row],[Rit]],
    _xlfn.XLOOKUP($G$2,Int_Sample[Ore],Int_Sample[Inc])) = 0, "YES", "NO"),"")</f>
        <v/>
      </c>
      <c r="I59" s="32" t="str">
        <f>TEXT(HLG_04[[#This Row],[Batch]],"000")&amp; " / " &amp; TEXT(HLG_04[[#This Row],[Rit]],"000")</f>
        <v>N/A / 000</v>
      </c>
      <c r="J59" s="34"/>
      <c r="K59" s="38"/>
      <c r="L59" s="35"/>
      <c r="M59" s="85"/>
      <c r="N59" s="85"/>
      <c r="O59" s="85"/>
      <c r="P59" s="85"/>
      <c r="Q59" s="85"/>
      <c r="R59" s="85"/>
      <c r="S59" s="100"/>
      <c r="T59" s="100"/>
      <c r="U59" s="85"/>
      <c r="V59" s="85"/>
      <c r="W59" s="85"/>
      <c r="X59" s="85"/>
      <c r="AP59" t="str">
        <v/>
      </c>
    </row>
    <row r="60" spans="4:42" ht="15.75" x14ac:dyDescent="0.25">
      <c r="D60" s="3">
        <v>1</v>
      </c>
      <c r="F60" s="16" t="str" cm="1">
        <f t="array" ref="F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" s="31" cm="1">
        <f t="array" ref="G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" s="33" t="str">
        <f>_xlfn.IFNA(IF(MOD(HLG_04[[#This Row],[Rit]],
    _xlfn.XLOOKUP($G$2,Int_Sample[Ore],Int_Sample[Inc])) = 0, "YES", "NO"),"")</f>
        <v/>
      </c>
      <c r="I60" s="32" t="str">
        <f>TEXT(HLG_04[[#This Row],[Batch]],"000")&amp; " / " &amp; TEXT(HLG_04[[#This Row],[Rit]],"000")</f>
        <v>N/A / 000</v>
      </c>
      <c r="J60" s="34"/>
      <c r="K60" s="38"/>
      <c r="L60" s="35"/>
      <c r="M60" s="85"/>
      <c r="N60" s="85"/>
      <c r="O60" s="85"/>
      <c r="P60" s="85"/>
      <c r="Q60" s="85"/>
      <c r="R60" s="85"/>
      <c r="S60" s="100"/>
      <c r="T60" s="100"/>
      <c r="U60" s="85"/>
      <c r="V60" s="85"/>
      <c r="W60" s="85"/>
      <c r="X60" s="85"/>
      <c r="AP60" t="str">
        <v/>
      </c>
    </row>
    <row r="61" spans="4:42" ht="15.75" x14ac:dyDescent="0.25">
      <c r="D61" s="3">
        <v>1</v>
      </c>
      <c r="F61" s="16" t="str" cm="1">
        <f t="array" ref="F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" s="31" cm="1">
        <f t="array" ref="G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" s="33" t="str">
        <f>_xlfn.IFNA(IF(MOD(HLG_04[[#This Row],[Rit]],
    _xlfn.XLOOKUP($G$2,Int_Sample[Ore],Int_Sample[Inc])) = 0, "YES", "NO"),"")</f>
        <v/>
      </c>
      <c r="I61" s="32" t="str">
        <f>TEXT(HLG_04[[#This Row],[Batch]],"000")&amp; " / " &amp; TEXT(HLG_04[[#This Row],[Rit]],"000")</f>
        <v>N/A / 000</v>
      </c>
      <c r="J61" s="34"/>
      <c r="K61" s="38"/>
      <c r="L61" s="35"/>
      <c r="M61" s="85"/>
      <c r="N61" s="85"/>
      <c r="O61" s="85"/>
      <c r="P61" s="85"/>
      <c r="Q61" s="85"/>
      <c r="R61" s="85"/>
      <c r="S61" s="100"/>
      <c r="T61" s="100"/>
      <c r="U61" s="85"/>
      <c r="V61" s="85"/>
      <c r="W61" s="85"/>
      <c r="X61" s="85"/>
      <c r="AP61" t="str">
        <v/>
      </c>
    </row>
    <row r="62" spans="4:42" ht="15.75" x14ac:dyDescent="0.25">
      <c r="D62" s="3">
        <v>1</v>
      </c>
      <c r="F62" s="16" t="str" cm="1">
        <f t="array" ref="F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" s="31" cm="1">
        <f t="array" ref="G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" s="33" t="str">
        <f>_xlfn.IFNA(IF(MOD(HLG_04[[#This Row],[Rit]],
    _xlfn.XLOOKUP($G$2,Int_Sample[Ore],Int_Sample[Inc])) = 0, "YES", "NO"),"")</f>
        <v/>
      </c>
      <c r="I62" s="32" t="str">
        <f>TEXT(HLG_04[[#This Row],[Batch]],"000")&amp; " / " &amp; TEXT(HLG_04[[#This Row],[Rit]],"000")</f>
        <v>N/A / 000</v>
      </c>
      <c r="J62" s="34"/>
      <c r="K62" s="38"/>
      <c r="L62" s="35"/>
      <c r="M62" s="85"/>
      <c r="N62" s="85"/>
      <c r="O62" s="85"/>
      <c r="P62" s="85"/>
      <c r="Q62" s="85"/>
      <c r="R62" s="85"/>
      <c r="S62" s="100"/>
      <c r="T62" s="100"/>
      <c r="U62" s="85"/>
      <c r="V62" s="85"/>
      <c r="W62" s="85"/>
      <c r="X62" s="85"/>
      <c r="AP62" t="str">
        <v/>
      </c>
    </row>
    <row r="63" spans="4:42" ht="15.75" x14ac:dyDescent="0.25">
      <c r="D63" s="3">
        <v>1</v>
      </c>
      <c r="F63" s="16" t="str" cm="1">
        <f t="array" ref="F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" s="31" cm="1">
        <f t="array" ref="G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" s="33" t="str">
        <f>_xlfn.IFNA(IF(MOD(HLG_04[[#This Row],[Rit]],
    _xlfn.XLOOKUP($G$2,Int_Sample[Ore],Int_Sample[Inc])) = 0, "YES", "NO"),"")</f>
        <v/>
      </c>
      <c r="I63" s="32" t="str">
        <f>TEXT(HLG_04[[#This Row],[Batch]],"000")&amp; " / " &amp; TEXT(HLG_04[[#This Row],[Rit]],"000")</f>
        <v>N/A / 000</v>
      </c>
      <c r="J63" s="34"/>
      <c r="K63" s="38"/>
      <c r="L63" s="35"/>
      <c r="M63" s="85"/>
      <c r="N63" s="85"/>
      <c r="O63" s="85"/>
      <c r="P63" s="85"/>
      <c r="Q63" s="85"/>
      <c r="R63" s="85"/>
      <c r="S63" s="100"/>
      <c r="T63" s="100"/>
      <c r="U63" s="85"/>
      <c r="V63" s="85"/>
      <c r="W63" s="85"/>
      <c r="X63" s="85"/>
      <c r="AP63" t="str">
        <v/>
      </c>
    </row>
    <row r="64" spans="4:42" ht="15.75" x14ac:dyDescent="0.25">
      <c r="D64" s="3">
        <v>1</v>
      </c>
      <c r="F64" s="16" t="str" cm="1">
        <f t="array" ref="F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4" s="31" cm="1">
        <f t="array" ref="G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4" s="33" t="str">
        <f>_xlfn.IFNA(IF(MOD(HLG_04[[#This Row],[Rit]],
    _xlfn.XLOOKUP($G$2,Int_Sample[Ore],Int_Sample[Inc])) = 0, "YES", "NO"),"")</f>
        <v/>
      </c>
      <c r="I64" s="32" t="str">
        <f>TEXT(HLG_04[[#This Row],[Batch]],"000")&amp; " / " &amp; TEXT(HLG_04[[#This Row],[Rit]],"000")</f>
        <v>N/A / 000</v>
      </c>
      <c r="J64" s="34"/>
      <c r="K64" s="38"/>
      <c r="L64" s="35"/>
      <c r="M64" s="85"/>
      <c r="N64" s="85"/>
      <c r="O64" s="85"/>
      <c r="P64" s="85"/>
      <c r="Q64" s="85"/>
      <c r="R64" s="85"/>
      <c r="S64" s="100"/>
      <c r="T64" s="100"/>
      <c r="U64" s="85"/>
      <c r="V64" s="85"/>
      <c r="W64" s="85"/>
      <c r="X64" s="85"/>
      <c r="AP64" t="str">
        <v/>
      </c>
    </row>
    <row r="65" spans="4:42" ht="15.75" x14ac:dyDescent="0.25">
      <c r="D65" s="3">
        <v>1</v>
      </c>
      <c r="F65" s="16" t="str" cm="1">
        <f t="array" ref="F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5" s="31" cm="1">
        <f t="array" ref="G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5" s="33" t="str">
        <f>_xlfn.IFNA(IF(MOD(HLG_04[[#This Row],[Rit]],
    _xlfn.XLOOKUP($G$2,Int_Sample[Ore],Int_Sample[Inc])) = 0, "YES", "NO"),"")</f>
        <v/>
      </c>
      <c r="I65" s="32" t="str">
        <f>TEXT(HLG_04[[#This Row],[Batch]],"000")&amp; " / " &amp; TEXT(HLG_04[[#This Row],[Rit]],"000")</f>
        <v>N/A / 000</v>
      </c>
      <c r="J65" s="34"/>
      <c r="K65" s="38"/>
      <c r="L65" s="35"/>
      <c r="M65" s="85"/>
      <c r="N65" s="85"/>
      <c r="O65" s="85"/>
      <c r="P65" s="85"/>
      <c r="Q65" s="85"/>
      <c r="R65" s="85"/>
      <c r="S65" s="100"/>
      <c r="T65" s="100"/>
      <c r="U65" s="85"/>
      <c r="V65" s="85"/>
      <c r="W65" s="85"/>
      <c r="X65" s="85"/>
      <c r="AP65" t="str">
        <v/>
      </c>
    </row>
    <row r="66" spans="4:42" ht="15.75" x14ac:dyDescent="0.25">
      <c r="D66" s="3">
        <v>1</v>
      </c>
      <c r="F66" s="16" t="str" cm="1">
        <f t="array" ref="F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6" s="31" cm="1">
        <f t="array" ref="G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6" s="33" t="str">
        <f>_xlfn.IFNA(IF(MOD(HLG_04[[#This Row],[Rit]],
    _xlfn.XLOOKUP($G$2,Int_Sample[Ore],Int_Sample[Inc])) = 0, "YES", "NO"),"")</f>
        <v/>
      </c>
      <c r="I66" s="32" t="str">
        <f>TEXT(HLG_04[[#This Row],[Batch]],"000")&amp; " / " &amp; TEXT(HLG_04[[#This Row],[Rit]],"000")</f>
        <v>N/A / 000</v>
      </c>
      <c r="J66" s="34"/>
      <c r="K66" s="38"/>
      <c r="L66" s="35"/>
      <c r="M66" s="85"/>
      <c r="N66" s="85"/>
      <c r="O66" s="85"/>
      <c r="P66" s="85"/>
      <c r="Q66" s="85"/>
      <c r="R66" s="85"/>
      <c r="S66" s="100"/>
      <c r="T66" s="100"/>
      <c r="U66" s="85"/>
      <c r="V66" s="85"/>
      <c r="W66" s="85"/>
      <c r="X66" s="85"/>
      <c r="AP66" t="str">
        <v/>
      </c>
    </row>
    <row r="67" spans="4:42" ht="15.75" x14ac:dyDescent="0.25">
      <c r="D67" s="3">
        <v>1</v>
      </c>
      <c r="F67" s="16" t="str" cm="1">
        <f t="array" ref="F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7" s="31" cm="1">
        <f t="array" ref="G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7" s="33" t="str">
        <f>_xlfn.IFNA(IF(MOD(HLG_04[[#This Row],[Rit]],
    _xlfn.XLOOKUP($G$2,Int_Sample[Ore],Int_Sample[Inc])) = 0, "YES", "NO"),"")</f>
        <v/>
      </c>
      <c r="I67" s="32" t="str">
        <f>TEXT(HLG_04[[#This Row],[Batch]],"000")&amp; " / " &amp; TEXT(HLG_04[[#This Row],[Rit]],"000")</f>
        <v>N/A / 000</v>
      </c>
      <c r="J67" s="34"/>
      <c r="K67" s="38"/>
      <c r="L67" s="35"/>
      <c r="M67" s="85"/>
      <c r="N67" s="85"/>
      <c r="O67" s="85"/>
      <c r="P67" s="85"/>
      <c r="Q67" s="85"/>
      <c r="R67" s="85"/>
      <c r="S67" s="100"/>
      <c r="T67" s="100"/>
      <c r="U67" s="85"/>
      <c r="V67" s="85"/>
      <c r="W67" s="85"/>
      <c r="X67" s="85"/>
      <c r="AP67" t="str">
        <v/>
      </c>
    </row>
    <row r="68" spans="4:42" ht="15.75" x14ac:dyDescent="0.25">
      <c r="D68" s="3">
        <v>1</v>
      </c>
      <c r="F68" s="16" t="str" cm="1">
        <f t="array" ref="F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8" s="31" cm="1">
        <f t="array" ref="G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8" s="33" t="str">
        <f>_xlfn.IFNA(IF(MOD(HLG_04[[#This Row],[Rit]],
    _xlfn.XLOOKUP($G$2,Int_Sample[Ore],Int_Sample[Inc])) = 0, "YES", "NO"),"")</f>
        <v/>
      </c>
      <c r="I68" s="32" t="str">
        <f>TEXT(HLG_04[[#This Row],[Batch]],"000")&amp; " / " &amp; TEXT(HLG_04[[#This Row],[Rit]],"000")</f>
        <v>N/A / 000</v>
      </c>
      <c r="J68" s="34"/>
      <c r="K68" s="38"/>
      <c r="L68" s="35"/>
      <c r="M68" s="85"/>
      <c r="N68" s="85"/>
      <c r="O68" s="85"/>
      <c r="P68" s="85"/>
      <c r="Q68" s="85"/>
      <c r="R68" s="85"/>
      <c r="S68" s="100"/>
      <c r="T68" s="100"/>
      <c r="U68" s="85"/>
      <c r="V68" s="85"/>
      <c r="W68" s="85"/>
      <c r="X68" s="85"/>
      <c r="AP68" t="str">
        <v/>
      </c>
    </row>
    <row r="69" spans="4:42" ht="15.75" x14ac:dyDescent="0.25">
      <c r="D69" s="3">
        <v>1</v>
      </c>
      <c r="F69" s="16" t="str" cm="1">
        <f t="array" ref="F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9" s="31" cm="1">
        <f t="array" ref="G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9" s="33" t="str">
        <f>_xlfn.IFNA(IF(MOD(HLG_04[[#This Row],[Rit]],
    _xlfn.XLOOKUP($G$2,Int_Sample[Ore],Int_Sample[Inc])) = 0, "YES", "NO"),"")</f>
        <v/>
      </c>
      <c r="I69" s="32" t="str">
        <f>TEXT(HLG_04[[#This Row],[Batch]],"000")&amp; " / " &amp; TEXT(HLG_04[[#This Row],[Rit]],"000")</f>
        <v>N/A / 000</v>
      </c>
      <c r="J69" s="34"/>
      <c r="K69" s="38"/>
      <c r="L69" s="35"/>
      <c r="M69" s="85"/>
      <c r="N69" s="85"/>
      <c r="O69" s="85"/>
      <c r="P69" s="85"/>
      <c r="Q69" s="85"/>
      <c r="R69" s="85"/>
      <c r="S69" s="100"/>
      <c r="T69" s="100"/>
      <c r="U69" s="85"/>
      <c r="V69" s="85"/>
      <c r="W69" s="85"/>
      <c r="X69" s="85"/>
      <c r="AP69" t="str">
        <v/>
      </c>
    </row>
    <row r="70" spans="4:42" ht="15.75" x14ac:dyDescent="0.25">
      <c r="D70" s="3">
        <v>1</v>
      </c>
      <c r="F70" s="16" t="str" cm="1">
        <f t="array" ref="F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0" s="31" cm="1">
        <f t="array" ref="G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0" s="33" t="str">
        <f>_xlfn.IFNA(IF(MOD(HLG_04[[#This Row],[Rit]],
    _xlfn.XLOOKUP($G$2,Int_Sample[Ore],Int_Sample[Inc])) = 0, "YES", "NO"),"")</f>
        <v/>
      </c>
      <c r="I70" s="32" t="str">
        <f>TEXT(HLG_04[[#This Row],[Batch]],"000")&amp; " / " &amp; TEXT(HLG_04[[#This Row],[Rit]],"000")</f>
        <v>N/A / 000</v>
      </c>
      <c r="J70" s="34"/>
      <c r="K70" s="38"/>
      <c r="L70" s="35"/>
      <c r="M70" s="85"/>
      <c r="N70" s="85"/>
      <c r="O70" s="85"/>
      <c r="P70" s="85"/>
      <c r="Q70" s="85"/>
      <c r="R70" s="85"/>
      <c r="S70" s="100"/>
      <c r="T70" s="100"/>
      <c r="U70" s="85"/>
      <c r="V70" s="85"/>
      <c r="W70" s="85"/>
      <c r="X70" s="85"/>
      <c r="AP70" t="str">
        <v/>
      </c>
    </row>
    <row r="71" spans="4:42" ht="15.75" x14ac:dyDescent="0.25">
      <c r="D71" s="3">
        <v>1</v>
      </c>
      <c r="F71" s="16" t="str" cm="1">
        <f t="array" ref="F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1" s="31" cm="1">
        <f t="array" ref="G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1" s="33" t="str">
        <f>_xlfn.IFNA(IF(MOD(HLG_04[[#This Row],[Rit]],
    _xlfn.XLOOKUP($G$2,Int_Sample[Ore],Int_Sample[Inc])) = 0, "YES", "NO"),"")</f>
        <v/>
      </c>
      <c r="I71" s="32" t="str">
        <f>TEXT(HLG_04[[#This Row],[Batch]],"000")&amp; " / " &amp; TEXT(HLG_04[[#This Row],[Rit]],"000")</f>
        <v>N/A / 000</v>
      </c>
      <c r="J71" s="34"/>
      <c r="K71" s="38"/>
      <c r="L71" s="35"/>
      <c r="M71" s="85"/>
      <c r="N71" s="85"/>
      <c r="O71" s="85"/>
      <c r="P71" s="85"/>
      <c r="Q71" s="85"/>
      <c r="R71" s="85"/>
      <c r="S71" s="100"/>
      <c r="T71" s="100"/>
      <c r="U71" s="85"/>
      <c r="V71" s="85"/>
      <c r="W71" s="85"/>
      <c r="X71" s="85"/>
      <c r="AP71" t="str">
        <v/>
      </c>
    </row>
    <row r="72" spans="4:42" ht="15.75" x14ac:dyDescent="0.25">
      <c r="D72" s="3">
        <v>1</v>
      </c>
      <c r="F72" s="16" t="str" cm="1">
        <f t="array" ref="F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2" s="31" cm="1">
        <f t="array" ref="G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2" s="33" t="str">
        <f>_xlfn.IFNA(IF(MOD(HLG_04[[#This Row],[Rit]],
    _xlfn.XLOOKUP($G$2,Int_Sample[Ore],Int_Sample[Inc])) = 0, "YES", "NO"),"")</f>
        <v/>
      </c>
      <c r="I72" s="32" t="str">
        <f>TEXT(HLG_04[[#This Row],[Batch]],"000")&amp; " / " &amp; TEXT(HLG_04[[#This Row],[Rit]],"000")</f>
        <v>N/A / 000</v>
      </c>
      <c r="J72" s="34"/>
      <c r="K72" s="38"/>
      <c r="L72" s="35"/>
      <c r="M72" s="85"/>
      <c r="N72" s="85"/>
      <c r="O72" s="85"/>
      <c r="P72" s="85"/>
      <c r="Q72" s="85"/>
      <c r="R72" s="85"/>
      <c r="S72" s="100"/>
      <c r="T72" s="100"/>
      <c r="U72" s="85"/>
      <c r="V72" s="85"/>
      <c r="W72" s="85"/>
      <c r="X72" s="85"/>
      <c r="AP72" t="str">
        <v/>
      </c>
    </row>
    <row r="73" spans="4:42" ht="15.75" x14ac:dyDescent="0.25">
      <c r="D73" s="3">
        <v>1</v>
      </c>
      <c r="F73" s="16" t="str" cm="1">
        <f t="array" ref="F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3" s="31" cm="1">
        <f t="array" ref="G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3" s="33" t="str">
        <f>_xlfn.IFNA(IF(MOD(HLG_04[[#This Row],[Rit]],
    _xlfn.XLOOKUP($G$2,Int_Sample[Ore],Int_Sample[Inc])) = 0, "YES", "NO"),"")</f>
        <v/>
      </c>
      <c r="I73" s="32" t="str">
        <f>TEXT(HLG_04[[#This Row],[Batch]],"000")&amp; " / " &amp; TEXT(HLG_04[[#This Row],[Rit]],"000")</f>
        <v>N/A / 000</v>
      </c>
      <c r="J73" s="34"/>
      <c r="K73" s="38"/>
      <c r="L73" s="35"/>
      <c r="M73" s="85"/>
      <c r="N73" s="85"/>
      <c r="O73" s="85"/>
      <c r="P73" s="85"/>
      <c r="Q73" s="85"/>
      <c r="R73" s="85"/>
      <c r="S73" s="100"/>
      <c r="T73" s="100"/>
      <c r="U73" s="85"/>
      <c r="V73" s="85"/>
      <c r="W73" s="85"/>
      <c r="X73" s="85"/>
      <c r="AP73" t="str">
        <v/>
      </c>
    </row>
    <row r="74" spans="4:42" ht="15.75" x14ac:dyDescent="0.25">
      <c r="D74" s="3">
        <v>1</v>
      </c>
      <c r="F74" s="16" t="str" cm="1">
        <f t="array" ref="F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4" s="31" cm="1">
        <f t="array" ref="G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4" s="33" t="str">
        <f>_xlfn.IFNA(IF(MOD(HLG_04[[#This Row],[Rit]],
    _xlfn.XLOOKUP($G$2,Int_Sample[Ore],Int_Sample[Inc])) = 0, "YES", "NO"),"")</f>
        <v/>
      </c>
      <c r="I74" s="32" t="str">
        <f>TEXT(HLG_04[[#This Row],[Batch]],"000")&amp; " / " &amp; TEXT(HLG_04[[#This Row],[Rit]],"000")</f>
        <v>N/A / 000</v>
      </c>
      <c r="J74" s="34"/>
      <c r="K74" s="38"/>
      <c r="L74" s="35"/>
      <c r="M74" s="85"/>
      <c r="N74" s="85"/>
      <c r="O74" s="85"/>
      <c r="P74" s="85"/>
      <c r="Q74" s="85"/>
      <c r="R74" s="85"/>
      <c r="S74" s="100"/>
      <c r="T74" s="100"/>
      <c r="U74" s="85"/>
      <c r="V74" s="85"/>
      <c r="W74" s="85"/>
      <c r="X74" s="85"/>
      <c r="AP74" t="str">
        <v/>
      </c>
    </row>
    <row r="75" spans="4:42" ht="15.75" x14ac:dyDescent="0.25">
      <c r="D75" s="3">
        <v>1</v>
      </c>
      <c r="F75" s="16" t="str" cm="1">
        <f t="array" ref="F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5" s="31" cm="1">
        <f t="array" ref="G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5" s="33" t="str">
        <f>_xlfn.IFNA(IF(MOD(HLG_04[[#This Row],[Rit]],
    _xlfn.XLOOKUP($G$2,Int_Sample[Ore],Int_Sample[Inc])) = 0, "YES", "NO"),"")</f>
        <v/>
      </c>
      <c r="I75" s="32" t="str">
        <f>TEXT(HLG_04[[#This Row],[Batch]],"000")&amp; " / " &amp; TEXT(HLG_04[[#This Row],[Rit]],"000")</f>
        <v>N/A / 000</v>
      </c>
      <c r="J75" s="34"/>
      <c r="K75" s="38"/>
      <c r="L75" s="35"/>
      <c r="M75" s="85"/>
      <c r="N75" s="85"/>
      <c r="O75" s="85"/>
      <c r="P75" s="85"/>
      <c r="Q75" s="85"/>
      <c r="R75" s="85"/>
      <c r="S75" s="100"/>
      <c r="T75" s="100"/>
      <c r="U75" s="85"/>
      <c r="V75" s="85"/>
      <c r="W75" s="85"/>
      <c r="X75" s="85"/>
      <c r="AP75" t="str">
        <v/>
      </c>
    </row>
    <row r="76" spans="4:42" ht="15.75" x14ac:dyDescent="0.25">
      <c r="D76" s="3">
        <v>1</v>
      </c>
      <c r="F76" s="16" t="str" cm="1">
        <f t="array" ref="F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6" s="31" cm="1">
        <f t="array" ref="G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6" s="33" t="str">
        <f>_xlfn.IFNA(IF(MOD(HLG_04[[#This Row],[Rit]],
    _xlfn.XLOOKUP($G$2,Int_Sample[Ore],Int_Sample[Inc])) = 0, "YES", "NO"),"")</f>
        <v/>
      </c>
      <c r="I76" s="32" t="str">
        <f>TEXT(HLG_04[[#This Row],[Batch]],"000")&amp; " / " &amp; TEXT(HLG_04[[#This Row],[Rit]],"000")</f>
        <v>N/A / 000</v>
      </c>
      <c r="J76" s="34"/>
      <c r="K76" s="38"/>
      <c r="L76" s="35"/>
      <c r="M76" s="85"/>
      <c r="N76" s="85"/>
      <c r="O76" s="85"/>
      <c r="P76" s="85"/>
      <c r="Q76" s="85"/>
      <c r="R76" s="85"/>
      <c r="S76" s="100"/>
      <c r="T76" s="100"/>
      <c r="U76" s="85"/>
      <c r="V76" s="85"/>
      <c r="W76" s="85"/>
      <c r="X76" s="85"/>
      <c r="AP76" t="str">
        <v/>
      </c>
    </row>
    <row r="77" spans="4:42" ht="15.75" x14ac:dyDescent="0.25">
      <c r="D77" s="3">
        <v>1</v>
      </c>
      <c r="F77" s="16" t="str" cm="1">
        <f t="array" ref="F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7" s="31" cm="1">
        <f t="array" ref="G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7" s="33" t="str">
        <f>_xlfn.IFNA(IF(MOD(HLG_04[[#This Row],[Rit]],
    _xlfn.XLOOKUP($G$2,Int_Sample[Ore],Int_Sample[Inc])) = 0, "YES", "NO"),"")</f>
        <v/>
      </c>
      <c r="I77" s="32" t="str">
        <f>TEXT(HLG_04[[#This Row],[Batch]],"000")&amp; " / " &amp; TEXT(HLG_04[[#This Row],[Rit]],"000")</f>
        <v>N/A / 000</v>
      </c>
      <c r="J77" s="34"/>
      <c r="K77" s="38"/>
      <c r="L77" s="35"/>
      <c r="M77" s="85"/>
      <c r="N77" s="85"/>
      <c r="O77" s="85"/>
      <c r="P77" s="85"/>
      <c r="Q77" s="85"/>
      <c r="R77" s="85"/>
      <c r="S77" s="100"/>
      <c r="T77" s="100"/>
      <c r="U77" s="85"/>
      <c r="V77" s="85"/>
      <c r="W77" s="85"/>
      <c r="X77" s="85"/>
      <c r="AP77" t="str">
        <v/>
      </c>
    </row>
    <row r="78" spans="4:42" ht="15.75" x14ac:dyDescent="0.25">
      <c r="D78" s="3">
        <v>1</v>
      </c>
      <c r="F78" s="16" t="str" cm="1">
        <f t="array" ref="F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8" s="31" cm="1">
        <f t="array" ref="G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8" s="33" t="str">
        <f>_xlfn.IFNA(IF(MOD(HLG_04[[#This Row],[Rit]],
    _xlfn.XLOOKUP($G$2,Int_Sample[Ore],Int_Sample[Inc])) = 0, "YES", "NO"),"")</f>
        <v/>
      </c>
      <c r="I78" s="32" t="str">
        <f>TEXT(HLG_04[[#This Row],[Batch]],"000")&amp; " / " &amp; TEXT(HLG_04[[#This Row],[Rit]],"000")</f>
        <v>N/A / 000</v>
      </c>
      <c r="J78" s="34"/>
      <c r="K78" s="38"/>
      <c r="L78" s="35"/>
      <c r="M78" s="85"/>
      <c r="N78" s="85"/>
      <c r="O78" s="85"/>
      <c r="P78" s="85"/>
      <c r="Q78" s="85"/>
      <c r="R78" s="85"/>
      <c r="S78" s="100"/>
      <c r="T78" s="100"/>
      <c r="U78" s="85"/>
      <c r="V78" s="85"/>
      <c r="W78" s="85"/>
      <c r="X78" s="85"/>
      <c r="AP78" t="str">
        <v/>
      </c>
    </row>
    <row r="79" spans="4:42" ht="15.75" x14ac:dyDescent="0.25">
      <c r="D79" s="3">
        <v>1</v>
      </c>
      <c r="F79" s="16" t="str" cm="1">
        <f t="array" ref="F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9" s="31" cm="1">
        <f t="array" ref="G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9" s="33" t="str">
        <f>_xlfn.IFNA(IF(MOD(HLG_04[[#This Row],[Rit]],
    _xlfn.XLOOKUP($G$2,Int_Sample[Ore],Int_Sample[Inc])) = 0, "YES", "NO"),"")</f>
        <v/>
      </c>
      <c r="I79" s="32" t="str">
        <f>TEXT(HLG_04[[#This Row],[Batch]],"000")&amp; " / " &amp; TEXT(HLG_04[[#This Row],[Rit]],"000")</f>
        <v>N/A / 000</v>
      </c>
      <c r="J79" s="34"/>
      <c r="K79" s="38"/>
      <c r="L79" s="35"/>
      <c r="M79" s="85"/>
      <c r="N79" s="85"/>
      <c r="O79" s="85"/>
      <c r="P79" s="85"/>
      <c r="Q79" s="85"/>
      <c r="R79" s="85"/>
      <c r="S79" s="100"/>
      <c r="T79" s="100"/>
      <c r="U79" s="85"/>
      <c r="V79" s="85"/>
      <c r="W79" s="85"/>
      <c r="X79" s="85"/>
      <c r="AP79" t="str">
        <v/>
      </c>
    </row>
    <row r="80" spans="4:42" ht="15.75" x14ac:dyDescent="0.25">
      <c r="D80" s="3">
        <v>1</v>
      </c>
      <c r="F80" s="16" t="str" cm="1">
        <f t="array" ref="F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0" s="31" cm="1">
        <f t="array" ref="G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0" s="33" t="str">
        <f>_xlfn.IFNA(IF(MOD(HLG_04[[#This Row],[Rit]],
    _xlfn.XLOOKUP($G$2,Int_Sample[Ore],Int_Sample[Inc])) = 0, "YES", "NO"),"")</f>
        <v/>
      </c>
      <c r="I80" s="32" t="str">
        <f>TEXT(HLG_04[[#This Row],[Batch]],"000")&amp; " / " &amp; TEXT(HLG_04[[#This Row],[Rit]],"000")</f>
        <v>N/A / 000</v>
      </c>
      <c r="J80" s="34"/>
      <c r="K80" s="38"/>
      <c r="L80" s="35"/>
      <c r="M80" s="85"/>
      <c r="N80" s="85"/>
      <c r="O80" s="85"/>
      <c r="P80" s="85"/>
      <c r="Q80" s="85"/>
      <c r="R80" s="85"/>
      <c r="S80" s="100"/>
      <c r="T80" s="100"/>
      <c r="U80" s="85"/>
      <c r="V80" s="85"/>
      <c r="W80" s="85"/>
      <c r="X80" s="85"/>
      <c r="AP80" t="str">
        <v/>
      </c>
    </row>
    <row r="81" spans="4:42" ht="15.75" x14ac:dyDescent="0.25">
      <c r="D81" s="3">
        <v>1</v>
      </c>
      <c r="F81" s="16" t="str" cm="1">
        <f t="array" ref="F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1" s="31" cm="1">
        <f t="array" ref="G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1" s="33" t="str">
        <f>_xlfn.IFNA(IF(MOD(HLG_04[[#This Row],[Rit]],
    _xlfn.XLOOKUP($G$2,Int_Sample[Ore],Int_Sample[Inc])) = 0, "YES", "NO"),"")</f>
        <v/>
      </c>
      <c r="I81" s="32" t="str">
        <f>TEXT(HLG_04[[#This Row],[Batch]],"000")&amp; " / " &amp; TEXT(HLG_04[[#This Row],[Rit]],"000")</f>
        <v>N/A / 000</v>
      </c>
      <c r="J81" s="34"/>
      <c r="K81" s="38"/>
      <c r="L81" s="35"/>
      <c r="M81" s="85"/>
      <c r="N81" s="85"/>
      <c r="O81" s="85"/>
      <c r="P81" s="85"/>
      <c r="Q81" s="85"/>
      <c r="R81" s="85"/>
      <c r="S81" s="100"/>
      <c r="T81" s="100"/>
      <c r="U81" s="85"/>
      <c r="V81" s="85"/>
      <c r="W81" s="85"/>
      <c r="X81" s="85"/>
      <c r="AP81" t="str">
        <v/>
      </c>
    </row>
    <row r="82" spans="4:42" ht="15.75" x14ac:dyDescent="0.25">
      <c r="D82" s="3">
        <v>1</v>
      </c>
      <c r="F82" s="16" t="str" cm="1">
        <f t="array" ref="F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2" s="31" cm="1">
        <f t="array" ref="G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2" s="33" t="str">
        <f>_xlfn.IFNA(IF(MOD(HLG_04[[#This Row],[Rit]],
    _xlfn.XLOOKUP($G$2,Int_Sample[Ore],Int_Sample[Inc])) = 0, "YES", "NO"),"")</f>
        <v/>
      </c>
      <c r="I82" s="32" t="str">
        <f>TEXT(HLG_04[[#This Row],[Batch]],"000")&amp; " / " &amp; TEXT(HLG_04[[#This Row],[Rit]],"000")</f>
        <v>N/A / 000</v>
      </c>
      <c r="J82" s="34"/>
      <c r="K82" s="38"/>
      <c r="L82" s="35"/>
      <c r="M82" s="85"/>
      <c r="N82" s="85"/>
      <c r="O82" s="85"/>
      <c r="P82" s="85"/>
      <c r="Q82" s="85"/>
      <c r="R82" s="85"/>
      <c r="S82" s="100"/>
      <c r="T82" s="100"/>
      <c r="U82" s="85"/>
      <c r="V82" s="85"/>
      <c r="W82" s="85"/>
      <c r="X82" s="85"/>
      <c r="AP82" t="str">
        <v/>
      </c>
    </row>
    <row r="83" spans="4:42" ht="15.75" x14ac:dyDescent="0.25">
      <c r="D83" s="3">
        <v>1</v>
      </c>
      <c r="F83" s="16" t="str" cm="1">
        <f t="array" ref="F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3" s="31" cm="1">
        <f t="array" ref="G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3" s="33" t="str">
        <f>_xlfn.IFNA(IF(MOD(HLG_04[[#This Row],[Rit]],
    _xlfn.XLOOKUP($G$2,Int_Sample[Ore],Int_Sample[Inc])) = 0, "YES", "NO"),"")</f>
        <v/>
      </c>
      <c r="I83" s="32" t="str">
        <f>TEXT(HLG_04[[#This Row],[Batch]],"000")&amp; " / " &amp; TEXT(HLG_04[[#This Row],[Rit]],"000")</f>
        <v>N/A / 000</v>
      </c>
      <c r="J83" s="34"/>
      <c r="K83" s="38"/>
      <c r="L83" s="35"/>
      <c r="M83" s="85"/>
      <c r="N83" s="85"/>
      <c r="O83" s="85"/>
      <c r="P83" s="85"/>
      <c r="Q83" s="85"/>
      <c r="R83" s="85"/>
      <c r="S83" s="100"/>
      <c r="T83" s="100"/>
      <c r="U83" s="85"/>
      <c r="V83" s="85"/>
      <c r="W83" s="85"/>
      <c r="X83" s="85"/>
      <c r="AP83" t="str">
        <v/>
      </c>
    </row>
    <row r="84" spans="4:42" ht="15.75" x14ac:dyDescent="0.25">
      <c r="D84" s="3">
        <v>1</v>
      </c>
      <c r="F84" s="16" t="str" cm="1">
        <f t="array" ref="F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4" s="31" cm="1">
        <f t="array" ref="G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4" s="33" t="str">
        <f>_xlfn.IFNA(IF(MOD(HLG_04[[#This Row],[Rit]],
    _xlfn.XLOOKUP($G$2,Int_Sample[Ore],Int_Sample[Inc])) = 0, "YES", "NO"),"")</f>
        <v/>
      </c>
      <c r="I84" s="32" t="str">
        <f>TEXT(HLG_04[[#This Row],[Batch]],"000")&amp; " / " &amp; TEXT(HLG_04[[#This Row],[Rit]],"000")</f>
        <v>N/A / 000</v>
      </c>
      <c r="J84" s="34"/>
      <c r="K84" s="38"/>
      <c r="L84" s="35"/>
      <c r="M84" s="85"/>
      <c r="N84" s="85"/>
      <c r="O84" s="85"/>
      <c r="P84" s="85"/>
      <c r="Q84" s="85"/>
      <c r="R84" s="85"/>
      <c r="S84" s="100"/>
      <c r="T84" s="100"/>
      <c r="U84" s="85"/>
      <c r="V84" s="85"/>
      <c r="W84" s="85"/>
      <c r="X84" s="85"/>
      <c r="AP84" t="str">
        <v/>
      </c>
    </row>
    <row r="85" spans="4:42" ht="15.75" x14ac:dyDescent="0.25">
      <c r="D85" s="3">
        <v>1</v>
      </c>
      <c r="F85" s="16" t="str" cm="1">
        <f t="array" ref="F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5" s="31" cm="1">
        <f t="array" ref="G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5" s="33" t="str">
        <f>_xlfn.IFNA(IF(MOD(HLG_04[[#This Row],[Rit]],
    _xlfn.XLOOKUP($G$2,Int_Sample[Ore],Int_Sample[Inc])) = 0, "YES", "NO"),"")</f>
        <v/>
      </c>
      <c r="I85" s="32" t="str">
        <f>TEXT(HLG_04[[#This Row],[Batch]],"000")&amp; " / " &amp; TEXT(HLG_04[[#This Row],[Rit]],"000")</f>
        <v>N/A / 000</v>
      </c>
      <c r="J85" s="34"/>
      <c r="K85" s="38"/>
      <c r="L85" s="35"/>
      <c r="M85" s="85"/>
      <c r="N85" s="85"/>
      <c r="O85" s="85"/>
      <c r="P85" s="85"/>
      <c r="Q85" s="85"/>
      <c r="R85" s="85"/>
      <c r="S85" s="100"/>
      <c r="T85" s="100"/>
      <c r="U85" s="85"/>
      <c r="V85" s="85"/>
      <c r="W85" s="85"/>
      <c r="X85" s="85"/>
      <c r="AP85" t="str">
        <v/>
      </c>
    </row>
    <row r="86" spans="4:42" ht="15.75" x14ac:dyDescent="0.25">
      <c r="D86" s="3">
        <v>1</v>
      </c>
      <c r="F86" s="16" t="str" cm="1">
        <f t="array" ref="F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6" s="31" cm="1">
        <f t="array" ref="G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6" s="33" t="str">
        <f>_xlfn.IFNA(IF(MOD(HLG_04[[#This Row],[Rit]],
    _xlfn.XLOOKUP($G$2,Int_Sample[Ore],Int_Sample[Inc])) = 0, "YES", "NO"),"")</f>
        <v/>
      </c>
      <c r="I86" s="32" t="str">
        <f>TEXT(HLG_04[[#This Row],[Batch]],"000")&amp; " / " &amp; TEXT(HLG_04[[#This Row],[Rit]],"000")</f>
        <v>N/A / 000</v>
      </c>
      <c r="J86" s="34"/>
      <c r="K86" s="38"/>
      <c r="L86" s="35"/>
      <c r="M86" s="85"/>
      <c r="N86" s="85"/>
      <c r="O86" s="85"/>
      <c r="P86" s="85"/>
      <c r="Q86" s="85"/>
      <c r="R86" s="85"/>
      <c r="S86" s="100"/>
      <c r="T86" s="100"/>
      <c r="U86" s="85"/>
      <c r="V86" s="85"/>
      <c r="W86" s="85"/>
      <c r="X86" s="85"/>
      <c r="AP86" t="str">
        <v/>
      </c>
    </row>
    <row r="87" spans="4:42" ht="15.75" x14ac:dyDescent="0.25">
      <c r="D87" s="3">
        <v>1</v>
      </c>
      <c r="F87" s="16" t="str" cm="1">
        <f t="array" ref="F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7" s="31" cm="1">
        <f t="array" ref="G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7" s="33" t="str">
        <f>_xlfn.IFNA(IF(MOD(HLG_04[[#This Row],[Rit]],
    _xlfn.XLOOKUP($G$2,Int_Sample[Ore],Int_Sample[Inc])) = 0, "YES", "NO"),"")</f>
        <v/>
      </c>
      <c r="I87" s="32" t="str">
        <f>TEXT(HLG_04[[#This Row],[Batch]],"000")&amp; " / " &amp; TEXT(HLG_04[[#This Row],[Rit]],"000")</f>
        <v>N/A / 000</v>
      </c>
      <c r="J87" s="34"/>
      <c r="K87" s="38"/>
      <c r="L87" s="35"/>
      <c r="M87" s="85"/>
      <c r="N87" s="85"/>
      <c r="O87" s="85"/>
      <c r="P87" s="85"/>
      <c r="Q87" s="85"/>
      <c r="R87" s="85"/>
      <c r="S87" s="100"/>
      <c r="T87" s="100"/>
      <c r="U87" s="85"/>
      <c r="V87" s="85"/>
      <c r="W87" s="85"/>
      <c r="X87" s="85"/>
      <c r="AP87" t="str">
        <v/>
      </c>
    </row>
    <row r="88" spans="4:42" ht="15.75" x14ac:dyDescent="0.25">
      <c r="D88" s="3">
        <v>1</v>
      </c>
      <c r="F88" s="16" t="str" cm="1">
        <f t="array" ref="F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8" s="31" cm="1">
        <f t="array" ref="G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8" s="33" t="str">
        <f>_xlfn.IFNA(IF(MOD(HLG_04[[#This Row],[Rit]],
    _xlfn.XLOOKUP($G$2,Int_Sample[Ore],Int_Sample[Inc])) = 0, "YES", "NO"),"")</f>
        <v/>
      </c>
      <c r="I88" s="32" t="str">
        <f>TEXT(HLG_04[[#This Row],[Batch]],"000")&amp; " / " &amp; TEXT(HLG_04[[#This Row],[Rit]],"000")</f>
        <v>N/A / 000</v>
      </c>
      <c r="J88" s="34"/>
      <c r="K88" s="38"/>
      <c r="L88" s="35"/>
      <c r="M88" s="85"/>
      <c r="N88" s="85"/>
      <c r="O88" s="85"/>
      <c r="P88" s="85"/>
      <c r="Q88" s="85"/>
      <c r="R88" s="85"/>
      <c r="S88" s="100"/>
      <c r="T88" s="100"/>
      <c r="U88" s="85"/>
      <c r="V88" s="85"/>
      <c r="W88" s="85"/>
      <c r="X88" s="85"/>
      <c r="AP88" t="str">
        <v/>
      </c>
    </row>
    <row r="89" spans="4:42" ht="15.75" x14ac:dyDescent="0.25">
      <c r="D89" s="3">
        <v>1</v>
      </c>
      <c r="F89" s="16" t="str" cm="1">
        <f t="array" ref="F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9" s="31" cm="1">
        <f t="array" ref="G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9" s="33" t="str">
        <f>_xlfn.IFNA(IF(MOD(HLG_04[[#This Row],[Rit]],
    _xlfn.XLOOKUP($G$2,Int_Sample[Ore],Int_Sample[Inc])) = 0, "YES", "NO"),"")</f>
        <v/>
      </c>
      <c r="I89" s="32" t="str">
        <f>TEXT(HLG_04[[#This Row],[Batch]],"000")&amp; " / " &amp; TEXT(HLG_04[[#This Row],[Rit]],"000")</f>
        <v>N/A / 000</v>
      </c>
      <c r="J89" s="34"/>
      <c r="K89" s="38"/>
      <c r="L89" s="35"/>
      <c r="M89" s="85"/>
      <c r="N89" s="85"/>
      <c r="O89" s="85"/>
      <c r="P89" s="85"/>
      <c r="Q89" s="85"/>
      <c r="R89" s="85"/>
      <c r="S89" s="100"/>
      <c r="T89" s="100"/>
      <c r="U89" s="85"/>
      <c r="V89" s="85"/>
      <c r="W89" s="85"/>
      <c r="X89" s="85"/>
      <c r="AP89" t="str">
        <v/>
      </c>
    </row>
    <row r="90" spans="4:42" ht="15.75" x14ac:dyDescent="0.25">
      <c r="D90" s="3">
        <v>1</v>
      </c>
      <c r="F90" s="16" t="str" cm="1">
        <f t="array" ref="F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0" s="31" cm="1">
        <f t="array" ref="G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0" s="33" t="str">
        <f>_xlfn.IFNA(IF(MOD(HLG_04[[#This Row],[Rit]],
    _xlfn.XLOOKUP($G$2,Int_Sample[Ore],Int_Sample[Inc])) = 0, "YES", "NO"),"")</f>
        <v/>
      </c>
      <c r="I90" s="32" t="str">
        <f>TEXT(HLG_04[[#This Row],[Batch]],"000")&amp; " / " &amp; TEXT(HLG_04[[#This Row],[Rit]],"000")</f>
        <v>N/A / 000</v>
      </c>
      <c r="J90" s="34"/>
      <c r="K90" s="38"/>
      <c r="L90" s="35"/>
      <c r="M90" s="85"/>
      <c r="N90" s="85"/>
      <c r="O90" s="85"/>
      <c r="P90" s="85"/>
      <c r="Q90" s="85"/>
      <c r="R90" s="85"/>
      <c r="S90" s="100"/>
      <c r="T90" s="100"/>
      <c r="U90" s="85"/>
      <c r="V90" s="85"/>
      <c r="W90" s="85"/>
      <c r="X90" s="85"/>
      <c r="AP90" t="str">
        <v/>
      </c>
    </row>
    <row r="91" spans="4:42" ht="15.75" x14ac:dyDescent="0.25">
      <c r="D91" s="3">
        <v>1</v>
      </c>
      <c r="F91" s="16" t="str" cm="1">
        <f t="array" ref="F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1" s="31" cm="1">
        <f t="array" ref="G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1" s="33" t="str">
        <f>_xlfn.IFNA(IF(MOD(HLG_04[[#This Row],[Rit]],
    _xlfn.XLOOKUP($G$2,Int_Sample[Ore],Int_Sample[Inc])) = 0, "YES", "NO"),"")</f>
        <v/>
      </c>
      <c r="I91" s="32" t="str">
        <f>TEXT(HLG_04[[#This Row],[Batch]],"000")&amp; " / " &amp; TEXT(HLG_04[[#This Row],[Rit]],"000")</f>
        <v>N/A / 000</v>
      </c>
      <c r="J91" s="34"/>
      <c r="K91" s="38"/>
      <c r="L91" s="35"/>
      <c r="M91" s="85"/>
      <c r="N91" s="85"/>
      <c r="O91" s="85"/>
      <c r="P91" s="85"/>
      <c r="Q91" s="85"/>
      <c r="R91" s="85"/>
      <c r="S91" s="100"/>
      <c r="T91" s="100"/>
      <c r="U91" s="85"/>
      <c r="V91" s="85"/>
      <c r="W91" s="85"/>
      <c r="X91" s="85"/>
      <c r="AP91" t="str">
        <v/>
      </c>
    </row>
    <row r="92" spans="4:42" ht="15.75" x14ac:dyDescent="0.25">
      <c r="D92" s="3">
        <v>1</v>
      </c>
      <c r="F92" s="16" t="str" cm="1">
        <f t="array" ref="F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2" s="31" cm="1">
        <f t="array" ref="G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2" s="33" t="str">
        <f>_xlfn.IFNA(IF(MOD(HLG_04[[#This Row],[Rit]],
    _xlfn.XLOOKUP($G$2,Int_Sample[Ore],Int_Sample[Inc])) = 0, "YES", "NO"),"")</f>
        <v/>
      </c>
      <c r="I92" s="32" t="str">
        <f>TEXT(HLG_04[[#This Row],[Batch]],"000")&amp; " / " &amp; TEXT(HLG_04[[#This Row],[Rit]],"000")</f>
        <v>N/A / 000</v>
      </c>
      <c r="J92" s="34"/>
      <c r="K92" s="38"/>
      <c r="L92" s="35"/>
      <c r="M92" s="85"/>
      <c r="N92" s="85"/>
      <c r="O92" s="85"/>
      <c r="P92" s="85"/>
      <c r="Q92" s="85"/>
      <c r="R92" s="85"/>
      <c r="S92" s="100"/>
      <c r="T92" s="100"/>
      <c r="U92" s="85"/>
      <c r="V92" s="85"/>
      <c r="W92" s="85"/>
      <c r="X92" s="85"/>
      <c r="AP92" t="str">
        <v/>
      </c>
    </row>
    <row r="93" spans="4:42" ht="15.75" x14ac:dyDescent="0.25">
      <c r="D93" s="3">
        <v>1</v>
      </c>
      <c r="F93" s="16" t="str" cm="1">
        <f t="array" ref="F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3" s="31" cm="1">
        <f t="array" ref="G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3" s="33" t="str">
        <f>_xlfn.IFNA(IF(MOD(HLG_04[[#This Row],[Rit]],
    _xlfn.XLOOKUP($G$2,Int_Sample[Ore],Int_Sample[Inc])) = 0, "YES", "NO"),"")</f>
        <v/>
      </c>
      <c r="I93" s="32" t="str">
        <f>TEXT(HLG_04[[#This Row],[Batch]],"000")&amp; " / " &amp; TEXT(HLG_04[[#This Row],[Rit]],"000")</f>
        <v>N/A / 000</v>
      </c>
      <c r="J93" s="34"/>
      <c r="K93" s="38"/>
      <c r="L93" s="35"/>
      <c r="M93" s="85"/>
      <c r="N93" s="85"/>
      <c r="O93" s="85"/>
      <c r="P93" s="85"/>
      <c r="Q93" s="85"/>
      <c r="R93" s="85"/>
      <c r="S93" s="100"/>
      <c r="T93" s="100"/>
      <c r="U93" s="85"/>
      <c r="V93" s="85"/>
      <c r="W93" s="85"/>
      <c r="X93" s="85"/>
      <c r="AP93" t="str">
        <v/>
      </c>
    </row>
    <row r="94" spans="4:42" ht="15.75" x14ac:dyDescent="0.25">
      <c r="D94" s="3">
        <v>1</v>
      </c>
      <c r="F94" s="16" t="str" cm="1">
        <f t="array" ref="F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4" s="31" cm="1">
        <f t="array" ref="G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4" s="33" t="str">
        <f>_xlfn.IFNA(IF(MOD(HLG_04[[#This Row],[Rit]],
    _xlfn.XLOOKUP($G$2,Int_Sample[Ore],Int_Sample[Inc])) = 0, "YES", "NO"),"")</f>
        <v/>
      </c>
      <c r="I94" s="32" t="str">
        <f>TEXT(HLG_04[[#This Row],[Batch]],"000")&amp; " / " &amp; TEXT(HLG_04[[#This Row],[Rit]],"000")</f>
        <v>N/A / 000</v>
      </c>
      <c r="J94" s="34"/>
      <c r="K94" s="38"/>
      <c r="L94" s="35"/>
      <c r="M94" s="85"/>
      <c r="N94" s="85"/>
      <c r="O94" s="85"/>
      <c r="P94" s="85"/>
      <c r="Q94" s="85"/>
      <c r="R94" s="85"/>
      <c r="S94" s="100"/>
      <c r="T94" s="100"/>
      <c r="U94" s="85"/>
      <c r="V94" s="85"/>
      <c r="W94" s="85"/>
      <c r="X94" s="85"/>
      <c r="AP94" t="str">
        <v/>
      </c>
    </row>
    <row r="95" spans="4:42" ht="15.75" x14ac:dyDescent="0.25">
      <c r="D95" s="3">
        <v>1</v>
      </c>
      <c r="F95" s="16" t="str" cm="1">
        <f t="array" ref="F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5" s="31" cm="1">
        <f t="array" ref="G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5" s="33" t="str">
        <f>_xlfn.IFNA(IF(MOD(HLG_04[[#This Row],[Rit]],
    _xlfn.XLOOKUP($G$2,Int_Sample[Ore],Int_Sample[Inc])) = 0, "YES", "NO"),"")</f>
        <v/>
      </c>
      <c r="I95" s="32" t="str">
        <f>TEXT(HLG_04[[#This Row],[Batch]],"000")&amp; " / " &amp; TEXT(HLG_04[[#This Row],[Rit]],"000")</f>
        <v>N/A / 000</v>
      </c>
      <c r="J95" s="34"/>
      <c r="K95" s="38"/>
      <c r="L95" s="35"/>
      <c r="M95" s="85"/>
      <c r="N95" s="85"/>
      <c r="O95" s="85"/>
      <c r="P95" s="85"/>
      <c r="Q95" s="85"/>
      <c r="R95" s="85"/>
      <c r="S95" s="100"/>
      <c r="T95" s="100"/>
      <c r="U95" s="85"/>
      <c r="V95" s="85"/>
      <c r="W95" s="85"/>
      <c r="X95" s="85"/>
      <c r="AP95" t="str">
        <v/>
      </c>
    </row>
    <row r="96" spans="4:42" ht="15.75" x14ac:dyDescent="0.25">
      <c r="D96" s="3">
        <v>1</v>
      </c>
      <c r="F96" s="16" t="str" cm="1">
        <f t="array" ref="F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6" s="31" cm="1">
        <f t="array" ref="G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6" s="33" t="str">
        <f>_xlfn.IFNA(IF(MOD(HLG_04[[#This Row],[Rit]],
    _xlfn.XLOOKUP($G$2,Int_Sample[Ore],Int_Sample[Inc])) = 0, "YES", "NO"),"")</f>
        <v/>
      </c>
      <c r="I96" s="32" t="str">
        <f>TEXT(HLG_04[[#This Row],[Batch]],"000")&amp; " / " &amp; TEXT(HLG_04[[#This Row],[Rit]],"000")</f>
        <v>N/A / 000</v>
      </c>
      <c r="J96" s="34"/>
      <c r="K96" s="38"/>
      <c r="L96" s="35"/>
      <c r="M96" s="85"/>
      <c r="N96" s="85"/>
      <c r="O96" s="85"/>
      <c r="P96" s="85"/>
      <c r="Q96" s="85"/>
      <c r="R96" s="85"/>
      <c r="S96" s="100"/>
      <c r="T96" s="100"/>
      <c r="U96" s="85"/>
      <c r="V96" s="85"/>
      <c r="W96" s="85"/>
      <c r="X96" s="85"/>
      <c r="AP96" t="str">
        <v/>
      </c>
    </row>
    <row r="97" spans="4:42" ht="15.75" x14ac:dyDescent="0.25">
      <c r="D97" s="3">
        <v>1</v>
      </c>
      <c r="F97" s="16" t="str" cm="1">
        <f t="array" ref="F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7" s="31" cm="1">
        <f t="array" ref="G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7" s="33" t="str">
        <f>_xlfn.IFNA(IF(MOD(HLG_04[[#This Row],[Rit]],
    _xlfn.XLOOKUP($G$2,Int_Sample[Ore],Int_Sample[Inc])) = 0, "YES", "NO"),"")</f>
        <v/>
      </c>
      <c r="I97" s="32" t="str">
        <f>TEXT(HLG_04[[#This Row],[Batch]],"000")&amp; " / " &amp; TEXT(HLG_04[[#This Row],[Rit]],"000")</f>
        <v>N/A / 000</v>
      </c>
      <c r="J97" s="34"/>
      <c r="K97" s="38"/>
      <c r="L97" s="35"/>
      <c r="M97" s="85"/>
      <c r="N97" s="85"/>
      <c r="O97" s="85"/>
      <c r="P97" s="85"/>
      <c r="Q97" s="85"/>
      <c r="R97" s="85"/>
      <c r="S97" s="100"/>
      <c r="T97" s="100"/>
      <c r="U97" s="85"/>
      <c r="V97" s="85"/>
      <c r="W97" s="85"/>
      <c r="X97" s="85"/>
      <c r="AP97" t="str">
        <v/>
      </c>
    </row>
    <row r="98" spans="4:42" ht="15.75" x14ac:dyDescent="0.25">
      <c r="D98" s="3">
        <v>1</v>
      </c>
      <c r="F98" s="16" t="str" cm="1">
        <f t="array" ref="F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8" s="31" cm="1">
        <f t="array" ref="G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8" s="33" t="str">
        <f>_xlfn.IFNA(IF(MOD(HLG_04[[#This Row],[Rit]],
    _xlfn.XLOOKUP($G$2,Int_Sample[Ore],Int_Sample[Inc])) = 0, "YES", "NO"),"")</f>
        <v/>
      </c>
      <c r="I98" s="32" t="str">
        <f>TEXT(HLG_04[[#This Row],[Batch]],"000")&amp; " / " &amp; TEXT(HLG_04[[#This Row],[Rit]],"000")</f>
        <v>N/A / 000</v>
      </c>
      <c r="J98" s="34"/>
      <c r="K98" s="38"/>
      <c r="L98" s="35"/>
      <c r="M98" s="85"/>
      <c r="N98" s="85"/>
      <c r="O98" s="85"/>
      <c r="P98" s="85"/>
      <c r="Q98" s="85"/>
      <c r="R98" s="85"/>
      <c r="S98" s="100"/>
      <c r="T98" s="100"/>
      <c r="U98" s="85"/>
      <c r="V98" s="85"/>
      <c r="W98" s="85"/>
      <c r="X98" s="85"/>
      <c r="AP98" t="str">
        <v/>
      </c>
    </row>
    <row r="99" spans="4:42" ht="15.75" x14ac:dyDescent="0.25">
      <c r="D99" s="3">
        <v>1</v>
      </c>
      <c r="F99" s="16" t="str" cm="1">
        <f t="array" ref="F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9" s="31" cm="1">
        <f t="array" ref="G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9" s="33" t="str">
        <f>_xlfn.IFNA(IF(MOD(HLG_04[[#This Row],[Rit]],
    _xlfn.XLOOKUP($G$2,Int_Sample[Ore],Int_Sample[Inc])) = 0, "YES", "NO"),"")</f>
        <v/>
      </c>
      <c r="I99" s="32" t="str">
        <f>TEXT(HLG_04[[#This Row],[Batch]],"000")&amp; " / " &amp; TEXT(HLG_04[[#This Row],[Rit]],"000")</f>
        <v>N/A / 000</v>
      </c>
      <c r="J99" s="34"/>
      <c r="K99" s="38"/>
      <c r="L99" s="35"/>
      <c r="M99" s="85"/>
      <c r="N99" s="85"/>
      <c r="O99" s="85"/>
      <c r="P99" s="85"/>
      <c r="Q99" s="85"/>
      <c r="R99" s="85"/>
      <c r="S99" s="100"/>
      <c r="T99" s="100"/>
      <c r="U99" s="85"/>
      <c r="V99" s="85"/>
      <c r="W99" s="85"/>
      <c r="X99" s="85"/>
      <c r="AP99" t="str">
        <v/>
      </c>
    </row>
    <row r="100" spans="4:42" ht="15.75" x14ac:dyDescent="0.25">
      <c r="D100" s="3">
        <v>1</v>
      </c>
      <c r="F100" s="16" t="str" cm="1">
        <f t="array" ref="F1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0" s="31" cm="1">
        <f t="array" ref="G1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0" s="33" t="str">
        <f>_xlfn.IFNA(IF(MOD(HLG_04[[#This Row],[Rit]],
    _xlfn.XLOOKUP($G$2,Int_Sample[Ore],Int_Sample[Inc])) = 0, "YES", "NO"),"")</f>
        <v/>
      </c>
      <c r="I100" s="32" t="str">
        <f>TEXT(HLG_04[[#This Row],[Batch]],"000")&amp; " / " &amp; TEXT(HLG_04[[#This Row],[Rit]],"000")</f>
        <v>N/A / 000</v>
      </c>
      <c r="J100" s="34"/>
      <c r="K100" s="38"/>
      <c r="L100" s="35"/>
      <c r="M100" s="85"/>
      <c r="N100" s="85"/>
      <c r="O100" s="85"/>
      <c r="P100" s="85"/>
      <c r="Q100" s="85"/>
      <c r="R100" s="85"/>
      <c r="S100" s="100"/>
      <c r="T100" s="100"/>
      <c r="U100" s="85"/>
      <c r="V100" s="85"/>
      <c r="W100" s="85"/>
      <c r="X100" s="85"/>
      <c r="AP100" t="str">
        <v/>
      </c>
    </row>
    <row r="101" spans="4:42" ht="15.75" x14ac:dyDescent="0.25">
      <c r="D101" s="3">
        <v>1</v>
      </c>
      <c r="F101" s="16" t="str" cm="1">
        <f t="array" ref="F1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1" s="31" cm="1">
        <f t="array" ref="G1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1" s="33" t="str">
        <f>_xlfn.IFNA(IF(MOD(HLG_04[[#This Row],[Rit]],
    _xlfn.XLOOKUP($G$2,Int_Sample[Ore],Int_Sample[Inc])) = 0, "YES", "NO"),"")</f>
        <v/>
      </c>
      <c r="I101" s="32" t="str">
        <f>TEXT(HLG_04[[#This Row],[Batch]],"000")&amp; " / " &amp; TEXT(HLG_04[[#This Row],[Rit]],"000")</f>
        <v>N/A / 000</v>
      </c>
      <c r="J101" s="34"/>
      <c r="K101" s="38"/>
      <c r="L101" s="35"/>
      <c r="M101" s="66"/>
      <c r="N101" s="66"/>
      <c r="O101" s="66"/>
      <c r="P101" s="66"/>
      <c r="Q101" s="66"/>
      <c r="R101" s="67"/>
      <c r="S101" s="67"/>
      <c r="T101" s="67"/>
      <c r="U101" s="66"/>
      <c r="V101" s="66"/>
      <c r="W101" s="66"/>
      <c r="X101" s="85"/>
      <c r="AP101" t="str">
        <v/>
      </c>
    </row>
    <row r="102" spans="4:42" ht="15.75" x14ac:dyDescent="0.25">
      <c r="D102" s="3">
        <v>1</v>
      </c>
      <c r="F102" s="16" t="str" cm="1">
        <f t="array" ref="F1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2" s="31" cm="1">
        <f t="array" ref="G1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2" s="33" t="str">
        <f>_xlfn.IFNA(IF(MOD(HLG_04[[#This Row],[Rit]],
    _xlfn.XLOOKUP($G$2,Int_Sample[Ore],Int_Sample[Inc])) = 0, "YES", "NO"),"")</f>
        <v/>
      </c>
      <c r="I102" s="32" t="str">
        <f>TEXT(HLG_04[[#This Row],[Batch]],"000")&amp; " / " &amp; TEXT(HLG_04[[#This Row],[Rit]],"000")</f>
        <v>N/A / 000</v>
      </c>
      <c r="J102" s="34"/>
      <c r="K102" s="38"/>
      <c r="L102" s="35"/>
      <c r="M102" s="66"/>
      <c r="N102" s="66"/>
      <c r="O102" s="66"/>
      <c r="P102" s="66"/>
      <c r="Q102" s="66"/>
      <c r="R102" s="67"/>
      <c r="S102" s="67"/>
      <c r="T102" s="67"/>
      <c r="U102" s="66"/>
      <c r="V102" s="66"/>
      <c r="W102" s="66"/>
      <c r="X102" s="85"/>
      <c r="AP102" t="str">
        <v/>
      </c>
    </row>
    <row r="103" spans="4:42" ht="15.75" x14ac:dyDescent="0.25">
      <c r="D103" s="3">
        <v>1</v>
      </c>
      <c r="F103" s="16" t="str" cm="1">
        <f t="array" ref="F1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3" s="31" cm="1">
        <f t="array" ref="G1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3" s="33" t="str">
        <f>_xlfn.IFNA(IF(MOD(HLG_04[[#This Row],[Rit]],
    _xlfn.XLOOKUP($G$2,Int_Sample[Ore],Int_Sample[Inc])) = 0, "YES", "NO"),"")</f>
        <v/>
      </c>
      <c r="I103" s="32" t="str">
        <f>TEXT(HLG_04[[#This Row],[Batch]],"000")&amp; " / " &amp; TEXT(HLG_04[[#This Row],[Rit]],"000")</f>
        <v>N/A / 000</v>
      </c>
      <c r="J103" s="34"/>
      <c r="K103" s="38"/>
      <c r="L103" s="35"/>
      <c r="M103" s="66"/>
      <c r="N103" s="66"/>
      <c r="O103" s="66"/>
      <c r="P103" s="66"/>
      <c r="Q103" s="66"/>
      <c r="R103" s="67"/>
      <c r="S103" s="67"/>
      <c r="T103" s="67"/>
      <c r="U103" s="66"/>
      <c r="V103" s="66"/>
      <c r="W103" s="66"/>
      <c r="X103" s="85"/>
      <c r="AP103" t="str">
        <v/>
      </c>
    </row>
    <row r="104" spans="4:42" ht="15.75" x14ac:dyDescent="0.25">
      <c r="D104" s="3">
        <v>1</v>
      </c>
      <c r="F104" s="16" t="str" cm="1">
        <f t="array" ref="F1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4" s="31" cm="1">
        <f t="array" ref="G1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4" s="33" t="str">
        <f>_xlfn.IFNA(IF(MOD(HLG_04[[#This Row],[Rit]],
    _xlfn.XLOOKUP($G$2,Int_Sample[Ore],Int_Sample[Inc])) = 0, "YES", "NO"),"")</f>
        <v/>
      </c>
      <c r="I104" s="32" t="str">
        <f>TEXT(HLG_04[[#This Row],[Batch]],"000")&amp; " / " &amp; TEXT(HLG_04[[#This Row],[Rit]],"000")</f>
        <v>N/A / 000</v>
      </c>
      <c r="J104" s="34"/>
      <c r="K104" s="38"/>
      <c r="L104" s="35"/>
      <c r="M104" s="66"/>
      <c r="N104" s="66"/>
      <c r="O104" s="66"/>
      <c r="P104" s="66"/>
      <c r="Q104" s="66"/>
      <c r="R104" s="67"/>
      <c r="S104" s="67"/>
      <c r="T104" s="67"/>
      <c r="U104" s="66"/>
      <c r="V104" s="66"/>
      <c r="W104" s="66"/>
      <c r="X104" s="85"/>
      <c r="AP104" t="str">
        <v/>
      </c>
    </row>
    <row r="105" spans="4:42" ht="15.75" x14ac:dyDescent="0.25">
      <c r="D105" s="3">
        <v>1</v>
      </c>
      <c r="F105" s="16" t="str" cm="1">
        <f t="array" ref="F1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5" s="31" cm="1">
        <f t="array" ref="G1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5" s="33" t="str">
        <f>_xlfn.IFNA(IF(MOD(HLG_04[[#This Row],[Rit]],
    _xlfn.XLOOKUP($G$2,Int_Sample[Ore],Int_Sample[Inc])) = 0, "YES", "NO"),"")</f>
        <v/>
      </c>
      <c r="I105" s="32" t="str">
        <f>TEXT(HLG_04[[#This Row],[Batch]],"000")&amp; " / " &amp; TEXT(HLG_04[[#This Row],[Rit]],"000")</f>
        <v>N/A / 000</v>
      </c>
      <c r="J105" s="34"/>
      <c r="K105" s="38"/>
      <c r="L105" s="35"/>
      <c r="M105" s="66"/>
      <c r="N105" s="66"/>
      <c r="O105" s="66"/>
      <c r="P105" s="66"/>
      <c r="Q105" s="66"/>
      <c r="R105" s="67"/>
      <c r="S105" s="67"/>
      <c r="T105" s="67"/>
      <c r="U105" s="66"/>
      <c r="V105" s="66"/>
      <c r="W105" s="66"/>
      <c r="X105" s="85"/>
      <c r="AP105" t="str">
        <v/>
      </c>
    </row>
    <row r="106" spans="4:42" ht="15.75" x14ac:dyDescent="0.25">
      <c r="D106" s="3">
        <v>1</v>
      </c>
      <c r="F106" s="16" t="str" cm="1">
        <f t="array" ref="F1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6" s="31" cm="1">
        <f t="array" ref="G1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6" s="33" t="str">
        <f>_xlfn.IFNA(IF(MOD(HLG_04[[#This Row],[Rit]],
    _xlfn.XLOOKUP($G$2,Int_Sample[Ore],Int_Sample[Inc])) = 0, "YES", "NO"),"")</f>
        <v/>
      </c>
      <c r="I106" s="32" t="str">
        <f>TEXT(HLG_04[[#This Row],[Batch]],"000")&amp; " / " &amp; TEXT(HLG_04[[#This Row],[Rit]],"000")</f>
        <v>N/A / 000</v>
      </c>
      <c r="J106" s="34"/>
      <c r="K106" s="38"/>
      <c r="L106" s="35"/>
      <c r="M106" s="66"/>
      <c r="N106" s="66"/>
      <c r="O106" s="66"/>
      <c r="P106" s="66"/>
      <c r="Q106" s="66"/>
      <c r="R106" s="67"/>
      <c r="S106" s="67"/>
      <c r="T106" s="67"/>
      <c r="U106" s="66"/>
      <c r="V106" s="66"/>
      <c r="W106" s="66"/>
      <c r="X106" s="85"/>
      <c r="AP106" t="str">
        <v/>
      </c>
    </row>
    <row r="107" spans="4:42" ht="15.75" x14ac:dyDescent="0.25">
      <c r="D107" s="3">
        <v>1</v>
      </c>
      <c r="F107" s="16" t="str" cm="1">
        <f t="array" ref="F1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7" s="31" cm="1">
        <f t="array" ref="G1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7" s="33" t="str">
        <f>_xlfn.IFNA(IF(MOD(HLG_04[[#This Row],[Rit]],
    _xlfn.XLOOKUP($G$2,Int_Sample[Ore],Int_Sample[Inc])) = 0, "YES", "NO"),"")</f>
        <v/>
      </c>
      <c r="I107" s="32" t="str">
        <f>TEXT(HLG_04[[#This Row],[Batch]],"000")&amp; " / " &amp; TEXT(HLG_04[[#This Row],[Rit]],"000")</f>
        <v>N/A / 000</v>
      </c>
      <c r="J107" s="34"/>
      <c r="K107" s="38"/>
      <c r="L107" s="35"/>
      <c r="M107" s="66"/>
      <c r="N107" s="66"/>
      <c r="O107" s="66"/>
      <c r="P107" s="66"/>
      <c r="Q107" s="66"/>
      <c r="R107" s="67"/>
      <c r="S107" s="67"/>
      <c r="T107" s="67"/>
      <c r="U107" s="66"/>
      <c r="V107" s="66"/>
      <c r="W107" s="66"/>
      <c r="X107" s="85"/>
      <c r="AP107" t="str">
        <v/>
      </c>
    </row>
    <row r="108" spans="4:42" ht="15.75" x14ac:dyDescent="0.25">
      <c r="D108" s="3">
        <v>1</v>
      </c>
      <c r="F108" s="16" t="str" cm="1">
        <f t="array" ref="F1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8" s="31" cm="1">
        <f t="array" ref="G1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8" s="33" t="str">
        <f>_xlfn.IFNA(IF(MOD(HLG_04[[#This Row],[Rit]],
    _xlfn.XLOOKUP($G$2,Int_Sample[Ore],Int_Sample[Inc])) = 0, "YES", "NO"),"")</f>
        <v/>
      </c>
      <c r="I108" s="32" t="str">
        <f>TEXT(HLG_04[[#This Row],[Batch]],"000")&amp; " / " &amp; TEXT(HLG_04[[#This Row],[Rit]],"000")</f>
        <v>N/A / 000</v>
      </c>
      <c r="J108" s="34"/>
      <c r="K108" s="38"/>
      <c r="L108" s="35"/>
      <c r="M108" s="66"/>
      <c r="N108" s="66"/>
      <c r="O108" s="66"/>
      <c r="P108" s="66"/>
      <c r="Q108" s="66"/>
      <c r="R108" s="67"/>
      <c r="S108" s="67"/>
      <c r="T108" s="67"/>
      <c r="U108" s="66"/>
      <c r="V108" s="66"/>
      <c r="W108" s="66"/>
      <c r="X108" s="85"/>
      <c r="AP108" t="str">
        <v/>
      </c>
    </row>
    <row r="109" spans="4:42" ht="15.75" x14ac:dyDescent="0.25">
      <c r="D109" s="3">
        <v>1</v>
      </c>
      <c r="F109" s="16" t="str" cm="1">
        <f t="array" ref="F1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9" s="31" cm="1">
        <f t="array" ref="G1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9" s="33" t="str">
        <f>_xlfn.IFNA(IF(MOD(HLG_04[[#This Row],[Rit]],
    _xlfn.XLOOKUP($G$2,Int_Sample[Ore],Int_Sample[Inc])) = 0, "YES", "NO"),"")</f>
        <v/>
      </c>
      <c r="I109" s="32" t="str">
        <f>TEXT(HLG_04[[#This Row],[Batch]],"000")&amp; " / " &amp; TEXT(HLG_04[[#This Row],[Rit]],"000")</f>
        <v>N/A / 000</v>
      </c>
      <c r="J109" s="34"/>
      <c r="K109" s="38"/>
      <c r="L109" s="35"/>
      <c r="M109" s="66"/>
      <c r="N109" s="66"/>
      <c r="O109" s="66"/>
      <c r="P109" s="66"/>
      <c r="Q109" s="66"/>
      <c r="R109" s="67"/>
      <c r="S109" s="67"/>
      <c r="T109" s="67"/>
      <c r="U109" s="66"/>
      <c r="V109" s="66"/>
      <c r="W109" s="66"/>
      <c r="X109" s="85"/>
      <c r="AP109" t="str">
        <v/>
      </c>
    </row>
    <row r="110" spans="4:42" ht="15.75" x14ac:dyDescent="0.25">
      <c r="D110" s="3">
        <v>1</v>
      </c>
      <c r="F110" s="16" t="str" cm="1">
        <f t="array" ref="F1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0" s="31" cm="1">
        <f t="array" ref="G1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0" s="33" t="str">
        <f>_xlfn.IFNA(IF(MOD(HLG_04[[#This Row],[Rit]],
    _xlfn.XLOOKUP($G$2,Int_Sample[Ore],Int_Sample[Inc])) = 0, "YES", "NO"),"")</f>
        <v/>
      </c>
      <c r="I110" s="32" t="str">
        <f>TEXT(HLG_04[[#This Row],[Batch]],"000")&amp; " / " &amp; TEXT(HLG_04[[#This Row],[Rit]],"000")</f>
        <v>N/A / 000</v>
      </c>
      <c r="J110" s="34"/>
      <c r="K110" s="38"/>
      <c r="L110" s="35"/>
      <c r="M110" s="66"/>
      <c r="N110" s="66"/>
      <c r="O110" s="66"/>
      <c r="P110" s="66"/>
      <c r="Q110" s="66"/>
      <c r="R110" s="67"/>
      <c r="S110" s="67"/>
      <c r="T110" s="67"/>
      <c r="U110" s="66"/>
      <c r="V110" s="66"/>
      <c r="W110" s="66"/>
      <c r="X110" s="85"/>
      <c r="AP110" t="str">
        <v/>
      </c>
    </row>
    <row r="111" spans="4:42" ht="15.75" x14ac:dyDescent="0.25">
      <c r="D111" s="3">
        <v>1</v>
      </c>
      <c r="F111" s="16" t="str" cm="1">
        <f t="array" ref="F1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1" s="31" cm="1">
        <f t="array" ref="G1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1" s="33" t="str">
        <f>_xlfn.IFNA(IF(MOD(HLG_04[[#This Row],[Rit]],
    _xlfn.XLOOKUP($G$2,Int_Sample[Ore],Int_Sample[Inc])) = 0, "YES", "NO"),"")</f>
        <v/>
      </c>
      <c r="I111" s="32" t="str">
        <f>TEXT(HLG_04[[#This Row],[Batch]],"000")&amp; " / " &amp; TEXT(HLG_04[[#This Row],[Rit]],"000")</f>
        <v>N/A / 000</v>
      </c>
      <c r="J111" s="34"/>
      <c r="K111" s="38"/>
      <c r="L111" s="35"/>
      <c r="M111" s="66"/>
      <c r="N111" s="66"/>
      <c r="O111" s="66"/>
      <c r="P111" s="66"/>
      <c r="Q111" s="66"/>
      <c r="R111" s="67"/>
      <c r="S111" s="67"/>
      <c r="T111" s="67"/>
      <c r="U111" s="66"/>
      <c r="V111" s="66"/>
      <c r="W111" s="66"/>
      <c r="X111" s="85"/>
      <c r="AP111" t="str">
        <v/>
      </c>
    </row>
    <row r="112" spans="4:42" ht="15.75" x14ac:dyDescent="0.25">
      <c r="D112" s="3">
        <v>1</v>
      </c>
      <c r="F112" s="16" t="str" cm="1">
        <f t="array" ref="F1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2" s="31" cm="1">
        <f t="array" ref="G1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2" s="33" t="str">
        <f>_xlfn.IFNA(IF(MOD(HLG_04[[#This Row],[Rit]],
    _xlfn.XLOOKUP($G$2,Int_Sample[Ore],Int_Sample[Inc])) = 0, "YES", "NO"),"")</f>
        <v/>
      </c>
      <c r="I112" s="32" t="str">
        <f>TEXT(HLG_04[[#This Row],[Batch]],"000")&amp; " / " &amp; TEXT(HLG_04[[#This Row],[Rit]],"000")</f>
        <v>N/A / 000</v>
      </c>
      <c r="J112" s="34"/>
      <c r="K112" s="38"/>
      <c r="L112" s="35"/>
      <c r="M112" s="66"/>
      <c r="N112" s="66"/>
      <c r="O112" s="66"/>
      <c r="P112" s="66"/>
      <c r="Q112" s="66"/>
      <c r="R112" s="67"/>
      <c r="S112" s="67"/>
      <c r="T112" s="67"/>
      <c r="U112" s="66"/>
      <c r="V112" s="66"/>
      <c r="W112" s="66"/>
      <c r="X112" s="85"/>
      <c r="AP112" t="str">
        <v/>
      </c>
    </row>
    <row r="113" spans="4:42" ht="15.75" x14ac:dyDescent="0.25">
      <c r="D113" s="3">
        <v>1</v>
      </c>
      <c r="F113" s="16" t="str" cm="1">
        <f t="array" ref="F1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3" s="31" cm="1">
        <f t="array" ref="G1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3" s="33" t="str">
        <f>_xlfn.IFNA(IF(MOD(HLG_04[[#This Row],[Rit]],
    _xlfn.XLOOKUP($G$2,Int_Sample[Ore],Int_Sample[Inc])) = 0, "YES", "NO"),"")</f>
        <v/>
      </c>
      <c r="I113" s="32" t="str">
        <f>TEXT(HLG_04[[#This Row],[Batch]],"000")&amp; " / " &amp; TEXT(HLG_04[[#This Row],[Rit]],"000")</f>
        <v>N/A / 000</v>
      </c>
      <c r="J113" s="34"/>
      <c r="K113" s="38"/>
      <c r="L113" s="35"/>
      <c r="M113" s="66"/>
      <c r="N113" s="66"/>
      <c r="O113" s="66"/>
      <c r="P113" s="66"/>
      <c r="Q113" s="66"/>
      <c r="R113" s="67"/>
      <c r="S113" s="67"/>
      <c r="T113" s="67"/>
      <c r="U113" s="66"/>
      <c r="V113" s="66"/>
      <c r="W113" s="66"/>
      <c r="X113" s="85"/>
      <c r="AP113" t="str">
        <v/>
      </c>
    </row>
    <row r="114" spans="4:42" ht="15.75" x14ac:dyDescent="0.25">
      <c r="D114" s="3">
        <v>1</v>
      </c>
      <c r="F114" s="16" t="str" cm="1">
        <f t="array" ref="F1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4" s="31" cm="1">
        <f t="array" ref="G1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4" s="33" t="str">
        <f>_xlfn.IFNA(IF(MOD(HLG_04[[#This Row],[Rit]],
    _xlfn.XLOOKUP($G$2,Int_Sample[Ore],Int_Sample[Inc])) = 0, "YES", "NO"),"")</f>
        <v/>
      </c>
      <c r="I114" s="32" t="str">
        <f>TEXT(HLG_04[[#This Row],[Batch]],"000")&amp; " / " &amp; TEXT(HLG_04[[#This Row],[Rit]],"000")</f>
        <v>N/A / 000</v>
      </c>
      <c r="J114" s="34"/>
      <c r="K114" s="38"/>
      <c r="L114" s="35"/>
      <c r="M114" s="66"/>
      <c r="N114" s="66"/>
      <c r="O114" s="66"/>
      <c r="P114" s="66"/>
      <c r="Q114" s="66"/>
      <c r="R114" s="67"/>
      <c r="S114" s="67"/>
      <c r="T114" s="67"/>
      <c r="U114" s="66"/>
      <c r="V114" s="66"/>
      <c r="W114" s="66"/>
      <c r="X114" s="85"/>
      <c r="AP114" t="str">
        <v/>
      </c>
    </row>
    <row r="115" spans="4:42" ht="15.75" x14ac:dyDescent="0.25">
      <c r="D115" s="3">
        <v>1</v>
      </c>
      <c r="F115" s="16" t="str" cm="1">
        <f t="array" ref="F1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5" s="31" cm="1">
        <f t="array" ref="G1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5" s="33" t="str">
        <f>_xlfn.IFNA(IF(MOD(HLG_04[[#This Row],[Rit]],
    _xlfn.XLOOKUP($G$2,Int_Sample[Ore],Int_Sample[Inc])) = 0, "YES", "NO"),"")</f>
        <v/>
      </c>
      <c r="I115" s="32" t="str">
        <f>TEXT(HLG_04[[#This Row],[Batch]],"000")&amp; " / " &amp; TEXT(HLG_04[[#This Row],[Rit]],"000")</f>
        <v>N/A / 000</v>
      </c>
      <c r="J115" s="34"/>
      <c r="K115" s="38"/>
      <c r="L115" s="35"/>
      <c r="M115" s="66"/>
      <c r="N115" s="66"/>
      <c r="O115" s="66"/>
      <c r="P115" s="66"/>
      <c r="Q115" s="66"/>
      <c r="R115" s="67"/>
      <c r="S115" s="67"/>
      <c r="T115" s="67"/>
      <c r="U115" s="66"/>
      <c r="V115" s="66"/>
      <c r="W115" s="66"/>
      <c r="X115" s="85"/>
      <c r="AP115" t="str">
        <v/>
      </c>
    </row>
    <row r="116" spans="4:42" ht="15.75" x14ac:dyDescent="0.25">
      <c r="D116" s="3">
        <v>1</v>
      </c>
      <c r="F116" s="16" t="str" cm="1">
        <f t="array" ref="F1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6" s="31" cm="1">
        <f t="array" ref="G1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6" s="33" t="str">
        <f>_xlfn.IFNA(IF(MOD(HLG_04[[#This Row],[Rit]],
    _xlfn.XLOOKUP($G$2,Int_Sample[Ore],Int_Sample[Inc])) = 0, "YES", "NO"),"")</f>
        <v/>
      </c>
      <c r="I116" s="32" t="str">
        <f>TEXT(HLG_04[[#This Row],[Batch]],"000")&amp; " / " &amp; TEXT(HLG_04[[#This Row],[Rit]],"000")</f>
        <v>N/A / 000</v>
      </c>
      <c r="J116" s="34"/>
      <c r="K116" s="38"/>
      <c r="L116" s="35"/>
      <c r="M116" s="66"/>
      <c r="N116" s="66"/>
      <c r="O116" s="66"/>
      <c r="P116" s="66"/>
      <c r="Q116" s="66"/>
      <c r="R116" s="67"/>
      <c r="S116" s="67"/>
      <c r="T116" s="67"/>
      <c r="U116" s="66"/>
      <c r="V116" s="66"/>
      <c r="W116" s="66"/>
      <c r="X116" s="85"/>
      <c r="AP116" t="str">
        <v/>
      </c>
    </row>
    <row r="117" spans="4:42" ht="15.75" x14ac:dyDescent="0.25">
      <c r="D117" s="3">
        <v>1</v>
      </c>
      <c r="F117" s="16" t="str" cm="1">
        <f t="array" ref="F1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7" s="31" cm="1">
        <f t="array" ref="G1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7" s="33" t="str">
        <f>_xlfn.IFNA(IF(MOD(HLG_04[[#This Row],[Rit]],
    _xlfn.XLOOKUP($G$2,Int_Sample[Ore],Int_Sample[Inc])) = 0, "YES", "NO"),"")</f>
        <v/>
      </c>
      <c r="I117" s="32" t="str">
        <f>TEXT(HLG_04[[#This Row],[Batch]],"000")&amp; " / " &amp; TEXT(HLG_04[[#This Row],[Rit]],"000")</f>
        <v>N/A / 000</v>
      </c>
      <c r="J117" s="34"/>
      <c r="K117" s="38"/>
      <c r="L117" s="35"/>
      <c r="M117" s="66"/>
      <c r="N117" s="66"/>
      <c r="O117" s="66"/>
      <c r="P117" s="66"/>
      <c r="Q117" s="66"/>
      <c r="R117" s="67"/>
      <c r="S117" s="67"/>
      <c r="T117" s="67"/>
      <c r="U117" s="66"/>
      <c r="V117" s="66"/>
      <c r="W117" s="66"/>
      <c r="X117" s="85"/>
      <c r="AP117" t="str">
        <v/>
      </c>
    </row>
    <row r="118" spans="4:42" ht="15.75" x14ac:dyDescent="0.25">
      <c r="D118" s="3">
        <v>1</v>
      </c>
      <c r="F118" s="16" t="str" cm="1">
        <f t="array" ref="F1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8" s="31" cm="1">
        <f t="array" ref="G1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8" s="33" t="str">
        <f>_xlfn.IFNA(IF(MOD(HLG_04[[#This Row],[Rit]],
    _xlfn.XLOOKUP($G$2,Int_Sample[Ore],Int_Sample[Inc])) = 0, "YES", "NO"),"")</f>
        <v/>
      </c>
      <c r="I118" s="32" t="str">
        <f>TEXT(HLG_04[[#This Row],[Batch]],"000")&amp; " / " &amp; TEXT(HLG_04[[#This Row],[Rit]],"000")</f>
        <v>N/A / 000</v>
      </c>
      <c r="J118" s="34"/>
      <c r="K118" s="38"/>
      <c r="L118" s="35"/>
      <c r="M118" s="66"/>
      <c r="N118" s="66"/>
      <c r="O118" s="66"/>
      <c r="P118" s="66"/>
      <c r="Q118" s="66"/>
      <c r="R118" s="67"/>
      <c r="S118" s="67"/>
      <c r="T118" s="67"/>
      <c r="U118" s="66"/>
      <c r="V118" s="66"/>
      <c r="W118" s="66"/>
      <c r="X118" s="85"/>
      <c r="AP118" t="str">
        <v/>
      </c>
    </row>
    <row r="119" spans="4:42" ht="15.75" x14ac:dyDescent="0.25">
      <c r="D119" s="3">
        <v>1</v>
      </c>
      <c r="F119" s="16" t="str" cm="1">
        <f t="array" ref="F1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9" s="31" cm="1">
        <f t="array" ref="G1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9" s="33" t="str">
        <f>_xlfn.IFNA(IF(MOD(HLG_04[[#This Row],[Rit]],
    _xlfn.XLOOKUP($G$2,Int_Sample[Ore],Int_Sample[Inc])) = 0, "YES", "NO"),"")</f>
        <v/>
      </c>
      <c r="I119" s="32" t="str">
        <f>TEXT(HLG_04[[#This Row],[Batch]],"000")&amp; " / " &amp; TEXT(HLG_04[[#This Row],[Rit]],"000")</f>
        <v>N/A / 000</v>
      </c>
      <c r="J119" s="34"/>
      <c r="K119" s="38"/>
      <c r="L119" s="35"/>
      <c r="M119" s="66"/>
      <c r="N119" s="66"/>
      <c r="O119" s="66"/>
      <c r="P119" s="66"/>
      <c r="Q119" s="66"/>
      <c r="R119" s="67"/>
      <c r="S119" s="67"/>
      <c r="T119" s="67"/>
      <c r="U119" s="66"/>
      <c r="V119" s="66"/>
      <c r="W119" s="66"/>
      <c r="X119" s="85"/>
      <c r="AP119" t="str">
        <v/>
      </c>
    </row>
    <row r="120" spans="4:42" ht="15.75" x14ac:dyDescent="0.25">
      <c r="D120" s="3">
        <v>1</v>
      </c>
      <c r="F120" s="16" t="str" cm="1">
        <f t="array" ref="F1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0" s="31" cm="1">
        <f t="array" ref="G1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0" s="33" t="str">
        <f>_xlfn.IFNA(IF(MOD(HLG_04[[#This Row],[Rit]],
    _xlfn.XLOOKUP($G$2,Int_Sample[Ore],Int_Sample[Inc])) = 0, "YES", "NO"),"")</f>
        <v/>
      </c>
      <c r="I120" s="32" t="str">
        <f>TEXT(HLG_04[[#This Row],[Batch]],"000")&amp; " / " &amp; TEXT(HLG_04[[#This Row],[Rit]],"000")</f>
        <v>N/A / 000</v>
      </c>
      <c r="J120" s="34"/>
      <c r="K120" s="38"/>
      <c r="L120" s="35"/>
      <c r="M120" s="66"/>
      <c r="N120" s="66"/>
      <c r="O120" s="66"/>
      <c r="P120" s="66"/>
      <c r="Q120" s="66"/>
      <c r="R120" s="67"/>
      <c r="S120" s="67"/>
      <c r="T120" s="67"/>
      <c r="U120" s="66"/>
      <c r="V120" s="66"/>
      <c r="W120" s="66"/>
      <c r="X120" s="85"/>
      <c r="AP120" t="str">
        <v/>
      </c>
    </row>
    <row r="121" spans="4:42" ht="15.75" x14ac:dyDescent="0.25">
      <c r="D121" s="3">
        <v>1</v>
      </c>
      <c r="F121" s="16" t="str" cm="1">
        <f t="array" ref="F1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1" s="31" cm="1">
        <f t="array" ref="G1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1" s="33" t="str">
        <f>_xlfn.IFNA(IF(MOD(HLG_04[[#This Row],[Rit]],
    _xlfn.XLOOKUP($G$2,Int_Sample[Ore],Int_Sample[Inc])) = 0, "YES", "NO"),"")</f>
        <v/>
      </c>
      <c r="I121" s="32" t="str">
        <f>TEXT(HLG_04[[#This Row],[Batch]],"000")&amp; " / " &amp; TEXT(HLG_04[[#This Row],[Rit]],"000")</f>
        <v>N/A / 000</v>
      </c>
      <c r="J121" s="34"/>
      <c r="K121" s="38"/>
      <c r="L121" s="35"/>
      <c r="M121" s="66"/>
      <c r="N121" s="66"/>
      <c r="O121" s="66"/>
      <c r="P121" s="66"/>
      <c r="Q121" s="66"/>
      <c r="R121" s="67"/>
      <c r="S121" s="67"/>
      <c r="T121" s="67"/>
      <c r="U121" s="66"/>
      <c r="V121" s="66"/>
      <c r="W121" s="66"/>
      <c r="X121" s="85"/>
      <c r="AP121" t="str">
        <v/>
      </c>
    </row>
    <row r="122" spans="4:42" ht="15.75" x14ac:dyDescent="0.25">
      <c r="D122" s="3">
        <v>1</v>
      </c>
      <c r="F122" s="16" t="str" cm="1">
        <f t="array" ref="F1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2" s="31" cm="1">
        <f t="array" ref="G1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2" s="33" t="str">
        <f>_xlfn.IFNA(IF(MOD(HLG_04[[#This Row],[Rit]],
    _xlfn.XLOOKUP($G$2,Int_Sample[Ore],Int_Sample[Inc])) = 0, "YES", "NO"),"")</f>
        <v/>
      </c>
      <c r="I122" s="32" t="str">
        <f>TEXT(HLG_04[[#This Row],[Batch]],"000")&amp; " / " &amp; TEXT(HLG_04[[#This Row],[Rit]],"000")</f>
        <v>N/A / 000</v>
      </c>
      <c r="J122" s="34"/>
      <c r="K122" s="38"/>
      <c r="L122" s="35"/>
      <c r="M122" s="66"/>
      <c r="N122" s="66"/>
      <c r="O122" s="66"/>
      <c r="P122" s="66"/>
      <c r="Q122" s="66"/>
      <c r="R122" s="67"/>
      <c r="S122" s="67"/>
      <c r="T122" s="67"/>
      <c r="U122" s="66"/>
      <c r="V122" s="66"/>
      <c r="W122" s="66"/>
      <c r="X122" s="85"/>
      <c r="AP122" t="str">
        <v/>
      </c>
    </row>
    <row r="123" spans="4:42" ht="15.75" x14ac:dyDescent="0.25">
      <c r="D123" s="3">
        <v>1</v>
      </c>
      <c r="F123" s="16" t="str" cm="1">
        <f t="array" ref="F1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3" s="31" cm="1">
        <f t="array" ref="G1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3" s="33" t="str">
        <f>_xlfn.IFNA(IF(MOD(HLG_04[[#This Row],[Rit]],
    _xlfn.XLOOKUP($G$2,Int_Sample[Ore],Int_Sample[Inc])) = 0, "YES", "NO"),"")</f>
        <v/>
      </c>
      <c r="I123" s="32" t="str">
        <f>TEXT(HLG_04[[#This Row],[Batch]],"000")&amp; " / " &amp; TEXT(HLG_04[[#This Row],[Rit]],"000")</f>
        <v>N/A / 000</v>
      </c>
      <c r="J123" s="34"/>
      <c r="K123" s="38"/>
      <c r="L123" s="35"/>
      <c r="M123" s="66"/>
      <c r="N123" s="66"/>
      <c r="O123" s="66"/>
      <c r="P123" s="66"/>
      <c r="Q123" s="66"/>
      <c r="R123" s="67"/>
      <c r="S123" s="67"/>
      <c r="T123" s="67"/>
      <c r="U123" s="66"/>
      <c r="V123" s="66"/>
      <c r="W123" s="66"/>
      <c r="X123" s="85"/>
      <c r="AP123" t="str">
        <v/>
      </c>
    </row>
    <row r="124" spans="4:42" ht="15.75" x14ac:dyDescent="0.25">
      <c r="D124" s="3">
        <v>1</v>
      </c>
      <c r="F124" s="16" t="str" cm="1">
        <f t="array" ref="F1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4" s="31" cm="1">
        <f t="array" ref="G1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4" s="33" t="str">
        <f>_xlfn.IFNA(IF(MOD(HLG_04[[#This Row],[Rit]],
    _xlfn.XLOOKUP($G$2,Int_Sample[Ore],Int_Sample[Inc])) = 0, "YES", "NO"),"")</f>
        <v/>
      </c>
      <c r="I124" s="32" t="str">
        <f>TEXT(HLG_04[[#This Row],[Batch]],"000")&amp; " / " &amp; TEXT(HLG_04[[#This Row],[Rit]],"000")</f>
        <v>N/A / 000</v>
      </c>
      <c r="J124" s="34"/>
      <c r="K124" s="38"/>
      <c r="L124" s="35"/>
      <c r="M124" s="66"/>
      <c r="N124" s="66"/>
      <c r="O124" s="66"/>
      <c r="P124" s="66"/>
      <c r="Q124" s="66"/>
      <c r="R124" s="67"/>
      <c r="S124" s="67"/>
      <c r="T124" s="67"/>
      <c r="U124" s="66"/>
      <c r="V124" s="66"/>
      <c r="W124" s="66"/>
      <c r="X124" s="85"/>
      <c r="AP124" t="str">
        <v/>
      </c>
    </row>
    <row r="125" spans="4:42" ht="15.75" x14ac:dyDescent="0.25">
      <c r="D125" s="3">
        <v>1</v>
      </c>
      <c r="F125" s="16" t="str" cm="1">
        <f t="array" ref="F1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5" s="31" cm="1">
        <f t="array" ref="G1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5" s="33" t="str">
        <f>_xlfn.IFNA(IF(MOD(HLG_04[[#This Row],[Rit]],
    _xlfn.XLOOKUP($G$2,Int_Sample[Ore],Int_Sample[Inc])) = 0, "YES", "NO"),"")</f>
        <v/>
      </c>
      <c r="I125" s="32" t="str">
        <f>TEXT(HLG_04[[#This Row],[Batch]],"000")&amp; " / " &amp; TEXT(HLG_04[[#This Row],[Rit]],"000")</f>
        <v>N/A / 000</v>
      </c>
      <c r="J125" s="34"/>
      <c r="K125" s="38"/>
      <c r="L125" s="35"/>
      <c r="M125" s="66"/>
      <c r="N125" s="66"/>
      <c r="O125" s="66"/>
      <c r="P125" s="66"/>
      <c r="Q125" s="66"/>
      <c r="R125" s="67"/>
      <c r="S125" s="67"/>
      <c r="T125" s="67"/>
      <c r="U125" s="66"/>
      <c r="V125" s="66"/>
      <c r="W125" s="66"/>
      <c r="X125" s="85"/>
      <c r="AP125" t="str">
        <v/>
      </c>
    </row>
    <row r="126" spans="4:42" ht="15.75" x14ac:dyDescent="0.25">
      <c r="D126" s="3">
        <v>1</v>
      </c>
      <c r="F126" s="16" t="str" cm="1">
        <f t="array" ref="F1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6" s="31" cm="1">
        <f t="array" ref="G1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6" s="33" t="str">
        <f>_xlfn.IFNA(IF(MOD(HLG_04[[#This Row],[Rit]],
    _xlfn.XLOOKUP($G$2,Int_Sample[Ore],Int_Sample[Inc])) = 0, "YES", "NO"),"")</f>
        <v/>
      </c>
      <c r="I126" s="32" t="str">
        <f>TEXT(HLG_04[[#This Row],[Batch]],"000")&amp; " / " &amp; TEXT(HLG_04[[#This Row],[Rit]],"000")</f>
        <v>N/A / 000</v>
      </c>
      <c r="J126" s="34"/>
      <c r="K126" s="38"/>
      <c r="L126" s="35"/>
      <c r="M126" s="66"/>
      <c r="N126" s="66"/>
      <c r="O126" s="66"/>
      <c r="P126" s="66"/>
      <c r="Q126" s="66"/>
      <c r="R126" s="67"/>
      <c r="S126" s="67"/>
      <c r="T126" s="67"/>
      <c r="U126" s="66"/>
      <c r="V126" s="66"/>
      <c r="W126" s="66"/>
      <c r="X126" s="85"/>
      <c r="AP126" t="str">
        <v/>
      </c>
    </row>
    <row r="127" spans="4:42" ht="15.75" x14ac:dyDescent="0.25">
      <c r="D127" s="3">
        <v>1</v>
      </c>
      <c r="F127" s="16" t="str" cm="1">
        <f t="array" ref="F1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7" s="31" cm="1">
        <f t="array" ref="G1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7" s="33" t="str">
        <f>_xlfn.IFNA(IF(MOD(HLG_04[[#This Row],[Rit]],
    _xlfn.XLOOKUP($G$2,Int_Sample[Ore],Int_Sample[Inc])) = 0, "YES", "NO"),"")</f>
        <v/>
      </c>
      <c r="I127" s="32" t="str">
        <f>TEXT(HLG_04[[#This Row],[Batch]],"000")&amp; " / " &amp; TEXT(HLG_04[[#This Row],[Rit]],"000")</f>
        <v>N/A / 000</v>
      </c>
      <c r="J127" s="34"/>
      <c r="K127" s="38"/>
      <c r="L127" s="35"/>
      <c r="M127" s="66"/>
      <c r="N127" s="66"/>
      <c r="O127" s="66"/>
      <c r="P127" s="66"/>
      <c r="Q127" s="66"/>
      <c r="R127" s="67"/>
      <c r="S127" s="67"/>
      <c r="T127" s="67"/>
      <c r="U127" s="66"/>
      <c r="V127" s="66"/>
      <c r="W127" s="66"/>
      <c r="X127" s="85"/>
      <c r="AP127" t="str">
        <v/>
      </c>
    </row>
    <row r="128" spans="4:42" ht="15.75" x14ac:dyDescent="0.25">
      <c r="D128" s="3">
        <v>1</v>
      </c>
      <c r="F128" s="16" t="str" cm="1">
        <f t="array" ref="F1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8" s="31" cm="1">
        <f t="array" ref="G1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8" s="33" t="str">
        <f>_xlfn.IFNA(IF(MOD(HLG_04[[#This Row],[Rit]],
    _xlfn.XLOOKUP($G$2,Int_Sample[Ore],Int_Sample[Inc])) = 0, "YES", "NO"),"")</f>
        <v/>
      </c>
      <c r="I128" s="32" t="str">
        <f>TEXT(HLG_04[[#This Row],[Batch]],"000")&amp; " / " &amp; TEXT(HLG_04[[#This Row],[Rit]],"000")</f>
        <v>N/A / 000</v>
      </c>
      <c r="J128" s="34"/>
      <c r="K128" s="38"/>
      <c r="L128" s="35"/>
      <c r="M128" s="66"/>
      <c r="N128" s="66"/>
      <c r="O128" s="66"/>
      <c r="P128" s="66"/>
      <c r="Q128" s="66"/>
      <c r="R128" s="67"/>
      <c r="S128" s="67"/>
      <c r="T128" s="67"/>
      <c r="U128" s="66"/>
      <c r="V128" s="66"/>
      <c r="W128" s="66"/>
      <c r="X128" s="85"/>
      <c r="AP128" t="str">
        <v/>
      </c>
    </row>
    <row r="129" spans="4:42" ht="15.75" x14ac:dyDescent="0.25">
      <c r="D129" s="3">
        <v>1</v>
      </c>
      <c r="F129" s="16" t="str" cm="1">
        <f t="array" ref="F1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9" s="31" cm="1">
        <f t="array" ref="G1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9" s="33" t="str">
        <f>_xlfn.IFNA(IF(MOD(HLG_04[[#This Row],[Rit]],
    _xlfn.XLOOKUP($G$2,Int_Sample[Ore],Int_Sample[Inc])) = 0, "YES", "NO"),"")</f>
        <v/>
      </c>
      <c r="I129" s="32" t="str">
        <f>TEXT(HLG_04[[#This Row],[Batch]],"000")&amp; " / " &amp; TEXT(HLG_04[[#This Row],[Rit]],"000")</f>
        <v>N/A / 000</v>
      </c>
      <c r="J129" s="34"/>
      <c r="K129" s="38"/>
      <c r="L129" s="35"/>
      <c r="M129" s="66"/>
      <c r="N129" s="66"/>
      <c r="O129" s="66"/>
      <c r="P129" s="66"/>
      <c r="Q129" s="66"/>
      <c r="R129" s="67"/>
      <c r="S129" s="67"/>
      <c r="T129" s="67"/>
      <c r="U129" s="66"/>
      <c r="V129" s="66"/>
      <c r="W129" s="66"/>
      <c r="X129" s="85"/>
      <c r="AP129" t="str">
        <v/>
      </c>
    </row>
    <row r="130" spans="4:42" ht="15.75" x14ac:dyDescent="0.25">
      <c r="D130" s="3">
        <v>1</v>
      </c>
      <c r="F130" s="16" t="str" cm="1">
        <f t="array" ref="F1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0" s="31" cm="1">
        <f t="array" ref="G1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0" s="33" t="str">
        <f>_xlfn.IFNA(IF(MOD(HLG_04[[#This Row],[Rit]],
    _xlfn.XLOOKUP($G$2,Int_Sample[Ore],Int_Sample[Inc])) = 0, "YES", "NO"),"")</f>
        <v/>
      </c>
      <c r="I130" s="32" t="str">
        <f>TEXT(HLG_04[[#This Row],[Batch]],"000")&amp; " / " &amp; TEXT(HLG_04[[#This Row],[Rit]],"000")</f>
        <v>N/A / 000</v>
      </c>
      <c r="J130" s="34"/>
      <c r="K130" s="38"/>
      <c r="L130" s="35"/>
      <c r="M130" s="66"/>
      <c r="N130" s="66"/>
      <c r="O130" s="66"/>
      <c r="P130" s="66"/>
      <c r="Q130" s="66"/>
      <c r="R130" s="67"/>
      <c r="S130" s="67"/>
      <c r="T130" s="67"/>
      <c r="U130" s="66"/>
      <c r="V130" s="66"/>
      <c r="W130" s="66"/>
      <c r="X130" s="85"/>
      <c r="AP130" t="str">
        <v/>
      </c>
    </row>
    <row r="131" spans="4:42" ht="15.75" x14ac:dyDescent="0.25">
      <c r="D131" s="3">
        <v>1</v>
      </c>
      <c r="F131" s="16" t="str" cm="1">
        <f t="array" ref="F1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1" s="31" cm="1">
        <f t="array" ref="G1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1" s="33" t="str">
        <f>_xlfn.IFNA(IF(MOD(HLG_04[[#This Row],[Rit]],
    _xlfn.XLOOKUP($G$2,Int_Sample[Ore],Int_Sample[Inc])) = 0, "YES", "NO"),"")</f>
        <v/>
      </c>
      <c r="I131" s="32" t="str">
        <f>TEXT(HLG_04[[#This Row],[Batch]],"000")&amp; " / " &amp; TEXT(HLG_04[[#This Row],[Rit]],"000")</f>
        <v>N/A / 000</v>
      </c>
      <c r="J131" s="34"/>
      <c r="K131" s="38"/>
      <c r="L131" s="35"/>
      <c r="M131" s="66"/>
      <c r="N131" s="66"/>
      <c r="O131" s="66"/>
      <c r="P131" s="66"/>
      <c r="Q131" s="66"/>
      <c r="R131" s="67"/>
      <c r="S131" s="67"/>
      <c r="T131" s="67"/>
      <c r="U131" s="66"/>
      <c r="V131" s="66"/>
      <c r="W131" s="66"/>
      <c r="X131" s="85"/>
      <c r="AP131" t="str">
        <v/>
      </c>
    </row>
    <row r="132" spans="4:42" ht="15.75" x14ac:dyDescent="0.25">
      <c r="D132" s="3">
        <v>1</v>
      </c>
      <c r="F132" s="16" t="str" cm="1">
        <f t="array" ref="F1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2" s="31" cm="1">
        <f t="array" ref="G1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2" s="33" t="str">
        <f>_xlfn.IFNA(IF(MOD(HLG_04[[#This Row],[Rit]],
    _xlfn.XLOOKUP($G$2,Int_Sample[Ore],Int_Sample[Inc])) = 0, "YES", "NO"),"")</f>
        <v/>
      </c>
      <c r="I132" s="32" t="str">
        <f>TEXT(HLG_04[[#This Row],[Batch]],"000")&amp; " / " &amp; TEXT(HLG_04[[#This Row],[Rit]],"000")</f>
        <v>N/A / 000</v>
      </c>
      <c r="J132" s="34"/>
      <c r="K132" s="38"/>
      <c r="L132" s="35"/>
      <c r="M132" s="66"/>
      <c r="N132" s="66"/>
      <c r="O132" s="66"/>
      <c r="P132" s="66"/>
      <c r="Q132" s="66"/>
      <c r="R132" s="67"/>
      <c r="S132" s="67"/>
      <c r="T132" s="67"/>
      <c r="U132" s="66"/>
      <c r="V132" s="66"/>
      <c r="W132" s="66"/>
      <c r="X132" s="85"/>
      <c r="AP132" t="str">
        <v/>
      </c>
    </row>
    <row r="133" spans="4:42" ht="15.75" x14ac:dyDescent="0.25">
      <c r="D133" s="3">
        <v>1</v>
      </c>
      <c r="F133" s="16" t="str" cm="1">
        <f t="array" ref="F1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3" s="31" cm="1">
        <f t="array" ref="G1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3" s="33" t="str">
        <f>_xlfn.IFNA(IF(MOD(HLG_04[[#This Row],[Rit]],
    _xlfn.XLOOKUP($G$2,Int_Sample[Ore],Int_Sample[Inc])) = 0, "YES", "NO"),"")</f>
        <v/>
      </c>
      <c r="I133" s="32" t="str">
        <f>TEXT(HLG_04[[#This Row],[Batch]],"000")&amp; " / " &amp; TEXT(HLG_04[[#This Row],[Rit]],"000")</f>
        <v>N/A / 000</v>
      </c>
      <c r="J133" s="34"/>
      <c r="K133" s="38"/>
      <c r="L133" s="35"/>
      <c r="M133" s="66"/>
      <c r="N133" s="66"/>
      <c r="O133" s="66"/>
      <c r="P133" s="66"/>
      <c r="Q133" s="66"/>
      <c r="R133" s="67"/>
      <c r="S133" s="67"/>
      <c r="T133" s="67"/>
      <c r="U133" s="66"/>
      <c r="V133" s="66"/>
      <c r="W133" s="66"/>
      <c r="X133" s="85"/>
      <c r="AP133" t="str">
        <v/>
      </c>
    </row>
    <row r="134" spans="4:42" ht="15.75" x14ac:dyDescent="0.25">
      <c r="D134" s="3">
        <v>1</v>
      </c>
      <c r="F134" s="16" t="str" cm="1">
        <f t="array" ref="F1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4" s="31" cm="1">
        <f t="array" ref="G1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4" s="33" t="str">
        <f>_xlfn.IFNA(IF(MOD(HLG_04[[#This Row],[Rit]],
    _xlfn.XLOOKUP($G$2,Int_Sample[Ore],Int_Sample[Inc])) = 0, "YES", "NO"),"")</f>
        <v/>
      </c>
      <c r="I134" s="32" t="str">
        <f>TEXT(HLG_04[[#This Row],[Batch]],"000")&amp; " / " &amp; TEXT(HLG_04[[#This Row],[Rit]],"000")</f>
        <v>N/A / 000</v>
      </c>
      <c r="J134" s="34"/>
      <c r="K134" s="38"/>
      <c r="L134" s="35"/>
      <c r="M134" s="66"/>
      <c r="N134" s="66"/>
      <c r="O134" s="66"/>
      <c r="P134" s="66"/>
      <c r="Q134" s="66"/>
      <c r="R134" s="67"/>
      <c r="S134" s="67"/>
      <c r="T134" s="67"/>
      <c r="U134" s="66"/>
      <c r="V134" s="66"/>
      <c r="W134" s="66"/>
      <c r="X134" s="85"/>
      <c r="AP134" t="str">
        <v/>
      </c>
    </row>
    <row r="135" spans="4:42" ht="15.75" x14ac:dyDescent="0.25">
      <c r="D135" s="3">
        <v>1</v>
      </c>
      <c r="F135" s="16" t="str" cm="1">
        <f t="array" ref="F1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5" s="31" cm="1">
        <f t="array" ref="G1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5" s="33" t="str">
        <f>_xlfn.IFNA(IF(MOD(HLG_04[[#This Row],[Rit]],
    _xlfn.XLOOKUP($G$2,Int_Sample[Ore],Int_Sample[Inc])) = 0, "YES", "NO"),"")</f>
        <v/>
      </c>
      <c r="I135" s="32" t="str">
        <f>TEXT(HLG_04[[#This Row],[Batch]],"000")&amp; " / " &amp; TEXT(HLG_04[[#This Row],[Rit]],"000")</f>
        <v>N/A / 000</v>
      </c>
      <c r="J135" s="34"/>
      <c r="K135" s="38"/>
      <c r="L135" s="35"/>
      <c r="M135" s="66"/>
      <c r="N135" s="66"/>
      <c r="O135" s="66"/>
      <c r="P135" s="66"/>
      <c r="Q135" s="66"/>
      <c r="R135" s="67"/>
      <c r="S135" s="67"/>
      <c r="T135" s="67"/>
      <c r="U135" s="66"/>
      <c r="V135" s="66"/>
      <c r="W135" s="66"/>
      <c r="X135" s="85"/>
      <c r="AP135" t="str">
        <v/>
      </c>
    </row>
    <row r="136" spans="4:42" ht="15.75" x14ac:dyDescent="0.25">
      <c r="D136" s="3">
        <v>1</v>
      </c>
      <c r="F136" s="16" t="str" cm="1">
        <f t="array" ref="F1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6" s="31" cm="1">
        <f t="array" ref="G1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6" s="33" t="str">
        <f>_xlfn.IFNA(IF(MOD(HLG_04[[#This Row],[Rit]],
    _xlfn.XLOOKUP($G$2,Int_Sample[Ore],Int_Sample[Inc])) = 0, "YES", "NO"),"")</f>
        <v/>
      </c>
      <c r="I136" s="32" t="str">
        <f>TEXT(HLG_04[[#This Row],[Batch]],"000")&amp; " / " &amp; TEXT(HLG_04[[#This Row],[Rit]],"000")</f>
        <v>N/A / 000</v>
      </c>
      <c r="J136" s="34"/>
      <c r="K136" s="38"/>
      <c r="L136" s="35"/>
      <c r="M136" s="66"/>
      <c r="N136" s="66"/>
      <c r="O136" s="66"/>
      <c r="P136" s="66"/>
      <c r="Q136" s="66"/>
      <c r="R136" s="67"/>
      <c r="S136" s="67"/>
      <c r="T136" s="67"/>
      <c r="U136" s="66"/>
      <c r="V136" s="66"/>
      <c r="W136" s="66"/>
      <c r="X136" s="85"/>
      <c r="AP136" t="str">
        <v/>
      </c>
    </row>
    <row r="137" spans="4:42" ht="15.75" x14ac:dyDescent="0.25">
      <c r="D137" s="3">
        <v>1</v>
      </c>
      <c r="F137" s="16" t="str" cm="1">
        <f t="array" ref="F1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7" s="31" cm="1">
        <f t="array" ref="G1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7" s="33" t="str">
        <f>_xlfn.IFNA(IF(MOD(HLG_04[[#This Row],[Rit]],
    _xlfn.XLOOKUP($G$2,Int_Sample[Ore],Int_Sample[Inc])) = 0, "YES", "NO"),"")</f>
        <v/>
      </c>
      <c r="I137" s="32" t="str">
        <f>TEXT(HLG_04[[#This Row],[Batch]],"000")&amp; " / " &amp; TEXT(HLG_04[[#This Row],[Rit]],"000")</f>
        <v>N/A / 000</v>
      </c>
      <c r="J137" s="34"/>
      <c r="K137" s="38"/>
      <c r="L137" s="35"/>
      <c r="M137" s="66"/>
      <c r="N137" s="66"/>
      <c r="O137" s="66"/>
      <c r="P137" s="66"/>
      <c r="Q137" s="66"/>
      <c r="R137" s="67"/>
      <c r="S137" s="67"/>
      <c r="T137" s="67"/>
      <c r="U137" s="66"/>
      <c r="V137" s="66"/>
      <c r="W137" s="66"/>
      <c r="X137" s="85"/>
      <c r="AP137" t="str">
        <v/>
      </c>
    </row>
    <row r="138" spans="4:42" ht="15.75" x14ac:dyDescent="0.25">
      <c r="D138" s="3">
        <v>1</v>
      </c>
      <c r="F138" s="16" t="str" cm="1">
        <f t="array" ref="F1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8" s="31" cm="1">
        <f t="array" ref="G1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8" s="33" t="str">
        <f>_xlfn.IFNA(IF(MOD(HLG_04[[#This Row],[Rit]],
    _xlfn.XLOOKUP($G$2,Int_Sample[Ore],Int_Sample[Inc])) = 0, "YES", "NO"),"")</f>
        <v/>
      </c>
      <c r="I138" s="32" t="str">
        <f>TEXT(HLG_04[[#This Row],[Batch]],"000")&amp; " / " &amp; TEXT(HLG_04[[#This Row],[Rit]],"000")</f>
        <v>N/A / 000</v>
      </c>
      <c r="J138" s="34"/>
      <c r="K138" s="38"/>
      <c r="L138" s="35"/>
      <c r="M138" s="66"/>
      <c r="N138" s="66"/>
      <c r="O138" s="66"/>
      <c r="P138" s="66"/>
      <c r="Q138" s="66"/>
      <c r="R138" s="67"/>
      <c r="S138" s="67"/>
      <c r="T138" s="67"/>
      <c r="U138" s="66"/>
      <c r="V138" s="66"/>
      <c r="W138" s="66"/>
      <c r="X138" s="85"/>
      <c r="AP138" t="str">
        <v/>
      </c>
    </row>
    <row r="139" spans="4:42" ht="15.75" x14ac:dyDescent="0.25">
      <c r="D139" s="3">
        <v>1</v>
      </c>
      <c r="F139" s="16" t="str" cm="1">
        <f t="array" ref="F1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9" s="31" cm="1">
        <f t="array" ref="G1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9" s="33" t="str">
        <f>_xlfn.IFNA(IF(MOD(HLG_04[[#This Row],[Rit]],
    _xlfn.XLOOKUP($G$2,Int_Sample[Ore],Int_Sample[Inc])) = 0, "YES", "NO"),"")</f>
        <v/>
      </c>
      <c r="I139" s="32" t="str">
        <f>TEXT(HLG_04[[#This Row],[Batch]],"000")&amp; " / " &amp; TEXT(HLG_04[[#This Row],[Rit]],"000")</f>
        <v>N/A / 000</v>
      </c>
      <c r="J139" s="34"/>
      <c r="K139" s="38"/>
      <c r="L139" s="35"/>
      <c r="M139" s="66"/>
      <c r="N139" s="66"/>
      <c r="O139" s="66"/>
      <c r="P139" s="66"/>
      <c r="Q139" s="66"/>
      <c r="R139" s="67"/>
      <c r="S139" s="67"/>
      <c r="T139" s="67"/>
      <c r="U139" s="66"/>
      <c r="V139" s="66"/>
      <c r="W139" s="66"/>
      <c r="X139" s="85"/>
      <c r="AP139" t="str">
        <v/>
      </c>
    </row>
    <row r="140" spans="4:42" ht="15.75" x14ac:dyDescent="0.25">
      <c r="D140" s="3">
        <v>1</v>
      </c>
      <c r="F140" s="16" t="str" cm="1">
        <f t="array" ref="F1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0" s="31" cm="1">
        <f t="array" ref="G1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0" s="33" t="str">
        <f>_xlfn.IFNA(IF(MOD(HLG_04[[#This Row],[Rit]],
    _xlfn.XLOOKUP($G$2,Int_Sample[Ore],Int_Sample[Inc])) = 0, "YES", "NO"),"")</f>
        <v/>
      </c>
      <c r="I140" s="32" t="str">
        <f>TEXT(HLG_04[[#This Row],[Batch]],"000")&amp; " / " &amp; TEXT(HLG_04[[#This Row],[Rit]],"000")</f>
        <v>N/A / 000</v>
      </c>
      <c r="J140" s="34"/>
      <c r="K140" s="38"/>
      <c r="L140" s="35"/>
      <c r="M140" s="66"/>
      <c r="N140" s="66"/>
      <c r="O140" s="66"/>
      <c r="P140" s="66"/>
      <c r="Q140" s="66"/>
      <c r="R140" s="67"/>
      <c r="S140" s="67"/>
      <c r="T140" s="67"/>
      <c r="U140" s="66"/>
      <c r="V140" s="66"/>
      <c r="W140" s="66"/>
      <c r="X140" s="85"/>
      <c r="AP140" t="str">
        <v/>
      </c>
    </row>
    <row r="141" spans="4:42" ht="15.75" x14ac:dyDescent="0.25">
      <c r="D141" s="3">
        <v>1</v>
      </c>
      <c r="F141" s="16" t="str" cm="1">
        <f t="array" ref="F1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1" s="31" cm="1">
        <f t="array" ref="G1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1" s="33" t="str">
        <f>_xlfn.IFNA(IF(MOD(HLG_04[[#This Row],[Rit]],
    _xlfn.XLOOKUP($G$2,Int_Sample[Ore],Int_Sample[Inc])) = 0, "YES", "NO"),"")</f>
        <v/>
      </c>
      <c r="I141" s="32" t="str">
        <f>TEXT(HLG_04[[#This Row],[Batch]],"000")&amp; " / " &amp; TEXT(HLG_04[[#This Row],[Rit]],"000")</f>
        <v>N/A / 000</v>
      </c>
      <c r="J141" s="34"/>
      <c r="K141" s="38"/>
      <c r="L141" s="35"/>
      <c r="M141" s="66"/>
      <c r="N141" s="66"/>
      <c r="O141" s="66"/>
      <c r="P141" s="66"/>
      <c r="Q141" s="66"/>
      <c r="R141" s="67"/>
      <c r="S141" s="67"/>
      <c r="T141" s="67"/>
      <c r="U141" s="66"/>
      <c r="V141" s="66"/>
      <c r="W141" s="66"/>
      <c r="X141" s="85"/>
      <c r="AP141" t="str">
        <v/>
      </c>
    </row>
    <row r="142" spans="4:42" ht="15.75" x14ac:dyDescent="0.25">
      <c r="D142" s="3">
        <v>1</v>
      </c>
      <c r="F142" s="16" t="str" cm="1">
        <f t="array" ref="F1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2" s="31" cm="1">
        <f t="array" ref="G1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2" s="33" t="str">
        <f>_xlfn.IFNA(IF(MOD(HLG_04[[#This Row],[Rit]],
    _xlfn.XLOOKUP($G$2,Int_Sample[Ore],Int_Sample[Inc])) = 0, "YES", "NO"),"")</f>
        <v/>
      </c>
      <c r="I142" s="32" t="str">
        <f>TEXT(HLG_04[[#This Row],[Batch]],"000")&amp; " / " &amp; TEXT(HLG_04[[#This Row],[Rit]],"000")</f>
        <v>N/A / 000</v>
      </c>
      <c r="J142" s="34"/>
      <c r="K142" s="38"/>
      <c r="L142" s="35"/>
      <c r="M142" s="66"/>
      <c r="N142" s="66"/>
      <c r="O142" s="66"/>
      <c r="P142" s="66"/>
      <c r="Q142" s="66"/>
      <c r="R142" s="67"/>
      <c r="S142" s="67"/>
      <c r="T142" s="67"/>
      <c r="U142" s="66"/>
      <c r="V142" s="66"/>
      <c r="W142" s="66"/>
      <c r="X142" s="85"/>
      <c r="AP142" t="str">
        <v/>
      </c>
    </row>
    <row r="143" spans="4:42" ht="15.75" x14ac:dyDescent="0.25">
      <c r="D143" s="3">
        <v>1</v>
      </c>
      <c r="F143" s="16" t="str" cm="1">
        <f t="array" ref="F1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3" s="31" cm="1">
        <f t="array" ref="G1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3" s="33" t="str">
        <f>_xlfn.IFNA(IF(MOD(HLG_04[[#This Row],[Rit]],
    _xlfn.XLOOKUP($G$2,Int_Sample[Ore],Int_Sample[Inc])) = 0, "YES", "NO"),"")</f>
        <v/>
      </c>
      <c r="I143" s="32" t="str">
        <f>TEXT(HLG_04[[#This Row],[Batch]],"000")&amp; " / " &amp; TEXT(HLG_04[[#This Row],[Rit]],"000")</f>
        <v>N/A / 000</v>
      </c>
      <c r="J143" s="34"/>
      <c r="K143" s="38"/>
      <c r="L143" s="35"/>
      <c r="M143" s="66"/>
      <c r="N143" s="66"/>
      <c r="O143" s="66"/>
      <c r="P143" s="66"/>
      <c r="Q143" s="66"/>
      <c r="R143" s="67"/>
      <c r="S143" s="67"/>
      <c r="T143" s="67"/>
      <c r="U143" s="66"/>
      <c r="V143" s="66"/>
      <c r="W143" s="66"/>
      <c r="X143" s="85"/>
      <c r="AP143" t="str">
        <v/>
      </c>
    </row>
    <row r="144" spans="4:42" ht="15.75" x14ac:dyDescent="0.25">
      <c r="D144" s="3">
        <v>1</v>
      </c>
      <c r="F144" s="16" t="str" cm="1">
        <f t="array" ref="F1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4" s="31" cm="1">
        <f t="array" ref="G1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4" s="33" t="str">
        <f>_xlfn.IFNA(IF(MOD(HLG_04[[#This Row],[Rit]],
    _xlfn.XLOOKUP($G$2,Int_Sample[Ore],Int_Sample[Inc])) = 0, "YES", "NO"),"")</f>
        <v/>
      </c>
      <c r="I144" s="32" t="str">
        <f>TEXT(HLG_04[[#This Row],[Batch]],"000")&amp; " / " &amp; TEXT(HLG_04[[#This Row],[Rit]],"000")</f>
        <v>N/A / 000</v>
      </c>
      <c r="J144" s="34"/>
      <c r="K144" s="38"/>
      <c r="L144" s="35"/>
      <c r="M144" s="66"/>
      <c r="N144" s="66"/>
      <c r="O144" s="66"/>
      <c r="P144" s="66"/>
      <c r="Q144" s="66"/>
      <c r="R144" s="67"/>
      <c r="S144" s="67"/>
      <c r="T144" s="67"/>
      <c r="U144" s="66"/>
      <c r="V144" s="66"/>
      <c r="W144" s="66"/>
      <c r="X144" s="85"/>
      <c r="AP144" t="str">
        <v/>
      </c>
    </row>
    <row r="145" spans="4:42" ht="15.75" x14ac:dyDescent="0.25">
      <c r="D145" s="3">
        <v>1</v>
      </c>
      <c r="F145" s="16" t="str" cm="1">
        <f t="array" ref="F1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5" s="31" cm="1">
        <f t="array" ref="G1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5" s="33" t="str">
        <f>_xlfn.IFNA(IF(MOD(HLG_04[[#This Row],[Rit]],
    _xlfn.XLOOKUP($G$2,Int_Sample[Ore],Int_Sample[Inc])) = 0, "YES", "NO"),"")</f>
        <v/>
      </c>
      <c r="I145" s="32" t="str">
        <f>TEXT(HLG_04[[#This Row],[Batch]],"000")&amp; " / " &amp; TEXT(HLG_04[[#This Row],[Rit]],"000")</f>
        <v>N/A / 000</v>
      </c>
      <c r="J145" s="34"/>
      <c r="K145" s="38"/>
      <c r="L145" s="35"/>
      <c r="M145" s="66"/>
      <c r="N145" s="66"/>
      <c r="O145" s="66"/>
      <c r="P145" s="66"/>
      <c r="Q145" s="66"/>
      <c r="R145" s="67"/>
      <c r="S145" s="67"/>
      <c r="T145" s="67"/>
      <c r="U145" s="66"/>
      <c r="V145" s="66"/>
      <c r="W145" s="66"/>
      <c r="X145" s="85"/>
      <c r="AP145" t="str">
        <v/>
      </c>
    </row>
    <row r="146" spans="4:42" ht="15.75" x14ac:dyDescent="0.25">
      <c r="D146" s="3">
        <v>1</v>
      </c>
      <c r="F146" s="16" t="str" cm="1">
        <f t="array" ref="F1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6" s="31" cm="1">
        <f t="array" ref="G1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6" s="33" t="str">
        <f>_xlfn.IFNA(IF(MOD(HLG_04[[#This Row],[Rit]],
    _xlfn.XLOOKUP($G$2,Int_Sample[Ore],Int_Sample[Inc])) = 0, "YES", "NO"),"")</f>
        <v/>
      </c>
      <c r="I146" s="32" t="str">
        <f>TEXT(HLG_04[[#This Row],[Batch]],"000")&amp; " / " &amp; TEXT(HLG_04[[#This Row],[Rit]],"000")</f>
        <v>N/A / 000</v>
      </c>
      <c r="J146" s="34"/>
      <c r="K146" s="38"/>
      <c r="L146" s="35"/>
      <c r="M146" s="66"/>
      <c r="N146" s="66"/>
      <c r="O146" s="66"/>
      <c r="P146" s="66"/>
      <c r="Q146" s="66"/>
      <c r="R146" s="67"/>
      <c r="S146" s="67"/>
      <c r="T146" s="67"/>
      <c r="U146" s="66"/>
      <c r="V146" s="66"/>
      <c r="W146" s="66"/>
      <c r="X146" s="85"/>
      <c r="AP146" t="str">
        <v/>
      </c>
    </row>
    <row r="147" spans="4:42" ht="15.75" x14ac:dyDescent="0.25">
      <c r="D147" s="3">
        <v>1</v>
      </c>
      <c r="F147" s="16" t="str" cm="1">
        <f t="array" ref="F1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7" s="31" cm="1">
        <f t="array" ref="G1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7" s="33" t="str">
        <f>_xlfn.IFNA(IF(MOD(HLG_04[[#This Row],[Rit]],
    _xlfn.XLOOKUP($G$2,Int_Sample[Ore],Int_Sample[Inc])) = 0, "YES", "NO"),"")</f>
        <v/>
      </c>
      <c r="I147" s="32" t="str">
        <f>TEXT(HLG_04[[#This Row],[Batch]],"000")&amp; " / " &amp; TEXT(HLG_04[[#This Row],[Rit]],"000")</f>
        <v>N/A / 000</v>
      </c>
      <c r="J147" s="34"/>
      <c r="K147" s="38"/>
      <c r="L147" s="35"/>
      <c r="M147" s="66"/>
      <c r="N147" s="66"/>
      <c r="O147" s="66"/>
      <c r="P147" s="66"/>
      <c r="Q147" s="66"/>
      <c r="R147" s="67"/>
      <c r="S147" s="67"/>
      <c r="T147" s="67"/>
      <c r="U147" s="66"/>
      <c r="V147" s="66"/>
      <c r="W147" s="66"/>
      <c r="X147" s="85"/>
      <c r="AP147" t="str">
        <v/>
      </c>
    </row>
    <row r="148" spans="4:42" ht="15.75" x14ac:dyDescent="0.25">
      <c r="D148" s="3">
        <v>1</v>
      </c>
      <c r="F148" s="16" t="str" cm="1">
        <f t="array" ref="F1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8" s="31" cm="1">
        <f t="array" ref="G1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8" s="33" t="str">
        <f>_xlfn.IFNA(IF(MOD(HLG_04[[#This Row],[Rit]],
    _xlfn.XLOOKUP($G$2,Int_Sample[Ore],Int_Sample[Inc])) = 0, "YES", "NO"),"")</f>
        <v/>
      </c>
      <c r="I148" s="32" t="str">
        <f>TEXT(HLG_04[[#This Row],[Batch]],"000")&amp; " / " &amp; TEXT(HLG_04[[#This Row],[Rit]],"000")</f>
        <v>N/A / 000</v>
      </c>
      <c r="J148" s="34"/>
      <c r="K148" s="38"/>
      <c r="L148" s="35"/>
      <c r="M148" s="66"/>
      <c r="N148" s="66"/>
      <c r="O148" s="66"/>
      <c r="P148" s="66"/>
      <c r="Q148" s="66"/>
      <c r="R148" s="67"/>
      <c r="S148" s="67"/>
      <c r="T148" s="67"/>
      <c r="U148" s="66"/>
      <c r="V148" s="66"/>
      <c r="W148" s="66"/>
      <c r="X148" s="85"/>
      <c r="AP148" t="str">
        <v/>
      </c>
    </row>
    <row r="149" spans="4:42" ht="15.75" x14ac:dyDescent="0.25">
      <c r="D149" s="3">
        <v>1</v>
      </c>
      <c r="F149" s="16" t="str" cm="1">
        <f t="array" ref="F1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9" s="31" cm="1">
        <f t="array" ref="G1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9" s="33" t="str">
        <f>_xlfn.IFNA(IF(MOD(HLG_04[[#This Row],[Rit]],
    _xlfn.XLOOKUP($G$2,Int_Sample[Ore],Int_Sample[Inc])) = 0, "YES", "NO"),"")</f>
        <v/>
      </c>
      <c r="I149" s="32" t="str">
        <f>TEXT(HLG_04[[#This Row],[Batch]],"000")&amp; " / " &amp; TEXT(HLG_04[[#This Row],[Rit]],"000")</f>
        <v>N/A / 000</v>
      </c>
      <c r="J149" s="34"/>
      <c r="K149" s="38"/>
      <c r="L149" s="35"/>
      <c r="M149" s="66"/>
      <c r="N149" s="66"/>
      <c r="O149" s="66"/>
      <c r="P149" s="66"/>
      <c r="Q149" s="66"/>
      <c r="R149" s="67"/>
      <c r="S149" s="67"/>
      <c r="T149" s="67"/>
      <c r="U149" s="66"/>
      <c r="V149" s="66"/>
      <c r="W149" s="66"/>
      <c r="X149" s="85"/>
      <c r="AP149" t="str">
        <v/>
      </c>
    </row>
    <row r="150" spans="4:42" ht="15.75" x14ac:dyDescent="0.25">
      <c r="D150" s="3">
        <v>1</v>
      </c>
      <c r="F150" s="16" t="str" cm="1">
        <f t="array" ref="F1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0" s="31" cm="1">
        <f t="array" ref="G1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0" s="33" t="str">
        <f>_xlfn.IFNA(IF(MOD(HLG_04[[#This Row],[Rit]],
    _xlfn.XLOOKUP($G$2,Int_Sample[Ore],Int_Sample[Inc])) = 0, "YES", "NO"),"")</f>
        <v/>
      </c>
      <c r="I150" s="32" t="str">
        <f>TEXT(HLG_04[[#This Row],[Batch]],"000")&amp; " / " &amp; TEXT(HLG_04[[#This Row],[Rit]],"000")</f>
        <v>N/A / 000</v>
      </c>
      <c r="J150" s="34"/>
      <c r="K150" s="38"/>
      <c r="L150" s="35"/>
      <c r="M150" s="66"/>
      <c r="N150" s="66"/>
      <c r="O150" s="66"/>
      <c r="P150" s="66"/>
      <c r="Q150" s="66"/>
      <c r="R150" s="67"/>
      <c r="S150" s="67"/>
      <c r="T150" s="67"/>
      <c r="U150" s="66"/>
      <c r="V150" s="66"/>
      <c r="W150" s="66"/>
      <c r="X150" s="85"/>
      <c r="AP150" t="str">
        <v/>
      </c>
    </row>
    <row r="151" spans="4:42" ht="15.75" x14ac:dyDescent="0.25">
      <c r="D151" s="3">
        <v>1</v>
      </c>
      <c r="F151" s="16" t="str" cm="1">
        <f t="array" ref="F1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1" s="31" cm="1">
        <f t="array" ref="G1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1" s="33" t="str">
        <f>_xlfn.IFNA(IF(MOD(HLG_04[[#This Row],[Rit]],
    _xlfn.XLOOKUP($G$2,Int_Sample[Ore],Int_Sample[Inc])) = 0, "YES", "NO"),"")</f>
        <v/>
      </c>
      <c r="I151" s="32" t="str">
        <f>TEXT(HLG_04[[#This Row],[Batch]],"000")&amp; " / " &amp; TEXT(HLG_04[[#This Row],[Rit]],"000")</f>
        <v>N/A / 000</v>
      </c>
      <c r="J151" s="34"/>
      <c r="K151" s="38"/>
      <c r="L151" s="35"/>
      <c r="M151" s="66"/>
      <c r="N151" s="66"/>
      <c r="O151" s="66"/>
      <c r="P151" s="66"/>
      <c r="Q151" s="66"/>
      <c r="R151" s="67"/>
      <c r="S151" s="67"/>
      <c r="T151" s="67"/>
      <c r="U151" s="66"/>
      <c r="V151" s="66"/>
      <c r="W151" s="66"/>
      <c r="X151" s="85"/>
      <c r="AP151" t="str">
        <v/>
      </c>
    </row>
    <row r="152" spans="4:42" ht="15.75" x14ac:dyDescent="0.25">
      <c r="D152" s="3">
        <v>1</v>
      </c>
      <c r="F152" s="16" t="str" cm="1">
        <f t="array" ref="F1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2" s="31" cm="1">
        <f t="array" ref="G1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2" s="33" t="str">
        <f>_xlfn.IFNA(IF(MOD(HLG_04[[#This Row],[Rit]],
    _xlfn.XLOOKUP($G$2,Int_Sample[Ore],Int_Sample[Inc])) = 0, "YES", "NO"),"")</f>
        <v/>
      </c>
      <c r="I152" s="32" t="str">
        <f>TEXT(HLG_04[[#This Row],[Batch]],"000")&amp; " / " &amp; TEXT(HLG_04[[#This Row],[Rit]],"000")</f>
        <v>N/A / 000</v>
      </c>
      <c r="J152" s="34"/>
      <c r="K152" s="38"/>
      <c r="L152" s="35"/>
      <c r="M152" s="66"/>
      <c r="N152" s="66"/>
      <c r="O152" s="66"/>
      <c r="P152" s="66"/>
      <c r="Q152" s="66"/>
      <c r="R152" s="67"/>
      <c r="S152" s="67"/>
      <c r="T152" s="67"/>
      <c r="U152" s="66"/>
      <c r="V152" s="66"/>
      <c r="W152" s="66"/>
      <c r="X152" s="85"/>
      <c r="AP152" t="str">
        <v/>
      </c>
    </row>
    <row r="153" spans="4:42" ht="15.75" x14ac:dyDescent="0.25">
      <c r="D153" s="3">
        <v>1</v>
      </c>
      <c r="F153" s="16" t="str" cm="1">
        <f t="array" ref="F1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3" s="31" cm="1">
        <f t="array" ref="G1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3" s="33" t="str">
        <f>_xlfn.IFNA(IF(MOD(HLG_04[[#This Row],[Rit]],
    _xlfn.XLOOKUP($G$2,Int_Sample[Ore],Int_Sample[Inc])) = 0, "YES", "NO"),"")</f>
        <v/>
      </c>
      <c r="I153" s="32" t="str">
        <f>TEXT(HLG_04[[#This Row],[Batch]],"000")&amp; " / " &amp; TEXT(HLG_04[[#This Row],[Rit]],"000")</f>
        <v>N/A / 000</v>
      </c>
      <c r="J153" s="34"/>
      <c r="K153" s="38"/>
      <c r="L153" s="35"/>
      <c r="M153" s="66"/>
      <c r="N153" s="66"/>
      <c r="O153" s="66"/>
      <c r="P153" s="66"/>
      <c r="Q153" s="66"/>
      <c r="R153" s="67"/>
      <c r="S153" s="67"/>
      <c r="T153" s="67"/>
      <c r="U153" s="66"/>
      <c r="V153" s="66"/>
      <c r="W153" s="66"/>
      <c r="X153" s="85"/>
      <c r="AP153" t="str">
        <v/>
      </c>
    </row>
    <row r="154" spans="4:42" ht="15.75" x14ac:dyDescent="0.25">
      <c r="D154" s="3">
        <v>1</v>
      </c>
      <c r="F154" s="16" t="str" cm="1">
        <f t="array" ref="F1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4" s="31" cm="1">
        <f t="array" ref="G1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4" s="33" t="str">
        <f>_xlfn.IFNA(IF(MOD(HLG_04[[#This Row],[Rit]],
    _xlfn.XLOOKUP($G$2,Int_Sample[Ore],Int_Sample[Inc])) = 0, "YES", "NO"),"")</f>
        <v/>
      </c>
      <c r="I154" s="32" t="str">
        <f>TEXT(HLG_04[[#This Row],[Batch]],"000")&amp; " / " &amp; TEXT(HLG_04[[#This Row],[Rit]],"000")</f>
        <v>N/A / 000</v>
      </c>
      <c r="J154" s="34"/>
      <c r="K154" s="38"/>
      <c r="L154" s="35"/>
      <c r="M154" s="66"/>
      <c r="N154" s="66"/>
      <c r="O154" s="66"/>
      <c r="P154" s="66"/>
      <c r="Q154" s="66"/>
      <c r="R154" s="67"/>
      <c r="S154" s="67"/>
      <c r="T154" s="67"/>
      <c r="U154" s="66"/>
      <c r="V154" s="66"/>
      <c r="W154" s="66"/>
      <c r="X154" s="85"/>
      <c r="AP154" t="str">
        <v/>
      </c>
    </row>
    <row r="155" spans="4:42" ht="15.75" x14ac:dyDescent="0.25">
      <c r="D155" s="3">
        <v>1</v>
      </c>
      <c r="F155" s="16" t="str" cm="1">
        <f t="array" ref="F1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5" s="31" cm="1">
        <f t="array" ref="G1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5" s="33" t="str">
        <f>_xlfn.IFNA(IF(MOD(HLG_04[[#This Row],[Rit]],
    _xlfn.XLOOKUP($G$2,Int_Sample[Ore],Int_Sample[Inc])) = 0, "YES", "NO"),"")</f>
        <v/>
      </c>
      <c r="I155" s="32" t="str">
        <f>TEXT(HLG_04[[#This Row],[Batch]],"000")&amp; " / " &amp; TEXT(HLG_04[[#This Row],[Rit]],"000")</f>
        <v>N/A / 000</v>
      </c>
      <c r="J155" s="34"/>
      <c r="K155" s="38"/>
      <c r="L155" s="35"/>
      <c r="M155" s="66"/>
      <c r="N155" s="66"/>
      <c r="O155" s="66"/>
      <c r="P155" s="66"/>
      <c r="Q155" s="66"/>
      <c r="R155" s="67"/>
      <c r="S155" s="67"/>
      <c r="T155" s="67"/>
      <c r="U155" s="66"/>
      <c r="V155" s="66"/>
      <c r="W155" s="66"/>
      <c r="X155" s="85"/>
      <c r="AP155" t="str">
        <v/>
      </c>
    </row>
    <row r="156" spans="4:42" ht="15.75" x14ac:dyDescent="0.25">
      <c r="D156" s="3">
        <v>1</v>
      </c>
      <c r="F156" s="16" t="str" cm="1">
        <f t="array" ref="F1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6" s="31" cm="1">
        <f t="array" ref="G1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6" s="33" t="str">
        <f>_xlfn.IFNA(IF(MOD(HLG_04[[#This Row],[Rit]],
    _xlfn.XLOOKUP($G$2,Int_Sample[Ore],Int_Sample[Inc])) = 0, "YES", "NO"),"")</f>
        <v/>
      </c>
      <c r="I156" s="32" t="str">
        <f>TEXT(HLG_04[[#This Row],[Batch]],"000")&amp; " / " &amp; TEXT(HLG_04[[#This Row],[Rit]],"000")</f>
        <v>N/A / 000</v>
      </c>
      <c r="J156" s="34"/>
      <c r="K156" s="38"/>
      <c r="L156" s="35"/>
      <c r="M156" s="66"/>
      <c r="N156" s="66"/>
      <c r="O156" s="66"/>
      <c r="P156" s="66"/>
      <c r="Q156" s="66"/>
      <c r="R156" s="67"/>
      <c r="S156" s="67"/>
      <c r="T156" s="67"/>
      <c r="U156" s="66"/>
      <c r="V156" s="66"/>
      <c r="W156" s="66"/>
      <c r="X156" s="85"/>
      <c r="AP156" t="str">
        <v/>
      </c>
    </row>
    <row r="157" spans="4:42" ht="15.75" x14ac:dyDescent="0.25">
      <c r="D157" s="3">
        <v>1</v>
      </c>
      <c r="F157" s="16" t="str" cm="1">
        <f t="array" ref="F1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7" s="31" cm="1">
        <f t="array" ref="G1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7" s="33" t="str">
        <f>_xlfn.IFNA(IF(MOD(HLG_04[[#This Row],[Rit]],
    _xlfn.XLOOKUP($G$2,Int_Sample[Ore],Int_Sample[Inc])) = 0, "YES", "NO"),"")</f>
        <v/>
      </c>
      <c r="I157" s="32" t="str">
        <f>TEXT(HLG_04[[#This Row],[Batch]],"000")&amp; " / " &amp; TEXT(HLG_04[[#This Row],[Rit]],"000")</f>
        <v>N/A / 000</v>
      </c>
      <c r="J157" s="34"/>
      <c r="K157" s="38"/>
      <c r="L157" s="35"/>
      <c r="M157" s="66"/>
      <c r="N157" s="66"/>
      <c r="O157" s="66"/>
      <c r="P157" s="66"/>
      <c r="Q157" s="66"/>
      <c r="R157" s="67"/>
      <c r="S157" s="67"/>
      <c r="T157" s="67"/>
      <c r="U157" s="66"/>
      <c r="V157" s="66"/>
      <c r="W157" s="66"/>
      <c r="X157" s="85"/>
      <c r="AP157" t="str">
        <v/>
      </c>
    </row>
    <row r="158" spans="4:42" ht="15.75" x14ac:dyDescent="0.25">
      <c r="D158" s="3">
        <v>1</v>
      </c>
      <c r="F158" s="16" t="str" cm="1">
        <f t="array" ref="F1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8" s="31" cm="1">
        <f t="array" ref="G1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8" s="33" t="str">
        <f>_xlfn.IFNA(IF(MOD(HLG_04[[#This Row],[Rit]],
    _xlfn.XLOOKUP($G$2,Int_Sample[Ore],Int_Sample[Inc])) = 0, "YES", "NO"),"")</f>
        <v/>
      </c>
      <c r="I158" s="32" t="str">
        <f>TEXT(HLG_04[[#This Row],[Batch]],"000")&amp; " / " &amp; TEXT(HLG_04[[#This Row],[Rit]],"000")</f>
        <v>N/A / 000</v>
      </c>
      <c r="J158" s="34"/>
      <c r="K158" s="38"/>
      <c r="L158" s="35"/>
      <c r="M158" s="66"/>
      <c r="N158" s="66"/>
      <c r="O158" s="66"/>
      <c r="P158" s="66"/>
      <c r="Q158" s="66"/>
      <c r="R158" s="67"/>
      <c r="S158" s="67"/>
      <c r="T158" s="67"/>
      <c r="U158" s="66"/>
      <c r="V158" s="66"/>
      <c r="W158" s="66"/>
      <c r="X158" s="85"/>
      <c r="AP158" t="str">
        <v/>
      </c>
    </row>
    <row r="159" spans="4:42" ht="15.75" x14ac:dyDescent="0.25">
      <c r="D159" s="3">
        <v>1</v>
      </c>
      <c r="F159" s="16" t="str" cm="1">
        <f t="array" ref="F1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9" s="31" cm="1">
        <f t="array" ref="G1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9" s="33" t="str">
        <f>_xlfn.IFNA(IF(MOD(HLG_04[[#This Row],[Rit]],
    _xlfn.XLOOKUP($G$2,Int_Sample[Ore],Int_Sample[Inc])) = 0, "YES", "NO"),"")</f>
        <v/>
      </c>
      <c r="I159" s="32" t="str">
        <f>TEXT(HLG_04[[#This Row],[Batch]],"000")&amp; " / " &amp; TEXT(HLG_04[[#This Row],[Rit]],"000")</f>
        <v>N/A / 000</v>
      </c>
      <c r="J159" s="34"/>
      <c r="K159" s="38"/>
      <c r="L159" s="35"/>
      <c r="M159" s="66"/>
      <c r="N159" s="66"/>
      <c r="O159" s="66"/>
      <c r="P159" s="66"/>
      <c r="Q159" s="66"/>
      <c r="R159" s="67"/>
      <c r="S159" s="67"/>
      <c r="T159" s="67"/>
      <c r="U159" s="66"/>
      <c r="V159" s="66"/>
      <c r="W159" s="66"/>
      <c r="X159" s="85"/>
      <c r="AP159" t="str">
        <v/>
      </c>
    </row>
    <row r="160" spans="4:42" ht="15.75" x14ac:dyDescent="0.25">
      <c r="D160" s="3">
        <v>1</v>
      </c>
      <c r="F160" s="16" t="str" cm="1">
        <f t="array" ref="F1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0" s="31" cm="1">
        <f t="array" ref="G1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0" s="33" t="str">
        <f>_xlfn.IFNA(IF(MOD(HLG_04[[#This Row],[Rit]],
    _xlfn.XLOOKUP($G$2,Int_Sample[Ore],Int_Sample[Inc])) = 0, "YES", "NO"),"")</f>
        <v/>
      </c>
      <c r="I160" s="32" t="str">
        <f>TEXT(HLG_04[[#This Row],[Batch]],"000")&amp; " / " &amp; TEXT(HLG_04[[#This Row],[Rit]],"000")</f>
        <v>N/A / 000</v>
      </c>
      <c r="J160" s="34"/>
      <c r="K160" s="38"/>
      <c r="L160" s="35"/>
      <c r="M160" s="66"/>
      <c r="N160" s="66"/>
      <c r="O160" s="66"/>
      <c r="P160" s="66"/>
      <c r="Q160" s="66"/>
      <c r="R160" s="67"/>
      <c r="S160" s="67"/>
      <c r="T160" s="67"/>
      <c r="U160" s="66"/>
      <c r="V160" s="66"/>
      <c r="W160" s="66"/>
      <c r="X160" s="85"/>
      <c r="AP160" t="str">
        <v/>
      </c>
    </row>
    <row r="161" spans="4:42" ht="15.75" x14ac:dyDescent="0.25">
      <c r="D161" s="3">
        <v>1</v>
      </c>
      <c r="F161" s="16" t="str" cm="1">
        <f t="array" ref="F1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1" s="31" cm="1">
        <f t="array" ref="G1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1" s="33" t="str">
        <f>_xlfn.IFNA(IF(MOD(HLG_04[[#This Row],[Rit]],
    _xlfn.XLOOKUP($G$2,Int_Sample[Ore],Int_Sample[Inc])) = 0, "YES", "NO"),"")</f>
        <v/>
      </c>
      <c r="I161" s="32" t="str">
        <f>TEXT(HLG_04[[#This Row],[Batch]],"000")&amp; " / " &amp; TEXT(HLG_04[[#This Row],[Rit]],"000")</f>
        <v>N/A / 000</v>
      </c>
      <c r="J161" s="34"/>
      <c r="K161" s="38"/>
      <c r="L161" s="35"/>
      <c r="M161" s="66"/>
      <c r="N161" s="66"/>
      <c r="O161" s="66"/>
      <c r="P161" s="66"/>
      <c r="Q161" s="66"/>
      <c r="R161" s="67"/>
      <c r="S161" s="67"/>
      <c r="T161" s="67"/>
      <c r="U161" s="66"/>
      <c r="V161" s="66"/>
      <c r="W161" s="66"/>
      <c r="X161" s="85"/>
      <c r="AP161" t="str">
        <v/>
      </c>
    </row>
    <row r="162" spans="4:42" ht="15.75" x14ac:dyDescent="0.25">
      <c r="D162" s="3">
        <v>1</v>
      </c>
      <c r="F162" s="16" t="str" cm="1">
        <f t="array" ref="F1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2" s="31" cm="1">
        <f t="array" ref="G1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2" s="33" t="str">
        <f>_xlfn.IFNA(IF(MOD(HLG_04[[#This Row],[Rit]],
    _xlfn.XLOOKUP($G$2,Int_Sample[Ore],Int_Sample[Inc])) = 0, "YES", "NO"),"")</f>
        <v/>
      </c>
      <c r="I162" s="32" t="str">
        <f>TEXT(HLG_04[[#This Row],[Batch]],"000")&amp; " / " &amp; TEXT(HLG_04[[#This Row],[Rit]],"000")</f>
        <v>N/A / 000</v>
      </c>
      <c r="J162" s="34"/>
      <c r="K162" s="38"/>
      <c r="L162" s="35"/>
      <c r="M162" s="66"/>
      <c r="N162" s="66"/>
      <c r="O162" s="66"/>
      <c r="P162" s="66"/>
      <c r="Q162" s="66"/>
      <c r="R162" s="67"/>
      <c r="S162" s="67"/>
      <c r="T162" s="67"/>
      <c r="U162" s="66"/>
      <c r="V162" s="66"/>
      <c r="W162" s="66"/>
      <c r="X162" s="85"/>
      <c r="AP162" t="str">
        <v/>
      </c>
    </row>
    <row r="163" spans="4:42" ht="15.75" x14ac:dyDescent="0.25">
      <c r="D163" s="3">
        <v>1</v>
      </c>
      <c r="F163" s="16" t="str" cm="1">
        <f t="array" ref="F1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3" s="31" cm="1">
        <f t="array" ref="G1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3" s="33" t="str">
        <f>_xlfn.IFNA(IF(MOD(HLG_04[[#This Row],[Rit]],
    _xlfn.XLOOKUP($G$2,Int_Sample[Ore],Int_Sample[Inc])) = 0, "YES", "NO"),"")</f>
        <v/>
      </c>
      <c r="I163" s="32" t="str">
        <f>TEXT(HLG_04[[#This Row],[Batch]],"000")&amp; " / " &amp; TEXT(HLG_04[[#This Row],[Rit]],"000")</f>
        <v>N/A / 000</v>
      </c>
      <c r="J163" s="34"/>
      <c r="K163" s="38"/>
      <c r="L163" s="35"/>
      <c r="M163" s="66"/>
      <c r="N163" s="66"/>
      <c r="O163" s="66"/>
      <c r="P163" s="66"/>
      <c r="Q163" s="66"/>
      <c r="R163" s="67"/>
      <c r="S163" s="67"/>
      <c r="T163" s="67"/>
      <c r="U163" s="66"/>
      <c r="V163" s="66"/>
      <c r="W163" s="66"/>
      <c r="X163" s="85"/>
      <c r="AP163" t="str">
        <v/>
      </c>
    </row>
    <row r="164" spans="4:42" ht="15.75" x14ac:dyDescent="0.25">
      <c r="D164" s="3">
        <v>1</v>
      </c>
      <c r="F164" s="16" t="str" cm="1">
        <f t="array" ref="F1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4" s="31" cm="1">
        <f t="array" ref="G1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4" s="33" t="str">
        <f>_xlfn.IFNA(IF(MOD(HLG_04[[#This Row],[Rit]],
    _xlfn.XLOOKUP($G$2,Int_Sample[Ore],Int_Sample[Inc])) = 0, "YES", "NO"),"")</f>
        <v/>
      </c>
      <c r="I164" s="32" t="str">
        <f>TEXT(HLG_04[[#This Row],[Batch]],"000")&amp; " / " &amp; TEXT(HLG_04[[#This Row],[Rit]],"000")</f>
        <v>N/A / 000</v>
      </c>
      <c r="J164" s="34"/>
      <c r="K164" s="38"/>
      <c r="L164" s="35"/>
      <c r="M164" s="66"/>
      <c r="N164" s="66"/>
      <c r="O164" s="66"/>
      <c r="P164" s="66"/>
      <c r="Q164" s="66"/>
      <c r="R164" s="67"/>
      <c r="S164" s="67"/>
      <c r="T164" s="67"/>
      <c r="U164" s="66"/>
      <c r="V164" s="66"/>
      <c r="W164" s="66"/>
      <c r="X164" s="85"/>
      <c r="AP164" t="str">
        <v/>
      </c>
    </row>
    <row r="165" spans="4:42" ht="15.75" x14ac:dyDescent="0.25">
      <c r="D165" s="3">
        <v>1</v>
      </c>
      <c r="F165" s="16" t="str" cm="1">
        <f t="array" ref="F1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5" s="31" cm="1">
        <f t="array" ref="G1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5" s="33" t="str">
        <f>_xlfn.IFNA(IF(MOD(HLG_04[[#This Row],[Rit]],
    _xlfn.XLOOKUP($G$2,Int_Sample[Ore],Int_Sample[Inc])) = 0, "YES", "NO"),"")</f>
        <v/>
      </c>
      <c r="I165" s="32" t="str">
        <f>TEXT(HLG_04[[#This Row],[Batch]],"000")&amp; " / " &amp; TEXT(HLG_04[[#This Row],[Rit]],"000")</f>
        <v>N/A / 000</v>
      </c>
      <c r="J165" s="34"/>
      <c r="K165" s="38"/>
      <c r="L165" s="35"/>
      <c r="M165" s="66"/>
      <c r="N165" s="66"/>
      <c r="O165" s="66"/>
      <c r="P165" s="66"/>
      <c r="Q165" s="66"/>
      <c r="R165" s="67"/>
      <c r="S165" s="67"/>
      <c r="T165" s="67"/>
      <c r="U165" s="66"/>
      <c r="V165" s="66"/>
      <c r="W165" s="66"/>
      <c r="X165" s="85"/>
      <c r="AP165" t="str">
        <v/>
      </c>
    </row>
    <row r="166" spans="4:42" ht="15.75" x14ac:dyDescent="0.25">
      <c r="D166" s="3">
        <v>1</v>
      </c>
      <c r="F166" s="16" t="str" cm="1">
        <f t="array" ref="F1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6" s="31" cm="1">
        <f t="array" ref="G1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6" s="33" t="str">
        <f>_xlfn.IFNA(IF(MOD(HLG_04[[#This Row],[Rit]],
    _xlfn.XLOOKUP($G$2,Int_Sample[Ore],Int_Sample[Inc])) = 0, "YES", "NO"),"")</f>
        <v/>
      </c>
      <c r="I166" s="32" t="str">
        <f>TEXT(HLG_04[[#This Row],[Batch]],"000")&amp; " / " &amp; TEXT(HLG_04[[#This Row],[Rit]],"000")</f>
        <v>N/A / 000</v>
      </c>
      <c r="J166" s="34"/>
      <c r="K166" s="38"/>
      <c r="L166" s="35"/>
      <c r="M166" s="66"/>
      <c r="N166" s="66"/>
      <c r="O166" s="66"/>
      <c r="P166" s="66"/>
      <c r="Q166" s="66"/>
      <c r="R166" s="67"/>
      <c r="S166" s="67"/>
      <c r="T166" s="67"/>
      <c r="U166" s="66"/>
      <c r="V166" s="66"/>
      <c r="W166" s="66"/>
      <c r="X166" s="85"/>
      <c r="AP166" t="str">
        <v/>
      </c>
    </row>
    <row r="167" spans="4:42" ht="15.75" x14ac:dyDescent="0.25">
      <c r="D167" s="3">
        <v>1</v>
      </c>
      <c r="F167" s="16" t="str" cm="1">
        <f t="array" ref="F1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7" s="31" cm="1">
        <f t="array" ref="G1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7" s="33" t="str">
        <f>_xlfn.IFNA(IF(MOD(HLG_04[[#This Row],[Rit]],
    _xlfn.XLOOKUP($G$2,Int_Sample[Ore],Int_Sample[Inc])) = 0, "YES", "NO"),"")</f>
        <v/>
      </c>
      <c r="I167" s="32" t="str">
        <f>TEXT(HLG_04[[#This Row],[Batch]],"000")&amp; " / " &amp; TEXT(HLG_04[[#This Row],[Rit]],"000")</f>
        <v>N/A / 000</v>
      </c>
      <c r="J167" s="34"/>
      <c r="K167" s="38"/>
      <c r="L167" s="35"/>
      <c r="M167" s="66"/>
      <c r="N167" s="66"/>
      <c r="O167" s="66"/>
      <c r="P167" s="66"/>
      <c r="Q167" s="66"/>
      <c r="R167" s="67"/>
      <c r="S167" s="67"/>
      <c r="T167" s="67"/>
      <c r="U167" s="66"/>
      <c r="V167" s="66"/>
      <c r="W167" s="66"/>
      <c r="X167" s="85"/>
      <c r="AP167" t="str">
        <v/>
      </c>
    </row>
    <row r="168" spans="4:42" ht="15.75" x14ac:dyDescent="0.25">
      <c r="D168" s="3">
        <v>1</v>
      </c>
      <c r="F168" s="16" t="str" cm="1">
        <f t="array" ref="F1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8" s="31" cm="1">
        <f t="array" ref="G1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8" s="33" t="str">
        <f>_xlfn.IFNA(IF(MOD(HLG_04[[#This Row],[Rit]],
    _xlfn.XLOOKUP($G$2,Int_Sample[Ore],Int_Sample[Inc])) = 0, "YES", "NO"),"")</f>
        <v/>
      </c>
      <c r="I168" s="32" t="str">
        <f>TEXT(HLG_04[[#This Row],[Batch]],"000")&amp; " / " &amp; TEXT(HLG_04[[#This Row],[Rit]],"000")</f>
        <v>N/A / 000</v>
      </c>
      <c r="J168" s="34"/>
      <c r="K168" s="38"/>
      <c r="L168" s="35"/>
      <c r="M168" s="66"/>
      <c r="N168" s="66"/>
      <c r="O168" s="66"/>
      <c r="P168" s="66"/>
      <c r="Q168" s="66"/>
      <c r="R168" s="67"/>
      <c r="S168" s="67"/>
      <c r="T168" s="67"/>
      <c r="U168" s="66"/>
      <c r="V168" s="66"/>
      <c r="W168" s="66"/>
      <c r="X168" s="85"/>
      <c r="AP168" t="str">
        <v/>
      </c>
    </row>
    <row r="169" spans="4:42" ht="15.75" x14ac:dyDescent="0.25">
      <c r="D169" s="3">
        <v>1</v>
      </c>
      <c r="F169" s="16" t="str" cm="1">
        <f t="array" ref="F1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9" s="31" cm="1">
        <f t="array" ref="G1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9" s="33" t="str">
        <f>_xlfn.IFNA(IF(MOD(HLG_04[[#This Row],[Rit]],
    _xlfn.XLOOKUP($G$2,Int_Sample[Ore],Int_Sample[Inc])) = 0, "YES", "NO"),"")</f>
        <v/>
      </c>
      <c r="I169" s="32" t="str">
        <f>TEXT(HLG_04[[#This Row],[Batch]],"000")&amp; " / " &amp; TEXT(HLG_04[[#This Row],[Rit]],"000")</f>
        <v>N/A / 000</v>
      </c>
      <c r="J169" s="34"/>
      <c r="K169" s="38"/>
      <c r="L169" s="35"/>
      <c r="M169" s="66"/>
      <c r="N169" s="66"/>
      <c r="O169" s="66"/>
      <c r="P169" s="66"/>
      <c r="Q169" s="66"/>
      <c r="R169" s="67"/>
      <c r="S169" s="67"/>
      <c r="T169" s="67"/>
      <c r="U169" s="66"/>
      <c r="V169" s="66"/>
      <c r="W169" s="66"/>
      <c r="X169" s="85"/>
      <c r="AP169" t="str">
        <v/>
      </c>
    </row>
    <row r="170" spans="4:42" ht="15.75" x14ac:dyDescent="0.25">
      <c r="D170" s="3">
        <v>1</v>
      </c>
      <c r="F170" s="16" t="str" cm="1">
        <f t="array" ref="F1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0" s="31" cm="1">
        <f t="array" ref="G1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0" s="33" t="str">
        <f>_xlfn.IFNA(IF(MOD(HLG_04[[#This Row],[Rit]],
    _xlfn.XLOOKUP($G$2,Int_Sample[Ore],Int_Sample[Inc])) = 0, "YES", "NO"),"")</f>
        <v/>
      </c>
      <c r="I170" s="32" t="str">
        <f>TEXT(HLG_04[[#This Row],[Batch]],"000")&amp; " / " &amp; TEXT(HLG_04[[#This Row],[Rit]],"000")</f>
        <v>N/A / 000</v>
      </c>
      <c r="J170" s="34"/>
      <c r="K170" s="38"/>
      <c r="L170" s="35"/>
      <c r="M170" s="66"/>
      <c r="N170" s="66"/>
      <c r="O170" s="66"/>
      <c r="P170" s="66"/>
      <c r="Q170" s="66"/>
      <c r="R170" s="67"/>
      <c r="S170" s="67"/>
      <c r="T170" s="67"/>
      <c r="U170" s="66"/>
      <c r="V170" s="66"/>
      <c r="W170" s="66"/>
      <c r="X170" s="85"/>
      <c r="AP170" t="str">
        <v/>
      </c>
    </row>
    <row r="171" spans="4:42" ht="15.75" x14ac:dyDescent="0.25">
      <c r="D171" s="3">
        <v>1</v>
      </c>
      <c r="F171" s="16" t="str" cm="1">
        <f t="array" ref="F1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1" s="31" cm="1">
        <f t="array" ref="G1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1" s="33" t="str">
        <f>_xlfn.IFNA(IF(MOD(HLG_04[[#This Row],[Rit]],
    _xlfn.XLOOKUP($G$2,Int_Sample[Ore],Int_Sample[Inc])) = 0, "YES", "NO"),"")</f>
        <v/>
      </c>
      <c r="I171" s="32" t="str">
        <f>TEXT(HLG_04[[#This Row],[Batch]],"000")&amp; " / " &amp; TEXT(HLG_04[[#This Row],[Rit]],"000")</f>
        <v>N/A / 000</v>
      </c>
      <c r="J171" s="34"/>
      <c r="K171" s="38"/>
      <c r="L171" s="35"/>
      <c r="M171" s="66"/>
      <c r="N171" s="66"/>
      <c r="O171" s="66"/>
      <c r="P171" s="66"/>
      <c r="Q171" s="66"/>
      <c r="R171" s="67"/>
      <c r="S171" s="67"/>
      <c r="T171" s="67"/>
      <c r="U171" s="66"/>
      <c r="V171" s="66"/>
      <c r="W171" s="66"/>
      <c r="X171" s="85"/>
      <c r="AP171" t="str">
        <v/>
      </c>
    </row>
    <row r="172" spans="4:42" ht="15.75" x14ac:dyDescent="0.25">
      <c r="D172" s="3">
        <v>1</v>
      </c>
      <c r="F172" s="16" t="str" cm="1">
        <f t="array" ref="F1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2" s="31" cm="1">
        <f t="array" ref="G1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2" s="33" t="str">
        <f>_xlfn.IFNA(IF(MOD(HLG_04[[#This Row],[Rit]],
    _xlfn.XLOOKUP($G$2,Int_Sample[Ore],Int_Sample[Inc])) = 0, "YES", "NO"),"")</f>
        <v/>
      </c>
      <c r="I172" s="32" t="str">
        <f>TEXT(HLG_04[[#This Row],[Batch]],"000")&amp; " / " &amp; TEXT(HLG_04[[#This Row],[Rit]],"000")</f>
        <v>N/A / 000</v>
      </c>
      <c r="J172" s="34"/>
      <c r="K172" s="38"/>
      <c r="L172" s="35"/>
      <c r="M172" s="66"/>
      <c r="N172" s="66"/>
      <c r="O172" s="66"/>
      <c r="P172" s="66"/>
      <c r="Q172" s="66"/>
      <c r="R172" s="67"/>
      <c r="S172" s="67"/>
      <c r="T172" s="67"/>
      <c r="U172" s="66"/>
      <c r="V172" s="66"/>
      <c r="W172" s="66"/>
      <c r="X172" s="85"/>
      <c r="AP172" t="str">
        <v/>
      </c>
    </row>
    <row r="173" spans="4:42" ht="15.75" x14ac:dyDescent="0.25">
      <c r="D173" s="3">
        <v>1</v>
      </c>
      <c r="F173" s="16" t="str" cm="1">
        <f t="array" ref="F1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3" s="31" cm="1">
        <f t="array" ref="G1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3" s="33" t="str">
        <f>_xlfn.IFNA(IF(MOD(HLG_04[[#This Row],[Rit]],
    _xlfn.XLOOKUP($G$2,Int_Sample[Ore],Int_Sample[Inc])) = 0, "YES", "NO"),"")</f>
        <v/>
      </c>
      <c r="I173" s="32" t="str">
        <f>TEXT(HLG_04[[#This Row],[Batch]],"000")&amp; " / " &amp; TEXT(HLG_04[[#This Row],[Rit]],"000")</f>
        <v>N/A / 000</v>
      </c>
      <c r="J173" s="34"/>
      <c r="K173" s="38"/>
      <c r="L173" s="35"/>
      <c r="M173" s="66"/>
      <c r="N173" s="66"/>
      <c r="O173" s="66"/>
      <c r="P173" s="66"/>
      <c r="Q173" s="66"/>
      <c r="R173" s="67"/>
      <c r="S173" s="67"/>
      <c r="T173" s="67"/>
      <c r="U173" s="66"/>
      <c r="V173" s="66"/>
      <c r="W173" s="66"/>
      <c r="X173" s="85"/>
      <c r="AP173" t="str">
        <v/>
      </c>
    </row>
    <row r="174" spans="4:42" ht="15.75" x14ac:dyDescent="0.25">
      <c r="D174" s="3">
        <v>1</v>
      </c>
      <c r="F174" s="16" t="str" cm="1">
        <f t="array" ref="F1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4" s="31" cm="1">
        <f t="array" ref="G1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4" s="33" t="str">
        <f>_xlfn.IFNA(IF(MOD(HLG_04[[#This Row],[Rit]],
    _xlfn.XLOOKUP($G$2,Int_Sample[Ore],Int_Sample[Inc])) = 0, "YES", "NO"),"")</f>
        <v/>
      </c>
      <c r="I174" s="32" t="str">
        <f>TEXT(HLG_04[[#This Row],[Batch]],"000")&amp; " / " &amp; TEXT(HLG_04[[#This Row],[Rit]],"000")</f>
        <v>N/A / 000</v>
      </c>
      <c r="J174" s="34"/>
      <c r="K174" s="38"/>
      <c r="L174" s="35"/>
      <c r="M174" s="66"/>
      <c r="N174" s="66"/>
      <c r="O174" s="66"/>
      <c r="P174" s="66"/>
      <c r="Q174" s="66"/>
      <c r="R174" s="67"/>
      <c r="S174" s="67"/>
      <c r="T174" s="67"/>
      <c r="U174" s="66"/>
      <c r="V174" s="66"/>
      <c r="W174" s="66"/>
      <c r="X174" s="85"/>
      <c r="AP174" t="str">
        <v/>
      </c>
    </row>
    <row r="175" spans="4:42" ht="15.75" x14ac:dyDescent="0.25">
      <c r="D175" s="3">
        <v>1</v>
      </c>
      <c r="F175" s="16" t="str" cm="1">
        <f t="array" ref="F1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5" s="31" cm="1">
        <f t="array" ref="G1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5" s="33" t="str">
        <f>_xlfn.IFNA(IF(MOD(HLG_04[[#This Row],[Rit]],
    _xlfn.XLOOKUP($G$2,Int_Sample[Ore],Int_Sample[Inc])) = 0, "YES", "NO"),"")</f>
        <v/>
      </c>
      <c r="I175" s="32" t="str">
        <f>TEXT(HLG_04[[#This Row],[Batch]],"000")&amp; " / " &amp; TEXT(HLG_04[[#This Row],[Rit]],"000")</f>
        <v>N/A / 000</v>
      </c>
      <c r="J175" s="34"/>
      <c r="K175" s="38"/>
      <c r="L175" s="35"/>
      <c r="M175" s="66"/>
      <c r="N175" s="66"/>
      <c r="O175" s="66"/>
      <c r="P175" s="66"/>
      <c r="Q175" s="66"/>
      <c r="R175" s="67"/>
      <c r="S175" s="67"/>
      <c r="T175" s="67"/>
      <c r="U175" s="66"/>
      <c r="V175" s="66"/>
      <c r="W175" s="66"/>
      <c r="X175" s="85"/>
      <c r="AP175" t="str">
        <v/>
      </c>
    </row>
    <row r="176" spans="4:42" ht="15.75" x14ac:dyDescent="0.25">
      <c r="D176" s="3">
        <v>1</v>
      </c>
      <c r="F176" s="16" t="str" cm="1">
        <f t="array" ref="F1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6" s="31" cm="1">
        <f t="array" ref="G1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6" s="33" t="str">
        <f>_xlfn.IFNA(IF(MOD(HLG_04[[#This Row],[Rit]],
    _xlfn.XLOOKUP($G$2,Int_Sample[Ore],Int_Sample[Inc])) = 0, "YES", "NO"),"")</f>
        <v/>
      </c>
      <c r="I176" s="32" t="str">
        <f>TEXT(HLG_04[[#This Row],[Batch]],"000")&amp; " / " &amp; TEXT(HLG_04[[#This Row],[Rit]],"000")</f>
        <v>N/A / 000</v>
      </c>
      <c r="J176" s="34"/>
      <c r="K176" s="38"/>
      <c r="L176" s="35"/>
      <c r="M176" s="66"/>
      <c r="N176" s="66"/>
      <c r="O176" s="66"/>
      <c r="P176" s="66"/>
      <c r="Q176" s="66"/>
      <c r="R176" s="67"/>
      <c r="S176" s="67"/>
      <c r="T176" s="67"/>
      <c r="U176" s="66"/>
      <c r="V176" s="66"/>
      <c r="W176" s="66"/>
      <c r="X176" s="85"/>
      <c r="AP176" t="str">
        <v/>
      </c>
    </row>
    <row r="177" spans="4:42" ht="15.75" x14ac:dyDescent="0.25">
      <c r="D177" s="3">
        <v>1</v>
      </c>
      <c r="F177" s="16" t="str" cm="1">
        <f t="array" ref="F1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7" s="31" cm="1">
        <f t="array" ref="G1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7" s="33" t="str">
        <f>_xlfn.IFNA(IF(MOD(HLG_04[[#This Row],[Rit]],
    _xlfn.XLOOKUP($G$2,Int_Sample[Ore],Int_Sample[Inc])) = 0, "YES", "NO"),"")</f>
        <v/>
      </c>
      <c r="I177" s="32" t="str">
        <f>TEXT(HLG_04[[#This Row],[Batch]],"000")&amp; " / " &amp; TEXT(HLG_04[[#This Row],[Rit]],"000")</f>
        <v>N/A / 000</v>
      </c>
      <c r="J177" s="34"/>
      <c r="K177" s="38"/>
      <c r="L177" s="35"/>
      <c r="M177" s="66"/>
      <c r="N177" s="66"/>
      <c r="O177" s="66"/>
      <c r="P177" s="66"/>
      <c r="Q177" s="66"/>
      <c r="R177" s="67"/>
      <c r="S177" s="67"/>
      <c r="T177" s="67"/>
      <c r="U177" s="66"/>
      <c r="V177" s="66"/>
      <c r="W177" s="66"/>
      <c r="X177" s="85"/>
      <c r="AP177" t="str">
        <v/>
      </c>
    </row>
    <row r="178" spans="4:42" ht="15.75" x14ac:dyDescent="0.25">
      <c r="D178" s="3">
        <v>1</v>
      </c>
      <c r="F178" s="16" t="str" cm="1">
        <f t="array" ref="F1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8" s="31" cm="1">
        <f t="array" ref="G1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8" s="33" t="str">
        <f>_xlfn.IFNA(IF(MOD(HLG_04[[#This Row],[Rit]],
    _xlfn.XLOOKUP($G$2,Int_Sample[Ore],Int_Sample[Inc])) = 0, "YES", "NO"),"")</f>
        <v/>
      </c>
      <c r="I178" s="32" t="str">
        <f>TEXT(HLG_04[[#This Row],[Batch]],"000")&amp; " / " &amp; TEXT(HLG_04[[#This Row],[Rit]],"000")</f>
        <v>N/A / 000</v>
      </c>
      <c r="J178" s="34"/>
      <c r="K178" s="38"/>
      <c r="L178" s="35"/>
      <c r="M178" s="66"/>
      <c r="N178" s="66"/>
      <c r="O178" s="66"/>
      <c r="P178" s="66"/>
      <c r="Q178" s="66"/>
      <c r="R178" s="67"/>
      <c r="S178" s="67"/>
      <c r="T178" s="67"/>
      <c r="U178" s="66"/>
      <c r="V178" s="66"/>
      <c r="W178" s="66"/>
      <c r="X178" s="85"/>
      <c r="AP178" t="str">
        <v/>
      </c>
    </row>
    <row r="179" spans="4:42" ht="15.75" x14ac:dyDescent="0.25">
      <c r="D179" s="3">
        <v>1</v>
      </c>
      <c r="F179" s="16" t="str" cm="1">
        <f t="array" ref="F1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9" s="31" cm="1">
        <f t="array" ref="G1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9" s="33" t="str">
        <f>_xlfn.IFNA(IF(MOD(HLG_04[[#This Row],[Rit]],
    _xlfn.XLOOKUP($G$2,Int_Sample[Ore],Int_Sample[Inc])) = 0, "YES", "NO"),"")</f>
        <v/>
      </c>
      <c r="I179" s="32" t="str">
        <f>TEXT(HLG_04[[#This Row],[Batch]],"000")&amp; " / " &amp; TEXT(HLG_04[[#This Row],[Rit]],"000")</f>
        <v>N/A / 000</v>
      </c>
      <c r="J179" s="34"/>
      <c r="K179" s="38"/>
      <c r="L179" s="35"/>
      <c r="M179" s="66"/>
      <c r="N179" s="66"/>
      <c r="O179" s="66"/>
      <c r="P179" s="66"/>
      <c r="Q179" s="66"/>
      <c r="R179" s="67"/>
      <c r="S179" s="67"/>
      <c r="T179" s="67"/>
      <c r="U179" s="66"/>
      <c r="V179" s="66"/>
      <c r="W179" s="66"/>
      <c r="X179" s="85"/>
      <c r="AP179" t="str">
        <v/>
      </c>
    </row>
    <row r="180" spans="4:42" ht="15.75" x14ac:dyDescent="0.25">
      <c r="D180" s="3">
        <v>1</v>
      </c>
      <c r="F180" s="16" t="str" cm="1">
        <f t="array" ref="F1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0" s="31" cm="1">
        <f t="array" ref="G1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0" s="33" t="str">
        <f>_xlfn.IFNA(IF(MOD(HLG_04[[#This Row],[Rit]],
    _xlfn.XLOOKUP($G$2,Int_Sample[Ore],Int_Sample[Inc])) = 0, "YES", "NO"),"")</f>
        <v/>
      </c>
      <c r="I180" s="32" t="str">
        <f>TEXT(HLG_04[[#This Row],[Batch]],"000")&amp; " / " &amp; TEXT(HLG_04[[#This Row],[Rit]],"000")</f>
        <v>N/A / 000</v>
      </c>
      <c r="J180" s="34"/>
      <c r="K180" s="38"/>
      <c r="L180" s="35"/>
      <c r="M180" s="66"/>
      <c r="N180" s="66"/>
      <c r="O180" s="66"/>
      <c r="P180" s="66"/>
      <c r="Q180" s="66"/>
      <c r="R180" s="67"/>
      <c r="S180" s="67"/>
      <c r="T180" s="67"/>
      <c r="U180" s="66"/>
      <c r="V180" s="66"/>
      <c r="W180" s="66"/>
      <c r="X180" s="85"/>
      <c r="AP180" t="str">
        <v/>
      </c>
    </row>
    <row r="181" spans="4:42" ht="15.75" x14ac:dyDescent="0.25">
      <c r="D181" s="3">
        <v>1</v>
      </c>
      <c r="F181" s="16" t="str" cm="1">
        <f t="array" ref="F1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1" s="31" cm="1">
        <f t="array" ref="G1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1" s="33" t="str">
        <f>_xlfn.IFNA(IF(MOD(HLG_04[[#This Row],[Rit]],
    _xlfn.XLOOKUP($G$2,Int_Sample[Ore],Int_Sample[Inc])) = 0, "YES", "NO"),"")</f>
        <v/>
      </c>
      <c r="I181" s="32" t="str">
        <f>TEXT(HLG_04[[#This Row],[Batch]],"000")&amp; " / " &amp; TEXT(HLG_04[[#This Row],[Rit]],"000")</f>
        <v>N/A / 000</v>
      </c>
      <c r="J181" s="34"/>
      <c r="K181" s="38"/>
      <c r="L181" s="35"/>
      <c r="M181" s="66"/>
      <c r="N181" s="66"/>
      <c r="O181" s="66"/>
      <c r="P181" s="66"/>
      <c r="Q181" s="66"/>
      <c r="R181" s="67"/>
      <c r="S181" s="67"/>
      <c r="T181" s="67"/>
      <c r="U181" s="66"/>
      <c r="V181" s="66"/>
      <c r="W181" s="66"/>
      <c r="X181" s="85"/>
      <c r="AP181" t="str">
        <v/>
      </c>
    </row>
    <row r="182" spans="4:42" ht="15.75" x14ac:dyDescent="0.25">
      <c r="D182" s="3">
        <v>1</v>
      </c>
      <c r="F182" s="16" t="str" cm="1">
        <f t="array" ref="F1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2" s="31" cm="1">
        <f t="array" ref="G1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2" s="33" t="str">
        <f>_xlfn.IFNA(IF(MOD(HLG_04[[#This Row],[Rit]],
    _xlfn.XLOOKUP($G$2,Int_Sample[Ore],Int_Sample[Inc])) = 0, "YES", "NO"),"")</f>
        <v/>
      </c>
      <c r="I182" s="32" t="str">
        <f>TEXT(HLG_04[[#This Row],[Batch]],"000")&amp; " / " &amp; TEXT(HLG_04[[#This Row],[Rit]],"000")</f>
        <v>N/A / 000</v>
      </c>
      <c r="J182" s="34"/>
      <c r="K182" s="38"/>
      <c r="L182" s="35"/>
      <c r="M182" s="66"/>
      <c r="N182" s="66"/>
      <c r="O182" s="66"/>
      <c r="P182" s="66"/>
      <c r="Q182" s="66"/>
      <c r="R182" s="67"/>
      <c r="S182" s="67"/>
      <c r="T182" s="67"/>
      <c r="U182" s="66"/>
      <c r="V182" s="66"/>
      <c r="W182" s="66"/>
      <c r="X182" s="85"/>
      <c r="AP182" t="str">
        <v/>
      </c>
    </row>
    <row r="183" spans="4:42" ht="15.75" x14ac:dyDescent="0.25">
      <c r="D183" s="3">
        <v>1</v>
      </c>
      <c r="F183" s="16" t="str" cm="1">
        <f t="array" ref="F1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3" s="31" cm="1">
        <f t="array" ref="G1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3" s="33" t="str">
        <f>_xlfn.IFNA(IF(MOD(HLG_04[[#This Row],[Rit]],
    _xlfn.XLOOKUP($G$2,Int_Sample[Ore],Int_Sample[Inc])) = 0, "YES", "NO"),"")</f>
        <v/>
      </c>
      <c r="I183" s="32" t="str">
        <f>TEXT(HLG_04[[#This Row],[Batch]],"000")&amp; " / " &amp; TEXT(HLG_04[[#This Row],[Rit]],"000")</f>
        <v>N/A / 000</v>
      </c>
      <c r="J183" s="34"/>
      <c r="K183" s="38"/>
      <c r="L183" s="35"/>
      <c r="M183" s="66"/>
      <c r="N183" s="66"/>
      <c r="O183" s="66"/>
      <c r="P183" s="66"/>
      <c r="Q183" s="66"/>
      <c r="R183" s="67"/>
      <c r="S183" s="67"/>
      <c r="T183" s="67"/>
      <c r="U183" s="66"/>
      <c r="V183" s="66"/>
      <c r="W183" s="66"/>
      <c r="X183" s="85"/>
      <c r="AP183" t="str">
        <v/>
      </c>
    </row>
    <row r="184" spans="4:42" ht="15.75" x14ac:dyDescent="0.25">
      <c r="D184" s="3">
        <v>1</v>
      </c>
      <c r="F184" s="16" t="str" cm="1">
        <f t="array" ref="F1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4" s="31" cm="1">
        <f t="array" ref="G1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4" s="33" t="str">
        <f>_xlfn.IFNA(IF(MOD(HLG_04[[#This Row],[Rit]],
    _xlfn.XLOOKUP($G$2,Int_Sample[Ore],Int_Sample[Inc])) = 0, "YES", "NO"),"")</f>
        <v/>
      </c>
      <c r="I184" s="32" t="str">
        <f>TEXT(HLG_04[[#This Row],[Batch]],"000")&amp; " / " &amp; TEXT(HLG_04[[#This Row],[Rit]],"000")</f>
        <v>N/A / 000</v>
      </c>
      <c r="J184" s="34"/>
      <c r="K184" s="38"/>
      <c r="L184" s="35"/>
      <c r="M184" s="66"/>
      <c r="N184" s="66"/>
      <c r="O184" s="66"/>
      <c r="P184" s="66"/>
      <c r="Q184" s="66"/>
      <c r="R184" s="67"/>
      <c r="S184" s="67"/>
      <c r="T184" s="67"/>
      <c r="U184" s="66"/>
      <c r="V184" s="66"/>
      <c r="W184" s="66"/>
      <c r="X184" s="85"/>
      <c r="AP184" t="str">
        <v/>
      </c>
    </row>
    <row r="185" spans="4:42" ht="15.75" x14ac:dyDescent="0.25">
      <c r="D185" s="3">
        <v>1</v>
      </c>
      <c r="F185" s="16" t="str" cm="1">
        <f t="array" ref="F1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5" s="31" cm="1">
        <f t="array" ref="G1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5" s="33" t="str">
        <f>_xlfn.IFNA(IF(MOD(HLG_04[[#This Row],[Rit]],
    _xlfn.XLOOKUP($G$2,Int_Sample[Ore],Int_Sample[Inc])) = 0, "YES", "NO"),"")</f>
        <v/>
      </c>
      <c r="I185" s="32" t="str">
        <f>TEXT(HLG_04[[#This Row],[Batch]],"000")&amp; " / " &amp; TEXT(HLG_04[[#This Row],[Rit]],"000")</f>
        <v>N/A / 000</v>
      </c>
      <c r="J185" s="34"/>
      <c r="K185" s="38"/>
      <c r="L185" s="35"/>
      <c r="M185" s="66"/>
      <c r="N185" s="66"/>
      <c r="O185" s="66"/>
      <c r="P185" s="66"/>
      <c r="Q185" s="66"/>
      <c r="R185" s="67"/>
      <c r="S185" s="67"/>
      <c r="T185" s="67"/>
      <c r="U185" s="66"/>
      <c r="V185" s="66"/>
      <c r="W185" s="66"/>
      <c r="X185" s="85"/>
      <c r="AP185" t="str">
        <v/>
      </c>
    </row>
    <row r="186" spans="4:42" ht="15.75" x14ac:dyDescent="0.25">
      <c r="D186" s="3">
        <v>1</v>
      </c>
      <c r="F186" s="16" t="str" cm="1">
        <f t="array" ref="F1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6" s="31" cm="1">
        <f t="array" ref="G1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6" s="33" t="str">
        <f>_xlfn.IFNA(IF(MOD(HLG_04[[#This Row],[Rit]],
    _xlfn.XLOOKUP($G$2,Int_Sample[Ore],Int_Sample[Inc])) = 0, "YES", "NO"),"")</f>
        <v/>
      </c>
      <c r="I186" s="32" t="str">
        <f>TEXT(HLG_04[[#This Row],[Batch]],"000")&amp; " / " &amp; TEXT(HLG_04[[#This Row],[Rit]],"000")</f>
        <v>N/A / 000</v>
      </c>
      <c r="J186" s="34"/>
      <c r="K186" s="38"/>
      <c r="L186" s="35"/>
      <c r="M186" s="66"/>
      <c r="N186" s="66"/>
      <c r="O186" s="66"/>
      <c r="P186" s="66"/>
      <c r="Q186" s="66"/>
      <c r="R186" s="67"/>
      <c r="S186" s="67"/>
      <c r="T186" s="67"/>
      <c r="U186" s="66"/>
      <c r="V186" s="66"/>
      <c r="W186" s="66"/>
      <c r="X186" s="85"/>
      <c r="AP186" t="str">
        <v/>
      </c>
    </row>
    <row r="187" spans="4:42" ht="15.75" x14ac:dyDescent="0.25">
      <c r="D187" s="3">
        <v>1</v>
      </c>
      <c r="F187" s="16" t="str" cm="1">
        <f t="array" ref="F1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7" s="31" cm="1">
        <f t="array" ref="G1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7" s="33" t="str">
        <f>_xlfn.IFNA(IF(MOD(HLG_04[[#This Row],[Rit]],
    _xlfn.XLOOKUP($G$2,Int_Sample[Ore],Int_Sample[Inc])) = 0, "YES", "NO"),"")</f>
        <v/>
      </c>
      <c r="I187" s="32" t="str">
        <f>TEXT(HLG_04[[#This Row],[Batch]],"000")&amp; " / " &amp; TEXT(HLG_04[[#This Row],[Rit]],"000")</f>
        <v>N/A / 000</v>
      </c>
      <c r="J187" s="34"/>
      <c r="K187" s="38"/>
      <c r="L187" s="35"/>
      <c r="M187" s="66"/>
      <c r="N187" s="66"/>
      <c r="O187" s="66"/>
      <c r="P187" s="66"/>
      <c r="Q187" s="66"/>
      <c r="R187" s="67"/>
      <c r="S187" s="67"/>
      <c r="T187" s="67"/>
      <c r="U187" s="66"/>
      <c r="V187" s="66"/>
      <c r="W187" s="66"/>
      <c r="X187" s="85"/>
      <c r="AP187" t="str">
        <v/>
      </c>
    </row>
    <row r="188" spans="4:42" ht="15.75" x14ac:dyDescent="0.25">
      <c r="D188" s="3">
        <v>1</v>
      </c>
      <c r="F188" s="16" t="str" cm="1">
        <f t="array" ref="F1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8" s="31" cm="1">
        <f t="array" ref="G1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8" s="33" t="str">
        <f>_xlfn.IFNA(IF(MOD(HLG_04[[#This Row],[Rit]],
    _xlfn.XLOOKUP($G$2,Int_Sample[Ore],Int_Sample[Inc])) = 0, "YES", "NO"),"")</f>
        <v/>
      </c>
      <c r="I188" s="32" t="str">
        <f>TEXT(HLG_04[[#This Row],[Batch]],"000")&amp; " / " &amp; TEXT(HLG_04[[#This Row],[Rit]],"000")</f>
        <v>N/A / 000</v>
      </c>
      <c r="J188" s="34"/>
      <c r="K188" s="38"/>
      <c r="L188" s="35"/>
      <c r="M188" s="66"/>
      <c r="N188" s="66"/>
      <c r="O188" s="66"/>
      <c r="P188" s="66"/>
      <c r="Q188" s="66"/>
      <c r="R188" s="67"/>
      <c r="S188" s="67"/>
      <c r="T188" s="67"/>
      <c r="U188" s="66"/>
      <c r="V188" s="66"/>
      <c r="W188" s="66"/>
      <c r="X188" s="85"/>
      <c r="AP188" t="str">
        <v/>
      </c>
    </row>
    <row r="189" spans="4:42" ht="15.75" x14ac:dyDescent="0.25">
      <c r="D189" s="3">
        <v>1</v>
      </c>
      <c r="F189" s="16" t="str" cm="1">
        <f t="array" ref="F1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9" s="31" cm="1">
        <f t="array" ref="G1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9" s="33" t="str">
        <f>_xlfn.IFNA(IF(MOD(HLG_04[[#This Row],[Rit]],
    _xlfn.XLOOKUP($G$2,Int_Sample[Ore],Int_Sample[Inc])) = 0, "YES", "NO"),"")</f>
        <v/>
      </c>
      <c r="I189" s="32" t="str">
        <f>TEXT(HLG_04[[#This Row],[Batch]],"000")&amp; " / " &amp; TEXT(HLG_04[[#This Row],[Rit]],"000")</f>
        <v>N/A / 000</v>
      </c>
      <c r="J189" s="34"/>
      <c r="K189" s="38"/>
      <c r="L189" s="35"/>
      <c r="M189" s="66"/>
      <c r="N189" s="66"/>
      <c r="O189" s="66"/>
      <c r="P189" s="66"/>
      <c r="Q189" s="66"/>
      <c r="R189" s="67"/>
      <c r="S189" s="67"/>
      <c r="T189" s="67"/>
      <c r="U189" s="66"/>
      <c r="V189" s="66"/>
      <c r="W189" s="66"/>
      <c r="X189" s="85"/>
      <c r="AP189" t="str">
        <v/>
      </c>
    </row>
    <row r="190" spans="4:42" ht="15.75" x14ac:dyDescent="0.25">
      <c r="D190" s="3">
        <v>1</v>
      </c>
      <c r="F190" s="16" t="str" cm="1">
        <f t="array" ref="F1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0" s="31" cm="1">
        <f t="array" ref="G1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0" s="33" t="str">
        <f>_xlfn.IFNA(IF(MOD(HLG_04[[#This Row],[Rit]],
    _xlfn.XLOOKUP($G$2,Int_Sample[Ore],Int_Sample[Inc])) = 0, "YES", "NO"),"")</f>
        <v/>
      </c>
      <c r="I190" s="32" t="str">
        <f>TEXT(HLG_04[[#This Row],[Batch]],"000")&amp; " / " &amp; TEXT(HLG_04[[#This Row],[Rit]],"000")</f>
        <v>N/A / 000</v>
      </c>
      <c r="J190" s="34"/>
      <c r="K190" s="38"/>
      <c r="L190" s="35"/>
      <c r="M190" s="66"/>
      <c r="N190" s="66"/>
      <c r="O190" s="66"/>
      <c r="P190" s="66"/>
      <c r="Q190" s="66"/>
      <c r="R190" s="67"/>
      <c r="S190" s="67"/>
      <c r="T190" s="67"/>
      <c r="U190" s="66"/>
      <c r="V190" s="66"/>
      <c r="W190" s="66"/>
      <c r="X190" s="85"/>
      <c r="AP190" t="str">
        <v/>
      </c>
    </row>
    <row r="191" spans="4:42" ht="15.75" x14ac:dyDescent="0.25">
      <c r="D191" s="3">
        <v>1</v>
      </c>
      <c r="F191" s="16" t="str" cm="1">
        <f t="array" ref="F1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1" s="31" cm="1">
        <f t="array" ref="G1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1" s="33" t="str">
        <f>_xlfn.IFNA(IF(MOD(HLG_04[[#This Row],[Rit]],
    _xlfn.XLOOKUP($G$2,Int_Sample[Ore],Int_Sample[Inc])) = 0, "YES", "NO"),"")</f>
        <v/>
      </c>
      <c r="I191" s="32" t="str">
        <f>TEXT(HLG_04[[#This Row],[Batch]],"000")&amp; " / " &amp; TEXT(HLG_04[[#This Row],[Rit]],"000")</f>
        <v>N/A / 000</v>
      </c>
      <c r="J191" s="34"/>
      <c r="K191" s="38"/>
      <c r="L191" s="35"/>
      <c r="M191" s="66"/>
      <c r="N191" s="66"/>
      <c r="O191" s="66"/>
      <c r="P191" s="66"/>
      <c r="Q191" s="66"/>
      <c r="R191" s="67"/>
      <c r="S191" s="67"/>
      <c r="T191" s="67"/>
      <c r="U191" s="66"/>
      <c r="V191" s="66"/>
      <c r="W191" s="66"/>
      <c r="X191" s="85"/>
      <c r="AP191" t="str">
        <v/>
      </c>
    </row>
    <row r="192" spans="4:42" ht="15.75" x14ac:dyDescent="0.25">
      <c r="D192" s="3">
        <v>1</v>
      </c>
      <c r="F192" s="16" t="str" cm="1">
        <f t="array" ref="F1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2" s="31" cm="1">
        <f t="array" ref="G1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2" s="33" t="str">
        <f>_xlfn.IFNA(IF(MOD(HLG_04[[#This Row],[Rit]],
    _xlfn.XLOOKUP($G$2,Int_Sample[Ore],Int_Sample[Inc])) = 0, "YES", "NO"),"")</f>
        <v/>
      </c>
      <c r="I192" s="32" t="str">
        <f>TEXT(HLG_04[[#This Row],[Batch]],"000")&amp; " / " &amp; TEXT(HLG_04[[#This Row],[Rit]],"000")</f>
        <v>N/A / 000</v>
      </c>
      <c r="J192" s="34"/>
      <c r="K192" s="38"/>
      <c r="L192" s="35"/>
      <c r="M192" s="66"/>
      <c r="N192" s="66"/>
      <c r="O192" s="66"/>
      <c r="P192" s="66"/>
      <c r="Q192" s="66"/>
      <c r="R192" s="67"/>
      <c r="S192" s="67"/>
      <c r="T192" s="67"/>
      <c r="U192" s="66"/>
      <c r="V192" s="66"/>
      <c r="W192" s="66"/>
      <c r="X192" s="85"/>
      <c r="AP192" t="str">
        <v/>
      </c>
    </row>
    <row r="193" spans="4:42" ht="15.75" x14ac:dyDescent="0.25">
      <c r="D193" s="3">
        <v>1</v>
      </c>
      <c r="F193" s="16" t="str" cm="1">
        <f t="array" ref="F1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3" s="31" cm="1">
        <f t="array" ref="G1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3" s="33" t="str">
        <f>_xlfn.IFNA(IF(MOD(HLG_04[[#This Row],[Rit]],
    _xlfn.XLOOKUP($G$2,Int_Sample[Ore],Int_Sample[Inc])) = 0, "YES", "NO"),"")</f>
        <v/>
      </c>
      <c r="I193" s="32" t="str">
        <f>TEXT(HLG_04[[#This Row],[Batch]],"000")&amp; " / " &amp; TEXT(HLG_04[[#This Row],[Rit]],"000")</f>
        <v>N/A / 000</v>
      </c>
      <c r="J193" s="34"/>
      <c r="K193" s="38"/>
      <c r="L193" s="35"/>
      <c r="M193" s="66"/>
      <c r="N193" s="66"/>
      <c r="O193" s="66"/>
      <c r="P193" s="66"/>
      <c r="Q193" s="66"/>
      <c r="R193" s="67"/>
      <c r="S193" s="67"/>
      <c r="T193" s="67"/>
      <c r="U193" s="66"/>
      <c r="V193" s="66"/>
      <c r="W193" s="66"/>
      <c r="X193" s="85"/>
      <c r="AP193" t="str">
        <v/>
      </c>
    </row>
    <row r="194" spans="4:42" ht="15.75" x14ac:dyDescent="0.25">
      <c r="D194" s="3">
        <v>1</v>
      </c>
      <c r="F194" s="16" t="str" cm="1">
        <f t="array" ref="F1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4" s="31" cm="1">
        <f t="array" ref="G1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4" s="33" t="str">
        <f>_xlfn.IFNA(IF(MOD(HLG_04[[#This Row],[Rit]],
    _xlfn.XLOOKUP($G$2,Int_Sample[Ore],Int_Sample[Inc])) = 0, "YES", "NO"),"")</f>
        <v/>
      </c>
      <c r="I194" s="32" t="str">
        <f>TEXT(HLG_04[[#This Row],[Batch]],"000")&amp; " / " &amp; TEXT(HLG_04[[#This Row],[Rit]],"000")</f>
        <v>N/A / 000</v>
      </c>
      <c r="J194" s="34"/>
      <c r="K194" s="38"/>
      <c r="L194" s="35"/>
      <c r="M194" s="66"/>
      <c r="N194" s="66"/>
      <c r="O194" s="66"/>
      <c r="P194" s="66"/>
      <c r="Q194" s="66"/>
      <c r="R194" s="67"/>
      <c r="S194" s="67"/>
      <c r="T194" s="67"/>
      <c r="U194" s="66"/>
      <c r="V194" s="66"/>
      <c r="W194" s="66"/>
      <c r="X194" s="85"/>
      <c r="AP194" t="str">
        <v/>
      </c>
    </row>
    <row r="195" spans="4:42" ht="15.75" x14ac:dyDescent="0.25">
      <c r="D195" s="3">
        <v>1</v>
      </c>
      <c r="F195" s="16" t="str" cm="1">
        <f t="array" ref="F1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5" s="31" cm="1">
        <f t="array" ref="G1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5" s="33" t="str">
        <f>_xlfn.IFNA(IF(MOD(HLG_04[[#This Row],[Rit]],
    _xlfn.XLOOKUP($G$2,Int_Sample[Ore],Int_Sample[Inc])) = 0, "YES", "NO"),"")</f>
        <v/>
      </c>
      <c r="I195" s="32" t="str">
        <f>TEXT(HLG_04[[#This Row],[Batch]],"000")&amp; " / " &amp; TEXT(HLG_04[[#This Row],[Rit]],"000")</f>
        <v>N/A / 000</v>
      </c>
      <c r="J195" s="34"/>
      <c r="K195" s="38"/>
      <c r="L195" s="35"/>
      <c r="M195" s="66"/>
      <c r="N195" s="66"/>
      <c r="O195" s="66"/>
      <c r="P195" s="66"/>
      <c r="Q195" s="66"/>
      <c r="R195" s="67"/>
      <c r="S195" s="67"/>
      <c r="T195" s="67"/>
      <c r="U195" s="66"/>
      <c r="V195" s="66"/>
      <c r="W195" s="66"/>
      <c r="X195" s="85"/>
      <c r="AP195" t="str">
        <v/>
      </c>
    </row>
    <row r="196" spans="4:42" ht="15.75" x14ac:dyDescent="0.25">
      <c r="D196" s="3">
        <v>1</v>
      </c>
      <c r="F196" s="16" t="str" cm="1">
        <f t="array" ref="F1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6" s="31" cm="1">
        <f t="array" ref="G1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6" s="33" t="str">
        <f>_xlfn.IFNA(IF(MOD(HLG_04[[#This Row],[Rit]],
    _xlfn.XLOOKUP($G$2,Int_Sample[Ore],Int_Sample[Inc])) = 0, "YES", "NO"),"")</f>
        <v/>
      </c>
      <c r="I196" s="32" t="str">
        <f>TEXT(HLG_04[[#This Row],[Batch]],"000")&amp; " / " &amp; TEXT(HLG_04[[#This Row],[Rit]],"000")</f>
        <v>N/A / 000</v>
      </c>
      <c r="J196" s="34"/>
      <c r="K196" s="38"/>
      <c r="L196" s="35"/>
      <c r="M196" s="66"/>
      <c r="N196" s="66"/>
      <c r="O196" s="66"/>
      <c r="P196" s="66"/>
      <c r="Q196" s="66"/>
      <c r="R196" s="67"/>
      <c r="S196" s="67"/>
      <c r="T196" s="67"/>
      <c r="U196" s="66"/>
      <c r="V196" s="66"/>
      <c r="W196" s="66"/>
      <c r="X196" s="85"/>
      <c r="AP196" t="str">
        <v/>
      </c>
    </row>
    <row r="197" spans="4:42" ht="15.75" x14ac:dyDescent="0.25">
      <c r="D197" s="3">
        <v>1</v>
      </c>
      <c r="F197" s="16" t="str" cm="1">
        <f t="array" ref="F1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7" s="31" cm="1">
        <f t="array" ref="G1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7" s="33" t="str">
        <f>_xlfn.IFNA(IF(MOD(HLG_04[[#This Row],[Rit]],
    _xlfn.XLOOKUP($G$2,Int_Sample[Ore],Int_Sample[Inc])) = 0, "YES", "NO"),"")</f>
        <v/>
      </c>
      <c r="I197" s="32" t="str">
        <f>TEXT(HLG_04[[#This Row],[Batch]],"000")&amp; " / " &amp; TEXT(HLG_04[[#This Row],[Rit]],"000")</f>
        <v>N/A / 000</v>
      </c>
      <c r="J197" s="34"/>
      <c r="K197" s="38"/>
      <c r="L197" s="35"/>
      <c r="M197" s="66"/>
      <c r="N197" s="66"/>
      <c r="O197" s="66"/>
      <c r="P197" s="66"/>
      <c r="Q197" s="66"/>
      <c r="R197" s="67"/>
      <c r="S197" s="67"/>
      <c r="T197" s="67"/>
      <c r="U197" s="66"/>
      <c r="V197" s="66"/>
      <c r="W197" s="66"/>
      <c r="X197" s="85"/>
      <c r="AP197" t="str">
        <v/>
      </c>
    </row>
    <row r="198" spans="4:42" ht="15.75" x14ac:dyDescent="0.25">
      <c r="D198" s="3">
        <v>1</v>
      </c>
      <c r="F198" s="16" t="str" cm="1">
        <f t="array" ref="F1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8" s="31" cm="1">
        <f t="array" ref="G1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8" s="33" t="str">
        <f>_xlfn.IFNA(IF(MOD(HLG_04[[#This Row],[Rit]],
    _xlfn.XLOOKUP($G$2,Int_Sample[Ore],Int_Sample[Inc])) = 0, "YES", "NO"),"")</f>
        <v/>
      </c>
      <c r="I198" s="32" t="str">
        <f>TEXT(HLG_04[[#This Row],[Batch]],"000")&amp; " / " &amp; TEXT(HLG_04[[#This Row],[Rit]],"000")</f>
        <v>N/A / 000</v>
      </c>
      <c r="J198" s="34"/>
      <c r="K198" s="38"/>
      <c r="L198" s="35"/>
      <c r="M198" s="66"/>
      <c r="N198" s="66"/>
      <c r="O198" s="66"/>
      <c r="P198" s="66"/>
      <c r="Q198" s="66"/>
      <c r="R198" s="67"/>
      <c r="S198" s="67"/>
      <c r="T198" s="67"/>
      <c r="U198" s="66"/>
      <c r="V198" s="66"/>
      <c r="W198" s="66"/>
      <c r="X198" s="85"/>
      <c r="AP198" t="str">
        <v/>
      </c>
    </row>
    <row r="199" spans="4:42" ht="15.75" x14ac:dyDescent="0.25">
      <c r="D199" s="3">
        <v>1</v>
      </c>
      <c r="F199" s="16" t="str" cm="1">
        <f t="array" ref="F1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9" s="31" cm="1">
        <f t="array" ref="G1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9" s="33" t="str">
        <f>_xlfn.IFNA(IF(MOD(HLG_04[[#This Row],[Rit]],
    _xlfn.XLOOKUP($G$2,Int_Sample[Ore],Int_Sample[Inc])) = 0, "YES", "NO"),"")</f>
        <v/>
      </c>
      <c r="I199" s="32" t="str">
        <f>TEXT(HLG_04[[#This Row],[Batch]],"000")&amp; " / " &amp; TEXT(HLG_04[[#This Row],[Rit]],"000")</f>
        <v>N/A / 000</v>
      </c>
      <c r="J199" s="34"/>
      <c r="K199" s="38"/>
      <c r="L199" s="35"/>
      <c r="M199" s="66"/>
      <c r="N199" s="66"/>
      <c r="O199" s="66"/>
      <c r="P199" s="66"/>
      <c r="Q199" s="66"/>
      <c r="R199" s="67"/>
      <c r="S199" s="67"/>
      <c r="T199" s="67"/>
      <c r="U199" s="66"/>
      <c r="V199" s="66"/>
      <c r="W199" s="66"/>
      <c r="X199" s="85"/>
      <c r="AP199" t="str">
        <v/>
      </c>
    </row>
    <row r="200" spans="4:42" ht="15.75" x14ac:dyDescent="0.25">
      <c r="D200" s="3">
        <v>1</v>
      </c>
      <c r="F200" s="16" t="str" cm="1">
        <f t="array" ref="F2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0" s="31" cm="1">
        <f t="array" ref="G2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0" s="33" t="str">
        <f>_xlfn.IFNA(IF(MOD(HLG_04[[#This Row],[Rit]],
    _xlfn.XLOOKUP($G$2,Int_Sample[Ore],Int_Sample[Inc])) = 0, "YES", "NO"),"")</f>
        <v/>
      </c>
      <c r="I200" s="32" t="str">
        <f>TEXT(HLG_04[[#This Row],[Batch]],"000")&amp; " / " &amp; TEXT(HLG_04[[#This Row],[Rit]],"000")</f>
        <v>N/A / 000</v>
      </c>
      <c r="J200" s="34"/>
      <c r="K200" s="38"/>
      <c r="L200" s="35"/>
      <c r="M200" s="66"/>
      <c r="N200" s="66"/>
      <c r="O200" s="66"/>
      <c r="P200" s="66"/>
      <c r="Q200" s="66"/>
      <c r="R200" s="67"/>
      <c r="S200" s="67"/>
      <c r="T200" s="67"/>
      <c r="U200" s="66"/>
      <c r="V200" s="66"/>
      <c r="W200" s="66"/>
      <c r="X200" s="85"/>
      <c r="AP200" t="str">
        <v/>
      </c>
    </row>
    <row r="201" spans="4:42" ht="15.75" x14ac:dyDescent="0.25">
      <c r="D201" s="3">
        <v>1</v>
      </c>
      <c r="F201" s="16" t="str" cm="1">
        <f t="array" ref="F2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1" s="31" cm="1">
        <f t="array" ref="G2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1" s="33" t="str">
        <f>_xlfn.IFNA(IF(MOD(HLG_04[[#This Row],[Rit]],
    _xlfn.XLOOKUP($G$2,Int_Sample[Ore],Int_Sample[Inc])) = 0, "YES", "NO"),"")</f>
        <v/>
      </c>
      <c r="I201" s="32" t="str">
        <f>TEXT(HLG_04[[#This Row],[Batch]],"000")&amp; " / " &amp; TEXT(HLG_04[[#This Row],[Rit]],"000")</f>
        <v>N/A / 000</v>
      </c>
      <c r="J201" s="34"/>
      <c r="K201" s="38"/>
      <c r="L201" s="35"/>
      <c r="M201" s="66"/>
      <c r="N201" s="66"/>
      <c r="O201" s="66"/>
      <c r="P201" s="66"/>
      <c r="Q201" s="66"/>
      <c r="R201" s="67"/>
      <c r="S201" s="67"/>
      <c r="T201" s="67"/>
      <c r="U201" s="66"/>
      <c r="V201" s="66"/>
      <c r="W201" s="66"/>
      <c r="X201" s="85"/>
      <c r="AP201" t="str">
        <v/>
      </c>
    </row>
    <row r="202" spans="4:42" ht="15.75" x14ac:dyDescent="0.25">
      <c r="D202" s="3">
        <v>1</v>
      </c>
      <c r="F202" s="16" t="str" cm="1">
        <f t="array" ref="F2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2" s="31" cm="1">
        <f t="array" ref="G2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2" s="33" t="str">
        <f>_xlfn.IFNA(IF(MOD(HLG_04[[#This Row],[Rit]],
    _xlfn.XLOOKUP($G$2,Int_Sample[Ore],Int_Sample[Inc])) = 0, "YES", "NO"),"")</f>
        <v/>
      </c>
      <c r="I202" s="32" t="str">
        <f>TEXT(HLG_04[[#This Row],[Batch]],"000")&amp; " / " &amp; TEXT(HLG_04[[#This Row],[Rit]],"000")</f>
        <v>N/A / 000</v>
      </c>
      <c r="J202" s="34"/>
      <c r="K202" s="38"/>
      <c r="L202" s="35"/>
      <c r="M202" s="66"/>
      <c r="N202" s="66"/>
      <c r="O202" s="66"/>
      <c r="P202" s="66"/>
      <c r="Q202" s="66"/>
      <c r="R202" s="67"/>
      <c r="S202" s="67"/>
      <c r="T202" s="67"/>
      <c r="U202" s="66"/>
      <c r="V202" s="66"/>
      <c r="W202" s="66"/>
      <c r="X202" s="85"/>
      <c r="AP202" t="str">
        <v/>
      </c>
    </row>
    <row r="203" spans="4:42" ht="15.75" x14ac:dyDescent="0.25">
      <c r="D203" s="3">
        <v>1</v>
      </c>
      <c r="F203" s="16" t="str" cm="1">
        <f t="array" ref="F2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3" s="31" cm="1">
        <f t="array" ref="G2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3" s="33" t="str">
        <f>_xlfn.IFNA(IF(MOD(HLG_04[[#This Row],[Rit]],
    _xlfn.XLOOKUP($G$2,Int_Sample[Ore],Int_Sample[Inc])) = 0, "YES", "NO"),"")</f>
        <v/>
      </c>
      <c r="I203" s="32" t="str">
        <f>TEXT(HLG_04[[#This Row],[Batch]],"000")&amp; " / " &amp; TEXT(HLG_04[[#This Row],[Rit]],"000")</f>
        <v>N/A / 000</v>
      </c>
      <c r="J203" s="34"/>
      <c r="K203" s="38"/>
      <c r="L203" s="35"/>
      <c r="M203" s="66"/>
      <c r="N203" s="66"/>
      <c r="O203" s="66"/>
      <c r="P203" s="66"/>
      <c r="Q203" s="66"/>
      <c r="R203" s="67"/>
      <c r="S203" s="67"/>
      <c r="T203" s="67"/>
      <c r="U203" s="66"/>
      <c r="V203" s="66"/>
      <c r="W203" s="66"/>
      <c r="X203" s="85"/>
      <c r="AP203" t="str">
        <v/>
      </c>
    </row>
    <row r="204" spans="4:42" ht="15.75" x14ac:dyDescent="0.25">
      <c r="D204" s="3">
        <v>1</v>
      </c>
      <c r="F204" s="16" t="str" cm="1">
        <f t="array" ref="F2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4" s="31" cm="1">
        <f t="array" ref="G2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4" s="33" t="str">
        <f>_xlfn.IFNA(IF(MOD(HLG_04[[#This Row],[Rit]],
    _xlfn.XLOOKUP($G$2,Int_Sample[Ore],Int_Sample[Inc])) = 0, "YES", "NO"),"")</f>
        <v/>
      </c>
      <c r="I204" s="32" t="str">
        <f>TEXT(HLG_04[[#This Row],[Batch]],"000")&amp; " / " &amp; TEXT(HLG_04[[#This Row],[Rit]],"000")</f>
        <v>N/A / 000</v>
      </c>
      <c r="J204" s="34"/>
      <c r="K204" s="38"/>
      <c r="L204" s="35"/>
      <c r="M204" s="66"/>
      <c r="N204" s="66"/>
      <c r="O204" s="66"/>
      <c r="P204" s="66"/>
      <c r="Q204" s="66"/>
      <c r="R204" s="67"/>
      <c r="S204" s="67"/>
      <c r="T204" s="67"/>
      <c r="U204" s="66"/>
      <c r="V204" s="66"/>
      <c r="W204" s="66"/>
      <c r="X204" s="85"/>
      <c r="AP204" t="str">
        <v/>
      </c>
    </row>
    <row r="205" spans="4:42" ht="15.75" x14ac:dyDescent="0.25">
      <c r="D205" s="3">
        <v>1</v>
      </c>
      <c r="F205" s="16" t="str" cm="1">
        <f t="array" ref="F2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5" s="31" cm="1">
        <f t="array" ref="G2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5" s="33" t="str">
        <f>_xlfn.IFNA(IF(MOD(HLG_04[[#This Row],[Rit]],
    _xlfn.XLOOKUP($G$2,Int_Sample[Ore],Int_Sample[Inc])) = 0, "YES", "NO"),"")</f>
        <v/>
      </c>
      <c r="I205" s="32" t="str">
        <f>TEXT(HLG_04[[#This Row],[Batch]],"000")&amp; " / " &amp; TEXT(HLG_04[[#This Row],[Rit]],"000")</f>
        <v>N/A / 000</v>
      </c>
      <c r="J205" s="34"/>
      <c r="K205" s="38"/>
      <c r="L205" s="35"/>
      <c r="M205" s="66"/>
      <c r="N205" s="66"/>
      <c r="O205" s="66"/>
      <c r="P205" s="66"/>
      <c r="Q205" s="66"/>
      <c r="R205" s="67"/>
      <c r="S205" s="67"/>
      <c r="T205" s="67"/>
      <c r="U205" s="66"/>
      <c r="V205" s="66"/>
      <c r="W205" s="66"/>
      <c r="X205" s="85"/>
      <c r="AP205" t="str">
        <v/>
      </c>
    </row>
    <row r="206" spans="4:42" ht="15.75" x14ac:dyDescent="0.25">
      <c r="D206" s="3">
        <v>1</v>
      </c>
      <c r="F206" s="16" t="str" cm="1">
        <f t="array" ref="F2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6" s="31" cm="1">
        <f t="array" ref="G2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6" s="33" t="str">
        <f>_xlfn.IFNA(IF(MOD(HLG_04[[#This Row],[Rit]],
    _xlfn.XLOOKUP($G$2,Int_Sample[Ore],Int_Sample[Inc])) = 0, "YES", "NO"),"")</f>
        <v/>
      </c>
      <c r="I206" s="32" t="str">
        <f>TEXT(HLG_04[[#This Row],[Batch]],"000")&amp; " / " &amp; TEXT(HLG_04[[#This Row],[Rit]],"000")</f>
        <v>N/A / 000</v>
      </c>
      <c r="J206" s="34"/>
      <c r="K206" s="38"/>
      <c r="L206" s="35"/>
      <c r="M206" s="66"/>
      <c r="N206" s="66"/>
      <c r="O206" s="66"/>
      <c r="P206" s="66"/>
      <c r="Q206" s="66"/>
      <c r="R206" s="67"/>
      <c r="S206" s="67"/>
      <c r="T206" s="67"/>
      <c r="U206" s="66"/>
      <c r="V206" s="66"/>
      <c r="W206" s="66"/>
      <c r="X206" s="85"/>
      <c r="AP206" t="str">
        <v/>
      </c>
    </row>
    <row r="207" spans="4:42" ht="15.75" x14ac:dyDescent="0.25">
      <c r="D207" s="3">
        <v>1</v>
      </c>
      <c r="F207" s="16" t="str" cm="1">
        <f t="array" ref="F2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7" s="31" cm="1">
        <f t="array" ref="G2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7" s="33" t="str">
        <f>_xlfn.IFNA(IF(MOD(HLG_04[[#This Row],[Rit]],
    _xlfn.XLOOKUP($G$2,Int_Sample[Ore],Int_Sample[Inc])) = 0, "YES", "NO"),"")</f>
        <v/>
      </c>
      <c r="I207" s="32" t="str">
        <f>TEXT(HLG_04[[#This Row],[Batch]],"000")&amp; " / " &amp; TEXT(HLG_04[[#This Row],[Rit]],"000")</f>
        <v>N/A / 000</v>
      </c>
      <c r="J207" s="34"/>
      <c r="K207" s="38"/>
      <c r="L207" s="35"/>
      <c r="M207" s="66"/>
      <c r="N207" s="66"/>
      <c r="O207" s="66"/>
      <c r="P207" s="66"/>
      <c r="Q207" s="66"/>
      <c r="R207" s="67"/>
      <c r="S207" s="67"/>
      <c r="T207" s="67"/>
      <c r="U207" s="66"/>
      <c r="V207" s="66"/>
      <c r="W207" s="66"/>
      <c r="X207" s="85"/>
      <c r="AP207" t="str">
        <v/>
      </c>
    </row>
    <row r="208" spans="4:42" ht="15.75" x14ac:dyDescent="0.25">
      <c r="D208" s="3">
        <v>1</v>
      </c>
      <c r="F208" s="16" t="str" cm="1">
        <f t="array" ref="F2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8" s="31" cm="1">
        <f t="array" ref="G2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8" s="33" t="str">
        <f>_xlfn.IFNA(IF(MOD(HLG_04[[#This Row],[Rit]],
    _xlfn.XLOOKUP($G$2,Int_Sample[Ore],Int_Sample[Inc])) = 0, "YES", "NO"),"")</f>
        <v/>
      </c>
      <c r="I208" s="32" t="str">
        <f>TEXT(HLG_04[[#This Row],[Batch]],"000")&amp; " / " &amp; TEXT(HLG_04[[#This Row],[Rit]],"000")</f>
        <v>N/A / 000</v>
      </c>
      <c r="J208" s="34"/>
      <c r="K208" s="38"/>
      <c r="L208" s="35"/>
      <c r="M208" s="66"/>
      <c r="N208" s="66"/>
      <c r="O208" s="66"/>
      <c r="P208" s="66"/>
      <c r="Q208" s="66"/>
      <c r="R208" s="67"/>
      <c r="S208" s="67"/>
      <c r="T208" s="67"/>
      <c r="U208" s="66"/>
      <c r="V208" s="66"/>
      <c r="W208" s="66"/>
      <c r="X208" s="85"/>
      <c r="AP208" t="str">
        <v/>
      </c>
    </row>
    <row r="209" spans="4:42" ht="15.75" x14ac:dyDescent="0.25">
      <c r="D209" s="3">
        <v>1</v>
      </c>
      <c r="F209" s="16" t="str" cm="1">
        <f t="array" ref="F2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9" s="31" cm="1">
        <f t="array" ref="G2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9" s="33" t="str">
        <f>_xlfn.IFNA(IF(MOD(HLG_04[[#This Row],[Rit]],
    _xlfn.XLOOKUP($G$2,Int_Sample[Ore],Int_Sample[Inc])) = 0, "YES", "NO"),"")</f>
        <v/>
      </c>
      <c r="I209" s="32" t="str">
        <f>TEXT(HLG_04[[#This Row],[Batch]],"000")&amp; " / " &amp; TEXT(HLG_04[[#This Row],[Rit]],"000")</f>
        <v>N/A / 000</v>
      </c>
      <c r="J209" s="34"/>
      <c r="K209" s="38"/>
      <c r="L209" s="35"/>
      <c r="M209" s="66"/>
      <c r="N209" s="66"/>
      <c r="O209" s="66"/>
      <c r="P209" s="66"/>
      <c r="Q209" s="66"/>
      <c r="R209" s="67"/>
      <c r="S209" s="67"/>
      <c r="T209" s="67"/>
      <c r="U209" s="66"/>
      <c r="V209" s="66"/>
      <c r="W209" s="66"/>
      <c r="X209" s="85"/>
      <c r="AP209" t="str">
        <v/>
      </c>
    </row>
    <row r="210" spans="4:42" ht="15.75" x14ac:dyDescent="0.25">
      <c r="D210" s="3">
        <v>1</v>
      </c>
      <c r="F210" s="16" t="str" cm="1">
        <f t="array" ref="F2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0" s="31" cm="1">
        <f t="array" ref="G2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0" s="33" t="str">
        <f>_xlfn.IFNA(IF(MOD(HLG_04[[#This Row],[Rit]],
    _xlfn.XLOOKUP($G$2,Int_Sample[Ore],Int_Sample[Inc])) = 0, "YES", "NO"),"")</f>
        <v/>
      </c>
      <c r="I210" s="32" t="str">
        <f>TEXT(HLG_04[[#This Row],[Batch]],"000")&amp; " / " &amp; TEXT(HLG_04[[#This Row],[Rit]],"000")</f>
        <v>N/A / 000</v>
      </c>
      <c r="J210" s="34"/>
      <c r="K210" s="38"/>
      <c r="L210" s="35"/>
      <c r="M210" s="66"/>
      <c r="N210" s="66"/>
      <c r="O210" s="66"/>
      <c r="P210" s="66"/>
      <c r="Q210" s="66"/>
      <c r="R210" s="67"/>
      <c r="S210" s="67"/>
      <c r="T210" s="67"/>
      <c r="U210" s="66"/>
      <c r="V210" s="66"/>
      <c r="W210" s="66"/>
      <c r="X210" s="85"/>
      <c r="AP210" t="str">
        <v/>
      </c>
    </row>
    <row r="211" spans="4:42" ht="15.75" x14ac:dyDescent="0.25">
      <c r="D211" s="3">
        <v>1</v>
      </c>
      <c r="F211" s="16" t="str" cm="1">
        <f t="array" ref="F2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1" s="31" cm="1">
        <f t="array" ref="G2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1" s="33" t="str">
        <f>_xlfn.IFNA(IF(MOD(HLG_04[[#This Row],[Rit]],
    _xlfn.XLOOKUP($G$2,Int_Sample[Ore],Int_Sample[Inc])) = 0, "YES", "NO"),"")</f>
        <v/>
      </c>
      <c r="I211" s="32" t="str">
        <f>TEXT(HLG_04[[#This Row],[Batch]],"000")&amp; " / " &amp; TEXT(HLG_04[[#This Row],[Rit]],"000")</f>
        <v>N/A / 000</v>
      </c>
      <c r="J211" s="34"/>
      <c r="K211" s="38"/>
      <c r="L211" s="35"/>
      <c r="M211" s="66"/>
      <c r="N211" s="66"/>
      <c r="O211" s="66"/>
      <c r="P211" s="66"/>
      <c r="Q211" s="66"/>
      <c r="R211" s="67"/>
      <c r="S211" s="67"/>
      <c r="T211" s="67"/>
      <c r="U211" s="66"/>
      <c r="V211" s="66"/>
      <c r="W211" s="66"/>
      <c r="X211" s="85"/>
      <c r="AP211" t="str">
        <v/>
      </c>
    </row>
    <row r="212" spans="4:42" ht="15.75" x14ac:dyDescent="0.25">
      <c r="D212" s="3">
        <v>1</v>
      </c>
      <c r="F212" s="16" t="str" cm="1">
        <f t="array" ref="F2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2" s="31" cm="1">
        <f t="array" ref="G2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2" s="33" t="str">
        <f>_xlfn.IFNA(IF(MOD(HLG_04[[#This Row],[Rit]],
    _xlfn.XLOOKUP($G$2,Int_Sample[Ore],Int_Sample[Inc])) = 0, "YES", "NO"),"")</f>
        <v/>
      </c>
      <c r="I212" s="32" t="str">
        <f>TEXT(HLG_04[[#This Row],[Batch]],"000")&amp; " / " &amp; TEXT(HLG_04[[#This Row],[Rit]],"000")</f>
        <v>N/A / 000</v>
      </c>
      <c r="J212" s="34"/>
      <c r="K212" s="38"/>
      <c r="L212" s="35"/>
      <c r="M212" s="66"/>
      <c r="N212" s="66"/>
      <c r="O212" s="66"/>
      <c r="P212" s="66"/>
      <c r="Q212" s="66"/>
      <c r="R212" s="67"/>
      <c r="S212" s="67"/>
      <c r="T212" s="67"/>
      <c r="U212" s="66"/>
      <c r="V212" s="66"/>
      <c r="W212" s="66"/>
      <c r="X212" s="85"/>
      <c r="AP212" t="str">
        <v/>
      </c>
    </row>
    <row r="213" spans="4:42" ht="15.75" x14ac:dyDescent="0.25">
      <c r="D213" s="3">
        <v>1</v>
      </c>
      <c r="F213" s="16" t="str" cm="1">
        <f t="array" ref="F2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3" s="31" cm="1">
        <f t="array" ref="G2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3" s="33" t="str">
        <f>_xlfn.IFNA(IF(MOD(HLG_04[[#This Row],[Rit]],
    _xlfn.XLOOKUP($G$2,Int_Sample[Ore],Int_Sample[Inc])) = 0, "YES", "NO"),"")</f>
        <v/>
      </c>
      <c r="I213" s="32" t="str">
        <f>TEXT(HLG_04[[#This Row],[Batch]],"000")&amp; " / " &amp; TEXT(HLG_04[[#This Row],[Rit]],"000")</f>
        <v>N/A / 000</v>
      </c>
      <c r="J213" s="34"/>
      <c r="K213" s="38"/>
      <c r="L213" s="35"/>
      <c r="M213" s="66"/>
      <c r="N213" s="66"/>
      <c r="O213" s="66"/>
      <c r="P213" s="66"/>
      <c r="Q213" s="66"/>
      <c r="R213" s="67"/>
      <c r="S213" s="67"/>
      <c r="T213" s="67"/>
      <c r="U213" s="66"/>
      <c r="V213" s="66"/>
      <c r="W213" s="66"/>
      <c r="X213" s="85"/>
      <c r="AP213" t="str">
        <v/>
      </c>
    </row>
    <row r="214" spans="4:42" ht="15.75" x14ac:dyDescent="0.25">
      <c r="D214" s="3">
        <v>1</v>
      </c>
      <c r="F214" s="16" t="str" cm="1">
        <f t="array" ref="F2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4" s="31" cm="1">
        <f t="array" ref="G2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4" s="33" t="str">
        <f>_xlfn.IFNA(IF(MOD(HLG_04[[#This Row],[Rit]],
    _xlfn.XLOOKUP($G$2,Int_Sample[Ore],Int_Sample[Inc])) = 0, "YES", "NO"),"")</f>
        <v/>
      </c>
      <c r="I214" s="32" t="str">
        <f>TEXT(HLG_04[[#This Row],[Batch]],"000")&amp; " / " &amp; TEXT(HLG_04[[#This Row],[Rit]],"000")</f>
        <v>N/A / 000</v>
      </c>
      <c r="J214" s="34"/>
      <c r="K214" s="38"/>
      <c r="L214" s="35"/>
      <c r="M214" s="66"/>
      <c r="N214" s="66"/>
      <c r="O214" s="66"/>
      <c r="P214" s="66"/>
      <c r="Q214" s="66"/>
      <c r="R214" s="67"/>
      <c r="S214" s="67"/>
      <c r="T214" s="67"/>
      <c r="U214" s="66"/>
      <c r="V214" s="66"/>
      <c r="W214" s="66"/>
      <c r="X214" s="85"/>
      <c r="AP214" t="str">
        <v/>
      </c>
    </row>
    <row r="215" spans="4:42" ht="15.75" x14ac:dyDescent="0.25">
      <c r="D215" s="3">
        <v>1</v>
      </c>
      <c r="F215" s="16" t="str" cm="1">
        <f t="array" ref="F2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5" s="31" cm="1">
        <f t="array" ref="G2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5" s="33" t="str">
        <f>_xlfn.IFNA(IF(MOD(HLG_04[[#This Row],[Rit]],
    _xlfn.XLOOKUP($G$2,Int_Sample[Ore],Int_Sample[Inc])) = 0, "YES", "NO"),"")</f>
        <v/>
      </c>
      <c r="I215" s="32" t="str">
        <f>TEXT(HLG_04[[#This Row],[Batch]],"000")&amp; " / " &amp; TEXT(HLG_04[[#This Row],[Rit]],"000")</f>
        <v>N/A / 000</v>
      </c>
      <c r="J215" s="34"/>
      <c r="K215" s="38"/>
      <c r="L215" s="35"/>
      <c r="M215" s="66"/>
      <c r="N215" s="66"/>
      <c r="O215" s="66"/>
      <c r="P215" s="66"/>
      <c r="Q215" s="66"/>
      <c r="R215" s="67"/>
      <c r="S215" s="67"/>
      <c r="T215" s="67"/>
      <c r="U215" s="66"/>
      <c r="V215" s="66"/>
      <c r="W215" s="66"/>
      <c r="X215" s="85"/>
      <c r="AP215" t="str">
        <v/>
      </c>
    </row>
    <row r="216" spans="4:42" ht="15.75" x14ac:dyDescent="0.25">
      <c r="D216" s="3">
        <v>1</v>
      </c>
      <c r="F216" s="16" t="str" cm="1">
        <f t="array" ref="F2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6" s="31" cm="1">
        <f t="array" ref="G2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6" s="33" t="str">
        <f>_xlfn.IFNA(IF(MOD(HLG_04[[#This Row],[Rit]],
    _xlfn.XLOOKUP($G$2,Int_Sample[Ore],Int_Sample[Inc])) = 0, "YES", "NO"),"")</f>
        <v/>
      </c>
      <c r="I216" s="32" t="str">
        <f>TEXT(HLG_04[[#This Row],[Batch]],"000")&amp; " / " &amp; TEXT(HLG_04[[#This Row],[Rit]],"000")</f>
        <v>N/A / 000</v>
      </c>
      <c r="J216" s="34"/>
      <c r="K216" s="38"/>
      <c r="L216" s="35"/>
      <c r="M216" s="66"/>
      <c r="N216" s="66"/>
      <c r="O216" s="66"/>
      <c r="P216" s="66"/>
      <c r="Q216" s="66"/>
      <c r="R216" s="67"/>
      <c r="S216" s="67"/>
      <c r="T216" s="67"/>
      <c r="U216" s="66"/>
      <c r="V216" s="66"/>
      <c r="W216" s="66"/>
      <c r="X216" s="85"/>
      <c r="AP216" t="str">
        <v/>
      </c>
    </row>
    <row r="217" spans="4:42" ht="15.75" x14ac:dyDescent="0.25">
      <c r="D217" s="3">
        <v>1</v>
      </c>
      <c r="F217" s="16" t="str" cm="1">
        <f t="array" ref="F2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7" s="31" cm="1">
        <f t="array" ref="G2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7" s="33" t="str">
        <f>_xlfn.IFNA(IF(MOD(HLG_04[[#This Row],[Rit]],
    _xlfn.XLOOKUP($G$2,Int_Sample[Ore],Int_Sample[Inc])) = 0, "YES", "NO"),"")</f>
        <v/>
      </c>
      <c r="I217" s="32" t="str">
        <f>TEXT(HLG_04[[#This Row],[Batch]],"000")&amp; " / " &amp; TEXT(HLG_04[[#This Row],[Rit]],"000")</f>
        <v>N/A / 000</v>
      </c>
      <c r="J217" s="34"/>
      <c r="K217" s="38"/>
      <c r="L217" s="35"/>
      <c r="M217" s="66"/>
      <c r="N217" s="66"/>
      <c r="O217" s="66"/>
      <c r="P217" s="66"/>
      <c r="Q217" s="66"/>
      <c r="R217" s="67"/>
      <c r="S217" s="67"/>
      <c r="T217" s="67"/>
      <c r="U217" s="66"/>
      <c r="V217" s="66"/>
      <c r="W217" s="66"/>
      <c r="X217" s="85"/>
      <c r="AP217" t="str">
        <v/>
      </c>
    </row>
    <row r="218" spans="4:42" ht="15.75" x14ac:dyDescent="0.25">
      <c r="D218" s="3">
        <v>1</v>
      </c>
      <c r="F218" s="16" t="str" cm="1">
        <f t="array" ref="F2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8" s="31" cm="1">
        <f t="array" ref="G2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8" s="33" t="str">
        <f>_xlfn.IFNA(IF(MOD(HLG_04[[#This Row],[Rit]],
    _xlfn.XLOOKUP($G$2,Int_Sample[Ore],Int_Sample[Inc])) = 0, "YES", "NO"),"")</f>
        <v/>
      </c>
      <c r="I218" s="32" t="str">
        <f>TEXT(HLG_04[[#This Row],[Batch]],"000")&amp; " / " &amp; TEXT(HLG_04[[#This Row],[Rit]],"000")</f>
        <v>N/A / 000</v>
      </c>
      <c r="J218" s="34"/>
      <c r="K218" s="38"/>
      <c r="L218" s="35"/>
      <c r="M218" s="66"/>
      <c r="N218" s="66"/>
      <c r="O218" s="66"/>
      <c r="P218" s="66"/>
      <c r="Q218" s="66"/>
      <c r="R218" s="67"/>
      <c r="S218" s="67"/>
      <c r="T218" s="67"/>
      <c r="U218" s="66"/>
      <c r="V218" s="66"/>
      <c r="W218" s="66"/>
      <c r="X218" s="85"/>
      <c r="AP218" t="str">
        <v/>
      </c>
    </row>
    <row r="219" spans="4:42" ht="15.75" x14ac:dyDescent="0.25">
      <c r="D219" s="3">
        <v>1</v>
      </c>
      <c r="F219" s="16" t="str" cm="1">
        <f t="array" ref="F2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9" s="31" cm="1">
        <f t="array" ref="G2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9" s="33" t="str">
        <f>_xlfn.IFNA(IF(MOD(HLG_04[[#This Row],[Rit]],
    _xlfn.XLOOKUP($G$2,Int_Sample[Ore],Int_Sample[Inc])) = 0, "YES", "NO"),"")</f>
        <v/>
      </c>
      <c r="I219" s="32" t="str">
        <f>TEXT(HLG_04[[#This Row],[Batch]],"000")&amp; " / " &amp; TEXT(HLG_04[[#This Row],[Rit]],"000")</f>
        <v>N/A / 000</v>
      </c>
      <c r="J219" s="34"/>
      <c r="K219" s="38"/>
      <c r="L219" s="35"/>
      <c r="M219" s="66"/>
      <c r="N219" s="66"/>
      <c r="O219" s="66"/>
      <c r="P219" s="66"/>
      <c r="Q219" s="66"/>
      <c r="R219" s="67"/>
      <c r="S219" s="67"/>
      <c r="T219" s="67"/>
      <c r="U219" s="66"/>
      <c r="V219" s="66"/>
      <c r="W219" s="66"/>
      <c r="X219" s="85"/>
      <c r="AP219" t="str">
        <v/>
      </c>
    </row>
    <row r="220" spans="4:42" ht="15.75" x14ac:dyDescent="0.25">
      <c r="D220" s="3">
        <v>1</v>
      </c>
      <c r="F220" s="16" t="str" cm="1">
        <f t="array" ref="F2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0" s="31" cm="1">
        <f t="array" ref="G2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0" s="33" t="str">
        <f>_xlfn.IFNA(IF(MOD(HLG_04[[#This Row],[Rit]],
    _xlfn.XLOOKUP($G$2,Int_Sample[Ore],Int_Sample[Inc])) = 0, "YES", "NO"),"")</f>
        <v/>
      </c>
      <c r="I220" s="32" t="str">
        <f>TEXT(HLG_04[[#This Row],[Batch]],"000")&amp; " / " &amp; TEXT(HLG_04[[#This Row],[Rit]],"000")</f>
        <v>N/A / 000</v>
      </c>
      <c r="J220" s="34"/>
      <c r="K220" s="38"/>
      <c r="L220" s="35"/>
      <c r="M220" s="66"/>
      <c r="N220" s="66"/>
      <c r="O220" s="66"/>
      <c r="P220" s="66"/>
      <c r="Q220" s="66"/>
      <c r="R220" s="67"/>
      <c r="S220" s="67"/>
      <c r="T220" s="67"/>
      <c r="U220" s="66"/>
      <c r="V220" s="66"/>
      <c r="W220" s="66"/>
      <c r="X220" s="85"/>
      <c r="AP220" t="str">
        <v/>
      </c>
    </row>
    <row r="221" spans="4:42" ht="15.75" x14ac:dyDescent="0.25">
      <c r="D221" s="3">
        <v>1</v>
      </c>
      <c r="F221" s="16" t="str" cm="1">
        <f t="array" ref="F2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1" s="31" cm="1">
        <f t="array" ref="G2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1" s="33" t="str">
        <f>_xlfn.IFNA(IF(MOD(HLG_04[[#This Row],[Rit]],
    _xlfn.XLOOKUP($G$2,Int_Sample[Ore],Int_Sample[Inc])) = 0, "YES", "NO"),"")</f>
        <v/>
      </c>
      <c r="I221" s="32" t="str">
        <f>TEXT(HLG_04[[#This Row],[Batch]],"000")&amp; " / " &amp; TEXT(HLG_04[[#This Row],[Rit]],"000")</f>
        <v>N/A / 000</v>
      </c>
      <c r="J221" s="34"/>
      <c r="K221" s="38"/>
      <c r="L221" s="35"/>
      <c r="M221" s="66"/>
      <c r="N221" s="66"/>
      <c r="O221" s="66"/>
      <c r="P221" s="66"/>
      <c r="Q221" s="66"/>
      <c r="R221" s="67"/>
      <c r="S221" s="67"/>
      <c r="T221" s="67"/>
      <c r="U221" s="66"/>
      <c r="V221" s="66"/>
      <c r="W221" s="66"/>
      <c r="X221" s="85"/>
      <c r="AP221" t="str">
        <v/>
      </c>
    </row>
    <row r="222" spans="4:42" ht="15.75" x14ac:dyDescent="0.25">
      <c r="D222" s="3">
        <v>1</v>
      </c>
      <c r="F222" s="16" t="str" cm="1">
        <f t="array" ref="F2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2" s="31" cm="1">
        <f t="array" ref="G2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2" s="33" t="str">
        <f>_xlfn.IFNA(IF(MOD(HLG_04[[#This Row],[Rit]],
    _xlfn.XLOOKUP($G$2,Int_Sample[Ore],Int_Sample[Inc])) = 0, "YES", "NO"),"")</f>
        <v/>
      </c>
      <c r="I222" s="32" t="str">
        <f>TEXT(HLG_04[[#This Row],[Batch]],"000")&amp; " / " &amp; TEXT(HLG_04[[#This Row],[Rit]],"000")</f>
        <v>N/A / 000</v>
      </c>
      <c r="J222" s="34"/>
      <c r="K222" s="38"/>
      <c r="L222" s="35"/>
      <c r="M222" s="66"/>
      <c r="N222" s="66"/>
      <c r="O222" s="66"/>
      <c r="P222" s="66"/>
      <c r="Q222" s="66"/>
      <c r="R222" s="67"/>
      <c r="S222" s="67"/>
      <c r="T222" s="67"/>
      <c r="U222" s="66"/>
      <c r="V222" s="66"/>
      <c r="W222" s="66"/>
      <c r="X222" s="85"/>
      <c r="AP222" t="str">
        <v/>
      </c>
    </row>
    <row r="223" spans="4:42" ht="15.75" x14ac:dyDescent="0.25">
      <c r="D223" s="3">
        <v>1</v>
      </c>
      <c r="F223" s="16" t="str" cm="1">
        <f t="array" ref="F2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3" s="31" cm="1">
        <f t="array" ref="G2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3" s="33" t="str">
        <f>_xlfn.IFNA(IF(MOD(HLG_04[[#This Row],[Rit]],
    _xlfn.XLOOKUP($G$2,Int_Sample[Ore],Int_Sample[Inc])) = 0, "YES", "NO"),"")</f>
        <v/>
      </c>
      <c r="I223" s="32" t="str">
        <f>TEXT(HLG_04[[#This Row],[Batch]],"000")&amp; " / " &amp; TEXT(HLG_04[[#This Row],[Rit]],"000")</f>
        <v>N/A / 000</v>
      </c>
      <c r="J223" s="34"/>
      <c r="K223" s="38"/>
      <c r="L223" s="35"/>
      <c r="M223" s="66"/>
      <c r="N223" s="66"/>
      <c r="O223" s="66"/>
      <c r="P223" s="66"/>
      <c r="Q223" s="66"/>
      <c r="R223" s="67"/>
      <c r="S223" s="67"/>
      <c r="T223" s="67"/>
      <c r="U223" s="66"/>
      <c r="V223" s="66"/>
      <c r="W223" s="66"/>
      <c r="X223" s="85"/>
      <c r="AP223" t="str">
        <v/>
      </c>
    </row>
    <row r="224" spans="4:42" ht="15.75" x14ac:dyDescent="0.25">
      <c r="D224" s="3">
        <v>1</v>
      </c>
      <c r="F224" s="16" t="str" cm="1">
        <f t="array" ref="F2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4" s="31" cm="1">
        <f t="array" ref="G2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4" s="33" t="str">
        <f>_xlfn.IFNA(IF(MOD(HLG_04[[#This Row],[Rit]],
    _xlfn.XLOOKUP($G$2,Int_Sample[Ore],Int_Sample[Inc])) = 0, "YES", "NO"),"")</f>
        <v/>
      </c>
      <c r="I224" s="32" t="str">
        <f>TEXT(HLG_04[[#This Row],[Batch]],"000")&amp; " / " &amp; TEXT(HLG_04[[#This Row],[Rit]],"000")</f>
        <v>N/A / 000</v>
      </c>
      <c r="J224" s="34"/>
      <c r="K224" s="38"/>
      <c r="L224" s="35"/>
      <c r="M224" s="66"/>
      <c r="N224" s="66"/>
      <c r="O224" s="66"/>
      <c r="P224" s="66"/>
      <c r="Q224" s="66"/>
      <c r="R224" s="67"/>
      <c r="S224" s="67"/>
      <c r="T224" s="67"/>
      <c r="U224" s="66"/>
      <c r="V224" s="66"/>
      <c r="W224" s="66"/>
      <c r="X224" s="85"/>
      <c r="AP224" t="str">
        <v/>
      </c>
    </row>
    <row r="225" spans="4:42" ht="15.75" x14ac:dyDescent="0.25">
      <c r="D225" s="3">
        <v>1</v>
      </c>
      <c r="F225" s="16" t="str" cm="1">
        <f t="array" ref="F2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5" s="31" cm="1">
        <f t="array" ref="G2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5" s="33" t="str">
        <f>_xlfn.IFNA(IF(MOD(HLG_04[[#This Row],[Rit]],
    _xlfn.XLOOKUP($G$2,Int_Sample[Ore],Int_Sample[Inc])) = 0, "YES", "NO"),"")</f>
        <v/>
      </c>
      <c r="I225" s="32" t="str">
        <f>TEXT(HLG_04[[#This Row],[Batch]],"000")&amp; " / " &amp; TEXT(HLG_04[[#This Row],[Rit]],"000")</f>
        <v>N/A / 000</v>
      </c>
      <c r="J225" s="34"/>
      <c r="K225" s="38"/>
      <c r="L225" s="35"/>
      <c r="M225" s="66"/>
      <c r="N225" s="66"/>
      <c r="O225" s="66"/>
      <c r="P225" s="66"/>
      <c r="Q225" s="66"/>
      <c r="R225" s="67"/>
      <c r="S225" s="67"/>
      <c r="T225" s="67"/>
      <c r="U225" s="66"/>
      <c r="V225" s="66"/>
      <c r="W225" s="66"/>
      <c r="X225" s="85"/>
      <c r="AP225" t="str">
        <v/>
      </c>
    </row>
    <row r="226" spans="4:42" ht="15.75" x14ac:dyDescent="0.25">
      <c r="D226" s="3">
        <v>1</v>
      </c>
      <c r="F226" s="16" t="str" cm="1">
        <f t="array" ref="F2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6" s="31" cm="1">
        <f t="array" ref="G2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6" s="33" t="str">
        <f>_xlfn.IFNA(IF(MOD(HLG_04[[#This Row],[Rit]],
    _xlfn.XLOOKUP($G$2,Int_Sample[Ore],Int_Sample[Inc])) = 0, "YES", "NO"),"")</f>
        <v/>
      </c>
      <c r="I226" s="32" t="str">
        <f>TEXT(HLG_04[[#This Row],[Batch]],"000")&amp; " / " &amp; TEXT(HLG_04[[#This Row],[Rit]],"000")</f>
        <v>N/A / 000</v>
      </c>
      <c r="J226" s="34"/>
      <c r="K226" s="38"/>
      <c r="L226" s="35"/>
      <c r="M226" s="66"/>
      <c r="N226" s="66"/>
      <c r="O226" s="66"/>
      <c r="P226" s="66"/>
      <c r="Q226" s="66"/>
      <c r="R226" s="67"/>
      <c r="S226" s="67"/>
      <c r="T226" s="67"/>
      <c r="U226" s="66"/>
      <c r="V226" s="66"/>
      <c r="W226" s="66"/>
      <c r="X226" s="85"/>
      <c r="AP226" t="str">
        <v/>
      </c>
    </row>
    <row r="227" spans="4:42" ht="15.75" x14ac:dyDescent="0.25">
      <c r="D227" s="3">
        <v>1</v>
      </c>
      <c r="F227" s="16" t="str" cm="1">
        <f t="array" ref="F2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7" s="31" cm="1">
        <f t="array" ref="G2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7" s="33" t="str">
        <f>_xlfn.IFNA(IF(MOD(HLG_04[[#This Row],[Rit]],
    _xlfn.XLOOKUP($G$2,Int_Sample[Ore],Int_Sample[Inc])) = 0, "YES", "NO"),"")</f>
        <v/>
      </c>
      <c r="I227" s="32" t="str">
        <f>TEXT(HLG_04[[#This Row],[Batch]],"000")&amp; " / " &amp; TEXT(HLG_04[[#This Row],[Rit]],"000")</f>
        <v>N/A / 000</v>
      </c>
      <c r="J227" s="34"/>
      <c r="K227" s="38"/>
      <c r="L227" s="35"/>
      <c r="M227" s="66"/>
      <c r="N227" s="66"/>
      <c r="O227" s="66"/>
      <c r="P227" s="66"/>
      <c r="Q227" s="66"/>
      <c r="R227" s="67"/>
      <c r="S227" s="67"/>
      <c r="T227" s="67"/>
      <c r="U227" s="66"/>
      <c r="V227" s="66"/>
      <c r="W227" s="66"/>
      <c r="X227" s="85"/>
      <c r="AP227" t="str">
        <v/>
      </c>
    </row>
    <row r="228" spans="4:42" ht="15.75" x14ac:dyDescent="0.25">
      <c r="D228" s="3">
        <v>1</v>
      </c>
      <c r="F228" s="16" t="str" cm="1">
        <f t="array" ref="F2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8" s="31" cm="1">
        <f t="array" ref="G2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8" s="33" t="str">
        <f>_xlfn.IFNA(IF(MOD(HLG_04[[#This Row],[Rit]],
    _xlfn.XLOOKUP($G$2,Int_Sample[Ore],Int_Sample[Inc])) = 0, "YES", "NO"),"")</f>
        <v/>
      </c>
      <c r="I228" s="32" t="str">
        <f>TEXT(HLG_04[[#This Row],[Batch]],"000")&amp; " / " &amp; TEXT(HLG_04[[#This Row],[Rit]],"000")</f>
        <v>N/A / 000</v>
      </c>
      <c r="J228" s="34"/>
      <c r="K228" s="38"/>
      <c r="L228" s="35"/>
      <c r="M228" s="66"/>
      <c r="N228" s="66"/>
      <c r="O228" s="66"/>
      <c r="P228" s="66"/>
      <c r="Q228" s="66"/>
      <c r="R228" s="67"/>
      <c r="S228" s="67"/>
      <c r="T228" s="67"/>
      <c r="U228" s="66"/>
      <c r="V228" s="66"/>
      <c r="W228" s="66"/>
      <c r="X228" s="85"/>
      <c r="AP228" t="str">
        <v/>
      </c>
    </row>
    <row r="229" spans="4:42" ht="15.75" x14ac:dyDescent="0.25">
      <c r="D229" s="3">
        <v>1</v>
      </c>
      <c r="F229" s="16" t="str" cm="1">
        <f t="array" ref="F2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9" s="31" cm="1">
        <f t="array" ref="G2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9" s="33" t="str">
        <f>_xlfn.IFNA(IF(MOD(HLG_04[[#This Row],[Rit]],
    _xlfn.XLOOKUP($G$2,Int_Sample[Ore],Int_Sample[Inc])) = 0, "YES", "NO"),"")</f>
        <v/>
      </c>
      <c r="I229" s="32" t="str">
        <f>TEXT(HLG_04[[#This Row],[Batch]],"000")&amp; " / " &amp; TEXT(HLG_04[[#This Row],[Rit]],"000")</f>
        <v>N/A / 000</v>
      </c>
      <c r="J229" s="34"/>
      <c r="K229" s="38"/>
      <c r="L229" s="35"/>
      <c r="M229" s="66"/>
      <c r="N229" s="66"/>
      <c r="O229" s="66"/>
      <c r="P229" s="66"/>
      <c r="Q229" s="66"/>
      <c r="R229" s="67"/>
      <c r="S229" s="67"/>
      <c r="T229" s="67"/>
      <c r="U229" s="66"/>
      <c r="V229" s="66"/>
      <c r="W229" s="66"/>
      <c r="X229" s="85"/>
      <c r="AP229" t="str">
        <v/>
      </c>
    </row>
    <row r="230" spans="4:42" ht="15.75" x14ac:dyDescent="0.25">
      <c r="D230" s="3">
        <v>1</v>
      </c>
      <c r="F230" s="16" t="str" cm="1">
        <f t="array" ref="F2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0" s="31" cm="1">
        <f t="array" ref="G2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0" s="33" t="str">
        <f>_xlfn.IFNA(IF(MOD(HLG_04[[#This Row],[Rit]],
    _xlfn.XLOOKUP($G$2,Int_Sample[Ore],Int_Sample[Inc])) = 0, "YES", "NO"),"")</f>
        <v/>
      </c>
      <c r="I230" s="32" t="str">
        <f>TEXT(HLG_04[[#This Row],[Batch]],"000")&amp; " / " &amp; TEXT(HLG_04[[#This Row],[Rit]],"000")</f>
        <v>N/A / 000</v>
      </c>
      <c r="J230" s="34"/>
      <c r="K230" s="38"/>
      <c r="L230" s="35"/>
      <c r="M230" s="66"/>
      <c r="N230" s="66"/>
      <c r="O230" s="66"/>
      <c r="P230" s="66"/>
      <c r="Q230" s="66"/>
      <c r="R230" s="67"/>
      <c r="S230" s="67"/>
      <c r="T230" s="67"/>
      <c r="U230" s="66"/>
      <c r="V230" s="66"/>
      <c r="W230" s="66"/>
      <c r="X230" s="85"/>
      <c r="AP230" t="str">
        <v/>
      </c>
    </row>
    <row r="231" spans="4:42" ht="15.75" x14ac:dyDescent="0.25">
      <c r="D231" s="3">
        <v>1</v>
      </c>
      <c r="F231" s="16" t="str" cm="1">
        <f t="array" ref="F2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1" s="31" cm="1">
        <f t="array" ref="G2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1" s="33" t="str">
        <f>_xlfn.IFNA(IF(MOD(HLG_04[[#This Row],[Rit]],
    _xlfn.XLOOKUP($G$2,Int_Sample[Ore],Int_Sample[Inc])) = 0, "YES", "NO"),"")</f>
        <v/>
      </c>
      <c r="I231" s="32" t="str">
        <f>TEXT(HLG_04[[#This Row],[Batch]],"000")&amp; " / " &amp; TEXT(HLG_04[[#This Row],[Rit]],"000")</f>
        <v>N/A / 000</v>
      </c>
      <c r="J231" s="34"/>
      <c r="K231" s="38"/>
      <c r="L231" s="35"/>
      <c r="M231" s="66"/>
      <c r="N231" s="66"/>
      <c r="O231" s="66"/>
      <c r="P231" s="66"/>
      <c r="Q231" s="66"/>
      <c r="R231" s="67"/>
      <c r="S231" s="67"/>
      <c r="T231" s="67"/>
      <c r="U231" s="66"/>
      <c r="V231" s="66"/>
      <c r="W231" s="66"/>
      <c r="X231" s="85"/>
      <c r="AP231" t="str">
        <v/>
      </c>
    </row>
    <row r="232" spans="4:42" ht="15.75" x14ac:dyDescent="0.25">
      <c r="D232" s="3">
        <v>1</v>
      </c>
      <c r="F232" s="16" t="str" cm="1">
        <f t="array" ref="F2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2" s="31" cm="1">
        <f t="array" ref="G2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2" s="33" t="str">
        <f>_xlfn.IFNA(IF(MOD(HLG_04[[#This Row],[Rit]],
    _xlfn.XLOOKUP($G$2,Int_Sample[Ore],Int_Sample[Inc])) = 0, "YES", "NO"),"")</f>
        <v/>
      </c>
      <c r="I232" s="32" t="str">
        <f>TEXT(HLG_04[[#This Row],[Batch]],"000")&amp; " / " &amp; TEXT(HLG_04[[#This Row],[Rit]],"000")</f>
        <v>N/A / 000</v>
      </c>
      <c r="J232" s="34"/>
      <c r="K232" s="38"/>
      <c r="L232" s="35"/>
      <c r="M232" s="66"/>
      <c r="N232" s="66"/>
      <c r="O232" s="66"/>
      <c r="P232" s="66"/>
      <c r="Q232" s="66"/>
      <c r="R232" s="67"/>
      <c r="S232" s="67"/>
      <c r="T232" s="67"/>
      <c r="U232" s="66"/>
      <c r="V232" s="66"/>
      <c r="W232" s="66"/>
      <c r="X232" s="85"/>
      <c r="AP232" t="str">
        <v/>
      </c>
    </row>
    <row r="233" spans="4:42" ht="15.75" x14ac:dyDescent="0.25">
      <c r="D233" s="3">
        <v>1</v>
      </c>
      <c r="F233" s="16" t="str" cm="1">
        <f t="array" ref="F2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3" s="31" cm="1">
        <f t="array" ref="G2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3" s="33" t="str">
        <f>_xlfn.IFNA(IF(MOD(HLG_04[[#This Row],[Rit]],
    _xlfn.XLOOKUP($G$2,Int_Sample[Ore],Int_Sample[Inc])) = 0, "YES", "NO"),"")</f>
        <v/>
      </c>
      <c r="I233" s="32" t="str">
        <f>TEXT(HLG_04[[#This Row],[Batch]],"000")&amp; " / " &amp; TEXT(HLG_04[[#This Row],[Rit]],"000")</f>
        <v>N/A / 000</v>
      </c>
      <c r="J233" s="34"/>
      <c r="K233" s="38"/>
      <c r="L233" s="35"/>
      <c r="M233" s="66"/>
      <c r="N233" s="66"/>
      <c r="O233" s="66"/>
      <c r="P233" s="66"/>
      <c r="Q233" s="66"/>
      <c r="R233" s="67"/>
      <c r="S233" s="67"/>
      <c r="T233" s="67"/>
      <c r="U233" s="66"/>
      <c r="V233" s="66"/>
      <c r="W233" s="66"/>
      <c r="X233" s="85"/>
      <c r="AP233" t="str">
        <v/>
      </c>
    </row>
    <row r="234" spans="4:42" ht="15.75" x14ac:dyDescent="0.25">
      <c r="D234" s="3">
        <v>1</v>
      </c>
      <c r="F234" s="16" t="str" cm="1">
        <f t="array" ref="F2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4" s="31" cm="1">
        <f t="array" ref="G2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4" s="33" t="str">
        <f>_xlfn.IFNA(IF(MOD(HLG_04[[#This Row],[Rit]],
    _xlfn.XLOOKUP($G$2,Int_Sample[Ore],Int_Sample[Inc])) = 0, "YES", "NO"),"")</f>
        <v/>
      </c>
      <c r="I234" s="32" t="str">
        <f>TEXT(HLG_04[[#This Row],[Batch]],"000")&amp; " / " &amp; TEXT(HLG_04[[#This Row],[Rit]],"000")</f>
        <v>N/A / 000</v>
      </c>
      <c r="J234" s="34"/>
      <c r="K234" s="38"/>
      <c r="L234" s="35"/>
      <c r="M234" s="66"/>
      <c r="N234" s="66"/>
      <c r="O234" s="66"/>
      <c r="P234" s="66"/>
      <c r="Q234" s="66"/>
      <c r="R234" s="67"/>
      <c r="S234" s="67"/>
      <c r="T234" s="67"/>
      <c r="U234" s="66"/>
      <c r="V234" s="66"/>
      <c r="W234" s="66"/>
      <c r="X234" s="85"/>
      <c r="AP234" t="str">
        <v/>
      </c>
    </row>
    <row r="235" spans="4:42" ht="15.75" x14ac:dyDescent="0.25">
      <c r="D235" s="3">
        <v>1</v>
      </c>
      <c r="F235" s="16" t="str" cm="1">
        <f t="array" ref="F2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5" s="31" cm="1">
        <f t="array" ref="G2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5" s="33" t="str">
        <f>_xlfn.IFNA(IF(MOD(HLG_04[[#This Row],[Rit]],
    _xlfn.XLOOKUP($G$2,Int_Sample[Ore],Int_Sample[Inc])) = 0, "YES", "NO"),"")</f>
        <v/>
      </c>
      <c r="I235" s="32" t="str">
        <f>TEXT(HLG_04[[#This Row],[Batch]],"000")&amp; " / " &amp; TEXT(HLG_04[[#This Row],[Rit]],"000")</f>
        <v>N/A / 000</v>
      </c>
      <c r="J235" s="34"/>
      <c r="K235" s="38"/>
      <c r="L235" s="35"/>
      <c r="M235" s="66"/>
      <c r="N235" s="66"/>
      <c r="O235" s="66"/>
      <c r="P235" s="66"/>
      <c r="Q235" s="66"/>
      <c r="R235" s="67"/>
      <c r="S235" s="67"/>
      <c r="T235" s="67"/>
      <c r="U235" s="66"/>
      <c r="V235" s="66"/>
      <c r="W235" s="66"/>
      <c r="X235" s="85"/>
      <c r="AP235" t="str">
        <v/>
      </c>
    </row>
    <row r="236" spans="4:42" ht="15.75" x14ac:dyDescent="0.25">
      <c r="D236" s="3">
        <v>1</v>
      </c>
      <c r="F236" s="16" t="str" cm="1">
        <f t="array" ref="F2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6" s="31" cm="1">
        <f t="array" ref="G2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6" s="33" t="str">
        <f>_xlfn.IFNA(IF(MOD(HLG_04[[#This Row],[Rit]],
    _xlfn.XLOOKUP($G$2,Int_Sample[Ore],Int_Sample[Inc])) = 0, "YES", "NO"),"")</f>
        <v/>
      </c>
      <c r="I236" s="32" t="str">
        <f>TEXT(HLG_04[[#This Row],[Batch]],"000")&amp; " / " &amp; TEXT(HLG_04[[#This Row],[Rit]],"000")</f>
        <v>N/A / 000</v>
      </c>
      <c r="J236" s="34"/>
      <c r="K236" s="38"/>
      <c r="L236" s="35"/>
      <c r="M236" s="66"/>
      <c r="N236" s="66"/>
      <c r="O236" s="66"/>
      <c r="P236" s="66"/>
      <c r="Q236" s="66"/>
      <c r="R236" s="67"/>
      <c r="S236" s="67"/>
      <c r="T236" s="67"/>
      <c r="U236" s="66"/>
      <c r="V236" s="66"/>
      <c r="W236" s="66"/>
      <c r="X236" s="85"/>
      <c r="AP236" t="str">
        <v/>
      </c>
    </row>
    <row r="237" spans="4:42" ht="15.75" x14ac:dyDescent="0.25">
      <c r="D237" s="3">
        <v>1</v>
      </c>
      <c r="F237" s="16" t="str" cm="1">
        <f t="array" ref="F2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7" s="31" cm="1">
        <f t="array" ref="G2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7" s="33" t="str">
        <f>_xlfn.IFNA(IF(MOD(HLG_04[[#This Row],[Rit]],
    _xlfn.XLOOKUP($G$2,Int_Sample[Ore],Int_Sample[Inc])) = 0, "YES", "NO"),"")</f>
        <v/>
      </c>
      <c r="I237" s="32" t="str">
        <f>TEXT(HLG_04[[#This Row],[Batch]],"000")&amp; " / " &amp; TEXT(HLG_04[[#This Row],[Rit]],"000")</f>
        <v>N/A / 000</v>
      </c>
      <c r="J237" s="34"/>
      <c r="K237" s="38"/>
      <c r="L237" s="35"/>
      <c r="M237" s="66"/>
      <c r="N237" s="66"/>
      <c r="O237" s="66"/>
      <c r="P237" s="66"/>
      <c r="Q237" s="66"/>
      <c r="R237" s="67"/>
      <c r="S237" s="67"/>
      <c r="T237" s="67"/>
      <c r="U237" s="66"/>
      <c r="V237" s="66"/>
      <c r="W237" s="66"/>
      <c r="X237" s="85"/>
      <c r="AP237" t="str">
        <v/>
      </c>
    </row>
    <row r="238" spans="4:42" ht="15.75" x14ac:dyDescent="0.25">
      <c r="D238" s="3">
        <v>1</v>
      </c>
      <c r="F238" s="16" t="str" cm="1">
        <f t="array" ref="F2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8" s="31" cm="1">
        <f t="array" ref="G2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8" s="33" t="str">
        <f>_xlfn.IFNA(IF(MOD(HLG_04[[#This Row],[Rit]],
    _xlfn.XLOOKUP($G$2,Int_Sample[Ore],Int_Sample[Inc])) = 0, "YES", "NO"),"")</f>
        <v/>
      </c>
      <c r="I238" s="32" t="str">
        <f>TEXT(HLG_04[[#This Row],[Batch]],"000")&amp; " / " &amp; TEXT(HLG_04[[#This Row],[Rit]],"000")</f>
        <v>N/A / 000</v>
      </c>
      <c r="J238" s="34"/>
      <c r="K238" s="38"/>
      <c r="L238" s="35"/>
      <c r="M238" s="66"/>
      <c r="N238" s="66"/>
      <c r="O238" s="66"/>
      <c r="P238" s="66"/>
      <c r="Q238" s="66"/>
      <c r="R238" s="67"/>
      <c r="S238" s="67"/>
      <c r="T238" s="67"/>
      <c r="U238" s="66"/>
      <c r="V238" s="66"/>
      <c r="W238" s="66"/>
      <c r="X238" s="85"/>
      <c r="AP238" t="str">
        <v/>
      </c>
    </row>
    <row r="239" spans="4:42" ht="15.75" x14ac:dyDescent="0.25">
      <c r="D239" s="3">
        <v>1</v>
      </c>
      <c r="F239" s="16" t="str" cm="1">
        <f t="array" ref="F2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9" s="31" cm="1">
        <f t="array" ref="G2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9" s="33" t="str">
        <f>_xlfn.IFNA(IF(MOD(HLG_04[[#This Row],[Rit]],
    _xlfn.XLOOKUP($G$2,Int_Sample[Ore],Int_Sample[Inc])) = 0, "YES", "NO"),"")</f>
        <v/>
      </c>
      <c r="I239" s="32" t="str">
        <f>TEXT(HLG_04[[#This Row],[Batch]],"000")&amp; " / " &amp; TEXT(HLG_04[[#This Row],[Rit]],"000")</f>
        <v>N/A / 000</v>
      </c>
      <c r="J239" s="34"/>
      <c r="K239" s="38"/>
      <c r="L239" s="35"/>
      <c r="M239" s="66"/>
      <c r="N239" s="66"/>
      <c r="O239" s="66"/>
      <c r="P239" s="66"/>
      <c r="Q239" s="66"/>
      <c r="R239" s="67"/>
      <c r="S239" s="67"/>
      <c r="T239" s="67"/>
      <c r="U239" s="66"/>
      <c r="V239" s="66"/>
      <c r="W239" s="66"/>
      <c r="X239" s="85"/>
      <c r="AP239" t="str">
        <v/>
      </c>
    </row>
    <row r="240" spans="4:42" ht="15.75" x14ac:dyDescent="0.25">
      <c r="D240" s="3">
        <v>1</v>
      </c>
      <c r="F240" s="16" t="str" cm="1">
        <f t="array" ref="F2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0" s="31" cm="1">
        <f t="array" ref="G2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0" s="33" t="str">
        <f>_xlfn.IFNA(IF(MOD(HLG_04[[#This Row],[Rit]],
    _xlfn.XLOOKUP($G$2,Int_Sample[Ore],Int_Sample[Inc])) = 0, "YES", "NO"),"")</f>
        <v/>
      </c>
      <c r="I240" s="32" t="str">
        <f>TEXT(HLG_04[[#This Row],[Batch]],"000")&amp; " / " &amp; TEXT(HLG_04[[#This Row],[Rit]],"000")</f>
        <v>N/A / 000</v>
      </c>
      <c r="J240" s="34"/>
      <c r="K240" s="38"/>
      <c r="L240" s="35"/>
      <c r="M240" s="66"/>
      <c r="N240" s="66"/>
      <c r="O240" s="66"/>
      <c r="P240" s="66"/>
      <c r="Q240" s="66"/>
      <c r="R240" s="67"/>
      <c r="S240" s="67"/>
      <c r="T240" s="67"/>
      <c r="U240" s="66"/>
      <c r="V240" s="66"/>
      <c r="W240" s="66"/>
      <c r="X240" s="85"/>
      <c r="AP240" t="str">
        <v/>
      </c>
    </row>
    <row r="241" spans="4:42" ht="15.75" x14ac:dyDescent="0.25">
      <c r="D241" s="3">
        <v>1</v>
      </c>
      <c r="F241" s="16" t="str" cm="1">
        <f t="array" ref="F2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1" s="31" cm="1">
        <f t="array" ref="G2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1" s="33" t="str">
        <f>_xlfn.IFNA(IF(MOD(HLG_04[[#This Row],[Rit]],
    _xlfn.XLOOKUP($G$2,Int_Sample[Ore],Int_Sample[Inc])) = 0, "YES", "NO"),"")</f>
        <v/>
      </c>
      <c r="I241" s="32" t="str">
        <f>TEXT(HLG_04[[#This Row],[Batch]],"000")&amp; " / " &amp; TEXT(HLG_04[[#This Row],[Rit]],"000")</f>
        <v>N/A / 000</v>
      </c>
      <c r="J241" s="34"/>
      <c r="K241" s="38"/>
      <c r="L241" s="35"/>
      <c r="M241" s="66"/>
      <c r="N241" s="66"/>
      <c r="O241" s="66"/>
      <c r="P241" s="66"/>
      <c r="Q241" s="66"/>
      <c r="R241" s="67"/>
      <c r="S241" s="67"/>
      <c r="T241" s="67"/>
      <c r="U241" s="66"/>
      <c r="V241" s="66"/>
      <c r="W241" s="66"/>
      <c r="X241" s="85"/>
      <c r="AP241" t="str">
        <v/>
      </c>
    </row>
    <row r="242" spans="4:42" ht="15.75" x14ac:dyDescent="0.25">
      <c r="D242" s="3">
        <v>1</v>
      </c>
      <c r="F242" s="16" t="str" cm="1">
        <f t="array" ref="F2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2" s="31" cm="1">
        <f t="array" ref="G2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2" s="33" t="str">
        <f>_xlfn.IFNA(IF(MOD(HLG_04[[#This Row],[Rit]],
    _xlfn.XLOOKUP($G$2,Int_Sample[Ore],Int_Sample[Inc])) = 0, "YES", "NO"),"")</f>
        <v/>
      </c>
      <c r="I242" s="32" t="str">
        <f>TEXT(HLG_04[[#This Row],[Batch]],"000")&amp; " / " &amp; TEXT(HLG_04[[#This Row],[Rit]],"000")</f>
        <v>N/A / 000</v>
      </c>
      <c r="J242" s="34"/>
      <c r="K242" s="38"/>
      <c r="L242" s="35"/>
      <c r="M242" s="66"/>
      <c r="N242" s="66"/>
      <c r="O242" s="66"/>
      <c r="P242" s="66"/>
      <c r="Q242" s="66"/>
      <c r="R242" s="67"/>
      <c r="S242" s="67"/>
      <c r="T242" s="67"/>
      <c r="U242" s="66"/>
      <c r="V242" s="66"/>
      <c r="W242" s="66"/>
      <c r="X242" s="85"/>
      <c r="AP242" t="str">
        <v/>
      </c>
    </row>
    <row r="243" spans="4:42" ht="15.75" x14ac:dyDescent="0.25">
      <c r="D243" s="3">
        <v>1</v>
      </c>
      <c r="F243" s="16" t="str" cm="1">
        <f t="array" ref="F2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3" s="31" cm="1">
        <f t="array" ref="G2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3" s="33" t="str">
        <f>_xlfn.IFNA(IF(MOD(HLG_04[[#This Row],[Rit]],
    _xlfn.XLOOKUP($G$2,Int_Sample[Ore],Int_Sample[Inc])) = 0, "YES", "NO"),"")</f>
        <v/>
      </c>
      <c r="I243" s="32" t="str">
        <f>TEXT(HLG_04[[#This Row],[Batch]],"000")&amp; " / " &amp; TEXT(HLG_04[[#This Row],[Rit]],"000")</f>
        <v>N/A / 000</v>
      </c>
      <c r="J243" s="34"/>
      <c r="K243" s="38"/>
      <c r="L243" s="35"/>
      <c r="M243" s="66"/>
      <c r="N243" s="66"/>
      <c r="O243" s="66"/>
      <c r="P243" s="66"/>
      <c r="Q243" s="66"/>
      <c r="R243" s="67"/>
      <c r="S243" s="67"/>
      <c r="T243" s="67"/>
      <c r="U243" s="66"/>
      <c r="V243" s="66"/>
      <c r="W243" s="66"/>
      <c r="X243" s="85"/>
      <c r="AP243" t="str">
        <v/>
      </c>
    </row>
    <row r="244" spans="4:42" ht="15.75" x14ac:dyDescent="0.25">
      <c r="D244" s="3">
        <v>1</v>
      </c>
      <c r="F244" s="16" t="str" cm="1">
        <f t="array" ref="F2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4" s="31" cm="1">
        <f t="array" ref="G2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4" s="33" t="str">
        <f>_xlfn.IFNA(IF(MOD(HLG_04[[#This Row],[Rit]],
    _xlfn.XLOOKUP($G$2,Int_Sample[Ore],Int_Sample[Inc])) = 0, "YES", "NO"),"")</f>
        <v/>
      </c>
      <c r="I244" s="32" t="str">
        <f>TEXT(HLG_04[[#This Row],[Batch]],"000")&amp; " / " &amp; TEXT(HLG_04[[#This Row],[Rit]],"000")</f>
        <v>N/A / 000</v>
      </c>
      <c r="J244" s="34"/>
      <c r="K244" s="38"/>
      <c r="L244" s="35"/>
      <c r="M244" s="66"/>
      <c r="N244" s="66"/>
      <c r="O244" s="66"/>
      <c r="P244" s="66"/>
      <c r="Q244" s="66"/>
      <c r="R244" s="67"/>
      <c r="S244" s="67"/>
      <c r="T244" s="67"/>
      <c r="U244" s="66"/>
      <c r="V244" s="66"/>
      <c r="W244" s="66"/>
      <c r="X244" s="85"/>
      <c r="AP244" t="str">
        <v/>
      </c>
    </row>
    <row r="245" spans="4:42" ht="15.75" x14ac:dyDescent="0.25">
      <c r="D245" s="3">
        <v>1</v>
      </c>
      <c r="F245" s="16" t="str" cm="1">
        <f t="array" ref="F2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5" s="31" cm="1">
        <f t="array" ref="G2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5" s="33" t="str">
        <f>_xlfn.IFNA(IF(MOD(HLG_04[[#This Row],[Rit]],
    _xlfn.XLOOKUP($G$2,Int_Sample[Ore],Int_Sample[Inc])) = 0, "YES", "NO"),"")</f>
        <v/>
      </c>
      <c r="I245" s="32" t="str">
        <f>TEXT(HLG_04[[#This Row],[Batch]],"000")&amp; " / " &amp; TEXT(HLG_04[[#This Row],[Rit]],"000")</f>
        <v>N/A / 000</v>
      </c>
      <c r="J245" s="34"/>
      <c r="K245" s="38"/>
      <c r="L245" s="35"/>
      <c r="M245" s="66"/>
      <c r="N245" s="66"/>
      <c r="O245" s="66"/>
      <c r="P245" s="66"/>
      <c r="Q245" s="66"/>
      <c r="R245" s="67"/>
      <c r="S245" s="67"/>
      <c r="T245" s="67"/>
      <c r="U245" s="66"/>
      <c r="V245" s="66"/>
      <c r="W245" s="66"/>
      <c r="X245" s="85"/>
      <c r="AP245" t="str">
        <v/>
      </c>
    </row>
    <row r="246" spans="4:42" ht="15.75" x14ac:dyDescent="0.25">
      <c r="D246" s="3">
        <v>1</v>
      </c>
      <c r="F246" s="16" t="str" cm="1">
        <f t="array" ref="F2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6" s="31" cm="1">
        <f t="array" ref="G2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6" s="33" t="str">
        <f>_xlfn.IFNA(IF(MOD(HLG_04[[#This Row],[Rit]],
    _xlfn.XLOOKUP($G$2,Int_Sample[Ore],Int_Sample[Inc])) = 0, "YES", "NO"),"")</f>
        <v/>
      </c>
      <c r="I246" s="32" t="str">
        <f>TEXT(HLG_04[[#This Row],[Batch]],"000")&amp; " / " &amp; TEXT(HLG_04[[#This Row],[Rit]],"000")</f>
        <v>N/A / 000</v>
      </c>
      <c r="J246" s="34"/>
      <c r="K246" s="38"/>
      <c r="L246" s="35"/>
      <c r="M246" s="66"/>
      <c r="N246" s="66"/>
      <c r="O246" s="66"/>
      <c r="P246" s="66"/>
      <c r="Q246" s="66"/>
      <c r="R246" s="67"/>
      <c r="S246" s="67"/>
      <c r="T246" s="67"/>
      <c r="U246" s="66"/>
      <c r="V246" s="66"/>
      <c r="W246" s="66"/>
      <c r="X246" s="85"/>
      <c r="AP246" t="str">
        <v/>
      </c>
    </row>
    <row r="247" spans="4:42" ht="15.75" x14ac:dyDescent="0.25">
      <c r="D247" s="3">
        <v>1</v>
      </c>
      <c r="F247" s="16" t="str" cm="1">
        <f t="array" ref="F2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7" s="31" cm="1">
        <f t="array" ref="G2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7" s="33" t="str">
        <f>_xlfn.IFNA(IF(MOD(HLG_04[[#This Row],[Rit]],
    _xlfn.XLOOKUP($G$2,Int_Sample[Ore],Int_Sample[Inc])) = 0, "YES", "NO"),"")</f>
        <v/>
      </c>
      <c r="I247" s="32" t="str">
        <f>TEXT(HLG_04[[#This Row],[Batch]],"000")&amp; " / " &amp; TEXT(HLG_04[[#This Row],[Rit]],"000")</f>
        <v>N/A / 000</v>
      </c>
      <c r="J247" s="34"/>
      <c r="K247" s="38"/>
      <c r="L247" s="35"/>
      <c r="M247" s="66"/>
      <c r="N247" s="66"/>
      <c r="O247" s="66"/>
      <c r="P247" s="66"/>
      <c r="Q247" s="66"/>
      <c r="R247" s="67"/>
      <c r="S247" s="67"/>
      <c r="T247" s="67"/>
      <c r="U247" s="66"/>
      <c r="V247" s="66"/>
      <c r="W247" s="66"/>
      <c r="X247" s="85"/>
      <c r="AP247" t="str">
        <v/>
      </c>
    </row>
    <row r="248" spans="4:42" ht="15.75" x14ac:dyDescent="0.25">
      <c r="D248" s="3">
        <v>1</v>
      </c>
      <c r="F248" s="16" t="str" cm="1">
        <f t="array" ref="F2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8" s="31" cm="1">
        <f t="array" ref="G2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8" s="33" t="str">
        <f>_xlfn.IFNA(IF(MOD(HLG_04[[#This Row],[Rit]],
    _xlfn.XLOOKUP($G$2,Int_Sample[Ore],Int_Sample[Inc])) = 0, "YES", "NO"),"")</f>
        <v/>
      </c>
      <c r="I248" s="32" t="str">
        <f>TEXT(HLG_04[[#This Row],[Batch]],"000")&amp; " / " &amp; TEXT(HLG_04[[#This Row],[Rit]],"000")</f>
        <v>N/A / 000</v>
      </c>
      <c r="J248" s="34"/>
      <c r="K248" s="38"/>
      <c r="L248" s="35"/>
      <c r="M248" s="66"/>
      <c r="N248" s="66"/>
      <c r="O248" s="66"/>
      <c r="P248" s="66"/>
      <c r="Q248" s="66"/>
      <c r="R248" s="67"/>
      <c r="S248" s="67"/>
      <c r="T248" s="67"/>
      <c r="U248" s="66"/>
      <c r="V248" s="66"/>
      <c r="W248" s="66"/>
      <c r="X248" s="85"/>
      <c r="AP248" t="str">
        <v/>
      </c>
    </row>
    <row r="249" spans="4:42" ht="15.75" x14ac:dyDescent="0.25">
      <c r="D249" s="3">
        <v>1</v>
      </c>
      <c r="F249" s="16" t="str" cm="1">
        <f t="array" ref="F2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9" s="31" cm="1">
        <f t="array" ref="G2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9" s="33" t="str">
        <f>_xlfn.IFNA(IF(MOD(HLG_04[[#This Row],[Rit]],
    _xlfn.XLOOKUP($G$2,Int_Sample[Ore],Int_Sample[Inc])) = 0, "YES", "NO"),"")</f>
        <v/>
      </c>
      <c r="I249" s="32" t="str">
        <f>TEXT(HLG_04[[#This Row],[Batch]],"000")&amp; " / " &amp; TEXT(HLG_04[[#This Row],[Rit]],"000")</f>
        <v>N/A / 000</v>
      </c>
      <c r="J249" s="34"/>
      <c r="K249" s="38"/>
      <c r="L249" s="35"/>
      <c r="M249" s="66"/>
      <c r="N249" s="66"/>
      <c r="O249" s="66"/>
      <c r="P249" s="66"/>
      <c r="Q249" s="66"/>
      <c r="R249" s="67"/>
      <c r="S249" s="67"/>
      <c r="T249" s="67"/>
      <c r="U249" s="66"/>
      <c r="V249" s="66"/>
      <c r="W249" s="66"/>
      <c r="X249" s="85"/>
      <c r="AP249" t="str">
        <v/>
      </c>
    </row>
    <row r="250" spans="4:42" ht="15.75" x14ac:dyDescent="0.25">
      <c r="D250" s="3">
        <v>1</v>
      </c>
      <c r="F250" s="16" t="str" cm="1">
        <f t="array" ref="F2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0" s="31" cm="1">
        <f t="array" ref="G2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0" s="33" t="str">
        <f>_xlfn.IFNA(IF(MOD(HLG_04[[#This Row],[Rit]],
    _xlfn.XLOOKUP($G$2,Int_Sample[Ore],Int_Sample[Inc])) = 0, "YES", "NO"),"")</f>
        <v/>
      </c>
      <c r="I250" s="32" t="str">
        <f>TEXT(HLG_04[[#This Row],[Batch]],"000")&amp; " / " &amp; TEXT(HLG_04[[#This Row],[Rit]],"000")</f>
        <v>N/A / 000</v>
      </c>
      <c r="J250" s="34"/>
      <c r="K250" s="38"/>
      <c r="L250" s="35"/>
      <c r="M250" s="66"/>
      <c r="N250" s="66"/>
      <c r="O250" s="66"/>
      <c r="P250" s="66"/>
      <c r="Q250" s="66"/>
      <c r="R250" s="67"/>
      <c r="S250" s="67"/>
      <c r="T250" s="67"/>
      <c r="U250" s="66"/>
      <c r="V250" s="66"/>
      <c r="W250" s="66"/>
      <c r="X250" s="85"/>
      <c r="AP250" t="str">
        <v/>
      </c>
    </row>
    <row r="251" spans="4:42" ht="15.75" x14ac:dyDescent="0.25">
      <c r="D251" s="3">
        <v>1</v>
      </c>
      <c r="F251" s="16" t="str" cm="1">
        <f t="array" ref="F2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1" s="31" cm="1">
        <f t="array" ref="G2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1" s="33" t="str">
        <f>_xlfn.IFNA(IF(MOD(HLG_04[[#This Row],[Rit]],
    _xlfn.XLOOKUP($G$2,Int_Sample[Ore],Int_Sample[Inc])) = 0, "YES", "NO"),"")</f>
        <v/>
      </c>
      <c r="I251" s="32" t="str">
        <f>TEXT(HLG_04[[#This Row],[Batch]],"000")&amp; " / " &amp; TEXT(HLG_04[[#This Row],[Rit]],"000")</f>
        <v>N/A / 000</v>
      </c>
      <c r="J251" s="34"/>
      <c r="K251" s="38"/>
      <c r="L251" s="35"/>
      <c r="M251" s="66"/>
      <c r="N251" s="66"/>
      <c r="O251" s="66"/>
      <c r="P251" s="66"/>
      <c r="Q251" s="66"/>
      <c r="R251" s="67"/>
      <c r="S251" s="67"/>
      <c r="T251" s="67"/>
      <c r="U251" s="66"/>
      <c r="V251" s="66"/>
      <c r="W251" s="66"/>
      <c r="X251" s="85"/>
      <c r="AP251" t="str">
        <v/>
      </c>
    </row>
    <row r="252" spans="4:42" ht="15.75" x14ac:dyDescent="0.25">
      <c r="D252" s="3">
        <v>1</v>
      </c>
      <c r="F252" s="16" t="str" cm="1">
        <f t="array" ref="F2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2" s="31" cm="1">
        <f t="array" ref="G2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2" s="33" t="str">
        <f>_xlfn.IFNA(IF(MOD(HLG_04[[#This Row],[Rit]],
    _xlfn.XLOOKUP($G$2,Int_Sample[Ore],Int_Sample[Inc])) = 0, "YES", "NO"),"")</f>
        <v/>
      </c>
      <c r="I252" s="32" t="str">
        <f>TEXT(HLG_04[[#This Row],[Batch]],"000")&amp; " / " &amp; TEXT(HLG_04[[#This Row],[Rit]],"000")</f>
        <v>N/A / 000</v>
      </c>
      <c r="J252" s="34"/>
      <c r="K252" s="38"/>
      <c r="L252" s="35"/>
      <c r="M252" s="66"/>
      <c r="N252" s="66"/>
      <c r="O252" s="66"/>
      <c r="P252" s="66"/>
      <c r="Q252" s="66"/>
      <c r="R252" s="67"/>
      <c r="S252" s="67"/>
      <c r="T252" s="67"/>
      <c r="U252" s="66"/>
      <c r="V252" s="66"/>
      <c r="W252" s="66"/>
      <c r="X252" s="85"/>
      <c r="AP252" t="str">
        <v/>
      </c>
    </row>
    <row r="253" spans="4:42" ht="15.75" x14ac:dyDescent="0.25">
      <c r="D253" s="3">
        <v>1</v>
      </c>
      <c r="F253" s="16" t="str" cm="1">
        <f t="array" ref="F2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3" s="31" cm="1">
        <f t="array" ref="G2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3" s="33" t="str">
        <f>_xlfn.IFNA(IF(MOD(HLG_04[[#This Row],[Rit]],
    _xlfn.XLOOKUP($G$2,Int_Sample[Ore],Int_Sample[Inc])) = 0, "YES", "NO"),"")</f>
        <v/>
      </c>
      <c r="I253" s="32" t="str">
        <f>TEXT(HLG_04[[#This Row],[Batch]],"000")&amp; " / " &amp; TEXT(HLG_04[[#This Row],[Rit]],"000")</f>
        <v>N/A / 000</v>
      </c>
      <c r="J253" s="34"/>
      <c r="K253" s="38"/>
      <c r="L253" s="35"/>
      <c r="M253" s="66"/>
      <c r="N253" s="66"/>
      <c r="O253" s="66"/>
      <c r="P253" s="66"/>
      <c r="Q253" s="66"/>
      <c r="R253" s="67"/>
      <c r="S253" s="67"/>
      <c r="T253" s="67"/>
      <c r="U253" s="66"/>
      <c r="V253" s="66"/>
      <c r="W253" s="66"/>
      <c r="X253" s="85"/>
      <c r="AP253" t="str">
        <v/>
      </c>
    </row>
    <row r="254" spans="4:42" ht="15.75" x14ac:dyDescent="0.25">
      <c r="D254" s="3">
        <v>1</v>
      </c>
      <c r="F254" s="16" t="str" cm="1">
        <f t="array" ref="F2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4" s="31" cm="1">
        <f t="array" ref="G2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4" s="33" t="str">
        <f>_xlfn.IFNA(IF(MOD(HLG_04[[#This Row],[Rit]],
    _xlfn.XLOOKUP($G$2,Int_Sample[Ore],Int_Sample[Inc])) = 0, "YES", "NO"),"")</f>
        <v/>
      </c>
      <c r="I254" s="32" t="str">
        <f>TEXT(HLG_04[[#This Row],[Batch]],"000")&amp; " / " &amp; TEXT(HLG_04[[#This Row],[Rit]],"000")</f>
        <v>N/A / 000</v>
      </c>
      <c r="J254" s="34"/>
      <c r="K254" s="38"/>
      <c r="L254" s="35"/>
      <c r="M254" s="66"/>
      <c r="N254" s="66"/>
      <c r="O254" s="66"/>
      <c r="P254" s="66"/>
      <c r="Q254" s="66"/>
      <c r="R254" s="67"/>
      <c r="S254" s="67"/>
      <c r="T254" s="67"/>
      <c r="U254" s="66"/>
      <c r="V254" s="66"/>
      <c r="W254" s="66"/>
      <c r="X254" s="85"/>
      <c r="AP254" t="str">
        <v/>
      </c>
    </row>
    <row r="255" spans="4:42" ht="15.75" x14ac:dyDescent="0.25">
      <c r="D255" s="3">
        <v>1</v>
      </c>
      <c r="F255" s="16" t="str" cm="1">
        <f t="array" ref="F2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5" s="31" cm="1">
        <f t="array" ref="G2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5" s="33" t="str">
        <f>_xlfn.IFNA(IF(MOD(HLG_04[[#This Row],[Rit]],
    _xlfn.XLOOKUP($G$2,Int_Sample[Ore],Int_Sample[Inc])) = 0, "YES", "NO"),"")</f>
        <v/>
      </c>
      <c r="I255" s="32" t="str">
        <f>TEXT(HLG_04[[#This Row],[Batch]],"000")&amp; " / " &amp; TEXT(HLG_04[[#This Row],[Rit]],"000")</f>
        <v>N/A / 000</v>
      </c>
      <c r="J255" s="34"/>
      <c r="K255" s="38"/>
      <c r="L255" s="35"/>
      <c r="M255" s="66"/>
      <c r="N255" s="66"/>
      <c r="O255" s="66"/>
      <c r="P255" s="66"/>
      <c r="Q255" s="66"/>
      <c r="R255" s="67"/>
      <c r="S255" s="67"/>
      <c r="T255" s="67"/>
      <c r="U255" s="66"/>
      <c r="V255" s="66"/>
      <c r="W255" s="66"/>
      <c r="X255" s="85"/>
      <c r="AP255" t="str">
        <v/>
      </c>
    </row>
    <row r="256" spans="4:42" ht="15.75" x14ac:dyDescent="0.25">
      <c r="D256" s="3">
        <v>1</v>
      </c>
      <c r="F256" s="16" t="str" cm="1">
        <f t="array" ref="F2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6" s="31" cm="1">
        <f t="array" ref="G2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6" s="33" t="str">
        <f>_xlfn.IFNA(IF(MOD(HLG_04[[#This Row],[Rit]],
    _xlfn.XLOOKUP($G$2,Int_Sample[Ore],Int_Sample[Inc])) = 0, "YES", "NO"),"")</f>
        <v/>
      </c>
      <c r="I256" s="32" t="str">
        <f>TEXT(HLG_04[[#This Row],[Batch]],"000")&amp; " / " &amp; TEXT(HLG_04[[#This Row],[Rit]],"000")</f>
        <v>N/A / 000</v>
      </c>
      <c r="J256" s="34"/>
      <c r="K256" s="38"/>
      <c r="L256" s="35"/>
      <c r="M256" s="66"/>
      <c r="N256" s="66"/>
      <c r="O256" s="66"/>
      <c r="P256" s="66"/>
      <c r="Q256" s="66"/>
      <c r="R256" s="67"/>
      <c r="S256" s="67"/>
      <c r="T256" s="67"/>
      <c r="U256" s="66"/>
      <c r="V256" s="66"/>
      <c r="W256" s="66"/>
      <c r="X256" s="85"/>
      <c r="AP256" t="str">
        <v/>
      </c>
    </row>
    <row r="257" spans="4:42" ht="15.75" x14ac:dyDescent="0.25">
      <c r="D257" s="3">
        <v>1</v>
      </c>
      <c r="F257" s="16" t="str" cm="1">
        <f t="array" ref="F2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7" s="31" cm="1">
        <f t="array" ref="G2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7" s="33" t="str">
        <f>_xlfn.IFNA(IF(MOD(HLG_04[[#This Row],[Rit]],
    _xlfn.XLOOKUP($G$2,Int_Sample[Ore],Int_Sample[Inc])) = 0, "YES", "NO"),"")</f>
        <v/>
      </c>
      <c r="I257" s="32" t="str">
        <f>TEXT(HLG_04[[#This Row],[Batch]],"000")&amp; " / " &amp; TEXT(HLG_04[[#This Row],[Rit]],"000")</f>
        <v>N/A / 000</v>
      </c>
      <c r="J257" s="34"/>
      <c r="K257" s="38"/>
      <c r="L257" s="35"/>
      <c r="M257" s="66"/>
      <c r="N257" s="66"/>
      <c r="O257" s="66"/>
      <c r="P257" s="66"/>
      <c r="Q257" s="66"/>
      <c r="R257" s="67"/>
      <c r="S257" s="67"/>
      <c r="T257" s="67"/>
      <c r="U257" s="66"/>
      <c r="V257" s="66"/>
      <c r="W257" s="66"/>
      <c r="X257" s="85"/>
      <c r="AP257" t="str">
        <v/>
      </c>
    </row>
    <row r="258" spans="4:42" ht="15.75" x14ac:dyDescent="0.25">
      <c r="D258" s="3">
        <v>1</v>
      </c>
      <c r="F258" s="16" t="str" cm="1">
        <f t="array" ref="F2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8" s="31" cm="1">
        <f t="array" ref="G2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8" s="33" t="str">
        <f>_xlfn.IFNA(IF(MOD(HLG_04[[#This Row],[Rit]],
    _xlfn.XLOOKUP($G$2,Int_Sample[Ore],Int_Sample[Inc])) = 0, "YES", "NO"),"")</f>
        <v/>
      </c>
      <c r="I258" s="32" t="str">
        <f>TEXT(HLG_04[[#This Row],[Batch]],"000")&amp; " / " &amp; TEXT(HLG_04[[#This Row],[Rit]],"000")</f>
        <v>N/A / 000</v>
      </c>
      <c r="J258" s="34"/>
      <c r="K258" s="38"/>
      <c r="L258" s="35"/>
      <c r="M258" s="66"/>
      <c r="N258" s="66"/>
      <c r="O258" s="66"/>
      <c r="P258" s="66"/>
      <c r="Q258" s="66"/>
      <c r="R258" s="67"/>
      <c r="S258" s="67"/>
      <c r="T258" s="67"/>
      <c r="U258" s="66"/>
      <c r="V258" s="66"/>
      <c r="W258" s="66"/>
      <c r="X258" s="85"/>
      <c r="AP258" t="str">
        <v/>
      </c>
    </row>
    <row r="259" spans="4:42" ht="15.75" x14ac:dyDescent="0.25">
      <c r="D259" s="3">
        <v>1</v>
      </c>
      <c r="F259" s="16" t="str" cm="1">
        <f t="array" ref="F2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9" s="31" cm="1">
        <f t="array" ref="G2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9" s="33" t="str">
        <f>_xlfn.IFNA(IF(MOD(HLG_04[[#This Row],[Rit]],
    _xlfn.XLOOKUP($G$2,Int_Sample[Ore],Int_Sample[Inc])) = 0, "YES", "NO"),"")</f>
        <v/>
      </c>
      <c r="I259" s="32" t="str">
        <f>TEXT(HLG_04[[#This Row],[Batch]],"000")&amp; " / " &amp; TEXT(HLG_04[[#This Row],[Rit]],"000")</f>
        <v>N/A / 000</v>
      </c>
      <c r="J259" s="34"/>
      <c r="K259" s="38"/>
      <c r="L259" s="35"/>
      <c r="M259" s="66"/>
      <c r="N259" s="66"/>
      <c r="O259" s="66"/>
      <c r="P259" s="66"/>
      <c r="Q259" s="66"/>
      <c r="R259" s="67"/>
      <c r="S259" s="67"/>
      <c r="T259" s="67"/>
      <c r="U259" s="66"/>
      <c r="V259" s="66"/>
      <c r="W259" s="66"/>
      <c r="X259" s="85"/>
      <c r="AP259" t="str">
        <v/>
      </c>
    </row>
    <row r="260" spans="4:42" ht="15.75" x14ac:dyDescent="0.25">
      <c r="D260" s="3">
        <v>1</v>
      </c>
      <c r="F260" s="16" t="str" cm="1">
        <f t="array" ref="F2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0" s="31" cm="1">
        <f t="array" ref="G2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0" s="33" t="str">
        <f>_xlfn.IFNA(IF(MOD(HLG_04[[#This Row],[Rit]],
    _xlfn.XLOOKUP($G$2,Int_Sample[Ore],Int_Sample[Inc])) = 0, "YES", "NO"),"")</f>
        <v/>
      </c>
      <c r="I260" s="32" t="str">
        <f>TEXT(HLG_04[[#This Row],[Batch]],"000")&amp; " / " &amp; TEXT(HLG_04[[#This Row],[Rit]],"000")</f>
        <v>N/A / 000</v>
      </c>
      <c r="J260" s="34"/>
      <c r="K260" s="38"/>
      <c r="L260" s="35"/>
      <c r="M260" s="66"/>
      <c r="N260" s="66"/>
      <c r="O260" s="66"/>
      <c r="P260" s="66"/>
      <c r="Q260" s="66"/>
      <c r="R260" s="67"/>
      <c r="S260" s="67"/>
      <c r="T260" s="67"/>
      <c r="U260" s="66"/>
      <c r="V260" s="66"/>
      <c r="W260" s="66"/>
      <c r="X260" s="85"/>
      <c r="AP260" t="str">
        <v/>
      </c>
    </row>
    <row r="261" spans="4:42" ht="15.75" x14ac:dyDescent="0.25">
      <c r="D261" s="3">
        <v>1</v>
      </c>
      <c r="F261" s="16" t="str" cm="1">
        <f t="array" ref="F2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1" s="31" cm="1">
        <f t="array" ref="G2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1" s="33" t="str">
        <f>_xlfn.IFNA(IF(MOD(HLG_04[[#This Row],[Rit]],
    _xlfn.XLOOKUP($G$2,Int_Sample[Ore],Int_Sample[Inc])) = 0, "YES", "NO"),"")</f>
        <v/>
      </c>
      <c r="I261" s="32" t="str">
        <f>TEXT(HLG_04[[#This Row],[Batch]],"000")&amp; " / " &amp; TEXT(HLG_04[[#This Row],[Rit]],"000")</f>
        <v>N/A / 000</v>
      </c>
      <c r="J261" s="34"/>
      <c r="K261" s="38"/>
      <c r="L261" s="35"/>
      <c r="M261" s="66"/>
      <c r="N261" s="66"/>
      <c r="O261" s="66"/>
      <c r="P261" s="66"/>
      <c r="Q261" s="66"/>
      <c r="R261" s="67"/>
      <c r="S261" s="67"/>
      <c r="T261" s="67"/>
      <c r="U261" s="66"/>
      <c r="V261" s="66"/>
      <c r="W261" s="66"/>
      <c r="X261" s="85"/>
      <c r="AP261" t="str">
        <v/>
      </c>
    </row>
    <row r="262" spans="4:42" ht="15.75" x14ac:dyDescent="0.25">
      <c r="D262" s="3">
        <v>1</v>
      </c>
      <c r="F262" s="16" t="str" cm="1">
        <f t="array" ref="F2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2" s="31" cm="1">
        <f t="array" ref="G2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2" s="33" t="str">
        <f>_xlfn.IFNA(IF(MOD(HLG_04[[#This Row],[Rit]],
    _xlfn.XLOOKUP($G$2,Int_Sample[Ore],Int_Sample[Inc])) = 0, "YES", "NO"),"")</f>
        <v/>
      </c>
      <c r="I262" s="32" t="str">
        <f>TEXT(HLG_04[[#This Row],[Batch]],"000")&amp; " / " &amp; TEXT(HLG_04[[#This Row],[Rit]],"000")</f>
        <v>N/A / 000</v>
      </c>
      <c r="J262" s="34"/>
      <c r="K262" s="38"/>
      <c r="L262" s="35"/>
      <c r="M262" s="66"/>
      <c r="N262" s="66"/>
      <c r="O262" s="66"/>
      <c r="P262" s="66"/>
      <c r="Q262" s="66"/>
      <c r="R262" s="67"/>
      <c r="S262" s="67"/>
      <c r="T262" s="67"/>
      <c r="U262" s="66"/>
      <c r="V262" s="66"/>
      <c r="W262" s="66"/>
      <c r="X262" s="85"/>
      <c r="AP262" t="str">
        <v/>
      </c>
    </row>
    <row r="263" spans="4:42" ht="15.75" x14ac:dyDescent="0.25">
      <c r="D263" s="3">
        <v>1</v>
      </c>
      <c r="F263" s="16" t="str" cm="1">
        <f t="array" ref="F2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3" s="31" cm="1">
        <f t="array" ref="G2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3" s="33" t="str">
        <f>_xlfn.IFNA(IF(MOD(HLG_04[[#This Row],[Rit]],
    _xlfn.XLOOKUP($G$2,Int_Sample[Ore],Int_Sample[Inc])) = 0, "YES", "NO"),"")</f>
        <v/>
      </c>
      <c r="I263" s="32" t="str">
        <f>TEXT(HLG_04[[#This Row],[Batch]],"000")&amp; " / " &amp; TEXT(HLG_04[[#This Row],[Rit]],"000")</f>
        <v>N/A / 000</v>
      </c>
      <c r="J263" s="34"/>
      <c r="K263" s="38"/>
      <c r="L263" s="35"/>
      <c r="M263" s="66"/>
      <c r="N263" s="66"/>
      <c r="O263" s="66"/>
      <c r="P263" s="66"/>
      <c r="Q263" s="66"/>
      <c r="R263" s="67"/>
      <c r="S263" s="67"/>
      <c r="T263" s="67"/>
      <c r="U263" s="66"/>
      <c r="V263" s="66"/>
      <c r="W263" s="66"/>
      <c r="X263" s="85"/>
      <c r="AP263" t="str">
        <v/>
      </c>
    </row>
    <row r="264" spans="4:42" ht="15.75" x14ac:dyDescent="0.25">
      <c r="D264" s="3">
        <v>1</v>
      </c>
      <c r="F264" s="16" t="str" cm="1">
        <f t="array" ref="F2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4" s="31" cm="1">
        <f t="array" ref="G2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4" s="33" t="str">
        <f>_xlfn.IFNA(IF(MOD(HLG_04[[#This Row],[Rit]],
    _xlfn.XLOOKUP($G$2,Int_Sample[Ore],Int_Sample[Inc])) = 0, "YES", "NO"),"")</f>
        <v/>
      </c>
      <c r="I264" s="32" t="str">
        <f>TEXT(HLG_04[[#This Row],[Batch]],"000")&amp; " / " &amp; TEXT(HLG_04[[#This Row],[Rit]],"000")</f>
        <v>N/A / 000</v>
      </c>
      <c r="J264" s="34"/>
      <c r="K264" s="38"/>
      <c r="L264" s="35"/>
      <c r="M264" s="66"/>
      <c r="N264" s="66"/>
      <c r="O264" s="66"/>
      <c r="P264" s="66"/>
      <c r="Q264" s="66"/>
      <c r="R264" s="67"/>
      <c r="S264" s="67"/>
      <c r="T264" s="67"/>
      <c r="U264" s="66"/>
      <c r="V264" s="66"/>
      <c r="W264" s="66"/>
      <c r="X264" s="85"/>
      <c r="AP264" t="str">
        <v/>
      </c>
    </row>
    <row r="265" spans="4:42" ht="15.75" x14ac:dyDescent="0.25">
      <c r="D265" s="3">
        <v>1</v>
      </c>
      <c r="F265" s="16" t="str" cm="1">
        <f t="array" ref="F2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5" s="31" cm="1">
        <f t="array" ref="G2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5" s="33" t="str">
        <f>_xlfn.IFNA(IF(MOD(HLG_04[[#This Row],[Rit]],
    _xlfn.XLOOKUP($G$2,Int_Sample[Ore],Int_Sample[Inc])) = 0, "YES", "NO"),"")</f>
        <v/>
      </c>
      <c r="I265" s="32" t="str">
        <f>TEXT(HLG_04[[#This Row],[Batch]],"000")&amp; " / " &amp; TEXT(HLG_04[[#This Row],[Rit]],"000")</f>
        <v>N/A / 000</v>
      </c>
      <c r="J265" s="34"/>
      <c r="K265" s="38"/>
      <c r="L265" s="35"/>
      <c r="M265" s="66"/>
      <c r="N265" s="66"/>
      <c r="O265" s="66"/>
      <c r="P265" s="66"/>
      <c r="Q265" s="66"/>
      <c r="R265" s="67"/>
      <c r="S265" s="67"/>
      <c r="T265" s="67"/>
      <c r="U265" s="66"/>
      <c r="V265" s="66"/>
      <c r="W265" s="66"/>
      <c r="X265" s="85"/>
      <c r="AP265" t="str">
        <v/>
      </c>
    </row>
    <row r="266" spans="4:42" ht="15.75" x14ac:dyDescent="0.25">
      <c r="D266" s="3">
        <v>1</v>
      </c>
      <c r="F266" s="16" t="str" cm="1">
        <f t="array" ref="F2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6" s="31" cm="1">
        <f t="array" ref="G2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6" s="33" t="str">
        <f>_xlfn.IFNA(IF(MOD(HLG_04[[#This Row],[Rit]],
    _xlfn.XLOOKUP($G$2,Int_Sample[Ore],Int_Sample[Inc])) = 0, "YES", "NO"),"")</f>
        <v/>
      </c>
      <c r="I266" s="32" t="str">
        <f>TEXT(HLG_04[[#This Row],[Batch]],"000")&amp; " / " &amp; TEXT(HLG_04[[#This Row],[Rit]],"000")</f>
        <v>N/A / 000</v>
      </c>
      <c r="J266" s="34"/>
      <c r="K266" s="38"/>
      <c r="L266" s="35"/>
      <c r="M266" s="66"/>
      <c r="N266" s="66"/>
      <c r="O266" s="66"/>
      <c r="P266" s="66"/>
      <c r="Q266" s="66"/>
      <c r="R266" s="67"/>
      <c r="S266" s="67"/>
      <c r="T266" s="67"/>
      <c r="U266" s="66"/>
      <c r="V266" s="66"/>
      <c r="W266" s="66"/>
      <c r="X266" s="85"/>
      <c r="AP266" t="str">
        <v/>
      </c>
    </row>
    <row r="267" spans="4:42" ht="15.75" x14ac:dyDescent="0.25">
      <c r="D267" s="3">
        <v>1</v>
      </c>
      <c r="F267" s="16" t="str" cm="1">
        <f t="array" ref="F2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7" s="31" cm="1">
        <f t="array" ref="G2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7" s="33" t="str">
        <f>_xlfn.IFNA(IF(MOD(HLG_04[[#This Row],[Rit]],
    _xlfn.XLOOKUP($G$2,Int_Sample[Ore],Int_Sample[Inc])) = 0, "YES", "NO"),"")</f>
        <v/>
      </c>
      <c r="I267" s="32" t="str">
        <f>TEXT(HLG_04[[#This Row],[Batch]],"000")&amp; " / " &amp; TEXT(HLG_04[[#This Row],[Rit]],"000")</f>
        <v>N/A / 000</v>
      </c>
      <c r="J267" s="34"/>
      <c r="K267" s="38"/>
      <c r="L267" s="35"/>
      <c r="M267" s="66"/>
      <c r="N267" s="66"/>
      <c r="O267" s="66"/>
      <c r="P267" s="66"/>
      <c r="Q267" s="66"/>
      <c r="R267" s="67"/>
      <c r="S267" s="67"/>
      <c r="T267" s="67"/>
      <c r="U267" s="66"/>
      <c r="V267" s="66"/>
      <c r="W267" s="66"/>
      <c r="X267" s="85"/>
      <c r="AP267" t="str">
        <v/>
      </c>
    </row>
    <row r="268" spans="4:42" ht="15.75" x14ac:dyDescent="0.25">
      <c r="D268" s="3">
        <v>1</v>
      </c>
      <c r="F268" s="16" t="str" cm="1">
        <f t="array" ref="F2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8" s="31" cm="1">
        <f t="array" ref="G2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8" s="33" t="str">
        <f>_xlfn.IFNA(IF(MOD(HLG_04[[#This Row],[Rit]],
    _xlfn.XLOOKUP($G$2,Int_Sample[Ore],Int_Sample[Inc])) = 0, "YES", "NO"),"")</f>
        <v/>
      </c>
      <c r="I268" s="32" t="str">
        <f>TEXT(HLG_04[[#This Row],[Batch]],"000")&amp; " / " &amp; TEXT(HLG_04[[#This Row],[Rit]],"000")</f>
        <v>N/A / 000</v>
      </c>
      <c r="J268" s="34"/>
      <c r="K268" s="38"/>
      <c r="L268" s="35"/>
      <c r="M268" s="66"/>
      <c r="N268" s="66"/>
      <c r="O268" s="66"/>
      <c r="P268" s="66"/>
      <c r="Q268" s="66"/>
      <c r="R268" s="67"/>
      <c r="S268" s="67"/>
      <c r="T268" s="67"/>
      <c r="U268" s="66"/>
      <c r="V268" s="66"/>
      <c r="W268" s="66"/>
      <c r="X268" s="85"/>
      <c r="AP268" t="str">
        <v/>
      </c>
    </row>
    <row r="269" spans="4:42" ht="15.75" x14ac:dyDescent="0.25">
      <c r="D269" s="3">
        <v>1</v>
      </c>
      <c r="F269" s="16" t="str" cm="1">
        <f t="array" ref="F2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9" s="31" cm="1">
        <f t="array" ref="G2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9" s="33" t="str">
        <f>_xlfn.IFNA(IF(MOD(HLG_04[[#This Row],[Rit]],
    _xlfn.XLOOKUP($G$2,Int_Sample[Ore],Int_Sample[Inc])) = 0, "YES", "NO"),"")</f>
        <v/>
      </c>
      <c r="I269" s="32" t="str">
        <f>TEXT(HLG_04[[#This Row],[Batch]],"000")&amp; " / " &amp; TEXT(HLG_04[[#This Row],[Rit]],"000")</f>
        <v>N/A / 000</v>
      </c>
      <c r="J269" s="34"/>
      <c r="K269" s="38"/>
      <c r="L269" s="35"/>
      <c r="M269" s="66"/>
      <c r="N269" s="66"/>
      <c r="O269" s="66"/>
      <c r="P269" s="66"/>
      <c r="Q269" s="66"/>
      <c r="R269" s="67"/>
      <c r="S269" s="67"/>
      <c r="T269" s="67"/>
      <c r="U269" s="66"/>
      <c r="V269" s="66"/>
      <c r="W269" s="66"/>
      <c r="X269" s="85"/>
      <c r="AP269" t="str">
        <v/>
      </c>
    </row>
    <row r="270" spans="4:42" ht="15.75" x14ac:dyDescent="0.25">
      <c r="D270" s="3">
        <v>1</v>
      </c>
      <c r="F270" s="16" t="str" cm="1">
        <f t="array" ref="F2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0" s="31" cm="1">
        <f t="array" ref="G2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0" s="33" t="str">
        <f>_xlfn.IFNA(IF(MOD(HLG_04[[#This Row],[Rit]],
    _xlfn.XLOOKUP($G$2,Int_Sample[Ore],Int_Sample[Inc])) = 0, "YES", "NO"),"")</f>
        <v/>
      </c>
      <c r="I270" s="32" t="str">
        <f>TEXT(HLG_04[[#This Row],[Batch]],"000")&amp; " / " &amp; TEXT(HLG_04[[#This Row],[Rit]],"000")</f>
        <v>N/A / 000</v>
      </c>
      <c r="J270" s="34"/>
      <c r="K270" s="38"/>
      <c r="L270" s="35"/>
      <c r="M270" s="66"/>
      <c r="N270" s="66"/>
      <c r="O270" s="66"/>
      <c r="P270" s="66"/>
      <c r="Q270" s="66"/>
      <c r="R270" s="67"/>
      <c r="S270" s="67"/>
      <c r="T270" s="67"/>
      <c r="U270" s="66"/>
      <c r="V270" s="66"/>
      <c r="W270" s="66"/>
      <c r="X270" s="85"/>
      <c r="AP270" t="str">
        <v/>
      </c>
    </row>
    <row r="271" spans="4:42" ht="15.75" x14ac:dyDescent="0.25">
      <c r="D271" s="3">
        <v>1</v>
      </c>
      <c r="F271" s="16" t="str" cm="1">
        <f t="array" ref="F2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1" s="31" cm="1">
        <f t="array" ref="G2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1" s="33" t="str">
        <f>_xlfn.IFNA(IF(MOD(HLG_04[[#This Row],[Rit]],
    _xlfn.XLOOKUP($G$2,Int_Sample[Ore],Int_Sample[Inc])) = 0, "YES", "NO"),"")</f>
        <v/>
      </c>
      <c r="I271" s="32" t="str">
        <f>TEXT(HLG_04[[#This Row],[Batch]],"000")&amp; " / " &amp; TEXT(HLG_04[[#This Row],[Rit]],"000")</f>
        <v>N/A / 000</v>
      </c>
      <c r="J271" s="34"/>
      <c r="K271" s="38"/>
      <c r="L271" s="35"/>
      <c r="M271" s="66"/>
      <c r="N271" s="66"/>
      <c r="O271" s="66"/>
      <c r="P271" s="66"/>
      <c r="Q271" s="66"/>
      <c r="R271" s="67"/>
      <c r="S271" s="67"/>
      <c r="T271" s="67"/>
      <c r="U271" s="66"/>
      <c r="V271" s="66"/>
      <c r="W271" s="66"/>
      <c r="X271" s="85"/>
      <c r="AP271" t="str">
        <v/>
      </c>
    </row>
    <row r="272" spans="4:42" ht="15.75" x14ac:dyDescent="0.25">
      <c r="D272" s="3">
        <v>1</v>
      </c>
      <c r="F272" s="16" t="str" cm="1">
        <f t="array" ref="F2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2" s="31" cm="1">
        <f t="array" ref="G2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2" s="33" t="str">
        <f>_xlfn.IFNA(IF(MOD(HLG_04[[#This Row],[Rit]],
    _xlfn.XLOOKUP($G$2,Int_Sample[Ore],Int_Sample[Inc])) = 0, "YES", "NO"),"")</f>
        <v/>
      </c>
      <c r="I272" s="32" t="str">
        <f>TEXT(HLG_04[[#This Row],[Batch]],"000")&amp; " / " &amp; TEXT(HLG_04[[#This Row],[Rit]],"000")</f>
        <v>N/A / 000</v>
      </c>
      <c r="J272" s="34"/>
      <c r="K272" s="38"/>
      <c r="L272" s="35"/>
      <c r="M272" s="66"/>
      <c r="N272" s="66"/>
      <c r="O272" s="66"/>
      <c r="P272" s="66"/>
      <c r="Q272" s="66"/>
      <c r="R272" s="67"/>
      <c r="S272" s="67"/>
      <c r="T272" s="67"/>
      <c r="U272" s="66"/>
      <c r="V272" s="66"/>
      <c r="W272" s="66"/>
      <c r="X272" s="85"/>
      <c r="AP272" t="str">
        <v/>
      </c>
    </row>
    <row r="273" spans="4:42" ht="15.75" x14ac:dyDescent="0.25">
      <c r="D273" s="3">
        <v>1</v>
      </c>
      <c r="F273" s="16" t="str" cm="1">
        <f t="array" ref="F2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3" s="31" cm="1">
        <f t="array" ref="G2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3" s="33" t="str">
        <f>_xlfn.IFNA(IF(MOD(HLG_04[[#This Row],[Rit]],
    _xlfn.XLOOKUP($G$2,Int_Sample[Ore],Int_Sample[Inc])) = 0, "YES", "NO"),"")</f>
        <v/>
      </c>
      <c r="I273" s="32" t="str">
        <f>TEXT(HLG_04[[#This Row],[Batch]],"000")&amp; " / " &amp; TEXT(HLG_04[[#This Row],[Rit]],"000")</f>
        <v>N/A / 000</v>
      </c>
      <c r="J273" s="34"/>
      <c r="K273" s="38"/>
      <c r="L273" s="35"/>
      <c r="M273" s="66"/>
      <c r="N273" s="66"/>
      <c r="O273" s="66"/>
      <c r="P273" s="66"/>
      <c r="Q273" s="66"/>
      <c r="R273" s="67"/>
      <c r="S273" s="67"/>
      <c r="T273" s="67"/>
      <c r="U273" s="66"/>
      <c r="V273" s="66"/>
      <c r="W273" s="66"/>
      <c r="X273" s="85"/>
      <c r="AP273" t="str">
        <v/>
      </c>
    </row>
    <row r="274" spans="4:42" ht="15.75" x14ac:dyDescent="0.25">
      <c r="D274" s="3">
        <v>1</v>
      </c>
      <c r="F274" s="16" t="str" cm="1">
        <f t="array" ref="F2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4" s="31" cm="1">
        <f t="array" ref="G2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4" s="33" t="str">
        <f>_xlfn.IFNA(IF(MOD(HLG_04[[#This Row],[Rit]],
    _xlfn.XLOOKUP($G$2,Int_Sample[Ore],Int_Sample[Inc])) = 0, "YES", "NO"),"")</f>
        <v/>
      </c>
      <c r="I274" s="32" t="str">
        <f>TEXT(HLG_04[[#This Row],[Batch]],"000")&amp; " / " &amp; TEXT(HLG_04[[#This Row],[Rit]],"000")</f>
        <v>N/A / 000</v>
      </c>
      <c r="J274" s="34"/>
      <c r="K274" s="38"/>
      <c r="L274" s="35"/>
      <c r="M274" s="66"/>
      <c r="N274" s="66"/>
      <c r="O274" s="66"/>
      <c r="P274" s="66"/>
      <c r="Q274" s="66"/>
      <c r="R274" s="67"/>
      <c r="S274" s="67"/>
      <c r="T274" s="67"/>
      <c r="U274" s="66"/>
      <c r="V274" s="66"/>
      <c r="W274" s="66"/>
      <c r="X274" s="85"/>
      <c r="AP274" t="str">
        <v/>
      </c>
    </row>
    <row r="275" spans="4:42" ht="15.75" x14ac:dyDescent="0.25">
      <c r="D275" s="3">
        <v>1</v>
      </c>
      <c r="F275" s="16" t="str" cm="1">
        <f t="array" ref="F2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5" s="31" cm="1">
        <f t="array" ref="G2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5" s="33" t="str">
        <f>_xlfn.IFNA(IF(MOD(HLG_04[[#This Row],[Rit]],
    _xlfn.XLOOKUP($G$2,Int_Sample[Ore],Int_Sample[Inc])) = 0, "YES", "NO"),"")</f>
        <v/>
      </c>
      <c r="I275" s="32" t="str">
        <f>TEXT(HLG_04[[#This Row],[Batch]],"000")&amp; " / " &amp; TEXT(HLG_04[[#This Row],[Rit]],"000")</f>
        <v>N/A / 000</v>
      </c>
      <c r="J275" s="34"/>
      <c r="K275" s="38"/>
      <c r="L275" s="35"/>
      <c r="M275" s="66"/>
      <c r="N275" s="66"/>
      <c r="O275" s="66"/>
      <c r="P275" s="66"/>
      <c r="Q275" s="66"/>
      <c r="R275" s="67"/>
      <c r="S275" s="67"/>
      <c r="T275" s="67"/>
      <c r="U275" s="66"/>
      <c r="V275" s="66"/>
      <c r="W275" s="66"/>
      <c r="X275" s="85"/>
      <c r="AP275" t="str">
        <v/>
      </c>
    </row>
    <row r="276" spans="4:42" ht="15.75" x14ac:dyDescent="0.25">
      <c r="D276" s="3">
        <v>1</v>
      </c>
      <c r="F276" s="16" t="str" cm="1">
        <f t="array" ref="F2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6" s="31" cm="1">
        <f t="array" ref="G2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6" s="33" t="str">
        <f>_xlfn.IFNA(IF(MOD(HLG_04[[#This Row],[Rit]],
    _xlfn.XLOOKUP($G$2,Int_Sample[Ore],Int_Sample[Inc])) = 0, "YES", "NO"),"")</f>
        <v/>
      </c>
      <c r="I276" s="32" t="str">
        <f>TEXT(HLG_04[[#This Row],[Batch]],"000")&amp; " / " &amp; TEXT(HLG_04[[#This Row],[Rit]],"000")</f>
        <v>N/A / 000</v>
      </c>
      <c r="J276" s="34"/>
      <c r="K276" s="38"/>
      <c r="L276" s="35"/>
      <c r="M276" s="66"/>
      <c r="N276" s="66"/>
      <c r="O276" s="66"/>
      <c r="P276" s="66"/>
      <c r="Q276" s="66"/>
      <c r="R276" s="67"/>
      <c r="S276" s="67"/>
      <c r="T276" s="67"/>
      <c r="U276" s="66"/>
      <c r="V276" s="66"/>
      <c r="W276" s="66"/>
      <c r="X276" s="85"/>
      <c r="AP276" t="str">
        <v/>
      </c>
    </row>
    <row r="277" spans="4:42" ht="15.75" x14ac:dyDescent="0.25">
      <c r="D277" s="3">
        <v>1</v>
      </c>
      <c r="F277" s="16" t="str" cm="1">
        <f t="array" ref="F2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7" s="31" cm="1">
        <f t="array" ref="G2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7" s="33" t="str">
        <f>_xlfn.IFNA(IF(MOD(HLG_04[[#This Row],[Rit]],
    _xlfn.XLOOKUP($G$2,Int_Sample[Ore],Int_Sample[Inc])) = 0, "YES", "NO"),"")</f>
        <v/>
      </c>
      <c r="I277" s="32" t="str">
        <f>TEXT(HLG_04[[#This Row],[Batch]],"000")&amp; " / " &amp; TEXT(HLG_04[[#This Row],[Rit]],"000")</f>
        <v>N/A / 000</v>
      </c>
      <c r="J277" s="34"/>
      <c r="K277" s="38"/>
      <c r="L277" s="35"/>
      <c r="M277" s="66"/>
      <c r="N277" s="66"/>
      <c r="O277" s="66"/>
      <c r="P277" s="66"/>
      <c r="Q277" s="66"/>
      <c r="R277" s="67"/>
      <c r="S277" s="67"/>
      <c r="T277" s="67"/>
      <c r="U277" s="66"/>
      <c r="V277" s="66"/>
      <c r="W277" s="66"/>
      <c r="X277" s="85"/>
      <c r="AP277" t="str">
        <v/>
      </c>
    </row>
    <row r="278" spans="4:42" ht="15.75" x14ac:dyDescent="0.25">
      <c r="D278" s="3">
        <v>1</v>
      </c>
      <c r="F278" s="16" t="str" cm="1">
        <f t="array" ref="F2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8" s="31" cm="1">
        <f t="array" ref="G2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8" s="33" t="str">
        <f>_xlfn.IFNA(IF(MOD(HLG_04[[#This Row],[Rit]],
    _xlfn.XLOOKUP($G$2,Int_Sample[Ore],Int_Sample[Inc])) = 0, "YES", "NO"),"")</f>
        <v/>
      </c>
      <c r="I278" s="32" t="str">
        <f>TEXT(HLG_04[[#This Row],[Batch]],"000")&amp; " / " &amp; TEXT(HLG_04[[#This Row],[Rit]],"000")</f>
        <v>N/A / 000</v>
      </c>
      <c r="J278" s="34"/>
      <c r="K278" s="38"/>
      <c r="L278" s="35"/>
      <c r="M278" s="66"/>
      <c r="N278" s="66"/>
      <c r="O278" s="66"/>
      <c r="P278" s="66"/>
      <c r="Q278" s="66"/>
      <c r="R278" s="67"/>
      <c r="S278" s="67"/>
      <c r="T278" s="67"/>
      <c r="U278" s="66"/>
      <c r="V278" s="66"/>
      <c r="W278" s="66"/>
      <c r="X278" s="85"/>
      <c r="AP278" t="str">
        <v/>
      </c>
    </row>
    <row r="279" spans="4:42" ht="15.75" x14ac:dyDescent="0.25">
      <c r="D279" s="3">
        <v>1</v>
      </c>
      <c r="F279" s="16" t="str" cm="1">
        <f t="array" ref="F2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9" s="31" cm="1">
        <f t="array" ref="G2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9" s="33" t="str">
        <f>_xlfn.IFNA(IF(MOD(HLG_04[[#This Row],[Rit]],
    _xlfn.XLOOKUP($G$2,Int_Sample[Ore],Int_Sample[Inc])) = 0, "YES", "NO"),"")</f>
        <v/>
      </c>
      <c r="I279" s="32" t="str">
        <f>TEXT(HLG_04[[#This Row],[Batch]],"000")&amp; " / " &amp; TEXT(HLG_04[[#This Row],[Rit]],"000")</f>
        <v>N/A / 000</v>
      </c>
      <c r="J279" s="34"/>
      <c r="K279" s="38"/>
      <c r="L279" s="35"/>
      <c r="M279" s="66"/>
      <c r="N279" s="66"/>
      <c r="O279" s="66"/>
      <c r="P279" s="66"/>
      <c r="Q279" s="66"/>
      <c r="R279" s="67"/>
      <c r="S279" s="67"/>
      <c r="T279" s="67"/>
      <c r="U279" s="66"/>
      <c r="V279" s="66"/>
      <c r="W279" s="66"/>
      <c r="X279" s="85"/>
      <c r="AP279" t="str">
        <v/>
      </c>
    </row>
    <row r="280" spans="4:42" ht="15.75" x14ac:dyDescent="0.25">
      <c r="D280" s="3">
        <v>1</v>
      </c>
      <c r="F280" s="16" t="str" cm="1">
        <f t="array" ref="F2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0" s="31" cm="1">
        <f t="array" ref="G2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0" s="33" t="str">
        <f>_xlfn.IFNA(IF(MOD(HLG_04[[#This Row],[Rit]],
    _xlfn.XLOOKUP($G$2,Int_Sample[Ore],Int_Sample[Inc])) = 0, "YES", "NO"),"")</f>
        <v/>
      </c>
      <c r="I280" s="32" t="str">
        <f>TEXT(HLG_04[[#This Row],[Batch]],"000")&amp; " / " &amp; TEXT(HLG_04[[#This Row],[Rit]],"000")</f>
        <v>N/A / 000</v>
      </c>
      <c r="J280" s="34"/>
      <c r="K280" s="38"/>
      <c r="L280" s="35"/>
      <c r="M280" s="66"/>
      <c r="N280" s="66"/>
      <c r="O280" s="66"/>
      <c r="P280" s="66"/>
      <c r="Q280" s="66"/>
      <c r="R280" s="67"/>
      <c r="S280" s="67"/>
      <c r="T280" s="67"/>
      <c r="U280" s="66"/>
      <c r="V280" s="66"/>
      <c r="W280" s="66"/>
      <c r="X280" s="85"/>
      <c r="AP280" t="str">
        <v/>
      </c>
    </row>
    <row r="281" spans="4:42" ht="15.75" x14ac:dyDescent="0.25">
      <c r="D281" s="3">
        <v>1</v>
      </c>
      <c r="F281" s="16" t="str" cm="1">
        <f t="array" ref="F2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1" s="31" cm="1">
        <f t="array" ref="G2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1" s="33" t="str">
        <f>_xlfn.IFNA(IF(MOD(HLG_04[[#This Row],[Rit]],
    _xlfn.XLOOKUP($G$2,Int_Sample[Ore],Int_Sample[Inc])) = 0, "YES", "NO"),"")</f>
        <v/>
      </c>
      <c r="I281" s="32" t="str">
        <f>TEXT(HLG_04[[#This Row],[Batch]],"000")&amp; " / " &amp; TEXT(HLG_04[[#This Row],[Rit]],"000")</f>
        <v>N/A / 000</v>
      </c>
      <c r="J281" s="34"/>
      <c r="K281" s="38"/>
      <c r="L281" s="35"/>
      <c r="M281" s="66"/>
      <c r="N281" s="66"/>
      <c r="O281" s="66"/>
      <c r="P281" s="66"/>
      <c r="Q281" s="66"/>
      <c r="R281" s="67"/>
      <c r="S281" s="67"/>
      <c r="T281" s="67"/>
      <c r="U281" s="66"/>
      <c r="V281" s="66"/>
      <c r="W281" s="66"/>
      <c r="X281" s="85"/>
      <c r="AP281" t="str">
        <v/>
      </c>
    </row>
    <row r="282" spans="4:42" ht="15.75" x14ac:dyDescent="0.25">
      <c r="D282" s="3">
        <v>1</v>
      </c>
      <c r="F282" s="16" t="str" cm="1">
        <f t="array" ref="F2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2" s="31" cm="1">
        <f t="array" ref="G2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2" s="33" t="str">
        <f>_xlfn.IFNA(IF(MOD(HLG_04[[#This Row],[Rit]],
    _xlfn.XLOOKUP($G$2,Int_Sample[Ore],Int_Sample[Inc])) = 0, "YES", "NO"),"")</f>
        <v/>
      </c>
      <c r="I282" s="32" t="str">
        <f>TEXT(HLG_04[[#This Row],[Batch]],"000")&amp; " / " &amp; TEXT(HLG_04[[#This Row],[Rit]],"000")</f>
        <v>N/A / 000</v>
      </c>
      <c r="J282" s="34"/>
      <c r="K282" s="38"/>
      <c r="L282" s="35"/>
      <c r="M282" s="66"/>
      <c r="N282" s="66"/>
      <c r="O282" s="66"/>
      <c r="P282" s="66"/>
      <c r="Q282" s="66"/>
      <c r="R282" s="67"/>
      <c r="S282" s="67"/>
      <c r="T282" s="67"/>
      <c r="U282" s="66"/>
      <c r="V282" s="66"/>
      <c r="W282" s="66"/>
      <c r="X282" s="85"/>
      <c r="AP282" t="str">
        <v/>
      </c>
    </row>
    <row r="283" spans="4:42" ht="15.75" x14ac:dyDescent="0.25">
      <c r="D283" s="3">
        <v>1</v>
      </c>
      <c r="F283" s="16" t="str" cm="1">
        <f t="array" ref="F2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3" s="31" cm="1">
        <f t="array" ref="G2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3" s="33" t="str">
        <f>_xlfn.IFNA(IF(MOD(HLG_04[[#This Row],[Rit]],
    _xlfn.XLOOKUP($G$2,Int_Sample[Ore],Int_Sample[Inc])) = 0, "YES", "NO"),"")</f>
        <v/>
      </c>
      <c r="I283" s="32" t="str">
        <f>TEXT(HLG_04[[#This Row],[Batch]],"000")&amp; " / " &amp; TEXT(HLG_04[[#This Row],[Rit]],"000")</f>
        <v>N/A / 000</v>
      </c>
      <c r="J283" s="34"/>
      <c r="K283" s="38"/>
      <c r="L283" s="35"/>
      <c r="M283" s="66"/>
      <c r="N283" s="66"/>
      <c r="O283" s="66"/>
      <c r="P283" s="66"/>
      <c r="Q283" s="66"/>
      <c r="R283" s="67"/>
      <c r="S283" s="67"/>
      <c r="T283" s="67"/>
      <c r="U283" s="66"/>
      <c r="V283" s="66"/>
      <c r="W283" s="66"/>
      <c r="X283" s="85"/>
      <c r="AP283" t="str">
        <v/>
      </c>
    </row>
    <row r="284" spans="4:42" ht="15.75" x14ac:dyDescent="0.25">
      <c r="D284" s="3">
        <v>1</v>
      </c>
      <c r="F284" s="16" t="str" cm="1">
        <f t="array" ref="F2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4" s="31" cm="1">
        <f t="array" ref="G2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4" s="33" t="str">
        <f>_xlfn.IFNA(IF(MOD(HLG_04[[#This Row],[Rit]],
    _xlfn.XLOOKUP($G$2,Int_Sample[Ore],Int_Sample[Inc])) = 0, "YES", "NO"),"")</f>
        <v/>
      </c>
      <c r="I284" s="32" t="str">
        <f>TEXT(HLG_04[[#This Row],[Batch]],"000")&amp; " / " &amp; TEXT(HLG_04[[#This Row],[Rit]],"000")</f>
        <v>N/A / 000</v>
      </c>
      <c r="J284" s="34"/>
      <c r="K284" s="38"/>
      <c r="L284" s="35"/>
      <c r="M284" s="66"/>
      <c r="N284" s="66"/>
      <c r="O284" s="66"/>
      <c r="P284" s="66"/>
      <c r="Q284" s="66"/>
      <c r="R284" s="67"/>
      <c r="S284" s="67"/>
      <c r="T284" s="67"/>
      <c r="U284" s="66"/>
      <c r="V284" s="66"/>
      <c r="W284" s="66"/>
      <c r="X284" s="85"/>
      <c r="AP284" t="str">
        <v/>
      </c>
    </row>
    <row r="285" spans="4:42" ht="15.75" x14ac:dyDescent="0.25">
      <c r="D285" s="3">
        <v>1</v>
      </c>
      <c r="F285" s="16" t="str" cm="1">
        <f t="array" ref="F2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5" s="31" cm="1">
        <f t="array" ref="G2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5" s="33" t="str">
        <f>_xlfn.IFNA(IF(MOD(HLG_04[[#This Row],[Rit]],
    _xlfn.XLOOKUP($G$2,Int_Sample[Ore],Int_Sample[Inc])) = 0, "YES", "NO"),"")</f>
        <v/>
      </c>
      <c r="I285" s="32" t="str">
        <f>TEXT(HLG_04[[#This Row],[Batch]],"000")&amp; " / " &amp; TEXT(HLG_04[[#This Row],[Rit]],"000")</f>
        <v>N/A / 000</v>
      </c>
      <c r="J285" s="34"/>
      <c r="K285" s="38"/>
      <c r="L285" s="35"/>
      <c r="M285" s="66"/>
      <c r="N285" s="66"/>
      <c r="O285" s="66"/>
      <c r="P285" s="66"/>
      <c r="Q285" s="66"/>
      <c r="R285" s="67"/>
      <c r="S285" s="67"/>
      <c r="T285" s="67"/>
      <c r="U285" s="66"/>
      <c r="V285" s="66"/>
      <c r="W285" s="66"/>
      <c r="X285" s="85"/>
      <c r="AP285" t="str">
        <v/>
      </c>
    </row>
    <row r="286" spans="4:42" ht="15.75" x14ac:dyDescent="0.25">
      <c r="D286" s="3">
        <v>1</v>
      </c>
      <c r="F286" s="16" t="str" cm="1">
        <f t="array" ref="F2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6" s="31" cm="1">
        <f t="array" ref="G2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6" s="33" t="str">
        <f>_xlfn.IFNA(IF(MOD(HLG_04[[#This Row],[Rit]],
    _xlfn.XLOOKUP($G$2,Int_Sample[Ore],Int_Sample[Inc])) = 0, "YES", "NO"),"")</f>
        <v/>
      </c>
      <c r="I286" s="32" t="str">
        <f>TEXT(HLG_04[[#This Row],[Batch]],"000")&amp; " / " &amp; TEXT(HLG_04[[#This Row],[Rit]],"000")</f>
        <v>N/A / 000</v>
      </c>
      <c r="J286" s="34"/>
      <c r="K286" s="38"/>
      <c r="L286" s="35"/>
      <c r="M286" s="66"/>
      <c r="N286" s="66"/>
      <c r="O286" s="66"/>
      <c r="P286" s="66"/>
      <c r="Q286" s="66"/>
      <c r="R286" s="67"/>
      <c r="S286" s="67"/>
      <c r="T286" s="67"/>
      <c r="U286" s="66"/>
      <c r="V286" s="66"/>
      <c r="W286" s="66"/>
      <c r="X286" s="85"/>
      <c r="AP286" t="str">
        <v/>
      </c>
    </row>
    <row r="287" spans="4:42" ht="15.75" x14ac:dyDescent="0.25">
      <c r="D287" s="3">
        <v>1</v>
      </c>
      <c r="F287" s="16" t="str" cm="1">
        <f t="array" ref="F2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7" s="31" cm="1">
        <f t="array" ref="G2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7" s="33" t="str">
        <f>_xlfn.IFNA(IF(MOD(HLG_04[[#This Row],[Rit]],
    _xlfn.XLOOKUP($G$2,Int_Sample[Ore],Int_Sample[Inc])) = 0, "YES", "NO"),"")</f>
        <v/>
      </c>
      <c r="I287" s="32" t="str">
        <f>TEXT(HLG_04[[#This Row],[Batch]],"000")&amp; " / " &amp; TEXT(HLG_04[[#This Row],[Rit]],"000")</f>
        <v>N/A / 000</v>
      </c>
      <c r="J287" s="34"/>
      <c r="K287" s="38"/>
      <c r="L287" s="35"/>
      <c r="M287" s="66"/>
      <c r="N287" s="66"/>
      <c r="O287" s="66"/>
      <c r="P287" s="66"/>
      <c r="Q287" s="66"/>
      <c r="R287" s="67"/>
      <c r="S287" s="67"/>
      <c r="T287" s="67"/>
      <c r="U287" s="66"/>
      <c r="V287" s="66"/>
      <c r="W287" s="66"/>
      <c r="X287" s="85"/>
      <c r="AP287" t="str">
        <v/>
      </c>
    </row>
    <row r="288" spans="4:42" ht="15.75" x14ac:dyDescent="0.25">
      <c r="D288" s="3">
        <v>1</v>
      </c>
      <c r="F288" s="16" t="str" cm="1">
        <f t="array" ref="F2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8" s="31" cm="1">
        <f t="array" ref="G2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8" s="33" t="str">
        <f>_xlfn.IFNA(IF(MOD(HLG_04[[#This Row],[Rit]],
    _xlfn.XLOOKUP($G$2,Int_Sample[Ore],Int_Sample[Inc])) = 0, "YES", "NO"),"")</f>
        <v/>
      </c>
      <c r="I288" s="32" t="str">
        <f>TEXT(HLG_04[[#This Row],[Batch]],"000")&amp; " / " &amp; TEXT(HLG_04[[#This Row],[Rit]],"000")</f>
        <v>N/A / 000</v>
      </c>
      <c r="J288" s="34"/>
      <c r="K288" s="38"/>
      <c r="L288" s="35"/>
      <c r="M288" s="66"/>
      <c r="N288" s="66"/>
      <c r="O288" s="66"/>
      <c r="P288" s="66"/>
      <c r="Q288" s="66"/>
      <c r="R288" s="67"/>
      <c r="S288" s="67"/>
      <c r="T288" s="67"/>
      <c r="U288" s="66"/>
      <c r="V288" s="66"/>
      <c r="W288" s="66"/>
      <c r="X288" s="85"/>
      <c r="AP288" t="str">
        <v/>
      </c>
    </row>
    <row r="289" spans="4:42" ht="15.75" x14ac:dyDescent="0.25">
      <c r="D289" s="3">
        <v>1</v>
      </c>
      <c r="F289" s="16" t="str" cm="1">
        <f t="array" ref="F2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9" s="31" cm="1">
        <f t="array" ref="G2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9" s="33" t="str">
        <f>_xlfn.IFNA(IF(MOD(HLG_04[[#This Row],[Rit]],
    _xlfn.XLOOKUP($G$2,Int_Sample[Ore],Int_Sample[Inc])) = 0, "YES", "NO"),"")</f>
        <v/>
      </c>
      <c r="I289" s="32" t="str">
        <f>TEXT(HLG_04[[#This Row],[Batch]],"000")&amp; " / " &amp; TEXT(HLG_04[[#This Row],[Rit]],"000")</f>
        <v>N/A / 000</v>
      </c>
      <c r="J289" s="34"/>
      <c r="K289" s="38"/>
      <c r="L289" s="35"/>
      <c r="M289" s="66"/>
      <c r="N289" s="66"/>
      <c r="O289" s="66"/>
      <c r="P289" s="66"/>
      <c r="Q289" s="66"/>
      <c r="R289" s="67"/>
      <c r="S289" s="67"/>
      <c r="T289" s="67"/>
      <c r="U289" s="66"/>
      <c r="V289" s="66"/>
      <c r="W289" s="66"/>
      <c r="X289" s="85"/>
      <c r="AP289" t="str">
        <v/>
      </c>
    </row>
    <row r="290" spans="4:42" ht="15.75" x14ac:dyDescent="0.25">
      <c r="D290" s="3">
        <v>1</v>
      </c>
      <c r="F290" s="16" t="str" cm="1">
        <f t="array" ref="F2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0" s="31" cm="1">
        <f t="array" ref="G2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0" s="33" t="str">
        <f>_xlfn.IFNA(IF(MOD(HLG_04[[#This Row],[Rit]],
    _xlfn.XLOOKUP($G$2,Int_Sample[Ore],Int_Sample[Inc])) = 0, "YES", "NO"),"")</f>
        <v/>
      </c>
      <c r="I290" s="32" t="str">
        <f>TEXT(HLG_04[[#This Row],[Batch]],"000")&amp; " / " &amp; TEXT(HLG_04[[#This Row],[Rit]],"000")</f>
        <v>N/A / 000</v>
      </c>
      <c r="J290" s="34"/>
      <c r="K290" s="38"/>
      <c r="L290" s="35"/>
      <c r="M290" s="66"/>
      <c r="N290" s="66"/>
      <c r="O290" s="66"/>
      <c r="P290" s="66"/>
      <c r="Q290" s="66"/>
      <c r="R290" s="67"/>
      <c r="S290" s="67"/>
      <c r="T290" s="67"/>
      <c r="U290" s="66"/>
      <c r="V290" s="66"/>
      <c r="W290" s="66"/>
      <c r="X290" s="85"/>
      <c r="AP290" t="str">
        <v/>
      </c>
    </row>
    <row r="291" spans="4:42" ht="15.75" x14ac:dyDescent="0.25">
      <c r="D291" s="3">
        <v>1</v>
      </c>
      <c r="F291" s="16" t="str" cm="1">
        <f t="array" ref="F2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1" s="31" cm="1">
        <f t="array" ref="G2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1" s="33" t="str">
        <f>_xlfn.IFNA(IF(MOD(HLG_04[[#This Row],[Rit]],
    _xlfn.XLOOKUP($G$2,Int_Sample[Ore],Int_Sample[Inc])) = 0, "YES", "NO"),"")</f>
        <v/>
      </c>
      <c r="I291" s="32" t="str">
        <f>TEXT(HLG_04[[#This Row],[Batch]],"000")&amp; " / " &amp; TEXT(HLG_04[[#This Row],[Rit]],"000")</f>
        <v>N/A / 000</v>
      </c>
      <c r="J291" s="34"/>
      <c r="K291" s="38"/>
      <c r="L291" s="35"/>
      <c r="M291" s="66"/>
      <c r="N291" s="66"/>
      <c r="O291" s="66"/>
      <c r="P291" s="66"/>
      <c r="Q291" s="66"/>
      <c r="R291" s="67"/>
      <c r="S291" s="67"/>
      <c r="T291" s="67"/>
      <c r="U291" s="66"/>
      <c r="V291" s="66"/>
      <c r="W291" s="66"/>
      <c r="X291" s="85"/>
      <c r="AP291" t="str">
        <v/>
      </c>
    </row>
    <row r="292" spans="4:42" ht="15.75" x14ac:dyDescent="0.25">
      <c r="D292" s="3">
        <v>1</v>
      </c>
      <c r="F292" s="16" t="str" cm="1">
        <f t="array" ref="F2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2" s="31" cm="1">
        <f t="array" ref="G2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2" s="33" t="str">
        <f>_xlfn.IFNA(IF(MOD(HLG_04[[#This Row],[Rit]],
    _xlfn.XLOOKUP($G$2,Int_Sample[Ore],Int_Sample[Inc])) = 0, "YES", "NO"),"")</f>
        <v/>
      </c>
      <c r="I292" s="32" t="str">
        <f>TEXT(HLG_04[[#This Row],[Batch]],"000")&amp; " / " &amp; TEXT(HLG_04[[#This Row],[Rit]],"000")</f>
        <v>N/A / 000</v>
      </c>
      <c r="J292" s="34"/>
      <c r="K292" s="38"/>
      <c r="L292" s="35"/>
      <c r="M292" s="66"/>
      <c r="N292" s="66"/>
      <c r="O292" s="66"/>
      <c r="P292" s="66"/>
      <c r="Q292" s="66"/>
      <c r="R292" s="67"/>
      <c r="S292" s="67"/>
      <c r="T292" s="67"/>
      <c r="U292" s="66"/>
      <c r="V292" s="66"/>
      <c r="W292" s="66"/>
      <c r="X292" s="85"/>
      <c r="AP292" t="str">
        <v/>
      </c>
    </row>
    <row r="293" spans="4:42" ht="15.75" x14ac:dyDescent="0.25">
      <c r="D293" s="3">
        <v>1</v>
      </c>
      <c r="F293" s="16" t="str" cm="1">
        <f t="array" ref="F2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3" s="31" cm="1">
        <f t="array" ref="G2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3" s="33" t="str">
        <f>_xlfn.IFNA(IF(MOD(HLG_04[[#This Row],[Rit]],
    _xlfn.XLOOKUP($G$2,Int_Sample[Ore],Int_Sample[Inc])) = 0, "YES", "NO"),"")</f>
        <v/>
      </c>
      <c r="I293" s="32" t="str">
        <f>TEXT(HLG_04[[#This Row],[Batch]],"000")&amp; " / " &amp; TEXT(HLG_04[[#This Row],[Rit]],"000")</f>
        <v>N/A / 000</v>
      </c>
      <c r="J293" s="34"/>
      <c r="K293" s="38"/>
      <c r="L293" s="35"/>
      <c r="M293" s="66"/>
      <c r="N293" s="66"/>
      <c r="O293" s="66"/>
      <c r="P293" s="66"/>
      <c r="Q293" s="66"/>
      <c r="R293" s="67"/>
      <c r="S293" s="67"/>
      <c r="T293" s="67"/>
      <c r="U293" s="66"/>
      <c r="V293" s="66"/>
      <c r="W293" s="66"/>
      <c r="X293" s="85"/>
      <c r="AP293" t="str">
        <v/>
      </c>
    </row>
    <row r="294" spans="4:42" ht="15.75" x14ac:dyDescent="0.25">
      <c r="D294" s="3">
        <v>1</v>
      </c>
      <c r="F294" s="16" t="str" cm="1">
        <f t="array" ref="F2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4" s="31" cm="1">
        <f t="array" ref="G2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4" s="33" t="str">
        <f>_xlfn.IFNA(IF(MOD(HLG_04[[#This Row],[Rit]],
    _xlfn.XLOOKUP($G$2,Int_Sample[Ore],Int_Sample[Inc])) = 0, "YES", "NO"),"")</f>
        <v/>
      </c>
      <c r="I294" s="32" t="str">
        <f>TEXT(HLG_04[[#This Row],[Batch]],"000")&amp; " / " &amp; TEXT(HLG_04[[#This Row],[Rit]],"000")</f>
        <v>N/A / 000</v>
      </c>
      <c r="J294" s="34"/>
      <c r="K294" s="38"/>
      <c r="L294" s="35"/>
      <c r="M294" s="66"/>
      <c r="N294" s="66"/>
      <c r="O294" s="66"/>
      <c r="P294" s="66"/>
      <c r="Q294" s="66"/>
      <c r="R294" s="67"/>
      <c r="S294" s="67"/>
      <c r="T294" s="67"/>
      <c r="U294" s="66"/>
      <c r="V294" s="66"/>
      <c r="W294" s="66"/>
      <c r="X294" s="85"/>
      <c r="AP294" t="str">
        <v/>
      </c>
    </row>
    <row r="295" spans="4:42" ht="15.75" x14ac:dyDescent="0.25">
      <c r="D295" s="3">
        <v>1</v>
      </c>
      <c r="F295" s="16" t="str" cm="1">
        <f t="array" ref="F2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5" s="31" cm="1">
        <f t="array" ref="G2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5" s="33" t="str">
        <f>_xlfn.IFNA(IF(MOD(HLG_04[[#This Row],[Rit]],
    _xlfn.XLOOKUP($G$2,Int_Sample[Ore],Int_Sample[Inc])) = 0, "YES", "NO"),"")</f>
        <v/>
      </c>
      <c r="I295" s="32" t="str">
        <f>TEXT(HLG_04[[#This Row],[Batch]],"000")&amp; " / " &amp; TEXT(HLG_04[[#This Row],[Rit]],"000")</f>
        <v>N/A / 000</v>
      </c>
      <c r="J295" s="34"/>
      <c r="K295" s="38"/>
      <c r="L295" s="35"/>
      <c r="M295" s="66"/>
      <c r="N295" s="66"/>
      <c r="O295" s="66"/>
      <c r="P295" s="66"/>
      <c r="Q295" s="66"/>
      <c r="R295" s="67"/>
      <c r="S295" s="67"/>
      <c r="T295" s="67"/>
      <c r="U295" s="66"/>
      <c r="V295" s="66"/>
      <c r="W295" s="66"/>
      <c r="X295" s="85"/>
      <c r="AP295" t="str">
        <v/>
      </c>
    </row>
    <row r="296" spans="4:42" ht="15.75" x14ac:dyDescent="0.25">
      <c r="D296" s="3">
        <v>1</v>
      </c>
      <c r="F296" s="16" t="str" cm="1">
        <f t="array" ref="F2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6" s="31" cm="1">
        <f t="array" ref="G2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6" s="33" t="str">
        <f>_xlfn.IFNA(IF(MOD(HLG_04[[#This Row],[Rit]],
    _xlfn.XLOOKUP($G$2,Int_Sample[Ore],Int_Sample[Inc])) = 0, "YES", "NO"),"")</f>
        <v/>
      </c>
      <c r="I296" s="32" t="str">
        <f>TEXT(HLG_04[[#This Row],[Batch]],"000")&amp; " / " &amp; TEXT(HLG_04[[#This Row],[Rit]],"000")</f>
        <v>N/A / 000</v>
      </c>
      <c r="J296" s="34"/>
      <c r="K296" s="38"/>
      <c r="L296" s="35"/>
      <c r="M296" s="66"/>
      <c r="N296" s="66"/>
      <c r="O296" s="66"/>
      <c r="P296" s="66"/>
      <c r="Q296" s="66"/>
      <c r="R296" s="67"/>
      <c r="S296" s="67"/>
      <c r="T296" s="67"/>
      <c r="U296" s="66"/>
      <c r="V296" s="66"/>
      <c r="W296" s="66"/>
      <c r="X296" s="85"/>
      <c r="AP296" t="str">
        <v/>
      </c>
    </row>
    <row r="297" spans="4:42" ht="15.75" x14ac:dyDescent="0.25">
      <c r="D297" s="3">
        <v>1</v>
      </c>
      <c r="F297" s="16" t="str" cm="1">
        <f t="array" ref="F2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7" s="31" cm="1">
        <f t="array" ref="G2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7" s="33" t="str">
        <f>_xlfn.IFNA(IF(MOD(HLG_04[[#This Row],[Rit]],
    _xlfn.XLOOKUP($G$2,Int_Sample[Ore],Int_Sample[Inc])) = 0, "YES", "NO"),"")</f>
        <v/>
      </c>
      <c r="I297" s="32" t="str">
        <f>TEXT(HLG_04[[#This Row],[Batch]],"000")&amp; " / " &amp; TEXT(HLG_04[[#This Row],[Rit]],"000")</f>
        <v>N/A / 000</v>
      </c>
      <c r="J297" s="34"/>
      <c r="K297" s="38"/>
      <c r="L297" s="35"/>
      <c r="M297" s="66"/>
      <c r="N297" s="66"/>
      <c r="O297" s="66"/>
      <c r="P297" s="66"/>
      <c r="Q297" s="66"/>
      <c r="R297" s="67"/>
      <c r="S297" s="67"/>
      <c r="T297" s="67"/>
      <c r="U297" s="66"/>
      <c r="V297" s="66"/>
      <c r="W297" s="66"/>
      <c r="X297" s="85"/>
      <c r="AP297" t="str">
        <v/>
      </c>
    </row>
    <row r="298" spans="4:42" ht="15.75" x14ac:dyDescent="0.25">
      <c r="D298" s="3">
        <v>1</v>
      </c>
      <c r="F298" s="16" t="str" cm="1">
        <f t="array" ref="F2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8" s="31" cm="1">
        <f t="array" ref="G2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8" s="33" t="str">
        <f>_xlfn.IFNA(IF(MOD(HLG_04[[#This Row],[Rit]],
    _xlfn.XLOOKUP($G$2,Int_Sample[Ore],Int_Sample[Inc])) = 0, "YES", "NO"),"")</f>
        <v/>
      </c>
      <c r="I298" s="32" t="str">
        <f>TEXT(HLG_04[[#This Row],[Batch]],"000")&amp; " / " &amp; TEXT(HLG_04[[#This Row],[Rit]],"000")</f>
        <v>N/A / 000</v>
      </c>
      <c r="J298" s="34"/>
      <c r="K298" s="38"/>
      <c r="L298" s="35"/>
      <c r="M298" s="66"/>
      <c r="N298" s="66"/>
      <c r="O298" s="66"/>
      <c r="P298" s="66"/>
      <c r="Q298" s="66"/>
      <c r="R298" s="67"/>
      <c r="S298" s="67"/>
      <c r="T298" s="67"/>
      <c r="U298" s="66"/>
      <c r="V298" s="66"/>
      <c r="W298" s="66"/>
      <c r="X298" s="85"/>
      <c r="AP298" t="str">
        <v/>
      </c>
    </row>
    <row r="299" spans="4:42" ht="15.75" x14ac:dyDescent="0.25">
      <c r="D299" s="3">
        <v>1</v>
      </c>
      <c r="F299" s="16" t="str" cm="1">
        <f t="array" ref="F2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9" s="31" cm="1">
        <f t="array" ref="G2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9" s="33" t="str">
        <f>_xlfn.IFNA(IF(MOD(HLG_04[[#This Row],[Rit]],
    _xlfn.XLOOKUP($G$2,Int_Sample[Ore],Int_Sample[Inc])) = 0, "YES", "NO"),"")</f>
        <v/>
      </c>
      <c r="I299" s="32" t="str">
        <f>TEXT(HLG_04[[#This Row],[Batch]],"000")&amp; " / " &amp; TEXT(HLG_04[[#This Row],[Rit]],"000")</f>
        <v>N/A / 000</v>
      </c>
      <c r="J299" s="34"/>
      <c r="K299" s="38"/>
      <c r="L299" s="35"/>
      <c r="M299" s="66"/>
      <c r="N299" s="66"/>
      <c r="O299" s="66"/>
      <c r="P299" s="66"/>
      <c r="Q299" s="66"/>
      <c r="R299" s="67"/>
      <c r="S299" s="67"/>
      <c r="T299" s="67"/>
      <c r="U299" s="66"/>
      <c r="V299" s="66"/>
      <c r="W299" s="66"/>
      <c r="X299" s="85"/>
      <c r="AP299" t="str">
        <v/>
      </c>
    </row>
    <row r="300" spans="4:42" ht="15.75" x14ac:dyDescent="0.25">
      <c r="D300" s="3">
        <v>1</v>
      </c>
      <c r="F300" s="16" t="str" cm="1">
        <f t="array" ref="F3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0" s="31" cm="1">
        <f t="array" ref="G3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0" s="33" t="str">
        <f>_xlfn.IFNA(IF(MOD(HLG_04[[#This Row],[Rit]],
    _xlfn.XLOOKUP($G$2,Int_Sample[Ore],Int_Sample[Inc])) = 0, "YES", "NO"),"")</f>
        <v/>
      </c>
      <c r="I300" s="32" t="str">
        <f>TEXT(HLG_04[[#This Row],[Batch]],"000")&amp; " / " &amp; TEXT(HLG_04[[#This Row],[Rit]],"000")</f>
        <v>N/A / 000</v>
      </c>
      <c r="J300" s="34"/>
      <c r="K300" s="38"/>
      <c r="L300" s="35"/>
      <c r="M300" s="66"/>
      <c r="N300" s="66"/>
      <c r="O300" s="66"/>
      <c r="P300" s="66"/>
      <c r="Q300" s="66"/>
      <c r="R300" s="67"/>
      <c r="S300" s="67"/>
      <c r="T300" s="67"/>
      <c r="U300" s="66"/>
      <c r="V300" s="66"/>
      <c r="W300" s="66"/>
      <c r="X300" s="85"/>
      <c r="AP300" t="str">
        <v/>
      </c>
    </row>
    <row r="301" spans="4:42" ht="15.75" x14ac:dyDescent="0.25">
      <c r="D301" s="3">
        <v>1</v>
      </c>
      <c r="F301" s="16" t="str" cm="1">
        <f t="array" ref="F3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1" s="31" cm="1">
        <f t="array" ref="G3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1" s="33" t="str">
        <f>_xlfn.IFNA(IF(MOD(HLG_04[[#This Row],[Rit]],
    _xlfn.XLOOKUP($G$2,Int_Sample[Ore],Int_Sample[Inc])) = 0, "YES", "NO"),"")</f>
        <v/>
      </c>
      <c r="I301" s="32" t="str">
        <f>TEXT(HLG_04[[#This Row],[Batch]],"000")&amp; " / " &amp; TEXT(HLG_04[[#This Row],[Rit]],"000")</f>
        <v>N/A / 000</v>
      </c>
      <c r="J301" s="34"/>
      <c r="K301" s="38"/>
      <c r="L301" s="35"/>
      <c r="M301" s="66"/>
      <c r="N301" s="66"/>
      <c r="O301" s="66"/>
      <c r="P301" s="66"/>
      <c r="Q301" s="66"/>
      <c r="R301" s="67"/>
      <c r="S301" s="67"/>
      <c r="T301" s="67"/>
      <c r="U301" s="66"/>
      <c r="V301" s="66"/>
      <c r="W301" s="66"/>
      <c r="X301" s="85"/>
      <c r="AP301" t="str">
        <v/>
      </c>
    </row>
    <row r="302" spans="4:42" ht="15.75" x14ac:dyDescent="0.25">
      <c r="D302" s="3">
        <v>1</v>
      </c>
      <c r="F302" s="16" t="str" cm="1">
        <f t="array" ref="F3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2" s="31" cm="1">
        <f t="array" ref="G3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2" s="33" t="str">
        <f>_xlfn.IFNA(IF(MOD(HLG_04[[#This Row],[Rit]],
    _xlfn.XLOOKUP($G$2,Int_Sample[Ore],Int_Sample[Inc])) = 0, "YES", "NO"),"")</f>
        <v/>
      </c>
      <c r="I302" s="32" t="str">
        <f>TEXT(HLG_04[[#This Row],[Batch]],"000")&amp; " / " &amp; TEXT(HLG_04[[#This Row],[Rit]],"000")</f>
        <v>N/A / 000</v>
      </c>
      <c r="J302" s="34"/>
      <c r="K302" s="38"/>
      <c r="L302" s="35"/>
      <c r="M302" s="66"/>
      <c r="N302" s="66"/>
      <c r="O302" s="66"/>
      <c r="P302" s="66"/>
      <c r="Q302" s="66"/>
      <c r="R302" s="67"/>
      <c r="S302" s="67"/>
      <c r="T302" s="67"/>
      <c r="U302" s="66"/>
      <c r="V302" s="66"/>
      <c r="W302" s="66"/>
      <c r="X302" s="85"/>
      <c r="AP302" t="str">
        <v/>
      </c>
    </row>
    <row r="303" spans="4:42" ht="15.75" x14ac:dyDescent="0.25">
      <c r="D303" s="3">
        <v>1</v>
      </c>
      <c r="F303" s="16" t="str" cm="1">
        <f t="array" ref="F3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3" s="31" cm="1">
        <f t="array" ref="G3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3" s="33" t="str">
        <f>_xlfn.IFNA(IF(MOD(HLG_04[[#This Row],[Rit]],
    _xlfn.XLOOKUP($G$2,Int_Sample[Ore],Int_Sample[Inc])) = 0, "YES", "NO"),"")</f>
        <v/>
      </c>
      <c r="I303" s="32" t="str">
        <f>TEXT(HLG_04[[#This Row],[Batch]],"000")&amp; " / " &amp; TEXT(HLG_04[[#This Row],[Rit]],"000")</f>
        <v>N/A / 000</v>
      </c>
      <c r="J303" s="34"/>
      <c r="K303" s="38"/>
      <c r="L303" s="35"/>
      <c r="M303" s="66"/>
      <c r="N303" s="66"/>
      <c r="O303" s="66"/>
      <c r="P303" s="66"/>
      <c r="Q303" s="66"/>
      <c r="R303" s="67"/>
      <c r="S303" s="67"/>
      <c r="T303" s="67"/>
      <c r="U303" s="66"/>
      <c r="V303" s="66"/>
      <c r="W303" s="66"/>
      <c r="X303" s="85"/>
      <c r="AP303" t="str">
        <v/>
      </c>
    </row>
    <row r="304" spans="4:42" ht="15.75" x14ac:dyDescent="0.25">
      <c r="D304" s="3">
        <v>1</v>
      </c>
      <c r="F304" s="16" t="str" cm="1">
        <f t="array" ref="F3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4" s="31" cm="1">
        <f t="array" ref="G3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4" s="33" t="str">
        <f>_xlfn.IFNA(IF(MOD(HLG_04[[#This Row],[Rit]],
    _xlfn.XLOOKUP($G$2,Int_Sample[Ore],Int_Sample[Inc])) = 0, "YES", "NO"),"")</f>
        <v/>
      </c>
      <c r="I304" s="32" t="str">
        <f>TEXT(HLG_04[[#This Row],[Batch]],"000")&amp; " / " &amp; TEXT(HLG_04[[#This Row],[Rit]],"000")</f>
        <v>N/A / 000</v>
      </c>
      <c r="J304" s="34"/>
      <c r="K304" s="38"/>
      <c r="L304" s="35"/>
      <c r="M304" s="66"/>
      <c r="N304" s="66"/>
      <c r="O304" s="66"/>
      <c r="P304" s="66"/>
      <c r="Q304" s="66"/>
      <c r="R304" s="67"/>
      <c r="S304" s="67"/>
      <c r="T304" s="67"/>
      <c r="U304" s="66"/>
      <c r="V304" s="66"/>
      <c r="W304" s="66"/>
      <c r="X304" s="85"/>
      <c r="AP304" t="str">
        <v/>
      </c>
    </row>
    <row r="305" spans="4:42" ht="15.75" x14ac:dyDescent="0.25">
      <c r="D305" s="3">
        <v>1</v>
      </c>
      <c r="F305" s="16" t="str" cm="1">
        <f t="array" ref="F3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5" s="31" cm="1">
        <f t="array" ref="G3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5" s="33" t="str">
        <f>_xlfn.IFNA(IF(MOD(HLG_04[[#This Row],[Rit]],
    _xlfn.XLOOKUP($G$2,Int_Sample[Ore],Int_Sample[Inc])) = 0, "YES", "NO"),"")</f>
        <v/>
      </c>
      <c r="I305" s="32" t="str">
        <f>TEXT(HLG_04[[#This Row],[Batch]],"000")&amp; " / " &amp; TEXT(HLG_04[[#This Row],[Rit]],"000")</f>
        <v>N/A / 000</v>
      </c>
      <c r="J305" s="34"/>
      <c r="K305" s="38"/>
      <c r="L305" s="35"/>
      <c r="M305" s="66"/>
      <c r="N305" s="66"/>
      <c r="O305" s="66"/>
      <c r="P305" s="66"/>
      <c r="Q305" s="66"/>
      <c r="R305" s="67"/>
      <c r="S305" s="67"/>
      <c r="T305" s="67"/>
      <c r="U305" s="66"/>
      <c r="V305" s="66"/>
      <c r="W305" s="66"/>
      <c r="X305" s="85"/>
      <c r="AP305" t="str">
        <v/>
      </c>
    </row>
    <row r="306" spans="4:42" ht="15.75" x14ac:dyDescent="0.25">
      <c r="D306" s="3">
        <v>1</v>
      </c>
      <c r="F306" s="16" t="str" cm="1">
        <f t="array" ref="F3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6" s="31" cm="1">
        <f t="array" ref="G3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6" s="33" t="str">
        <f>_xlfn.IFNA(IF(MOD(HLG_04[[#This Row],[Rit]],
    _xlfn.XLOOKUP($G$2,Int_Sample[Ore],Int_Sample[Inc])) = 0, "YES", "NO"),"")</f>
        <v/>
      </c>
      <c r="I306" s="32" t="str">
        <f>TEXT(HLG_04[[#This Row],[Batch]],"000")&amp; " / " &amp; TEXT(HLG_04[[#This Row],[Rit]],"000")</f>
        <v>N/A / 000</v>
      </c>
      <c r="J306" s="34"/>
      <c r="K306" s="38"/>
      <c r="L306" s="35"/>
      <c r="M306" s="66"/>
      <c r="N306" s="66"/>
      <c r="O306" s="66"/>
      <c r="P306" s="66"/>
      <c r="Q306" s="66"/>
      <c r="R306" s="67"/>
      <c r="S306" s="67"/>
      <c r="T306" s="67"/>
      <c r="U306" s="66"/>
      <c r="V306" s="66"/>
      <c r="W306" s="66"/>
      <c r="X306" s="85"/>
      <c r="AP306" t="str">
        <v/>
      </c>
    </row>
    <row r="307" spans="4:42" ht="15.75" x14ac:dyDescent="0.25">
      <c r="D307" s="3">
        <v>1</v>
      </c>
      <c r="F307" s="16" t="str" cm="1">
        <f t="array" ref="F3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7" s="31" cm="1">
        <f t="array" ref="G3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7" s="33" t="str">
        <f>_xlfn.IFNA(IF(MOD(HLG_04[[#This Row],[Rit]],
    _xlfn.XLOOKUP($G$2,Int_Sample[Ore],Int_Sample[Inc])) = 0, "YES", "NO"),"")</f>
        <v/>
      </c>
      <c r="I307" s="32" t="str">
        <f>TEXT(HLG_04[[#This Row],[Batch]],"000")&amp; " / " &amp; TEXT(HLG_04[[#This Row],[Rit]],"000")</f>
        <v>N/A / 000</v>
      </c>
      <c r="J307" s="34"/>
      <c r="K307" s="38"/>
      <c r="L307" s="35"/>
      <c r="M307" s="66"/>
      <c r="N307" s="66"/>
      <c r="O307" s="66"/>
      <c r="P307" s="66"/>
      <c r="Q307" s="66"/>
      <c r="R307" s="67"/>
      <c r="S307" s="67"/>
      <c r="T307" s="67"/>
      <c r="U307" s="66"/>
      <c r="V307" s="66"/>
      <c r="W307" s="66"/>
      <c r="X307" s="85"/>
      <c r="AP307" t="str">
        <v/>
      </c>
    </row>
    <row r="308" spans="4:42" ht="15.75" x14ac:dyDescent="0.25">
      <c r="D308" s="3">
        <v>1</v>
      </c>
      <c r="F308" s="16" t="str" cm="1">
        <f t="array" ref="F3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8" s="31" cm="1">
        <f t="array" ref="G3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8" s="33" t="str">
        <f>_xlfn.IFNA(IF(MOD(HLG_04[[#This Row],[Rit]],
    _xlfn.XLOOKUP($G$2,Int_Sample[Ore],Int_Sample[Inc])) = 0, "YES", "NO"),"")</f>
        <v/>
      </c>
      <c r="I308" s="32" t="str">
        <f>TEXT(HLG_04[[#This Row],[Batch]],"000")&amp; " / " &amp; TEXT(HLG_04[[#This Row],[Rit]],"000")</f>
        <v>N/A / 000</v>
      </c>
      <c r="J308" s="34"/>
      <c r="K308" s="38"/>
      <c r="L308" s="35"/>
      <c r="M308" s="66"/>
      <c r="N308" s="66"/>
      <c r="O308" s="66"/>
      <c r="P308" s="66"/>
      <c r="Q308" s="66"/>
      <c r="R308" s="67"/>
      <c r="S308" s="67"/>
      <c r="T308" s="67"/>
      <c r="U308" s="66"/>
      <c r="V308" s="66"/>
      <c r="W308" s="66"/>
      <c r="X308" s="85"/>
      <c r="AP308" t="str">
        <v/>
      </c>
    </row>
    <row r="309" spans="4:42" ht="15.75" x14ac:dyDescent="0.25">
      <c r="D309" s="3">
        <v>1</v>
      </c>
      <c r="F309" s="16" t="str" cm="1">
        <f t="array" ref="F3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9" s="31" cm="1">
        <f t="array" ref="G3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9" s="33" t="str">
        <f>_xlfn.IFNA(IF(MOD(HLG_04[[#This Row],[Rit]],
    _xlfn.XLOOKUP($G$2,Int_Sample[Ore],Int_Sample[Inc])) = 0, "YES", "NO"),"")</f>
        <v/>
      </c>
      <c r="I309" s="32" t="str">
        <f>TEXT(HLG_04[[#This Row],[Batch]],"000")&amp; " / " &amp; TEXT(HLG_04[[#This Row],[Rit]],"000")</f>
        <v>N/A / 000</v>
      </c>
      <c r="J309" s="34"/>
      <c r="K309" s="38"/>
      <c r="L309" s="35"/>
      <c r="M309" s="66"/>
      <c r="N309" s="66"/>
      <c r="O309" s="66"/>
      <c r="P309" s="66"/>
      <c r="Q309" s="66"/>
      <c r="R309" s="67"/>
      <c r="S309" s="67"/>
      <c r="T309" s="67"/>
      <c r="U309" s="66"/>
      <c r="V309" s="66"/>
      <c r="W309" s="66"/>
      <c r="X309" s="85"/>
      <c r="AP309" t="str">
        <v/>
      </c>
    </row>
    <row r="310" spans="4:42" ht="15.75" x14ac:dyDescent="0.25">
      <c r="D310" s="3">
        <v>1</v>
      </c>
      <c r="F310" s="16" t="str" cm="1">
        <f t="array" ref="F3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0" s="31" cm="1">
        <f t="array" ref="G3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0" s="33" t="str">
        <f>_xlfn.IFNA(IF(MOD(HLG_04[[#This Row],[Rit]],
    _xlfn.XLOOKUP($G$2,Int_Sample[Ore],Int_Sample[Inc])) = 0, "YES", "NO"),"")</f>
        <v/>
      </c>
      <c r="I310" s="32" t="str">
        <f>TEXT(HLG_04[[#This Row],[Batch]],"000")&amp; " / " &amp; TEXT(HLG_04[[#This Row],[Rit]],"000")</f>
        <v>N/A / 000</v>
      </c>
      <c r="J310" s="34"/>
      <c r="K310" s="38"/>
      <c r="L310" s="35"/>
      <c r="M310" s="66"/>
      <c r="N310" s="66"/>
      <c r="O310" s="66"/>
      <c r="P310" s="66"/>
      <c r="Q310" s="66"/>
      <c r="R310" s="67"/>
      <c r="S310" s="67"/>
      <c r="T310" s="67"/>
      <c r="U310" s="66"/>
      <c r="V310" s="66"/>
      <c r="W310" s="66"/>
      <c r="X310" s="85"/>
      <c r="AP310" t="str">
        <v/>
      </c>
    </row>
    <row r="311" spans="4:42" ht="15.75" x14ac:dyDescent="0.25">
      <c r="D311" s="3">
        <v>1</v>
      </c>
      <c r="F311" s="16" t="str" cm="1">
        <f t="array" ref="F3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1" s="31" cm="1">
        <f t="array" ref="G3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1" s="33" t="str">
        <f>_xlfn.IFNA(IF(MOD(HLG_04[[#This Row],[Rit]],
    _xlfn.XLOOKUP($G$2,Int_Sample[Ore],Int_Sample[Inc])) = 0, "YES", "NO"),"")</f>
        <v/>
      </c>
      <c r="I311" s="32" t="str">
        <f>TEXT(HLG_04[[#This Row],[Batch]],"000")&amp; " / " &amp; TEXT(HLG_04[[#This Row],[Rit]],"000")</f>
        <v>N/A / 000</v>
      </c>
      <c r="J311" s="34"/>
      <c r="K311" s="38"/>
      <c r="L311" s="35"/>
      <c r="M311" s="66"/>
      <c r="N311" s="66"/>
      <c r="O311" s="66"/>
      <c r="P311" s="66"/>
      <c r="Q311" s="66"/>
      <c r="R311" s="67"/>
      <c r="S311" s="67"/>
      <c r="T311" s="67"/>
      <c r="U311" s="66"/>
      <c r="V311" s="66"/>
      <c r="W311" s="66"/>
      <c r="X311" s="85"/>
      <c r="AP311" t="str">
        <v/>
      </c>
    </row>
    <row r="312" spans="4:42" ht="15.75" x14ac:dyDescent="0.25">
      <c r="D312" s="3">
        <v>1</v>
      </c>
      <c r="F312" s="16" t="str" cm="1">
        <f t="array" ref="F3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2" s="31" cm="1">
        <f t="array" ref="G3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2" s="33" t="str">
        <f>_xlfn.IFNA(IF(MOD(HLG_04[[#This Row],[Rit]],
    _xlfn.XLOOKUP($G$2,Int_Sample[Ore],Int_Sample[Inc])) = 0, "YES", "NO"),"")</f>
        <v/>
      </c>
      <c r="I312" s="32" t="str">
        <f>TEXT(HLG_04[[#This Row],[Batch]],"000")&amp; " / " &amp; TEXT(HLG_04[[#This Row],[Rit]],"000")</f>
        <v>N/A / 000</v>
      </c>
      <c r="J312" s="34"/>
      <c r="K312" s="38"/>
      <c r="L312" s="35"/>
      <c r="M312" s="66"/>
      <c r="N312" s="66"/>
      <c r="O312" s="66"/>
      <c r="P312" s="66"/>
      <c r="Q312" s="66"/>
      <c r="R312" s="67"/>
      <c r="S312" s="67"/>
      <c r="T312" s="67"/>
      <c r="U312" s="66"/>
      <c r="V312" s="66"/>
      <c r="W312" s="66"/>
      <c r="X312" s="85"/>
      <c r="AP312" t="str">
        <v/>
      </c>
    </row>
    <row r="313" spans="4:42" ht="15.75" x14ac:dyDescent="0.25">
      <c r="D313" s="3">
        <v>1</v>
      </c>
      <c r="F313" s="16" t="str" cm="1">
        <f t="array" ref="F3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3" s="31" cm="1">
        <f t="array" ref="G3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3" s="33" t="str">
        <f>_xlfn.IFNA(IF(MOD(HLG_04[[#This Row],[Rit]],
    _xlfn.XLOOKUP($G$2,Int_Sample[Ore],Int_Sample[Inc])) = 0, "YES", "NO"),"")</f>
        <v/>
      </c>
      <c r="I313" s="32" t="str">
        <f>TEXT(HLG_04[[#This Row],[Batch]],"000")&amp; " / " &amp; TEXT(HLG_04[[#This Row],[Rit]],"000")</f>
        <v>N/A / 000</v>
      </c>
      <c r="J313" s="34"/>
      <c r="K313" s="38"/>
      <c r="L313" s="35"/>
      <c r="M313" s="66"/>
      <c r="N313" s="66"/>
      <c r="O313" s="66"/>
      <c r="P313" s="66"/>
      <c r="Q313" s="66"/>
      <c r="R313" s="67"/>
      <c r="S313" s="67"/>
      <c r="T313" s="67"/>
      <c r="U313" s="66"/>
      <c r="V313" s="66"/>
      <c r="W313" s="66"/>
      <c r="X313" s="85"/>
      <c r="AP313" t="str">
        <v/>
      </c>
    </row>
    <row r="314" spans="4:42" ht="15.75" x14ac:dyDescent="0.25">
      <c r="D314" s="3">
        <v>1</v>
      </c>
      <c r="F314" s="16" t="str" cm="1">
        <f t="array" ref="F3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4" s="31" cm="1">
        <f t="array" ref="G3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4" s="33" t="str">
        <f>_xlfn.IFNA(IF(MOD(HLG_04[[#This Row],[Rit]],
    _xlfn.XLOOKUP($G$2,Int_Sample[Ore],Int_Sample[Inc])) = 0, "YES", "NO"),"")</f>
        <v/>
      </c>
      <c r="I314" s="32" t="str">
        <f>TEXT(HLG_04[[#This Row],[Batch]],"000")&amp; " / " &amp; TEXT(HLG_04[[#This Row],[Rit]],"000")</f>
        <v>N/A / 000</v>
      </c>
      <c r="J314" s="34"/>
      <c r="K314" s="38"/>
      <c r="L314" s="35"/>
      <c r="M314" s="66"/>
      <c r="N314" s="66"/>
      <c r="O314" s="66"/>
      <c r="P314" s="66"/>
      <c r="Q314" s="66"/>
      <c r="R314" s="67"/>
      <c r="S314" s="67"/>
      <c r="T314" s="67"/>
      <c r="U314" s="66"/>
      <c r="V314" s="66"/>
      <c r="W314" s="66"/>
      <c r="X314" s="85"/>
      <c r="AP314" t="str">
        <v/>
      </c>
    </row>
    <row r="315" spans="4:42" ht="15.75" x14ac:dyDescent="0.25">
      <c r="D315" s="3">
        <v>1</v>
      </c>
      <c r="F315" s="16" t="str" cm="1">
        <f t="array" ref="F3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5" s="31" cm="1">
        <f t="array" ref="G3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5" s="33" t="str">
        <f>_xlfn.IFNA(IF(MOD(HLG_04[[#This Row],[Rit]],
    _xlfn.XLOOKUP($G$2,Int_Sample[Ore],Int_Sample[Inc])) = 0, "YES", "NO"),"")</f>
        <v/>
      </c>
      <c r="I315" s="32" t="str">
        <f>TEXT(HLG_04[[#This Row],[Batch]],"000")&amp; " / " &amp; TEXT(HLG_04[[#This Row],[Rit]],"000")</f>
        <v>N/A / 000</v>
      </c>
      <c r="J315" s="34"/>
      <c r="K315" s="38"/>
      <c r="L315" s="35"/>
      <c r="M315" s="66"/>
      <c r="N315" s="66"/>
      <c r="O315" s="66"/>
      <c r="P315" s="66"/>
      <c r="Q315" s="66"/>
      <c r="R315" s="67"/>
      <c r="S315" s="67"/>
      <c r="T315" s="67"/>
      <c r="U315" s="66"/>
      <c r="V315" s="66"/>
      <c r="W315" s="66"/>
      <c r="X315" s="85"/>
      <c r="AP315" t="str">
        <v/>
      </c>
    </row>
    <row r="316" spans="4:42" ht="15.75" x14ac:dyDescent="0.25">
      <c r="D316" s="3">
        <v>1</v>
      </c>
      <c r="F316" s="16" t="str" cm="1">
        <f t="array" ref="F3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6" s="31" cm="1">
        <f t="array" ref="G3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6" s="33" t="str">
        <f>_xlfn.IFNA(IF(MOD(HLG_04[[#This Row],[Rit]],
    _xlfn.XLOOKUP($G$2,Int_Sample[Ore],Int_Sample[Inc])) = 0, "YES", "NO"),"")</f>
        <v/>
      </c>
      <c r="I316" s="32" t="str">
        <f>TEXT(HLG_04[[#This Row],[Batch]],"000")&amp; " / " &amp; TEXT(HLG_04[[#This Row],[Rit]],"000")</f>
        <v>N/A / 000</v>
      </c>
      <c r="J316" s="34"/>
      <c r="K316" s="38"/>
      <c r="L316" s="35"/>
      <c r="M316" s="66"/>
      <c r="N316" s="66"/>
      <c r="O316" s="66"/>
      <c r="P316" s="66"/>
      <c r="Q316" s="66"/>
      <c r="R316" s="67"/>
      <c r="S316" s="67"/>
      <c r="T316" s="67"/>
      <c r="U316" s="66"/>
      <c r="V316" s="66"/>
      <c r="W316" s="66"/>
      <c r="X316" s="85"/>
      <c r="AP316" t="str">
        <v/>
      </c>
    </row>
    <row r="317" spans="4:42" ht="15.75" x14ac:dyDescent="0.25">
      <c r="D317" s="3">
        <v>1</v>
      </c>
      <c r="F317" s="16" t="str" cm="1">
        <f t="array" ref="F3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7" s="31" cm="1">
        <f t="array" ref="G3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7" s="33" t="str">
        <f>_xlfn.IFNA(IF(MOD(HLG_04[[#This Row],[Rit]],
    _xlfn.XLOOKUP($G$2,Int_Sample[Ore],Int_Sample[Inc])) = 0, "YES", "NO"),"")</f>
        <v/>
      </c>
      <c r="I317" s="32" t="str">
        <f>TEXT(HLG_04[[#This Row],[Batch]],"000")&amp; " / " &amp; TEXT(HLG_04[[#This Row],[Rit]],"000")</f>
        <v>N/A / 000</v>
      </c>
      <c r="J317" s="34"/>
      <c r="K317" s="38"/>
      <c r="L317" s="35"/>
      <c r="M317" s="66"/>
      <c r="N317" s="66"/>
      <c r="O317" s="66"/>
      <c r="P317" s="66"/>
      <c r="Q317" s="66"/>
      <c r="R317" s="67"/>
      <c r="S317" s="67"/>
      <c r="T317" s="67"/>
      <c r="U317" s="66"/>
      <c r="V317" s="66"/>
      <c r="W317" s="66"/>
      <c r="X317" s="85"/>
      <c r="AP317" t="str">
        <v/>
      </c>
    </row>
    <row r="318" spans="4:42" ht="15.75" x14ac:dyDescent="0.25">
      <c r="D318" s="3">
        <v>1</v>
      </c>
      <c r="F318" s="16" t="str" cm="1">
        <f t="array" ref="F3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8" s="31" cm="1">
        <f t="array" ref="G3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8" s="33" t="str">
        <f>_xlfn.IFNA(IF(MOD(HLG_04[[#This Row],[Rit]],
    _xlfn.XLOOKUP($G$2,Int_Sample[Ore],Int_Sample[Inc])) = 0, "YES", "NO"),"")</f>
        <v/>
      </c>
      <c r="I318" s="32" t="str">
        <f>TEXT(HLG_04[[#This Row],[Batch]],"000")&amp; " / " &amp; TEXT(HLG_04[[#This Row],[Rit]],"000")</f>
        <v>N/A / 000</v>
      </c>
      <c r="J318" s="34"/>
      <c r="K318" s="38"/>
      <c r="L318" s="35"/>
      <c r="M318" s="66"/>
      <c r="N318" s="66"/>
      <c r="O318" s="66"/>
      <c r="P318" s="66"/>
      <c r="Q318" s="66"/>
      <c r="R318" s="67"/>
      <c r="S318" s="67"/>
      <c r="T318" s="67"/>
      <c r="U318" s="66"/>
      <c r="V318" s="66"/>
      <c r="W318" s="66"/>
      <c r="X318" s="85"/>
      <c r="AP318" t="str">
        <v/>
      </c>
    </row>
    <row r="319" spans="4:42" ht="15.75" x14ac:dyDescent="0.25">
      <c r="D319" s="3">
        <v>1</v>
      </c>
      <c r="F319" s="16" t="str" cm="1">
        <f t="array" ref="F3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9" s="31" cm="1">
        <f t="array" ref="G3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9" s="33" t="str">
        <f>_xlfn.IFNA(IF(MOD(HLG_04[[#This Row],[Rit]],
    _xlfn.XLOOKUP($G$2,Int_Sample[Ore],Int_Sample[Inc])) = 0, "YES", "NO"),"")</f>
        <v/>
      </c>
      <c r="I319" s="32" t="str">
        <f>TEXT(HLG_04[[#This Row],[Batch]],"000")&amp; " / " &amp; TEXT(HLG_04[[#This Row],[Rit]],"000")</f>
        <v>N/A / 000</v>
      </c>
      <c r="J319" s="34"/>
      <c r="K319" s="38"/>
      <c r="L319" s="35"/>
      <c r="M319" s="66"/>
      <c r="N319" s="66"/>
      <c r="O319" s="66"/>
      <c r="P319" s="66"/>
      <c r="Q319" s="66"/>
      <c r="R319" s="67"/>
      <c r="S319" s="67"/>
      <c r="T319" s="67"/>
      <c r="U319" s="66"/>
      <c r="V319" s="66"/>
      <c r="W319" s="66"/>
      <c r="X319" s="85"/>
      <c r="AP319" t="str">
        <v/>
      </c>
    </row>
    <row r="320" spans="4:42" ht="15.75" x14ac:dyDescent="0.25">
      <c r="D320" s="3">
        <v>1</v>
      </c>
      <c r="F320" s="16" t="str" cm="1">
        <f t="array" ref="F3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0" s="31" cm="1">
        <f t="array" ref="G3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0" s="33" t="str">
        <f>_xlfn.IFNA(IF(MOD(HLG_04[[#This Row],[Rit]],
    _xlfn.XLOOKUP($G$2,Int_Sample[Ore],Int_Sample[Inc])) = 0, "YES", "NO"),"")</f>
        <v/>
      </c>
      <c r="I320" s="32" t="str">
        <f>TEXT(HLG_04[[#This Row],[Batch]],"000")&amp; " / " &amp; TEXT(HLG_04[[#This Row],[Rit]],"000")</f>
        <v>N/A / 000</v>
      </c>
      <c r="J320" s="34"/>
      <c r="K320" s="38"/>
      <c r="L320" s="35"/>
      <c r="M320" s="66"/>
      <c r="N320" s="66"/>
      <c r="O320" s="66"/>
      <c r="P320" s="66"/>
      <c r="Q320" s="66"/>
      <c r="R320" s="67"/>
      <c r="S320" s="67"/>
      <c r="T320" s="67"/>
      <c r="U320" s="66"/>
      <c r="V320" s="66"/>
      <c r="W320" s="66"/>
      <c r="X320" s="85"/>
      <c r="AP320" t="str">
        <v/>
      </c>
    </row>
    <row r="321" spans="4:42" ht="15.75" x14ac:dyDescent="0.25">
      <c r="D321" s="3">
        <v>1</v>
      </c>
      <c r="F321" s="16" t="str" cm="1">
        <f t="array" ref="F3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1" s="31" cm="1">
        <f t="array" ref="G3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1" s="33" t="str">
        <f>_xlfn.IFNA(IF(MOD(HLG_04[[#This Row],[Rit]],
    _xlfn.XLOOKUP($G$2,Int_Sample[Ore],Int_Sample[Inc])) = 0, "YES", "NO"),"")</f>
        <v/>
      </c>
      <c r="I321" s="32" t="str">
        <f>TEXT(HLG_04[[#This Row],[Batch]],"000")&amp; " / " &amp; TEXT(HLG_04[[#This Row],[Rit]],"000")</f>
        <v>N/A / 000</v>
      </c>
      <c r="J321" s="34"/>
      <c r="K321" s="38"/>
      <c r="L321" s="35"/>
      <c r="M321" s="66"/>
      <c r="N321" s="66"/>
      <c r="O321" s="66"/>
      <c r="P321" s="66"/>
      <c r="Q321" s="66"/>
      <c r="R321" s="67"/>
      <c r="S321" s="67"/>
      <c r="T321" s="67"/>
      <c r="U321" s="66"/>
      <c r="V321" s="66"/>
      <c r="W321" s="66"/>
      <c r="X321" s="85"/>
      <c r="AP321" t="str">
        <v/>
      </c>
    </row>
    <row r="322" spans="4:42" ht="15.75" x14ac:dyDescent="0.25">
      <c r="D322" s="3">
        <v>1</v>
      </c>
      <c r="F322" s="16" t="str" cm="1">
        <f t="array" ref="F3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2" s="31" cm="1">
        <f t="array" ref="G3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2" s="33" t="str">
        <f>_xlfn.IFNA(IF(MOD(HLG_04[[#This Row],[Rit]],
    _xlfn.XLOOKUP($G$2,Int_Sample[Ore],Int_Sample[Inc])) = 0, "YES", "NO"),"")</f>
        <v/>
      </c>
      <c r="I322" s="32" t="str">
        <f>TEXT(HLG_04[[#This Row],[Batch]],"000")&amp; " / " &amp; TEXT(HLG_04[[#This Row],[Rit]],"000")</f>
        <v>N/A / 000</v>
      </c>
      <c r="J322" s="34"/>
      <c r="K322" s="38"/>
      <c r="L322" s="35"/>
      <c r="M322" s="66"/>
      <c r="N322" s="66"/>
      <c r="O322" s="66"/>
      <c r="P322" s="66"/>
      <c r="Q322" s="66"/>
      <c r="R322" s="67"/>
      <c r="S322" s="67"/>
      <c r="T322" s="67"/>
      <c r="U322" s="66"/>
      <c r="V322" s="66"/>
      <c r="W322" s="66"/>
      <c r="X322" s="85"/>
      <c r="AP322" t="str">
        <v/>
      </c>
    </row>
    <row r="323" spans="4:42" ht="15.75" x14ac:dyDescent="0.25">
      <c r="D323" s="3">
        <v>1</v>
      </c>
      <c r="F323" s="16" t="str" cm="1">
        <f t="array" ref="F3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3" s="31" cm="1">
        <f t="array" ref="G3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3" s="33" t="str">
        <f>_xlfn.IFNA(IF(MOD(HLG_04[[#This Row],[Rit]],
    _xlfn.XLOOKUP($G$2,Int_Sample[Ore],Int_Sample[Inc])) = 0, "YES", "NO"),"")</f>
        <v/>
      </c>
      <c r="I323" s="32" t="str">
        <f>TEXT(HLG_04[[#This Row],[Batch]],"000")&amp; " / " &amp; TEXT(HLG_04[[#This Row],[Rit]],"000")</f>
        <v>N/A / 000</v>
      </c>
      <c r="J323" s="34"/>
      <c r="K323" s="38"/>
      <c r="L323" s="35"/>
      <c r="M323" s="66"/>
      <c r="N323" s="66"/>
      <c r="O323" s="66"/>
      <c r="P323" s="66"/>
      <c r="Q323" s="66"/>
      <c r="R323" s="67"/>
      <c r="S323" s="67"/>
      <c r="T323" s="67"/>
      <c r="U323" s="66"/>
      <c r="V323" s="66"/>
      <c r="W323" s="66"/>
      <c r="X323" s="85"/>
      <c r="AP323" t="str">
        <v/>
      </c>
    </row>
    <row r="324" spans="4:42" ht="15.75" x14ac:dyDescent="0.25">
      <c r="D324" s="3">
        <v>1</v>
      </c>
      <c r="F324" s="16" t="str" cm="1">
        <f t="array" ref="F3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4" s="31" cm="1">
        <f t="array" ref="G3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4" s="33" t="str">
        <f>_xlfn.IFNA(IF(MOD(HLG_04[[#This Row],[Rit]],
    _xlfn.XLOOKUP($G$2,Int_Sample[Ore],Int_Sample[Inc])) = 0, "YES", "NO"),"")</f>
        <v/>
      </c>
      <c r="I324" s="32" t="str">
        <f>TEXT(HLG_04[[#This Row],[Batch]],"000")&amp; " / " &amp; TEXT(HLG_04[[#This Row],[Rit]],"000")</f>
        <v>N/A / 000</v>
      </c>
      <c r="J324" s="34"/>
      <c r="K324" s="38"/>
      <c r="L324" s="35"/>
      <c r="M324" s="66"/>
      <c r="N324" s="66"/>
      <c r="O324" s="66"/>
      <c r="P324" s="66"/>
      <c r="Q324" s="66"/>
      <c r="R324" s="67"/>
      <c r="S324" s="67"/>
      <c r="T324" s="67"/>
      <c r="U324" s="66"/>
      <c r="V324" s="66"/>
      <c r="W324" s="66"/>
      <c r="X324" s="85"/>
      <c r="AP324" t="str">
        <v/>
      </c>
    </row>
    <row r="325" spans="4:42" ht="15.75" x14ac:dyDescent="0.25">
      <c r="D325" s="3">
        <v>1</v>
      </c>
      <c r="F325" s="16" t="str" cm="1">
        <f t="array" ref="F3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5" s="31" cm="1">
        <f t="array" ref="G3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5" s="33" t="str">
        <f>_xlfn.IFNA(IF(MOD(HLG_04[[#This Row],[Rit]],
    _xlfn.XLOOKUP($G$2,Int_Sample[Ore],Int_Sample[Inc])) = 0, "YES", "NO"),"")</f>
        <v/>
      </c>
      <c r="I325" s="32" t="str">
        <f>TEXT(HLG_04[[#This Row],[Batch]],"000")&amp; " / " &amp; TEXT(HLG_04[[#This Row],[Rit]],"000")</f>
        <v>N/A / 000</v>
      </c>
      <c r="J325" s="34"/>
      <c r="K325" s="38"/>
      <c r="L325" s="35"/>
      <c r="M325" s="66"/>
      <c r="N325" s="66"/>
      <c r="O325" s="66"/>
      <c r="P325" s="66"/>
      <c r="Q325" s="66"/>
      <c r="R325" s="67"/>
      <c r="S325" s="67"/>
      <c r="T325" s="67"/>
      <c r="U325" s="66"/>
      <c r="V325" s="66"/>
      <c r="W325" s="66"/>
      <c r="X325" s="85"/>
      <c r="AP325" t="str">
        <v/>
      </c>
    </row>
    <row r="326" spans="4:42" ht="15.75" x14ac:dyDescent="0.25">
      <c r="D326" s="3">
        <v>1</v>
      </c>
      <c r="F326" s="16" t="str" cm="1">
        <f t="array" ref="F3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6" s="31" cm="1">
        <f t="array" ref="G3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6" s="33" t="str">
        <f>_xlfn.IFNA(IF(MOD(HLG_04[[#This Row],[Rit]],
    _xlfn.XLOOKUP($G$2,Int_Sample[Ore],Int_Sample[Inc])) = 0, "YES", "NO"),"")</f>
        <v/>
      </c>
      <c r="I326" s="32" t="str">
        <f>TEXT(HLG_04[[#This Row],[Batch]],"000")&amp; " / " &amp; TEXT(HLG_04[[#This Row],[Rit]],"000")</f>
        <v>N/A / 000</v>
      </c>
      <c r="J326" s="34"/>
      <c r="K326" s="38"/>
      <c r="L326" s="35"/>
      <c r="M326" s="66"/>
      <c r="N326" s="66"/>
      <c r="O326" s="66"/>
      <c r="P326" s="66"/>
      <c r="Q326" s="66"/>
      <c r="R326" s="67"/>
      <c r="S326" s="67"/>
      <c r="T326" s="67"/>
      <c r="U326" s="66"/>
      <c r="V326" s="66"/>
      <c r="W326" s="66"/>
      <c r="X326" s="85"/>
      <c r="AP326" t="str">
        <v/>
      </c>
    </row>
    <row r="327" spans="4:42" ht="15.75" x14ac:dyDescent="0.25">
      <c r="D327" s="3">
        <v>1</v>
      </c>
      <c r="F327" s="16" t="str" cm="1">
        <f t="array" ref="F3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7" s="31" cm="1">
        <f t="array" ref="G3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7" s="33" t="str">
        <f>_xlfn.IFNA(IF(MOD(HLG_04[[#This Row],[Rit]],
    _xlfn.XLOOKUP($G$2,Int_Sample[Ore],Int_Sample[Inc])) = 0, "YES", "NO"),"")</f>
        <v/>
      </c>
      <c r="I327" s="32" t="str">
        <f>TEXT(HLG_04[[#This Row],[Batch]],"000")&amp; " / " &amp; TEXT(HLG_04[[#This Row],[Rit]],"000")</f>
        <v>N/A / 000</v>
      </c>
      <c r="J327" s="34"/>
      <c r="K327" s="38"/>
      <c r="L327" s="35"/>
      <c r="M327" s="66"/>
      <c r="N327" s="66"/>
      <c r="O327" s="66"/>
      <c r="P327" s="66"/>
      <c r="Q327" s="66"/>
      <c r="R327" s="67"/>
      <c r="S327" s="67"/>
      <c r="T327" s="67"/>
      <c r="U327" s="66"/>
      <c r="V327" s="66"/>
      <c r="W327" s="66"/>
      <c r="X327" s="85"/>
      <c r="AP327" t="str">
        <v/>
      </c>
    </row>
    <row r="328" spans="4:42" ht="15.75" x14ac:dyDescent="0.25">
      <c r="D328" s="3">
        <v>1</v>
      </c>
      <c r="F328" s="16" t="str" cm="1">
        <f t="array" ref="F3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8" s="31" cm="1">
        <f t="array" ref="G3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8" s="33" t="str">
        <f>_xlfn.IFNA(IF(MOD(HLG_04[[#This Row],[Rit]],
    _xlfn.XLOOKUP($G$2,Int_Sample[Ore],Int_Sample[Inc])) = 0, "YES", "NO"),"")</f>
        <v/>
      </c>
      <c r="I328" s="32" t="str">
        <f>TEXT(HLG_04[[#This Row],[Batch]],"000")&amp; " / " &amp; TEXT(HLG_04[[#This Row],[Rit]],"000")</f>
        <v>N/A / 000</v>
      </c>
      <c r="J328" s="34"/>
      <c r="K328" s="38"/>
      <c r="L328" s="35"/>
      <c r="M328" s="66"/>
      <c r="N328" s="66"/>
      <c r="O328" s="66"/>
      <c r="P328" s="66"/>
      <c r="Q328" s="66"/>
      <c r="R328" s="67"/>
      <c r="S328" s="67"/>
      <c r="T328" s="67"/>
      <c r="U328" s="66"/>
      <c r="V328" s="66"/>
      <c r="W328" s="66"/>
      <c r="X328" s="85"/>
      <c r="AP328" t="str">
        <v/>
      </c>
    </row>
    <row r="329" spans="4:42" ht="15.75" x14ac:dyDescent="0.25">
      <c r="D329" s="3">
        <v>1</v>
      </c>
      <c r="F329" s="16" t="str" cm="1">
        <f t="array" ref="F3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9" s="31" cm="1">
        <f t="array" ref="G3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9" s="33" t="str">
        <f>_xlfn.IFNA(IF(MOD(HLG_04[[#This Row],[Rit]],
    _xlfn.XLOOKUP($G$2,Int_Sample[Ore],Int_Sample[Inc])) = 0, "YES", "NO"),"")</f>
        <v/>
      </c>
      <c r="I329" s="32" t="str">
        <f>TEXT(HLG_04[[#This Row],[Batch]],"000")&amp; " / " &amp; TEXT(HLG_04[[#This Row],[Rit]],"000")</f>
        <v>N/A / 000</v>
      </c>
      <c r="J329" s="34"/>
      <c r="K329" s="38"/>
      <c r="L329" s="35"/>
      <c r="M329" s="66"/>
      <c r="N329" s="66"/>
      <c r="O329" s="66"/>
      <c r="P329" s="66"/>
      <c r="Q329" s="66"/>
      <c r="R329" s="67"/>
      <c r="S329" s="67"/>
      <c r="T329" s="67"/>
      <c r="U329" s="66"/>
      <c r="V329" s="66"/>
      <c r="W329" s="66"/>
      <c r="X329" s="85"/>
      <c r="AP329" t="str">
        <v/>
      </c>
    </row>
    <row r="330" spans="4:42" ht="15.75" x14ac:dyDescent="0.25">
      <c r="D330" s="3">
        <v>1</v>
      </c>
      <c r="F330" s="16" t="str" cm="1">
        <f t="array" ref="F3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0" s="31" cm="1">
        <f t="array" ref="G3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0" s="33" t="str">
        <f>_xlfn.IFNA(IF(MOD(HLG_04[[#This Row],[Rit]],
    _xlfn.XLOOKUP($G$2,Int_Sample[Ore],Int_Sample[Inc])) = 0, "YES", "NO"),"")</f>
        <v/>
      </c>
      <c r="I330" s="32" t="str">
        <f>TEXT(HLG_04[[#This Row],[Batch]],"000")&amp; " / " &amp; TEXT(HLG_04[[#This Row],[Rit]],"000")</f>
        <v>N/A / 000</v>
      </c>
      <c r="J330" s="34"/>
      <c r="K330" s="38"/>
      <c r="L330" s="35"/>
      <c r="M330" s="66"/>
      <c r="N330" s="66"/>
      <c r="O330" s="66"/>
      <c r="P330" s="66"/>
      <c r="Q330" s="66"/>
      <c r="R330" s="67"/>
      <c r="S330" s="67"/>
      <c r="T330" s="67"/>
      <c r="U330" s="66"/>
      <c r="V330" s="66"/>
      <c r="W330" s="66"/>
      <c r="X330" s="85"/>
      <c r="AP330" t="str">
        <v/>
      </c>
    </row>
    <row r="331" spans="4:42" ht="15.75" x14ac:dyDescent="0.25">
      <c r="D331" s="3">
        <v>1</v>
      </c>
      <c r="F331" s="16" t="str" cm="1">
        <f t="array" ref="F3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1" s="31" cm="1">
        <f t="array" ref="G3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1" s="33" t="str">
        <f>_xlfn.IFNA(IF(MOD(HLG_04[[#This Row],[Rit]],
    _xlfn.XLOOKUP($G$2,Int_Sample[Ore],Int_Sample[Inc])) = 0, "YES", "NO"),"")</f>
        <v/>
      </c>
      <c r="I331" s="32" t="str">
        <f>TEXT(HLG_04[[#This Row],[Batch]],"000")&amp; " / " &amp; TEXT(HLG_04[[#This Row],[Rit]],"000")</f>
        <v>N/A / 000</v>
      </c>
      <c r="J331" s="34"/>
      <c r="K331" s="38"/>
      <c r="L331" s="35"/>
      <c r="M331" s="66"/>
      <c r="N331" s="66"/>
      <c r="O331" s="66"/>
      <c r="P331" s="66"/>
      <c r="Q331" s="66"/>
      <c r="R331" s="67"/>
      <c r="S331" s="67"/>
      <c r="T331" s="67"/>
      <c r="U331" s="66"/>
      <c r="V331" s="66"/>
      <c r="W331" s="66"/>
      <c r="X331" s="85"/>
      <c r="AP331" t="str">
        <v/>
      </c>
    </row>
    <row r="332" spans="4:42" ht="15.75" x14ac:dyDescent="0.25">
      <c r="D332" s="3">
        <v>1</v>
      </c>
      <c r="F332" s="16" t="str" cm="1">
        <f t="array" ref="F3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2" s="31" cm="1">
        <f t="array" ref="G3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2" s="33" t="str">
        <f>_xlfn.IFNA(IF(MOD(HLG_04[[#This Row],[Rit]],
    _xlfn.XLOOKUP($G$2,Int_Sample[Ore],Int_Sample[Inc])) = 0, "YES", "NO"),"")</f>
        <v/>
      </c>
      <c r="I332" s="32" t="str">
        <f>TEXT(HLG_04[[#This Row],[Batch]],"000")&amp; " / " &amp; TEXT(HLG_04[[#This Row],[Rit]],"000")</f>
        <v>N/A / 000</v>
      </c>
      <c r="J332" s="34"/>
      <c r="K332" s="38"/>
      <c r="L332" s="35"/>
      <c r="M332" s="66"/>
      <c r="N332" s="66"/>
      <c r="O332" s="66"/>
      <c r="P332" s="66"/>
      <c r="Q332" s="66"/>
      <c r="R332" s="67"/>
      <c r="S332" s="67"/>
      <c r="T332" s="67"/>
      <c r="U332" s="66"/>
      <c r="V332" s="66"/>
      <c r="W332" s="66"/>
      <c r="X332" s="85"/>
      <c r="AP332" t="str">
        <v/>
      </c>
    </row>
    <row r="333" spans="4:42" ht="15.75" x14ac:dyDescent="0.25">
      <c r="D333" s="3">
        <v>1</v>
      </c>
      <c r="F333" s="16" t="str" cm="1">
        <f t="array" ref="F3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3" s="31" cm="1">
        <f t="array" ref="G3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3" s="33" t="str">
        <f>_xlfn.IFNA(IF(MOD(HLG_04[[#This Row],[Rit]],
    _xlfn.XLOOKUP($G$2,Int_Sample[Ore],Int_Sample[Inc])) = 0, "YES", "NO"),"")</f>
        <v/>
      </c>
      <c r="I333" s="32" t="str">
        <f>TEXT(HLG_04[[#This Row],[Batch]],"000")&amp; " / " &amp; TEXT(HLG_04[[#This Row],[Rit]],"000")</f>
        <v>N/A / 000</v>
      </c>
      <c r="J333" s="34"/>
      <c r="K333" s="38"/>
      <c r="L333" s="35"/>
      <c r="M333" s="66"/>
      <c r="N333" s="66"/>
      <c r="O333" s="66"/>
      <c r="P333" s="66"/>
      <c r="Q333" s="66"/>
      <c r="R333" s="67"/>
      <c r="S333" s="67"/>
      <c r="T333" s="67"/>
      <c r="U333" s="66"/>
      <c r="V333" s="66"/>
      <c r="W333" s="66"/>
      <c r="X333" s="85"/>
      <c r="AP333" t="str">
        <v/>
      </c>
    </row>
    <row r="334" spans="4:42" ht="15.75" x14ac:dyDescent="0.25">
      <c r="D334" s="3">
        <v>1</v>
      </c>
      <c r="F334" s="16" t="str" cm="1">
        <f t="array" ref="F3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4" s="31" cm="1">
        <f t="array" ref="G3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4" s="33" t="str">
        <f>_xlfn.IFNA(IF(MOD(HLG_04[[#This Row],[Rit]],
    _xlfn.XLOOKUP($G$2,Int_Sample[Ore],Int_Sample[Inc])) = 0, "YES", "NO"),"")</f>
        <v/>
      </c>
      <c r="I334" s="32" t="str">
        <f>TEXT(HLG_04[[#This Row],[Batch]],"000")&amp; " / " &amp; TEXT(HLG_04[[#This Row],[Rit]],"000")</f>
        <v>N/A / 000</v>
      </c>
      <c r="J334" s="34"/>
      <c r="K334" s="38"/>
      <c r="L334" s="35"/>
      <c r="M334" s="66"/>
      <c r="N334" s="66"/>
      <c r="O334" s="66"/>
      <c r="P334" s="66"/>
      <c r="Q334" s="66"/>
      <c r="R334" s="67"/>
      <c r="S334" s="67"/>
      <c r="T334" s="67"/>
      <c r="U334" s="66"/>
      <c r="V334" s="66"/>
      <c r="W334" s="66"/>
      <c r="X334" s="85"/>
      <c r="AP334" t="str">
        <v/>
      </c>
    </row>
    <row r="335" spans="4:42" ht="15.75" x14ac:dyDescent="0.25">
      <c r="D335" s="3">
        <v>1</v>
      </c>
      <c r="F335" s="16" t="str" cm="1">
        <f t="array" ref="F3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5" s="31" cm="1">
        <f t="array" ref="G3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5" s="33" t="str">
        <f>_xlfn.IFNA(IF(MOD(HLG_04[[#This Row],[Rit]],
    _xlfn.XLOOKUP($G$2,Int_Sample[Ore],Int_Sample[Inc])) = 0, "YES", "NO"),"")</f>
        <v/>
      </c>
      <c r="I335" s="32" t="str">
        <f>TEXT(HLG_04[[#This Row],[Batch]],"000")&amp; " / " &amp; TEXT(HLG_04[[#This Row],[Rit]],"000")</f>
        <v>N/A / 000</v>
      </c>
      <c r="J335" s="34"/>
      <c r="K335" s="38"/>
      <c r="L335" s="35"/>
      <c r="M335" s="66"/>
      <c r="N335" s="66"/>
      <c r="O335" s="66"/>
      <c r="P335" s="66"/>
      <c r="Q335" s="66"/>
      <c r="R335" s="67"/>
      <c r="S335" s="67"/>
      <c r="T335" s="67"/>
      <c r="U335" s="66"/>
      <c r="V335" s="66"/>
      <c r="W335" s="66"/>
      <c r="X335" s="85"/>
      <c r="AP335" t="str">
        <v/>
      </c>
    </row>
    <row r="336" spans="4:42" ht="15.75" x14ac:dyDescent="0.25">
      <c r="D336" s="3">
        <v>1</v>
      </c>
      <c r="F336" s="16" t="str" cm="1">
        <f t="array" ref="F3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6" s="31" cm="1">
        <f t="array" ref="G3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6" s="33" t="str">
        <f>_xlfn.IFNA(IF(MOD(HLG_04[[#This Row],[Rit]],
    _xlfn.XLOOKUP($G$2,Int_Sample[Ore],Int_Sample[Inc])) = 0, "YES", "NO"),"")</f>
        <v/>
      </c>
      <c r="I336" s="32" t="str">
        <f>TEXT(HLG_04[[#This Row],[Batch]],"000")&amp; " / " &amp; TEXT(HLG_04[[#This Row],[Rit]],"000")</f>
        <v>N/A / 000</v>
      </c>
      <c r="J336" s="34"/>
      <c r="K336" s="38"/>
      <c r="L336" s="35"/>
      <c r="M336" s="66"/>
      <c r="N336" s="66"/>
      <c r="O336" s="66"/>
      <c r="P336" s="66"/>
      <c r="Q336" s="66"/>
      <c r="R336" s="67"/>
      <c r="S336" s="67"/>
      <c r="T336" s="67"/>
      <c r="U336" s="66"/>
      <c r="V336" s="66"/>
      <c r="W336" s="66"/>
      <c r="X336" s="85"/>
      <c r="AP336" t="str">
        <v/>
      </c>
    </row>
    <row r="337" spans="4:42" ht="15.75" x14ac:dyDescent="0.25">
      <c r="D337" s="3">
        <v>1</v>
      </c>
      <c r="F337" s="16" t="str" cm="1">
        <f t="array" ref="F3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7" s="31" cm="1">
        <f t="array" ref="G3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7" s="33" t="str">
        <f>_xlfn.IFNA(IF(MOD(HLG_04[[#This Row],[Rit]],
    _xlfn.XLOOKUP($G$2,Int_Sample[Ore],Int_Sample[Inc])) = 0, "YES", "NO"),"")</f>
        <v/>
      </c>
      <c r="I337" s="32" t="str">
        <f>TEXT(HLG_04[[#This Row],[Batch]],"000")&amp; " / " &amp; TEXT(HLG_04[[#This Row],[Rit]],"000")</f>
        <v>N/A / 000</v>
      </c>
      <c r="J337" s="34"/>
      <c r="K337" s="38"/>
      <c r="L337" s="35"/>
      <c r="M337" s="66"/>
      <c r="N337" s="66"/>
      <c r="O337" s="66"/>
      <c r="P337" s="66"/>
      <c r="Q337" s="66"/>
      <c r="R337" s="67"/>
      <c r="S337" s="67"/>
      <c r="T337" s="67"/>
      <c r="U337" s="66"/>
      <c r="V337" s="66"/>
      <c r="W337" s="66"/>
      <c r="X337" s="85"/>
      <c r="AP337" t="str">
        <v/>
      </c>
    </row>
    <row r="338" spans="4:42" ht="15.75" x14ac:dyDescent="0.25">
      <c r="D338" s="3">
        <v>1</v>
      </c>
      <c r="F338" s="16" t="str" cm="1">
        <f t="array" ref="F3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8" s="31" cm="1">
        <f t="array" ref="G3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8" s="33" t="str">
        <f>_xlfn.IFNA(IF(MOD(HLG_04[[#This Row],[Rit]],
    _xlfn.XLOOKUP($G$2,Int_Sample[Ore],Int_Sample[Inc])) = 0, "YES", "NO"),"")</f>
        <v/>
      </c>
      <c r="I338" s="32" t="str">
        <f>TEXT(HLG_04[[#This Row],[Batch]],"000")&amp; " / " &amp; TEXT(HLG_04[[#This Row],[Rit]],"000")</f>
        <v>N/A / 000</v>
      </c>
      <c r="J338" s="34"/>
      <c r="K338" s="38"/>
      <c r="L338" s="35"/>
      <c r="M338" s="66"/>
      <c r="N338" s="66"/>
      <c r="O338" s="66"/>
      <c r="P338" s="66"/>
      <c r="Q338" s="66"/>
      <c r="R338" s="67"/>
      <c r="S338" s="67"/>
      <c r="T338" s="67"/>
      <c r="U338" s="66"/>
      <c r="V338" s="66"/>
      <c r="W338" s="66"/>
      <c r="X338" s="85"/>
      <c r="AP338" t="str">
        <v/>
      </c>
    </row>
    <row r="339" spans="4:42" ht="15.75" x14ac:dyDescent="0.25">
      <c r="D339" s="3">
        <v>1</v>
      </c>
      <c r="F339" s="16" t="str" cm="1">
        <f t="array" ref="F3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9" s="31" cm="1">
        <f t="array" ref="G3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9" s="33" t="str">
        <f>_xlfn.IFNA(IF(MOD(HLG_04[[#This Row],[Rit]],
    _xlfn.XLOOKUP($G$2,Int_Sample[Ore],Int_Sample[Inc])) = 0, "YES", "NO"),"")</f>
        <v/>
      </c>
      <c r="I339" s="32" t="str">
        <f>TEXT(HLG_04[[#This Row],[Batch]],"000")&amp; " / " &amp; TEXT(HLG_04[[#This Row],[Rit]],"000")</f>
        <v>N/A / 000</v>
      </c>
      <c r="J339" s="34"/>
      <c r="K339" s="38"/>
      <c r="L339" s="35"/>
      <c r="M339" s="66"/>
      <c r="N339" s="66"/>
      <c r="O339" s="66"/>
      <c r="P339" s="66"/>
      <c r="Q339" s="66"/>
      <c r="R339" s="67"/>
      <c r="S339" s="67"/>
      <c r="T339" s="67"/>
      <c r="U339" s="66"/>
      <c r="V339" s="66"/>
      <c r="W339" s="66"/>
      <c r="X339" s="85"/>
      <c r="AP339" t="str">
        <v/>
      </c>
    </row>
    <row r="340" spans="4:42" ht="15.75" x14ac:dyDescent="0.25">
      <c r="D340" s="3">
        <v>1</v>
      </c>
      <c r="F340" s="16" t="str" cm="1">
        <f t="array" ref="F3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0" s="31" cm="1">
        <f t="array" ref="G3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0" s="33" t="str">
        <f>_xlfn.IFNA(IF(MOD(HLG_04[[#This Row],[Rit]],
    _xlfn.XLOOKUP($G$2,Int_Sample[Ore],Int_Sample[Inc])) = 0, "YES", "NO"),"")</f>
        <v/>
      </c>
      <c r="I340" s="32" t="str">
        <f>TEXT(HLG_04[[#This Row],[Batch]],"000")&amp; " / " &amp; TEXT(HLG_04[[#This Row],[Rit]],"000")</f>
        <v>N/A / 000</v>
      </c>
      <c r="J340" s="34"/>
      <c r="K340" s="38"/>
      <c r="L340" s="35"/>
      <c r="M340" s="66"/>
      <c r="N340" s="66"/>
      <c r="O340" s="66"/>
      <c r="P340" s="66"/>
      <c r="Q340" s="66"/>
      <c r="R340" s="67"/>
      <c r="S340" s="67"/>
      <c r="T340" s="67"/>
      <c r="U340" s="66"/>
      <c r="V340" s="66"/>
      <c r="W340" s="66"/>
      <c r="X340" s="85"/>
      <c r="AP340" t="str">
        <v/>
      </c>
    </row>
    <row r="341" spans="4:42" ht="15.75" x14ac:dyDescent="0.25">
      <c r="D341" s="3">
        <v>1</v>
      </c>
      <c r="F341" s="16" t="str" cm="1">
        <f t="array" ref="F3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1" s="31" cm="1">
        <f t="array" ref="G3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1" s="33" t="str">
        <f>_xlfn.IFNA(IF(MOD(HLG_04[[#This Row],[Rit]],
    _xlfn.XLOOKUP($G$2,Int_Sample[Ore],Int_Sample[Inc])) = 0, "YES", "NO"),"")</f>
        <v/>
      </c>
      <c r="I341" s="32" t="str">
        <f>TEXT(HLG_04[[#This Row],[Batch]],"000")&amp; " / " &amp; TEXT(HLG_04[[#This Row],[Rit]],"000")</f>
        <v>N/A / 000</v>
      </c>
      <c r="J341" s="34"/>
      <c r="K341" s="38"/>
      <c r="L341" s="35"/>
      <c r="M341" s="66"/>
      <c r="N341" s="66"/>
      <c r="O341" s="66"/>
      <c r="P341" s="66"/>
      <c r="Q341" s="66"/>
      <c r="R341" s="67"/>
      <c r="S341" s="67"/>
      <c r="T341" s="67"/>
      <c r="U341" s="66"/>
      <c r="V341" s="66"/>
      <c r="W341" s="66"/>
      <c r="X341" s="85"/>
      <c r="AP341" t="str">
        <v/>
      </c>
    </row>
    <row r="342" spans="4:42" ht="15.75" x14ac:dyDescent="0.25">
      <c r="D342" s="3">
        <v>1</v>
      </c>
      <c r="F342" s="16" t="str" cm="1">
        <f t="array" ref="F3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2" s="31" cm="1">
        <f t="array" ref="G3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2" s="33" t="str">
        <f>_xlfn.IFNA(IF(MOD(HLG_04[[#This Row],[Rit]],
    _xlfn.XLOOKUP($G$2,Int_Sample[Ore],Int_Sample[Inc])) = 0, "YES", "NO"),"")</f>
        <v/>
      </c>
      <c r="I342" s="32" t="str">
        <f>TEXT(HLG_04[[#This Row],[Batch]],"000")&amp; " / " &amp; TEXT(HLG_04[[#This Row],[Rit]],"000")</f>
        <v>N/A / 000</v>
      </c>
      <c r="J342" s="34"/>
      <c r="K342" s="38"/>
      <c r="L342" s="35"/>
      <c r="M342" s="66"/>
      <c r="N342" s="66"/>
      <c r="O342" s="66"/>
      <c r="P342" s="66"/>
      <c r="Q342" s="66"/>
      <c r="R342" s="67"/>
      <c r="S342" s="67"/>
      <c r="T342" s="67"/>
      <c r="U342" s="66"/>
      <c r="V342" s="66"/>
      <c r="W342" s="66"/>
      <c r="X342" s="85"/>
      <c r="AP342" t="str">
        <v/>
      </c>
    </row>
    <row r="343" spans="4:42" ht="15.75" x14ac:dyDescent="0.25">
      <c r="D343" s="3">
        <v>1</v>
      </c>
      <c r="F343" s="16" t="str" cm="1">
        <f t="array" ref="F3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3" s="31" cm="1">
        <f t="array" ref="G3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3" s="33" t="str">
        <f>_xlfn.IFNA(IF(MOD(HLG_04[[#This Row],[Rit]],
    _xlfn.XLOOKUP($G$2,Int_Sample[Ore],Int_Sample[Inc])) = 0, "YES", "NO"),"")</f>
        <v/>
      </c>
      <c r="I343" s="32" t="str">
        <f>TEXT(HLG_04[[#This Row],[Batch]],"000")&amp; " / " &amp; TEXT(HLG_04[[#This Row],[Rit]],"000")</f>
        <v>N/A / 000</v>
      </c>
      <c r="J343" s="34"/>
      <c r="K343" s="38"/>
      <c r="L343" s="35"/>
      <c r="M343" s="66"/>
      <c r="N343" s="66"/>
      <c r="O343" s="66"/>
      <c r="P343" s="66"/>
      <c r="Q343" s="66"/>
      <c r="R343" s="67"/>
      <c r="S343" s="67"/>
      <c r="T343" s="67"/>
      <c r="U343" s="66"/>
      <c r="V343" s="66"/>
      <c r="W343" s="66"/>
      <c r="X343" s="85"/>
      <c r="AP343" t="str">
        <v/>
      </c>
    </row>
    <row r="344" spans="4:42" ht="15.75" x14ac:dyDescent="0.25">
      <c r="D344" s="3">
        <v>1</v>
      </c>
      <c r="F344" s="16" t="str" cm="1">
        <f t="array" ref="F3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4" s="31" cm="1">
        <f t="array" ref="G3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4" s="33" t="str">
        <f>_xlfn.IFNA(IF(MOD(HLG_04[[#This Row],[Rit]],
    _xlfn.XLOOKUP($G$2,Int_Sample[Ore],Int_Sample[Inc])) = 0, "YES", "NO"),"")</f>
        <v/>
      </c>
      <c r="I344" s="32" t="str">
        <f>TEXT(HLG_04[[#This Row],[Batch]],"000")&amp; " / " &amp; TEXT(HLG_04[[#This Row],[Rit]],"000")</f>
        <v>N/A / 000</v>
      </c>
      <c r="J344" s="34"/>
      <c r="K344" s="38"/>
      <c r="L344" s="35"/>
      <c r="M344" s="66"/>
      <c r="N344" s="66"/>
      <c r="O344" s="66"/>
      <c r="P344" s="66"/>
      <c r="Q344" s="66"/>
      <c r="R344" s="67"/>
      <c r="S344" s="67"/>
      <c r="T344" s="67"/>
      <c r="U344" s="66"/>
      <c r="V344" s="66"/>
      <c r="W344" s="66"/>
      <c r="X344" s="85"/>
      <c r="AP344" t="str">
        <v/>
      </c>
    </row>
    <row r="345" spans="4:42" ht="15.75" x14ac:dyDescent="0.25">
      <c r="D345" s="3">
        <v>1</v>
      </c>
      <c r="F345" s="16" t="str" cm="1">
        <f t="array" ref="F3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5" s="31" cm="1">
        <f t="array" ref="G3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5" s="33" t="str">
        <f>_xlfn.IFNA(IF(MOD(HLG_04[[#This Row],[Rit]],
    _xlfn.XLOOKUP($G$2,Int_Sample[Ore],Int_Sample[Inc])) = 0, "YES", "NO"),"")</f>
        <v/>
      </c>
      <c r="I345" s="32" t="str">
        <f>TEXT(HLG_04[[#This Row],[Batch]],"000")&amp; " / " &amp; TEXT(HLG_04[[#This Row],[Rit]],"000")</f>
        <v>N/A / 000</v>
      </c>
      <c r="J345" s="34"/>
      <c r="K345" s="38"/>
      <c r="L345" s="35"/>
      <c r="M345" s="66"/>
      <c r="N345" s="66"/>
      <c r="O345" s="66"/>
      <c r="P345" s="66"/>
      <c r="Q345" s="66"/>
      <c r="R345" s="67"/>
      <c r="S345" s="67"/>
      <c r="T345" s="67"/>
      <c r="U345" s="66"/>
      <c r="V345" s="66"/>
      <c r="W345" s="66"/>
      <c r="X345" s="85"/>
      <c r="AP345" t="str">
        <v/>
      </c>
    </row>
    <row r="346" spans="4:42" ht="15.75" x14ac:dyDescent="0.25">
      <c r="D346" s="3">
        <v>1</v>
      </c>
      <c r="F346" s="16" t="str" cm="1">
        <f t="array" ref="F3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6" s="31" cm="1">
        <f t="array" ref="G3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6" s="33" t="str">
        <f>_xlfn.IFNA(IF(MOD(HLG_04[[#This Row],[Rit]],
    _xlfn.XLOOKUP($G$2,Int_Sample[Ore],Int_Sample[Inc])) = 0, "YES", "NO"),"")</f>
        <v/>
      </c>
      <c r="I346" s="32" t="str">
        <f>TEXT(HLG_04[[#This Row],[Batch]],"000")&amp; " / " &amp; TEXT(HLG_04[[#This Row],[Rit]],"000")</f>
        <v>N/A / 000</v>
      </c>
      <c r="J346" s="34"/>
      <c r="K346" s="38"/>
      <c r="L346" s="35"/>
      <c r="M346" s="66"/>
      <c r="N346" s="66"/>
      <c r="O346" s="66"/>
      <c r="P346" s="66"/>
      <c r="Q346" s="66"/>
      <c r="R346" s="67"/>
      <c r="S346" s="67"/>
      <c r="T346" s="67"/>
      <c r="U346" s="66"/>
      <c r="V346" s="66"/>
      <c r="W346" s="66"/>
      <c r="X346" s="85"/>
      <c r="AP346" t="str">
        <v/>
      </c>
    </row>
    <row r="347" spans="4:42" ht="15.75" x14ac:dyDescent="0.25">
      <c r="D347" s="3">
        <v>1</v>
      </c>
      <c r="F347" s="16" t="str" cm="1">
        <f t="array" ref="F3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7" s="31" cm="1">
        <f t="array" ref="G3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7" s="33" t="str">
        <f>_xlfn.IFNA(IF(MOD(HLG_04[[#This Row],[Rit]],
    _xlfn.XLOOKUP($G$2,Int_Sample[Ore],Int_Sample[Inc])) = 0, "YES", "NO"),"")</f>
        <v/>
      </c>
      <c r="I347" s="32" t="str">
        <f>TEXT(HLG_04[[#This Row],[Batch]],"000")&amp; " / " &amp; TEXT(HLG_04[[#This Row],[Rit]],"000")</f>
        <v>N/A / 000</v>
      </c>
      <c r="J347" s="34"/>
      <c r="K347" s="38"/>
      <c r="L347" s="35"/>
      <c r="M347" s="66"/>
      <c r="N347" s="66"/>
      <c r="O347" s="66"/>
      <c r="P347" s="66"/>
      <c r="Q347" s="66"/>
      <c r="R347" s="67"/>
      <c r="S347" s="67"/>
      <c r="T347" s="67"/>
      <c r="U347" s="66"/>
      <c r="V347" s="66"/>
      <c r="W347" s="66"/>
      <c r="X347" s="85"/>
      <c r="AP347" t="str">
        <v/>
      </c>
    </row>
    <row r="348" spans="4:42" ht="15.75" x14ac:dyDescent="0.25">
      <c r="D348" s="3">
        <v>1</v>
      </c>
      <c r="F348" s="16" t="str" cm="1">
        <f t="array" ref="F3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8" s="31" cm="1">
        <f t="array" ref="G3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8" s="33" t="str">
        <f>_xlfn.IFNA(IF(MOD(HLG_04[[#This Row],[Rit]],
    _xlfn.XLOOKUP($G$2,Int_Sample[Ore],Int_Sample[Inc])) = 0, "YES", "NO"),"")</f>
        <v/>
      </c>
      <c r="I348" s="32" t="str">
        <f>TEXT(HLG_04[[#This Row],[Batch]],"000")&amp; " / " &amp; TEXT(HLG_04[[#This Row],[Rit]],"000")</f>
        <v>N/A / 000</v>
      </c>
      <c r="J348" s="34"/>
      <c r="K348" s="38"/>
      <c r="L348" s="35"/>
      <c r="M348" s="66"/>
      <c r="N348" s="66"/>
      <c r="O348" s="66"/>
      <c r="P348" s="66"/>
      <c r="Q348" s="66"/>
      <c r="R348" s="67"/>
      <c r="S348" s="67"/>
      <c r="T348" s="67"/>
      <c r="U348" s="66"/>
      <c r="V348" s="66"/>
      <c r="W348" s="66"/>
      <c r="X348" s="85"/>
      <c r="AP348" t="str">
        <v/>
      </c>
    </row>
    <row r="349" spans="4:42" ht="15.75" x14ac:dyDescent="0.25">
      <c r="D349" s="3">
        <v>1</v>
      </c>
      <c r="F349" s="16" t="str" cm="1">
        <f t="array" ref="F3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9" s="31" cm="1">
        <f t="array" ref="G3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9" s="33" t="str">
        <f>_xlfn.IFNA(IF(MOD(HLG_04[[#This Row],[Rit]],
    _xlfn.XLOOKUP($G$2,Int_Sample[Ore],Int_Sample[Inc])) = 0, "YES", "NO"),"")</f>
        <v/>
      </c>
      <c r="I349" s="32" t="str">
        <f>TEXT(HLG_04[[#This Row],[Batch]],"000")&amp; " / " &amp; TEXT(HLG_04[[#This Row],[Rit]],"000")</f>
        <v>N/A / 000</v>
      </c>
      <c r="J349" s="34"/>
      <c r="K349" s="38"/>
      <c r="L349" s="35"/>
      <c r="M349" s="66"/>
      <c r="N349" s="66"/>
      <c r="O349" s="66"/>
      <c r="P349" s="66"/>
      <c r="Q349" s="66"/>
      <c r="R349" s="67"/>
      <c r="S349" s="67"/>
      <c r="T349" s="67"/>
      <c r="U349" s="66"/>
      <c r="V349" s="66"/>
      <c r="W349" s="66"/>
      <c r="X349" s="85"/>
      <c r="AP349" t="str">
        <v/>
      </c>
    </row>
    <row r="350" spans="4:42" ht="15.75" x14ac:dyDescent="0.25">
      <c r="D350" s="3">
        <v>1</v>
      </c>
      <c r="F350" s="16" t="str" cm="1">
        <f t="array" ref="F3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0" s="31" cm="1">
        <f t="array" ref="G3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0" s="33" t="str">
        <f>_xlfn.IFNA(IF(MOD(HLG_04[[#This Row],[Rit]],
    _xlfn.XLOOKUP($G$2,Int_Sample[Ore],Int_Sample[Inc])) = 0, "YES", "NO"),"")</f>
        <v/>
      </c>
      <c r="I350" s="32" t="str">
        <f>TEXT(HLG_04[[#This Row],[Batch]],"000")&amp; " / " &amp; TEXT(HLG_04[[#This Row],[Rit]],"000")</f>
        <v>N/A / 000</v>
      </c>
      <c r="J350" s="34"/>
      <c r="K350" s="38"/>
      <c r="L350" s="35"/>
      <c r="M350" s="66"/>
      <c r="N350" s="66"/>
      <c r="O350" s="66"/>
      <c r="P350" s="66"/>
      <c r="Q350" s="66"/>
      <c r="R350" s="67"/>
      <c r="S350" s="67"/>
      <c r="T350" s="67"/>
      <c r="U350" s="66"/>
      <c r="V350" s="66"/>
      <c r="W350" s="66"/>
      <c r="X350" s="85"/>
      <c r="AP350" t="str">
        <v/>
      </c>
    </row>
    <row r="351" spans="4:42" ht="15.75" x14ac:dyDescent="0.25">
      <c r="D351" s="3">
        <v>1</v>
      </c>
      <c r="F351" s="16" t="str" cm="1">
        <f t="array" ref="F3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1" s="31" cm="1">
        <f t="array" ref="G3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1" s="33" t="str">
        <f>_xlfn.IFNA(IF(MOD(HLG_04[[#This Row],[Rit]],
    _xlfn.XLOOKUP($G$2,Int_Sample[Ore],Int_Sample[Inc])) = 0, "YES", "NO"),"")</f>
        <v/>
      </c>
      <c r="I351" s="32" t="str">
        <f>TEXT(HLG_04[[#This Row],[Batch]],"000")&amp; " / " &amp; TEXT(HLG_04[[#This Row],[Rit]],"000")</f>
        <v>N/A / 000</v>
      </c>
      <c r="J351" s="34"/>
      <c r="K351" s="38"/>
      <c r="L351" s="35"/>
      <c r="M351" s="66"/>
      <c r="N351" s="66"/>
      <c r="O351" s="66"/>
      <c r="P351" s="66"/>
      <c r="Q351" s="66"/>
      <c r="R351" s="67"/>
      <c r="S351" s="67"/>
      <c r="T351" s="67"/>
      <c r="U351" s="66"/>
      <c r="V351" s="66"/>
      <c r="W351" s="66"/>
      <c r="X351" s="85"/>
      <c r="AP351" t="str">
        <v/>
      </c>
    </row>
    <row r="352" spans="4:42" ht="15.75" x14ac:dyDescent="0.25">
      <c r="D352" s="3">
        <v>1</v>
      </c>
      <c r="F352" s="16" t="str" cm="1">
        <f t="array" ref="F3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2" s="31" cm="1">
        <f t="array" ref="G3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2" s="33" t="str">
        <f>_xlfn.IFNA(IF(MOD(HLG_04[[#This Row],[Rit]],
    _xlfn.XLOOKUP($G$2,Int_Sample[Ore],Int_Sample[Inc])) = 0, "YES", "NO"),"")</f>
        <v/>
      </c>
      <c r="I352" s="32" t="str">
        <f>TEXT(HLG_04[[#This Row],[Batch]],"000")&amp; " / " &amp; TEXT(HLG_04[[#This Row],[Rit]],"000")</f>
        <v>N/A / 000</v>
      </c>
      <c r="J352" s="34"/>
      <c r="K352" s="38"/>
      <c r="L352" s="35"/>
      <c r="M352" s="66"/>
      <c r="N352" s="66"/>
      <c r="O352" s="66"/>
      <c r="P352" s="66"/>
      <c r="Q352" s="66"/>
      <c r="R352" s="67"/>
      <c r="S352" s="67"/>
      <c r="T352" s="67"/>
      <c r="U352" s="66"/>
      <c r="V352" s="66"/>
      <c r="W352" s="66"/>
      <c r="X352" s="85"/>
      <c r="AP352" t="str">
        <v/>
      </c>
    </row>
    <row r="353" spans="4:42" ht="15.75" x14ac:dyDescent="0.25">
      <c r="D353" s="3">
        <v>1</v>
      </c>
      <c r="F353" s="16" t="str" cm="1">
        <f t="array" ref="F3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3" s="31" cm="1">
        <f t="array" ref="G3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3" s="33" t="str">
        <f>_xlfn.IFNA(IF(MOD(HLG_04[[#This Row],[Rit]],
    _xlfn.XLOOKUP($G$2,Int_Sample[Ore],Int_Sample[Inc])) = 0, "YES", "NO"),"")</f>
        <v/>
      </c>
      <c r="I353" s="32" t="str">
        <f>TEXT(HLG_04[[#This Row],[Batch]],"000")&amp; " / " &amp; TEXT(HLG_04[[#This Row],[Rit]],"000")</f>
        <v>N/A / 000</v>
      </c>
      <c r="J353" s="34"/>
      <c r="K353" s="38"/>
      <c r="L353" s="35"/>
      <c r="M353" s="66"/>
      <c r="N353" s="66"/>
      <c r="O353" s="66"/>
      <c r="P353" s="66"/>
      <c r="Q353" s="66"/>
      <c r="R353" s="67"/>
      <c r="S353" s="67"/>
      <c r="T353" s="67"/>
      <c r="U353" s="66"/>
      <c r="V353" s="66"/>
      <c r="W353" s="66"/>
      <c r="X353" s="85"/>
      <c r="AP353" t="str">
        <v/>
      </c>
    </row>
    <row r="354" spans="4:42" ht="15.75" x14ac:dyDescent="0.25">
      <c r="D354" s="3">
        <v>1</v>
      </c>
      <c r="F354" s="16" t="str" cm="1">
        <f t="array" ref="F3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4" s="31" cm="1">
        <f t="array" ref="G3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4" s="33" t="str">
        <f>_xlfn.IFNA(IF(MOD(HLG_04[[#This Row],[Rit]],
    _xlfn.XLOOKUP($G$2,Int_Sample[Ore],Int_Sample[Inc])) = 0, "YES", "NO"),"")</f>
        <v/>
      </c>
      <c r="I354" s="32" t="str">
        <f>TEXT(HLG_04[[#This Row],[Batch]],"000")&amp; " / " &amp; TEXT(HLG_04[[#This Row],[Rit]],"000")</f>
        <v>N/A / 000</v>
      </c>
      <c r="J354" s="34"/>
      <c r="K354" s="38"/>
      <c r="L354" s="35"/>
      <c r="M354" s="66"/>
      <c r="N354" s="66"/>
      <c r="O354" s="66"/>
      <c r="P354" s="66"/>
      <c r="Q354" s="66"/>
      <c r="R354" s="67"/>
      <c r="S354" s="67"/>
      <c r="T354" s="67"/>
      <c r="U354" s="66"/>
      <c r="V354" s="66"/>
      <c r="W354" s="66"/>
      <c r="X354" s="85"/>
      <c r="AP354" t="str">
        <v/>
      </c>
    </row>
    <row r="355" spans="4:42" ht="15.75" x14ac:dyDescent="0.25">
      <c r="D355" s="3">
        <v>1</v>
      </c>
      <c r="F355" s="16" t="str" cm="1">
        <f t="array" ref="F3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5" s="31" cm="1">
        <f t="array" ref="G3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5" s="33" t="str">
        <f>_xlfn.IFNA(IF(MOD(HLG_04[[#This Row],[Rit]],
    _xlfn.XLOOKUP($G$2,Int_Sample[Ore],Int_Sample[Inc])) = 0, "YES", "NO"),"")</f>
        <v/>
      </c>
      <c r="I355" s="32" t="str">
        <f>TEXT(HLG_04[[#This Row],[Batch]],"000")&amp; " / " &amp; TEXT(HLG_04[[#This Row],[Rit]],"000")</f>
        <v>N/A / 000</v>
      </c>
      <c r="J355" s="34"/>
      <c r="K355" s="38"/>
      <c r="L355" s="35"/>
      <c r="M355" s="66"/>
      <c r="N355" s="66"/>
      <c r="O355" s="66"/>
      <c r="P355" s="66"/>
      <c r="Q355" s="66"/>
      <c r="R355" s="67"/>
      <c r="S355" s="67"/>
      <c r="T355" s="67"/>
      <c r="U355" s="66"/>
      <c r="V355" s="66"/>
      <c r="W355" s="66"/>
      <c r="X355" s="85"/>
      <c r="AP355" t="str">
        <v/>
      </c>
    </row>
    <row r="356" spans="4:42" ht="15.75" x14ac:dyDescent="0.25">
      <c r="D356" s="3">
        <v>1</v>
      </c>
      <c r="F356" s="16" t="str" cm="1">
        <f t="array" ref="F3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6" s="31" cm="1">
        <f t="array" ref="G3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6" s="33" t="str">
        <f>_xlfn.IFNA(IF(MOD(HLG_04[[#This Row],[Rit]],
    _xlfn.XLOOKUP($G$2,Int_Sample[Ore],Int_Sample[Inc])) = 0, "YES", "NO"),"")</f>
        <v/>
      </c>
      <c r="I356" s="32" t="str">
        <f>TEXT(HLG_04[[#This Row],[Batch]],"000")&amp; " / " &amp; TEXT(HLG_04[[#This Row],[Rit]],"000")</f>
        <v>N/A / 000</v>
      </c>
      <c r="J356" s="34"/>
      <c r="K356" s="38"/>
      <c r="L356" s="35"/>
      <c r="M356" s="66"/>
      <c r="N356" s="66"/>
      <c r="O356" s="66"/>
      <c r="P356" s="66"/>
      <c r="Q356" s="66"/>
      <c r="R356" s="67"/>
      <c r="S356" s="67"/>
      <c r="T356" s="67"/>
      <c r="U356" s="66"/>
      <c r="V356" s="66"/>
      <c r="W356" s="66"/>
      <c r="X356" s="85"/>
      <c r="AP356" t="str">
        <v/>
      </c>
    </row>
    <row r="357" spans="4:42" ht="15.75" x14ac:dyDescent="0.25">
      <c r="D357" s="3">
        <v>1</v>
      </c>
      <c r="F357" s="16" t="str" cm="1">
        <f t="array" ref="F3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7" s="31" cm="1">
        <f t="array" ref="G3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7" s="33" t="str">
        <f>_xlfn.IFNA(IF(MOD(HLG_04[[#This Row],[Rit]],
    _xlfn.XLOOKUP($G$2,Int_Sample[Ore],Int_Sample[Inc])) = 0, "YES", "NO"),"")</f>
        <v/>
      </c>
      <c r="I357" s="32" t="str">
        <f>TEXT(HLG_04[[#This Row],[Batch]],"000")&amp; " / " &amp; TEXT(HLG_04[[#This Row],[Rit]],"000")</f>
        <v>N/A / 000</v>
      </c>
      <c r="J357" s="34"/>
      <c r="K357" s="38"/>
      <c r="L357" s="35"/>
      <c r="M357" s="66"/>
      <c r="N357" s="66"/>
      <c r="O357" s="66"/>
      <c r="P357" s="66"/>
      <c r="Q357" s="66"/>
      <c r="R357" s="67"/>
      <c r="S357" s="67"/>
      <c r="T357" s="67"/>
      <c r="U357" s="66"/>
      <c r="V357" s="66"/>
      <c r="W357" s="66"/>
      <c r="X357" s="85"/>
      <c r="AP357" t="str">
        <v/>
      </c>
    </row>
    <row r="358" spans="4:42" ht="15.75" x14ac:dyDescent="0.25">
      <c r="D358" s="3">
        <v>1</v>
      </c>
      <c r="F358" s="16" t="str" cm="1">
        <f t="array" ref="F3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8" s="31" cm="1">
        <f t="array" ref="G3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8" s="33" t="str">
        <f>_xlfn.IFNA(IF(MOD(HLG_04[[#This Row],[Rit]],
    _xlfn.XLOOKUP($G$2,Int_Sample[Ore],Int_Sample[Inc])) = 0, "YES", "NO"),"")</f>
        <v/>
      </c>
      <c r="I358" s="32" t="str">
        <f>TEXT(HLG_04[[#This Row],[Batch]],"000")&amp; " / " &amp; TEXT(HLG_04[[#This Row],[Rit]],"000")</f>
        <v>N/A / 000</v>
      </c>
      <c r="J358" s="34"/>
      <c r="K358" s="38"/>
      <c r="L358" s="35"/>
      <c r="M358" s="66"/>
      <c r="N358" s="66"/>
      <c r="O358" s="66"/>
      <c r="P358" s="66"/>
      <c r="Q358" s="66"/>
      <c r="R358" s="67"/>
      <c r="S358" s="67"/>
      <c r="T358" s="67"/>
      <c r="U358" s="66"/>
      <c r="V358" s="66"/>
      <c r="W358" s="66"/>
      <c r="X358" s="85"/>
      <c r="AP358" t="str">
        <v/>
      </c>
    </row>
    <row r="359" spans="4:42" ht="15.75" x14ac:dyDescent="0.25">
      <c r="D359" s="3">
        <v>1</v>
      </c>
      <c r="F359" s="16" t="str" cm="1">
        <f t="array" ref="F3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9" s="31" cm="1">
        <f t="array" ref="G3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9" s="33" t="str">
        <f>_xlfn.IFNA(IF(MOD(HLG_04[[#This Row],[Rit]],
    _xlfn.XLOOKUP($G$2,Int_Sample[Ore],Int_Sample[Inc])) = 0, "YES", "NO"),"")</f>
        <v/>
      </c>
      <c r="I359" s="32" t="str">
        <f>TEXT(HLG_04[[#This Row],[Batch]],"000")&amp; " / " &amp; TEXT(HLG_04[[#This Row],[Rit]],"000")</f>
        <v>N/A / 000</v>
      </c>
      <c r="J359" s="34"/>
      <c r="K359" s="38"/>
      <c r="L359" s="35"/>
      <c r="M359" s="66"/>
      <c r="N359" s="66"/>
      <c r="O359" s="66"/>
      <c r="P359" s="66"/>
      <c r="Q359" s="66"/>
      <c r="R359" s="67"/>
      <c r="S359" s="67"/>
      <c r="T359" s="67"/>
      <c r="U359" s="66"/>
      <c r="V359" s="66"/>
      <c r="W359" s="66"/>
      <c r="X359" s="85"/>
      <c r="AP359" t="str">
        <v/>
      </c>
    </row>
    <row r="360" spans="4:42" ht="15.75" x14ac:dyDescent="0.25">
      <c r="D360" s="3">
        <v>1</v>
      </c>
      <c r="F360" s="16" t="str" cm="1">
        <f t="array" ref="F3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0" s="31" cm="1">
        <f t="array" ref="G3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0" s="33" t="str">
        <f>_xlfn.IFNA(IF(MOD(HLG_04[[#This Row],[Rit]],
    _xlfn.XLOOKUP($G$2,Int_Sample[Ore],Int_Sample[Inc])) = 0, "YES", "NO"),"")</f>
        <v/>
      </c>
      <c r="I360" s="32" t="str">
        <f>TEXT(HLG_04[[#This Row],[Batch]],"000")&amp; " / " &amp; TEXT(HLG_04[[#This Row],[Rit]],"000")</f>
        <v>N/A / 000</v>
      </c>
      <c r="J360" s="34"/>
      <c r="K360" s="38"/>
      <c r="L360" s="35"/>
      <c r="M360" s="66"/>
      <c r="N360" s="66"/>
      <c r="O360" s="66"/>
      <c r="P360" s="66"/>
      <c r="Q360" s="66"/>
      <c r="R360" s="67"/>
      <c r="S360" s="67"/>
      <c r="T360" s="67"/>
      <c r="U360" s="66"/>
      <c r="V360" s="66"/>
      <c r="W360" s="66"/>
      <c r="X360" s="85"/>
      <c r="AP360" t="str">
        <v/>
      </c>
    </row>
    <row r="361" spans="4:42" ht="15.75" x14ac:dyDescent="0.25">
      <c r="D361" s="3">
        <v>1</v>
      </c>
      <c r="F361" s="16" t="str" cm="1">
        <f t="array" ref="F3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1" s="31" cm="1">
        <f t="array" ref="G3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1" s="33" t="str">
        <f>_xlfn.IFNA(IF(MOD(HLG_04[[#This Row],[Rit]],
    _xlfn.XLOOKUP($G$2,Int_Sample[Ore],Int_Sample[Inc])) = 0, "YES", "NO"),"")</f>
        <v/>
      </c>
      <c r="I361" s="32" t="str">
        <f>TEXT(HLG_04[[#This Row],[Batch]],"000")&amp; " / " &amp; TEXT(HLG_04[[#This Row],[Rit]],"000")</f>
        <v>N/A / 000</v>
      </c>
      <c r="J361" s="34"/>
      <c r="K361" s="38"/>
      <c r="L361" s="35"/>
      <c r="M361" s="66"/>
      <c r="N361" s="66"/>
      <c r="O361" s="66"/>
      <c r="P361" s="66"/>
      <c r="Q361" s="66"/>
      <c r="R361" s="67"/>
      <c r="S361" s="67"/>
      <c r="T361" s="67"/>
      <c r="U361" s="66"/>
      <c r="V361" s="66"/>
      <c r="W361" s="66"/>
      <c r="X361" s="85"/>
      <c r="AP361" t="str">
        <v/>
      </c>
    </row>
    <row r="362" spans="4:42" ht="15.75" x14ac:dyDescent="0.25">
      <c r="D362" s="3">
        <v>1</v>
      </c>
      <c r="F362" s="16" t="str" cm="1">
        <f t="array" ref="F3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2" s="31" cm="1">
        <f t="array" ref="G3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2" s="33" t="str">
        <f>_xlfn.IFNA(IF(MOD(HLG_04[[#This Row],[Rit]],
    _xlfn.XLOOKUP($G$2,Int_Sample[Ore],Int_Sample[Inc])) = 0, "YES", "NO"),"")</f>
        <v/>
      </c>
      <c r="I362" s="32" t="str">
        <f>TEXT(HLG_04[[#This Row],[Batch]],"000")&amp; " / " &amp; TEXT(HLG_04[[#This Row],[Rit]],"000")</f>
        <v>N/A / 000</v>
      </c>
      <c r="J362" s="34"/>
      <c r="K362" s="38"/>
      <c r="L362" s="35"/>
      <c r="M362" s="66"/>
      <c r="N362" s="66"/>
      <c r="O362" s="66"/>
      <c r="P362" s="66"/>
      <c r="Q362" s="66"/>
      <c r="R362" s="67"/>
      <c r="S362" s="67"/>
      <c r="T362" s="67"/>
      <c r="U362" s="66"/>
      <c r="V362" s="66"/>
      <c r="W362" s="66"/>
      <c r="X362" s="85"/>
      <c r="AP362" t="str">
        <v/>
      </c>
    </row>
    <row r="363" spans="4:42" ht="15.75" x14ac:dyDescent="0.25">
      <c r="D363" s="3">
        <v>1</v>
      </c>
      <c r="F363" s="16" t="str" cm="1">
        <f t="array" ref="F3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3" s="31" cm="1">
        <f t="array" ref="G3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3" s="33" t="str">
        <f>_xlfn.IFNA(IF(MOD(HLG_04[[#This Row],[Rit]],
    _xlfn.XLOOKUP($G$2,Int_Sample[Ore],Int_Sample[Inc])) = 0, "YES", "NO"),"")</f>
        <v/>
      </c>
      <c r="I363" s="32" t="str">
        <f>TEXT(HLG_04[[#This Row],[Batch]],"000")&amp; " / " &amp; TEXT(HLG_04[[#This Row],[Rit]],"000")</f>
        <v>N/A / 000</v>
      </c>
      <c r="J363" s="34"/>
      <c r="K363" s="38"/>
      <c r="L363" s="35"/>
      <c r="M363" s="66"/>
      <c r="N363" s="66"/>
      <c r="O363" s="66"/>
      <c r="P363" s="66"/>
      <c r="Q363" s="66"/>
      <c r="R363" s="67"/>
      <c r="S363" s="67"/>
      <c r="T363" s="67"/>
      <c r="U363" s="66"/>
      <c r="V363" s="66"/>
      <c r="W363" s="66"/>
      <c r="X363" s="85"/>
      <c r="AP363" t="str">
        <v/>
      </c>
    </row>
    <row r="364" spans="4:42" ht="15.75" x14ac:dyDescent="0.25">
      <c r="D364" s="3">
        <v>1</v>
      </c>
      <c r="F364" s="16" t="str" cm="1">
        <f t="array" ref="F3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4" s="31" cm="1">
        <f t="array" ref="G3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4" s="33" t="str">
        <f>_xlfn.IFNA(IF(MOD(HLG_04[[#This Row],[Rit]],
    _xlfn.XLOOKUP($G$2,Int_Sample[Ore],Int_Sample[Inc])) = 0, "YES", "NO"),"")</f>
        <v/>
      </c>
      <c r="I364" s="32" t="str">
        <f>TEXT(HLG_04[[#This Row],[Batch]],"000")&amp; " / " &amp; TEXT(HLG_04[[#This Row],[Rit]],"000")</f>
        <v>N/A / 000</v>
      </c>
      <c r="J364" s="34"/>
      <c r="K364" s="38"/>
      <c r="L364" s="35"/>
      <c r="M364" s="66"/>
      <c r="N364" s="66"/>
      <c r="O364" s="66"/>
      <c r="P364" s="66"/>
      <c r="Q364" s="66"/>
      <c r="R364" s="67"/>
      <c r="S364" s="67"/>
      <c r="T364" s="67"/>
      <c r="U364" s="66"/>
      <c r="V364" s="66"/>
      <c r="W364" s="66"/>
      <c r="X364" s="85"/>
      <c r="AP364" t="str">
        <v/>
      </c>
    </row>
    <row r="365" spans="4:42" ht="15.75" x14ac:dyDescent="0.25">
      <c r="D365" s="3">
        <v>1</v>
      </c>
      <c r="F365" s="16" t="str" cm="1">
        <f t="array" ref="F3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5" s="31" cm="1">
        <f t="array" ref="G3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5" s="33" t="str">
        <f>_xlfn.IFNA(IF(MOD(HLG_04[[#This Row],[Rit]],
    _xlfn.XLOOKUP($G$2,Int_Sample[Ore],Int_Sample[Inc])) = 0, "YES", "NO"),"")</f>
        <v/>
      </c>
      <c r="I365" s="32" t="str">
        <f>TEXT(HLG_04[[#This Row],[Batch]],"000")&amp; " / " &amp; TEXT(HLG_04[[#This Row],[Rit]],"000")</f>
        <v>N/A / 000</v>
      </c>
      <c r="J365" s="34"/>
      <c r="K365" s="38"/>
      <c r="L365" s="35"/>
      <c r="M365" s="66"/>
      <c r="N365" s="66"/>
      <c r="O365" s="66"/>
      <c r="P365" s="66"/>
      <c r="Q365" s="66"/>
      <c r="R365" s="67"/>
      <c r="S365" s="67"/>
      <c r="T365" s="67"/>
      <c r="U365" s="66"/>
      <c r="V365" s="66"/>
      <c r="W365" s="66"/>
      <c r="X365" s="85"/>
      <c r="AP365" t="str">
        <v/>
      </c>
    </row>
    <row r="366" spans="4:42" ht="15.75" x14ac:dyDescent="0.25">
      <c r="D366" s="3">
        <v>1</v>
      </c>
      <c r="F366" s="16" t="str" cm="1">
        <f t="array" ref="F3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6" s="31" cm="1">
        <f t="array" ref="G3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6" s="33" t="str">
        <f>_xlfn.IFNA(IF(MOD(HLG_04[[#This Row],[Rit]],
    _xlfn.XLOOKUP($G$2,Int_Sample[Ore],Int_Sample[Inc])) = 0, "YES", "NO"),"")</f>
        <v/>
      </c>
      <c r="I366" s="32" t="str">
        <f>TEXT(HLG_04[[#This Row],[Batch]],"000")&amp; " / " &amp; TEXT(HLG_04[[#This Row],[Rit]],"000")</f>
        <v>N/A / 000</v>
      </c>
      <c r="J366" s="34"/>
      <c r="K366" s="38"/>
      <c r="L366" s="35"/>
      <c r="M366" s="66"/>
      <c r="N366" s="66"/>
      <c r="O366" s="66"/>
      <c r="P366" s="66"/>
      <c r="Q366" s="66"/>
      <c r="R366" s="67"/>
      <c r="S366" s="67"/>
      <c r="T366" s="67"/>
      <c r="U366" s="66"/>
      <c r="V366" s="66"/>
      <c r="W366" s="66"/>
      <c r="X366" s="85"/>
      <c r="AP366" t="str">
        <v/>
      </c>
    </row>
    <row r="367" spans="4:42" ht="15.75" x14ac:dyDescent="0.25">
      <c r="D367" s="3">
        <v>1</v>
      </c>
      <c r="F367" s="16" t="str" cm="1">
        <f t="array" ref="F3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7" s="31" cm="1">
        <f t="array" ref="G3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7" s="33" t="str">
        <f>_xlfn.IFNA(IF(MOD(HLG_04[[#This Row],[Rit]],
    _xlfn.XLOOKUP($G$2,Int_Sample[Ore],Int_Sample[Inc])) = 0, "YES", "NO"),"")</f>
        <v/>
      </c>
      <c r="I367" s="32" t="str">
        <f>TEXT(HLG_04[[#This Row],[Batch]],"000")&amp; " / " &amp; TEXT(HLG_04[[#This Row],[Rit]],"000")</f>
        <v>N/A / 000</v>
      </c>
      <c r="J367" s="34"/>
      <c r="K367" s="38"/>
      <c r="L367" s="35"/>
      <c r="M367" s="66"/>
      <c r="N367" s="66"/>
      <c r="O367" s="66"/>
      <c r="P367" s="66"/>
      <c r="Q367" s="66"/>
      <c r="R367" s="67"/>
      <c r="S367" s="67"/>
      <c r="T367" s="67"/>
      <c r="U367" s="66"/>
      <c r="V367" s="66"/>
      <c r="W367" s="66"/>
      <c r="X367" s="85"/>
      <c r="AP367" t="str">
        <v/>
      </c>
    </row>
    <row r="368" spans="4:42" ht="15.75" x14ac:dyDescent="0.25">
      <c r="D368" s="3">
        <v>1</v>
      </c>
      <c r="F368" s="16" t="str" cm="1">
        <f t="array" ref="F3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8" s="31" cm="1">
        <f t="array" ref="G3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8" s="33" t="str">
        <f>_xlfn.IFNA(IF(MOD(HLG_04[[#This Row],[Rit]],
    _xlfn.XLOOKUP($G$2,Int_Sample[Ore],Int_Sample[Inc])) = 0, "YES", "NO"),"")</f>
        <v/>
      </c>
      <c r="I368" s="32" t="str">
        <f>TEXT(HLG_04[[#This Row],[Batch]],"000")&amp; " / " &amp; TEXT(HLG_04[[#This Row],[Rit]],"000")</f>
        <v>N/A / 000</v>
      </c>
      <c r="J368" s="34"/>
      <c r="K368" s="38"/>
      <c r="L368" s="35"/>
      <c r="M368" s="66"/>
      <c r="N368" s="66"/>
      <c r="O368" s="66"/>
      <c r="P368" s="66"/>
      <c r="Q368" s="66"/>
      <c r="R368" s="67"/>
      <c r="S368" s="67"/>
      <c r="T368" s="67"/>
      <c r="U368" s="66"/>
      <c r="V368" s="66"/>
      <c r="W368" s="66"/>
      <c r="X368" s="85"/>
      <c r="AP368" t="str">
        <v/>
      </c>
    </row>
    <row r="369" spans="4:42" ht="15.75" x14ac:dyDescent="0.25">
      <c r="D369" s="3">
        <v>1</v>
      </c>
      <c r="F369" s="16" t="str" cm="1">
        <f t="array" ref="F3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9" s="31" cm="1">
        <f t="array" ref="G3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9" s="33" t="str">
        <f>_xlfn.IFNA(IF(MOD(HLG_04[[#This Row],[Rit]],
    _xlfn.XLOOKUP($G$2,Int_Sample[Ore],Int_Sample[Inc])) = 0, "YES", "NO"),"")</f>
        <v/>
      </c>
      <c r="I369" s="32" t="str">
        <f>TEXT(HLG_04[[#This Row],[Batch]],"000")&amp; " / " &amp; TEXT(HLG_04[[#This Row],[Rit]],"000")</f>
        <v>N/A / 000</v>
      </c>
      <c r="J369" s="34"/>
      <c r="K369" s="38"/>
      <c r="L369" s="35"/>
      <c r="M369" s="66"/>
      <c r="N369" s="66"/>
      <c r="O369" s="66"/>
      <c r="P369" s="66"/>
      <c r="Q369" s="66"/>
      <c r="R369" s="67"/>
      <c r="S369" s="67"/>
      <c r="T369" s="67"/>
      <c r="U369" s="66"/>
      <c r="V369" s="66"/>
      <c r="W369" s="66"/>
      <c r="X369" s="85"/>
      <c r="AP369" t="str">
        <v/>
      </c>
    </row>
    <row r="370" spans="4:42" ht="15.75" x14ac:dyDescent="0.25">
      <c r="D370" s="3">
        <v>1</v>
      </c>
      <c r="F370" s="16" t="str" cm="1">
        <f t="array" ref="F3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0" s="31" cm="1">
        <f t="array" ref="G3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0" s="33" t="str">
        <f>_xlfn.IFNA(IF(MOD(HLG_04[[#This Row],[Rit]],
    _xlfn.XLOOKUP($G$2,Int_Sample[Ore],Int_Sample[Inc])) = 0, "YES", "NO"),"")</f>
        <v/>
      </c>
      <c r="I370" s="32" t="str">
        <f>TEXT(HLG_04[[#This Row],[Batch]],"000")&amp; " / " &amp; TEXT(HLG_04[[#This Row],[Rit]],"000")</f>
        <v>N/A / 000</v>
      </c>
      <c r="J370" s="34"/>
      <c r="K370" s="38"/>
      <c r="L370" s="35"/>
      <c r="M370" s="66"/>
      <c r="N370" s="66"/>
      <c r="O370" s="66"/>
      <c r="P370" s="66"/>
      <c r="Q370" s="66"/>
      <c r="R370" s="67"/>
      <c r="S370" s="67"/>
      <c r="T370" s="67"/>
      <c r="U370" s="66"/>
      <c r="V370" s="66"/>
      <c r="W370" s="66"/>
      <c r="X370" s="85"/>
      <c r="AP370" t="str">
        <v/>
      </c>
    </row>
    <row r="371" spans="4:42" ht="15.75" x14ac:dyDescent="0.25">
      <c r="D371" s="3">
        <v>1</v>
      </c>
      <c r="F371" s="16" t="str" cm="1">
        <f t="array" ref="F3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1" s="31" cm="1">
        <f t="array" ref="G3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1" s="33" t="str">
        <f>_xlfn.IFNA(IF(MOD(HLG_04[[#This Row],[Rit]],
    _xlfn.XLOOKUP($G$2,Int_Sample[Ore],Int_Sample[Inc])) = 0, "YES", "NO"),"")</f>
        <v/>
      </c>
      <c r="I371" s="32" t="str">
        <f>TEXT(HLG_04[[#This Row],[Batch]],"000")&amp; " / " &amp; TEXT(HLG_04[[#This Row],[Rit]],"000")</f>
        <v>N/A / 000</v>
      </c>
      <c r="J371" s="34"/>
      <c r="K371" s="38"/>
      <c r="L371" s="35"/>
      <c r="M371" s="66"/>
      <c r="N371" s="66"/>
      <c r="O371" s="66"/>
      <c r="P371" s="66"/>
      <c r="Q371" s="66"/>
      <c r="R371" s="67"/>
      <c r="S371" s="67"/>
      <c r="T371" s="67"/>
      <c r="U371" s="66"/>
      <c r="V371" s="66"/>
      <c r="W371" s="66"/>
      <c r="X371" s="85"/>
      <c r="AP371" t="str">
        <v/>
      </c>
    </row>
    <row r="372" spans="4:42" ht="15.75" x14ac:dyDescent="0.25">
      <c r="D372" s="3">
        <v>1</v>
      </c>
      <c r="F372" s="16" t="str" cm="1">
        <f t="array" ref="F3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2" s="31" cm="1">
        <f t="array" ref="G3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2" s="33" t="str">
        <f>_xlfn.IFNA(IF(MOD(HLG_04[[#This Row],[Rit]],
    _xlfn.XLOOKUP($G$2,Int_Sample[Ore],Int_Sample[Inc])) = 0, "YES", "NO"),"")</f>
        <v/>
      </c>
      <c r="I372" s="32" t="str">
        <f>TEXT(HLG_04[[#This Row],[Batch]],"000")&amp; " / " &amp; TEXT(HLG_04[[#This Row],[Rit]],"000")</f>
        <v>N/A / 000</v>
      </c>
      <c r="J372" s="34"/>
      <c r="K372" s="38"/>
      <c r="L372" s="35"/>
      <c r="M372" s="66"/>
      <c r="N372" s="66"/>
      <c r="O372" s="66"/>
      <c r="P372" s="66"/>
      <c r="Q372" s="66"/>
      <c r="R372" s="67"/>
      <c r="S372" s="67"/>
      <c r="T372" s="67"/>
      <c r="U372" s="66"/>
      <c r="V372" s="66"/>
      <c r="W372" s="66"/>
      <c r="X372" s="85"/>
      <c r="AP372" t="str">
        <v/>
      </c>
    </row>
    <row r="373" spans="4:42" ht="15.75" x14ac:dyDescent="0.25">
      <c r="D373" s="3">
        <v>1</v>
      </c>
      <c r="F373" s="16" t="str" cm="1">
        <f t="array" ref="F3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3" s="31" cm="1">
        <f t="array" ref="G3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3" s="33" t="str">
        <f>_xlfn.IFNA(IF(MOD(HLG_04[[#This Row],[Rit]],
    _xlfn.XLOOKUP($G$2,Int_Sample[Ore],Int_Sample[Inc])) = 0, "YES", "NO"),"")</f>
        <v/>
      </c>
      <c r="I373" s="32" t="str">
        <f>TEXT(HLG_04[[#This Row],[Batch]],"000")&amp; " / " &amp; TEXT(HLG_04[[#This Row],[Rit]],"000")</f>
        <v>N/A / 000</v>
      </c>
      <c r="J373" s="34"/>
      <c r="K373" s="38"/>
      <c r="L373" s="35"/>
      <c r="M373" s="66"/>
      <c r="N373" s="66"/>
      <c r="O373" s="66"/>
      <c r="P373" s="66"/>
      <c r="Q373" s="66"/>
      <c r="R373" s="67"/>
      <c r="S373" s="67"/>
      <c r="T373" s="67"/>
      <c r="U373" s="66"/>
      <c r="V373" s="66"/>
      <c r="W373" s="66"/>
      <c r="X373" s="85"/>
      <c r="AP373" t="str">
        <v/>
      </c>
    </row>
    <row r="374" spans="4:42" ht="15.75" x14ac:dyDescent="0.25">
      <c r="D374" s="3">
        <v>1</v>
      </c>
      <c r="F374" s="16" t="str" cm="1">
        <f t="array" ref="F3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4" s="31" cm="1">
        <f t="array" ref="G3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4" s="33" t="str">
        <f>_xlfn.IFNA(IF(MOD(HLG_04[[#This Row],[Rit]],
    _xlfn.XLOOKUP($G$2,Int_Sample[Ore],Int_Sample[Inc])) = 0, "YES", "NO"),"")</f>
        <v/>
      </c>
      <c r="I374" s="32" t="str">
        <f>TEXT(HLG_04[[#This Row],[Batch]],"000")&amp; " / " &amp; TEXT(HLG_04[[#This Row],[Rit]],"000")</f>
        <v>N/A / 000</v>
      </c>
      <c r="J374" s="34"/>
      <c r="K374" s="38"/>
      <c r="L374" s="35"/>
      <c r="M374" s="66"/>
      <c r="N374" s="66"/>
      <c r="O374" s="66"/>
      <c r="P374" s="66"/>
      <c r="Q374" s="66"/>
      <c r="R374" s="67"/>
      <c r="S374" s="67"/>
      <c r="T374" s="67"/>
      <c r="U374" s="66"/>
      <c r="V374" s="66"/>
      <c r="W374" s="66"/>
      <c r="X374" s="85"/>
      <c r="AP374" t="str">
        <v/>
      </c>
    </row>
    <row r="375" spans="4:42" ht="15.75" x14ac:dyDescent="0.25">
      <c r="D375" s="3">
        <v>1</v>
      </c>
      <c r="F375" s="16" t="str" cm="1">
        <f t="array" ref="F3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5" s="31" cm="1">
        <f t="array" ref="G3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5" s="33" t="str">
        <f>_xlfn.IFNA(IF(MOD(HLG_04[[#This Row],[Rit]],
    _xlfn.XLOOKUP($G$2,Int_Sample[Ore],Int_Sample[Inc])) = 0, "YES", "NO"),"")</f>
        <v/>
      </c>
      <c r="I375" s="32" t="str">
        <f>TEXT(HLG_04[[#This Row],[Batch]],"000")&amp; " / " &amp; TEXT(HLG_04[[#This Row],[Rit]],"000")</f>
        <v>N/A / 000</v>
      </c>
      <c r="J375" s="34"/>
      <c r="K375" s="38"/>
      <c r="L375" s="35"/>
      <c r="M375" s="66"/>
      <c r="N375" s="66"/>
      <c r="O375" s="66"/>
      <c r="P375" s="66"/>
      <c r="Q375" s="66"/>
      <c r="R375" s="67"/>
      <c r="S375" s="67"/>
      <c r="T375" s="67"/>
      <c r="U375" s="66"/>
      <c r="V375" s="66"/>
      <c r="W375" s="66"/>
      <c r="X375" s="85"/>
      <c r="AP375" t="str">
        <v/>
      </c>
    </row>
    <row r="376" spans="4:42" ht="15.75" x14ac:dyDescent="0.25">
      <c r="D376" s="3">
        <v>1</v>
      </c>
      <c r="F376" s="16" t="str" cm="1">
        <f t="array" ref="F3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6" s="31" cm="1">
        <f t="array" ref="G3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6" s="33" t="str">
        <f>_xlfn.IFNA(IF(MOD(HLG_04[[#This Row],[Rit]],
    _xlfn.XLOOKUP($G$2,Int_Sample[Ore],Int_Sample[Inc])) = 0, "YES", "NO"),"")</f>
        <v/>
      </c>
      <c r="I376" s="32" t="str">
        <f>TEXT(HLG_04[[#This Row],[Batch]],"000")&amp; " / " &amp; TEXT(HLG_04[[#This Row],[Rit]],"000")</f>
        <v>N/A / 000</v>
      </c>
      <c r="J376" s="34"/>
      <c r="K376" s="38"/>
      <c r="L376" s="35"/>
      <c r="M376" s="66"/>
      <c r="N376" s="66"/>
      <c r="O376" s="66"/>
      <c r="P376" s="66"/>
      <c r="Q376" s="66"/>
      <c r="R376" s="67"/>
      <c r="S376" s="67"/>
      <c r="T376" s="67"/>
      <c r="U376" s="66"/>
      <c r="V376" s="66"/>
      <c r="W376" s="66"/>
      <c r="X376" s="85"/>
      <c r="AP376" t="str">
        <v/>
      </c>
    </row>
    <row r="377" spans="4:42" ht="15.75" x14ac:dyDescent="0.25">
      <c r="D377" s="3">
        <v>1</v>
      </c>
      <c r="F377" s="16" t="str" cm="1">
        <f t="array" ref="F3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7" s="31" cm="1">
        <f t="array" ref="G3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7" s="33" t="str">
        <f>_xlfn.IFNA(IF(MOD(HLG_04[[#This Row],[Rit]],
    _xlfn.XLOOKUP($G$2,Int_Sample[Ore],Int_Sample[Inc])) = 0, "YES", "NO"),"")</f>
        <v/>
      </c>
      <c r="I377" s="32" t="str">
        <f>TEXT(HLG_04[[#This Row],[Batch]],"000")&amp; " / " &amp; TEXT(HLG_04[[#This Row],[Rit]],"000")</f>
        <v>N/A / 000</v>
      </c>
      <c r="J377" s="34"/>
      <c r="K377" s="38"/>
      <c r="L377" s="35"/>
      <c r="M377" s="66"/>
      <c r="N377" s="66"/>
      <c r="O377" s="66"/>
      <c r="P377" s="66"/>
      <c r="Q377" s="66"/>
      <c r="R377" s="67"/>
      <c r="S377" s="67"/>
      <c r="T377" s="67"/>
      <c r="U377" s="66"/>
      <c r="V377" s="66"/>
      <c r="W377" s="66"/>
      <c r="X377" s="85"/>
      <c r="AP377" t="str">
        <v/>
      </c>
    </row>
    <row r="378" spans="4:42" ht="15.75" x14ac:dyDescent="0.25">
      <c r="D378" s="3">
        <v>1</v>
      </c>
      <c r="F378" s="16" t="str" cm="1">
        <f t="array" ref="F3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8" s="31" cm="1">
        <f t="array" ref="G3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8" s="33" t="str">
        <f>_xlfn.IFNA(IF(MOD(HLG_04[[#This Row],[Rit]],
    _xlfn.XLOOKUP($G$2,Int_Sample[Ore],Int_Sample[Inc])) = 0, "YES", "NO"),"")</f>
        <v/>
      </c>
      <c r="I378" s="32" t="str">
        <f>TEXT(HLG_04[[#This Row],[Batch]],"000")&amp; " / " &amp; TEXT(HLG_04[[#This Row],[Rit]],"000")</f>
        <v>N/A / 000</v>
      </c>
      <c r="J378" s="34"/>
      <c r="K378" s="38"/>
      <c r="L378" s="35"/>
      <c r="M378" s="66"/>
      <c r="N378" s="66"/>
      <c r="O378" s="66"/>
      <c r="P378" s="66"/>
      <c r="Q378" s="66"/>
      <c r="R378" s="67"/>
      <c r="S378" s="67"/>
      <c r="T378" s="67"/>
      <c r="U378" s="66"/>
      <c r="V378" s="66"/>
      <c r="W378" s="66"/>
      <c r="X378" s="85"/>
      <c r="AP378" t="str">
        <v/>
      </c>
    </row>
    <row r="379" spans="4:42" ht="15.75" x14ac:dyDescent="0.25">
      <c r="D379" s="3">
        <v>1</v>
      </c>
      <c r="F379" s="16" t="str" cm="1">
        <f t="array" ref="F3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9" s="31" cm="1">
        <f t="array" ref="G3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9" s="33" t="str">
        <f>_xlfn.IFNA(IF(MOD(HLG_04[[#This Row],[Rit]],
    _xlfn.XLOOKUP($G$2,Int_Sample[Ore],Int_Sample[Inc])) = 0, "YES", "NO"),"")</f>
        <v/>
      </c>
      <c r="I379" s="32" t="str">
        <f>TEXT(HLG_04[[#This Row],[Batch]],"000")&amp; " / " &amp; TEXT(HLG_04[[#This Row],[Rit]],"000")</f>
        <v>N/A / 000</v>
      </c>
      <c r="J379" s="34"/>
      <c r="K379" s="38"/>
      <c r="L379" s="35"/>
      <c r="M379" s="66"/>
      <c r="N379" s="66"/>
      <c r="O379" s="66"/>
      <c r="P379" s="66"/>
      <c r="Q379" s="66"/>
      <c r="R379" s="67"/>
      <c r="S379" s="67"/>
      <c r="T379" s="67"/>
      <c r="U379" s="66"/>
      <c r="V379" s="66"/>
      <c r="W379" s="66"/>
      <c r="X379" s="85"/>
      <c r="AP379" t="str">
        <v/>
      </c>
    </row>
    <row r="380" spans="4:42" ht="15.75" x14ac:dyDescent="0.25">
      <c r="D380" s="3">
        <v>1</v>
      </c>
      <c r="F380" s="16" t="str" cm="1">
        <f t="array" ref="F3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0" s="31" cm="1">
        <f t="array" ref="G3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0" s="33" t="str">
        <f>_xlfn.IFNA(IF(MOD(HLG_04[[#This Row],[Rit]],
    _xlfn.XLOOKUP($G$2,Int_Sample[Ore],Int_Sample[Inc])) = 0, "YES", "NO"),"")</f>
        <v/>
      </c>
      <c r="I380" s="32" t="str">
        <f>TEXT(HLG_04[[#This Row],[Batch]],"000")&amp; " / " &amp; TEXT(HLG_04[[#This Row],[Rit]],"000")</f>
        <v>N/A / 000</v>
      </c>
      <c r="J380" s="34"/>
      <c r="K380" s="38"/>
      <c r="L380" s="35"/>
      <c r="M380" s="66"/>
      <c r="N380" s="66"/>
      <c r="O380" s="66"/>
      <c r="P380" s="66"/>
      <c r="Q380" s="66"/>
      <c r="R380" s="67"/>
      <c r="S380" s="67"/>
      <c r="T380" s="67"/>
      <c r="U380" s="66"/>
      <c r="V380" s="66"/>
      <c r="W380" s="66"/>
      <c r="X380" s="85"/>
      <c r="AP380" t="str">
        <v/>
      </c>
    </row>
    <row r="381" spans="4:42" ht="15.75" x14ac:dyDescent="0.25">
      <c r="D381" s="3">
        <v>1</v>
      </c>
      <c r="F381" s="16" t="str" cm="1">
        <f t="array" ref="F3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1" s="31" cm="1">
        <f t="array" ref="G3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1" s="33" t="str">
        <f>_xlfn.IFNA(IF(MOD(HLG_04[[#This Row],[Rit]],
    _xlfn.XLOOKUP($G$2,Int_Sample[Ore],Int_Sample[Inc])) = 0, "YES", "NO"),"")</f>
        <v/>
      </c>
      <c r="I381" s="32" t="str">
        <f>TEXT(HLG_04[[#This Row],[Batch]],"000")&amp; " / " &amp; TEXT(HLG_04[[#This Row],[Rit]],"000")</f>
        <v>N/A / 000</v>
      </c>
      <c r="J381" s="34"/>
      <c r="K381" s="38"/>
      <c r="L381" s="35"/>
      <c r="M381" s="66"/>
      <c r="N381" s="66"/>
      <c r="O381" s="66"/>
      <c r="P381" s="66"/>
      <c r="Q381" s="66"/>
      <c r="R381" s="67"/>
      <c r="S381" s="67"/>
      <c r="T381" s="67"/>
      <c r="U381" s="66"/>
      <c r="V381" s="66"/>
      <c r="W381" s="66"/>
      <c r="X381" s="85"/>
      <c r="AP381" t="str">
        <v/>
      </c>
    </row>
    <row r="382" spans="4:42" ht="15.75" x14ac:dyDescent="0.25">
      <c r="D382" s="3">
        <v>1</v>
      </c>
      <c r="F382" s="16" t="str" cm="1">
        <f t="array" ref="F3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2" s="31" cm="1">
        <f t="array" ref="G3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2" s="33" t="str">
        <f>_xlfn.IFNA(IF(MOD(HLG_04[[#This Row],[Rit]],
    _xlfn.XLOOKUP($G$2,Int_Sample[Ore],Int_Sample[Inc])) = 0, "YES", "NO"),"")</f>
        <v/>
      </c>
      <c r="I382" s="32" t="str">
        <f>TEXT(HLG_04[[#This Row],[Batch]],"000")&amp; " / " &amp; TEXT(HLG_04[[#This Row],[Rit]],"000")</f>
        <v>N/A / 000</v>
      </c>
      <c r="J382" s="34"/>
      <c r="K382" s="38"/>
      <c r="L382" s="35"/>
      <c r="M382" s="66"/>
      <c r="N382" s="66"/>
      <c r="O382" s="66"/>
      <c r="P382" s="66"/>
      <c r="Q382" s="66"/>
      <c r="R382" s="67"/>
      <c r="S382" s="67"/>
      <c r="T382" s="67"/>
      <c r="U382" s="66"/>
      <c r="V382" s="66"/>
      <c r="W382" s="66"/>
      <c r="X382" s="85"/>
      <c r="AP382" t="str">
        <v/>
      </c>
    </row>
    <row r="383" spans="4:42" ht="15.75" x14ac:dyDescent="0.25">
      <c r="D383" s="3">
        <v>1</v>
      </c>
      <c r="F383" s="16" t="str" cm="1">
        <f t="array" ref="F3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3" s="31" cm="1">
        <f t="array" ref="G3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3" s="33" t="str">
        <f>_xlfn.IFNA(IF(MOD(HLG_04[[#This Row],[Rit]],
    _xlfn.XLOOKUP($G$2,Int_Sample[Ore],Int_Sample[Inc])) = 0, "YES", "NO"),"")</f>
        <v/>
      </c>
      <c r="I383" s="32" t="str">
        <f>TEXT(HLG_04[[#This Row],[Batch]],"000")&amp; " / " &amp; TEXT(HLG_04[[#This Row],[Rit]],"000")</f>
        <v>N/A / 000</v>
      </c>
      <c r="J383" s="34"/>
      <c r="K383" s="38"/>
      <c r="L383" s="35"/>
      <c r="M383" s="66"/>
      <c r="N383" s="66"/>
      <c r="O383" s="66"/>
      <c r="P383" s="66"/>
      <c r="Q383" s="66"/>
      <c r="R383" s="67"/>
      <c r="S383" s="67"/>
      <c r="T383" s="67"/>
      <c r="U383" s="66"/>
      <c r="V383" s="66"/>
      <c r="W383" s="66"/>
      <c r="X383" s="85"/>
      <c r="AP383" t="str">
        <v/>
      </c>
    </row>
    <row r="384" spans="4:42" ht="15.75" x14ac:dyDescent="0.25">
      <c r="D384" s="3">
        <v>1</v>
      </c>
      <c r="F384" s="16" t="str" cm="1">
        <f t="array" ref="F3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4" s="31" cm="1">
        <f t="array" ref="G3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4" s="33" t="str">
        <f>_xlfn.IFNA(IF(MOD(HLG_04[[#This Row],[Rit]],
    _xlfn.XLOOKUP($G$2,Int_Sample[Ore],Int_Sample[Inc])) = 0, "YES", "NO"),"")</f>
        <v/>
      </c>
      <c r="I384" s="32" t="str">
        <f>TEXT(HLG_04[[#This Row],[Batch]],"000")&amp; " / " &amp; TEXT(HLG_04[[#This Row],[Rit]],"000")</f>
        <v>N/A / 000</v>
      </c>
      <c r="J384" s="34"/>
      <c r="K384" s="38"/>
      <c r="L384" s="35"/>
      <c r="M384" s="66"/>
      <c r="N384" s="66"/>
      <c r="O384" s="66"/>
      <c r="P384" s="66"/>
      <c r="Q384" s="66"/>
      <c r="R384" s="67"/>
      <c r="S384" s="67"/>
      <c r="T384" s="67"/>
      <c r="U384" s="66"/>
      <c r="V384" s="66"/>
      <c r="W384" s="66"/>
      <c r="X384" s="85"/>
      <c r="AP384" t="str">
        <v/>
      </c>
    </row>
    <row r="385" spans="4:42" ht="15.75" x14ac:dyDescent="0.25">
      <c r="D385" s="3">
        <v>1</v>
      </c>
      <c r="F385" s="16" t="str" cm="1">
        <f t="array" ref="F3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5" s="31" cm="1">
        <f t="array" ref="G3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5" s="33" t="str">
        <f>_xlfn.IFNA(IF(MOD(HLG_04[[#This Row],[Rit]],
    _xlfn.XLOOKUP($G$2,Int_Sample[Ore],Int_Sample[Inc])) = 0, "YES", "NO"),"")</f>
        <v/>
      </c>
      <c r="I385" s="32" t="str">
        <f>TEXT(HLG_04[[#This Row],[Batch]],"000")&amp; " / " &amp; TEXT(HLG_04[[#This Row],[Rit]],"000")</f>
        <v>N/A / 000</v>
      </c>
      <c r="J385" s="34"/>
      <c r="K385" s="38"/>
      <c r="L385" s="35"/>
      <c r="M385" s="66"/>
      <c r="N385" s="66"/>
      <c r="O385" s="66"/>
      <c r="P385" s="66"/>
      <c r="Q385" s="66"/>
      <c r="R385" s="67"/>
      <c r="S385" s="67"/>
      <c r="T385" s="67"/>
      <c r="U385" s="66"/>
      <c r="V385" s="66"/>
      <c r="W385" s="66"/>
      <c r="X385" s="85"/>
      <c r="AP385" t="str">
        <v/>
      </c>
    </row>
    <row r="386" spans="4:42" ht="15.75" x14ac:dyDescent="0.25">
      <c r="D386" s="3">
        <v>1</v>
      </c>
      <c r="F386" s="16" t="str" cm="1">
        <f t="array" ref="F3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6" s="31" cm="1">
        <f t="array" ref="G3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6" s="33" t="str">
        <f>_xlfn.IFNA(IF(MOD(HLG_04[[#This Row],[Rit]],
    _xlfn.XLOOKUP($G$2,Int_Sample[Ore],Int_Sample[Inc])) = 0, "YES", "NO"),"")</f>
        <v/>
      </c>
      <c r="I386" s="32" t="str">
        <f>TEXT(HLG_04[[#This Row],[Batch]],"000")&amp; " / " &amp; TEXT(HLG_04[[#This Row],[Rit]],"000")</f>
        <v>N/A / 000</v>
      </c>
      <c r="J386" s="34"/>
      <c r="K386" s="38"/>
      <c r="L386" s="35"/>
      <c r="M386" s="66"/>
      <c r="N386" s="66"/>
      <c r="O386" s="66"/>
      <c r="P386" s="66"/>
      <c r="Q386" s="66"/>
      <c r="R386" s="67"/>
      <c r="S386" s="67"/>
      <c r="T386" s="67"/>
      <c r="U386" s="66"/>
      <c r="V386" s="66"/>
      <c r="W386" s="66"/>
      <c r="X386" s="85"/>
      <c r="AP386" t="str">
        <v/>
      </c>
    </row>
    <row r="387" spans="4:42" ht="15.75" x14ac:dyDescent="0.25">
      <c r="D387" s="3">
        <v>1</v>
      </c>
      <c r="F387" s="16" t="str" cm="1">
        <f t="array" ref="F3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7" s="31" cm="1">
        <f t="array" ref="G3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7" s="33" t="str">
        <f>_xlfn.IFNA(IF(MOD(HLG_04[[#This Row],[Rit]],
    _xlfn.XLOOKUP($G$2,Int_Sample[Ore],Int_Sample[Inc])) = 0, "YES", "NO"),"")</f>
        <v/>
      </c>
      <c r="I387" s="32" t="str">
        <f>TEXT(HLG_04[[#This Row],[Batch]],"000")&amp; " / " &amp; TEXT(HLG_04[[#This Row],[Rit]],"000")</f>
        <v>N/A / 000</v>
      </c>
      <c r="J387" s="34"/>
      <c r="K387" s="38"/>
      <c r="L387" s="35"/>
      <c r="M387" s="66"/>
      <c r="N387" s="66"/>
      <c r="O387" s="66"/>
      <c r="P387" s="66"/>
      <c r="Q387" s="66"/>
      <c r="R387" s="67"/>
      <c r="S387" s="67"/>
      <c r="T387" s="67"/>
      <c r="U387" s="66"/>
      <c r="V387" s="66"/>
      <c r="W387" s="66"/>
      <c r="X387" s="85"/>
      <c r="AP387" t="str">
        <v/>
      </c>
    </row>
    <row r="388" spans="4:42" ht="15.75" x14ac:dyDescent="0.25">
      <c r="D388" s="3">
        <v>1</v>
      </c>
      <c r="F388" s="16" t="str" cm="1">
        <f t="array" ref="F3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8" s="31" cm="1">
        <f t="array" ref="G3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8" s="33" t="str">
        <f>_xlfn.IFNA(IF(MOD(HLG_04[[#This Row],[Rit]],
    _xlfn.XLOOKUP($G$2,Int_Sample[Ore],Int_Sample[Inc])) = 0, "YES", "NO"),"")</f>
        <v/>
      </c>
      <c r="I388" s="32" t="str">
        <f>TEXT(HLG_04[[#This Row],[Batch]],"000")&amp; " / " &amp; TEXT(HLG_04[[#This Row],[Rit]],"000")</f>
        <v>N/A / 000</v>
      </c>
      <c r="J388" s="34"/>
      <c r="K388" s="38"/>
      <c r="L388" s="35"/>
      <c r="M388" s="66"/>
      <c r="N388" s="66"/>
      <c r="O388" s="66"/>
      <c r="P388" s="66"/>
      <c r="Q388" s="66"/>
      <c r="R388" s="67"/>
      <c r="S388" s="67"/>
      <c r="T388" s="67"/>
      <c r="U388" s="66"/>
      <c r="V388" s="66"/>
      <c r="W388" s="66"/>
      <c r="X388" s="85"/>
      <c r="AP388" t="str">
        <v/>
      </c>
    </row>
    <row r="389" spans="4:42" ht="15.75" x14ac:dyDescent="0.25">
      <c r="D389" s="3">
        <v>1</v>
      </c>
      <c r="F389" s="16" t="str" cm="1">
        <f t="array" ref="F3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9" s="31" cm="1">
        <f t="array" ref="G3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9" s="33" t="str">
        <f>_xlfn.IFNA(IF(MOD(HLG_04[[#This Row],[Rit]],
    _xlfn.XLOOKUP($G$2,Int_Sample[Ore],Int_Sample[Inc])) = 0, "YES", "NO"),"")</f>
        <v/>
      </c>
      <c r="I389" s="32" t="str">
        <f>TEXT(HLG_04[[#This Row],[Batch]],"000")&amp; " / " &amp; TEXT(HLG_04[[#This Row],[Rit]],"000")</f>
        <v>N/A / 000</v>
      </c>
      <c r="J389" s="34"/>
      <c r="K389" s="38"/>
      <c r="L389" s="35"/>
      <c r="M389" s="66"/>
      <c r="N389" s="66"/>
      <c r="O389" s="66"/>
      <c r="P389" s="66"/>
      <c r="Q389" s="66"/>
      <c r="R389" s="67"/>
      <c r="S389" s="67"/>
      <c r="T389" s="67"/>
      <c r="U389" s="66"/>
      <c r="V389" s="66"/>
      <c r="W389" s="66"/>
      <c r="X389" s="85"/>
      <c r="AP389" t="str">
        <v/>
      </c>
    </row>
    <row r="390" spans="4:42" ht="15.75" x14ac:dyDescent="0.25">
      <c r="D390" s="3">
        <v>1</v>
      </c>
      <c r="F390" s="16" t="str" cm="1">
        <f t="array" ref="F3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0" s="31" cm="1">
        <f t="array" ref="G3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0" s="33" t="str">
        <f>_xlfn.IFNA(IF(MOD(HLG_04[[#This Row],[Rit]],
    _xlfn.XLOOKUP($G$2,Int_Sample[Ore],Int_Sample[Inc])) = 0, "YES", "NO"),"")</f>
        <v/>
      </c>
      <c r="I390" s="32" t="str">
        <f>TEXT(HLG_04[[#This Row],[Batch]],"000")&amp; " / " &amp; TEXT(HLG_04[[#This Row],[Rit]],"000")</f>
        <v>N/A / 000</v>
      </c>
      <c r="J390" s="34"/>
      <c r="K390" s="38"/>
      <c r="L390" s="35"/>
      <c r="M390" s="66"/>
      <c r="N390" s="66"/>
      <c r="O390" s="66"/>
      <c r="P390" s="66"/>
      <c r="Q390" s="66"/>
      <c r="R390" s="67"/>
      <c r="S390" s="67"/>
      <c r="T390" s="67"/>
      <c r="U390" s="66"/>
      <c r="V390" s="66"/>
      <c r="W390" s="66"/>
      <c r="X390" s="85"/>
      <c r="AP390" t="str">
        <v/>
      </c>
    </row>
    <row r="391" spans="4:42" ht="15.75" x14ac:dyDescent="0.25">
      <c r="D391" s="3">
        <v>1</v>
      </c>
      <c r="F391" s="16" t="str" cm="1">
        <f t="array" ref="F3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1" s="31" cm="1">
        <f t="array" ref="G3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1" s="33" t="str">
        <f>_xlfn.IFNA(IF(MOD(HLG_04[[#This Row],[Rit]],
    _xlfn.XLOOKUP($G$2,Int_Sample[Ore],Int_Sample[Inc])) = 0, "YES", "NO"),"")</f>
        <v/>
      </c>
      <c r="I391" s="32" t="str">
        <f>TEXT(HLG_04[[#This Row],[Batch]],"000")&amp; " / " &amp; TEXT(HLG_04[[#This Row],[Rit]],"000")</f>
        <v>N/A / 000</v>
      </c>
      <c r="J391" s="34"/>
      <c r="K391" s="38"/>
      <c r="L391" s="35"/>
      <c r="M391" s="66"/>
      <c r="N391" s="66"/>
      <c r="O391" s="66"/>
      <c r="P391" s="66"/>
      <c r="Q391" s="66"/>
      <c r="R391" s="67"/>
      <c r="S391" s="67"/>
      <c r="T391" s="67"/>
      <c r="U391" s="66"/>
      <c r="V391" s="66"/>
      <c r="W391" s="66"/>
      <c r="X391" s="85"/>
      <c r="AP391" t="str">
        <v/>
      </c>
    </row>
    <row r="392" spans="4:42" ht="15.75" x14ac:dyDescent="0.25">
      <c r="D392" s="3">
        <v>1</v>
      </c>
      <c r="F392" s="16" t="str" cm="1">
        <f t="array" ref="F3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2" s="31" cm="1">
        <f t="array" ref="G3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2" s="33" t="str">
        <f>_xlfn.IFNA(IF(MOD(HLG_04[[#This Row],[Rit]],
    _xlfn.XLOOKUP($G$2,Int_Sample[Ore],Int_Sample[Inc])) = 0, "YES", "NO"),"")</f>
        <v/>
      </c>
      <c r="I392" s="32" t="str">
        <f>TEXT(HLG_04[[#This Row],[Batch]],"000")&amp; " / " &amp; TEXT(HLG_04[[#This Row],[Rit]],"000")</f>
        <v>N/A / 000</v>
      </c>
      <c r="J392" s="34"/>
      <c r="K392" s="38"/>
      <c r="L392" s="35"/>
      <c r="M392" s="66"/>
      <c r="N392" s="66"/>
      <c r="O392" s="66"/>
      <c r="P392" s="66"/>
      <c r="Q392" s="66"/>
      <c r="R392" s="67"/>
      <c r="S392" s="67"/>
      <c r="T392" s="67"/>
      <c r="U392" s="66"/>
      <c r="V392" s="66"/>
      <c r="W392" s="66"/>
      <c r="X392" s="85"/>
      <c r="AP392" t="str">
        <v/>
      </c>
    </row>
    <row r="393" spans="4:42" ht="15.75" x14ac:dyDescent="0.25">
      <c r="D393" s="3">
        <v>1</v>
      </c>
      <c r="F393" s="16" t="str" cm="1">
        <f t="array" ref="F3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3" s="31" cm="1">
        <f t="array" ref="G3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3" s="33" t="str">
        <f>_xlfn.IFNA(IF(MOD(HLG_04[[#This Row],[Rit]],
    _xlfn.XLOOKUP($G$2,Int_Sample[Ore],Int_Sample[Inc])) = 0, "YES", "NO"),"")</f>
        <v/>
      </c>
      <c r="I393" s="32" t="str">
        <f>TEXT(HLG_04[[#This Row],[Batch]],"000")&amp; " / " &amp; TEXT(HLG_04[[#This Row],[Rit]],"000")</f>
        <v>N/A / 000</v>
      </c>
      <c r="J393" s="34"/>
      <c r="K393" s="38"/>
      <c r="L393" s="35"/>
      <c r="M393" s="66"/>
      <c r="N393" s="66"/>
      <c r="O393" s="66"/>
      <c r="P393" s="66"/>
      <c r="Q393" s="66"/>
      <c r="R393" s="67"/>
      <c r="S393" s="67"/>
      <c r="T393" s="67"/>
      <c r="U393" s="66"/>
      <c r="V393" s="66"/>
      <c r="W393" s="66"/>
      <c r="X393" s="85"/>
      <c r="AP393" t="str">
        <v/>
      </c>
    </row>
    <row r="394" spans="4:42" ht="15.75" x14ac:dyDescent="0.25">
      <c r="D394" s="3">
        <v>1</v>
      </c>
      <c r="F394" s="16" t="str" cm="1">
        <f t="array" ref="F3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4" s="31" cm="1">
        <f t="array" ref="G3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4" s="33" t="str">
        <f>_xlfn.IFNA(IF(MOD(HLG_04[[#This Row],[Rit]],
    _xlfn.XLOOKUP($G$2,Int_Sample[Ore],Int_Sample[Inc])) = 0, "YES", "NO"),"")</f>
        <v/>
      </c>
      <c r="I394" s="32" t="str">
        <f>TEXT(HLG_04[[#This Row],[Batch]],"000")&amp; " / " &amp; TEXT(HLG_04[[#This Row],[Rit]],"000")</f>
        <v>N/A / 000</v>
      </c>
      <c r="J394" s="34"/>
      <c r="K394" s="38"/>
      <c r="L394" s="35"/>
      <c r="M394" s="66"/>
      <c r="N394" s="66"/>
      <c r="O394" s="66"/>
      <c r="P394" s="66"/>
      <c r="Q394" s="66"/>
      <c r="R394" s="67"/>
      <c r="S394" s="67"/>
      <c r="T394" s="67"/>
      <c r="U394" s="66"/>
      <c r="V394" s="66"/>
      <c r="W394" s="66"/>
      <c r="X394" s="85"/>
      <c r="AP394" t="str">
        <v/>
      </c>
    </row>
    <row r="395" spans="4:42" ht="15.75" x14ac:dyDescent="0.25">
      <c r="D395" s="3">
        <v>1</v>
      </c>
      <c r="F395" s="16" t="str" cm="1">
        <f t="array" ref="F3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5" s="31" cm="1">
        <f t="array" ref="G3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5" s="33" t="str">
        <f>_xlfn.IFNA(IF(MOD(HLG_04[[#This Row],[Rit]],
    _xlfn.XLOOKUP($G$2,Int_Sample[Ore],Int_Sample[Inc])) = 0, "YES", "NO"),"")</f>
        <v/>
      </c>
      <c r="I395" s="32" t="str">
        <f>TEXT(HLG_04[[#This Row],[Batch]],"000")&amp; " / " &amp; TEXT(HLG_04[[#This Row],[Rit]],"000")</f>
        <v>N/A / 000</v>
      </c>
      <c r="J395" s="34"/>
      <c r="K395" s="38"/>
      <c r="L395" s="35"/>
      <c r="M395" s="66"/>
      <c r="N395" s="66"/>
      <c r="O395" s="66"/>
      <c r="P395" s="66"/>
      <c r="Q395" s="66"/>
      <c r="R395" s="67"/>
      <c r="S395" s="67"/>
      <c r="T395" s="67"/>
      <c r="U395" s="66"/>
      <c r="V395" s="66"/>
      <c r="W395" s="66"/>
      <c r="X395" s="85"/>
      <c r="AP395" t="str">
        <v/>
      </c>
    </row>
    <row r="396" spans="4:42" ht="15.75" x14ac:dyDescent="0.25">
      <c r="D396" s="3">
        <v>1</v>
      </c>
      <c r="F396" s="16" t="str" cm="1">
        <f t="array" ref="F3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6" s="31" cm="1">
        <f t="array" ref="G3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6" s="33" t="str">
        <f>_xlfn.IFNA(IF(MOD(HLG_04[[#This Row],[Rit]],
    _xlfn.XLOOKUP($G$2,Int_Sample[Ore],Int_Sample[Inc])) = 0, "YES", "NO"),"")</f>
        <v/>
      </c>
      <c r="I396" s="32" t="str">
        <f>TEXT(HLG_04[[#This Row],[Batch]],"000")&amp; " / " &amp; TEXT(HLG_04[[#This Row],[Rit]],"000")</f>
        <v>N/A / 000</v>
      </c>
      <c r="J396" s="34"/>
      <c r="K396" s="38"/>
      <c r="L396" s="35"/>
      <c r="M396" s="66"/>
      <c r="N396" s="66"/>
      <c r="O396" s="66"/>
      <c r="P396" s="66"/>
      <c r="Q396" s="66"/>
      <c r="R396" s="67"/>
      <c r="S396" s="67"/>
      <c r="T396" s="67"/>
      <c r="U396" s="66"/>
      <c r="V396" s="66"/>
      <c r="W396" s="66"/>
      <c r="X396" s="85"/>
      <c r="AP396" t="str">
        <v/>
      </c>
    </row>
    <row r="397" spans="4:42" ht="15.75" x14ac:dyDescent="0.25">
      <c r="D397" s="3">
        <v>1</v>
      </c>
      <c r="F397" s="16" t="str" cm="1">
        <f t="array" ref="F3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7" s="31" cm="1">
        <f t="array" ref="G3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7" s="33" t="str">
        <f>_xlfn.IFNA(IF(MOD(HLG_04[[#This Row],[Rit]],
    _xlfn.XLOOKUP($G$2,Int_Sample[Ore],Int_Sample[Inc])) = 0, "YES", "NO"),"")</f>
        <v/>
      </c>
      <c r="I397" s="32" t="str">
        <f>TEXT(HLG_04[[#This Row],[Batch]],"000")&amp; " / " &amp; TEXT(HLG_04[[#This Row],[Rit]],"000")</f>
        <v>N/A / 000</v>
      </c>
      <c r="J397" s="34"/>
      <c r="K397" s="38"/>
      <c r="L397" s="35"/>
      <c r="M397" s="66"/>
      <c r="N397" s="66"/>
      <c r="O397" s="66"/>
      <c r="P397" s="66"/>
      <c r="Q397" s="66"/>
      <c r="R397" s="67"/>
      <c r="S397" s="67"/>
      <c r="T397" s="67"/>
      <c r="U397" s="66"/>
      <c r="V397" s="66"/>
      <c r="W397" s="66"/>
      <c r="X397" s="85"/>
      <c r="AP397" t="str">
        <v/>
      </c>
    </row>
    <row r="398" spans="4:42" ht="15.75" x14ac:dyDescent="0.25">
      <c r="D398" s="3">
        <v>1</v>
      </c>
      <c r="F398" s="16" t="str" cm="1">
        <f t="array" ref="F3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8" s="31" cm="1">
        <f t="array" ref="G3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8" s="33" t="str">
        <f>_xlfn.IFNA(IF(MOD(HLG_04[[#This Row],[Rit]],
    _xlfn.XLOOKUP($G$2,Int_Sample[Ore],Int_Sample[Inc])) = 0, "YES", "NO"),"")</f>
        <v/>
      </c>
      <c r="I398" s="32" t="str">
        <f>TEXT(HLG_04[[#This Row],[Batch]],"000")&amp; " / " &amp; TEXT(HLG_04[[#This Row],[Rit]],"000")</f>
        <v>N/A / 000</v>
      </c>
      <c r="J398" s="34"/>
      <c r="K398" s="38"/>
      <c r="L398" s="35"/>
      <c r="M398" s="66"/>
      <c r="N398" s="66"/>
      <c r="O398" s="66"/>
      <c r="P398" s="66"/>
      <c r="Q398" s="66"/>
      <c r="R398" s="67"/>
      <c r="S398" s="67"/>
      <c r="T398" s="67"/>
      <c r="U398" s="66"/>
      <c r="V398" s="66"/>
      <c r="W398" s="66"/>
      <c r="X398" s="85"/>
      <c r="AP398" t="str">
        <v/>
      </c>
    </row>
    <row r="399" spans="4:42" ht="15.75" x14ac:dyDescent="0.25">
      <c r="D399" s="3">
        <v>1</v>
      </c>
      <c r="F399" s="16" t="str" cm="1">
        <f t="array" ref="F3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9" s="31" cm="1">
        <f t="array" ref="G3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9" s="33" t="str">
        <f>_xlfn.IFNA(IF(MOD(HLG_04[[#This Row],[Rit]],
    _xlfn.XLOOKUP($G$2,Int_Sample[Ore],Int_Sample[Inc])) = 0, "YES", "NO"),"")</f>
        <v/>
      </c>
      <c r="I399" s="32" t="str">
        <f>TEXT(HLG_04[[#This Row],[Batch]],"000")&amp; " / " &amp; TEXT(HLG_04[[#This Row],[Rit]],"000")</f>
        <v>N/A / 000</v>
      </c>
      <c r="J399" s="34"/>
      <c r="K399" s="38"/>
      <c r="L399" s="35"/>
      <c r="M399" s="66"/>
      <c r="N399" s="66"/>
      <c r="O399" s="66"/>
      <c r="P399" s="66"/>
      <c r="Q399" s="66"/>
      <c r="R399" s="67"/>
      <c r="S399" s="67"/>
      <c r="T399" s="67"/>
      <c r="U399" s="66"/>
      <c r="V399" s="66"/>
      <c r="W399" s="66"/>
      <c r="X399" s="85"/>
      <c r="AP399" t="str">
        <v/>
      </c>
    </row>
    <row r="400" spans="4:42" ht="15.75" x14ac:dyDescent="0.25">
      <c r="D400" s="3">
        <v>1</v>
      </c>
      <c r="F400" s="16" t="str" cm="1">
        <f t="array" ref="F4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0" s="31" cm="1">
        <f t="array" ref="G4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0" s="33" t="str">
        <f>_xlfn.IFNA(IF(MOD(HLG_04[[#This Row],[Rit]],
    _xlfn.XLOOKUP($G$2,Int_Sample[Ore],Int_Sample[Inc])) = 0, "YES", "NO"),"")</f>
        <v/>
      </c>
      <c r="I400" s="32" t="str">
        <f>TEXT(HLG_04[[#This Row],[Batch]],"000")&amp; " / " &amp; TEXT(HLG_04[[#This Row],[Rit]],"000")</f>
        <v>N/A / 000</v>
      </c>
      <c r="J400" s="34"/>
      <c r="K400" s="38"/>
      <c r="L400" s="35"/>
      <c r="M400" s="66"/>
      <c r="N400" s="66"/>
      <c r="O400" s="66"/>
      <c r="P400" s="66"/>
      <c r="Q400" s="66"/>
      <c r="R400" s="67"/>
      <c r="S400" s="67"/>
      <c r="T400" s="67"/>
      <c r="U400" s="66"/>
      <c r="V400" s="66"/>
      <c r="W400" s="66"/>
      <c r="X400" s="85"/>
      <c r="AP400" t="str">
        <v/>
      </c>
    </row>
    <row r="401" spans="4:42" ht="15.75" x14ac:dyDescent="0.25">
      <c r="D401" s="3">
        <v>1</v>
      </c>
      <c r="F401" s="16" t="str" cm="1">
        <f t="array" ref="F4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1" s="31" cm="1">
        <f t="array" ref="G4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1" s="33" t="str">
        <f>_xlfn.IFNA(IF(MOD(HLG_04[[#This Row],[Rit]],
    _xlfn.XLOOKUP($G$2,Int_Sample[Ore],Int_Sample[Inc])) = 0, "YES", "NO"),"")</f>
        <v/>
      </c>
      <c r="I401" s="32" t="str">
        <f>TEXT(HLG_04[[#This Row],[Batch]],"000")&amp; " / " &amp; TEXT(HLG_04[[#This Row],[Rit]],"000")</f>
        <v>N/A / 000</v>
      </c>
      <c r="J401" s="34"/>
      <c r="K401" s="38"/>
      <c r="L401" s="35"/>
      <c r="M401" s="66"/>
      <c r="N401" s="66"/>
      <c r="O401" s="66"/>
      <c r="P401" s="66"/>
      <c r="Q401" s="66"/>
      <c r="R401" s="67"/>
      <c r="S401" s="67"/>
      <c r="T401" s="67"/>
      <c r="U401" s="66"/>
      <c r="V401" s="66"/>
      <c r="W401" s="66"/>
      <c r="X401" s="85"/>
      <c r="AP401" t="str">
        <v/>
      </c>
    </row>
    <row r="402" spans="4:42" ht="15.75" x14ac:dyDescent="0.25">
      <c r="D402" s="3">
        <v>1</v>
      </c>
      <c r="F402" s="16" t="str" cm="1">
        <f t="array" ref="F4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2" s="31" cm="1">
        <f t="array" ref="G4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2" s="33" t="str">
        <f>_xlfn.IFNA(IF(MOD(HLG_04[[#This Row],[Rit]],
    _xlfn.XLOOKUP($G$2,Int_Sample[Ore],Int_Sample[Inc])) = 0, "YES", "NO"),"")</f>
        <v/>
      </c>
      <c r="I402" s="32" t="str">
        <f>TEXT(HLG_04[[#This Row],[Batch]],"000")&amp; " / " &amp; TEXT(HLG_04[[#This Row],[Rit]],"000")</f>
        <v>N/A / 000</v>
      </c>
      <c r="J402" s="34"/>
      <c r="K402" s="38"/>
      <c r="L402" s="35"/>
      <c r="M402" s="66"/>
      <c r="N402" s="66"/>
      <c r="O402" s="66"/>
      <c r="P402" s="66"/>
      <c r="Q402" s="66"/>
      <c r="R402" s="67"/>
      <c r="S402" s="67"/>
      <c r="T402" s="67"/>
      <c r="U402" s="66"/>
      <c r="V402" s="66"/>
      <c r="W402" s="66"/>
      <c r="X402" s="85"/>
      <c r="AP402" t="str">
        <v/>
      </c>
    </row>
    <row r="403" spans="4:42" ht="15.75" x14ac:dyDescent="0.25">
      <c r="D403" s="3">
        <v>1</v>
      </c>
      <c r="F403" s="16" t="str" cm="1">
        <f t="array" ref="F4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3" s="31" cm="1">
        <f t="array" ref="G4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3" s="33" t="str">
        <f>_xlfn.IFNA(IF(MOD(HLG_04[[#This Row],[Rit]],
    _xlfn.XLOOKUP($G$2,Int_Sample[Ore],Int_Sample[Inc])) = 0, "YES", "NO"),"")</f>
        <v/>
      </c>
      <c r="I403" s="32" t="str">
        <f>TEXT(HLG_04[[#This Row],[Batch]],"000")&amp; " / " &amp; TEXT(HLG_04[[#This Row],[Rit]],"000")</f>
        <v>N/A / 000</v>
      </c>
      <c r="J403" s="34"/>
      <c r="K403" s="38"/>
      <c r="L403" s="35"/>
      <c r="M403" s="66"/>
      <c r="N403" s="66"/>
      <c r="O403" s="66"/>
      <c r="P403" s="66"/>
      <c r="Q403" s="66"/>
      <c r="R403" s="67"/>
      <c r="S403" s="67"/>
      <c r="T403" s="67"/>
      <c r="U403" s="66"/>
      <c r="V403" s="66"/>
      <c r="W403" s="66"/>
      <c r="X403" s="85"/>
      <c r="AP403" t="str">
        <v/>
      </c>
    </row>
    <row r="404" spans="4:42" ht="15.75" x14ac:dyDescent="0.25">
      <c r="D404" s="3">
        <v>1</v>
      </c>
      <c r="F404" s="16" t="str" cm="1">
        <f t="array" ref="F4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4" s="31" cm="1">
        <f t="array" ref="G4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4" s="33" t="str">
        <f>_xlfn.IFNA(IF(MOD(HLG_04[[#This Row],[Rit]],
    _xlfn.XLOOKUP($G$2,Int_Sample[Ore],Int_Sample[Inc])) = 0, "YES", "NO"),"")</f>
        <v/>
      </c>
      <c r="I404" s="32" t="str">
        <f>TEXT(HLG_04[[#This Row],[Batch]],"000")&amp; " / " &amp; TEXT(HLG_04[[#This Row],[Rit]],"000")</f>
        <v>N/A / 000</v>
      </c>
      <c r="J404" s="34"/>
      <c r="K404" s="38"/>
      <c r="L404" s="35"/>
      <c r="M404" s="66"/>
      <c r="N404" s="66"/>
      <c r="O404" s="66"/>
      <c r="P404" s="66"/>
      <c r="Q404" s="66"/>
      <c r="R404" s="67"/>
      <c r="S404" s="67"/>
      <c r="T404" s="67"/>
      <c r="U404" s="66"/>
      <c r="V404" s="66"/>
      <c r="W404" s="66"/>
      <c r="X404" s="85"/>
      <c r="AP404" t="str">
        <v/>
      </c>
    </row>
    <row r="405" spans="4:42" ht="15.75" x14ac:dyDescent="0.25">
      <c r="D405" s="3">
        <v>1</v>
      </c>
      <c r="F405" s="16" t="str" cm="1">
        <f t="array" ref="F4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5" s="31" cm="1">
        <f t="array" ref="G4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5" s="33" t="str">
        <f>_xlfn.IFNA(IF(MOD(HLG_04[[#This Row],[Rit]],
    _xlfn.XLOOKUP($G$2,Int_Sample[Ore],Int_Sample[Inc])) = 0, "YES", "NO"),"")</f>
        <v/>
      </c>
      <c r="I405" s="32" t="str">
        <f>TEXT(HLG_04[[#This Row],[Batch]],"000")&amp; " / " &amp; TEXT(HLG_04[[#This Row],[Rit]],"000")</f>
        <v>N/A / 000</v>
      </c>
      <c r="J405" s="34"/>
      <c r="K405" s="38"/>
      <c r="L405" s="35"/>
      <c r="M405" s="66"/>
      <c r="N405" s="66"/>
      <c r="O405" s="66"/>
      <c r="P405" s="66"/>
      <c r="Q405" s="66"/>
      <c r="R405" s="67"/>
      <c r="S405" s="67"/>
      <c r="T405" s="67"/>
      <c r="U405" s="66"/>
      <c r="V405" s="66"/>
      <c r="W405" s="66"/>
      <c r="X405" s="85"/>
      <c r="AP405" t="str">
        <v/>
      </c>
    </row>
    <row r="406" spans="4:42" ht="15.75" x14ac:dyDescent="0.25">
      <c r="D406" s="3">
        <v>1</v>
      </c>
      <c r="F406" s="16" t="str" cm="1">
        <f t="array" ref="F4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6" s="31" cm="1">
        <f t="array" ref="G4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6" s="33" t="str">
        <f>_xlfn.IFNA(IF(MOD(HLG_04[[#This Row],[Rit]],
    _xlfn.XLOOKUP($G$2,Int_Sample[Ore],Int_Sample[Inc])) = 0, "YES", "NO"),"")</f>
        <v/>
      </c>
      <c r="I406" s="32" t="str">
        <f>TEXT(HLG_04[[#This Row],[Batch]],"000")&amp; " / " &amp; TEXT(HLG_04[[#This Row],[Rit]],"000")</f>
        <v>N/A / 000</v>
      </c>
      <c r="J406" s="34"/>
      <c r="K406" s="38"/>
      <c r="L406" s="35"/>
      <c r="M406" s="66"/>
      <c r="N406" s="66"/>
      <c r="O406" s="66"/>
      <c r="P406" s="66"/>
      <c r="Q406" s="66"/>
      <c r="R406" s="67"/>
      <c r="S406" s="67"/>
      <c r="T406" s="67"/>
      <c r="U406" s="66"/>
      <c r="V406" s="66"/>
      <c r="W406" s="66"/>
      <c r="X406" s="85"/>
      <c r="AP406" t="str">
        <v/>
      </c>
    </row>
    <row r="407" spans="4:42" ht="15.75" x14ac:dyDescent="0.25">
      <c r="D407" s="3">
        <v>1</v>
      </c>
      <c r="F407" s="16" t="str" cm="1">
        <f t="array" ref="F4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7" s="31" cm="1">
        <f t="array" ref="G4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7" s="33" t="str">
        <f>_xlfn.IFNA(IF(MOD(HLG_04[[#This Row],[Rit]],
    _xlfn.XLOOKUP($G$2,Int_Sample[Ore],Int_Sample[Inc])) = 0, "YES", "NO"),"")</f>
        <v/>
      </c>
      <c r="I407" s="32" t="str">
        <f>TEXT(HLG_04[[#This Row],[Batch]],"000")&amp; " / " &amp; TEXT(HLG_04[[#This Row],[Rit]],"000")</f>
        <v>N/A / 000</v>
      </c>
      <c r="J407" s="34"/>
      <c r="K407" s="38"/>
      <c r="L407" s="35"/>
      <c r="M407" s="66"/>
      <c r="N407" s="66"/>
      <c r="O407" s="66"/>
      <c r="P407" s="66"/>
      <c r="Q407" s="66"/>
      <c r="R407" s="67"/>
      <c r="S407" s="67"/>
      <c r="T407" s="67"/>
      <c r="U407" s="66"/>
      <c r="V407" s="66"/>
      <c r="W407" s="66"/>
      <c r="X407" s="85"/>
      <c r="AP407" t="str">
        <v/>
      </c>
    </row>
    <row r="408" spans="4:42" ht="15.75" x14ac:dyDescent="0.25">
      <c r="D408" s="3">
        <v>1</v>
      </c>
      <c r="F408" s="16" t="str" cm="1">
        <f t="array" ref="F4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8" s="31" cm="1">
        <f t="array" ref="G4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8" s="33" t="str">
        <f>_xlfn.IFNA(IF(MOD(HLG_04[[#This Row],[Rit]],
    _xlfn.XLOOKUP($G$2,Int_Sample[Ore],Int_Sample[Inc])) = 0, "YES", "NO"),"")</f>
        <v/>
      </c>
      <c r="I408" s="32" t="str">
        <f>TEXT(HLG_04[[#This Row],[Batch]],"000")&amp; " / " &amp; TEXT(HLG_04[[#This Row],[Rit]],"000")</f>
        <v>N/A / 000</v>
      </c>
      <c r="J408" s="34"/>
      <c r="K408" s="38"/>
      <c r="L408" s="35"/>
      <c r="M408" s="66"/>
      <c r="N408" s="66"/>
      <c r="O408" s="66"/>
      <c r="P408" s="66"/>
      <c r="Q408" s="66"/>
      <c r="R408" s="67"/>
      <c r="S408" s="67"/>
      <c r="T408" s="67"/>
      <c r="U408" s="66"/>
      <c r="V408" s="66"/>
      <c r="W408" s="66"/>
      <c r="X408" s="85"/>
      <c r="AP408" t="str">
        <v/>
      </c>
    </row>
    <row r="409" spans="4:42" ht="15.75" x14ac:dyDescent="0.25">
      <c r="D409" s="3">
        <v>1</v>
      </c>
      <c r="F409" s="16" t="str" cm="1">
        <f t="array" ref="F4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9" s="31" cm="1">
        <f t="array" ref="G4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9" s="33" t="str">
        <f>_xlfn.IFNA(IF(MOD(HLG_04[[#This Row],[Rit]],
    _xlfn.XLOOKUP($G$2,Int_Sample[Ore],Int_Sample[Inc])) = 0, "YES", "NO"),"")</f>
        <v/>
      </c>
      <c r="I409" s="32" t="str">
        <f>TEXT(HLG_04[[#This Row],[Batch]],"000")&amp; " / " &amp; TEXT(HLG_04[[#This Row],[Rit]],"000")</f>
        <v>N/A / 000</v>
      </c>
      <c r="J409" s="34"/>
      <c r="K409" s="38"/>
      <c r="L409" s="35"/>
      <c r="M409" s="66"/>
      <c r="N409" s="66"/>
      <c r="O409" s="66"/>
      <c r="P409" s="66"/>
      <c r="Q409" s="66"/>
      <c r="R409" s="67"/>
      <c r="S409" s="67"/>
      <c r="T409" s="67"/>
      <c r="U409" s="66"/>
      <c r="V409" s="66"/>
      <c r="W409" s="66"/>
      <c r="X409" s="85"/>
      <c r="AP409" t="str">
        <v/>
      </c>
    </row>
    <row r="410" spans="4:42" ht="15.75" x14ac:dyDescent="0.25">
      <c r="D410" s="3">
        <v>1</v>
      </c>
      <c r="F410" s="16" t="str" cm="1">
        <f t="array" ref="F4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0" s="31" cm="1">
        <f t="array" ref="G4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0" s="33" t="str">
        <f>_xlfn.IFNA(IF(MOD(HLG_04[[#This Row],[Rit]],
    _xlfn.XLOOKUP($G$2,Int_Sample[Ore],Int_Sample[Inc])) = 0, "YES", "NO"),"")</f>
        <v/>
      </c>
      <c r="I410" s="32" t="str">
        <f>TEXT(HLG_04[[#This Row],[Batch]],"000")&amp; " / " &amp; TEXT(HLG_04[[#This Row],[Rit]],"000")</f>
        <v>N/A / 000</v>
      </c>
      <c r="J410" s="34"/>
      <c r="K410" s="38"/>
      <c r="L410" s="35"/>
      <c r="M410" s="66"/>
      <c r="N410" s="66"/>
      <c r="O410" s="66"/>
      <c r="P410" s="66"/>
      <c r="Q410" s="66"/>
      <c r="R410" s="67"/>
      <c r="S410" s="67"/>
      <c r="T410" s="67"/>
      <c r="U410" s="66"/>
      <c r="V410" s="66"/>
      <c r="W410" s="66"/>
      <c r="X410" s="85"/>
      <c r="AP410" t="str">
        <v/>
      </c>
    </row>
    <row r="411" spans="4:42" ht="15.75" x14ac:dyDescent="0.25">
      <c r="D411" s="3">
        <v>1</v>
      </c>
      <c r="F411" s="16" t="str" cm="1">
        <f t="array" ref="F4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1" s="31" cm="1">
        <f t="array" ref="G4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1" s="33" t="str">
        <f>_xlfn.IFNA(IF(MOD(HLG_04[[#This Row],[Rit]],
    _xlfn.XLOOKUP($G$2,Int_Sample[Ore],Int_Sample[Inc])) = 0, "YES", "NO"),"")</f>
        <v/>
      </c>
      <c r="I411" s="32" t="str">
        <f>TEXT(HLG_04[[#This Row],[Batch]],"000")&amp; " / " &amp; TEXT(HLG_04[[#This Row],[Rit]],"000")</f>
        <v>N/A / 000</v>
      </c>
      <c r="J411" s="34"/>
      <c r="K411" s="38"/>
      <c r="L411" s="35"/>
      <c r="M411" s="66"/>
      <c r="N411" s="66"/>
      <c r="O411" s="66"/>
      <c r="P411" s="66"/>
      <c r="Q411" s="66"/>
      <c r="R411" s="67"/>
      <c r="S411" s="67"/>
      <c r="T411" s="67"/>
      <c r="U411" s="66"/>
      <c r="V411" s="66"/>
      <c r="W411" s="66"/>
      <c r="X411" s="85"/>
      <c r="AP411" t="str">
        <v/>
      </c>
    </row>
    <row r="412" spans="4:42" ht="15.75" x14ac:dyDescent="0.25">
      <c r="D412" s="3">
        <v>1</v>
      </c>
      <c r="F412" s="16" t="str" cm="1">
        <f t="array" ref="F4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2" s="31" cm="1">
        <f t="array" ref="G4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2" s="33" t="str">
        <f>_xlfn.IFNA(IF(MOD(HLG_04[[#This Row],[Rit]],
    _xlfn.XLOOKUP($G$2,Int_Sample[Ore],Int_Sample[Inc])) = 0, "YES", "NO"),"")</f>
        <v/>
      </c>
      <c r="I412" s="32" t="str">
        <f>TEXT(HLG_04[[#This Row],[Batch]],"000")&amp; " / " &amp; TEXT(HLG_04[[#This Row],[Rit]],"000")</f>
        <v>N/A / 000</v>
      </c>
      <c r="J412" s="34"/>
      <c r="K412" s="38"/>
      <c r="L412" s="35"/>
      <c r="M412" s="66"/>
      <c r="N412" s="66"/>
      <c r="O412" s="66"/>
      <c r="P412" s="66"/>
      <c r="Q412" s="66"/>
      <c r="R412" s="67"/>
      <c r="S412" s="67"/>
      <c r="T412" s="67"/>
      <c r="U412" s="66"/>
      <c r="V412" s="66"/>
      <c r="W412" s="66"/>
      <c r="X412" s="85"/>
      <c r="AP412" t="str">
        <v/>
      </c>
    </row>
    <row r="413" spans="4:42" ht="15.75" x14ac:dyDescent="0.25">
      <c r="D413" s="3">
        <v>1</v>
      </c>
      <c r="F413" s="16" t="str" cm="1">
        <f t="array" ref="F4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3" s="31" cm="1">
        <f t="array" ref="G4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3" s="33" t="str">
        <f>_xlfn.IFNA(IF(MOD(HLG_04[[#This Row],[Rit]],
    _xlfn.XLOOKUP($G$2,Int_Sample[Ore],Int_Sample[Inc])) = 0, "YES", "NO"),"")</f>
        <v/>
      </c>
      <c r="I413" s="32" t="str">
        <f>TEXT(HLG_04[[#This Row],[Batch]],"000")&amp; " / " &amp; TEXT(HLG_04[[#This Row],[Rit]],"000")</f>
        <v>N/A / 000</v>
      </c>
      <c r="J413" s="34"/>
      <c r="K413" s="38"/>
      <c r="L413" s="35"/>
      <c r="M413" s="66"/>
      <c r="N413" s="66"/>
      <c r="O413" s="66"/>
      <c r="P413" s="66"/>
      <c r="Q413" s="66"/>
      <c r="R413" s="67"/>
      <c r="S413" s="67"/>
      <c r="T413" s="67"/>
      <c r="U413" s="66"/>
      <c r="V413" s="66"/>
      <c r="W413" s="66"/>
      <c r="X413" s="85"/>
      <c r="AP413" t="str">
        <v/>
      </c>
    </row>
    <row r="414" spans="4:42" ht="15.75" x14ac:dyDescent="0.25">
      <c r="D414" s="3">
        <v>1</v>
      </c>
      <c r="F414" s="16" t="str" cm="1">
        <f t="array" ref="F4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4" s="31" cm="1">
        <f t="array" ref="G4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4" s="33" t="str">
        <f>_xlfn.IFNA(IF(MOD(HLG_04[[#This Row],[Rit]],
    _xlfn.XLOOKUP($G$2,Int_Sample[Ore],Int_Sample[Inc])) = 0, "YES", "NO"),"")</f>
        <v/>
      </c>
      <c r="I414" s="32" t="str">
        <f>TEXT(HLG_04[[#This Row],[Batch]],"000")&amp; " / " &amp; TEXT(HLG_04[[#This Row],[Rit]],"000")</f>
        <v>N/A / 000</v>
      </c>
      <c r="J414" s="34"/>
      <c r="K414" s="38"/>
      <c r="L414" s="35"/>
      <c r="M414" s="66"/>
      <c r="N414" s="66"/>
      <c r="O414" s="66"/>
      <c r="P414" s="66"/>
      <c r="Q414" s="66"/>
      <c r="R414" s="67"/>
      <c r="S414" s="67"/>
      <c r="T414" s="67"/>
      <c r="U414" s="66"/>
      <c r="V414" s="66"/>
      <c r="W414" s="66"/>
      <c r="X414" s="85"/>
      <c r="AP414" t="str">
        <v/>
      </c>
    </row>
    <row r="415" spans="4:42" ht="15.75" x14ac:dyDescent="0.25">
      <c r="D415" s="3">
        <v>1</v>
      </c>
      <c r="F415" s="16" t="str" cm="1">
        <f t="array" ref="F4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5" s="31" cm="1">
        <f t="array" ref="G4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5" s="33" t="str">
        <f>_xlfn.IFNA(IF(MOD(HLG_04[[#This Row],[Rit]],
    _xlfn.XLOOKUP($G$2,Int_Sample[Ore],Int_Sample[Inc])) = 0, "YES", "NO"),"")</f>
        <v/>
      </c>
      <c r="I415" s="32" t="str">
        <f>TEXT(HLG_04[[#This Row],[Batch]],"000")&amp; " / " &amp; TEXT(HLG_04[[#This Row],[Rit]],"000")</f>
        <v>N/A / 000</v>
      </c>
      <c r="J415" s="34"/>
      <c r="K415" s="38"/>
      <c r="L415" s="35"/>
      <c r="M415" s="66"/>
      <c r="N415" s="66"/>
      <c r="O415" s="66"/>
      <c r="P415" s="66"/>
      <c r="Q415" s="66"/>
      <c r="R415" s="67"/>
      <c r="S415" s="67"/>
      <c r="T415" s="67"/>
      <c r="U415" s="66"/>
      <c r="V415" s="66"/>
      <c r="W415" s="66"/>
      <c r="X415" s="85"/>
      <c r="AP415" t="str">
        <v/>
      </c>
    </row>
    <row r="416" spans="4:42" ht="15.75" x14ac:dyDescent="0.25">
      <c r="D416" s="3">
        <v>1</v>
      </c>
      <c r="F416" s="16" t="str" cm="1">
        <f t="array" ref="F4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6" s="31" cm="1">
        <f t="array" ref="G4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6" s="33" t="str">
        <f>_xlfn.IFNA(IF(MOD(HLG_04[[#This Row],[Rit]],
    _xlfn.XLOOKUP($G$2,Int_Sample[Ore],Int_Sample[Inc])) = 0, "YES", "NO"),"")</f>
        <v/>
      </c>
      <c r="I416" s="32" t="str">
        <f>TEXT(HLG_04[[#This Row],[Batch]],"000")&amp; " / " &amp; TEXT(HLG_04[[#This Row],[Rit]],"000")</f>
        <v>N/A / 000</v>
      </c>
      <c r="J416" s="34"/>
      <c r="K416" s="38"/>
      <c r="L416" s="35"/>
      <c r="M416" s="66"/>
      <c r="N416" s="66"/>
      <c r="O416" s="66"/>
      <c r="P416" s="66"/>
      <c r="Q416" s="66"/>
      <c r="R416" s="67"/>
      <c r="S416" s="67"/>
      <c r="T416" s="67"/>
      <c r="U416" s="66"/>
      <c r="V416" s="66"/>
      <c r="W416" s="66"/>
      <c r="X416" s="85"/>
      <c r="AP416" t="str">
        <v/>
      </c>
    </row>
    <row r="417" spans="4:42" ht="15.75" x14ac:dyDescent="0.25">
      <c r="D417" s="3">
        <v>1</v>
      </c>
      <c r="F417" s="16" t="str" cm="1">
        <f t="array" ref="F4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7" s="31" cm="1">
        <f t="array" ref="G4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7" s="33" t="str">
        <f>_xlfn.IFNA(IF(MOD(HLG_04[[#This Row],[Rit]],
    _xlfn.XLOOKUP($G$2,Int_Sample[Ore],Int_Sample[Inc])) = 0, "YES", "NO"),"")</f>
        <v/>
      </c>
      <c r="I417" s="32" t="str">
        <f>TEXT(HLG_04[[#This Row],[Batch]],"000")&amp; " / " &amp; TEXT(HLG_04[[#This Row],[Rit]],"000")</f>
        <v>N/A / 000</v>
      </c>
      <c r="J417" s="34"/>
      <c r="K417" s="38"/>
      <c r="L417" s="35"/>
      <c r="M417" s="66"/>
      <c r="N417" s="66"/>
      <c r="O417" s="66"/>
      <c r="P417" s="66"/>
      <c r="Q417" s="66"/>
      <c r="R417" s="67"/>
      <c r="S417" s="67"/>
      <c r="T417" s="67"/>
      <c r="U417" s="66"/>
      <c r="V417" s="66"/>
      <c r="W417" s="66"/>
      <c r="X417" s="85"/>
      <c r="AP417" t="str">
        <v/>
      </c>
    </row>
    <row r="418" spans="4:42" ht="15.75" x14ac:dyDescent="0.25">
      <c r="D418" s="3">
        <v>1</v>
      </c>
      <c r="F418" s="16" t="str" cm="1">
        <f t="array" ref="F4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8" s="31" cm="1">
        <f t="array" ref="G4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8" s="33" t="str">
        <f>_xlfn.IFNA(IF(MOD(HLG_04[[#This Row],[Rit]],
    _xlfn.XLOOKUP($G$2,Int_Sample[Ore],Int_Sample[Inc])) = 0, "YES", "NO"),"")</f>
        <v/>
      </c>
      <c r="I418" s="32" t="str">
        <f>TEXT(HLG_04[[#This Row],[Batch]],"000")&amp; " / " &amp; TEXT(HLG_04[[#This Row],[Rit]],"000")</f>
        <v>N/A / 000</v>
      </c>
      <c r="J418" s="34"/>
      <c r="K418" s="38"/>
      <c r="L418" s="35"/>
      <c r="M418" s="66"/>
      <c r="N418" s="66"/>
      <c r="O418" s="66"/>
      <c r="P418" s="66"/>
      <c r="Q418" s="66"/>
      <c r="R418" s="67"/>
      <c r="S418" s="67"/>
      <c r="T418" s="67"/>
      <c r="U418" s="66"/>
      <c r="V418" s="66"/>
      <c r="W418" s="66"/>
      <c r="X418" s="85"/>
      <c r="AP418" t="str">
        <v/>
      </c>
    </row>
    <row r="419" spans="4:42" ht="15.75" x14ac:dyDescent="0.25">
      <c r="D419" s="3">
        <v>1</v>
      </c>
      <c r="F419" s="16" t="str" cm="1">
        <f t="array" ref="F4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9" s="31" cm="1">
        <f t="array" ref="G4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9" s="33" t="str">
        <f>_xlfn.IFNA(IF(MOD(HLG_04[[#This Row],[Rit]],
    _xlfn.XLOOKUP($G$2,Int_Sample[Ore],Int_Sample[Inc])) = 0, "YES", "NO"),"")</f>
        <v/>
      </c>
      <c r="I419" s="32" t="str">
        <f>TEXT(HLG_04[[#This Row],[Batch]],"000")&amp; " / " &amp; TEXT(HLG_04[[#This Row],[Rit]],"000")</f>
        <v>N/A / 000</v>
      </c>
      <c r="J419" s="34"/>
      <c r="K419" s="38"/>
      <c r="L419" s="35"/>
      <c r="M419" s="66"/>
      <c r="N419" s="66"/>
      <c r="O419" s="66"/>
      <c r="P419" s="66"/>
      <c r="Q419" s="66"/>
      <c r="R419" s="67"/>
      <c r="S419" s="67"/>
      <c r="T419" s="67"/>
      <c r="U419" s="66"/>
      <c r="V419" s="66"/>
      <c r="W419" s="66"/>
      <c r="X419" s="85"/>
      <c r="AP419" t="str">
        <v/>
      </c>
    </row>
    <row r="420" spans="4:42" ht="15.75" x14ac:dyDescent="0.25">
      <c r="D420" s="3">
        <v>1</v>
      </c>
      <c r="F420" s="16" t="str" cm="1">
        <f t="array" ref="F4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0" s="31" cm="1">
        <f t="array" ref="G4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0" s="33" t="str">
        <f>_xlfn.IFNA(IF(MOD(HLG_04[[#This Row],[Rit]],
    _xlfn.XLOOKUP($G$2,Int_Sample[Ore],Int_Sample[Inc])) = 0, "YES", "NO"),"")</f>
        <v/>
      </c>
      <c r="I420" s="32" t="str">
        <f>TEXT(HLG_04[[#This Row],[Batch]],"000")&amp; " / " &amp; TEXT(HLG_04[[#This Row],[Rit]],"000")</f>
        <v>N/A / 000</v>
      </c>
      <c r="J420" s="34"/>
      <c r="K420" s="38"/>
      <c r="L420" s="35"/>
      <c r="M420" s="66"/>
      <c r="N420" s="66"/>
      <c r="O420" s="66"/>
      <c r="P420" s="66"/>
      <c r="Q420" s="66"/>
      <c r="R420" s="67"/>
      <c r="S420" s="67"/>
      <c r="T420" s="67"/>
      <c r="U420" s="66"/>
      <c r="V420" s="66"/>
      <c r="W420" s="66"/>
      <c r="X420" s="85"/>
      <c r="AP420" t="str">
        <v/>
      </c>
    </row>
    <row r="421" spans="4:42" ht="15.75" x14ac:dyDescent="0.25">
      <c r="D421" s="3">
        <v>1</v>
      </c>
      <c r="F421" s="16" t="str" cm="1">
        <f t="array" ref="F4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1" s="31" cm="1">
        <f t="array" ref="G4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1" s="33" t="str">
        <f>_xlfn.IFNA(IF(MOD(HLG_04[[#This Row],[Rit]],
    _xlfn.XLOOKUP($G$2,Int_Sample[Ore],Int_Sample[Inc])) = 0, "YES", "NO"),"")</f>
        <v/>
      </c>
      <c r="I421" s="32" t="str">
        <f>TEXT(HLG_04[[#This Row],[Batch]],"000")&amp; " / " &amp; TEXT(HLG_04[[#This Row],[Rit]],"000")</f>
        <v>N/A / 000</v>
      </c>
      <c r="J421" s="34"/>
      <c r="K421" s="38"/>
      <c r="L421" s="35"/>
      <c r="M421" s="66"/>
      <c r="N421" s="66"/>
      <c r="O421" s="66"/>
      <c r="P421" s="66"/>
      <c r="Q421" s="66"/>
      <c r="R421" s="67"/>
      <c r="S421" s="67"/>
      <c r="T421" s="67"/>
      <c r="U421" s="66"/>
      <c r="V421" s="66"/>
      <c r="W421" s="66"/>
      <c r="X421" s="85"/>
      <c r="AP421" t="str">
        <v/>
      </c>
    </row>
    <row r="422" spans="4:42" ht="15.75" x14ac:dyDescent="0.25">
      <c r="D422" s="3">
        <v>1</v>
      </c>
      <c r="F422" s="16" t="str" cm="1">
        <f t="array" ref="F4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2" s="31" cm="1">
        <f t="array" ref="G4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2" s="33" t="str">
        <f>_xlfn.IFNA(IF(MOD(HLG_04[[#This Row],[Rit]],
    _xlfn.XLOOKUP($G$2,Int_Sample[Ore],Int_Sample[Inc])) = 0, "YES", "NO"),"")</f>
        <v/>
      </c>
      <c r="I422" s="32" t="str">
        <f>TEXT(HLG_04[[#This Row],[Batch]],"000")&amp; " / " &amp; TEXT(HLG_04[[#This Row],[Rit]],"000")</f>
        <v>N/A / 000</v>
      </c>
      <c r="J422" s="34"/>
      <c r="K422" s="38"/>
      <c r="L422" s="35"/>
      <c r="M422" s="66"/>
      <c r="N422" s="66"/>
      <c r="O422" s="66"/>
      <c r="P422" s="66"/>
      <c r="Q422" s="66"/>
      <c r="R422" s="67"/>
      <c r="S422" s="67"/>
      <c r="T422" s="67"/>
      <c r="U422" s="66"/>
      <c r="V422" s="66"/>
      <c r="W422" s="66"/>
      <c r="X422" s="85"/>
      <c r="AP422" t="str">
        <v/>
      </c>
    </row>
    <row r="423" spans="4:42" ht="15.75" x14ac:dyDescent="0.25">
      <c r="D423" s="3">
        <v>1</v>
      </c>
      <c r="F423" s="16" t="str" cm="1">
        <f t="array" ref="F4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3" s="31" cm="1">
        <f t="array" ref="G4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3" s="33" t="str">
        <f>_xlfn.IFNA(IF(MOD(HLG_04[[#This Row],[Rit]],
    _xlfn.XLOOKUP($G$2,Int_Sample[Ore],Int_Sample[Inc])) = 0, "YES", "NO"),"")</f>
        <v/>
      </c>
      <c r="I423" s="32" t="str">
        <f>TEXT(HLG_04[[#This Row],[Batch]],"000")&amp; " / " &amp; TEXT(HLG_04[[#This Row],[Rit]],"000")</f>
        <v>N/A / 000</v>
      </c>
      <c r="J423" s="34"/>
      <c r="K423" s="38"/>
      <c r="L423" s="35"/>
      <c r="M423" s="66"/>
      <c r="N423" s="66"/>
      <c r="O423" s="66"/>
      <c r="P423" s="66"/>
      <c r="Q423" s="66"/>
      <c r="R423" s="67"/>
      <c r="S423" s="67"/>
      <c r="T423" s="67"/>
      <c r="U423" s="66"/>
      <c r="V423" s="66"/>
      <c r="W423" s="66"/>
      <c r="X423" s="85"/>
      <c r="AP423" t="str">
        <v/>
      </c>
    </row>
    <row r="424" spans="4:42" ht="15.75" x14ac:dyDescent="0.25">
      <c r="D424" s="3">
        <v>1</v>
      </c>
      <c r="F424" s="16" t="str" cm="1">
        <f t="array" ref="F4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4" s="31" cm="1">
        <f t="array" ref="G4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4" s="33" t="str">
        <f>_xlfn.IFNA(IF(MOD(HLG_04[[#This Row],[Rit]],
    _xlfn.XLOOKUP($G$2,Int_Sample[Ore],Int_Sample[Inc])) = 0, "YES", "NO"),"")</f>
        <v/>
      </c>
      <c r="I424" s="32" t="str">
        <f>TEXT(HLG_04[[#This Row],[Batch]],"000")&amp; " / " &amp; TEXT(HLG_04[[#This Row],[Rit]],"000")</f>
        <v>N/A / 000</v>
      </c>
      <c r="J424" s="34"/>
      <c r="K424" s="38"/>
      <c r="L424" s="35"/>
      <c r="M424" s="66"/>
      <c r="N424" s="66"/>
      <c r="O424" s="66"/>
      <c r="P424" s="66"/>
      <c r="Q424" s="66"/>
      <c r="R424" s="67"/>
      <c r="S424" s="67"/>
      <c r="T424" s="67"/>
      <c r="U424" s="66"/>
      <c r="V424" s="66"/>
      <c r="W424" s="66"/>
      <c r="X424" s="85"/>
      <c r="AP424" t="str">
        <v/>
      </c>
    </row>
    <row r="425" spans="4:42" ht="15.75" x14ac:dyDescent="0.25">
      <c r="D425" s="3">
        <v>1</v>
      </c>
      <c r="F425" s="16" t="str" cm="1">
        <f t="array" ref="F4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5" s="31" cm="1">
        <f t="array" ref="G4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5" s="33" t="str">
        <f>_xlfn.IFNA(IF(MOD(HLG_04[[#This Row],[Rit]],
    _xlfn.XLOOKUP($G$2,Int_Sample[Ore],Int_Sample[Inc])) = 0, "YES", "NO"),"")</f>
        <v/>
      </c>
      <c r="I425" s="32" t="str">
        <f>TEXT(HLG_04[[#This Row],[Batch]],"000")&amp; " / " &amp; TEXT(HLG_04[[#This Row],[Rit]],"000")</f>
        <v>N/A / 000</v>
      </c>
      <c r="J425" s="34"/>
      <c r="K425" s="38"/>
      <c r="L425" s="35"/>
      <c r="M425" s="66"/>
      <c r="N425" s="66"/>
      <c r="O425" s="66"/>
      <c r="P425" s="66"/>
      <c r="Q425" s="66"/>
      <c r="R425" s="67"/>
      <c r="S425" s="67"/>
      <c r="T425" s="67"/>
      <c r="U425" s="66"/>
      <c r="V425" s="66"/>
      <c r="W425" s="66"/>
      <c r="X425" s="85"/>
      <c r="AP425" t="str">
        <v/>
      </c>
    </row>
    <row r="426" spans="4:42" ht="15.75" x14ac:dyDescent="0.25">
      <c r="D426" s="3">
        <v>1</v>
      </c>
      <c r="F426" s="16" t="str" cm="1">
        <f t="array" ref="F4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6" s="31" cm="1">
        <f t="array" ref="G4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6" s="33" t="str">
        <f>_xlfn.IFNA(IF(MOD(HLG_04[[#This Row],[Rit]],
    _xlfn.XLOOKUP($G$2,Int_Sample[Ore],Int_Sample[Inc])) = 0, "YES", "NO"),"")</f>
        <v/>
      </c>
      <c r="I426" s="32" t="str">
        <f>TEXT(HLG_04[[#This Row],[Batch]],"000")&amp; " / " &amp; TEXT(HLG_04[[#This Row],[Rit]],"000")</f>
        <v>N/A / 000</v>
      </c>
      <c r="J426" s="34"/>
      <c r="K426" s="38"/>
      <c r="L426" s="35"/>
      <c r="M426" s="66"/>
      <c r="N426" s="66"/>
      <c r="O426" s="66"/>
      <c r="P426" s="66"/>
      <c r="Q426" s="66"/>
      <c r="R426" s="67"/>
      <c r="S426" s="67"/>
      <c r="T426" s="67"/>
      <c r="U426" s="66"/>
      <c r="V426" s="66"/>
      <c r="W426" s="66"/>
      <c r="X426" s="85"/>
      <c r="AP426" t="str">
        <v/>
      </c>
    </row>
    <row r="427" spans="4:42" ht="15.75" x14ac:dyDescent="0.25">
      <c r="D427" s="3">
        <v>1</v>
      </c>
      <c r="F427" s="16" t="str" cm="1">
        <f t="array" ref="F4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7" s="31" cm="1">
        <f t="array" ref="G4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7" s="33" t="str">
        <f>_xlfn.IFNA(IF(MOD(HLG_04[[#This Row],[Rit]],
    _xlfn.XLOOKUP($G$2,Int_Sample[Ore],Int_Sample[Inc])) = 0, "YES", "NO"),"")</f>
        <v/>
      </c>
      <c r="I427" s="32" t="str">
        <f>TEXT(HLG_04[[#This Row],[Batch]],"000")&amp; " / " &amp; TEXT(HLG_04[[#This Row],[Rit]],"000")</f>
        <v>N/A / 000</v>
      </c>
      <c r="J427" s="34"/>
      <c r="K427" s="38"/>
      <c r="L427" s="35"/>
      <c r="M427" s="66"/>
      <c r="N427" s="66"/>
      <c r="O427" s="66"/>
      <c r="P427" s="66"/>
      <c r="Q427" s="66"/>
      <c r="R427" s="67"/>
      <c r="S427" s="67"/>
      <c r="T427" s="67"/>
      <c r="U427" s="66"/>
      <c r="V427" s="66"/>
      <c r="W427" s="66"/>
      <c r="X427" s="85"/>
      <c r="AP427" t="str">
        <v/>
      </c>
    </row>
    <row r="428" spans="4:42" ht="15.75" x14ac:dyDescent="0.25">
      <c r="D428" s="3">
        <v>1</v>
      </c>
      <c r="F428" s="16" t="str" cm="1">
        <f t="array" ref="F4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8" s="31" cm="1">
        <f t="array" ref="G4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8" s="33" t="str">
        <f>_xlfn.IFNA(IF(MOD(HLG_04[[#This Row],[Rit]],
    _xlfn.XLOOKUP($G$2,Int_Sample[Ore],Int_Sample[Inc])) = 0, "YES", "NO"),"")</f>
        <v/>
      </c>
      <c r="I428" s="32" t="str">
        <f>TEXT(HLG_04[[#This Row],[Batch]],"000")&amp; " / " &amp; TEXT(HLG_04[[#This Row],[Rit]],"000")</f>
        <v>N/A / 000</v>
      </c>
      <c r="J428" s="34"/>
      <c r="K428" s="38"/>
      <c r="L428" s="35"/>
      <c r="M428" s="66"/>
      <c r="N428" s="66"/>
      <c r="O428" s="66"/>
      <c r="P428" s="66"/>
      <c r="Q428" s="66"/>
      <c r="R428" s="67"/>
      <c r="S428" s="67"/>
      <c r="T428" s="67"/>
      <c r="U428" s="66"/>
      <c r="V428" s="66"/>
      <c r="W428" s="66"/>
      <c r="X428" s="85"/>
      <c r="AP428" t="str">
        <v/>
      </c>
    </row>
    <row r="429" spans="4:42" ht="15.75" x14ac:dyDescent="0.25">
      <c r="D429" s="3">
        <v>1</v>
      </c>
      <c r="F429" s="16" t="str" cm="1">
        <f t="array" ref="F4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9" s="31" cm="1">
        <f t="array" ref="G4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9" s="33" t="str">
        <f>_xlfn.IFNA(IF(MOD(HLG_04[[#This Row],[Rit]],
    _xlfn.XLOOKUP($G$2,Int_Sample[Ore],Int_Sample[Inc])) = 0, "YES", "NO"),"")</f>
        <v/>
      </c>
      <c r="I429" s="32" t="str">
        <f>TEXT(HLG_04[[#This Row],[Batch]],"000")&amp; " / " &amp; TEXT(HLG_04[[#This Row],[Rit]],"000")</f>
        <v>N/A / 000</v>
      </c>
      <c r="J429" s="34"/>
      <c r="K429" s="38"/>
      <c r="L429" s="35"/>
      <c r="M429" s="66"/>
      <c r="N429" s="66"/>
      <c r="O429" s="66"/>
      <c r="P429" s="66"/>
      <c r="Q429" s="66"/>
      <c r="R429" s="67"/>
      <c r="S429" s="67"/>
      <c r="T429" s="67"/>
      <c r="U429" s="66"/>
      <c r="V429" s="66"/>
      <c r="W429" s="66"/>
      <c r="X429" s="85"/>
      <c r="AP429" t="str">
        <v/>
      </c>
    </row>
    <row r="430" spans="4:42" ht="15.75" x14ac:dyDescent="0.25">
      <c r="D430" s="3">
        <v>1</v>
      </c>
      <c r="F430" s="16" t="str" cm="1">
        <f t="array" ref="F4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0" s="31" cm="1">
        <f t="array" ref="G4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0" s="33" t="str">
        <f>_xlfn.IFNA(IF(MOD(HLG_04[[#This Row],[Rit]],
    _xlfn.XLOOKUP($G$2,Int_Sample[Ore],Int_Sample[Inc])) = 0, "YES", "NO"),"")</f>
        <v/>
      </c>
      <c r="I430" s="32" t="str">
        <f>TEXT(HLG_04[[#This Row],[Batch]],"000")&amp; " / " &amp; TEXT(HLG_04[[#This Row],[Rit]],"000")</f>
        <v>N/A / 000</v>
      </c>
      <c r="J430" s="34"/>
      <c r="K430" s="38"/>
      <c r="L430" s="35"/>
      <c r="M430" s="66"/>
      <c r="N430" s="66"/>
      <c r="O430" s="66"/>
      <c r="P430" s="66"/>
      <c r="Q430" s="66"/>
      <c r="R430" s="67"/>
      <c r="S430" s="67"/>
      <c r="T430" s="67"/>
      <c r="U430" s="66"/>
      <c r="V430" s="66"/>
      <c r="W430" s="66"/>
      <c r="X430" s="85"/>
      <c r="AP430" t="str">
        <v/>
      </c>
    </row>
    <row r="431" spans="4:42" ht="15.75" x14ac:dyDescent="0.25">
      <c r="D431" s="3">
        <v>1</v>
      </c>
      <c r="F431" s="16" t="str" cm="1">
        <f t="array" ref="F4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1" s="31" cm="1">
        <f t="array" ref="G4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1" s="33" t="str">
        <f>_xlfn.IFNA(IF(MOD(HLG_04[[#This Row],[Rit]],
    _xlfn.XLOOKUP($G$2,Int_Sample[Ore],Int_Sample[Inc])) = 0, "YES", "NO"),"")</f>
        <v/>
      </c>
      <c r="I431" s="32" t="str">
        <f>TEXT(HLG_04[[#This Row],[Batch]],"000")&amp; " / " &amp; TEXT(HLG_04[[#This Row],[Rit]],"000")</f>
        <v>N/A / 000</v>
      </c>
      <c r="J431" s="34"/>
      <c r="K431" s="38"/>
      <c r="L431" s="35"/>
      <c r="M431" s="66"/>
      <c r="N431" s="66"/>
      <c r="O431" s="66"/>
      <c r="P431" s="66"/>
      <c r="Q431" s="66"/>
      <c r="R431" s="67"/>
      <c r="S431" s="67"/>
      <c r="T431" s="67"/>
      <c r="U431" s="66"/>
      <c r="V431" s="66"/>
      <c r="W431" s="66"/>
      <c r="X431" s="85"/>
      <c r="AP431" t="str">
        <v/>
      </c>
    </row>
    <row r="432" spans="4:42" ht="15.75" x14ac:dyDescent="0.25">
      <c r="D432" s="3">
        <v>1</v>
      </c>
      <c r="F432" s="16" t="str" cm="1">
        <f t="array" ref="F4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2" s="31" cm="1">
        <f t="array" ref="G4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2" s="33" t="str">
        <f>_xlfn.IFNA(IF(MOD(HLG_04[[#This Row],[Rit]],
    _xlfn.XLOOKUP($G$2,Int_Sample[Ore],Int_Sample[Inc])) = 0, "YES", "NO"),"")</f>
        <v/>
      </c>
      <c r="I432" s="32" t="str">
        <f>TEXT(HLG_04[[#This Row],[Batch]],"000")&amp; " / " &amp; TEXT(HLG_04[[#This Row],[Rit]],"000")</f>
        <v>N/A / 000</v>
      </c>
      <c r="J432" s="34"/>
      <c r="K432" s="38"/>
      <c r="L432" s="35"/>
      <c r="M432" s="66"/>
      <c r="N432" s="66"/>
      <c r="O432" s="66"/>
      <c r="P432" s="66"/>
      <c r="Q432" s="66"/>
      <c r="R432" s="67"/>
      <c r="S432" s="67"/>
      <c r="T432" s="67"/>
      <c r="U432" s="66"/>
      <c r="V432" s="66"/>
      <c r="W432" s="66"/>
      <c r="X432" s="85"/>
      <c r="AP432" t="str">
        <v/>
      </c>
    </row>
    <row r="433" spans="4:42" ht="15.75" x14ac:dyDescent="0.25">
      <c r="D433" s="3">
        <v>1</v>
      </c>
      <c r="F433" s="16" t="str" cm="1">
        <f t="array" ref="F4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3" s="31" cm="1">
        <f t="array" ref="G4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3" s="33" t="str">
        <f>_xlfn.IFNA(IF(MOD(HLG_04[[#This Row],[Rit]],
    _xlfn.XLOOKUP($G$2,Int_Sample[Ore],Int_Sample[Inc])) = 0, "YES", "NO"),"")</f>
        <v/>
      </c>
      <c r="I433" s="32" t="str">
        <f>TEXT(HLG_04[[#This Row],[Batch]],"000")&amp; " / " &amp; TEXT(HLG_04[[#This Row],[Rit]],"000")</f>
        <v>N/A / 000</v>
      </c>
      <c r="J433" s="34"/>
      <c r="K433" s="38"/>
      <c r="L433" s="35"/>
      <c r="M433" s="66"/>
      <c r="N433" s="66"/>
      <c r="O433" s="66"/>
      <c r="P433" s="66"/>
      <c r="Q433" s="66"/>
      <c r="R433" s="67"/>
      <c r="S433" s="67"/>
      <c r="T433" s="67"/>
      <c r="U433" s="66"/>
      <c r="V433" s="66"/>
      <c r="W433" s="66"/>
      <c r="X433" s="85"/>
      <c r="AP433" t="str">
        <v/>
      </c>
    </row>
    <row r="434" spans="4:42" ht="15.75" x14ac:dyDescent="0.25">
      <c r="D434" s="3">
        <v>1</v>
      </c>
      <c r="F434" s="16" t="str" cm="1">
        <f t="array" ref="F4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4" s="31" cm="1">
        <f t="array" ref="G4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4" s="33" t="str">
        <f>_xlfn.IFNA(IF(MOD(HLG_04[[#This Row],[Rit]],
    _xlfn.XLOOKUP($G$2,Int_Sample[Ore],Int_Sample[Inc])) = 0, "YES", "NO"),"")</f>
        <v/>
      </c>
      <c r="I434" s="32" t="str">
        <f>TEXT(HLG_04[[#This Row],[Batch]],"000")&amp; " / " &amp; TEXT(HLG_04[[#This Row],[Rit]],"000")</f>
        <v>N/A / 000</v>
      </c>
      <c r="J434" s="34"/>
      <c r="K434" s="38"/>
      <c r="L434" s="35"/>
      <c r="M434" s="66"/>
      <c r="N434" s="66"/>
      <c r="O434" s="66"/>
      <c r="P434" s="66"/>
      <c r="Q434" s="66"/>
      <c r="R434" s="67"/>
      <c r="S434" s="67"/>
      <c r="T434" s="67"/>
      <c r="U434" s="66"/>
      <c r="V434" s="66"/>
      <c r="W434" s="66"/>
      <c r="X434" s="85"/>
      <c r="AP434" t="str">
        <v/>
      </c>
    </row>
    <row r="435" spans="4:42" ht="15.75" x14ac:dyDescent="0.25">
      <c r="D435" s="3">
        <v>1</v>
      </c>
      <c r="F435" s="16" t="str" cm="1">
        <f t="array" ref="F4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5" s="31" cm="1">
        <f t="array" ref="G4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5" s="33" t="str">
        <f>_xlfn.IFNA(IF(MOD(HLG_04[[#This Row],[Rit]],
    _xlfn.XLOOKUP($G$2,Int_Sample[Ore],Int_Sample[Inc])) = 0, "YES", "NO"),"")</f>
        <v/>
      </c>
      <c r="I435" s="32" t="str">
        <f>TEXT(HLG_04[[#This Row],[Batch]],"000")&amp; " / " &amp; TEXT(HLG_04[[#This Row],[Rit]],"000")</f>
        <v>N/A / 000</v>
      </c>
      <c r="J435" s="34"/>
      <c r="K435" s="38"/>
      <c r="L435" s="35"/>
      <c r="M435" s="66"/>
      <c r="N435" s="66"/>
      <c r="O435" s="66"/>
      <c r="P435" s="66"/>
      <c r="Q435" s="66"/>
      <c r="R435" s="67"/>
      <c r="S435" s="67"/>
      <c r="T435" s="67"/>
      <c r="U435" s="66"/>
      <c r="V435" s="66"/>
      <c r="W435" s="66"/>
      <c r="X435" s="85"/>
      <c r="AP435" t="str">
        <v/>
      </c>
    </row>
    <row r="436" spans="4:42" ht="15.75" x14ac:dyDescent="0.25">
      <c r="D436" s="3">
        <v>1</v>
      </c>
      <c r="F436" s="16" t="str" cm="1">
        <f t="array" ref="F4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6" s="31" cm="1">
        <f t="array" ref="G4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6" s="33" t="str">
        <f>_xlfn.IFNA(IF(MOD(HLG_04[[#This Row],[Rit]],
    _xlfn.XLOOKUP($G$2,Int_Sample[Ore],Int_Sample[Inc])) = 0, "YES", "NO"),"")</f>
        <v/>
      </c>
      <c r="I436" s="32" t="str">
        <f>TEXT(HLG_04[[#This Row],[Batch]],"000")&amp; " / " &amp; TEXT(HLG_04[[#This Row],[Rit]],"000")</f>
        <v>N/A / 000</v>
      </c>
      <c r="J436" s="34"/>
      <c r="K436" s="38"/>
      <c r="L436" s="35"/>
      <c r="M436" s="66"/>
      <c r="N436" s="66"/>
      <c r="O436" s="66"/>
      <c r="P436" s="66"/>
      <c r="Q436" s="66"/>
      <c r="R436" s="67"/>
      <c r="S436" s="67"/>
      <c r="T436" s="67"/>
      <c r="U436" s="66"/>
      <c r="V436" s="66"/>
      <c r="W436" s="66"/>
      <c r="X436" s="85"/>
      <c r="AP436" t="str">
        <v/>
      </c>
    </row>
    <row r="437" spans="4:42" ht="15.75" x14ac:dyDescent="0.25">
      <c r="D437" s="3">
        <v>1</v>
      </c>
      <c r="F437" s="16" t="str" cm="1">
        <f t="array" ref="F4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7" s="31" cm="1">
        <f t="array" ref="G4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7" s="33" t="str">
        <f>_xlfn.IFNA(IF(MOD(HLG_04[[#This Row],[Rit]],
    _xlfn.XLOOKUP($G$2,Int_Sample[Ore],Int_Sample[Inc])) = 0, "YES", "NO"),"")</f>
        <v/>
      </c>
      <c r="I437" s="32" t="str">
        <f>TEXT(HLG_04[[#This Row],[Batch]],"000")&amp; " / " &amp; TEXT(HLG_04[[#This Row],[Rit]],"000")</f>
        <v>N/A / 000</v>
      </c>
      <c r="J437" s="34"/>
      <c r="K437" s="38"/>
      <c r="L437" s="35"/>
      <c r="M437" s="66"/>
      <c r="N437" s="66"/>
      <c r="O437" s="66"/>
      <c r="P437" s="66"/>
      <c r="Q437" s="66"/>
      <c r="R437" s="67"/>
      <c r="S437" s="67"/>
      <c r="T437" s="67"/>
      <c r="U437" s="66"/>
      <c r="V437" s="66"/>
      <c r="W437" s="66"/>
      <c r="X437" s="85"/>
      <c r="AP437" t="str">
        <v/>
      </c>
    </row>
    <row r="438" spans="4:42" ht="15.75" x14ac:dyDescent="0.25">
      <c r="D438" s="3">
        <v>1</v>
      </c>
      <c r="F438" s="16" t="str" cm="1">
        <f t="array" ref="F4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8" s="31" cm="1">
        <f t="array" ref="G4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8" s="33" t="str">
        <f>_xlfn.IFNA(IF(MOD(HLG_04[[#This Row],[Rit]],
    _xlfn.XLOOKUP($G$2,Int_Sample[Ore],Int_Sample[Inc])) = 0, "YES", "NO"),"")</f>
        <v/>
      </c>
      <c r="I438" s="32" t="str">
        <f>TEXT(HLG_04[[#This Row],[Batch]],"000")&amp; " / " &amp; TEXT(HLG_04[[#This Row],[Rit]],"000")</f>
        <v>N/A / 000</v>
      </c>
      <c r="J438" s="34"/>
      <c r="K438" s="38"/>
      <c r="L438" s="35"/>
      <c r="M438" s="66"/>
      <c r="N438" s="66"/>
      <c r="O438" s="66"/>
      <c r="P438" s="66"/>
      <c r="Q438" s="66"/>
      <c r="R438" s="67"/>
      <c r="S438" s="67"/>
      <c r="T438" s="67"/>
      <c r="U438" s="66"/>
      <c r="V438" s="66"/>
      <c r="W438" s="66"/>
      <c r="X438" s="85"/>
      <c r="AP438" t="str">
        <v/>
      </c>
    </row>
    <row r="439" spans="4:42" ht="15.75" x14ac:dyDescent="0.25">
      <c r="D439" s="3">
        <v>1</v>
      </c>
      <c r="F439" s="16" t="str" cm="1">
        <f t="array" ref="F4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9" s="31" cm="1">
        <f t="array" ref="G4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9" s="33" t="str">
        <f>_xlfn.IFNA(IF(MOD(HLG_04[[#This Row],[Rit]],
    _xlfn.XLOOKUP($G$2,Int_Sample[Ore],Int_Sample[Inc])) = 0, "YES", "NO"),"")</f>
        <v/>
      </c>
      <c r="I439" s="32" t="str">
        <f>TEXT(HLG_04[[#This Row],[Batch]],"000")&amp; " / " &amp; TEXT(HLG_04[[#This Row],[Rit]],"000")</f>
        <v>N/A / 000</v>
      </c>
      <c r="J439" s="34"/>
      <c r="K439" s="38"/>
      <c r="L439" s="35"/>
      <c r="M439" s="66"/>
      <c r="N439" s="66"/>
      <c r="O439" s="66"/>
      <c r="P439" s="66"/>
      <c r="Q439" s="66"/>
      <c r="R439" s="67"/>
      <c r="S439" s="67"/>
      <c r="T439" s="67"/>
      <c r="U439" s="66"/>
      <c r="V439" s="66"/>
      <c r="W439" s="66"/>
      <c r="X439" s="85"/>
      <c r="AP439" t="str">
        <v/>
      </c>
    </row>
    <row r="440" spans="4:42" ht="15.75" x14ac:dyDescent="0.25">
      <c r="D440" s="3">
        <v>1</v>
      </c>
      <c r="F440" s="16" t="str" cm="1">
        <f t="array" ref="F4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0" s="31" cm="1">
        <f t="array" ref="G4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0" s="33" t="str">
        <f>_xlfn.IFNA(IF(MOD(HLG_04[[#This Row],[Rit]],
    _xlfn.XLOOKUP($G$2,Int_Sample[Ore],Int_Sample[Inc])) = 0, "YES", "NO"),"")</f>
        <v/>
      </c>
      <c r="I440" s="32" t="str">
        <f>TEXT(HLG_04[[#This Row],[Batch]],"000")&amp; " / " &amp; TEXT(HLG_04[[#This Row],[Rit]],"000")</f>
        <v>N/A / 000</v>
      </c>
      <c r="J440" s="34"/>
      <c r="K440" s="38"/>
      <c r="L440" s="35"/>
      <c r="M440" s="66"/>
      <c r="N440" s="66"/>
      <c r="O440" s="66"/>
      <c r="P440" s="66"/>
      <c r="Q440" s="66"/>
      <c r="R440" s="67"/>
      <c r="S440" s="67"/>
      <c r="T440" s="67"/>
      <c r="U440" s="66"/>
      <c r="V440" s="66"/>
      <c r="W440" s="66"/>
      <c r="X440" s="85"/>
      <c r="AP440" t="str">
        <v/>
      </c>
    </row>
    <row r="441" spans="4:42" ht="15.75" x14ac:dyDescent="0.25">
      <c r="D441" s="3">
        <v>1</v>
      </c>
      <c r="F441" s="16" t="str" cm="1">
        <f t="array" ref="F4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1" s="31" cm="1">
        <f t="array" ref="G4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1" s="33" t="str">
        <f>_xlfn.IFNA(IF(MOD(HLG_04[[#This Row],[Rit]],
    _xlfn.XLOOKUP($G$2,Int_Sample[Ore],Int_Sample[Inc])) = 0, "YES", "NO"),"")</f>
        <v/>
      </c>
      <c r="I441" s="32" t="str">
        <f>TEXT(HLG_04[[#This Row],[Batch]],"000")&amp; " / " &amp; TEXT(HLG_04[[#This Row],[Rit]],"000")</f>
        <v>N/A / 000</v>
      </c>
      <c r="J441" s="34"/>
      <c r="K441" s="38"/>
      <c r="L441" s="35"/>
      <c r="M441" s="66"/>
      <c r="N441" s="66"/>
      <c r="O441" s="66"/>
      <c r="P441" s="66"/>
      <c r="Q441" s="66"/>
      <c r="R441" s="67"/>
      <c r="S441" s="67"/>
      <c r="T441" s="67"/>
      <c r="U441" s="66"/>
      <c r="V441" s="66"/>
      <c r="W441" s="66"/>
      <c r="X441" s="85"/>
      <c r="AP441" t="str">
        <v/>
      </c>
    </row>
    <row r="442" spans="4:42" ht="15.75" x14ac:dyDescent="0.25">
      <c r="D442" s="3">
        <v>1</v>
      </c>
      <c r="F442" s="16" t="str" cm="1">
        <f t="array" ref="F4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2" s="31" cm="1">
        <f t="array" ref="G4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2" s="33" t="str">
        <f>_xlfn.IFNA(IF(MOD(HLG_04[[#This Row],[Rit]],
    _xlfn.XLOOKUP($G$2,Int_Sample[Ore],Int_Sample[Inc])) = 0, "YES", "NO"),"")</f>
        <v/>
      </c>
      <c r="I442" s="32" t="str">
        <f>TEXT(HLG_04[[#This Row],[Batch]],"000")&amp; " / " &amp; TEXT(HLG_04[[#This Row],[Rit]],"000")</f>
        <v>N/A / 000</v>
      </c>
      <c r="J442" s="34"/>
      <c r="K442" s="38"/>
      <c r="L442" s="35"/>
      <c r="M442" s="66"/>
      <c r="N442" s="66"/>
      <c r="O442" s="66"/>
      <c r="P442" s="66"/>
      <c r="Q442" s="66"/>
      <c r="R442" s="67"/>
      <c r="S442" s="67"/>
      <c r="T442" s="67"/>
      <c r="U442" s="66"/>
      <c r="V442" s="66"/>
      <c r="W442" s="66"/>
      <c r="X442" s="85"/>
      <c r="AP442" t="str">
        <v/>
      </c>
    </row>
    <row r="443" spans="4:42" ht="15.75" x14ac:dyDescent="0.25">
      <c r="D443" s="3">
        <v>1</v>
      </c>
      <c r="F443" s="16" t="str" cm="1">
        <f t="array" ref="F4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3" s="31" cm="1">
        <f t="array" ref="G4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3" s="33" t="str">
        <f>_xlfn.IFNA(IF(MOD(HLG_04[[#This Row],[Rit]],
    _xlfn.XLOOKUP($G$2,Int_Sample[Ore],Int_Sample[Inc])) = 0, "YES", "NO"),"")</f>
        <v/>
      </c>
      <c r="I443" s="32" t="str">
        <f>TEXT(HLG_04[[#This Row],[Batch]],"000")&amp; " / " &amp; TEXT(HLG_04[[#This Row],[Rit]],"000")</f>
        <v>N/A / 000</v>
      </c>
      <c r="J443" s="34"/>
      <c r="K443" s="38"/>
      <c r="L443" s="35"/>
      <c r="M443" s="66"/>
      <c r="N443" s="66"/>
      <c r="O443" s="66"/>
      <c r="P443" s="66"/>
      <c r="Q443" s="66"/>
      <c r="R443" s="67"/>
      <c r="S443" s="67"/>
      <c r="T443" s="67"/>
      <c r="U443" s="66"/>
      <c r="V443" s="66"/>
      <c r="W443" s="66"/>
      <c r="X443" s="85"/>
      <c r="AP443" t="str">
        <v/>
      </c>
    </row>
    <row r="444" spans="4:42" ht="15.75" x14ac:dyDescent="0.25">
      <c r="D444" s="3">
        <v>1</v>
      </c>
      <c r="F444" s="16" t="str" cm="1">
        <f t="array" ref="F4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4" s="31" cm="1">
        <f t="array" ref="G4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4" s="33" t="str">
        <f>_xlfn.IFNA(IF(MOD(HLG_04[[#This Row],[Rit]],
    _xlfn.XLOOKUP($G$2,Int_Sample[Ore],Int_Sample[Inc])) = 0, "YES", "NO"),"")</f>
        <v/>
      </c>
      <c r="I444" s="32" t="str">
        <f>TEXT(HLG_04[[#This Row],[Batch]],"000")&amp; " / " &amp; TEXT(HLG_04[[#This Row],[Rit]],"000")</f>
        <v>N/A / 000</v>
      </c>
      <c r="J444" s="34"/>
      <c r="K444" s="38"/>
      <c r="L444" s="35"/>
      <c r="M444" s="66"/>
      <c r="N444" s="66"/>
      <c r="O444" s="66"/>
      <c r="P444" s="66"/>
      <c r="Q444" s="66"/>
      <c r="R444" s="67"/>
      <c r="S444" s="67"/>
      <c r="T444" s="67"/>
      <c r="U444" s="66"/>
      <c r="V444" s="66"/>
      <c r="W444" s="66"/>
      <c r="X444" s="85"/>
      <c r="AP444" t="str">
        <v/>
      </c>
    </row>
    <row r="445" spans="4:42" ht="15.75" x14ac:dyDescent="0.25">
      <c r="D445" s="3">
        <v>1</v>
      </c>
      <c r="F445" s="16" t="str" cm="1">
        <f t="array" ref="F4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5" s="31" cm="1">
        <f t="array" ref="G4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5" s="33" t="str">
        <f>_xlfn.IFNA(IF(MOD(HLG_04[[#This Row],[Rit]],
    _xlfn.XLOOKUP($G$2,Int_Sample[Ore],Int_Sample[Inc])) = 0, "YES", "NO"),"")</f>
        <v/>
      </c>
      <c r="I445" s="32" t="str">
        <f>TEXT(HLG_04[[#This Row],[Batch]],"000")&amp; " / " &amp; TEXT(HLG_04[[#This Row],[Rit]],"000")</f>
        <v>N/A / 000</v>
      </c>
      <c r="J445" s="34"/>
      <c r="K445" s="38"/>
      <c r="L445" s="35"/>
      <c r="M445" s="66"/>
      <c r="N445" s="66"/>
      <c r="O445" s="66"/>
      <c r="P445" s="66"/>
      <c r="Q445" s="66"/>
      <c r="R445" s="67"/>
      <c r="S445" s="67"/>
      <c r="T445" s="67"/>
      <c r="U445" s="66"/>
      <c r="V445" s="66"/>
      <c r="W445" s="66"/>
      <c r="X445" s="85"/>
      <c r="AP445" t="str">
        <v/>
      </c>
    </row>
    <row r="446" spans="4:42" ht="15.75" x14ac:dyDescent="0.25">
      <c r="D446" s="3">
        <v>1</v>
      </c>
      <c r="F446" s="16" t="str" cm="1">
        <f t="array" ref="F4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6" s="31" cm="1">
        <f t="array" ref="G4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6" s="33" t="str">
        <f>_xlfn.IFNA(IF(MOD(HLG_04[[#This Row],[Rit]],
    _xlfn.XLOOKUP($G$2,Int_Sample[Ore],Int_Sample[Inc])) = 0, "YES", "NO"),"")</f>
        <v/>
      </c>
      <c r="I446" s="32" t="str">
        <f>TEXT(HLG_04[[#This Row],[Batch]],"000")&amp; " / " &amp; TEXT(HLG_04[[#This Row],[Rit]],"000")</f>
        <v>N/A / 000</v>
      </c>
      <c r="J446" s="34"/>
      <c r="K446" s="38"/>
      <c r="L446" s="35"/>
      <c r="M446" s="66"/>
      <c r="N446" s="66"/>
      <c r="O446" s="66"/>
      <c r="P446" s="66"/>
      <c r="Q446" s="66"/>
      <c r="R446" s="67"/>
      <c r="S446" s="67"/>
      <c r="T446" s="67"/>
      <c r="U446" s="66"/>
      <c r="V446" s="66"/>
      <c r="W446" s="66"/>
      <c r="X446" s="85"/>
      <c r="AP446" t="str">
        <v/>
      </c>
    </row>
    <row r="447" spans="4:42" ht="15.75" x14ac:dyDescent="0.25">
      <c r="D447" s="3">
        <v>1</v>
      </c>
      <c r="F447" s="16" t="str" cm="1">
        <f t="array" ref="F4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7" s="31" cm="1">
        <f t="array" ref="G4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7" s="33" t="str">
        <f>_xlfn.IFNA(IF(MOD(HLG_04[[#This Row],[Rit]],
    _xlfn.XLOOKUP($G$2,Int_Sample[Ore],Int_Sample[Inc])) = 0, "YES", "NO"),"")</f>
        <v/>
      </c>
      <c r="I447" s="32" t="str">
        <f>TEXT(HLG_04[[#This Row],[Batch]],"000")&amp; " / " &amp; TEXT(HLG_04[[#This Row],[Rit]],"000")</f>
        <v>N/A / 000</v>
      </c>
      <c r="J447" s="34"/>
      <c r="K447" s="38"/>
      <c r="L447" s="35"/>
      <c r="M447" s="66"/>
      <c r="N447" s="66"/>
      <c r="O447" s="66"/>
      <c r="P447" s="66"/>
      <c r="Q447" s="66"/>
      <c r="R447" s="67"/>
      <c r="S447" s="67"/>
      <c r="T447" s="67"/>
      <c r="U447" s="66"/>
      <c r="V447" s="66"/>
      <c r="W447" s="66"/>
      <c r="X447" s="85"/>
      <c r="AP447" t="str">
        <v/>
      </c>
    </row>
    <row r="448" spans="4:42" ht="15.75" x14ac:dyDescent="0.25">
      <c r="D448" s="3">
        <v>1</v>
      </c>
      <c r="F448" s="16" t="str" cm="1">
        <f t="array" ref="F4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8" s="31" cm="1">
        <f t="array" ref="G4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8" s="33" t="str">
        <f>_xlfn.IFNA(IF(MOD(HLG_04[[#This Row],[Rit]],
    _xlfn.XLOOKUP($G$2,Int_Sample[Ore],Int_Sample[Inc])) = 0, "YES", "NO"),"")</f>
        <v/>
      </c>
      <c r="I448" s="32" t="str">
        <f>TEXT(HLG_04[[#This Row],[Batch]],"000")&amp; " / " &amp; TEXT(HLG_04[[#This Row],[Rit]],"000")</f>
        <v>N/A / 000</v>
      </c>
      <c r="J448" s="34"/>
      <c r="K448" s="38"/>
      <c r="L448" s="35"/>
      <c r="M448" s="66"/>
      <c r="N448" s="66"/>
      <c r="O448" s="66"/>
      <c r="P448" s="66"/>
      <c r="Q448" s="66"/>
      <c r="R448" s="67"/>
      <c r="S448" s="67"/>
      <c r="T448" s="67"/>
      <c r="U448" s="66"/>
      <c r="V448" s="66"/>
      <c r="W448" s="66"/>
      <c r="X448" s="85"/>
      <c r="AP448" t="str">
        <v/>
      </c>
    </row>
    <row r="449" spans="4:42" ht="15.75" x14ac:dyDescent="0.25">
      <c r="D449" s="3">
        <v>1</v>
      </c>
      <c r="F449" s="16" t="str" cm="1">
        <f t="array" ref="F4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9" s="31" cm="1">
        <f t="array" ref="G4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9" s="33" t="str">
        <f>_xlfn.IFNA(IF(MOD(HLG_04[[#This Row],[Rit]],
    _xlfn.XLOOKUP($G$2,Int_Sample[Ore],Int_Sample[Inc])) = 0, "YES", "NO"),"")</f>
        <v/>
      </c>
      <c r="I449" s="32" t="str">
        <f>TEXT(HLG_04[[#This Row],[Batch]],"000")&amp; " / " &amp; TEXT(HLG_04[[#This Row],[Rit]],"000")</f>
        <v>N/A / 000</v>
      </c>
      <c r="J449" s="34"/>
      <c r="K449" s="38"/>
      <c r="L449" s="35"/>
      <c r="M449" s="66"/>
      <c r="N449" s="66"/>
      <c r="O449" s="66"/>
      <c r="P449" s="66"/>
      <c r="Q449" s="66"/>
      <c r="R449" s="67"/>
      <c r="S449" s="67"/>
      <c r="T449" s="67"/>
      <c r="U449" s="66"/>
      <c r="V449" s="66"/>
      <c r="W449" s="66"/>
      <c r="X449" s="85"/>
      <c r="AP449" t="str">
        <v/>
      </c>
    </row>
    <row r="450" spans="4:42" ht="15.75" x14ac:dyDescent="0.25">
      <c r="D450" s="3">
        <v>1</v>
      </c>
      <c r="F450" s="16" t="str" cm="1">
        <f t="array" ref="F4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0" s="31" cm="1">
        <f t="array" ref="G4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0" s="33" t="str">
        <f>_xlfn.IFNA(IF(MOD(HLG_04[[#This Row],[Rit]],
    _xlfn.XLOOKUP($G$2,Int_Sample[Ore],Int_Sample[Inc])) = 0, "YES", "NO"),"")</f>
        <v/>
      </c>
      <c r="I450" s="32" t="str">
        <f>TEXT(HLG_04[[#This Row],[Batch]],"000")&amp; " / " &amp; TEXT(HLG_04[[#This Row],[Rit]],"000")</f>
        <v>N/A / 000</v>
      </c>
      <c r="J450" s="34"/>
      <c r="K450" s="38"/>
      <c r="L450" s="35"/>
      <c r="M450" s="66"/>
      <c r="N450" s="66"/>
      <c r="O450" s="66"/>
      <c r="P450" s="66"/>
      <c r="Q450" s="66"/>
      <c r="R450" s="67"/>
      <c r="S450" s="67"/>
      <c r="T450" s="67"/>
      <c r="U450" s="66"/>
      <c r="V450" s="66"/>
      <c r="W450" s="66"/>
      <c r="X450" s="85"/>
      <c r="AP450" t="str">
        <v/>
      </c>
    </row>
    <row r="451" spans="4:42" ht="15.75" x14ac:dyDescent="0.25">
      <c r="D451" s="3">
        <v>1</v>
      </c>
      <c r="F451" s="16" t="str" cm="1">
        <f t="array" ref="F4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1" s="31" cm="1">
        <f t="array" ref="G4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1" s="33" t="str">
        <f>_xlfn.IFNA(IF(MOD(HLG_04[[#This Row],[Rit]],
    _xlfn.XLOOKUP($G$2,Int_Sample[Ore],Int_Sample[Inc])) = 0, "YES", "NO"),"")</f>
        <v/>
      </c>
      <c r="I451" s="32" t="str">
        <f>TEXT(HLG_04[[#This Row],[Batch]],"000")&amp; " / " &amp; TEXT(HLG_04[[#This Row],[Rit]],"000")</f>
        <v>N/A / 000</v>
      </c>
      <c r="J451" s="34"/>
      <c r="K451" s="38"/>
      <c r="L451" s="35"/>
      <c r="M451" s="66"/>
      <c r="N451" s="66"/>
      <c r="O451" s="66"/>
      <c r="P451" s="66"/>
      <c r="Q451" s="66"/>
      <c r="R451" s="67"/>
      <c r="S451" s="67"/>
      <c r="T451" s="67"/>
      <c r="U451" s="66"/>
      <c r="V451" s="66"/>
      <c r="W451" s="66"/>
      <c r="X451" s="85"/>
      <c r="AP451" t="str">
        <v/>
      </c>
    </row>
    <row r="452" spans="4:42" ht="15.75" x14ac:dyDescent="0.25">
      <c r="D452" s="3">
        <v>1</v>
      </c>
      <c r="F452" s="16" t="str" cm="1">
        <f t="array" ref="F4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2" s="31" cm="1">
        <f t="array" ref="G4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2" s="33" t="str">
        <f>_xlfn.IFNA(IF(MOD(HLG_04[[#This Row],[Rit]],
    _xlfn.XLOOKUP($G$2,Int_Sample[Ore],Int_Sample[Inc])) = 0, "YES", "NO"),"")</f>
        <v/>
      </c>
      <c r="I452" s="32" t="str">
        <f>TEXT(HLG_04[[#This Row],[Batch]],"000")&amp; " / " &amp; TEXT(HLG_04[[#This Row],[Rit]],"000")</f>
        <v>N/A / 000</v>
      </c>
      <c r="J452" s="34"/>
      <c r="K452" s="38"/>
      <c r="L452" s="35"/>
      <c r="M452" s="66"/>
      <c r="N452" s="66"/>
      <c r="O452" s="66"/>
      <c r="P452" s="66"/>
      <c r="Q452" s="66"/>
      <c r="R452" s="67"/>
      <c r="S452" s="67"/>
      <c r="T452" s="67"/>
      <c r="U452" s="66"/>
      <c r="V452" s="66"/>
      <c r="W452" s="66"/>
      <c r="X452" s="85"/>
      <c r="AP452" t="str">
        <v/>
      </c>
    </row>
    <row r="453" spans="4:42" ht="15.75" x14ac:dyDescent="0.25">
      <c r="D453" s="3">
        <v>1</v>
      </c>
      <c r="F453" s="16" t="str" cm="1">
        <f t="array" ref="F4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3" s="31" cm="1">
        <f t="array" ref="G4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3" s="33" t="str">
        <f>_xlfn.IFNA(IF(MOD(HLG_04[[#This Row],[Rit]],
    _xlfn.XLOOKUP($G$2,Int_Sample[Ore],Int_Sample[Inc])) = 0, "YES", "NO"),"")</f>
        <v/>
      </c>
      <c r="I453" s="32" t="str">
        <f>TEXT(HLG_04[[#This Row],[Batch]],"000")&amp; " / " &amp; TEXT(HLG_04[[#This Row],[Rit]],"000")</f>
        <v>N/A / 000</v>
      </c>
      <c r="J453" s="34"/>
      <c r="K453" s="38"/>
      <c r="L453" s="35"/>
      <c r="M453" s="66"/>
      <c r="N453" s="66"/>
      <c r="O453" s="66"/>
      <c r="P453" s="66"/>
      <c r="Q453" s="66"/>
      <c r="R453" s="67"/>
      <c r="S453" s="67"/>
      <c r="T453" s="67"/>
      <c r="U453" s="66"/>
      <c r="V453" s="66"/>
      <c r="W453" s="66"/>
      <c r="X453" s="85"/>
      <c r="AP453" t="str">
        <v/>
      </c>
    </row>
    <row r="454" spans="4:42" ht="15.75" x14ac:dyDescent="0.25">
      <c r="D454" s="3">
        <v>1</v>
      </c>
      <c r="F454" s="16" t="str" cm="1">
        <f t="array" ref="F4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4" s="31" cm="1">
        <f t="array" ref="G4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4" s="33" t="str">
        <f>_xlfn.IFNA(IF(MOD(HLG_04[[#This Row],[Rit]],
    _xlfn.XLOOKUP($G$2,Int_Sample[Ore],Int_Sample[Inc])) = 0, "YES", "NO"),"")</f>
        <v/>
      </c>
      <c r="I454" s="32" t="str">
        <f>TEXT(HLG_04[[#This Row],[Batch]],"000")&amp; " / " &amp; TEXT(HLG_04[[#This Row],[Rit]],"000")</f>
        <v>N/A / 000</v>
      </c>
      <c r="J454" s="34"/>
      <c r="K454" s="38"/>
      <c r="L454" s="35"/>
      <c r="M454" s="66"/>
      <c r="N454" s="66"/>
      <c r="O454" s="66"/>
      <c r="P454" s="66"/>
      <c r="Q454" s="66"/>
      <c r="R454" s="67"/>
      <c r="S454" s="67"/>
      <c r="T454" s="67"/>
      <c r="U454" s="66"/>
      <c r="V454" s="66"/>
      <c r="W454" s="66"/>
      <c r="X454" s="85"/>
      <c r="AP454" t="str">
        <v/>
      </c>
    </row>
    <row r="455" spans="4:42" ht="15.75" x14ac:dyDescent="0.25">
      <c r="D455" s="3">
        <v>1</v>
      </c>
      <c r="F455" s="16" t="str" cm="1">
        <f t="array" ref="F4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5" s="31" cm="1">
        <f t="array" ref="G4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5" s="33" t="str">
        <f>_xlfn.IFNA(IF(MOD(HLG_04[[#This Row],[Rit]],
    _xlfn.XLOOKUP($G$2,Int_Sample[Ore],Int_Sample[Inc])) = 0, "YES", "NO"),"")</f>
        <v/>
      </c>
      <c r="I455" s="32" t="str">
        <f>TEXT(HLG_04[[#This Row],[Batch]],"000")&amp; " / " &amp; TEXT(HLG_04[[#This Row],[Rit]],"000")</f>
        <v>N/A / 000</v>
      </c>
      <c r="J455" s="34"/>
      <c r="K455" s="38"/>
      <c r="L455" s="35"/>
      <c r="M455" s="66"/>
      <c r="N455" s="66"/>
      <c r="O455" s="66"/>
      <c r="P455" s="66"/>
      <c r="Q455" s="66"/>
      <c r="R455" s="67"/>
      <c r="S455" s="67"/>
      <c r="T455" s="67"/>
      <c r="U455" s="66"/>
      <c r="V455" s="66"/>
      <c r="W455" s="66"/>
      <c r="X455" s="85"/>
      <c r="AP455" t="str">
        <v/>
      </c>
    </row>
    <row r="456" spans="4:42" ht="15.75" x14ac:dyDescent="0.25">
      <c r="D456" s="3">
        <v>1</v>
      </c>
      <c r="F456" s="16" t="str" cm="1">
        <f t="array" ref="F4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6" s="31" cm="1">
        <f t="array" ref="G4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6" s="33" t="str">
        <f>_xlfn.IFNA(IF(MOD(HLG_04[[#This Row],[Rit]],
    _xlfn.XLOOKUP($G$2,Int_Sample[Ore],Int_Sample[Inc])) = 0, "YES", "NO"),"")</f>
        <v/>
      </c>
      <c r="I456" s="32" t="str">
        <f>TEXT(HLG_04[[#This Row],[Batch]],"000")&amp; " / " &amp; TEXT(HLG_04[[#This Row],[Rit]],"000")</f>
        <v>N/A / 000</v>
      </c>
      <c r="J456" s="34"/>
      <c r="K456" s="38"/>
      <c r="L456" s="35"/>
      <c r="M456" s="66"/>
      <c r="N456" s="66"/>
      <c r="O456" s="66"/>
      <c r="P456" s="66"/>
      <c r="Q456" s="66"/>
      <c r="R456" s="67"/>
      <c r="S456" s="67"/>
      <c r="T456" s="67"/>
      <c r="U456" s="66"/>
      <c r="V456" s="66"/>
      <c r="W456" s="66"/>
      <c r="X456" s="85"/>
      <c r="AP456" t="str">
        <v/>
      </c>
    </row>
    <row r="457" spans="4:42" ht="15.75" x14ac:dyDescent="0.25">
      <c r="D457" s="3">
        <v>1</v>
      </c>
      <c r="F457" s="16" t="str" cm="1">
        <f t="array" ref="F4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7" s="31" cm="1">
        <f t="array" ref="G4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7" s="33" t="str">
        <f>_xlfn.IFNA(IF(MOD(HLG_04[[#This Row],[Rit]],
    _xlfn.XLOOKUP($G$2,Int_Sample[Ore],Int_Sample[Inc])) = 0, "YES", "NO"),"")</f>
        <v/>
      </c>
      <c r="I457" s="32" t="str">
        <f>TEXT(HLG_04[[#This Row],[Batch]],"000")&amp; " / " &amp; TEXT(HLG_04[[#This Row],[Rit]],"000")</f>
        <v>N/A / 000</v>
      </c>
      <c r="J457" s="34"/>
      <c r="K457" s="38"/>
      <c r="L457" s="35"/>
      <c r="M457" s="66"/>
      <c r="N457" s="66"/>
      <c r="O457" s="66"/>
      <c r="P457" s="66"/>
      <c r="Q457" s="66"/>
      <c r="R457" s="67"/>
      <c r="S457" s="67"/>
      <c r="T457" s="67"/>
      <c r="U457" s="66"/>
      <c r="V457" s="66"/>
      <c r="W457" s="66"/>
      <c r="X457" s="85"/>
      <c r="AP457" t="str">
        <v/>
      </c>
    </row>
    <row r="458" spans="4:42" ht="15.75" x14ac:dyDescent="0.25">
      <c r="D458" s="3">
        <v>1</v>
      </c>
      <c r="F458" s="16" t="str" cm="1">
        <f t="array" ref="F4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8" s="31" cm="1">
        <f t="array" ref="G4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8" s="33" t="str">
        <f>_xlfn.IFNA(IF(MOD(HLG_04[[#This Row],[Rit]],
    _xlfn.XLOOKUP($G$2,Int_Sample[Ore],Int_Sample[Inc])) = 0, "YES", "NO"),"")</f>
        <v/>
      </c>
      <c r="I458" s="32" t="str">
        <f>TEXT(HLG_04[[#This Row],[Batch]],"000")&amp; " / " &amp; TEXT(HLG_04[[#This Row],[Rit]],"000")</f>
        <v>N/A / 000</v>
      </c>
      <c r="J458" s="34"/>
      <c r="K458" s="38"/>
      <c r="L458" s="35"/>
      <c r="M458" s="66"/>
      <c r="N458" s="66"/>
      <c r="O458" s="66"/>
      <c r="P458" s="66"/>
      <c r="Q458" s="66"/>
      <c r="R458" s="67"/>
      <c r="S458" s="67"/>
      <c r="T458" s="67"/>
      <c r="U458" s="66"/>
      <c r="V458" s="66"/>
      <c r="W458" s="66"/>
      <c r="X458" s="85"/>
      <c r="AP458" t="str">
        <v/>
      </c>
    </row>
    <row r="459" spans="4:42" ht="15.75" x14ac:dyDescent="0.25">
      <c r="D459" s="3">
        <v>1</v>
      </c>
      <c r="F459" s="16" t="str" cm="1">
        <f t="array" ref="F4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9" s="31" cm="1">
        <f t="array" ref="G4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9" s="33" t="str">
        <f>_xlfn.IFNA(IF(MOD(HLG_04[[#This Row],[Rit]],
    _xlfn.XLOOKUP($G$2,Int_Sample[Ore],Int_Sample[Inc])) = 0, "YES", "NO"),"")</f>
        <v/>
      </c>
      <c r="I459" s="32" t="str">
        <f>TEXT(HLG_04[[#This Row],[Batch]],"000")&amp; " / " &amp; TEXT(HLG_04[[#This Row],[Rit]],"000")</f>
        <v>N/A / 000</v>
      </c>
      <c r="J459" s="34"/>
      <c r="K459" s="38"/>
      <c r="L459" s="35"/>
      <c r="M459" s="66"/>
      <c r="N459" s="66"/>
      <c r="O459" s="66"/>
      <c r="P459" s="66"/>
      <c r="Q459" s="66"/>
      <c r="R459" s="67"/>
      <c r="S459" s="67"/>
      <c r="T459" s="67"/>
      <c r="U459" s="66"/>
      <c r="V459" s="66"/>
      <c r="W459" s="66"/>
      <c r="X459" s="85"/>
      <c r="AP459" t="str">
        <v/>
      </c>
    </row>
    <row r="460" spans="4:42" ht="15.75" x14ac:dyDescent="0.25">
      <c r="D460" s="3">
        <v>1</v>
      </c>
      <c r="F460" s="16" t="str" cm="1">
        <f t="array" ref="F4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0" s="31" cm="1">
        <f t="array" ref="G4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0" s="33" t="str">
        <f>_xlfn.IFNA(IF(MOD(HLG_04[[#This Row],[Rit]],
    _xlfn.XLOOKUP($G$2,Int_Sample[Ore],Int_Sample[Inc])) = 0, "YES", "NO"),"")</f>
        <v/>
      </c>
      <c r="I460" s="32" t="str">
        <f>TEXT(HLG_04[[#This Row],[Batch]],"000")&amp; " / " &amp; TEXT(HLG_04[[#This Row],[Rit]],"000")</f>
        <v>N/A / 000</v>
      </c>
      <c r="J460" s="34"/>
      <c r="K460" s="38"/>
      <c r="L460" s="35"/>
      <c r="M460" s="66"/>
      <c r="N460" s="66"/>
      <c r="O460" s="66"/>
      <c r="P460" s="66"/>
      <c r="Q460" s="66"/>
      <c r="R460" s="67"/>
      <c r="S460" s="67"/>
      <c r="T460" s="67"/>
      <c r="U460" s="66"/>
      <c r="V460" s="66"/>
      <c r="W460" s="66"/>
      <c r="X460" s="85"/>
      <c r="AP460" t="str">
        <v/>
      </c>
    </row>
    <row r="461" spans="4:42" ht="15.75" x14ac:dyDescent="0.25">
      <c r="D461" s="3">
        <v>1</v>
      </c>
      <c r="F461" s="16" t="str" cm="1">
        <f t="array" ref="F4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1" s="31" cm="1">
        <f t="array" ref="G4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1" s="33" t="str">
        <f>_xlfn.IFNA(IF(MOD(HLG_04[[#This Row],[Rit]],
    _xlfn.XLOOKUP($G$2,Int_Sample[Ore],Int_Sample[Inc])) = 0, "YES", "NO"),"")</f>
        <v/>
      </c>
      <c r="I461" s="32" t="str">
        <f>TEXT(HLG_04[[#This Row],[Batch]],"000")&amp; " / " &amp; TEXT(HLG_04[[#This Row],[Rit]],"000")</f>
        <v>N/A / 000</v>
      </c>
      <c r="J461" s="34"/>
      <c r="K461" s="38"/>
      <c r="L461" s="35"/>
      <c r="M461" s="66"/>
      <c r="N461" s="66"/>
      <c r="O461" s="66"/>
      <c r="P461" s="66"/>
      <c r="Q461" s="66"/>
      <c r="R461" s="67"/>
      <c r="S461" s="67"/>
      <c r="T461" s="67"/>
      <c r="U461" s="66"/>
      <c r="V461" s="66"/>
      <c r="W461" s="66"/>
      <c r="X461" s="85"/>
      <c r="AP461" t="str">
        <v/>
      </c>
    </row>
    <row r="462" spans="4:42" ht="15.75" x14ac:dyDescent="0.25">
      <c r="D462" s="3">
        <v>1</v>
      </c>
      <c r="F462" s="16" t="str" cm="1">
        <f t="array" ref="F4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2" s="31" cm="1">
        <f t="array" ref="G4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2" s="33" t="str">
        <f>_xlfn.IFNA(IF(MOD(HLG_04[[#This Row],[Rit]],
    _xlfn.XLOOKUP($G$2,Int_Sample[Ore],Int_Sample[Inc])) = 0, "YES", "NO"),"")</f>
        <v/>
      </c>
      <c r="I462" s="32" t="str">
        <f>TEXT(HLG_04[[#This Row],[Batch]],"000")&amp; " / " &amp; TEXT(HLG_04[[#This Row],[Rit]],"000")</f>
        <v>N/A / 000</v>
      </c>
      <c r="J462" s="34"/>
      <c r="K462" s="38"/>
      <c r="L462" s="35"/>
      <c r="M462" s="66"/>
      <c r="N462" s="66"/>
      <c r="O462" s="66"/>
      <c r="P462" s="66"/>
      <c r="Q462" s="66"/>
      <c r="R462" s="67"/>
      <c r="S462" s="67"/>
      <c r="T462" s="67"/>
      <c r="U462" s="66"/>
      <c r="V462" s="66"/>
      <c r="W462" s="66"/>
      <c r="X462" s="85"/>
      <c r="AP462" t="str">
        <v/>
      </c>
    </row>
    <row r="463" spans="4:42" ht="15.75" x14ac:dyDescent="0.25">
      <c r="D463" s="3">
        <v>1</v>
      </c>
      <c r="F463" s="16" t="str" cm="1">
        <f t="array" ref="F4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3" s="31" cm="1">
        <f t="array" ref="G4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3" s="33" t="str">
        <f>_xlfn.IFNA(IF(MOD(HLG_04[[#This Row],[Rit]],
    _xlfn.XLOOKUP($G$2,Int_Sample[Ore],Int_Sample[Inc])) = 0, "YES", "NO"),"")</f>
        <v/>
      </c>
      <c r="I463" s="32" t="str">
        <f>TEXT(HLG_04[[#This Row],[Batch]],"000")&amp; " / " &amp; TEXT(HLG_04[[#This Row],[Rit]],"000")</f>
        <v>N/A / 000</v>
      </c>
      <c r="J463" s="34"/>
      <c r="K463" s="38"/>
      <c r="L463" s="35"/>
      <c r="M463" s="66"/>
      <c r="N463" s="66"/>
      <c r="O463" s="66"/>
      <c r="P463" s="66"/>
      <c r="Q463" s="66"/>
      <c r="R463" s="67"/>
      <c r="S463" s="67"/>
      <c r="T463" s="67"/>
      <c r="U463" s="66"/>
      <c r="V463" s="66"/>
      <c r="W463" s="66"/>
      <c r="X463" s="85"/>
      <c r="AP463" t="str">
        <v/>
      </c>
    </row>
    <row r="464" spans="4:42" ht="15.75" x14ac:dyDescent="0.25">
      <c r="D464" s="3">
        <v>1</v>
      </c>
      <c r="F464" s="16" t="str" cm="1">
        <f t="array" ref="F4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4" s="31" cm="1">
        <f t="array" ref="G4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4" s="33" t="str">
        <f>_xlfn.IFNA(IF(MOD(HLG_04[[#This Row],[Rit]],
    _xlfn.XLOOKUP($G$2,Int_Sample[Ore],Int_Sample[Inc])) = 0, "YES", "NO"),"")</f>
        <v/>
      </c>
      <c r="I464" s="32" t="str">
        <f>TEXT(HLG_04[[#This Row],[Batch]],"000")&amp; " / " &amp; TEXT(HLG_04[[#This Row],[Rit]],"000")</f>
        <v>N/A / 000</v>
      </c>
      <c r="J464" s="34"/>
      <c r="K464" s="38"/>
      <c r="L464" s="35"/>
      <c r="M464" s="66"/>
      <c r="N464" s="66"/>
      <c r="O464" s="66"/>
      <c r="P464" s="66"/>
      <c r="Q464" s="66"/>
      <c r="R464" s="67"/>
      <c r="S464" s="67"/>
      <c r="T464" s="67"/>
      <c r="U464" s="66"/>
      <c r="V464" s="66"/>
      <c r="W464" s="66"/>
      <c r="X464" s="85"/>
      <c r="AP464" t="str">
        <v/>
      </c>
    </row>
    <row r="465" spans="4:42" ht="15.75" x14ac:dyDescent="0.25">
      <c r="D465" s="3">
        <v>1</v>
      </c>
      <c r="F465" s="16" t="str" cm="1">
        <f t="array" ref="F4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5" s="31" cm="1">
        <f t="array" ref="G4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5" s="33" t="str">
        <f>_xlfn.IFNA(IF(MOD(HLG_04[[#This Row],[Rit]],
    _xlfn.XLOOKUP($G$2,Int_Sample[Ore],Int_Sample[Inc])) = 0, "YES", "NO"),"")</f>
        <v/>
      </c>
      <c r="I465" s="32" t="str">
        <f>TEXT(HLG_04[[#This Row],[Batch]],"000")&amp; " / " &amp; TEXT(HLG_04[[#This Row],[Rit]],"000")</f>
        <v>N/A / 000</v>
      </c>
      <c r="J465" s="34"/>
      <c r="K465" s="38"/>
      <c r="L465" s="35"/>
      <c r="M465" s="66"/>
      <c r="N465" s="66"/>
      <c r="O465" s="66"/>
      <c r="P465" s="66"/>
      <c r="Q465" s="66"/>
      <c r="R465" s="67"/>
      <c r="S465" s="67"/>
      <c r="T465" s="67"/>
      <c r="U465" s="66"/>
      <c r="V465" s="66"/>
      <c r="W465" s="66"/>
      <c r="X465" s="85"/>
      <c r="AP465" t="str">
        <v/>
      </c>
    </row>
    <row r="466" spans="4:42" ht="15.75" x14ac:dyDescent="0.25">
      <c r="D466" s="3">
        <v>1</v>
      </c>
      <c r="F466" s="16" t="str" cm="1">
        <f t="array" ref="F4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6" s="31" cm="1">
        <f t="array" ref="G4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6" s="33" t="str">
        <f>_xlfn.IFNA(IF(MOD(HLG_04[[#This Row],[Rit]],
    _xlfn.XLOOKUP($G$2,Int_Sample[Ore],Int_Sample[Inc])) = 0, "YES", "NO"),"")</f>
        <v/>
      </c>
      <c r="I466" s="32" t="str">
        <f>TEXT(HLG_04[[#This Row],[Batch]],"000")&amp; " / " &amp; TEXT(HLG_04[[#This Row],[Rit]],"000")</f>
        <v>N/A / 000</v>
      </c>
      <c r="J466" s="34"/>
      <c r="K466" s="38"/>
      <c r="L466" s="35"/>
      <c r="M466" s="66"/>
      <c r="N466" s="66"/>
      <c r="O466" s="66"/>
      <c r="P466" s="66"/>
      <c r="Q466" s="66"/>
      <c r="R466" s="67"/>
      <c r="S466" s="67"/>
      <c r="T466" s="67"/>
      <c r="U466" s="66"/>
      <c r="V466" s="66"/>
      <c r="W466" s="66"/>
      <c r="X466" s="85"/>
      <c r="AP466" t="str">
        <v/>
      </c>
    </row>
    <row r="467" spans="4:42" ht="15.75" x14ac:dyDescent="0.25">
      <c r="D467" s="3">
        <v>1</v>
      </c>
      <c r="F467" s="16" t="str" cm="1">
        <f t="array" ref="F4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7" s="31" cm="1">
        <f t="array" ref="G4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7" s="33" t="str">
        <f>_xlfn.IFNA(IF(MOD(HLG_04[[#This Row],[Rit]],
    _xlfn.XLOOKUP($G$2,Int_Sample[Ore],Int_Sample[Inc])) = 0, "YES", "NO"),"")</f>
        <v/>
      </c>
      <c r="I467" s="32" t="str">
        <f>TEXT(HLG_04[[#This Row],[Batch]],"000")&amp; " / " &amp; TEXT(HLG_04[[#This Row],[Rit]],"000")</f>
        <v>N/A / 000</v>
      </c>
      <c r="J467" s="34"/>
      <c r="K467" s="38"/>
      <c r="L467" s="35"/>
      <c r="M467" s="66"/>
      <c r="N467" s="66"/>
      <c r="O467" s="66"/>
      <c r="P467" s="66"/>
      <c r="Q467" s="66"/>
      <c r="R467" s="67"/>
      <c r="S467" s="67"/>
      <c r="T467" s="67"/>
      <c r="U467" s="66"/>
      <c r="V467" s="66"/>
      <c r="W467" s="66"/>
      <c r="X467" s="85"/>
      <c r="AP467" t="str">
        <v/>
      </c>
    </row>
    <row r="468" spans="4:42" ht="15.75" x14ac:dyDescent="0.25">
      <c r="D468" s="3">
        <v>1</v>
      </c>
      <c r="F468" s="16" t="str" cm="1">
        <f t="array" ref="F4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8" s="31" cm="1">
        <f t="array" ref="G4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8" s="33" t="str">
        <f>_xlfn.IFNA(IF(MOD(HLG_04[[#This Row],[Rit]],
    _xlfn.XLOOKUP($G$2,Int_Sample[Ore],Int_Sample[Inc])) = 0, "YES", "NO"),"")</f>
        <v/>
      </c>
      <c r="I468" s="32" t="str">
        <f>TEXT(HLG_04[[#This Row],[Batch]],"000")&amp; " / " &amp; TEXT(HLG_04[[#This Row],[Rit]],"000")</f>
        <v>N/A / 000</v>
      </c>
      <c r="J468" s="34"/>
      <c r="K468" s="38"/>
      <c r="L468" s="35"/>
      <c r="M468" s="66"/>
      <c r="N468" s="66"/>
      <c r="O468" s="66"/>
      <c r="P468" s="66"/>
      <c r="Q468" s="66"/>
      <c r="R468" s="67"/>
      <c r="S468" s="67"/>
      <c r="T468" s="67"/>
      <c r="U468" s="66"/>
      <c r="V468" s="66"/>
      <c r="W468" s="66"/>
      <c r="X468" s="85"/>
      <c r="AP468" t="str">
        <v/>
      </c>
    </row>
    <row r="469" spans="4:42" ht="15.75" x14ac:dyDescent="0.25">
      <c r="D469" s="3">
        <v>1</v>
      </c>
      <c r="F469" s="16" t="str" cm="1">
        <f t="array" ref="F4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9" s="31" cm="1">
        <f t="array" ref="G4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9" s="33" t="str">
        <f>_xlfn.IFNA(IF(MOD(HLG_04[[#This Row],[Rit]],
    _xlfn.XLOOKUP($G$2,Int_Sample[Ore],Int_Sample[Inc])) = 0, "YES", "NO"),"")</f>
        <v/>
      </c>
      <c r="I469" s="32" t="str">
        <f>TEXT(HLG_04[[#This Row],[Batch]],"000")&amp; " / " &amp; TEXT(HLG_04[[#This Row],[Rit]],"000")</f>
        <v>N/A / 000</v>
      </c>
      <c r="J469" s="34"/>
      <c r="K469" s="38"/>
      <c r="L469" s="35"/>
      <c r="M469" s="66"/>
      <c r="N469" s="66"/>
      <c r="O469" s="66"/>
      <c r="P469" s="66"/>
      <c r="Q469" s="66"/>
      <c r="R469" s="67"/>
      <c r="S469" s="67"/>
      <c r="T469" s="67"/>
      <c r="U469" s="66"/>
      <c r="V469" s="66"/>
      <c r="W469" s="66"/>
      <c r="X469" s="85"/>
      <c r="AP469" t="str">
        <v/>
      </c>
    </row>
    <row r="470" spans="4:42" ht="15.75" x14ac:dyDescent="0.25">
      <c r="D470" s="3">
        <v>1</v>
      </c>
      <c r="F470" s="16" t="str" cm="1">
        <f t="array" ref="F4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0" s="31" cm="1">
        <f t="array" ref="G4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0" s="33" t="str">
        <f>_xlfn.IFNA(IF(MOD(HLG_04[[#This Row],[Rit]],
    _xlfn.XLOOKUP($G$2,Int_Sample[Ore],Int_Sample[Inc])) = 0, "YES", "NO"),"")</f>
        <v/>
      </c>
      <c r="I470" s="32" t="str">
        <f>TEXT(HLG_04[[#This Row],[Batch]],"000")&amp; " / " &amp; TEXT(HLG_04[[#This Row],[Rit]],"000")</f>
        <v>N/A / 000</v>
      </c>
      <c r="J470" s="34"/>
      <c r="K470" s="38"/>
      <c r="L470" s="35"/>
      <c r="M470" s="66"/>
      <c r="N470" s="66"/>
      <c r="O470" s="66"/>
      <c r="P470" s="66"/>
      <c r="Q470" s="66"/>
      <c r="R470" s="67"/>
      <c r="S470" s="67"/>
      <c r="T470" s="67"/>
      <c r="U470" s="66"/>
      <c r="V470" s="66"/>
      <c r="W470" s="66"/>
      <c r="X470" s="85"/>
      <c r="AP470" t="str">
        <v/>
      </c>
    </row>
    <row r="471" spans="4:42" ht="15.75" x14ac:dyDescent="0.25">
      <c r="D471" s="3">
        <v>1</v>
      </c>
      <c r="F471" s="16" t="str" cm="1">
        <f t="array" ref="F4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1" s="31" cm="1">
        <f t="array" ref="G4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1" s="33" t="str">
        <f>_xlfn.IFNA(IF(MOD(HLG_04[[#This Row],[Rit]],
    _xlfn.XLOOKUP($G$2,Int_Sample[Ore],Int_Sample[Inc])) = 0, "YES", "NO"),"")</f>
        <v/>
      </c>
      <c r="I471" s="32" t="str">
        <f>TEXT(HLG_04[[#This Row],[Batch]],"000")&amp; " / " &amp; TEXT(HLG_04[[#This Row],[Rit]],"000")</f>
        <v>N/A / 000</v>
      </c>
      <c r="J471" s="34"/>
      <c r="K471" s="38"/>
      <c r="L471" s="35"/>
      <c r="M471" s="66"/>
      <c r="N471" s="66"/>
      <c r="O471" s="66"/>
      <c r="P471" s="66"/>
      <c r="Q471" s="66"/>
      <c r="R471" s="67"/>
      <c r="S471" s="67"/>
      <c r="T471" s="67"/>
      <c r="U471" s="66"/>
      <c r="V471" s="66"/>
      <c r="W471" s="66"/>
      <c r="X471" s="85"/>
      <c r="AP471" t="str">
        <v/>
      </c>
    </row>
    <row r="472" spans="4:42" ht="15.75" x14ac:dyDescent="0.25">
      <c r="D472" s="3">
        <v>1</v>
      </c>
      <c r="F472" s="16" t="str" cm="1">
        <f t="array" ref="F4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2" s="31" cm="1">
        <f t="array" ref="G4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2" s="33" t="str">
        <f>_xlfn.IFNA(IF(MOD(HLG_04[[#This Row],[Rit]],
    _xlfn.XLOOKUP($G$2,Int_Sample[Ore],Int_Sample[Inc])) = 0, "YES", "NO"),"")</f>
        <v/>
      </c>
      <c r="I472" s="32" t="str">
        <f>TEXT(HLG_04[[#This Row],[Batch]],"000")&amp; " / " &amp; TEXT(HLG_04[[#This Row],[Rit]],"000")</f>
        <v>N/A / 000</v>
      </c>
      <c r="J472" s="34"/>
      <c r="K472" s="38"/>
      <c r="L472" s="35"/>
      <c r="M472" s="66"/>
      <c r="N472" s="66"/>
      <c r="O472" s="66"/>
      <c r="P472" s="66"/>
      <c r="Q472" s="66"/>
      <c r="R472" s="67"/>
      <c r="S472" s="67"/>
      <c r="T472" s="67"/>
      <c r="U472" s="66"/>
      <c r="V472" s="66"/>
      <c r="W472" s="66"/>
      <c r="X472" s="85"/>
      <c r="AP472" t="str">
        <v/>
      </c>
    </row>
    <row r="473" spans="4:42" ht="15.75" x14ac:dyDescent="0.25">
      <c r="D473" s="3">
        <v>1</v>
      </c>
      <c r="F473" s="16" t="str" cm="1">
        <f t="array" ref="F4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3" s="31" cm="1">
        <f t="array" ref="G4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3" s="33" t="str">
        <f>_xlfn.IFNA(IF(MOD(HLG_04[[#This Row],[Rit]],
    _xlfn.XLOOKUP($G$2,Int_Sample[Ore],Int_Sample[Inc])) = 0, "YES", "NO"),"")</f>
        <v/>
      </c>
      <c r="I473" s="32" t="str">
        <f>TEXT(HLG_04[[#This Row],[Batch]],"000")&amp; " / " &amp; TEXT(HLG_04[[#This Row],[Rit]],"000")</f>
        <v>N/A / 000</v>
      </c>
      <c r="J473" s="34"/>
      <c r="K473" s="38"/>
      <c r="L473" s="35"/>
      <c r="M473" s="66"/>
      <c r="N473" s="66"/>
      <c r="O473" s="66"/>
      <c r="P473" s="66"/>
      <c r="Q473" s="66"/>
      <c r="R473" s="67"/>
      <c r="S473" s="67"/>
      <c r="T473" s="67"/>
      <c r="U473" s="66"/>
      <c r="V473" s="66"/>
      <c r="W473" s="66"/>
      <c r="X473" s="85"/>
      <c r="AP473" t="str">
        <v/>
      </c>
    </row>
    <row r="474" spans="4:42" ht="15.75" x14ac:dyDescent="0.25">
      <c r="D474" s="3">
        <v>1</v>
      </c>
      <c r="F474" s="16" t="str" cm="1">
        <f t="array" ref="F4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4" s="31" cm="1">
        <f t="array" ref="G4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4" s="33" t="str">
        <f>_xlfn.IFNA(IF(MOD(HLG_04[[#This Row],[Rit]],
    _xlfn.XLOOKUP($G$2,Int_Sample[Ore],Int_Sample[Inc])) = 0, "YES", "NO"),"")</f>
        <v/>
      </c>
      <c r="I474" s="32" t="str">
        <f>TEXT(HLG_04[[#This Row],[Batch]],"000")&amp; " / " &amp; TEXT(HLG_04[[#This Row],[Rit]],"000")</f>
        <v>N/A / 000</v>
      </c>
      <c r="J474" s="34"/>
      <c r="K474" s="38"/>
      <c r="L474" s="35"/>
      <c r="M474" s="66"/>
      <c r="N474" s="66"/>
      <c r="O474" s="66"/>
      <c r="P474" s="66"/>
      <c r="Q474" s="66"/>
      <c r="R474" s="67"/>
      <c r="S474" s="67"/>
      <c r="T474" s="67"/>
      <c r="U474" s="66"/>
      <c r="V474" s="66"/>
      <c r="W474" s="66"/>
      <c r="X474" s="85"/>
      <c r="AP474" t="str">
        <v/>
      </c>
    </row>
    <row r="475" spans="4:42" ht="15.75" x14ac:dyDescent="0.25">
      <c r="D475" s="3">
        <v>1</v>
      </c>
      <c r="F475" s="16" t="str" cm="1">
        <f t="array" ref="F4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5" s="31" cm="1">
        <f t="array" ref="G4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5" s="33" t="str">
        <f>_xlfn.IFNA(IF(MOD(HLG_04[[#This Row],[Rit]],
    _xlfn.XLOOKUP($G$2,Int_Sample[Ore],Int_Sample[Inc])) = 0, "YES", "NO"),"")</f>
        <v/>
      </c>
      <c r="I475" s="32" t="str">
        <f>TEXT(HLG_04[[#This Row],[Batch]],"000")&amp; " / " &amp; TEXT(HLG_04[[#This Row],[Rit]],"000")</f>
        <v>N/A / 000</v>
      </c>
      <c r="J475" s="34"/>
      <c r="K475" s="38"/>
      <c r="L475" s="35"/>
      <c r="M475" s="66"/>
      <c r="N475" s="66"/>
      <c r="O475" s="66"/>
      <c r="P475" s="66"/>
      <c r="Q475" s="66"/>
      <c r="R475" s="67"/>
      <c r="S475" s="67"/>
      <c r="T475" s="67"/>
      <c r="U475" s="66"/>
      <c r="V475" s="66"/>
      <c r="W475" s="66"/>
      <c r="X475" s="85"/>
      <c r="AP475" t="str">
        <v/>
      </c>
    </row>
    <row r="476" spans="4:42" ht="15.75" x14ac:dyDescent="0.25">
      <c r="D476" s="3">
        <v>1</v>
      </c>
      <c r="F476" s="16" t="str" cm="1">
        <f t="array" ref="F4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6" s="31" cm="1">
        <f t="array" ref="G4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6" s="33" t="str">
        <f>_xlfn.IFNA(IF(MOD(HLG_04[[#This Row],[Rit]],
    _xlfn.XLOOKUP($G$2,Int_Sample[Ore],Int_Sample[Inc])) = 0, "YES", "NO"),"")</f>
        <v/>
      </c>
      <c r="I476" s="32" t="str">
        <f>TEXT(HLG_04[[#This Row],[Batch]],"000")&amp; " / " &amp; TEXT(HLG_04[[#This Row],[Rit]],"000")</f>
        <v>N/A / 000</v>
      </c>
      <c r="J476" s="34"/>
      <c r="K476" s="38"/>
      <c r="L476" s="35"/>
      <c r="M476" s="66"/>
      <c r="N476" s="66"/>
      <c r="O476" s="66"/>
      <c r="P476" s="66"/>
      <c r="Q476" s="66"/>
      <c r="R476" s="67"/>
      <c r="S476" s="67"/>
      <c r="T476" s="67"/>
      <c r="U476" s="66"/>
      <c r="V476" s="66"/>
      <c r="W476" s="66"/>
      <c r="X476" s="85"/>
      <c r="AP476" t="str">
        <v/>
      </c>
    </row>
    <row r="477" spans="4:42" ht="15.75" x14ac:dyDescent="0.25">
      <c r="D477" s="3">
        <v>1</v>
      </c>
      <c r="F477" s="16" t="str" cm="1">
        <f t="array" ref="F4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7" s="31" cm="1">
        <f t="array" ref="G4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7" s="33" t="str">
        <f>_xlfn.IFNA(IF(MOD(HLG_04[[#This Row],[Rit]],
    _xlfn.XLOOKUP($G$2,Int_Sample[Ore],Int_Sample[Inc])) = 0, "YES", "NO"),"")</f>
        <v/>
      </c>
      <c r="I477" s="32" t="str">
        <f>TEXT(HLG_04[[#This Row],[Batch]],"000")&amp; " / " &amp; TEXT(HLG_04[[#This Row],[Rit]],"000")</f>
        <v>N/A / 000</v>
      </c>
      <c r="J477" s="34"/>
      <c r="K477" s="38"/>
      <c r="L477" s="35"/>
      <c r="M477" s="66"/>
      <c r="N477" s="66"/>
      <c r="O477" s="66"/>
      <c r="P477" s="66"/>
      <c r="Q477" s="66"/>
      <c r="R477" s="67"/>
      <c r="S477" s="67"/>
      <c r="T477" s="67"/>
      <c r="U477" s="66"/>
      <c r="V477" s="66"/>
      <c r="W477" s="66"/>
      <c r="X477" s="85"/>
      <c r="AP477" t="str">
        <v/>
      </c>
    </row>
    <row r="478" spans="4:42" ht="15.75" x14ac:dyDescent="0.25">
      <c r="D478" s="3">
        <v>1</v>
      </c>
      <c r="F478" s="16" t="str" cm="1">
        <f t="array" ref="F4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8" s="31" cm="1">
        <f t="array" ref="G4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8" s="33" t="str">
        <f>_xlfn.IFNA(IF(MOD(HLG_04[[#This Row],[Rit]],
    _xlfn.XLOOKUP($G$2,Int_Sample[Ore],Int_Sample[Inc])) = 0, "YES", "NO"),"")</f>
        <v/>
      </c>
      <c r="I478" s="32" t="str">
        <f>TEXT(HLG_04[[#This Row],[Batch]],"000")&amp; " / " &amp; TEXT(HLG_04[[#This Row],[Rit]],"000")</f>
        <v>N/A / 000</v>
      </c>
      <c r="J478" s="34"/>
      <c r="K478" s="38"/>
      <c r="L478" s="35"/>
      <c r="M478" s="66"/>
      <c r="N478" s="66"/>
      <c r="O478" s="66"/>
      <c r="P478" s="66"/>
      <c r="Q478" s="66"/>
      <c r="R478" s="67"/>
      <c r="S478" s="67"/>
      <c r="T478" s="67"/>
      <c r="U478" s="66"/>
      <c r="V478" s="66"/>
      <c r="W478" s="66"/>
      <c r="X478" s="85"/>
      <c r="AP478" t="str">
        <v/>
      </c>
    </row>
    <row r="479" spans="4:42" ht="15.75" x14ac:dyDescent="0.25">
      <c r="D479" s="3">
        <v>1</v>
      </c>
      <c r="F479" s="16" t="str" cm="1">
        <f t="array" ref="F4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9" s="31" cm="1">
        <f t="array" ref="G4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9" s="33" t="str">
        <f>_xlfn.IFNA(IF(MOD(HLG_04[[#This Row],[Rit]],
    _xlfn.XLOOKUP($G$2,Int_Sample[Ore],Int_Sample[Inc])) = 0, "YES", "NO"),"")</f>
        <v/>
      </c>
      <c r="I479" s="32" t="str">
        <f>TEXT(HLG_04[[#This Row],[Batch]],"000")&amp; " / " &amp; TEXT(HLG_04[[#This Row],[Rit]],"000")</f>
        <v>N/A / 000</v>
      </c>
      <c r="J479" s="34"/>
      <c r="K479" s="38"/>
      <c r="L479" s="35"/>
      <c r="M479" s="66"/>
      <c r="N479" s="66"/>
      <c r="O479" s="66"/>
      <c r="P479" s="66"/>
      <c r="Q479" s="66"/>
      <c r="R479" s="67"/>
      <c r="S479" s="67"/>
      <c r="T479" s="67"/>
      <c r="U479" s="66"/>
      <c r="V479" s="66"/>
      <c r="W479" s="66"/>
      <c r="X479" s="85"/>
      <c r="AP479" t="str">
        <v/>
      </c>
    </row>
    <row r="480" spans="4:42" ht="15.75" x14ac:dyDescent="0.25">
      <c r="D480" s="3">
        <v>1</v>
      </c>
      <c r="F480" s="16" t="str" cm="1">
        <f t="array" ref="F4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0" s="31" cm="1">
        <f t="array" ref="G4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0" s="33" t="str">
        <f>_xlfn.IFNA(IF(MOD(HLG_04[[#This Row],[Rit]],
    _xlfn.XLOOKUP($G$2,Int_Sample[Ore],Int_Sample[Inc])) = 0, "YES", "NO"),"")</f>
        <v/>
      </c>
      <c r="I480" s="32" t="str">
        <f>TEXT(HLG_04[[#This Row],[Batch]],"000")&amp; " / " &amp; TEXT(HLG_04[[#This Row],[Rit]],"000")</f>
        <v>N/A / 000</v>
      </c>
      <c r="J480" s="34"/>
      <c r="K480" s="38"/>
      <c r="L480" s="35"/>
      <c r="M480" s="66"/>
      <c r="N480" s="66"/>
      <c r="O480" s="66"/>
      <c r="P480" s="66"/>
      <c r="Q480" s="66"/>
      <c r="R480" s="67"/>
      <c r="S480" s="67"/>
      <c r="T480" s="67"/>
      <c r="U480" s="66"/>
      <c r="V480" s="66"/>
      <c r="W480" s="66"/>
      <c r="X480" s="85"/>
      <c r="AP480" t="str">
        <v/>
      </c>
    </row>
    <row r="481" spans="4:42" ht="15.75" x14ac:dyDescent="0.25">
      <c r="D481" s="3">
        <v>1</v>
      </c>
      <c r="F481" s="16" t="str" cm="1">
        <f t="array" ref="F4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1" s="31" cm="1">
        <f t="array" ref="G4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1" s="33" t="str">
        <f>_xlfn.IFNA(IF(MOD(HLG_04[[#This Row],[Rit]],
    _xlfn.XLOOKUP($G$2,Int_Sample[Ore],Int_Sample[Inc])) = 0, "YES", "NO"),"")</f>
        <v/>
      </c>
      <c r="I481" s="32" t="str">
        <f>TEXT(HLG_04[[#This Row],[Batch]],"000")&amp; " / " &amp; TEXT(HLG_04[[#This Row],[Rit]],"000")</f>
        <v>N/A / 000</v>
      </c>
      <c r="J481" s="34"/>
      <c r="K481" s="38"/>
      <c r="L481" s="35"/>
      <c r="M481" s="66"/>
      <c r="N481" s="66"/>
      <c r="O481" s="66"/>
      <c r="P481" s="66"/>
      <c r="Q481" s="66"/>
      <c r="R481" s="67"/>
      <c r="S481" s="67"/>
      <c r="T481" s="67"/>
      <c r="U481" s="66"/>
      <c r="V481" s="66"/>
      <c r="W481" s="66"/>
      <c r="X481" s="85"/>
      <c r="AP481" t="str">
        <v/>
      </c>
    </row>
    <row r="482" spans="4:42" ht="15.75" x14ac:dyDescent="0.25">
      <c r="D482" s="3">
        <v>1</v>
      </c>
      <c r="F482" s="16" t="str" cm="1">
        <f t="array" ref="F4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2" s="31" cm="1">
        <f t="array" ref="G4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2" s="33" t="str">
        <f>_xlfn.IFNA(IF(MOD(HLG_04[[#This Row],[Rit]],
    _xlfn.XLOOKUP($G$2,Int_Sample[Ore],Int_Sample[Inc])) = 0, "YES", "NO"),"")</f>
        <v/>
      </c>
      <c r="I482" s="32" t="str">
        <f>TEXT(HLG_04[[#This Row],[Batch]],"000")&amp; " / " &amp; TEXT(HLG_04[[#This Row],[Rit]],"000")</f>
        <v>N/A / 000</v>
      </c>
      <c r="J482" s="34"/>
      <c r="K482" s="38"/>
      <c r="L482" s="35"/>
      <c r="M482" s="66"/>
      <c r="N482" s="66"/>
      <c r="O482" s="66"/>
      <c r="P482" s="66"/>
      <c r="Q482" s="66"/>
      <c r="R482" s="67"/>
      <c r="S482" s="67"/>
      <c r="T482" s="67"/>
      <c r="U482" s="66"/>
      <c r="V482" s="66"/>
      <c r="W482" s="66"/>
      <c r="X482" s="85"/>
      <c r="AP482" t="str">
        <v/>
      </c>
    </row>
    <row r="483" spans="4:42" ht="15.75" x14ac:dyDescent="0.25">
      <c r="D483" s="3">
        <v>1</v>
      </c>
      <c r="F483" s="16" t="str" cm="1">
        <f t="array" ref="F4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3" s="31" cm="1">
        <f t="array" ref="G4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3" s="33" t="str">
        <f>_xlfn.IFNA(IF(MOD(HLG_04[[#This Row],[Rit]],
    _xlfn.XLOOKUP($G$2,Int_Sample[Ore],Int_Sample[Inc])) = 0, "YES", "NO"),"")</f>
        <v/>
      </c>
      <c r="I483" s="32" t="str">
        <f>TEXT(HLG_04[[#This Row],[Batch]],"000")&amp; " / " &amp; TEXT(HLG_04[[#This Row],[Rit]],"000")</f>
        <v>N/A / 000</v>
      </c>
      <c r="J483" s="34"/>
      <c r="K483" s="38"/>
      <c r="L483" s="35"/>
      <c r="M483" s="66"/>
      <c r="N483" s="66"/>
      <c r="O483" s="66"/>
      <c r="P483" s="66"/>
      <c r="Q483" s="66"/>
      <c r="R483" s="67"/>
      <c r="S483" s="67"/>
      <c r="T483" s="67"/>
      <c r="U483" s="66"/>
      <c r="V483" s="66"/>
      <c r="W483" s="66"/>
      <c r="X483" s="85"/>
      <c r="AP483" t="str">
        <v/>
      </c>
    </row>
    <row r="484" spans="4:42" ht="15.75" x14ac:dyDescent="0.25">
      <c r="D484" s="3">
        <v>1</v>
      </c>
      <c r="F484" s="16" t="str" cm="1">
        <f t="array" ref="F4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4" s="31" cm="1">
        <f t="array" ref="G4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4" s="33" t="str">
        <f>_xlfn.IFNA(IF(MOD(HLG_04[[#This Row],[Rit]],
    _xlfn.XLOOKUP($G$2,Int_Sample[Ore],Int_Sample[Inc])) = 0, "YES", "NO"),"")</f>
        <v/>
      </c>
      <c r="I484" s="32" t="str">
        <f>TEXT(HLG_04[[#This Row],[Batch]],"000")&amp; " / " &amp; TEXT(HLG_04[[#This Row],[Rit]],"000")</f>
        <v>N/A / 000</v>
      </c>
      <c r="J484" s="34"/>
      <c r="K484" s="38"/>
      <c r="L484" s="35"/>
      <c r="M484" s="66"/>
      <c r="N484" s="66"/>
      <c r="O484" s="66"/>
      <c r="P484" s="66"/>
      <c r="Q484" s="66"/>
      <c r="R484" s="67"/>
      <c r="S484" s="67"/>
      <c r="T484" s="67"/>
      <c r="U484" s="66"/>
      <c r="V484" s="66"/>
      <c r="W484" s="66"/>
      <c r="X484" s="85"/>
      <c r="AP484" t="str">
        <v/>
      </c>
    </row>
    <row r="485" spans="4:42" ht="15.75" x14ac:dyDescent="0.25">
      <c r="D485" s="3">
        <v>1</v>
      </c>
      <c r="F485" s="16" t="str" cm="1">
        <f t="array" ref="F4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5" s="31" cm="1">
        <f t="array" ref="G4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5" s="33" t="str">
        <f>_xlfn.IFNA(IF(MOD(HLG_04[[#This Row],[Rit]],
    _xlfn.XLOOKUP($G$2,Int_Sample[Ore],Int_Sample[Inc])) = 0, "YES", "NO"),"")</f>
        <v/>
      </c>
      <c r="I485" s="32" t="str">
        <f>TEXT(HLG_04[[#This Row],[Batch]],"000")&amp; " / " &amp; TEXT(HLG_04[[#This Row],[Rit]],"000")</f>
        <v>N/A / 000</v>
      </c>
      <c r="J485" s="34"/>
      <c r="K485" s="38"/>
      <c r="L485" s="35"/>
      <c r="M485" s="66"/>
      <c r="N485" s="66"/>
      <c r="O485" s="66"/>
      <c r="P485" s="66"/>
      <c r="Q485" s="66"/>
      <c r="R485" s="67"/>
      <c r="S485" s="67"/>
      <c r="T485" s="67"/>
      <c r="U485" s="66"/>
      <c r="V485" s="66"/>
      <c r="W485" s="66"/>
      <c r="X485" s="85"/>
      <c r="AP485" t="str">
        <v/>
      </c>
    </row>
    <row r="486" spans="4:42" ht="15.75" x14ac:dyDescent="0.25">
      <c r="D486" s="3">
        <v>1</v>
      </c>
      <c r="F486" s="16" t="str" cm="1">
        <f t="array" ref="F4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6" s="31" cm="1">
        <f t="array" ref="G4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6" s="33" t="str">
        <f>_xlfn.IFNA(IF(MOD(HLG_04[[#This Row],[Rit]],
    _xlfn.XLOOKUP($G$2,Int_Sample[Ore],Int_Sample[Inc])) = 0, "YES", "NO"),"")</f>
        <v/>
      </c>
      <c r="I486" s="32" t="str">
        <f>TEXT(HLG_04[[#This Row],[Batch]],"000")&amp; " / " &amp; TEXT(HLG_04[[#This Row],[Rit]],"000")</f>
        <v>N/A / 000</v>
      </c>
      <c r="J486" s="34"/>
      <c r="K486" s="38"/>
      <c r="L486" s="35"/>
      <c r="M486" s="66"/>
      <c r="N486" s="66"/>
      <c r="O486" s="66"/>
      <c r="P486" s="66"/>
      <c r="Q486" s="66"/>
      <c r="R486" s="67"/>
      <c r="S486" s="67"/>
      <c r="T486" s="67"/>
      <c r="U486" s="66"/>
      <c r="V486" s="66"/>
      <c r="W486" s="66"/>
      <c r="X486" s="85"/>
      <c r="AP486" t="str">
        <v/>
      </c>
    </row>
    <row r="487" spans="4:42" ht="15.75" x14ac:dyDescent="0.25">
      <c r="D487" s="3">
        <v>1</v>
      </c>
      <c r="F487" s="16" t="str" cm="1">
        <f t="array" ref="F4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7" s="31" cm="1">
        <f t="array" ref="G4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7" s="33" t="str">
        <f>_xlfn.IFNA(IF(MOD(HLG_04[[#This Row],[Rit]],
    _xlfn.XLOOKUP($G$2,Int_Sample[Ore],Int_Sample[Inc])) = 0, "YES", "NO"),"")</f>
        <v/>
      </c>
      <c r="I487" s="32" t="str">
        <f>TEXT(HLG_04[[#This Row],[Batch]],"000")&amp; " / " &amp; TEXT(HLG_04[[#This Row],[Rit]],"000")</f>
        <v>N/A / 000</v>
      </c>
      <c r="J487" s="34"/>
      <c r="K487" s="38"/>
      <c r="L487" s="35"/>
      <c r="M487" s="66"/>
      <c r="N487" s="66"/>
      <c r="O487" s="66"/>
      <c r="P487" s="66"/>
      <c r="Q487" s="66"/>
      <c r="R487" s="67"/>
      <c r="S487" s="67"/>
      <c r="T487" s="67"/>
      <c r="U487" s="66"/>
      <c r="V487" s="66"/>
      <c r="W487" s="66"/>
      <c r="X487" s="85"/>
      <c r="AP487" t="str">
        <v/>
      </c>
    </row>
    <row r="488" spans="4:42" ht="15.75" x14ac:dyDescent="0.25">
      <c r="D488" s="3">
        <v>1</v>
      </c>
      <c r="F488" s="16" t="str" cm="1">
        <f t="array" ref="F4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8" s="31" cm="1">
        <f t="array" ref="G4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8" s="33" t="str">
        <f>_xlfn.IFNA(IF(MOD(HLG_04[[#This Row],[Rit]],
    _xlfn.XLOOKUP($G$2,Int_Sample[Ore],Int_Sample[Inc])) = 0, "YES", "NO"),"")</f>
        <v/>
      </c>
      <c r="I488" s="32" t="str">
        <f>TEXT(HLG_04[[#This Row],[Batch]],"000")&amp; " / " &amp; TEXT(HLG_04[[#This Row],[Rit]],"000")</f>
        <v>N/A / 000</v>
      </c>
      <c r="J488" s="34"/>
      <c r="K488" s="38"/>
      <c r="L488" s="35"/>
      <c r="M488" s="66"/>
      <c r="N488" s="66"/>
      <c r="O488" s="66"/>
      <c r="P488" s="66"/>
      <c r="Q488" s="66"/>
      <c r="R488" s="67"/>
      <c r="S488" s="67"/>
      <c r="T488" s="67"/>
      <c r="U488" s="66"/>
      <c r="V488" s="66"/>
      <c r="W488" s="66"/>
      <c r="X488" s="85"/>
      <c r="AP488" t="str">
        <v/>
      </c>
    </row>
    <row r="489" spans="4:42" ht="15.75" x14ac:dyDescent="0.25">
      <c r="D489" s="3">
        <v>1</v>
      </c>
      <c r="F489" s="16" t="str" cm="1">
        <f t="array" ref="F4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9" s="31" cm="1">
        <f t="array" ref="G4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9" s="33" t="str">
        <f>_xlfn.IFNA(IF(MOD(HLG_04[[#This Row],[Rit]],
    _xlfn.XLOOKUP($G$2,Int_Sample[Ore],Int_Sample[Inc])) = 0, "YES", "NO"),"")</f>
        <v/>
      </c>
      <c r="I489" s="32" t="str">
        <f>TEXT(HLG_04[[#This Row],[Batch]],"000")&amp; " / " &amp; TEXT(HLG_04[[#This Row],[Rit]],"000")</f>
        <v>N/A / 000</v>
      </c>
      <c r="J489" s="34"/>
      <c r="K489" s="38"/>
      <c r="L489" s="35"/>
      <c r="M489" s="66"/>
      <c r="N489" s="66"/>
      <c r="O489" s="66"/>
      <c r="P489" s="66"/>
      <c r="Q489" s="66"/>
      <c r="R489" s="67"/>
      <c r="S489" s="67"/>
      <c r="T489" s="67"/>
      <c r="U489" s="66"/>
      <c r="V489" s="66"/>
      <c r="W489" s="66"/>
      <c r="X489" s="85"/>
      <c r="AP489" t="str">
        <v/>
      </c>
    </row>
    <row r="490" spans="4:42" ht="15.75" x14ac:dyDescent="0.25">
      <c r="D490" s="3">
        <v>1</v>
      </c>
      <c r="F490" s="16" t="str" cm="1">
        <f t="array" ref="F4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0" s="31" cm="1">
        <f t="array" ref="G4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0" s="33" t="str">
        <f>_xlfn.IFNA(IF(MOD(HLG_04[[#This Row],[Rit]],
    _xlfn.XLOOKUP($G$2,Int_Sample[Ore],Int_Sample[Inc])) = 0, "YES", "NO"),"")</f>
        <v/>
      </c>
      <c r="I490" s="32" t="str">
        <f>TEXT(HLG_04[[#This Row],[Batch]],"000")&amp; " / " &amp; TEXT(HLG_04[[#This Row],[Rit]],"000")</f>
        <v>N/A / 000</v>
      </c>
      <c r="J490" s="34"/>
      <c r="K490" s="38"/>
      <c r="L490" s="35"/>
      <c r="M490" s="66"/>
      <c r="N490" s="66"/>
      <c r="O490" s="66"/>
      <c r="P490" s="66"/>
      <c r="Q490" s="66"/>
      <c r="R490" s="67"/>
      <c r="S490" s="67"/>
      <c r="T490" s="67"/>
      <c r="U490" s="66"/>
      <c r="V490" s="66"/>
      <c r="W490" s="66"/>
      <c r="X490" s="85"/>
      <c r="AP490" t="str">
        <v/>
      </c>
    </row>
    <row r="491" spans="4:42" ht="15.75" x14ac:dyDescent="0.25">
      <c r="D491" s="3">
        <v>1</v>
      </c>
      <c r="F491" s="16" t="str" cm="1">
        <f t="array" ref="F4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1" s="31" cm="1">
        <f t="array" ref="G4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1" s="33" t="str">
        <f>_xlfn.IFNA(IF(MOD(HLG_04[[#This Row],[Rit]],
    _xlfn.XLOOKUP($G$2,Int_Sample[Ore],Int_Sample[Inc])) = 0, "YES", "NO"),"")</f>
        <v/>
      </c>
      <c r="I491" s="32" t="str">
        <f>TEXT(HLG_04[[#This Row],[Batch]],"000")&amp; " / " &amp; TEXT(HLG_04[[#This Row],[Rit]],"000")</f>
        <v>N/A / 000</v>
      </c>
      <c r="J491" s="34"/>
      <c r="K491" s="38"/>
      <c r="L491" s="35"/>
      <c r="M491" s="66"/>
      <c r="N491" s="66"/>
      <c r="O491" s="66"/>
      <c r="P491" s="66"/>
      <c r="Q491" s="66"/>
      <c r="R491" s="67"/>
      <c r="S491" s="67"/>
      <c r="T491" s="67"/>
      <c r="U491" s="66"/>
      <c r="V491" s="66"/>
      <c r="W491" s="66"/>
      <c r="X491" s="85"/>
      <c r="AP491" t="str">
        <v/>
      </c>
    </row>
    <row r="492" spans="4:42" ht="15.75" x14ac:dyDescent="0.25">
      <c r="D492" s="3">
        <v>1</v>
      </c>
      <c r="F492" s="16" t="str" cm="1">
        <f t="array" ref="F4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2" s="31" cm="1">
        <f t="array" ref="G4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2" s="33" t="str">
        <f>_xlfn.IFNA(IF(MOD(HLG_04[[#This Row],[Rit]],
    _xlfn.XLOOKUP($G$2,Int_Sample[Ore],Int_Sample[Inc])) = 0, "YES", "NO"),"")</f>
        <v/>
      </c>
      <c r="I492" s="32" t="str">
        <f>TEXT(HLG_04[[#This Row],[Batch]],"000")&amp; " / " &amp; TEXT(HLG_04[[#This Row],[Rit]],"000")</f>
        <v>N/A / 000</v>
      </c>
      <c r="J492" s="34"/>
      <c r="K492" s="38"/>
      <c r="L492" s="35"/>
      <c r="M492" s="66"/>
      <c r="N492" s="66"/>
      <c r="O492" s="66"/>
      <c r="P492" s="66"/>
      <c r="Q492" s="66"/>
      <c r="R492" s="67"/>
      <c r="S492" s="67"/>
      <c r="T492" s="67"/>
      <c r="U492" s="66"/>
      <c r="V492" s="66"/>
      <c r="W492" s="66"/>
      <c r="X492" s="85"/>
      <c r="AP492" t="str">
        <v/>
      </c>
    </row>
    <row r="493" spans="4:42" ht="15.75" x14ac:dyDescent="0.25">
      <c r="D493" s="3">
        <v>1</v>
      </c>
      <c r="F493" s="16" t="str" cm="1">
        <f t="array" ref="F4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3" s="31" cm="1">
        <f t="array" ref="G4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3" s="33" t="str">
        <f>_xlfn.IFNA(IF(MOD(HLG_04[[#This Row],[Rit]],
    _xlfn.XLOOKUP($G$2,Int_Sample[Ore],Int_Sample[Inc])) = 0, "YES", "NO"),"")</f>
        <v/>
      </c>
      <c r="I493" s="32" t="str">
        <f>TEXT(HLG_04[[#This Row],[Batch]],"000")&amp; " / " &amp; TEXT(HLG_04[[#This Row],[Rit]],"000")</f>
        <v>N/A / 000</v>
      </c>
      <c r="J493" s="34"/>
      <c r="K493" s="38"/>
      <c r="L493" s="35"/>
      <c r="M493" s="66"/>
      <c r="N493" s="66"/>
      <c r="O493" s="66"/>
      <c r="P493" s="66"/>
      <c r="Q493" s="66"/>
      <c r="R493" s="67"/>
      <c r="S493" s="67"/>
      <c r="T493" s="67"/>
      <c r="U493" s="66"/>
      <c r="V493" s="66"/>
      <c r="W493" s="66"/>
      <c r="X493" s="85"/>
      <c r="AP493" t="str">
        <v/>
      </c>
    </row>
    <row r="494" spans="4:42" ht="15.75" x14ac:dyDescent="0.25">
      <c r="D494" s="3">
        <v>1</v>
      </c>
      <c r="F494" s="16" t="str" cm="1">
        <f t="array" ref="F4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4" s="31" cm="1">
        <f t="array" ref="G4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4" s="33" t="str">
        <f>_xlfn.IFNA(IF(MOD(HLG_04[[#This Row],[Rit]],
    _xlfn.XLOOKUP($G$2,Int_Sample[Ore],Int_Sample[Inc])) = 0, "YES", "NO"),"")</f>
        <v/>
      </c>
      <c r="I494" s="32" t="str">
        <f>TEXT(HLG_04[[#This Row],[Batch]],"000")&amp; " / " &amp; TEXT(HLG_04[[#This Row],[Rit]],"000")</f>
        <v>N/A / 000</v>
      </c>
      <c r="J494" s="34"/>
      <c r="K494" s="38"/>
      <c r="L494" s="35"/>
      <c r="M494" s="66"/>
      <c r="N494" s="66"/>
      <c r="O494" s="66"/>
      <c r="P494" s="66"/>
      <c r="Q494" s="66"/>
      <c r="R494" s="67"/>
      <c r="S494" s="67"/>
      <c r="T494" s="67"/>
      <c r="U494" s="66"/>
      <c r="V494" s="66"/>
      <c r="W494" s="66"/>
      <c r="X494" s="85"/>
      <c r="AP494" t="str">
        <v/>
      </c>
    </row>
    <row r="495" spans="4:42" ht="15.75" x14ac:dyDescent="0.25">
      <c r="D495" s="3">
        <v>1</v>
      </c>
      <c r="F495" s="16" t="str" cm="1">
        <f t="array" ref="F4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5" s="31" cm="1">
        <f t="array" ref="G4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5" s="33" t="str">
        <f>_xlfn.IFNA(IF(MOD(HLG_04[[#This Row],[Rit]],
    _xlfn.XLOOKUP($G$2,Int_Sample[Ore],Int_Sample[Inc])) = 0, "YES", "NO"),"")</f>
        <v/>
      </c>
      <c r="I495" s="32" t="str">
        <f>TEXT(HLG_04[[#This Row],[Batch]],"000")&amp; " / " &amp; TEXT(HLG_04[[#This Row],[Rit]],"000")</f>
        <v>N/A / 000</v>
      </c>
      <c r="J495" s="34"/>
      <c r="K495" s="38"/>
      <c r="L495" s="35"/>
      <c r="M495" s="66"/>
      <c r="N495" s="66"/>
      <c r="O495" s="66"/>
      <c r="P495" s="66"/>
      <c r="Q495" s="66"/>
      <c r="R495" s="67"/>
      <c r="S495" s="67"/>
      <c r="T495" s="67"/>
      <c r="U495" s="66"/>
      <c r="V495" s="66"/>
      <c r="W495" s="66"/>
      <c r="X495" s="85"/>
      <c r="AP495" t="str">
        <v/>
      </c>
    </row>
    <row r="496" spans="4:42" ht="15.75" x14ac:dyDescent="0.25">
      <c r="D496" s="3">
        <v>1</v>
      </c>
      <c r="F496" s="16" t="str" cm="1">
        <f t="array" ref="F4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6" s="31" cm="1">
        <f t="array" ref="G4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6" s="33" t="str">
        <f>_xlfn.IFNA(IF(MOD(HLG_04[[#This Row],[Rit]],
    _xlfn.XLOOKUP($G$2,Int_Sample[Ore],Int_Sample[Inc])) = 0, "YES", "NO"),"")</f>
        <v/>
      </c>
      <c r="I496" s="32" t="str">
        <f>TEXT(HLG_04[[#This Row],[Batch]],"000")&amp; " / " &amp; TEXT(HLG_04[[#This Row],[Rit]],"000")</f>
        <v>N/A / 000</v>
      </c>
      <c r="J496" s="34"/>
      <c r="K496" s="38"/>
      <c r="L496" s="35"/>
      <c r="M496" s="66"/>
      <c r="N496" s="66"/>
      <c r="O496" s="66"/>
      <c r="P496" s="66"/>
      <c r="Q496" s="66"/>
      <c r="R496" s="67"/>
      <c r="S496" s="67"/>
      <c r="T496" s="67"/>
      <c r="U496" s="66"/>
      <c r="V496" s="66"/>
      <c r="W496" s="66"/>
      <c r="X496" s="85"/>
      <c r="AP496" t="str">
        <v/>
      </c>
    </row>
    <row r="497" spans="4:42" ht="15.75" x14ac:dyDescent="0.25">
      <c r="D497" s="3">
        <v>1</v>
      </c>
      <c r="F497" s="16" t="str" cm="1">
        <f t="array" ref="F4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7" s="31" cm="1">
        <f t="array" ref="G4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7" s="33" t="str">
        <f>_xlfn.IFNA(IF(MOD(HLG_04[[#This Row],[Rit]],
    _xlfn.XLOOKUP($G$2,Int_Sample[Ore],Int_Sample[Inc])) = 0, "YES", "NO"),"")</f>
        <v/>
      </c>
      <c r="I497" s="32" t="str">
        <f>TEXT(HLG_04[[#This Row],[Batch]],"000")&amp; " / " &amp; TEXT(HLG_04[[#This Row],[Rit]],"000")</f>
        <v>N/A / 000</v>
      </c>
      <c r="J497" s="34"/>
      <c r="K497" s="38"/>
      <c r="L497" s="35"/>
      <c r="M497" s="66"/>
      <c r="N497" s="66"/>
      <c r="O497" s="66"/>
      <c r="P497" s="66"/>
      <c r="Q497" s="66"/>
      <c r="R497" s="67"/>
      <c r="S497" s="67"/>
      <c r="T497" s="67"/>
      <c r="U497" s="66"/>
      <c r="V497" s="66"/>
      <c r="W497" s="66"/>
      <c r="X497" s="85"/>
      <c r="AP497" t="str">
        <v/>
      </c>
    </row>
    <row r="498" spans="4:42" ht="15.75" x14ac:dyDescent="0.25">
      <c r="D498" s="3">
        <v>1</v>
      </c>
      <c r="F498" s="16" t="str" cm="1">
        <f t="array" ref="F4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8" s="31" cm="1">
        <f t="array" ref="G4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8" s="33" t="str">
        <f>_xlfn.IFNA(IF(MOD(HLG_04[[#This Row],[Rit]],
    _xlfn.XLOOKUP($G$2,Int_Sample[Ore],Int_Sample[Inc])) = 0, "YES", "NO"),"")</f>
        <v/>
      </c>
      <c r="I498" s="32" t="str">
        <f>TEXT(HLG_04[[#This Row],[Batch]],"000")&amp; " / " &amp; TEXT(HLG_04[[#This Row],[Rit]],"000")</f>
        <v>N/A / 000</v>
      </c>
      <c r="J498" s="34"/>
      <c r="K498" s="38"/>
      <c r="L498" s="35"/>
      <c r="M498" s="66"/>
      <c r="N498" s="66"/>
      <c r="O498" s="66"/>
      <c r="P498" s="66"/>
      <c r="Q498" s="66"/>
      <c r="R498" s="67"/>
      <c r="S498" s="67"/>
      <c r="T498" s="67"/>
      <c r="U498" s="66"/>
      <c r="V498" s="66"/>
      <c r="W498" s="66"/>
      <c r="X498" s="85"/>
      <c r="AP498" t="str">
        <v/>
      </c>
    </row>
    <row r="499" spans="4:42" ht="15.75" x14ac:dyDescent="0.25">
      <c r="D499" s="3">
        <v>1</v>
      </c>
      <c r="F499" s="16" t="str" cm="1">
        <f t="array" ref="F4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9" s="31" cm="1">
        <f t="array" ref="G4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9" s="33" t="str">
        <f>_xlfn.IFNA(IF(MOD(HLG_04[[#This Row],[Rit]],
    _xlfn.XLOOKUP($G$2,Int_Sample[Ore],Int_Sample[Inc])) = 0, "YES", "NO"),"")</f>
        <v/>
      </c>
      <c r="I499" s="32" t="str">
        <f>TEXT(HLG_04[[#This Row],[Batch]],"000")&amp; " / " &amp; TEXT(HLG_04[[#This Row],[Rit]],"000")</f>
        <v>N/A / 000</v>
      </c>
      <c r="J499" s="34"/>
      <c r="K499" s="38"/>
      <c r="L499" s="35"/>
      <c r="M499" s="66"/>
      <c r="N499" s="66"/>
      <c r="O499" s="66"/>
      <c r="P499" s="66"/>
      <c r="Q499" s="66"/>
      <c r="R499" s="67"/>
      <c r="S499" s="67"/>
      <c r="T499" s="67"/>
      <c r="U499" s="66"/>
      <c r="V499" s="66"/>
      <c r="W499" s="66"/>
      <c r="X499" s="85"/>
      <c r="AP499" t="str">
        <v/>
      </c>
    </row>
    <row r="500" spans="4:42" ht="15.75" x14ac:dyDescent="0.25">
      <c r="D500" s="3">
        <v>1</v>
      </c>
      <c r="F500" s="16" t="str" cm="1">
        <f t="array" ref="F5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0" s="31" cm="1">
        <f t="array" ref="G5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0" s="33" t="str">
        <f>_xlfn.IFNA(IF(MOD(HLG_04[[#This Row],[Rit]],
    _xlfn.XLOOKUP($G$2,Int_Sample[Ore],Int_Sample[Inc])) = 0, "YES", "NO"),"")</f>
        <v/>
      </c>
      <c r="I500" s="32" t="str">
        <f>TEXT(HLG_04[[#This Row],[Batch]],"000")&amp; " / " &amp; TEXT(HLG_04[[#This Row],[Rit]],"000")</f>
        <v>N/A / 000</v>
      </c>
      <c r="J500" s="34"/>
      <c r="K500" s="38"/>
      <c r="L500" s="35"/>
      <c r="M500" s="66"/>
      <c r="N500" s="66"/>
      <c r="O500" s="66"/>
      <c r="P500" s="66"/>
      <c r="Q500" s="66"/>
      <c r="R500" s="67"/>
      <c r="S500" s="67"/>
      <c r="T500" s="67"/>
      <c r="U500" s="66"/>
      <c r="V500" s="66"/>
      <c r="W500" s="66"/>
      <c r="X500" s="85"/>
      <c r="AP500" t="str">
        <v/>
      </c>
    </row>
    <row r="501" spans="4:42" ht="15.75" x14ac:dyDescent="0.25">
      <c r="D501" s="3">
        <v>1</v>
      </c>
      <c r="F501" s="16" t="str" cm="1">
        <f t="array" ref="F5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1" s="31" cm="1">
        <f t="array" ref="G5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1" s="33" t="str">
        <f>_xlfn.IFNA(IF(MOD(HLG_04[[#This Row],[Rit]],
    _xlfn.XLOOKUP($G$2,Int_Sample[Ore],Int_Sample[Inc])) = 0, "YES", "NO"),"")</f>
        <v/>
      </c>
      <c r="I501" s="32" t="str">
        <f>TEXT(HLG_04[[#This Row],[Batch]],"000")&amp; " / " &amp; TEXT(HLG_04[[#This Row],[Rit]],"000")</f>
        <v>N/A / 000</v>
      </c>
      <c r="J501" s="34"/>
      <c r="K501" s="38"/>
      <c r="L501" s="35"/>
      <c r="M501" s="66"/>
      <c r="N501" s="66"/>
      <c r="O501" s="66"/>
      <c r="P501" s="66"/>
      <c r="Q501" s="66"/>
      <c r="R501" s="67"/>
      <c r="S501" s="67"/>
      <c r="T501" s="67"/>
      <c r="U501" s="66"/>
      <c r="V501" s="66"/>
      <c r="W501" s="66"/>
      <c r="X501" s="85"/>
      <c r="AP501" t="str">
        <v/>
      </c>
    </row>
    <row r="502" spans="4:42" ht="15.75" x14ac:dyDescent="0.25">
      <c r="D502" s="3">
        <v>1</v>
      </c>
      <c r="F502" s="16" t="str" cm="1">
        <f t="array" ref="F5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2" s="31" cm="1">
        <f t="array" ref="G5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2" s="33" t="str">
        <f>_xlfn.IFNA(IF(MOD(HLG_04[[#This Row],[Rit]],
    _xlfn.XLOOKUP($G$2,Int_Sample[Ore],Int_Sample[Inc])) = 0, "YES", "NO"),"")</f>
        <v/>
      </c>
      <c r="I502" s="32" t="str">
        <f>TEXT(HLG_04[[#This Row],[Batch]],"000")&amp; " / " &amp; TEXT(HLG_04[[#This Row],[Rit]],"000")</f>
        <v>N/A / 000</v>
      </c>
      <c r="J502" s="34"/>
      <c r="K502" s="38"/>
      <c r="L502" s="35"/>
      <c r="M502" s="66"/>
      <c r="N502" s="66"/>
      <c r="O502" s="66"/>
      <c r="P502" s="66"/>
      <c r="Q502" s="66"/>
      <c r="R502" s="67"/>
      <c r="S502" s="67"/>
      <c r="T502" s="67"/>
      <c r="U502" s="66"/>
      <c r="V502" s="66"/>
      <c r="W502" s="66"/>
      <c r="X502" s="85"/>
      <c r="AP502" t="str">
        <v/>
      </c>
    </row>
    <row r="503" spans="4:42" ht="15.75" x14ac:dyDescent="0.25">
      <c r="D503" s="3">
        <v>1</v>
      </c>
      <c r="F503" s="16" t="str" cm="1">
        <f t="array" ref="F5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3" s="31" cm="1">
        <f t="array" ref="G5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3" s="33" t="str">
        <f>_xlfn.IFNA(IF(MOD(HLG_04[[#This Row],[Rit]],
    _xlfn.XLOOKUP($G$2,Int_Sample[Ore],Int_Sample[Inc])) = 0, "YES", "NO"),"")</f>
        <v/>
      </c>
      <c r="I503" s="32" t="str">
        <f>TEXT(HLG_04[[#This Row],[Batch]],"000")&amp; " / " &amp; TEXT(HLG_04[[#This Row],[Rit]],"000")</f>
        <v>N/A / 000</v>
      </c>
      <c r="J503" s="34"/>
      <c r="K503" s="38"/>
      <c r="L503" s="35"/>
      <c r="M503" s="66"/>
      <c r="N503" s="66"/>
      <c r="O503" s="66"/>
      <c r="P503" s="66"/>
      <c r="Q503" s="66"/>
      <c r="R503" s="67"/>
      <c r="S503" s="67"/>
      <c r="T503" s="67"/>
      <c r="U503" s="66"/>
      <c r="V503" s="66"/>
      <c r="W503" s="66"/>
      <c r="X503" s="85"/>
      <c r="AP503" t="str">
        <v/>
      </c>
    </row>
    <row r="504" spans="4:42" ht="15.75" x14ac:dyDescent="0.25">
      <c r="D504" s="3">
        <v>1</v>
      </c>
      <c r="F504" s="16" t="str" cm="1">
        <f t="array" ref="F5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4" s="31" cm="1">
        <f t="array" ref="G5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4" s="33" t="str">
        <f>_xlfn.IFNA(IF(MOD(HLG_04[[#This Row],[Rit]],
    _xlfn.XLOOKUP($G$2,Int_Sample[Ore],Int_Sample[Inc])) = 0, "YES", "NO"),"")</f>
        <v/>
      </c>
      <c r="I504" s="32" t="str">
        <f>TEXT(HLG_04[[#This Row],[Batch]],"000")&amp; " / " &amp; TEXT(HLG_04[[#This Row],[Rit]],"000")</f>
        <v>N/A / 000</v>
      </c>
      <c r="J504" s="34"/>
      <c r="K504" s="38"/>
      <c r="L504" s="35"/>
      <c r="M504" s="66"/>
      <c r="N504" s="66"/>
      <c r="O504" s="66"/>
      <c r="P504" s="66"/>
      <c r="Q504" s="66"/>
      <c r="R504" s="67"/>
      <c r="S504" s="67"/>
      <c r="T504" s="67"/>
      <c r="U504" s="66"/>
      <c r="V504" s="66"/>
      <c r="W504" s="66"/>
      <c r="X504" s="85"/>
      <c r="AP504" t="str">
        <v/>
      </c>
    </row>
    <row r="505" spans="4:42" ht="15.75" x14ac:dyDescent="0.25">
      <c r="D505" s="3">
        <v>1</v>
      </c>
      <c r="F505" s="16" t="str" cm="1">
        <f t="array" ref="F5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5" s="31" cm="1">
        <f t="array" ref="G5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5" s="33" t="str">
        <f>_xlfn.IFNA(IF(MOD(HLG_04[[#This Row],[Rit]],
    _xlfn.XLOOKUP($G$2,Int_Sample[Ore],Int_Sample[Inc])) = 0, "YES", "NO"),"")</f>
        <v/>
      </c>
      <c r="I505" s="32" t="str">
        <f>TEXT(HLG_04[[#This Row],[Batch]],"000")&amp; " / " &amp; TEXT(HLG_04[[#This Row],[Rit]],"000")</f>
        <v>N/A / 000</v>
      </c>
      <c r="J505" s="34"/>
      <c r="K505" s="38"/>
      <c r="L505" s="35"/>
      <c r="M505" s="66"/>
      <c r="N505" s="66"/>
      <c r="O505" s="66"/>
      <c r="P505" s="66"/>
      <c r="Q505" s="66"/>
      <c r="R505" s="67"/>
      <c r="S505" s="67"/>
      <c r="T505" s="67"/>
      <c r="U505" s="66"/>
      <c r="V505" s="66"/>
      <c r="W505" s="66"/>
      <c r="X505" s="85"/>
      <c r="AP505" t="str">
        <v/>
      </c>
    </row>
    <row r="506" spans="4:42" ht="15.75" x14ac:dyDescent="0.25">
      <c r="D506" s="3">
        <v>1</v>
      </c>
      <c r="F506" s="16" t="str" cm="1">
        <f t="array" ref="F5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6" s="31" cm="1">
        <f t="array" ref="G5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6" s="33" t="str">
        <f>_xlfn.IFNA(IF(MOD(HLG_04[[#This Row],[Rit]],
    _xlfn.XLOOKUP($G$2,Int_Sample[Ore],Int_Sample[Inc])) = 0, "YES", "NO"),"")</f>
        <v/>
      </c>
      <c r="I506" s="32" t="str">
        <f>TEXT(HLG_04[[#This Row],[Batch]],"000")&amp; " / " &amp; TEXT(HLG_04[[#This Row],[Rit]],"000")</f>
        <v>N/A / 000</v>
      </c>
      <c r="J506" s="34"/>
      <c r="K506" s="38"/>
      <c r="L506" s="35"/>
      <c r="M506" s="66"/>
      <c r="N506" s="66"/>
      <c r="O506" s="66"/>
      <c r="P506" s="66"/>
      <c r="Q506" s="66"/>
      <c r="R506" s="67"/>
      <c r="S506" s="67"/>
      <c r="T506" s="67"/>
      <c r="U506" s="66"/>
      <c r="V506" s="66"/>
      <c r="W506" s="66"/>
      <c r="X506" s="85"/>
      <c r="AP506" t="str">
        <v/>
      </c>
    </row>
    <row r="507" spans="4:42" ht="15.75" x14ac:dyDescent="0.25">
      <c r="D507" s="3">
        <v>1</v>
      </c>
      <c r="F507" s="16" t="str" cm="1">
        <f t="array" ref="F5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7" s="31" cm="1">
        <f t="array" ref="G5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7" s="33" t="str">
        <f>_xlfn.IFNA(IF(MOD(HLG_04[[#This Row],[Rit]],
    _xlfn.XLOOKUP($G$2,Int_Sample[Ore],Int_Sample[Inc])) = 0, "YES", "NO"),"")</f>
        <v/>
      </c>
      <c r="I507" s="32" t="str">
        <f>TEXT(HLG_04[[#This Row],[Batch]],"000")&amp; " / " &amp; TEXT(HLG_04[[#This Row],[Rit]],"000")</f>
        <v>N/A / 000</v>
      </c>
      <c r="J507" s="34"/>
      <c r="K507" s="38"/>
      <c r="L507" s="35"/>
      <c r="M507" s="66"/>
      <c r="N507" s="66"/>
      <c r="O507" s="66"/>
      <c r="P507" s="66"/>
      <c r="Q507" s="66"/>
      <c r="R507" s="67"/>
      <c r="S507" s="67"/>
      <c r="T507" s="67"/>
      <c r="U507" s="66"/>
      <c r="V507" s="66"/>
      <c r="W507" s="66"/>
      <c r="X507" s="85"/>
      <c r="AP507" t="str">
        <v/>
      </c>
    </row>
    <row r="508" spans="4:42" ht="15.75" x14ac:dyDescent="0.25">
      <c r="D508" s="3">
        <v>1</v>
      </c>
      <c r="F508" s="16" t="str" cm="1">
        <f t="array" ref="F5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8" s="31" cm="1">
        <f t="array" ref="G5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8" s="33" t="str">
        <f>_xlfn.IFNA(IF(MOD(HLG_04[[#This Row],[Rit]],
    _xlfn.XLOOKUP($G$2,Int_Sample[Ore],Int_Sample[Inc])) = 0, "YES", "NO"),"")</f>
        <v/>
      </c>
      <c r="I508" s="32" t="str">
        <f>TEXT(HLG_04[[#This Row],[Batch]],"000")&amp; " / " &amp; TEXT(HLG_04[[#This Row],[Rit]],"000")</f>
        <v>N/A / 000</v>
      </c>
      <c r="J508" s="34"/>
      <c r="K508" s="38"/>
      <c r="L508" s="35"/>
      <c r="M508" s="66"/>
      <c r="N508" s="66"/>
      <c r="O508" s="66"/>
      <c r="P508" s="66"/>
      <c r="Q508" s="66"/>
      <c r="R508" s="67"/>
      <c r="S508" s="67"/>
      <c r="T508" s="67"/>
      <c r="U508" s="66"/>
      <c r="V508" s="66"/>
      <c r="W508" s="66"/>
      <c r="X508" s="85"/>
      <c r="AP508" t="str">
        <v/>
      </c>
    </row>
    <row r="509" spans="4:42" ht="15.75" x14ac:dyDescent="0.25">
      <c r="D509" s="3">
        <v>1</v>
      </c>
      <c r="F509" s="16" t="str" cm="1">
        <f t="array" ref="F5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9" s="31" cm="1">
        <f t="array" ref="G5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9" s="33" t="str">
        <f>_xlfn.IFNA(IF(MOD(HLG_04[[#This Row],[Rit]],
    _xlfn.XLOOKUP($G$2,Int_Sample[Ore],Int_Sample[Inc])) = 0, "YES", "NO"),"")</f>
        <v/>
      </c>
      <c r="I509" s="32" t="str">
        <f>TEXT(HLG_04[[#This Row],[Batch]],"000")&amp; " / " &amp; TEXT(HLG_04[[#This Row],[Rit]],"000")</f>
        <v>N/A / 000</v>
      </c>
      <c r="J509" s="34"/>
      <c r="K509" s="38"/>
      <c r="L509" s="35"/>
      <c r="M509" s="66"/>
      <c r="N509" s="66"/>
      <c r="O509" s="66"/>
      <c r="P509" s="66"/>
      <c r="Q509" s="66"/>
      <c r="R509" s="67"/>
      <c r="S509" s="67"/>
      <c r="T509" s="67"/>
      <c r="U509" s="66"/>
      <c r="V509" s="66"/>
      <c r="W509" s="66"/>
      <c r="X509" s="85"/>
      <c r="AP509" t="str">
        <v/>
      </c>
    </row>
    <row r="510" spans="4:42" ht="15.75" x14ac:dyDescent="0.25">
      <c r="D510" s="3">
        <v>1</v>
      </c>
      <c r="F510" s="16" t="str" cm="1">
        <f t="array" ref="F5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0" s="31" cm="1">
        <f t="array" ref="G5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0" s="33" t="str">
        <f>_xlfn.IFNA(IF(MOD(HLG_04[[#This Row],[Rit]],
    _xlfn.XLOOKUP($G$2,Int_Sample[Ore],Int_Sample[Inc])) = 0, "YES", "NO"),"")</f>
        <v/>
      </c>
      <c r="I510" s="32" t="str">
        <f>TEXT(HLG_04[[#This Row],[Batch]],"000")&amp; " / " &amp; TEXT(HLG_04[[#This Row],[Rit]],"000")</f>
        <v>N/A / 000</v>
      </c>
      <c r="J510" s="34"/>
      <c r="K510" s="38"/>
      <c r="L510" s="35"/>
      <c r="M510" s="66"/>
      <c r="N510" s="66"/>
      <c r="O510" s="66"/>
      <c r="P510" s="66"/>
      <c r="Q510" s="66"/>
      <c r="R510" s="67"/>
      <c r="S510" s="67"/>
      <c r="T510" s="67"/>
      <c r="U510" s="66"/>
      <c r="V510" s="66"/>
      <c r="W510" s="66"/>
      <c r="X510" s="85"/>
      <c r="AP510" t="str">
        <v/>
      </c>
    </row>
    <row r="511" spans="4:42" ht="15.75" x14ac:dyDescent="0.25">
      <c r="D511" s="3">
        <v>1</v>
      </c>
      <c r="F511" s="16" t="str" cm="1">
        <f t="array" ref="F5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1" s="31" cm="1">
        <f t="array" ref="G5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1" s="33" t="str">
        <f>_xlfn.IFNA(IF(MOD(HLG_04[[#This Row],[Rit]],
    _xlfn.XLOOKUP($G$2,Int_Sample[Ore],Int_Sample[Inc])) = 0, "YES", "NO"),"")</f>
        <v/>
      </c>
      <c r="I511" s="32" t="str">
        <f>TEXT(HLG_04[[#This Row],[Batch]],"000")&amp; " / " &amp; TEXT(HLG_04[[#This Row],[Rit]],"000")</f>
        <v>N/A / 000</v>
      </c>
      <c r="J511" s="34"/>
      <c r="K511" s="38"/>
      <c r="L511" s="35"/>
      <c r="M511" s="66"/>
      <c r="N511" s="66"/>
      <c r="O511" s="66"/>
      <c r="P511" s="66"/>
      <c r="Q511" s="66"/>
      <c r="R511" s="67"/>
      <c r="S511" s="67"/>
      <c r="T511" s="67"/>
      <c r="U511" s="66"/>
      <c r="V511" s="66"/>
      <c r="W511" s="66"/>
      <c r="X511" s="85"/>
      <c r="AP511" t="str">
        <v/>
      </c>
    </row>
    <row r="512" spans="4:42" ht="15.75" x14ac:dyDescent="0.25">
      <c r="D512" s="3">
        <v>1</v>
      </c>
      <c r="F512" s="16" t="str" cm="1">
        <f t="array" ref="F5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2" s="31" cm="1">
        <f t="array" ref="G5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2" s="33" t="str">
        <f>_xlfn.IFNA(IF(MOD(HLG_04[[#This Row],[Rit]],
    _xlfn.XLOOKUP($G$2,Int_Sample[Ore],Int_Sample[Inc])) = 0, "YES", "NO"),"")</f>
        <v/>
      </c>
      <c r="I512" s="32" t="str">
        <f>TEXT(HLG_04[[#This Row],[Batch]],"000")&amp; " / " &amp; TEXT(HLG_04[[#This Row],[Rit]],"000")</f>
        <v>N/A / 000</v>
      </c>
      <c r="J512" s="34"/>
      <c r="K512" s="38"/>
      <c r="L512" s="35"/>
      <c r="M512" s="66"/>
      <c r="N512" s="66"/>
      <c r="O512" s="66"/>
      <c r="P512" s="66"/>
      <c r="Q512" s="66"/>
      <c r="R512" s="67"/>
      <c r="S512" s="67"/>
      <c r="T512" s="67"/>
      <c r="U512" s="66"/>
      <c r="V512" s="66"/>
      <c r="W512" s="66"/>
      <c r="X512" s="85"/>
      <c r="AP512" t="str">
        <v/>
      </c>
    </row>
    <row r="513" spans="4:42" ht="15.75" x14ac:dyDescent="0.25">
      <c r="D513" s="3">
        <v>1</v>
      </c>
      <c r="F513" s="16" t="str" cm="1">
        <f t="array" ref="F5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3" s="31" cm="1">
        <f t="array" ref="G5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3" s="33" t="str">
        <f>_xlfn.IFNA(IF(MOD(HLG_04[[#This Row],[Rit]],
    _xlfn.XLOOKUP($G$2,Int_Sample[Ore],Int_Sample[Inc])) = 0, "YES", "NO"),"")</f>
        <v/>
      </c>
      <c r="I513" s="32" t="str">
        <f>TEXT(HLG_04[[#This Row],[Batch]],"000")&amp; " / " &amp; TEXT(HLG_04[[#This Row],[Rit]],"000")</f>
        <v>N/A / 000</v>
      </c>
      <c r="J513" s="34"/>
      <c r="K513" s="38"/>
      <c r="L513" s="35"/>
      <c r="M513" s="66"/>
      <c r="N513" s="66"/>
      <c r="O513" s="66"/>
      <c r="P513" s="66"/>
      <c r="Q513" s="66"/>
      <c r="R513" s="67"/>
      <c r="S513" s="67"/>
      <c r="T513" s="67"/>
      <c r="U513" s="66"/>
      <c r="V513" s="66"/>
      <c r="W513" s="66"/>
      <c r="X513" s="85"/>
      <c r="AP513" t="str">
        <v/>
      </c>
    </row>
    <row r="514" spans="4:42" ht="15.75" x14ac:dyDescent="0.25">
      <c r="D514" s="3">
        <v>1</v>
      </c>
      <c r="F514" s="16" t="str" cm="1">
        <f t="array" ref="F5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4" s="31" cm="1">
        <f t="array" ref="G5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4" s="33" t="str">
        <f>_xlfn.IFNA(IF(MOD(HLG_04[[#This Row],[Rit]],
    _xlfn.XLOOKUP($G$2,Int_Sample[Ore],Int_Sample[Inc])) = 0, "YES", "NO"),"")</f>
        <v/>
      </c>
      <c r="I514" s="32" t="str">
        <f>TEXT(HLG_04[[#This Row],[Batch]],"000")&amp; " / " &amp; TEXT(HLG_04[[#This Row],[Rit]],"000")</f>
        <v>N/A / 000</v>
      </c>
      <c r="J514" s="34"/>
      <c r="K514" s="38"/>
      <c r="L514" s="35"/>
      <c r="M514" s="66"/>
      <c r="N514" s="66"/>
      <c r="O514" s="66"/>
      <c r="P514" s="66"/>
      <c r="Q514" s="66"/>
      <c r="R514" s="67"/>
      <c r="S514" s="67"/>
      <c r="T514" s="67"/>
      <c r="U514" s="66"/>
      <c r="V514" s="66"/>
      <c r="W514" s="66"/>
      <c r="X514" s="85"/>
      <c r="AP514" t="str">
        <v/>
      </c>
    </row>
    <row r="515" spans="4:42" ht="15.75" x14ac:dyDescent="0.25">
      <c r="D515" s="3">
        <v>1</v>
      </c>
      <c r="F515" s="16" t="str" cm="1">
        <f t="array" ref="F5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5" s="31" cm="1">
        <f t="array" ref="G5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5" s="33" t="str">
        <f>_xlfn.IFNA(IF(MOD(HLG_04[[#This Row],[Rit]],
    _xlfn.XLOOKUP($G$2,Int_Sample[Ore],Int_Sample[Inc])) = 0, "YES", "NO"),"")</f>
        <v/>
      </c>
      <c r="I515" s="32" t="str">
        <f>TEXT(HLG_04[[#This Row],[Batch]],"000")&amp; " / " &amp; TEXT(HLG_04[[#This Row],[Rit]],"000")</f>
        <v>N/A / 000</v>
      </c>
      <c r="J515" s="34"/>
      <c r="K515" s="38"/>
      <c r="L515" s="35"/>
      <c r="M515" s="66"/>
      <c r="N515" s="66"/>
      <c r="O515" s="66"/>
      <c r="P515" s="66"/>
      <c r="Q515" s="66"/>
      <c r="R515" s="67"/>
      <c r="S515" s="67"/>
      <c r="T515" s="67"/>
      <c r="U515" s="66"/>
      <c r="V515" s="66"/>
      <c r="W515" s="66"/>
      <c r="X515" s="85"/>
      <c r="AP515" t="str">
        <v/>
      </c>
    </row>
    <row r="516" spans="4:42" ht="15.75" x14ac:dyDescent="0.25">
      <c r="D516" s="3">
        <v>1</v>
      </c>
      <c r="F516" s="16" t="str" cm="1">
        <f t="array" ref="F5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6" s="31" cm="1">
        <f t="array" ref="G5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6" s="33" t="str">
        <f>_xlfn.IFNA(IF(MOD(HLG_04[[#This Row],[Rit]],
    _xlfn.XLOOKUP($G$2,Int_Sample[Ore],Int_Sample[Inc])) = 0, "YES", "NO"),"")</f>
        <v/>
      </c>
      <c r="I516" s="32" t="str">
        <f>TEXT(HLG_04[[#This Row],[Batch]],"000")&amp; " / " &amp; TEXT(HLG_04[[#This Row],[Rit]],"000")</f>
        <v>N/A / 000</v>
      </c>
      <c r="J516" s="34"/>
      <c r="K516" s="38"/>
      <c r="L516" s="35"/>
      <c r="M516" s="66"/>
      <c r="N516" s="66"/>
      <c r="O516" s="66"/>
      <c r="P516" s="66"/>
      <c r="Q516" s="66"/>
      <c r="R516" s="67"/>
      <c r="S516" s="67"/>
      <c r="T516" s="67"/>
      <c r="U516" s="66"/>
      <c r="V516" s="66"/>
      <c r="W516" s="66"/>
      <c r="X516" s="85"/>
      <c r="AP516" t="str">
        <v/>
      </c>
    </row>
    <row r="517" spans="4:42" ht="15.75" x14ac:dyDescent="0.25">
      <c r="D517" s="3">
        <v>1</v>
      </c>
      <c r="F517" s="16" t="str" cm="1">
        <f t="array" ref="F5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7" s="31" cm="1">
        <f t="array" ref="G5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7" s="33" t="str">
        <f>_xlfn.IFNA(IF(MOD(HLG_04[[#This Row],[Rit]],
    _xlfn.XLOOKUP($G$2,Int_Sample[Ore],Int_Sample[Inc])) = 0, "YES", "NO"),"")</f>
        <v/>
      </c>
      <c r="I517" s="32" t="str">
        <f>TEXT(HLG_04[[#This Row],[Batch]],"000")&amp; " / " &amp; TEXT(HLG_04[[#This Row],[Rit]],"000")</f>
        <v>N/A / 000</v>
      </c>
      <c r="J517" s="34"/>
      <c r="K517" s="38"/>
      <c r="L517" s="35"/>
      <c r="M517" s="66"/>
      <c r="N517" s="66"/>
      <c r="O517" s="66"/>
      <c r="P517" s="66"/>
      <c r="Q517" s="66"/>
      <c r="R517" s="67"/>
      <c r="S517" s="67"/>
      <c r="T517" s="67"/>
      <c r="U517" s="66"/>
      <c r="V517" s="66"/>
      <c r="W517" s="66"/>
      <c r="X517" s="85"/>
      <c r="AP517" t="str">
        <v/>
      </c>
    </row>
    <row r="518" spans="4:42" ht="15.75" x14ac:dyDescent="0.25">
      <c r="D518" s="3">
        <v>1</v>
      </c>
      <c r="F518" s="16" t="str" cm="1">
        <f t="array" ref="F5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8" s="31" cm="1">
        <f t="array" ref="G5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8" s="33" t="str">
        <f>_xlfn.IFNA(IF(MOD(HLG_04[[#This Row],[Rit]],
    _xlfn.XLOOKUP($G$2,Int_Sample[Ore],Int_Sample[Inc])) = 0, "YES", "NO"),"")</f>
        <v/>
      </c>
      <c r="I518" s="32" t="str">
        <f>TEXT(HLG_04[[#This Row],[Batch]],"000")&amp; " / " &amp; TEXT(HLG_04[[#This Row],[Rit]],"000")</f>
        <v>N/A / 000</v>
      </c>
      <c r="J518" s="34"/>
      <c r="K518" s="38"/>
      <c r="L518" s="35"/>
      <c r="M518" s="66"/>
      <c r="N518" s="66"/>
      <c r="O518" s="66"/>
      <c r="P518" s="66"/>
      <c r="Q518" s="66"/>
      <c r="R518" s="67"/>
      <c r="S518" s="67"/>
      <c r="T518" s="67"/>
      <c r="U518" s="66"/>
      <c r="V518" s="66"/>
      <c r="W518" s="66"/>
      <c r="X518" s="85"/>
      <c r="AP518" t="str">
        <v/>
      </c>
    </row>
    <row r="519" spans="4:42" ht="15.75" x14ac:dyDescent="0.25">
      <c r="D519" s="3">
        <v>1</v>
      </c>
      <c r="F519" s="16" t="str" cm="1">
        <f t="array" ref="F5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9" s="31" cm="1">
        <f t="array" ref="G5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9" s="33" t="str">
        <f>_xlfn.IFNA(IF(MOD(HLG_04[[#This Row],[Rit]],
    _xlfn.XLOOKUP($G$2,Int_Sample[Ore],Int_Sample[Inc])) = 0, "YES", "NO"),"")</f>
        <v/>
      </c>
      <c r="I519" s="32" t="str">
        <f>TEXT(HLG_04[[#This Row],[Batch]],"000")&amp; " / " &amp; TEXT(HLG_04[[#This Row],[Rit]],"000")</f>
        <v>N/A / 000</v>
      </c>
      <c r="J519" s="34"/>
      <c r="K519" s="38"/>
      <c r="L519" s="35"/>
      <c r="M519" s="66"/>
      <c r="N519" s="66"/>
      <c r="O519" s="66"/>
      <c r="P519" s="66"/>
      <c r="Q519" s="66"/>
      <c r="R519" s="67"/>
      <c r="S519" s="67"/>
      <c r="T519" s="67"/>
      <c r="U519" s="66"/>
      <c r="V519" s="66"/>
      <c r="W519" s="66"/>
      <c r="X519" s="85"/>
      <c r="AP519" t="str">
        <v/>
      </c>
    </row>
    <row r="520" spans="4:42" ht="15.75" x14ac:dyDescent="0.25">
      <c r="D520" s="3">
        <v>1</v>
      </c>
      <c r="F520" s="16" t="str" cm="1">
        <f t="array" ref="F5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0" s="31" cm="1">
        <f t="array" ref="G5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0" s="33" t="str">
        <f>_xlfn.IFNA(IF(MOD(HLG_04[[#This Row],[Rit]],
    _xlfn.XLOOKUP($G$2,Int_Sample[Ore],Int_Sample[Inc])) = 0, "YES", "NO"),"")</f>
        <v/>
      </c>
      <c r="I520" s="32" t="str">
        <f>TEXT(HLG_04[[#This Row],[Batch]],"000")&amp; " / " &amp; TEXT(HLG_04[[#This Row],[Rit]],"000")</f>
        <v>N/A / 000</v>
      </c>
      <c r="J520" s="34"/>
      <c r="K520" s="38"/>
      <c r="L520" s="35"/>
      <c r="M520" s="66"/>
      <c r="N520" s="66"/>
      <c r="O520" s="66"/>
      <c r="P520" s="66"/>
      <c r="Q520" s="66"/>
      <c r="R520" s="67"/>
      <c r="S520" s="67"/>
      <c r="T520" s="67"/>
      <c r="U520" s="66"/>
      <c r="V520" s="66"/>
      <c r="W520" s="66"/>
      <c r="X520" s="85"/>
      <c r="AP520" t="str">
        <v/>
      </c>
    </row>
    <row r="521" spans="4:42" ht="15.75" x14ac:dyDescent="0.25">
      <c r="D521" s="3">
        <v>1</v>
      </c>
      <c r="F521" s="16" t="str" cm="1">
        <f t="array" ref="F5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1" s="31" cm="1">
        <f t="array" ref="G5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1" s="33" t="str">
        <f>_xlfn.IFNA(IF(MOD(HLG_04[[#This Row],[Rit]],
    _xlfn.XLOOKUP($G$2,Int_Sample[Ore],Int_Sample[Inc])) = 0, "YES", "NO"),"")</f>
        <v/>
      </c>
      <c r="I521" s="32" t="str">
        <f>TEXT(HLG_04[[#This Row],[Batch]],"000")&amp; " / " &amp; TEXT(HLG_04[[#This Row],[Rit]],"000")</f>
        <v>N/A / 000</v>
      </c>
      <c r="J521" s="34"/>
      <c r="K521" s="38"/>
      <c r="L521" s="35"/>
      <c r="M521" s="66"/>
      <c r="N521" s="66"/>
      <c r="O521" s="66"/>
      <c r="P521" s="66"/>
      <c r="Q521" s="66"/>
      <c r="R521" s="67"/>
      <c r="S521" s="67"/>
      <c r="T521" s="67"/>
      <c r="U521" s="66"/>
      <c r="V521" s="66"/>
      <c r="W521" s="66"/>
      <c r="X521" s="85"/>
      <c r="AP521" t="str">
        <v/>
      </c>
    </row>
    <row r="522" spans="4:42" ht="15.75" x14ac:dyDescent="0.25">
      <c r="D522" s="3">
        <v>1</v>
      </c>
      <c r="F522" s="16" t="str" cm="1">
        <f t="array" ref="F5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2" s="31" cm="1">
        <f t="array" ref="G5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2" s="33" t="str">
        <f>_xlfn.IFNA(IF(MOD(HLG_04[[#This Row],[Rit]],
    _xlfn.XLOOKUP($G$2,Int_Sample[Ore],Int_Sample[Inc])) = 0, "YES", "NO"),"")</f>
        <v/>
      </c>
      <c r="I522" s="32" t="str">
        <f>TEXT(HLG_04[[#This Row],[Batch]],"000")&amp; " / " &amp; TEXT(HLG_04[[#This Row],[Rit]],"000")</f>
        <v>N/A / 000</v>
      </c>
      <c r="J522" s="34"/>
      <c r="K522" s="38"/>
      <c r="L522" s="35"/>
      <c r="M522" s="66"/>
      <c r="N522" s="66"/>
      <c r="O522" s="66"/>
      <c r="P522" s="66"/>
      <c r="Q522" s="66"/>
      <c r="R522" s="67"/>
      <c r="S522" s="67"/>
      <c r="T522" s="67"/>
      <c r="U522" s="66"/>
      <c r="V522" s="66"/>
      <c r="W522" s="66"/>
      <c r="X522" s="85"/>
      <c r="AP522" t="str">
        <v/>
      </c>
    </row>
    <row r="523" spans="4:42" ht="15.75" x14ac:dyDescent="0.25">
      <c r="D523" s="3">
        <v>1</v>
      </c>
      <c r="F523" s="16" t="str" cm="1">
        <f t="array" ref="F5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3" s="31" cm="1">
        <f t="array" ref="G5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3" s="33" t="str">
        <f>_xlfn.IFNA(IF(MOD(HLG_04[[#This Row],[Rit]],
    _xlfn.XLOOKUP($G$2,Int_Sample[Ore],Int_Sample[Inc])) = 0, "YES", "NO"),"")</f>
        <v/>
      </c>
      <c r="I523" s="32" t="str">
        <f>TEXT(HLG_04[[#This Row],[Batch]],"000")&amp; " / " &amp; TEXT(HLG_04[[#This Row],[Rit]],"000")</f>
        <v>N/A / 000</v>
      </c>
      <c r="J523" s="34"/>
      <c r="K523" s="38"/>
      <c r="L523" s="35"/>
      <c r="M523" s="66"/>
      <c r="N523" s="66"/>
      <c r="O523" s="66"/>
      <c r="P523" s="66"/>
      <c r="Q523" s="66"/>
      <c r="R523" s="67"/>
      <c r="S523" s="67"/>
      <c r="T523" s="67"/>
      <c r="U523" s="66"/>
      <c r="V523" s="66"/>
      <c r="W523" s="66"/>
      <c r="X523" s="85"/>
      <c r="AP523" t="str">
        <v/>
      </c>
    </row>
    <row r="524" spans="4:42" ht="15.75" x14ac:dyDescent="0.25">
      <c r="D524" s="3">
        <v>1</v>
      </c>
      <c r="F524" s="16" t="str" cm="1">
        <f t="array" ref="F5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4" s="31" cm="1">
        <f t="array" ref="G5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4" s="33" t="str">
        <f>_xlfn.IFNA(IF(MOD(HLG_04[[#This Row],[Rit]],
    _xlfn.XLOOKUP($G$2,Int_Sample[Ore],Int_Sample[Inc])) = 0, "YES", "NO"),"")</f>
        <v/>
      </c>
      <c r="I524" s="32" t="str">
        <f>TEXT(HLG_04[[#This Row],[Batch]],"000")&amp; " / " &amp; TEXT(HLG_04[[#This Row],[Rit]],"000")</f>
        <v>N/A / 000</v>
      </c>
      <c r="J524" s="34"/>
      <c r="K524" s="38"/>
      <c r="L524" s="35"/>
      <c r="M524" s="66"/>
      <c r="N524" s="66"/>
      <c r="O524" s="66"/>
      <c r="P524" s="66"/>
      <c r="Q524" s="66"/>
      <c r="R524" s="67"/>
      <c r="S524" s="67"/>
      <c r="T524" s="67"/>
      <c r="U524" s="66"/>
      <c r="V524" s="66"/>
      <c r="W524" s="66"/>
      <c r="X524" s="85"/>
      <c r="AP524" t="str">
        <v/>
      </c>
    </row>
    <row r="525" spans="4:42" ht="15.75" x14ac:dyDescent="0.25">
      <c r="D525" s="3">
        <v>1</v>
      </c>
      <c r="F525" s="16" t="str" cm="1">
        <f t="array" ref="F5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5" s="31" cm="1">
        <f t="array" ref="G5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5" s="33" t="str">
        <f>_xlfn.IFNA(IF(MOD(HLG_04[[#This Row],[Rit]],
    _xlfn.XLOOKUP($G$2,Int_Sample[Ore],Int_Sample[Inc])) = 0, "YES", "NO"),"")</f>
        <v/>
      </c>
      <c r="I525" s="32" t="str">
        <f>TEXT(HLG_04[[#This Row],[Batch]],"000")&amp; " / " &amp; TEXT(HLG_04[[#This Row],[Rit]],"000")</f>
        <v>N/A / 000</v>
      </c>
      <c r="J525" s="34"/>
      <c r="K525" s="38"/>
      <c r="L525" s="35"/>
      <c r="M525" s="66"/>
      <c r="N525" s="66"/>
      <c r="O525" s="66"/>
      <c r="P525" s="66"/>
      <c r="Q525" s="66"/>
      <c r="R525" s="67"/>
      <c r="S525" s="67"/>
      <c r="T525" s="67"/>
      <c r="U525" s="66"/>
      <c r="V525" s="66"/>
      <c r="W525" s="66"/>
      <c r="X525" s="85"/>
      <c r="AP525" t="str">
        <v/>
      </c>
    </row>
    <row r="526" spans="4:42" ht="15.75" x14ac:dyDescent="0.25">
      <c r="D526" s="3">
        <v>1</v>
      </c>
      <c r="F526" s="16" t="str" cm="1">
        <f t="array" ref="F5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6" s="31" cm="1">
        <f t="array" ref="G5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6" s="33" t="str">
        <f>_xlfn.IFNA(IF(MOD(HLG_04[[#This Row],[Rit]],
    _xlfn.XLOOKUP($G$2,Int_Sample[Ore],Int_Sample[Inc])) = 0, "YES", "NO"),"")</f>
        <v/>
      </c>
      <c r="I526" s="32" t="str">
        <f>TEXT(HLG_04[[#This Row],[Batch]],"000")&amp; " / " &amp; TEXT(HLG_04[[#This Row],[Rit]],"000")</f>
        <v>N/A / 000</v>
      </c>
      <c r="J526" s="34"/>
      <c r="K526" s="38"/>
      <c r="L526" s="35"/>
      <c r="M526" s="66"/>
      <c r="N526" s="66"/>
      <c r="O526" s="66"/>
      <c r="P526" s="66"/>
      <c r="Q526" s="66"/>
      <c r="R526" s="67"/>
      <c r="S526" s="67"/>
      <c r="T526" s="67"/>
      <c r="U526" s="66"/>
      <c r="V526" s="66"/>
      <c r="W526" s="66"/>
      <c r="X526" s="85"/>
      <c r="AP526" t="str">
        <v/>
      </c>
    </row>
    <row r="527" spans="4:42" ht="15.75" x14ac:dyDescent="0.25">
      <c r="D527" s="3">
        <v>1</v>
      </c>
      <c r="F527" s="16" t="str" cm="1">
        <f t="array" ref="F5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7" s="31" cm="1">
        <f t="array" ref="G5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7" s="33" t="str">
        <f>_xlfn.IFNA(IF(MOD(HLG_04[[#This Row],[Rit]],
    _xlfn.XLOOKUP($G$2,Int_Sample[Ore],Int_Sample[Inc])) = 0, "YES", "NO"),"")</f>
        <v/>
      </c>
      <c r="I527" s="32" t="str">
        <f>TEXT(HLG_04[[#This Row],[Batch]],"000")&amp; " / " &amp; TEXT(HLG_04[[#This Row],[Rit]],"000")</f>
        <v>N/A / 000</v>
      </c>
      <c r="J527" s="34"/>
      <c r="K527" s="38"/>
      <c r="L527" s="35"/>
      <c r="M527" s="66"/>
      <c r="N527" s="66"/>
      <c r="O527" s="66"/>
      <c r="P527" s="66"/>
      <c r="Q527" s="66"/>
      <c r="R527" s="67"/>
      <c r="S527" s="67"/>
      <c r="T527" s="67"/>
      <c r="U527" s="66"/>
      <c r="V527" s="66"/>
      <c r="W527" s="66"/>
      <c r="X527" s="85"/>
      <c r="AP527" t="str">
        <v/>
      </c>
    </row>
    <row r="528" spans="4:42" ht="15.75" x14ac:dyDescent="0.25">
      <c r="D528" s="3">
        <v>1</v>
      </c>
      <c r="F528" s="16" t="str" cm="1">
        <f t="array" ref="F5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8" s="31" cm="1">
        <f t="array" ref="G5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8" s="33" t="str">
        <f>_xlfn.IFNA(IF(MOD(HLG_04[[#This Row],[Rit]],
    _xlfn.XLOOKUP($G$2,Int_Sample[Ore],Int_Sample[Inc])) = 0, "YES", "NO"),"")</f>
        <v/>
      </c>
      <c r="I528" s="32" t="str">
        <f>TEXT(HLG_04[[#This Row],[Batch]],"000")&amp; " / " &amp; TEXT(HLG_04[[#This Row],[Rit]],"000")</f>
        <v>N/A / 000</v>
      </c>
      <c r="J528" s="34"/>
      <c r="K528" s="38"/>
      <c r="L528" s="35"/>
      <c r="M528" s="66"/>
      <c r="N528" s="66"/>
      <c r="O528" s="66"/>
      <c r="P528" s="66"/>
      <c r="Q528" s="66"/>
      <c r="R528" s="67"/>
      <c r="S528" s="67"/>
      <c r="T528" s="67"/>
      <c r="U528" s="66"/>
      <c r="V528" s="66"/>
      <c r="W528" s="66"/>
      <c r="X528" s="85"/>
      <c r="AP528" t="str">
        <v/>
      </c>
    </row>
    <row r="529" spans="4:42" ht="15.75" x14ac:dyDescent="0.25">
      <c r="D529" s="3">
        <v>1</v>
      </c>
      <c r="F529" s="16" t="str" cm="1">
        <f t="array" ref="F5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9" s="31" cm="1">
        <f t="array" ref="G5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9" s="33" t="str">
        <f>_xlfn.IFNA(IF(MOD(HLG_04[[#This Row],[Rit]],
    _xlfn.XLOOKUP($G$2,Int_Sample[Ore],Int_Sample[Inc])) = 0, "YES", "NO"),"")</f>
        <v/>
      </c>
      <c r="I529" s="32" t="str">
        <f>TEXT(HLG_04[[#This Row],[Batch]],"000")&amp; " / " &amp; TEXT(HLG_04[[#This Row],[Rit]],"000")</f>
        <v>N/A / 000</v>
      </c>
      <c r="J529" s="34"/>
      <c r="K529" s="38"/>
      <c r="L529" s="35"/>
      <c r="M529" s="66"/>
      <c r="N529" s="66"/>
      <c r="O529" s="66"/>
      <c r="P529" s="66"/>
      <c r="Q529" s="66"/>
      <c r="R529" s="67"/>
      <c r="S529" s="67"/>
      <c r="T529" s="67"/>
      <c r="U529" s="66"/>
      <c r="V529" s="66"/>
      <c r="W529" s="66"/>
      <c r="X529" s="85"/>
      <c r="AP529" t="str">
        <v/>
      </c>
    </row>
    <row r="530" spans="4:42" ht="15.75" x14ac:dyDescent="0.25">
      <c r="D530" s="3">
        <v>1</v>
      </c>
      <c r="F530" s="16" t="str" cm="1">
        <f t="array" ref="F5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0" s="31" cm="1">
        <f t="array" ref="G5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0" s="33" t="str">
        <f>_xlfn.IFNA(IF(MOD(HLG_04[[#This Row],[Rit]],
    _xlfn.XLOOKUP($G$2,Int_Sample[Ore],Int_Sample[Inc])) = 0, "YES", "NO"),"")</f>
        <v/>
      </c>
      <c r="I530" s="32" t="str">
        <f>TEXT(HLG_04[[#This Row],[Batch]],"000")&amp; " / " &amp; TEXT(HLG_04[[#This Row],[Rit]],"000")</f>
        <v>N/A / 000</v>
      </c>
      <c r="J530" s="34"/>
      <c r="K530" s="38"/>
      <c r="L530" s="35"/>
      <c r="M530" s="66"/>
      <c r="N530" s="66"/>
      <c r="O530" s="66"/>
      <c r="P530" s="66"/>
      <c r="Q530" s="66"/>
      <c r="R530" s="67"/>
      <c r="S530" s="67"/>
      <c r="T530" s="67"/>
      <c r="U530" s="66"/>
      <c r="V530" s="66"/>
      <c r="W530" s="66"/>
      <c r="X530" s="85"/>
      <c r="AP530" t="str">
        <v/>
      </c>
    </row>
    <row r="531" spans="4:42" ht="15.75" x14ac:dyDescent="0.25">
      <c r="D531" s="3">
        <v>1</v>
      </c>
      <c r="F531" s="16" t="str" cm="1">
        <f t="array" ref="F5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1" s="31" cm="1">
        <f t="array" ref="G5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1" s="33" t="str">
        <f>_xlfn.IFNA(IF(MOD(HLG_04[[#This Row],[Rit]],
    _xlfn.XLOOKUP($G$2,Int_Sample[Ore],Int_Sample[Inc])) = 0, "YES", "NO"),"")</f>
        <v/>
      </c>
      <c r="I531" s="32" t="str">
        <f>TEXT(HLG_04[[#This Row],[Batch]],"000")&amp; " / " &amp; TEXT(HLG_04[[#This Row],[Rit]],"000")</f>
        <v>N/A / 000</v>
      </c>
      <c r="J531" s="34"/>
      <c r="K531" s="38"/>
      <c r="L531" s="35"/>
      <c r="M531" s="66"/>
      <c r="N531" s="66"/>
      <c r="O531" s="66"/>
      <c r="P531" s="66"/>
      <c r="Q531" s="66"/>
      <c r="R531" s="67"/>
      <c r="S531" s="67"/>
      <c r="T531" s="67"/>
      <c r="U531" s="66"/>
      <c r="V531" s="66"/>
      <c r="W531" s="66"/>
      <c r="X531" s="85"/>
      <c r="AP531" t="str">
        <v/>
      </c>
    </row>
    <row r="532" spans="4:42" ht="15.75" x14ac:dyDescent="0.25">
      <c r="D532" s="3">
        <v>1</v>
      </c>
      <c r="F532" s="16" t="str" cm="1">
        <f t="array" ref="F5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2" s="31" cm="1">
        <f t="array" ref="G5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2" s="33" t="str">
        <f>_xlfn.IFNA(IF(MOD(HLG_04[[#This Row],[Rit]],
    _xlfn.XLOOKUP($G$2,Int_Sample[Ore],Int_Sample[Inc])) = 0, "YES", "NO"),"")</f>
        <v/>
      </c>
      <c r="I532" s="32" t="str">
        <f>TEXT(HLG_04[[#This Row],[Batch]],"000")&amp; " / " &amp; TEXT(HLG_04[[#This Row],[Rit]],"000")</f>
        <v>N/A / 000</v>
      </c>
      <c r="J532" s="34"/>
      <c r="K532" s="38"/>
      <c r="L532" s="35"/>
      <c r="M532" s="66"/>
      <c r="N532" s="66"/>
      <c r="O532" s="66"/>
      <c r="P532" s="66"/>
      <c r="Q532" s="66"/>
      <c r="R532" s="67"/>
      <c r="S532" s="67"/>
      <c r="T532" s="67"/>
      <c r="U532" s="66"/>
      <c r="V532" s="66"/>
      <c r="W532" s="66"/>
      <c r="X532" s="85"/>
      <c r="AP532" t="str">
        <v/>
      </c>
    </row>
    <row r="533" spans="4:42" ht="15.75" x14ac:dyDescent="0.25">
      <c r="D533" s="3">
        <v>1</v>
      </c>
      <c r="F533" s="16" t="str" cm="1">
        <f t="array" ref="F5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3" s="31" cm="1">
        <f t="array" ref="G5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3" s="33" t="str">
        <f>_xlfn.IFNA(IF(MOD(HLG_04[[#This Row],[Rit]],
    _xlfn.XLOOKUP($G$2,Int_Sample[Ore],Int_Sample[Inc])) = 0, "YES", "NO"),"")</f>
        <v/>
      </c>
      <c r="I533" s="32" t="str">
        <f>TEXT(HLG_04[[#This Row],[Batch]],"000")&amp; " / " &amp; TEXT(HLG_04[[#This Row],[Rit]],"000")</f>
        <v>N/A / 000</v>
      </c>
      <c r="J533" s="34"/>
      <c r="K533" s="38"/>
      <c r="L533" s="35"/>
      <c r="M533" s="66"/>
      <c r="N533" s="66"/>
      <c r="O533" s="66"/>
      <c r="P533" s="66"/>
      <c r="Q533" s="66"/>
      <c r="R533" s="67"/>
      <c r="S533" s="67"/>
      <c r="T533" s="67"/>
      <c r="U533" s="66"/>
      <c r="V533" s="66"/>
      <c r="W533" s="66"/>
      <c r="X533" s="85"/>
      <c r="AP533" t="str">
        <v/>
      </c>
    </row>
    <row r="534" spans="4:42" ht="15.75" x14ac:dyDescent="0.25">
      <c r="D534" s="3">
        <v>1</v>
      </c>
      <c r="F534" s="16" t="str" cm="1">
        <f t="array" ref="F5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4" s="31" cm="1">
        <f t="array" ref="G5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4" s="33" t="str">
        <f>_xlfn.IFNA(IF(MOD(HLG_04[[#This Row],[Rit]],
    _xlfn.XLOOKUP($G$2,Int_Sample[Ore],Int_Sample[Inc])) = 0, "YES", "NO"),"")</f>
        <v/>
      </c>
      <c r="I534" s="32" t="str">
        <f>TEXT(HLG_04[[#This Row],[Batch]],"000")&amp; " / " &amp; TEXT(HLG_04[[#This Row],[Rit]],"000")</f>
        <v>N/A / 000</v>
      </c>
      <c r="J534" s="34"/>
      <c r="K534" s="38"/>
      <c r="L534" s="35"/>
      <c r="M534" s="66"/>
      <c r="N534" s="66"/>
      <c r="O534" s="66"/>
      <c r="P534" s="66"/>
      <c r="Q534" s="66"/>
      <c r="R534" s="67"/>
      <c r="S534" s="67"/>
      <c r="T534" s="67"/>
      <c r="U534" s="66"/>
      <c r="V534" s="66"/>
      <c r="W534" s="66"/>
      <c r="X534" s="85"/>
      <c r="AP534" t="str">
        <v/>
      </c>
    </row>
    <row r="535" spans="4:42" ht="15.75" x14ac:dyDescent="0.25">
      <c r="D535" s="3">
        <v>1</v>
      </c>
      <c r="F535" s="16" t="str" cm="1">
        <f t="array" ref="F5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5" s="31" cm="1">
        <f t="array" ref="G5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5" s="33" t="str">
        <f>_xlfn.IFNA(IF(MOD(HLG_04[[#This Row],[Rit]],
    _xlfn.XLOOKUP($G$2,Int_Sample[Ore],Int_Sample[Inc])) = 0, "YES", "NO"),"")</f>
        <v/>
      </c>
      <c r="I535" s="32" t="str">
        <f>TEXT(HLG_04[[#This Row],[Batch]],"000")&amp; " / " &amp; TEXT(HLG_04[[#This Row],[Rit]],"000")</f>
        <v>N/A / 000</v>
      </c>
      <c r="J535" s="34"/>
      <c r="K535" s="38"/>
      <c r="L535" s="35"/>
      <c r="M535" s="66"/>
      <c r="N535" s="66"/>
      <c r="O535" s="66"/>
      <c r="P535" s="66"/>
      <c r="Q535" s="66"/>
      <c r="R535" s="67"/>
      <c r="S535" s="67"/>
      <c r="T535" s="67"/>
      <c r="U535" s="66"/>
      <c r="V535" s="66"/>
      <c r="W535" s="66"/>
      <c r="X535" s="85"/>
      <c r="AP535" t="str">
        <v/>
      </c>
    </row>
    <row r="536" spans="4:42" ht="15.75" x14ac:dyDescent="0.25">
      <c r="D536" s="3">
        <v>1</v>
      </c>
      <c r="F536" s="16" t="str" cm="1">
        <f t="array" ref="F5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6" s="31" cm="1">
        <f t="array" ref="G5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6" s="33" t="str">
        <f>_xlfn.IFNA(IF(MOD(HLG_04[[#This Row],[Rit]],
    _xlfn.XLOOKUP($G$2,Int_Sample[Ore],Int_Sample[Inc])) = 0, "YES", "NO"),"")</f>
        <v/>
      </c>
      <c r="I536" s="32" t="str">
        <f>TEXT(HLG_04[[#This Row],[Batch]],"000")&amp; " / " &amp; TEXT(HLG_04[[#This Row],[Rit]],"000")</f>
        <v>N/A / 000</v>
      </c>
      <c r="J536" s="34"/>
      <c r="K536" s="38"/>
      <c r="L536" s="35"/>
      <c r="M536" s="66"/>
      <c r="N536" s="66"/>
      <c r="O536" s="66"/>
      <c r="P536" s="66"/>
      <c r="Q536" s="66"/>
      <c r="R536" s="67"/>
      <c r="S536" s="67"/>
      <c r="T536" s="67"/>
      <c r="U536" s="66"/>
      <c r="V536" s="66"/>
      <c r="W536" s="66"/>
      <c r="X536" s="85"/>
      <c r="AP536" t="str">
        <v/>
      </c>
    </row>
    <row r="537" spans="4:42" ht="15.75" x14ac:dyDescent="0.25">
      <c r="D537" s="3">
        <v>1</v>
      </c>
      <c r="F537" s="16" t="str" cm="1">
        <f t="array" ref="F5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7" s="31" cm="1">
        <f t="array" ref="G5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7" s="33" t="str">
        <f>_xlfn.IFNA(IF(MOD(HLG_04[[#This Row],[Rit]],
    _xlfn.XLOOKUP($G$2,Int_Sample[Ore],Int_Sample[Inc])) = 0, "YES", "NO"),"")</f>
        <v/>
      </c>
      <c r="I537" s="32" t="str">
        <f>TEXT(HLG_04[[#This Row],[Batch]],"000")&amp; " / " &amp; TEXT(HLG_04[[#This Row],[Rit]],"000")</f>
        <v>N/A / 000</v>
      </c>
      <c r="J537" s="34"/>
      <c r="K537" s="38"/>
      <c r="L537" s="35"/>
      <c r="M537" s="66"/>
      <c r="N537" s="66"/>
      <c r="O537" s="66"/>
      <c r="P537" s="66"/>
      <c r="Q537" s="66"/>
      <c r="R537" s="67"/>
      <c r="S537" s="67"/>
      <c r="T537" s="67"/>
      <c r="U537" s="66"/>
      <c r="V537" s="66"/>
      <c r="W537" s="66"/>
      <c r="X537" s="85"/>
      <c r="AP537" t="str">
        <v/>
      </c>
    </row>
    <row r="538" spans="4:42" ht="15.75" x14ac:dyDescent="0.25">
      <c r="D538" s="3">
        <v>1</v>
      </c>
      <c r="F538" s="16" t="str" cm="1">
        <f t="array" ref="F5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8" s="31" cm="1">
        <f t="array" ref="G5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8" s="33" t="str">
        <f>_xlfn.IFNA(IF(MOD(HLG_04[[#This Row],[Rit]],
    _xlfn.XLOOKUP($G$2,Int_Sample[Ore],Int_Sample[Inc])) = 0, "YES", "NO"),"")</f>
        <v/>
      </c>
      <c r="I538" s="32" t="str">
        <f>TEXT(HLG_04[[#This Row],[Batch]],"000")&amp; " / " &amp; TEXT(HLG_04[[#This Row],[Rit]],"000")</f>
        <v>N/A / 000</v>
      </c>
      <c r="J538" s="34"/>
      <c r="K538" s="38"/>
      <c r="L538" s="35"/>
      <c r="M538" s="66"/>
      <c r="N538" s="66"/>
      <c r="O538" s="66"/>
      <c r="P538" s="66"/>
      <c r="Q538" s="66"/>
      <c r="R538" s="67"/>
      <c r="S538" s="67"/>
      <c r="T538" s="67"/>
      <c r="U538" s="66"/>
      <c r="V538" s="66"/>
      <c r="W538" s="66"/>
      <c r="X538" s="85"/>
      <c r="AP538" t="str">
        <v/>
      </c>
    </row>
    <row r="539" spans="4:42" ht="15.75" x14ac:dyDescent="0.25">
      <c r="D539" s="3">
        <v>1</v>
      </c>
      <c r="F539" s="16" t="str" cm="1">
        <f t="array" ref="F5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9" s="31" cm="1">
        <f t="array" ref="G5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9" s="33" t="str">
        <f>_xlfn.IFNA(IF(MOD(HLG_04[[#This Row],[Rit]],
    _xlfn.XLOOKUP($G$2,Int_Sample[Ore],Int_Sample[Inc])) = 0, "YES", "NO"),"")</f>
        <v/>
      </c>
      <c r="I539" s="32" t="str">
        <f>TEXT(HLG_04[[#This Row],[Batch]],"000")&amp; " / " &amp; TEXT(HLG_04[[#This Row],[Rit]],"000")</f>
        <v>N/A / 000</v>
      </c>
      <c r="J539" s="34"/>
      <c r="K539" s="38"/>
      <c r="L539" s="35"/>
      <c r="M539" s="66"/>
      <c r="N539" s="66"/>
      <c r="O539" s="66"/>
      <c r="P539" s="66"/>
      <c r="Q539" s="66"/>
      <c r="R539" s="67"/>
      <c r="S539" s="67"/>
      <c r="T539" s="67"/>
      <c r="U539" s="66"/>
      <c r="V539" s="66"/>
      <c r="W539" s="66"/>
      <c r="X539" s="85"/>
      <c r="AP539" t="str">
        <v/>
      </c>
    </row>
    <row r="540" spans="4:42" ht="15.75" x14ac:dyDescent="0.25">
      <c r="D540" s="3">
        <v>1</v>
      </c>
      <c r="F540" s="16" t="str" cm="1">
        <f t="array" ref="F5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0" s="31" cm="1">
        <f t="array" ref="G5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0" s="33" t="str">
        <f>_xlfn.IFNA(IF(MOD(HLG_04[[#This Row],[Rit]],
    _xlfn.XLOOKUP($G$2,Int_Sample[Ore],Int_Sample[Inc])) = 0, "YES", "NO"),"")</f>
        <v/>
      </c>
      <c r="I540" s="32" t="str">
        <f>TEXT(HLG_04[[#This Row],[Batch]],"000")&amp; " / " &amp; TEXT(HLG_04[[#This Row],[Rit]],"000")</f>
        <v>N/A / 000</v>
      </c>
      <c r="J540" s="34"/>
      <c r="K540" s="38"/>
      <c r="L540" s="35"/>
      <c r="M540" s="66"/>
      <c r="N540" s="66"/>
      <c r="O540" s="66"/>
      <c r="P540" s="66"/>
      <c r="Q540" s="66"/>
      <c r="R540" s="67"/>
      <c r="S540" s="67"/>
      <c r="T540" s="67"/>
      <c r="U540" s="66"/>
      <c r="V540" s="66"/>
      <c r="W540" s="66"/>
      <c r="X540" s="85"/>
      <c r="AP540" t="str">
        <v/>
      </c>
    </row>
    <row r="541" spans="4:42" ht="15.75" x14ac:dyDescent="0.25">
      <c r="D541" s="3">
        <v>1</v>
      </c>
      <c r="F541" s="16" t="str" cm="1">
        <f t="array" ref="F5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1" s="31" cm="1">
        <f t="array" ref="G5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1" s="33" t="str">
        <f>_xlfn.IFNA(IF(MOD(HLG_04[[#This Row],[Rit]],
    _xlfn.XLOOKUP($G$2,Int_Sample[Ore],Int_Sample[Inc])) = 0, "YES", "NO"),"")</f>
        <v/>
      </c>
      <c r="I541" s="32" t="str">
        <f>TEXT(HLG_04[[#This Row],[Batch]],"000")&amp; " / " &amp; TEXT(HLG_04[[#This Row],[Rit]],"000")</f>
        <v>N/A / 000</v>
      </c>
      <c r="J541" s="34"/>
      <c r="K541" s="38"/>
      <c r="L541" s="35"/>
      <c r="M541" s="66"/>
      <c r="N541" s="66"/>
      <c r="O541" s="66"/>
      <c r="P541" s="66"/>
      <c r="Q541" s="66"/>
      <c r="R541" s="67"/>
      <c r="S541" s="67"/>
      <c r="T541" s="67"/>
      <c r="U541" s="66"/>
      <c r="V541" s="66"/>
      <c r="W541" s="66"/>
      <c r="X541" s="85"/>
      <c r="AP541" t="str">
        <v/>
      </c>
    </row>
    <row r="542" spans="4:42" ht="15.75" x14ac:dyDescent="0.25">
      <c r="D542" s="3">
        <v>1</v>
      </c>
      <c r="F542" s="16" t="str" cm="1">
        <f t="array" ref="F5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2" s="31" cm="1">
        <f t="array" ref="G5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2" s="33" t="str">
        <f>_xlfn.IFNA(IF(MOD(HLG_04[[#This Row],[Rit]],
    _xlfn.XLOOKUP($G$2,Int_Sample[Ore],Int_Sample[Inc])) = 0, "YES", "NO"),"")</f>
        <v/>
      </c>
      <c r="I542" s="32" t="str">
        <f>TEXT(HLG_04[[#This Row],[Batch]],"000")&amp; " / " &amp; TEXT(HLG_04[[#This Row],[Rit]],"000")</f>
        <v>N/A / 000</v>
      </c>
      <c r="J542" s="34"/>
      <c r="K542" s="38"/>
      <c r="L542" s="35"/>
      <c r="M542" s="66"/>
      <c r="N542" s="66"/>
      <c r="O542" s="66"/>
      <c r="P542" s="66"/>
      <c r="Q542" s="66"/>
      <c r="R542" s="67"/>
      <c r="S542" s="67"/>
      <c r="T542" s="67"/>
      <c r="U542" s="66"/>
      <c r="V542" s="66"/>
      <c r="W542" s="66"/>
      <c r="X542" s="85"/>
      <c r="AP542" t="str">
        <v/>
      </c>
    </row>
    <row r="543" spans="4:42" ht="15.75" x14ac:dyDescent="0.25">
      <c r="D543" s="3">
        <v>1</v>
      </c>
      <c r="F543" s="16" t="str" cm="1">
        <f t="array" ref="F5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3" s="31" cm="1">
        <f t="array" ref="G5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3" s="33" t="str">
        <f>_xlfn.IFNA(IF(MOD(HLG_04[[#This Row],[Rit]],
    _xlfn.XLOOKUP($G$2,Int_Sample[Ore],Int_Sample[Inc])) = 0, "YES", "NO"),"")</f>
        <v/>
      </c>
      <c r="I543" s="32" t="str">
        <f>TEXT(HLG_04[[#This Row],[Batch]],"000")&amp; " / " &amp; TEXT(HLG_04[[#This Row],[Rit]],"000")</f>
        <v>N/A / 000</v>
      </c>
      <c r="J543" s="34"/>
      <c r="K543" s="38"/>
      <c r="L543" s="35"/>
      <c r="M543" s="66"/>
      <c r="N543" s="66"/>
      <c r="O543" s="66"/>
      <c r="P543" s="66"/>
      <c r="Q543" s="66"/>
      <c r="R543" s="67"/>
      <c r="S543" s="67"/>
      <c r="T543" s="67"/>
      <c r="U543" s="66"/>
      <c r="V543" s="66"/>
      <c r="W543" s="66"/>
      <c r="X543" s="85"/>
      <c r="AP543" t="str">
        <v/>
      </c>
    </row>
    <row r="544" spans="4:42" ht="15.75" x14ac:dyDescent="0.25">
      <c r="D544" s="3">
        <v>1</v>
      </c>
      <c r="F544" s="16" t="str" cm="1">
        <f t="array" ref="F5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4" s="31" cm="1">
        <f t="array" ref="G5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4" s="33" t="str">
        <f>_xlfn.IFNA(IF(MOD(HLG_04[[#This Row],[Rit]],
    _xlfn.XLOOKUP($G$2,Int_Sample[Ore],Int_Sample[Inc])) = 0, "YES", "NO"),"")</f>
        <v/>
      </c>
      <c r="I544" s="32" t="str">
        <f>TEXT(HLG_04[[#This Row],[Batch]],"000")&amp; " / " &amp; TEXT(HLG_04[[#This Row],[Rit]],"000")</f>
        <v>N/A / 000</v>
      </c>
      <c r="J544" s="34"/>
      <c r="K544" s="38"/>
      <c r="L544" s="35"/>
      <c r="M544" s="66"/>
      <c r="N544" s="66"/>
      <c r="O544" s="66"/>
      <c r="P544" s="66"/>
      <c r="Q544" s="66"/>
      <c r="R544" s="67"/>
      <c r="S544" s="67"/>
      <c r="T544" s="67"/>
      <c r="U544" s="66"/>
      <c r="V544" s="66"/>
      <c r="W544" s="66"/>
      <c r="X544" s="85"/>
      <c r="AP544" t="str">
        <v/>
      </c>
    </row>
    <row r="545" spans="4:42" ht="15.75" x14ac:dyDescent="0.25">
      <c r="D545" s="3">
        <v>1</v>
      </c>
      <c r="F545" s="16" t="str" cm="1">
        <f t="array" ref="F5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5" s="31" cm="1">
        <f t="array" ref="G5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5" s="33" t="str">
        <f>_xlfn.IFNA(IF(MOD(HLG_04[[#This Row],[Rit]],
    _xlfn.XLOOKUP($G$2,Int_Sample[Ore],Int_Sample[Inc])) = 0, "YES", "NO"),"")</f>
        <v/>
      </c>
      <c r="I545" s="32" t="str">
        <f>TEXT(HLG_04[[#This Row],[Batch]],"000")&amp; " / " &amp; TEXT(HLG_04[[#This Row],[Rit]],"000")</f>
        <v>N/A / 000</v>
      </c>
      <c r="J545" s="34"/>
      <c r="K545" s="38"/>
      <c r="L545" s="35"/>
      <c r="M545" s="66"/>
      <c r="N545" s="66"/>
      <c r="O545" s="66"/>
      <c r="P545" s="66"/>
      <c r="Q545" s="66"/>
      <c r="R545" s="67"/>
      <c r="S545" s="67"/>
      <c r="T545" s="67"/>
      <c r="U545" s="66"/>
      <c r="V545" s="66"/>
      <c r="W545" s="66"/>
      <c r="X545" s="85"/>
      <c r="AP545" t="str">
        <v/>
      </c>
    </row>
    <row r="546" spans="4:42" ht="15.75" x14ac:dyDescent="0.25">
      <c r="D546" s="3">
        <v>1</v>
      </c>
      <c r="F546" s="16" t="str" cm="1">
        <f t="array" ref="F5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6" s="31" cm="1">
        <f t="array" ref="G5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6" s="33" t="str">
        <f>_xlfn.IFNA(IF(MOD(HLG_04[[#This Row],[Rit]],
    _xlfn.XLOOKUP($G$2,Int_Sample[Ore],Int_Sample[Inc])) = 0, "YES", "NO"),"")</f>
        <v/>
      </c>
      <c r="I546" s="32" t="str">
        <f>TEXT(HLG_04[[#This Row],[Batch]],"000")&amp; " / " &amp; TEXT(HLG_04[[#This Row],[Rit]],"000")</f>
        <v>N/A / 000</v>
      </c>
      <c r="J546" s="34"/>
      <c r="K546" s="38"/>
      <c r="L546" s="35"/>
      <c r="M546" s="66"/>
      <c r="N546" s="66"/>
      <c r="O546" s="66"/>
      <c r="P546" s="66"/>
      <c r="Q546" s="66"/>
      <c r="R546" s="67"/>
      <c r="S546" s="67"/>
      <c r="T546" s="67"/>
      <c r="U546" s="66"/>
      <c r="V546" s="66"/>
      <c r="W546" s="66"/>
      <c r="X546" s="85"/>
      <c r="AP546" t="str">
        <v/>
      </c>
    </row>
    <row r="547" spans="4:42" ht="15.75" x14ac:dyDescent="0.25">
      <c r="D547" s="3">
        <v>1</v>
      </c>
      <c r="F547" s="16" t="str" cm="1">
        <f t="array" ref="F5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7" s="31" cm="1">
        <f t="array" ref="G5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7" s="33" t="str">
        <f>_xlfn.IFNA(IF(MOD(HLG_04[[#This Row],[Rit]],
    _xlfn.XLOOKUP($G$2,Int_Sample[Ore],Int_Sample[Inc])) = 0, "YES", "NO"),"")</f>
        <v/>
      </c>
      <c r="I547" s="32" t="str">
        <f>TEXT(HLG_04[[#This Row],[Batch]],"000")&amp; " / " &amp; TEXT(HLG_04[[#This Row],[Rit]],"000")</f>
        <v>N/A / 000</v>
      </c>
      <c r="J547" s="34"/>
      <c r="K547" s="38"/>
      <c r="L547" s="35"/>
      <c r="M547" s="66"/>
      <c r="N547" s="66"/>
      <c r="O547" s="66"/>
      <c r="P547" s="66"/>
      <c r="Q547" s="66"/>
      <c r="R547" s="67"/>
      <c r="S547" s="67"/>
      <c r="T547" s="67"/>
      <c r="U547" s="66"/>
      <c r="V547" s="66"/>
      <c r="W547" s="66"/>
      <c r="X547" s="85"/>
      <c r="AP547" t="str">
        <v/>
      </c>
    </row>
    <row r="548" spans="4:42" ht="15.75" x14ac:dyDescent="0.25">
      <c r="D548" s="3">
        <v>1</v>
      </c>
      <c r="F548" s="16" t="str" cm="1">
        <f t="array" ref="F5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8" s="31" cm="1">
        <f t="array" ref="G5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8" s="33" t="str">
        <f>_xlfn.IFNA(IF(MOD(HLG_04[[#This Row],[Rit]],
    _xlfn.XLOOKUP($G$2,Int_Sample[Ore],Int_Sample[Inc])) = 0, "YES", "NO"),"")</f>
        <v/>
      </c>
      <c r="I548" s="32" t="str">
        <f>TEXT(HLG_04[[#This Row],[Batch]],"000")&amp; " / " &amp; TEXT(HLG_04[[#This Row],[Rit]],"000")</f>
        <v>N/A / 000</v>
      </c>
      <c r="J548" s="34"/>
      <c r="K548" s="38"/>
      <c r="L548" s="35"/>
      <c r="M548" s="66"/>
      <c r="N548" s="66"/>
      <c r="O548" s="66"/>
      <c r="P548" s="66"/>
      <c r="Q548" s="66"/>
      <c r="R548" s="67"/>
      <c r="S548" s="67"/>
      <c r="T548" s="67"/>
      <c r="U548" s="66"/>
      <c r="V548" s="66"/>
      <c r="W548" s="66"/>
      <c r="X548" s="85"/>
      <c r="AP548" t="str">
        <v/>
      </c>
    </row>
    <row r="549" spans="4:42" ht="15.75" x14ac:dyDescent="0.25">
      <c r="D549" s="3">
        <v>1</v>
      </c>
      <c r="F549" s="16" t="str" cm="1">
        <f t="array" ref="F5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9" s="31" cm="1">
        <f t="array" ref="G5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9" s="33" t="str">
        <f>_xlfn.IFNA(IF(MOD(HLG_04[[#This Row],[Rit]],
    _xlfn.XLOOKUP($G$2,Int_Sample[Ore],Int_Sample[Inc])) = 0, "YES", "NO"),"")</f>
        <v/>
      </c>
      <c r="I549" s="32" t="str">
        <f>TEXT(HLG_04[[#This Row],[Batch]],"000")&amp; " / " &amp; TEXT(HLG_04[[#This Row],[Rit]],"000")</f>
        <v>N/A / 000</v>
      </c>
      <c r="J549" s="34"/>
      <c r="K549" s="38"/>
      <c r="L549" s="35"/>
      <c r="M549" s="66"/>
      <c r="N549" s="66"/>
      <c r="O549" s="66"/>
      <c r="P549" s="66"/>
      <c r="Q549" s="66"/>
      <c r="R549" s="67"/>
      <c r="S549" s="67"/>
      <c r="T549" s="67"/>
      <c r="U549" s="66"/>
      <c r="V549" s="66"/>
      <c r="W549" s="66"/>
      <c r="X549" s="85"/>
      <c r="AP549" t="str">
        <v/>
      </c>
    </row>
    <row r="550" spans="4:42" ht="15.75" x14ac:dyDescent="0.25">
      <c r="D550" s="3">
        <v>1</v>
      </c>
      <c r="F550" s="16" t="str" cm="1">
        <f t="array" ref="F5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0" s="31" cm="1">
        <f t="array" ref="G5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0" s="33" t="str">
        <f>_xlfn.IFNA(IF(MOD(HLG_04[[#This Row],[Rit]],
    _xlfn.XLOOKUP($G$2,Int_Sample[Ore],Int_Sample[Inc])) = 0, "YES", "NO"),"")</f>
        <v/>
      </c>
      <c r="I550" s="32" t="str">
        <f>TEXT(HLG_04[[#This Row],[Batch]],"000")&amp; " / " &amp; TEXT(HLG_04[[#This Row],[Rit]],"000")</f>
        <v>N/A / 000</v>
      </c>
      <c r="J550" s="34"/>
      <c r="K550" s="38"/>
      <c r="L550" s="35"/>
      <c r="M550" s="66"/>
      <c r="N550" s="66"/>
      <c r="O550" s="66"/>
      <c r="P550" s="66"/>
      <c r="Q550" s="66"/>
      <c r="R550" s="67"/>
      <c r="S550" s="67"/>
      <c r="T550" s="67"/>
      <c r="U550" s="66"/>
      <c r="V550" s="66"/>
      <c r="W550" s="66"/>
      <c r="X550" s="85"/>
      <c r="AP550" t="str">
        <v/>
      </c>
    </row>
    <row r="551" spans="4:42" ht="15.75" x14ac:dyDescent="0.25">
      <c r="D551" s="3">
        <v>1</v>
      </c>
      <c r="F551" s="16" t="str" cm="1">
        <f t="array" ref="F5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1" s="31" cm="1">
        <f t="array" ref="G5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1" s="33" t="str">
        <f>_xlfn.IFNA(IF(MOD(HLG_04[[#This Row],[Rit]],
    _xlfn.XLOOKUP($G$2,Int_Sample[Ore],Int_Sample[Inc])) = 0, "YES", "NO"),"")</f>
        <v/>
      </c>
      <c r="I551" s="32" t="str">
        <f>TEXT(HLG_04[[#This Row],[Batch]],"000")&amp; " / " &amp; TEXT(HLG_04[[#This Row],[Rit]],"000")</f>
        <v>N/A / 000</v>
      </c>
      <c r="J551" s="34"/>
      <c r="K551" s="38"/>
      <c r="L551" s="35"/>
      <c r="M551" s="66"/>
      <c r="N551" s="66"/>
      <c r="O551" s="66"/>
      <c r="P551" s="66"/>
      <c r="Q551" s="66"/>
      <c r="R551" s="67"/>
      <c r="S551" s="67"/>
      <c r="T551" s="67"/>
      <c r="U551" s="66"/>
      <c r="V551" s="66"/>
      <c r="W551" s="66"/>
      <c r="X551" s="85"/>
      <c r="AP551" t="str">
        <v/>
      </c>
    </row>
    <row r="552" spans="4:42" ht="15.75" x14ac:dyDescent="0.25">
      <c r="D552" s="3">
        <v>1</v>
      </c>
      <c r="F552" s="16" t="str" cm="1">
        <f t="array" ref="F5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2" s="31" cm="1">
        <f t="array" ref="G5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2" s="33" t="str">
        <f>_xlfn.IFNA(IF(MOD(HLG_04[[#This Row],[Rit]],
    _xlfn.XLOOKUP($G$2,Int_Sample[Ore],Int_Sample[Inc])) = 0, "YES", "NO"),"")</f>
        <v/>
      </c>
      <c r="I552" s="32" t="str">
        <f>TEXT(HLG_04[[#This Row],[Batch]],"000")&amp; " / " &amp; TEXT(HLG_04[[#This Row],[Rit]],"000")</f>
        <v>N/A / 000</v>
      </c>
      <c r="J552" s="34"/>
      <c r="K552" s="38"/>
      <c r="L552" s="35"/>
      <c r="M552" s="66"/>
      <c r="N552" s="66"/>
      <c r="O552" s="66"/>
      <c r="P552" s="66"/>
      <c r="Q552" s="66"/>
      <c r="R552" s="67"/>
      <c r="S552" s="67"/>
      <c r="T552" s="67"/>
      <c r="U552" s="66"/>
      <c r="V552" s="66"/>
      <c r="W552" s="66"/>
      <c r="X552" s="85"/>
      <c r="AP552" t="str">
        <v/>
      </c>
    </row>
    <row r="553" spans="4:42" ht="15.75" x14ac:dyDescent="0.25">
      <c r="D553" s="3">
        <v>1</v>
      </c>
      <c r="F553" s="16" t="str" cm="1">
        <f t="array" ref="F5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3" s="31" cm="1">
        <f t="array" ref="G5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3" s="33" t="str">
        <f>_xlfn.IFNA(IF(MOD(HLG_04[[#This Row],[Rit]],
    _xlfn.XLOOKUP($G$2,Int_Sample[Ore],Int_Sample[Inc])) = 0, "YES", "NO"),"")</f>
        <v/>
      </c>
      <c r="I553" s="32" t="str">
        <f>TEXT(HLG_04[[#This Row],[Batch]],"000")&amp; " / " &amp; TEXT(HLG_04[[#This Row],[Rit]],"000")</f>
        <v>N/A / 000</v>
      </c>
      <c r="J553" s="34"/>
      <c r="K553" s="38"/>
      <c r="L553" s="35"/>
      <c r="M553" s="66"/>
      <c r="N553" s="66"/>
      <c r="O553" s="66"/>
      <c r="P553" s="66"/>
      <c r="Q553" s="66"/>
      <c r="R553" s="67"/>
      <c r="S553" s="67"/>
      <c r="T553" s="67"/>
      <c r="U553" s="66"/>
      <c r="V553" s="66"/>
      <c r="W553" s="66"/>
      <c r="X553" s="85"/>
      <c r="AP553" t="str">
        <v/>
      </c>
    </row>
    <row r="554" spans="4:42" ht="15.75" x14ac:dyDescent="0.25">
      <c r="D554" s="3">
        <v>1</v>
      </c>
      <c r="F554" s="16" t="str" cm="1">
        <f t="array" ref="F5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4" s="31" cm="1">
        <f t="array" ref="G5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4" s="33" t="str">
        <f>_xlfn.IFNA(IF(MOD(HLG_04[[#This Row],[Rit]],
    _xlfn.XLOOKUP($G$2,Int_Sample[Ore],Int_Sample[Inc])) = 0, "YES", "NO"),"")</f>
        <v/>
      </c>
      <c r="I554" s="32" t="str">
        <f>TEXT(HLG_04[[#This Row],[Batch]],"000")&amp; " / " &amp; TEXT(HLG_04[[#This Row],[Rit]],"000")</f>
        <v>N/A / 000</v>
      </c>
      <c r="J554" s="34"/>
      <c r="K554" s="38"/>
      <c r="L554" s="35"/>
      <c r="M554" s="66"/>
      <c r="N554" s="66"/>
      <c r="O554" s="66"/>
      <c r="P554" s="66"/>
      <c r="Q554" s="66"/>
      <c r="R554" s="67"/>
      <c r="S554" s="67"/>
      <c r="T554" s="67"/>
      <c r="U554" s="66"/>
      <c r="V554" s="66"/>
      <c r="W554" s="66"/>
      <c r="X554" s="85"/>
      <c r="AP554" t="str">
        <v/>
      </c>
    </row>
    <row r="555" spans="4:42" ht="15.75" x14ac:dyDescent="0.25">
      <c r="D555" s="3">
        <v>1</v>
      </c>
      <c r="F555" s="16" t="str" cm="1">
        <f t="array" ref="F5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5" s="31" cm="1">
        <f t="array" ref="G5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5" s="33" t="str">
        <f>_xlfn.IFNA(IF(MOD(HLG_04[[#This Row],[Rit]],
    _xlfn.XLOOKUP($G$2,Int_Sample[Ore],Int_Sample[Inc])) = 0, "YES", "NO"),"")</f>
        <v/>
      </c>
      <c r="I555" s="32" t="str">
        <f>TEXT(HLG_04[[#This Row],[Batch]],"000")&amp; " / " &amp; TEXT(HLG_04[[#This Row],[Rit]],"000")</f>
        <v>N/A / 000</v>
      </c>
      <c r="J555" s="34"/>
      <c r="K555" s="38"/>
      <c r="L555" s="35"/>
      <c r="M555" s="66"/>
      <c r="N555" s="66"/>
      <c r="O555" s="66"/>
      <c r="P555" s="66"/>
      <c r="Q555" s="66"/>
      <c r="R555" s="67"/>
      <c r="S555" s="67"/>
      <c r="T555" s="67"/>
      <c r="U555" s="66"/>
      <c r="V555" s="66"/>
      <c r="W555" s="66"/>
      <c r="X555" s="85"/>
      <c r="AP555" t="str">
        <v/>
      </c>
    </row>
    <row r="556" spans="4:42" ht="15.75" x14ac:dyDescent="0.25">
      <c r="D556" s="3">
        <v>1</v>
      </c>
      <c r="F556" s="16" t="str" cm="1">
        <f t="array" ref="F5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6" s="31" cm="1">
        <f t="array" ref="G5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6" s="33" t="str">
        <f>_xlfn.IFNA(IF(MOD(HLG_04[[#This Row],[Rit]],
    _xlfn.XLOOKUP($G$2,Int_Sample[Ore],Int_Sample[Inc])) = 0, "YES", "NO"),"")</f>
        <v/>
      </c>
      <c r="I556" s="32" t="str">
        <f>TEXT(HLG_04[[#This Row],[Batch]],"000")&amp; " / " &amp; TEXT(HLG_04[[#This Row],[Rit]],"000")</f>
        <v>N/A / 000</v>
      </c>
      <c r="J556" s="34"/>
      <c r="K556" s="38"/>
      <c r="L556" s="35"/>
      <c r="M556" s="66"/>
      <c r="N556" s="66"/>
      <c r="O556" s="66"/>
      <c r="P556" s="66"/>
      <c r="Q556" s="66"/>
      <c r="R556" s="67"/>
      <c r="S556" s="67"/>
      <c r="T556" s="67"/>
      <c r="U556" s="66"/>
      <c r="V556" s="66"/>
      <c r="W556" s="66"/>
      <c r="X556" s="85"/>
      <c r="AP556" t="str">
        <v/>
      </c>
    </row>
    <row r="557" spans="4:42" ht="15.75" x14ac:dyDescent="0.25">
      <c r="D557" s="3">
        <v>1</v>
      </c>
      <c r="F557" s="16" t="str" cm="1">
        <f t="array" ref="F5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7" s="31" cm="1">
        <f t="array" ref="G5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7" s="33" t="str">
        <f>_xlfn.IFNA(IF(MOD(HLG_04[[#This Row],[Rit]],
    _xlfn.XLOOKUP($G$2,Int_Sample[Ore],Int_Sample[Inc])) = 0, "YES", "NO"),"")</f>
        <v/>
      </c>
      <c r="I557" s="32" t="str">
        <f>TEXT(HLG_04[[#This Row],[Batch]],"000")&amp; " / " &amp; TEXT(HLG_04[[#This Row],[Rit]],"000")</f>
        <v>N/A / 000</v>
      </c>
      <c r="J557" s="34"/>
      <c r="K557" s="38"/>
      <c r="L557" s="35"/>
      <c r="M557" s="66"/>
      <c r="N557" s="66"/>
      <c r="O557" s="66"/>
      <c r="P557" s="66"/>
      <c r="Q557" s="66"/>
      <c r="R557" s="67"/>
      <c r="S557" s="67"/>
      <c r="T557" s="67"/>
      <c r="U557" s="66"/>
      <c r="V557" s="66"/>
      <c r="W557" s="66"/>
      <c r="X557" s="85"/>
      <c r="AP557" t="str">
        <v/>
      </c>
    </row>
    <row r="558" spans="4:42" ht="15.75" x14ac:dyDescent="0.25">
      <c r="D558" s="3">
        <v>1</v>
      </c>
      <c r="F558" s="16" t="str" cm="1">
        <f t="array" ref="F5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8" s="31" cm="1">
        <f t="array" ref="G5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8" s="33" t="str">
        <f>_xlfn.IFNA(IF(MOD(HLG_04[[#This Row],[Rit]],
    _xlfn.XLOOKUP($G$2,Int_Sample[Ore],Int_Sample[Inc])) = 0, "YES", "NO"),"")</f>
        <v/>
      </c>
      <c r="I558" s="32" t="str">
        <f>TEXT(HLG_04[[#This Row],[Batch]],"000")&amp; " / " &amp; TEXT(HLG_04[[#This Row],[Rit]],"000")</f>
        <v>N/A / 000</v>
      </c>
      <c r="J558" s="34"/>
      <c r="K558" s="38"/>
      <c r="L558" s="35"/>
      <c r="M558" s="66"/>
      <c r="N558" s="66"/>
      <c r="O558" s="66"/>
      <c r="P558" s="66"/>
      <c r="Q558" s="66"/>
      <c r="R558" s="67"/>
      <c r="S558" s="67"/>
      <c r="T558" s="67"/>
      <c r="U558" s="66"/>
      <c r="V558" s="66"/>
      <c r="W558" s="66"/>
      <c r="X558" s="85"/>
      <c r="AP558" t="str">
        <v/>
      </c>
    </row>
    <row r="559" spans="4:42" ht="15.75" x14ac:dyDescent="0.25">
      <c r="D559" s="3">
        <v>1</v>
      </c>
      <c r="F559" s="16" t="str" cm="1">
        <f t="array" ref="F5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9" s="31" cm="1">
        <f t="array" ref="G5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9" s="33" t="str">
        <f>_xlfn.IFNA(IF(MOD(HLG_04[[#This Row],[Rit]],
    _xlfn.XLOOKUP($G$2,Int_Sample[Ore],Int_Sample[Inc])) = 0, "YES", "NO"),"")</f>
        <v/>
      </c>
      <c r="I559" s="32" t="str">
        <f>TEXT(HLG_04[[#This Row],[Batch]],"000")&amp; " / " &amp; TEXT(HLG_04[[#This Row],[Rit]],"000")</f>
        <v>N/A / 000</v>
      </c>
      <c r="J559" s="34"/>
      <c r="K559" s="38"/>
      <c r="L559" s="35"/>
      <c r="M559" s="66"/>
      <c r="N559" s="66"/>
      <c r="O559" s="66"/>
      <c r="P559" s="66"/>
      <c r="Q559" s="66"/>
      <c r="R559" s="67"/>
      <c r="S559" s="67"/>
      <c r="T559" s="67"/>
      <c r="U559" s="66"/>
      <c r="V559" s="66"/>
      <c r="W559" s="66"/>
      <c r="X559" s="85"/>
      <c r="AP559" t="str">
        <v/>
      </c>
    </row>
    <row r="560" spans="4:42" ht="15.75" x14ac:dyDescent="0.25">
      <c r="D560" s="3">
        <v>1</v>
      </c>
      <c r="F560" s="16" t="str" cm="1">
        <f t="array" ref="F5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0" s="31" cm="1">
        <f t="array" ref="G5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0" s="33" t="str">
        <f>_xlfn.IFNA(IF(MOD(HLG_04[[#This Row],[Rit]],
    _xlfn.XLOOKUP($G$2,Int_Sample[Ore],Int_Sample[Inc])) = 0, "YES", "NO"),"")</f>
        <v/>
      </c>
      <c r="I560" s="32" t="str">
        <f>TEXT(HLG_04[[#This Row],[Batch]],"000")&amp; " / " &amp; TEXT(HLG_04[[#This Row],[Rit]],"000")</f>
        <v>N/A / 000</v>
      </c>
      <c r="J560" s="34"/>
      <c r="K560" s="38"/>
      <c r="L560" s="35"/>
      <c r="M560" s="66"/>
      <c r="N560" s="66"/>
      <c r="O560" s="66"/>
      <c r="P560" s="66"/>
      <c r="Q560" s="66"/>
      <c r="R560" s="67"/>
      <c r="S560" s="67"/>
      <c r="T560" s="67"/>
      <c r="U560" s="66"/>
      <c r="V560" s="66"/>
      <c r="W560" s="66"/>
      <c r="X560" s="85"/>
      <c r="AP560" t="str">
        <v/>
      </c>
    </row>
    <row r="561" spans="4:42" ht="15.75" x14ac:dyDescent="0.25">
      <c r="D561" s="3">
        <v>1</v>
      </c>
      <c r="F561" s="16" t="str" cm="1">
        <f t="array" ref="F5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1" s="31" cm="1">
        <f t="array" ref="G5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1" s="33" t="str">
        <f>_xlfn.IFNA(IF(MOD(HLG_04[[#This Row],[Rit]],
    _xlfn.XLOOKUP($G$2,Int_Sample[Ore],Int_Sample[Inc])) = 0, "YES", "NO"),"")</f>
        <v/>
      </c>
      <c r="I561" s="32" t="str">
        <f>TEXT(HLG_04[[#This Row],[Batch]],"000")&amp; " / " &amp; TEXT(HLG_04[[#This Row],[Rit]],"000")</f>
        <v>N/A / 000</v>
      </c>
      <c r="J561" s="34"/>
      <c r="K561" s="38"/>
      <c r="L561" s="35"/>
      <c r="M561" s="66"/>
      <c r="N561" s="66"/>
      <c r="O561" s="66"/>
      <c r="P561" s="66"/>
      <c r="Q561" s="66"/>
      <c r="R561" s="67"/>
      <c r="S561" s="67"/>
      <c r="T561" s="67"/>
      <c r="U561" s="66"/>
      <c r="V561" s="66"/>
      <c r="W561" s="66"/>
      <c r="X561" s="85"/>
      <c r="AP561" t="str">
        <v/>
      </c>
    </row>
    <row r="562" spans="4:42" ht="15.75" x14ac:dyDescent="0.25">
      <c r="D562" s="3">
        <v>1</v>
      </c>
      <c r="F562" s="16" t="str" cm="1">
        <f t="array" ref="F5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2" s="31" cm="1">
        <f t="array" ref="G5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2" s="33" t="str">
        <f>_xlfn.IFNA(IF(MOD(HLG_04[[#This Row],[Rit]],
    _xlfn.XLOOKUP($G$2,Int_Sample[Ore],Int_Sample[Inc])) = 0, "YES", "NO"),"")</f>
        <v/>
      </c>
      <c r="I562" s="32" t="str">
        <f>TEXT(HLG_04[[#This Row],[Batch]],"000")&amp; " / " &amp; TEXT(HLG_04[[#This Row],[Rit]],"000")</f>
        <v>N/A / 000</v>
      </c>
      <c r="J562" s="34"/>
      <c r="K562" s="38"/>
      <c r="L562" s="35"/>
      <c r="M562" s="66"/>
      <c r="N562" s="66"/>
      <c r="O562" s="66"/>
      <c r="P562" s="66"/>
      <c r="Q562" s="66"/>
      <c r="R562" s="67"/>
      <c r="S562" s="67"/>
      <c r="T562" s="67"/>
      <c r="U562" s="66"/>
      <c r="V562" s="66"/>
      <c r="W562" s="66"/>
      <c r="X562" s="85"/>
      <c r="AP562" t="str">
        <v/>
      </c>
    </row>
    <row r="563" spans="4:42" ht="15.75" x14ac:dyDescent="0.25">
      <c r="D563" s="3">
        <v>1</v>
      </c>
      <c r="F563" s="16" t="str" cm="1">
        <f t="array" ref="F5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3" s="31" cm="1">
        <f t="array" ref="G5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3" s="33" t="str">
        <f>_xlfn.IFNA(IF(MOD(HLG_04[[#This Row],[Rit]],
    _xlfn.XLOOKUP($G$2,Int_Sample[Ore],Int_Sample[Inc])) = 0, "YES", "NO"),"")</f>
        <v/>
      </c>
      <c r="I563" s="32" t="str">
        <f>TEXT(HLG_04[[#This Row],[Batch]],"000")&amp; " / " &amp; TEXT(HLG_04[[#This Row],[Rit]],"000")</f>
        <v>N/A / 000</v>
      </c>
      <c r="J563" s="34"/>
      <c r="K563" s="38"/>
      <c r="L563" s="35"/>
      <c r="M563" s="66"/>
      <c r="N563" s="66"/>
      <c r="O563" s="66"/>
      <c r="P563" s="66"/>
      <c r="Q563" s="66"/>
      <c r="R563" s="67"/>
      <c r="S563" s="67"/>
      <c r="T563" s="67"/>
      <c r="U563" s="66"/>
      <c r="V563" s="66"/>
      <c r="W563" s="66"/>
      <c r="X563" s="85"/>
      <c r="AP563" t="str">
        <v/>
      </c>
    </row>
    <row r="564" spans="4:42" ht="15.75" x14ac:dyDescent="0.25">
      <c r="D564" s="3">
        <v>1</v>
      </c>
      <c r="F564" s="16" t="str" cm="1">
        <f t="array" ref="F5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4" s="31" cm="1">
        <f t="array" ref="G5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4" s="33" t="str">
        <f>_xlfn.IFNA(IF(MOD(HLG_04[[#This Row],[Rit]],
    _xlfn.XLOOKUP($G$2,Int_Sample[Ore],Int_Sample[Inc])) = 0, "YES", "NO"),"")</f>
        <v/>
      </c>
      <c r="I564" s="32" t="str">
        <f>TEXT(HLG_04[[#This Row],[Batch]],"000")&amp; " / " &amp; TEXT(HLG_04[[#This Row],[Rit]],"000")</f>
        <v>N/A / 000</v>
      </c>
      <c r="J564" s="34"/>
      <c r="K564" s="38"/>
      <c r="L564" s="35"/>
      <c r="M564" s="66"/>
      <c r="N564" s="66"/>
      <c r="O564" s="66"/>
      <c r="P564" s="66"/>
      <c r="Q564" s="66"/>
      <c r="R564" s="67"/>
      <c r="S564" s="67"/>
      <c r="T564" s="67"/>
      <c r="U564" s="66"/>
      <c r="V564" s="66"/>
      <c r="W564" s="66"/>
      <c r="X564" s="85"/>
      <c r="AP564" t="str">
        <v/>
      </c>
    </row>
    <row r="565" spans="4:42" ht="15.75" x14ac:dyDescent="0.25">
      <c r="D565" s="3">
        <v>1</v>
      </c>
      <c r="F565" s="16" t="str" cm="1">
        <f t="array" ref="F5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5" s="31" cm="1">
        <f t="array" ref="G5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5" s="33" t="str">
        <f>_xlfn.IFNA(IF(MOD(HLG_04[[#This Row],[Rit]],
    _xlfn.XLOOKUP($G$2,Int_Sample[Ore],Int_Sample[Inc])) = 0, "YES", "NO"),"")</f>
        <v/>
      </c>
      <c r="I565" s="32" t="str">
        <f>TEXT(HLG_04[[#This Row],[Batch]],"000")&amp; " / " &amp; TEXT(HLG_04[[#This Row],[Rit]],"000")</f>
        <v>N/A / 000</v>
      </c>
      <c r="J565" s="34"/>
      <c r="K565" s="38"/>
      <c r="L565" s="35"/>
      <c r="M565" s="66"/>
      <c r="N565" s="66"/>
      <c r="O565" s="66"/>
      <c r="P565" s="66"/>
      <c r="Q565" s="66"/>
      <c r="R565" s="67"/>
      <c r="S565" s="67"/>
      <c r="T565" s="67"/>
      <c r="U565" s="66"/>
      <c r="V565" s="66"/>
      <c r="W565" s="66"/>
      <c r="X565" s="85"/>
      <c r="AP565" t="str">
        <v/>
      </c>
    </row>
    <row r="566" spans="4:42" ht="15.75" x14ac:dyDescent="0.25">
      <c r="D566" s="3">
        <v>1</v>
      </c>
      <c r="F566" s="16" t="str" cm="1">
        <f t="array" ref="F5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6" s="31" cm="1">
        <f t="array" ref="G5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6" s="33" t="str">
        <f>_xlfn.IFNA(IF(MOD(HLG_04[[#This Row],[Rit]],
    _xlfn.XLOOKUP($G$2,Int_Sample[Ore],Int_Sample[Inc])) = 0, "YES", "NO"),"")</f>
        <v/>
      </c>
      <c r="I566" s="32" t="str">
        <f>TEXT(HLG_04[[#This Row],[Batch]],"000")&amp; " / " &amp; TEXT(HLG_04[[#This Row],[Rit]],"000")</f>
        <v>N/A / 000</v>
      </c>
      <c r="J566" s="34"/>
      <c r="K566" s="38"/>
      <c r="L566" s="35"/>
      <c r="M566" s="66"/>
      <c r="N566" s="66"/>
      <c r="O566" s="66"/>
      <c r="P566" s="66"/>
      <c r="Q566" s="66"/>
      <c r="R566" s="67"/>
      <c r="S566" s="67"/>
      <c r="T566" s="67"/>
      <c r="U566" s="66"/>
      <c r="V566" s="66"/>
      <c r="W566" s="66"/>
      <c r="X566" s="85"/>
      <c r="AP566" t="str">
        <v/>
      </c>
    </row>
    <row r="567" spans="4:42" ht="15.75" x14ac:dyDescent="0.25">
      <c r="D567" s="3">
        <v>1</v>
      </c>
      <c r="F567" s="16" t="str" cm="1">
        <f t="array" ref="F5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7" s="31" cm="1">
        <f t="array" ref="G5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7" s="33" t="str">
        <f>_xlfn.IFNA(IF(MOD(HLG_04[[#This Row],[Rit]],
    _xlfn.XLOOKUP($G$2,Int_Sample[Ore],Int_Sample[Inc])) = 0, "YES", "NO"),"")</f>
        <v/>
      </c>
      <c r="I567" s="32" t="str">
        <f>TEXT(HLG_04[[#This Row],[Batch]],"000")&amp; " / " &amp; TEXT(HLG_04[[#This Row],[Rit]],"000")</f>
        <v>N/A / 000</v>
      </c>
      <c r="J567" s="34"/>
      <c r="K567" s="38"/>
      <c r="L567" s="35"/>
      <c r="M567" s="66"/>
      <c r="N567" s="66"/>
      <c r="O567" s="66"/>
      <c r="P567" s="66"/>
      <c r="Q567" s="66"/>
      <c r="R567" s="67"/>
      <c r="S567" s="67"/>
      <c r="T567" s="67"/>
      <c r="U567" s="66"/>
      <c r="V567" s="66"/>
      <c r="W567" s="66"/>
      <c r="X567" s="85"/>
      <c r="AP567" t="str">
        <v/>
      </c>
    </row>
    <row r="568" spans="4:42" ht="15.75" x14ac:dyDescent="0.25">
      <c r="D568" s="3">
        <v>1</v>
      </c>
      <c r="F568" s="16" t="str" cm="1">
        <f t="array" ref="F5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8" s="31" cm="1">
        <f t="array" ref="G5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8" s="33" t="str">
        <f>_xlfn.IFNA(IF(MOD(HLG_04[[#This Row],[Rit]],
    _xlfn.XLOOKUP($G$2,Int_Sample[Ore],Int_Sample[Inc])) = 0, "YES", "NO"),"")</f>
        <v/>
      </c>
      <c r="I568" s="32" t="str">
        <f>TEXT(HLG_04[[#This Row],[Batch]],"000")&amp; " / " &amp; TEXT(HLG_04[[#This Row],[Rit]],"000")</f>
        <v>N/A / 000</v>
      </c>
      <c r="J568" s="34"/>
      <c r="K568" s="38"/>
      <c r="L568" s="35"/>
      <c r="M568" s="66"/>
      <c r="N568" s="66"/>
      <c r="O568" s="66"/>
      <c r="P568" s="66"/>
      <c r="Q568" s="66"/>
      <c r="R568" s="67"/>
      <c r="S568" s="67"/>
      <c r="T568" s="67"/>
      <c r="U568" s="66"/>
      <c r="V568" s="66"/>
      <c r="W568" s="66"/>
      <c r="X568" s="85"/>
      <c r="AP568" t="str">
        <v/>
      </c>
    </row>
    <row r="569" spans="4:42" ht="15.75" x14ac:dyDescent="0.25">
      <c r="D569" s="3">
        <v>1</v>
      </c>
      <c r="F569" s="16" t="str" cm="1">
        <f t="array" ref="F5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9" s="31" cm="1">
        <f t="array" ref="G5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9" s="33" t="str">
        <f>_xlfn.IFNA(IF(MOD(HLG_04[[#This Row],[Rit]],
    _xlfn.XLOOKUP($G$2,Int_Sample[Ore],Int_Sample[Inc])) = 0, "YES", "NO"),"")</f>
        <v/>
      </c>
      <c r="I569" s="32" t="str">
        <f>TEXT(HLG_04[[#This Row],[Batch]],"000")&amp; " / " &amp; TEXT(HLG_04[[#This Row],[Rit]],"000")</f>
        <v>N/A / 000</v>
      </c>
      <c r="J569" s="34"/>
      <c r="K569" s="38"/>
      <c r="L569" s="35"/>
      <c r="M569" s="66"/>
      <c r="N569" s="66"/>
      <c r="O569" s="66"/>
      <c r="P569" s="66"/>
      <c r="Q569" s="66"/>
      <c r="R569" s="67"/>
      <c r="S569" s="67"/>
      <c r="T569" s="67"/>
      <c r="U569" s="66"/>
      <c r="V569" s="66"/>
      <c r="W569" s="66"/>
      <c r="X569" s="85"/>
      <c r="AP569" t="str">
        <v/>
      </c>
    </row>
    <row r="570" spans="4:42" ht="15.75" x14ac:dyDescent="0.25">
      <c r="D570" s="3">
        <v>1</v>
      </c>
      <c r="F570" s="16" t="str" cm="1">
        <f t="array" ref="F5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0" s="31" cm="1">
        <f t="array" ref="G5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0" s="33" t="str">
        <f>_xlfn.IFNA(IF(MOD(HLG_04[[#This Row],[Rit]],
    _xlfn.XLOOKUP($G$2,Int_Sample[Ore],Int_Sample[Inc])) = 0, "YES", "NO"),"")</f>
        <v/>
      </c>
      <c r="I570" s="32" t="str">
        <f>TEXT(HLG_04[[#This Row],[Batch]],"000")&amp; " / " &amp; TEXT(HLG_04[[#This Row],[Rit]],"000")</f>
        <v>N/A / 000</v>
      </c>
      <c r="J570" s="34"/>
      <c r="K570" s="38"/>
      <c r="L570" s="35"/>
      <c r="M570" s="66"/>
      <c r="N570" s="66"/>
      <c r="O570" s="66"/>
      <c r="P570" s="66"/>
      <c r="Q570" s="66"/>
      <c r="R570" s="67"/>
      <c r="S570" s="67"/>
      <c r="T570" s="67"/>
      <c r="U570" s="66"/>
      <c r="V570" s="66"/>
      <c r="W570" s="66"/>
      <c r="X570" s="85"/>
      <c r="AP570" t="str">
        <v/>
      </c>
    </row>
    <row r="571" spans="4:42" ht="15.75" x14ac:dyDescent="0.25">
      <c r="D571" s="3">
        <v>1</v>
      </c>
      <c r="F571" s="16" t="str" cm="1">
        <f t="array" ref="F5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1" s="31" cm="1">
        <f t="array" ref="G5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1" s="33" t="str">
        <f>_xlfn.IFNA(IF(MOD(HLG_04[[#This Row],[Rit]],
    _xlfn.XLOOKUP($G$2,Int_Sample[Ore],Int_Sample[Inc])) = 0, "YES", "NO"),"")</f>
        <v/>
      </c>
      <c r="I571" s="32" t="str">
        <f>TEXT(HLG_04[[#This Row],[Batch]],"000")&amp; " / " &amp; TEXT(HLG_04[[#This Row],[Rit]],"000")</f>
        <v>N/A / 000</v>
      </c>
      <c r="J571" s="34"/>
      <c r="K571" s="38"/>
      <c r="L571" s="35"/>
      <c r="M571" s="66"/>
      <c r="N571" s="66"/>
      <c r="O571" s="66"/>
      <c r="P571" s="66"/>
      <c r="Q571" s="66"/>
      <c r="R571" s="67"/>
      <c r="S571" s="67"/>
      <c r="T571" s="67"/>
      <c r="U571" s="66"/>
      <c r="V571" s="66"/>
      <c r="W571" s="66"/>
      <c r="X571" s="85"/>
      <c r="AP571" t="str">
        <v/>
      </c>
    </row>
    <row r="572" spans="4:42" ht="15.75" x14ac:dyDescent="0.25">
      <c r="D572" s="3">
        <v>1</v>
      </c>
      <c r="F572" s="16" t="str" cm="1">
        <f t="array" ref="F5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2" s="31" cm="1">
        <f t="array" ref="G5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2" s="33" t="str">
        <f>_xlfn.IFNA(IF(MOD(HLG_04[[#This Row],[Rit]],
    _xlfn.XLOOKUP($G$2,Int_Sample[Ore],Int_Sample[Inc])) = 0, "YES", "NO"),"")</f>
        <v/>
      </c>
      <c r="I572" s="32" t="str">
        <f>TEXT(HLG_04[[#This Row],[Batch]],"000")&amp; " / " &amp; TEXT(HLG_04[[#This Row],[Rit]],"000")</f>
        <v>N/A / 000</v>
      </c>
      <c r="J572" s="34"/>
      <c r="K572" s="38"/>
      <c r="L572" s="35"/>
      <c r="M572" s="66"/>
      <c r="N572" s="66"/>
      <c r="O572" s="66"/>
      <c r="P572" s="66"/>
      <c r="Q572" s="66"/>
      <c r="R572" s="67"/>
      <c r="S572" s="67"/>
      <c r="T572" s="67"/>
      <c r="U572" s="66"/>
      <c r="V572" s="66"/>
      <c r="W572" s="66"/>
      <c r="X572" s="85"/>
      <c r="AP572" t="str">
        <v/>
      </c>
    </row>
    <row r="573" spans="4:42" ht="15.75" x14ac:dyDescent="0.25">
      <c r="D573" s="3">
        <v>1</v>
      </c>
      <c r="F573" s="16" t="str" cm="1">
        <f t="array" ref="F5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3" s="31" cm="1">
        <f t="array" ref="G5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3" s="33" t="str">
        <f>_xlfn.IFNA(IF(MOD(HLG_04[[#This Row],[Rit]],
    _xlfn.XLOOKUP($G$2,Int_Sample[Ore],Int_Sample[Inc])) = 0, "YES", "NO"),"")</f>
        <v/>
      </c>
      <c r="I573" s="32" t="str">
        <f>TEXT(HLG_04[[#This Row],[Batch]],"000")&amp; " / " &amp; TEXT(HLG_04[[#This Row],[Rit]],"000")</f>
        <v>N/A / 000</v>
      </c>
      <c r="J573" s="34"/>
      <c r="K573" s="38"/>
      <c r="L573" s="35"/>
      <c r="M573" s="66"/>
      <c r="N573" s="66"/>
      <c r="O573" s="66"/>
      <c r="P573" s="66"/>
      <c r="Q573" s="66"/>
      <c r="R573" s="67"/>
      <c r="S573" s="67"/>
      <c r="T573" s="67"/>
      <c r="U573" s="66"/>
      <c r="V573" s="66"/>
      <c r="W573" s="66"/>
      <c r="X573" s="85"/>
      <c r="AP573" t="str">
        <v/>
      </c>
    </row>
    <row r="574" spans="4:42" ht="15.75" x14ac:dyDescent="0.25">
      <c r="D574" s="3">
        <v>1</v>
      </c>
      <c r="F574" s="16" t="str" cm="1">
        <f t="array" ref="F5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4" s="31" cm="1">
        <f t="array" ref="G5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4" s="33" t="str">
        <f>_xlfn.IFNA(IF(MOD(HLG_04[[#This Row],[Rit]],
    _xlfn.XLOOKUP($G$2,Int_Sample[Ore],Int_Sample[Inc])) = 0, "YES", "NO"),"")</f>
        <v/>
      </c>
      <c r="I574" s="32" t="str">
        <f>TEXT(HLG_04[[#This Row],[Batch]],"000")&amp; " / " &amp; TEXT(HLG_04[[#This Row],[Rit]],"000")</f>
        <v>N/A / 000</v>
      </c>
      <c r="J574" s="34"/>
      <c r="K574" s="38"/>
      <c r="L574" s="35"/>
      <c r="M574" s="66"/>
      <c r="N574" s="66"/>
      <c r="O574" s="66"/>
      <c r="P574" s="66"/>
      <c r="Q574" s="66"/>
      <c r="R574" s="67"/>
      <c r="S574" s="67"/>
      <c r="T574" s="67"/>
      <c r="U574" s="66"/>
      <c r="V574" s="66"/>
      <c r="W574" s="66"/>
      <c r="X574" s="85"/>
      <c r="AP574" t="str">
        <v/>
      </c>
    </row>
    <row r="575" spans="4:42" ht="15.75" x14ac:dyDescent="0.25">
      <c r="D575" s="3">
        <v>1</v>
      </c>
      <c r="F575" s="16" t="str" cm="1">
        <f t="array" ref="F5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5" s="31" cm="1">
        <f t="array" ref="G5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5" s="33" t="str">
        <f>_xlfn.IFNA(IF(MOD(HLG_04[[#This Row],[Rit]],
    _xlfn.XLOOKUP($G$2,Int_Sample[Ore],Int_Sample[Inc])) = 0, "YES", "NO"),"")</f>
        <v/>
      </c>
      <c r="I575" s="32" t="str">
        <f>TEXT(HLG_04[[#This Row],[Batch]],"000")&amp; " / " &amp; TEXT(HLG_04[[#This Row],[Rit]],"000")</f>
        <v>N/A / 000</v>
      </c>
      <c r="J575" s="34"/>
      <c r="K575" s="38"/>
      <c r="L575" s="35"/>
      <c r="M575" s="66"/>
      <c r="N575" s="66"/>
      <c r="O575" s="66"/>
      <c r="P575" s="66"/>
      <c r="Q575" s="66"/>
      <c r="R575" s="67"/>
      <c r="S575" s="67"/>
      <c r="T575" s="67"/>
      <c r="U575" s="66"/>
      <c r="V575" s="66"/>
      <c r="W575" s="66"/>
      <c r="X575" s="85"/>
      <c r="AP575" t="str">
        <v/>
      </c>
    </row>
    <row r="576" spans="4:42" ht="15.75" x14ac:dyDescent="0.25">
      <c r="D576" s="3">
        <v>1</v>
      </c>
      <c r="F576" s="16" t="str" cm="1">
        <f t="array" ref="F5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6" s="31" cm="1">
        <f t="array" ref="G5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6" s="33" t="str">
        <f>_xlfn.IFNA(IF(MOD(HLG_04[[#This Row],[Rit]],
    _xlfn.XLOOKUP($G$2,Int_Sample[Ore],Int_Sample[Inc])) = 0, "YES", "NO"),"")</f>
        <v/>
      </c>
      <c r="I576" s="32" t="str">
        <f>TEXT(HLG_04[[#This Row],[Batch]],"000")&amp; " / " &amp; TEXT(HLG_04[[#This Row],[Rit]],"000")</f>
        <v>N/A / 000</v>
      </c>
      <c r="J576" s="34"/>
      <c r="K576" s="38"/>
      <c r="L576" s="35"/>
      <c r="M576" s="66"/>
      <c r="N576" s="66"/>
      <c r="O576" s="66"/>
      <c r="P576" s="66"/>
      <c r="Q576" s="66"/>
      <c r="R576" s="67"/>
      <c r="S576" s="67"/>
      <c r="T576" s="67"/>
      <c r="U576" s="66"/>
      <c r="V576" s="66"/>
      <c r="W576" s="66"/>
      <c r="X576" s="85"/>
      <c r="AP576" t="str">
        <v/>
      </c>
    </row>
    <row r="577" spans="4:42" ht="15.75" x14ac:dyDescent="0.25">
      <c r="D577" s="3">
        <v>1</v>
      </c>
      <c r="F577" s="16" t="str" cm="1">
        <f t="array" ref="F5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7" s="31" cm="1">
        <f t="array" ref="G5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7" s="33" t="str">
        <f>_xlfn.IFNA(IF(MOD(HLG_04[[#This Row],[Rit]],
    _xlfn.XLOOKUP($G$2,Int_Sample[Ore],Int_Sample[Inc])) = 0, "YES", "NO"),"")</f>
        <v/>
      </c>
      <c r="I577" s="32" t="str">
        <f>TEXT(HLG_04[[#This Row],[Batch]],"000")&amp; " / " &amp; TEXT(HLG_04[[#This Row],[Rit]],"000")</f>
        <v>N/A / 000</v>
      </c>
      <c r="J577" s="34"/>
      <c r="K577" s="38"/>
      <c r="L577" s="35"/>
      <c r="M577" s="66"/>
      <c r="N577" s="66"/>
      <c r="O577" s="66"/>
      <c r="P577" s="66"/>
      <c r="Q577" s="66"/>
      <c r="R577" s="67"/>
      <c r="S577" s="67"/>
      <c r="T577" s="67"/>
      <c r="U577" s="66"/>
      <c r="V577" s="66"/>
      <c r="W577" s="66"/>
      <c r="X577" s="85"/>
      <c r="AP577" t="str">
        <v/>
      </c>
    </row>
    <row r="578" spans="4:42" ht="15.75" x14ac:dyDescent="0.25">
      <c r="D578" s="3">
        <v>1</v>
      </c>
      <c r="F578" s="16" t="str" cm="1">
        <f t="array" ref="F5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8" s="31" cm="1">
        <f t="array" ref="G5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8" s="33" t="str">
        <f>_xlfn.IFNA(IF(MOD(HLG_04[[#This Row],[Rit]],
    _xlfn.XLOOKUP($G$2,Int_Sample[Ore],Int_Sample[Inc])) = 0, "YES", "NO"),"")</f>
        <v/>
      </c>
      <c r="I578" s="32" t="str">
        <f>TEXT(HLG_04[[#This Row],[Batch]],"000")&amp; " / " &amp; TEXT(HLG_04[[#This Row],[Rit]],"000")</f>
        <v>N/A / 000</v>
      </c>
      <c r="J578" s="34"/>
      <c r="K578" s="38"/>
      <c r="L578" s="35"/>
      <c r="M578" s="66"/>
      <c r="N578" s="66"/>
      <c r="O578" s="66"/>
      <c r="P578" s="66"/>
      <c r="Q578" s="66"/>
      <c r="R578" s="67"/>
      <c r="S578" s="67"/>
      <c r="T578" s="67"/>
      <c r="U578" s="66"/>
      <c r="V578" s="66"/>
      <c r="W578" s="66"/>
      <c r="X578" s="85"/>
      <c r="AP578" t="str">
        <v/>
      </c>
    </row>
    <row r="579" spans="4:42" ht="15.75" x14ac:dyDescent="0.25">
      <c r="D579" s="3">
        <v>1</v>
      </c>
      <c r="F579" s="16" t="str" cm="1">
        <f t="array" ref="F5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9" s="31" cm="1">
        <f t="array" ref="G5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9" s="33" t="str">
        <f>_xlfn.IFNA(IF(MOD(HLG_04[[#This Row],[Rit]],
    _xlfn.XLOOKUP($G$2,Int_Sample[Ore],Int_Sample[Inc])) = 0, "YES", "NO"),"")</f>
        <v/>
      </c>
      <c r="I579" s="32" t="str">
        <f>TEXT(HLG_04[[#This Row],[Batch]],"000")&amp; " / " &amp; TEXT(HLG_04[[#This Row],[Rit]],"000")</f>
        <v>N/A / 000</v>
      </c>
      <c r="J579" s="34"/>
      <c r="K579" s="38"/>
      <c r="L579" s="35"/>
      <c r="M579" s="66"/>
      <c r="N579" s="66"/>
      <c r="O579" s="66"/>
      <c r="P579" s="66"/>
      <c r="Q579" s="66"/>
      <c r="R579" s="67"/>
      <c r="S579" s="67"/>
      <c r="T579" s="67"/>
      <c r="U579" s="66"/>
      <c r="V579" s="66"/>
      <c r="W579" s="66"/>
      <c r="X579" s="85"/>
      <c r="AP579" t="str">
        <v/>
      </c>
    </row>
    <row r="580" spans="4:42" ht="15.75" x14ac:dyDescent="0.25">
      <c r="D580" s="3">
        <v>1</v>
      </c>
      <c r="F580" s="16" t="str" cm="1">
        <f t="array" ref="F5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0" s="31" cm="1">
        <f t="array" ref="G5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0" s="33" t="str">
        <f>_xlfn.IFNA(IF(MOD(HLG_04[[#This Row],[Rit]],
    _xlfn.XLOOKUP($G$2,Int_Sample[Ore],Int_Sample[Inc])) = 0, "YES", "NO"),"")</f>
        <v/>
      </c>
      <c r="I580" s="32" t="str">
        <f>TEXT(HLG_04[[#This Row],[Batch]],"000")&amp; " / " &amp; TEXT(HLG_04[[#This Row],[Rit]],"000")</f>
        <v>N/A / 000</v>
      </c>
      <c r="J580" s="34"/>
      <c r="K580" s="38"/>
      <c r="L580" s="35"/>
      <c r="M580" s="66"/>
      <c r="N580" s="66"/>
      <c r="O580" s="66"/>
      <c r="P580" s="66"/>
      <c r="Q580" s="66"/>
      <c r="R580" s="67"/>
      <c r="S580" s="67"/>
      <c r="T580" s="67"/>
      <c r="U580" s="66"/>
      <c r="V580" s="66"/>
      <c r="W580" s="66"/>
      <c r="X580" s="85"/>
      <c r="AP580" t="str">
        <v/>
      </c>
    </row>
    <row r="581" spans="4:42" ht="15.75" x14ac:dyDescent="0.25">
      <c r="D581" s="3">
        <v>1</v>
      </c>
      <c r="F581" s="16" t="str" cm="1">
        <f t="array" ref="F5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1" s="31" cm="1">
        <f t="array" ref="G5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1" s="33" t="str">
        <f>_xlfn.IFNA(IF(MOD(HLG_04[[#This Row],[Rit]],
    _xlfn.XLOOKUP($G$2,Int_Sample[Ore],Int_Sample[Inc])) = 0, "YES", "NO"),"")</f>
        <v/>
      </c>
      <c r="I581" s="32" t="str">
        <f>TEXT(HLG_04[[#This Row],[Batch]],"000")&amp; " / " &amp; TEXT(HLG_04[[#This Row],[Rit]],"000")</f>
        <v>N/A / 000</v>
      </c>
      <c r="J581" s="34"/>
      <c r="K581" s="38"/>
      <c r="L581" s="35"/>
      <c r="M581" s="66"/>
      <c r="N581" s="66"/>
      <c r="O581" s="66"/>
      <c r="P581" s="66"/>
      <c r="Q581" s="66"/>
      <c r="R581" s="67"/>
      <c r="S581" s="67"/>
      <c r="T581" s="67"/>
      <c r="U581" s="66"/>
      <c r="V581" s="66"/>
      <c r="W581" s="66"/>
      <c r="X581" s="85"/>
      <c r="AP581" t="str">
        <v/>
      </c>
    </row>
    <row r="582" spans="4:42" ht="15.75" x14ac:dyDescent="0.25">
      <c r="D582" s="3">
        <v>1</v>
      </c>
      <c r="F582" s="16" t="str" cm="1">
        <f t="array" ref="F5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2" s="31" cm="1">
        <f t="array" ref="G5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2" s="33" t="str">
        <f>_xlfn.IFNA(IF(MOD(HLG_04[[#This Row],[Rit]],
    _xlfn.XLOOKUP($G$2,Int_Sample[Ore],Int_Sample[Inc])) = 0, "YES", "NO"),"")</f>
        <v/>
      </c>
      <c r="I582" s="32" t="str">
        <f>TEXT(HLG_04[[#This Row],[Batch]],"000")&amp; " / " &amp; TEXT(HLG_04[[#This Row],[Rit]],"000")</f>
        <v>N/A / 000</v>
      </c>
      <c r="J582" s="34"/>
      <c r="K582" s="38"/>
      <c r="L582" s="35"/>
      <c r="M582" s="66"/>
      <c r="N582" s="66"/>
      <c r="O582" s="66"/>
      <c r="P582" s="66"/>
      <c r="Q582" s="66"/>
      <c r="R582" s="67"/>
      <c r="S582" s="67"/>
      <c r="T582" s="67"/>
      <c r="U582" s="66"/>
      <c r="V582" s="66"/>
      <c r="W582" s="66"/>
      <c r="X582" s="85"/>
      <c r="AP582" t="str">
        <v/>
      </c>
    </row>
    <row r="583" spans="4:42" ht="15.75" x14ac:dyDescent="0.25">
      <c r="D583" s="3">
        <v>1</v>
      </c>
      <c r="F583" s="16" t="str" cm="1">
        <f t="array" ref="F5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3" s="31" cm="1">
        <f t="array" ref="G5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3" s="33" t="str">
        <f>_xlfn.IFNA(IF(MOD(HLG_04[[#This Row],[Rit]],
    _xlfn.XLOOKUP($G$2,Int_Sample[Ore],Int_Sample[Inc])) = 0, "YES", "NO"),"")</f>
        <v/>
      </c>
      <c r="I583" s="32" t="str">
        <f>TEXT(HLG_04[[#This Row],[Batch]],"000")&amp; " / " &amp; TEXT(HLG_04[[#This Row],[Rit]],"000")</f>
        <v>N/A / 000</v>
      </c>
      <c r="J583" s="34"/>
      <c r="K583" s="38"/>
      <c r="L583" s="35"/>
      <c r="M583" s="66"/>
      <c r="N583" s="66"/>
      <c r="O583" s="66"/>
      <c r="P583" s="66"/>
      <c r="Q583" s="66"/>
      <c r="R583" s="67"/>
      <c r="S583" s="67"/>
      <c r="T583" s="67"/>
      <c r="U583" s="66"/>
      <c r="V583" s="66"/>
      <c r="W583" s="66"/>
      <c r="X583" s="85"/>
      <c r="AP583" t="str">
        <v/>
      </c>
    </row>
    <row r="584" spans="4:42" ht="15.75" x14ac:dyDescent="0.25">
      <c r="D584" s="3">
        <v>1</v>
      </c>
      <c r="F584" s="16" t="str" cm="1">
        <f t="array" ref="F5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4" s="31" cm="1">
        <f t="array" ref="G5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4" s="33" t="str">
        <f>_xlfn.IFNA(IF(MOD(HLG_04[[#This Row],[Rit]],
    _xlfn.XLOOKUP($G$2,Int_Sample[Ore],Int_Sample[Inc])) = 0, "YES", "NO"),"")</f>
        <v/>
      </c>
      <c r="I584" s="32" t="str">
        <f>TEXT(HLG_04[[#This Row],[Batch]],"000")&amp; " / " &amp; TEXT(HLG_04[[#This Row],[Rit]],"000")</f>
        <v>N/A / 000</v>
      </c>
      <c r="J584" s="34"/>
      <c r="K584" s="38"/>
      <c r="L584" s="35"/>
      <c r="M584" s="66"/>
      <c r="N584" s="66"/>
      <c r="O584" s="66"/>
      <c r="P584" s="66"/>
      <c r="Q584" s="66"/>
      <c r="R584" s="67"/>
      <c r="S584" s="67"/>
      <c r="T584" s="67"/>
      <c r="U584" s="66"/>
      <c r="V584" s="66"/>
      <c r="W584" s="66"/>
      <c r="X584" s="85"/>
      <c r="AP584" t="str">
        <v/>
      </c>
    </row>
    <row r="585" spans="4:42" ht="15.75" x14ac:dyDescent="0.25">
      <c r="D585" s="3">
        <v>1</v>
      </c>
      <c r="F585" s="16" t="str" cm="1">
        <f t="array" ref="F5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5" s="31" cm="1">
        <f t="array" ref="G5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5" s="33" t="str">
        <f>_xlfn.IFNA(IF(MOD(HLG_04[[#This Row],[Rit]],
    _xlfn.XLOOKUP($G$2,Int_Sample[Ore],Int_Sample[Inc])) = 0, "YES", "NO"),"")</f>
        <v/>
      </c>
      <c r="I585" s="32" t="str">
        <f>TEXT(HLG_04[[#This Row],[Batch]],"000")&amp; " / " &amp; TEXT(HLG_04[[#This Row],[Rit]],"000")</f>
        <v>N/A / 000</v>
      </c>
      <c r="J585" s="34"/>
      <c r="K585" s="38"/>
      <c r="L585" s="35"/>
      <c r="M585" s="66"/>
      <c r="N585" s="66"/>
      <c r="O585" s="66"/>
      <c r="P585" s="66"/>
      <c r="Q585" s="66"/>
      <c r="R585" s="67"/>
      <c r="S585" s="67"/>
      <c r="T585" s="67"/>
      <c r="U585" s="66"/>
      <c r="V585" s="66"/>
      <c r="W585" s="66"/>
      <c r="X585" s="85"/>
      <c r="AP585" t="str">
        <v/>
      </c>
    </row>
    <row r="586" spans="4:42" ht="15.75" x14ac:dyDescent="0.25">
      <c r="D586" s="3">
        <v>1</v>
      </c>
      <c r="F586" s="16" t="str" cm="1">
        <f t="array" ref="F5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6" s="31" cm="1">
        <f t="array" ref="G5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6" s="33" t="str">
        <f>_xlfn.IFNA(IF(MOD(HLG_04[[#This Row],[Rit]],
    _xlfn.XLOOKUP($G$2,Int_Sample[Ore],Int_Sample[Inc])) = 0, "YES", "NO"),"")</f>
        <v/>
      </c>
      <c r="I586" s="32" t="str">
        <f>TEXT(HLG_04[[#This Row],[Batch]],"000")&amp; " / " &amp; TEXT(HLG_04[[#This Row],[Rit]],"000")</f>
        <v>N/A / 000</v>
      </c>
      <c r="J586" s="34"/>
      <c r="K586" s="38"/>
      <c r="L586" s="35"/>
      <c r="M586" s="66"/>
      <c r="N586" s="66"/>
      <c r="O586" s="66"/>
      <c r="P586" s="66"/>
      <c r="Q586" s="66"/>
      <c r="R586" s="67"/>
      <c r="S586" s="67"/>
      <c r="T586" s="67"/>
      <c r="U586" s="66"/>
      <c r="V586" s="66"/>
      <c r="W586" s="66"/>
      <c r="X586" s="85"/>
      <c r="AP586" t="str">
        <v/>
      </c>
    </row>
    <row r="587" spans="4:42" ht="15.75" x14ac:dyDescent="0.25">
      <c r="D587" s="3">
        <v>1</v>
      </c>
      <c r="F587" s="16" t="str" cm="1">
        <f t="array" ref="F5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7" s="31" cm="1">
        <f t="array" ref="G5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7" s="33" t="str">
        <f>_xlfn.IFNA(IF(MOD(HLG_04[[#This Row],[Rit]],
    _xlfn.XLOOKUP($G$2,Int_Sample[Ore],Int_Sample[Inc])) = 0, "YES", "NO"),"")</f>
        <v/>
      </c>
      <c r="I587" s="32" t="str">
        <f>TEXT(HLG_04[[#This Row],[Batch]],"000")&amp; " / " &amp; TEXT(HLG_04[[#This Row],[Rit]],"000")</f>
        <v>N/A / 000</v>
      </c>
      <c r="J587" s="34"/>
      <c r="K587" s="38"/>
      <c r="L587" s="35"/>
      <c r="M587" s="66"/>
      <c r="N587" s="66"/>
      <c r="O587" s="66"/>
      <c r="P587" s="66"/>
      <c r="Q587" s="66"/>
      <c r="R587" s="67"/>
      <c r="S587" s="67"/>
      <c r="T587" s="67"/>
      <c r="U587" s="66"/>
      <c r="V587" s="66"/>
      <c r="W587" s="66"/>
      <c r="X587" s="85"/>
      <c r="AP587" t="str">
        <v/>
      </c>
    </row>
    <row r="588" spans="4:42" ht="15.75" x14ac:dyDescent="0.25">
      <c r="D588" s="3">
        <v>1</v>
      </c>
      <c r="F588" s="16" t="str" cm="1">
        <f t="array" ref="F5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8" s="31" cm="1">
        <f t="array" ref="G5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8" s="33" t="str">
        <f>_xlfn.IFNA(IF(MOD(HLG_04[[#This Row],[Rit]],
    _xlfn.XLOOKUP($G$2,Int_Sample[Ore],Int_Sample[Inc])) = 0, "YES", "NO"),"")</f>
        <v/>
      </c>
      <c r="I588" s="32" t="str">
        <f>TEXT(HLG_04[[#This Row],[Batch]],"000")&amp; " / " &amp; TEXT(HLG_04[[#This Row],[Rit]],"000")</f>
        <v>N/A / 000</v>
      </c>
      <c r="J588" s="34"/>
      <c r="K588" s="38"/>
      <c r="L588" s="35"/>
      <c r="M588" s="66"/>
      <c r="N588" s="66"/>
      <c r="O588" s="66"/>
      <c r="P588" s="66"/>
      <c r="Q588" s="66"/>
      <c r="R588" s="67"/>
      <c r="S588" s="67"/>
      <c r="T588" s="67"/>
      <c r="U588" s="66"/>
      <c r="V588" s="66"/>
      <c r="W588" s="66"/>
      <c r="X588" s="85"/>
      <c r="AP588" t="str">
        <v/>
      </c>
    </row>
    <row r="589" spans="4:42" ht="15.75" x14ac:dyDescent="0.25">
      <c r="D589" s="3">
        <v>1</v>
      </c>
      <c r="F589" s="16" t="str" cm="1">
        <f t="array" ref="F5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9" s="31" cm="1">
        <f t="array" ref="G5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9" s="33" t="str">
        <f>_xlfn.IFNA(IF(MOD(HLG_04[[#This Row],[Rit]],
    _xlfn.XLOOKUP($G$2,Int_Sample[Ore],Int_Sample[Inc])) = 0, "YES", "NO"),"")</f>
        <v/>
      </c>
      <c r="I589" s="32" t="str">
        <f>TEXT(HLG_04[[#This Row],[Batch]],"000")&amp; " / " &amp; TEXT(HLG_04[[#This Row],[Rit]],"000")</f>
        <v>N/A / 000</v>
      </c>
      <c r="J589" s="34"/>
      <c r="K589" s="38"/>
      <c r="L589" s="35"/>
      <c r="M589" s="66"/>
      <c r="N589" s="66"/>
      <c r="O589" s="66"/>
      <c r="P589" s="66"/>
      <c r="Q589" s="66"/>
      <c r="R589" s="67"/>
      <c r="S589" s="67"/>
      <c r="T589" s="67"/>
      <c r="U589" s="66"/>
      <c r="V589" s="66"/>
      <c r="W589" s="66"/>
      <c r="X589" s="85"/>
      <c r="AP589" t="str">
        <v/>
      </c>
    </row>
    <row r="590" spans="4:42" ht="15.75" x14ac:dyDescent="0.25">
      <c r="D590" s="3">
        <v>1</v>
      </c>
      <c r="F590" s="16" t="str" cm="1">
        <f t="array" ref="F5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0" s="31" cm="1">
        <f t="array" ref="G5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0" s="33" t="str">
        <f>_xlfn.IFNA(IF(MOD(HLG_04[[#This Row],[Rit]],
    _xlfn.XLOOKUP($G$2,Int_Sample[Ore],Int_Sample[Inc])) = 0, "YES", "NO"),"")</f>
        <v/>
      </c>
      <c r="I590" s="32" t="str">
        <f>TEXT(HLG_04[[#This Row],[Batch]],"000")&amp; " / " &amp; TEXT(HLG_04[[#This Row],[Rit]],"000")</f>
        <v>N/A / 000</v>
      </c>
      <c r="J590" s="34"/>
      <c r="K590" s="38"/>
      <c r="L590" s="35"/>
      <c r="M590" s="66"/>
      <c r="N590" s="66"/>
      <c r="O590" s="66"/>
      <c r="P590" s="66"/>
      <c r="Q590" s="66"/>
      <c r="R590" s="67"/>
      <c r="S590" s="67"/>
      <c r="T590" s="67"/>
      <c r="U590" s="66"/>
      <c r="V590" s="66"/>
      <c r="W590" s="66"/>
      <c r="X590" s="85"/>
      <c r="AP590" t="str">
        <v/>
      </c>
    </row>
    <row r="591" spans="4:42" ht="15.75" x14ac:dyDescent="0.25">
      <c r="D591" s="3">
        <v>1</v>
      </c>
      <c r="F591" s="16" t="str" cm="1">
        <f t="array" ref="F5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1" s="31" cm="1">
        <f t="array" ref="G5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1" s="33" t="str">
        <f>_xlfn.IFNA(IF(MOD(HLG_04[[#This Row],[Rit]],
    _xlfn.XLOOKUP($G$2,Int_Sample[Ore],Int_Sample[Inc])) = 0, "YES", "NO"),"")</f>
        <v/>
      </c>
      <c r="I591" s="32" t="str">
        <f>TEXT(HLG_04[[#This Row],[Batch]],"000")&amp; " / " &amp; TEXT(HLG_04[[#This Row],[Rit]],"000")</f>
        <v>N/A / 000</v>
      </c>
      <c r="J591" s="34"/>
      <c r="K591" s="38"/>
      <c r="L591" s="35"/>
      <c r="M591" s="66"/>
      <c r="N591" s="66"/>
      <c r="O591" s="66"/>
      <c r="P591" s="66"/>
      <c r="Q591" s="66"/>
      <c r="R591" s="67"/>
      <c r="S591" s="67"/>
      <c r="T591" s="67"/>
      <c r="U591" s="66"/>
      <c r="V591" s="66"/>
      <c r="W591" s="66"/>
      <c r="X591" s="85"/>
      <c r="AP591" t="str">
        <v/>
      </c>
    </row>
    <row r="592" spans="4:42" ht="15.75" x14ac:dyDescent="0.25">
      <c r="D592" s="3">
        <v>1</v>
      </c>
      <c r="F592" s="16" t="str" cm="1">
        <f t="array" ref="F5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2" s="31" cm="1">
        <f t="array" ref="G5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2" s="33" t="str">
        <f>_xlfn.IFNA(IF(MOD(HLG_04[[#This Row],[Rit]],
    _xlfn.XLOOKUP($G$2,Int_Sample[Ore],Int_Sample[Inc])) = 0, "YES", "NO"),"")</f>
        <v/>
      </c>
      <c r="I592" s="32" t="str">
        <f>TEXT(HLG_04[[#This Row],[Batch]],"000")&amp; " / " &amp; TEXT(HLG_04[[#This Row],[Rit]],"000")</f>
        <v>N/A / 000</v>
      </c>
      <c r="J592" s="34"/>
      <c r="K592" s="38"/>
      <c r="L592" s="35"/>
      <c r="M592" s="66"/>
      <c r="N592" s="66"/>
      <c r="O592" s="66"/>
      <c r="P592" s="66"/>
      <c r="Q592" s="66"/>
      <c r="R592" s="67"/>
      <c r="S592" s="67"/>
      <c r="T592" s="67"/>
      <c r="U592" s="66"/>
      <c r="V592" s="66"/>
      <c r="W592" s="66"/>
      <c r="X592" s="85"/>
      <c r="AP592" t="str">
        <v/>
      </c>
    </row>
    <row r="593" spans="4:42" ht="15.75" x14ac:dyDescent="0.25">
      <c r="D593" s="3">
        <v>1</v>
      </c>
      <c r="F593" s="16" t="str" cm="1">
        <f t="array" ref="F5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3" s="31" cm="1">
        <f t="array" ref="G5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3" s="33" t="str">
        <f>_xlfn.IFNA(IF(MOD(HLG_04[[#This Row],[Rit]],
    _xlfn.XLOOKUP($G$2,Int_Sample[Ore],Int_Sample[Inc])) = 0, "YES", "NO"),"")</f>
        <v/>
      </c>
      <c r="I593" s="32" t="str">
        <f>TEXT(HLG_04[[#This Row],[Batch]],"000")&amp; " / " &amp; TEXT(HLG_04[[#This Row],[Rit]],"000")</f>
        <v>N/A / 000</v>
      </c>
      <c r="J593" s="34"/>
      <c r="K593" s="38"/>
      <c r="L593" s="35"/>
      <c r="M593" s="66"/>
      <c r="N593" s="66"/>
      <c r="O593" s="66"/>
      <c r="P593" s="66"/>
      <c r="Q593" s="66"/>
      <c r="R593" s="67"/>
      <c r="S593" s="67"/>
      <c r="T593" s="67"/>
      <c r="U593" s="66"/>
      <c r="V593" s="66"/>
      <c r="W593" s="66"/>
      <c r="X593" s="85"/>
      <c r="AP593" t="str">
        <v/>
      </c>
    </row>
    <row r="594" spans="4:42" ht="15.75" x14ac:dyDescent="0.25">
      <c r="D594" s="3">
        <v>1</v>
      </c>
      <c r="F594" s="16" t="str" cm="1">
        <f t="array" ref="F5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4" s="31" cm="1">
        <f t="array" ref="G5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4" s="33" t="str">
        <f>_xlfn.IFNA(IF(MOD(HLG_04[[#This Row],[Rit]],
    _xlfn.XLOOKUP($G$2,Int_Sample[Ore],Int_Sample[Inc])) = 0, "YES", "NO"),"")</f>
        <v/>
      </c>
      <c r="I594" s="32" t="str">
        <f>TEXT(HLG_04[[#This Row],[Batch]],"000")&amp; " / " &amp; TEXT(HLG_04[[#This Row],[Rit]],"000")</f>
        <v>N/A / 000</v>
      </c>
      <c r="J594" s="34"/>
      <c r="K594" s="38"/>
      <c r="L594" s="35"/>
      <c r="M594" s="66"/>
      <c r="N594" s="66"/>
      <c r="O594" s="66"/>
      <c r="P594" s="66"/>
      <c r="Q594" s="66"/>
      <c r="R594" s="67"/>
      <c r="S594" s="67"/>
      <c r="T594" s="67"/>
      <c r="U594" s="66"/>
      <c r="V594" s="66"/>
      <c r="W594" s="66"/>
      <c r="X594" s="85"/>
      <c r="AP594" t="str">
        <v/>
      </c>
    </row>
    <row r="595" spans="4:42" ht="15.75" x14ac:dyDescent="0.25">
      <c r="D595" s="3">
        <v>1</v>
      </c>
      <c r="F595" s="16" t="str" cm="1">
        <f t="array" ref="F5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5" s="31" cm="1">
        <f t="array" ref="G5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5" s="33" t="str">
        <f>_xlfn.IFNA(IF(MOD(HLG_04[[#This Row],[Rit]],
    _xlfn.XLOOKUP($G$2,Int_Sample[Ore],Int_Sample[Inc])) = 0, "YES", "NO"),"")</f>
        <v/>
      </c>
      <c r="I595" s="32" t="str">
        <f>TEXT(HLG_04[[#This Row],[Batch]],"000")&amp; " / " &amp; TEXT(HLG_04[[#This Row],[Rit]],"000")</f>
        <v>N/A / 000</v>
      </c>
      <c r="J595" s="34"/>
      <c r="K595" s="38"/>
      <c r="L595" s="35"/>
      <c r="M595" s="66"/>
      <c r="N595" s="66"/>
      <c r="O595" s="66"/>
      <c r="P595" s="66"/>
      <c r="Q595" s="66"/>
      <c r="R595" s="67"/>
      <c r="S595" s="67"/>
      <c r="T595" s="67"/>
      <c r="U595" s="66"/>
      <c r="V595" s="66"/>
      <c r="W595" s="66"/>
      <c r="X595" s="85"/>
      <c r="AP595" t="str">
        <v/>
      </c>
    </row>
    <row r="596" spans="4:42" ht="15.75" x14ac:dyDescent="0.25">
      <c r="D596" s="3">
        <v>1</v>
      </c>
      <c r="F596" s="16" t="str" cm="1">
        <f t="array" ref="F5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6" s="31" cm="1">
        <f t="array" ref="G5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6" s="33" t="str">
        <f>_xlfn.IFNA(IF(MOD(HLG_04[[#This Row],[Rit]],
    _xlfn.XLOOKUP($G$2,Int_Sample[Ore],Int_Sample[Inc])) = 0, "YES", "NO"),"")</f>
        <v/>
      </c>
      <c r="I596" s="32" t="str">
        <f>TEXT(HLG_04[[#This Row],[Batch]],"000")&amp; " / " &amp; TEXT(HLG_04[[#This Row],[Rit]],"000")</f>
        <v>N/A / 000</v>
      </c>
      <c r="J596" s="34"/>
      <c r="K596" s="38"/>
      <c r="L596" s="35"/>
      <c r="M596" s="66"/>
      <c r="N596" s="66"/>
      <c r="O596" s="66"/>
      <c r="P596" s="66"/>
      <c r="Q596" s="66"/>
      <c r="R596" s="67"/>
      <c r="S596" s="67"/>
      <c r="T596" s="67"/>
      <c r="U596" s="66"/>
      <c r="V596" s="66"/>
      <c r="W596" s="66"/>
      <c r="X596" s="85"/>
      <c r="AP596" t="str">
        <v/>
      </c>
    </row>
    <row r="597" spans="4:42" ht="15.75" x14ac:dyDescent="0.25">
      <c r="D597" s="3">
        <v>1</v>
      </c>
      <c r="F597" s="16" t="str" cm="1">
        <f t="array" ref="F5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7" s="31" cm="1">
        <f t="array" ref="G5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7" s="33" t="str">
        <f>_xlfn.IFNA(IF(MOD(HLG_04[[#This Row],[Rit]],
    _xlfn.XLOOKUP($G$2,Int_Sample[Ore],Int_Sample[Inc])) = 0, "YES", "NO"),"")</f>
        <v/>
      </c>
      <c r="I597" s="32" t="str">
        <f>TEXT(HLG_04[[#This Row],[Batch]],"000")&amp; " / " &amp; TEXT(HLG_04[[#This Row],[Rit]],"000")</f>
        <v>N/A / 000</v>
      </c>
      <c r="J597" s="34"/>
      <c r="K597" s="38"/>
      <c r="L597" s="35"/>
      <c r="M597" s="66"/>
      <c r="N597" s="66"/>
      <c r="O597" s="66"/>
      <c r="P597" s="66"/>
      <c r="Q597" s="66"/>
      <c r="R597" s="67"/>
      <c r="S597" s="67"/>
      <c r="T597" s="67"/>
      <c r="U597" s="66"/>
      <c r="V597" s="66"/>
      <c r="W597" s="66"/>
      <c r="X597" s="85"/>
      <c r="AP597" t="str">
        <v/>
      </c>
    </row>
    <row r="598" spans="4:42" ht="15.75" x14ac:dyDescent="0.25">
      <c r="D598" s="3">
        <v>1</v>
      </c>
      <c r="F598" s="16" t="str" cm="1">
        <f t="array" ref="F5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8" s="31" cm="1">
        <f t="array" ref="G5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8" s="33" t="str">
        <f>_xlfn.IFNA(IF(MOD(HLG_04[[#This Row],[Rit]],
    _xlfn.XLOOKUP($G$2,Int_Sample[Ore],Int_Sample[Inc])) = 0, "YES", "NO"),"")</f>
        <v/>
      </c>
      <c r="I598" s="32" t="str">
        <f>TEXT(HLG_04[[#This Row],[Batch]],"000")&amp; " / " &amp; TEXT(HLG_04[[#This Row],[Rit]],"000")</f>
        <v>N/A / 000</v>
      </c>
      <c r="J598" s="34"/>
      <c r="K598" s="38"/>
      <c r="L598" s="35"/>
      <c r="M598" s="66"/>
      <c r="N598" s="66"/>
      <c r="O598" s="66"/>
      <c r="P598" s="66"/>
      <c r="Q598" s="66"/>
      <c r="R598" s="67"/>
      <c r="S598" s="67"/>
      <c r="T598" s="67"/>
      <c r="U598" s="66"/>
      <c r="V598" s="66"/>
      <c r="W598" s="66"/>
      <c r="X598" s="85"/>
      <c r="AP598" t="str">
        <v/>
      </c>
    </row>
    <row r="599" spans="4:42" ht="15.75" x14ac:dyDescent="0.25">
      <c r="D599" s="3">
        <v>1</v>
      </c>
      <c r="F599" s="16" t="str" cm="1">
        <f t="array" ref="F5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9" s="31" cm="1">
        <f t="array" ref="G5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9" s="33" t="str">
        <f>_xlfn.IFNA(IF(MOD(HLG_04[[#This Row],[Rit]],
    _xlfn.XLOOKUP($G$2,Int_Sample[Ore],Int_Sample[Inc])) = 0, "YES", "NO"),"")</f>
        <v/>
      </c>
      <c r="I599" s="32" t="str">
        <f>TEXT(HLG_04[[#This Row],[Batch]],"000")&amp; " / " &amp; TEXT(HLG_04[[#This Row],[Rit]],"000")</f>
        <v>N/A / 000</v>
      </c>
      <c r="J599" s="34"/>
      <c r="K599" s="38"/>
      <c r="L599" s="35"/>
      <c r="M599" s="66"/>
      <c r="N599" s="66"/>
      <c r="O599" s="66"/>
      <c r="P599" s="66"/>
      <c r="Q599" s="66"/>
      <c r="R599" s="67"/>
      <c r="S599" s="67"/>
      <c r="T599" s="67"/>
      <c r="U599" s="66"/>
      <c r="V599" s="66"/>
      <c r="W599" s="66"/>
      <c r="X599" s="85"/>
      <c r="AP599" t="str">
        <v/>
      </c>
    </row>
    <row r="600" spans="4:42" ht="15.75" x14ac:dyDescent="0.25">
      <c r="D600" s="3">
        <v>1</v>
      </c>
      <c r="F600" s="16" t="str" cm="1">
        <f t="array" ref="F6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0" s="31" cm="1">
        <f t="array" ref="G6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0" s="33" t="str">
        <f>_xlfn.IFNA(IF(MOD(HLG_04[[#This Row],[Rit]],
    _xlfn.XLOOKUP($G$2,Int_Sample[Ore],Int_Sample[Inc])) = 0, "YES", "NO"),"")</f>
        <v/>
      </c>
      <c r="I600" s="32" t="str">
        <f>TEXT(HLG_04[[#This Row],[Batch]],"000")&amp; " / " &amp; TEXT(HLG_04[[#This Row],[Rit]],"000")</f>
        <v>N/A / 000</v>
      </c>
      <c r="J600" s="34"/>
      <c r="K600" s="38"/>
      <c r="L600" s="35"/>
      <c r="M600" s="66"/>
      <c r="N600" s="66"/>
      <c r="O600" s="66"/>
      <c r="P600" s="66"/>
      <c r="Q600" s="66"/>
      <c r="R600" s="67"/>
      <c r="S600" s="67"/>
      <c r="T600" s="67"/>
      <c r="U600" s="66"/>
      <c r="V600" s="66"/>
      <c r="W600" s="66"/>
      <c r="X600" s="85"/>
      <c r="AP600" t="str">
        <v/>
      </c>
    </row>
    <row r="601" spans="4:42" ht="15.75" x14ac:dyDescent="0.25">
      <c r="D601" s="3">
        <v>1</v>
      </c>
      <c r="F601" s="16" t="str" cm="1">
        <f t="array" ref="F6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1" s="31" cm="1">
        <f t="array" ref="G6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1" s="33" t="str">
        <f>_xlfn.IFNA(IF(MOD(HLG_04[[#This Row],[Rit]],
    _xlfn.XLOOKUP($G$2,Int_Sample[Ore],Int_Sample[Inc])) = 0, "YES", "NO"),"")</f>
        <v/>
      </c>
      <c r="I601" s="32" t="str">
        <f>TEXT(HLG_04[[#This Row],[Batch]],"000")&amp; " / " &amp; TEXT(HLG_04[[#This Row],[Rit]],"000")</f>
        <v>N/A / 000</v>
      </c>
      <c r="J601" s="34"/>
      <c r="K601" s="38"/>
      <c r="L601" s="35"/>
      <c r="M601" s="66"/>
      <c r="N601" s="66"/>
      <c r="O601" s="66"/>
      <c r="P601" s="66"/>
      <c r="Q601" s="66"/>
      <c r="R601" s="67"/>
      <c r="S601" s="67"/>
      <c r="T601" s="67"/>
      <c r="U601" s="66"/>
      <c r="V601" s="66"/>
      <c r="W601" s="66"/>
      <c r="X601" s="85"/>
      <c r="AP601" t="str">
        <v/>
      </c>
    </row>
    <row r="602" spans="4:42" ht="15.75" x14ac:dyDescent="0.25">
      <c r="D602" s="3">
        <v>1</v>
      </c>
      <c r="F602" s="16" t="str" cm="1">
        <f t="array" ref="F6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2" s="31" cm="1">
        <f t="array" ref="G6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2" s="33" t="str">
        <f>_xlfn.IFNA(IF(MOD(HLG_04[[#This Row],[Rit]],
    _xlfn.XLOOKUP($G$2,Int_Sample[Ore],Int_Sample[Inc])) = 0, "YES", "NO"),"")</f>
        <v/>
      </c>
      <c r="I602" s="32" t="str">
        <f>TEXT(HLG_04[[#This Row],[Batch]],"000")&amp; " / " &amp; TEXT(HLG_04[[#This Row],[Rit]],"000")</f>
        <v>N/A / 000</v>
      </c>
      <c r="J602" s="34"/>
      <c r="K602" s="38"/>
      <c r="L602" s="35"/>
      <c r="M602" s="66"/>
      <c r="N602" s="66"/>
      <c r="O602" s="66"/>
      <c r="P602" s="66"/>
      <c r="Q602" s="66"/>
      <c r="R602" s="67"/>
      <c r="S602" s="67"/>
      <c r="T602" s="67"/>
      <c r="U602" s="66"/>
      <c r="V602" s="66"/>
      <c r="W602" s="66"/>
      <c r="X602" s="85"/>
      <c r="AP602" t="str">
        <v/>
      </c>
    </row>
    <row r="603" spans="4:42" ht="15.75" x14ac:dyDescent="0.25">
      <c r="D603" s="3">
        <v>1</v>
      </c>
      <c r="F603" s="16" t="str" cm="1">
        <f t="array" ref="F6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3" s="31" cm="1">
        <f t="array" ref="G6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3" s="33" t="str">
        <f>_xlfn.IFNA(IF(MOD(HLG_04[[#This Row],[Rit]],
    _xlfn.XLOOKUP($G$2,Int_Sample[Ore],Int_Sample[Inc])) = 0, "YES", "NO"),"")</f>
        <v/>
      </c>
      <c r="I603" s="32" t="str">
        <f>TEXT(HLG_04[[#This Row],[Batch]],"000")&amp; " / " &amp; TEXT(HLG_04[[#This Row],[Rit]],"000")</f>
        <v>N/A / 000</v>
      </c>
      <c r="J603" s="34"/>
      <c r="K603" s="38"/>
      <c r="L603" s="35"/>
      <c r="M603" s="66"/>
      <c r="N603" s="66"/>
      <c r="O603" s="66"/>
      <c r="P603" s="66"/>
      <c r="Q603" s="66"/>
      <c r="R603" s="67"/>
      <c r="S603" s="67"/>
      <c r="T603" s="67"/>
      <c r="U603" s="66"/>
      <c r="V603" s="66"/>
      <c r="W603" s="66"/>
      <c r="X603" s="85"/>
      <c r="AP603" t="str">
        <v/>
      </c>
    </row>
    <row r="604" spans="4:42" ht="15.75" x14ac:dyDescent="0.25">
      <c r="D604" s="3">
        <v>1</v>
      </c>
      <c r="F604" s="16" t="str" cm="1">
        <f t="array" ref="F6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4" s="31" cm="1">
        <f t="array" ref="G6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4" s="33" t="str">
        <f>_xlfn.IFNA(IF(MOD(HLG_04[[#This Row],[Rit]],
    _xlfn.XLOOKUP($G$2,Int_Sample[Ore],Int_Sample[Inc])) = 0, "YES", "NO"),"")</f>
        <v/>
      </c>
      <c r="I604" s="32" t="str">
        <f>TEXT(HLG_04[[#This Row],[Batch]],"000")&amp; " / " &amp; TEXT(HLG_04[[#This Row],[Rit]],"000")</f>
        <v>N/A / 000</v>
      </c>
      <c r="J604" s="34"/>
      <c r="K604" s="38"/>
      <c r="L604" s="35"/>
      <c r="M604" s="66"/>
      <c r="N604" s="66"/>
      <c r="O604" s="66"/>
      <c r="P604" s="66"/>
      <c r="Q604" s="66"/>
      <c r="R604" s="67"/>
      <c r="S604" s="67"/>
      <c r="T604" s="67"/>
      <c r="U604" s="66"/>
      <c r="V604" s="66"/>
      <c r="W604" s="66"/>
      <c r="X604" s="85"/>
      <c r="AP604" t="str">
        <v/>
      </c>
    </row>
    <row r="605" spans="4:42" ht="15.75" x14ac:dyDescent="0.25">
      <c r="D605" s="3">
        <v>1</v>
      </c>
      <c r="F605" s="16" t="str" cm="1">
        <f t="array" ref="F6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5" s="31" cm="1">
        <f t="array" ref="G6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5" s="33" t="str">
        <f>_xlfn.IFNA(IF(MOD(HLG_04[[#This Row],[Rit]],
    _xlfn.XLOOKUP($G$2,Int_Sample[Ore],Int_Sample[Inc])) = 0, "YES", "NO"),"")</f>
        <v/>
      </c>
      <c r="I605" s="32" t="str">
        <f>TEXT(HLG_04[[#This Row],[Batch]],"000")&amp; " / " &amp; TEXT(HLG_04[[#This Row],[Rit]],"000")</f>
        <v>N/A / 000</v>
      </c>
      <c r="J605" s="34"/>
      <c r="K605" s="38"/>
      <c r="L605" s="35"/>
      <c r="M605" s="66"/>
      <c r="N605" s="66"/>
      <c r="O605" s="66"/>
      <c r="P605" s="66"/>
      <c r="Q605" s="66"/>
      <c r="R605" s="67"/>
      <c r="S605" s="67"/>
      <c r="T605" s="67"/>
      <c r="U605" s="66"/>
      <c r="V605" s="66"/>
      <c r="W605" s="66"/>
      <c r="X605" s="85"/>
      <c r="AP605" t="str">
        <v/>
      </c>
    </row>
    <row r="606" spans="4:42" ht="15.75" x14ac:dyDescent="0.25">
      <c r="D606" s="3">
        <v>1</v>
      </c>
      <c r="F606" s="16" t="str" cm="1">
        <f t="array" ref="F6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6" s="31" cm="1">
        <f t="array" ref="G6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6" s="33" t="str">
        <f>_xlfn.IFNA(IF(MOD(HLG_04[[#This Row],[Rit]],
    _xlfn.XLOOKUP($G$2,Int_Sample[Ore],Int_Sample[Inc])) = 0, "YES", "NO"),"")</f>
        <v/>
      </c>
      <c r="I606" s="32" t="str">
        <f>TEXT(HLG_04[[#This Row],[Batch]],"000")&amp; " / " &amp; TEXT(HLG_04[[#This Row],[Rit]],"000")</f>
        <v>N/A / 000</v>
      </c>
      <c r="J606" s="34"/>
      <c r="K606" s="38"/>
      <c r="L606" s="35"/>
      <c r="M606" s="66"/>
      <c r="N606" s="66"/>
      <c r="O606" s="66"/>
      <c r="P606" s="66"/>
      <c r="Q606" s="66"/>
      <c r="R606" s="67"/>
      <c r="S606" s="67"/>
      <c r="T606" s="67"/>
      <c r="U606" s="66"/>
      <c r="V606" s="66"/>
      <c r="W606" s="66"/>
      <c r="X606" s="85"/>
      <c r="AP606" t="str">
        <v/>
      </c>
    </row>
    <row r="607" spans="4:42" ht="15.75" x14ac:dyDescent="0.25">
      <c r="D607" s="3">
        <v>1</v>
      </c>
      <c r="F607" s="16" t="str" cm="1">
        <f t="array" ref="F6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7" s="31" cm="1">
        <f t="array" ref="G6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7" s="33" t="str">
        <f>_xlfn.IFNA(IF(MOD(HLG_04[[#This Row],[Rit]],
    _xlfn.XLOOKUP($G$2,Int_Sample[Ore],Int_Sample[Inc])) = 0, "YES", "NO"),"")</f>
        <v/>
      </c>
      <c r="I607" s="32" t="str">
        <f>TEXT(HLG_04[[#This Row],[Batch]],"000")&amp; " / " &amp; TEXT(HLG_04[[#This Row],[Rit]],"000")</f>
        <v>N/A / 000</v>
      </c>
      <c r="J607" s="34"/>
      <c r="K607" s="38"/>
      <c r="L607" s="35"/>
      <c r="M607" s="66"/>
      <c r="N607" s="66"/>
      <c r="O607" s="66"/>
      <c r="P607" s="66"/>
      <c r="Q607" s="66"/>
      <c r="R607" s="67"/>
      <c r="S607" s="67"/>
      <c r="T607" s="67"/>
      <c r="U607" s="66"/>
      <c r="V607" s="66"/>
      <c r="W607" s="66"/>
      <c r="X607" s="85"/>
      <c r="AP607" t="str">
        <v/>
      </c>
    </row>
    <row r="608" spans="4:42" ht="15.75" x14ac:dyDescent="0.25">
      <c r="D608" s="3">
        <v>1</v>
      </c>
      <c r="F608" s="16" t="str" cm="1">
        <f t="array" ref="F6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8" s="31" cm="1">
        <f t="array" ref="G6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8" s="33" t="str">
        <f>_xlfn.IFNA(IF(MOD(HLG_04[[#This Row],[Rit]],
    _xlfn.XLOOKUP($G$2,Int_Sample[Ore],Int_Sample[Inc])) = 0, "YES", "NO"),"")</f>
        <v/>
      </c>
      <c r="I608" s="32" t="str">
        <f>TEXT(HLG_04[[#This Row],[Batch]],"000")&amp; " / " &amp; TEXT(HLG_04[[#This Row],[Rit]],"000")</f>
        <v>N/A / 000</v>
      </c>
      <c r="J608" s="34"/>
      <c r="K608" s="38"/>
      <c r="L608" s="35"/>
      <c r="M608" s="66"/>
      <c r="N608" s="66"/>
      <c r="O608" s="66"/>
      <c r="P608" s="66"/>
      <c r="Q608" s="66"/>
      <c r="R608" s="67"/>
      <c r="S608" s="67"/>
      <c r="T608" s="67"/>
      <c r="U608" s="66"/>
      <c r="V608" s="66"/>
      <c r="W608" s="66"/>
      <c r="X608" s="85"/>
      <c r="AP608" t="str">
        <v/>
      </c>
    </row>
    <row r="609" spans="4:42" ht="15.75" x14ac:dyDescent="0.25">
      <c r="D609" s="3">
        <v>1</v>
      </c>
      <c r="F609" s="16" t="str" cm="1">
        <f t="array" ref="F6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9" s="31" cm="1">
        <f t="array" ref="G6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9" s="33" t="str">
        <f>_xlfn.IFNA(IF(MOD(HLG_04[[#This Row],[Rit]],
    _xlfn.XLOOKUP($G$2,Int_Sample[Ore],Int_Sample[Inc])) = 0, "YES", "NO"),"")</f>
        <v/>
      </c>
      <c r="I609" s="32" t="str">
        <f>TEXT(HLG_04[[#This Row],[Batch]],"000")&amp; " / " &amp; TEXT(HLG_04[[#This Row],[Rit]],"000")</f>
        <v>N/A / 000</v>
      </c>
      <c r="J609" s="34"/>
      <c r="K609" s="38"/>
      <c r="L609" s="35"/>
      <c r="M609" s="66"/>
      <c r="N609" s="66"/>
      <c r="O609" s="66"/>
      <c r="P609" s="66"/>
      <c r="Q609" s="66"/>
      <c r="R609" s="67"/>
      <c r="S609" s="67"/>
      <c r="T609" s="67"/>
      <c r="U609" s="66"/>
      <c r="V609" s="66"/>
      <c r="W609" s="66"/>
      <c r="X609" s="85"/>
      <c r="AP609" t="str">
        <v/>
      </c>
    </row>
    <row r="610" spans="4:42" ht="15.75" x14ac:dyDescent="0.25">
      <c r="D610" s="3">
        <v>1</v>
      </c>
      <c r="F610" s="16" t="str" cm="1">
        <f t="array" ref="F6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0" s="31" cm="1">
        <f t="array" ref="G6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0" s="33" t="str">
        <f>_xlfn.IFNA(IF(MOD(HLG_04[[#This Row],[Rit]],
    _xlfn.XLOOKUP($G$2,Int_Sample[Ore],Int_Sample[Inc])) = 0, "YES", "NO"),"")</f>
        <v/>
      </c>
      <c r="I610" s="32" t="str">
        <f>TEXT(HLG_04[[#This Row],[Batch]],"000")&amp; " / " &amp; TEXT(HLG_04[[#This Row],[Rit]],"000")</f>
        <v>N/A / 000</v>
      </c>
      <c r="J610" s="34"/>
      <c r="K610" s="38"/>
      <c r="L610" s="35"/>
      <c r="M610" s="66"/>
      <c r="N610" s="66"/>
      <c r="O610" s="66"/>
      <c r="P610" s="66"/>
      <c r="Q610" s="66"/>
      <c r="R610" s="67"/>
      <c r="S610" s="67"/>
      <c r="T610" s="67"/>
      <c r="U610" s="66"/>
      <c r="V610" s="66"/>
      <c r="W610" s="66"/>
      <c r="X610" s="85"/>
      <c r="AP610" t="str">
        <v/>
      </c>
    </row>
    <row r="611" spans="4:42" ht="15.75" x14ac:dyDescent="0.25">
      <c r="D611" s="3">
        <v>1</v>
      </c>
      <c r="F611" s="16" t="str" cm="1">
        <f t="array" ref="F6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1" s="31" cm="1">
        <f t="array" ref="G6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1" s="33" t="str">
        <f>_xlfn.IFNA(IF(MOD(HLG_04[[#This Row],[Rit]],
    _xlfn.XLOOKUP($G$2,Int_Sample[Ore],Int_Sample[Inc])) = 0, "YES", "NO"),"")</f>
        <v/>
      </c>
      <c r="I611" s="32" t="str">
        <f>TEXT(HLG_04[[#This Row],[Batch]],"000")&amp; " / " &amp; TEXT(HLG_04[[#This Row],[Rit]],"000")</f>
        <v>N/A / 000</v>
      </c>
      <c r="J611" s="34"/>
      <c r="K611" s="38"/>
      <c r="L611" s="35"/>
      <c r="M611" s="66"/>
      <c r="N611" s="66"/>
      <c r="O611" s="66"/>
      <c r="P611" s="66"/>
      <c r="Q611" s="66"/>
      <c r="R611" s="67"/>
      <c r="S611" s="67"/>
      <c r="T611" s="67"/>
      <c r="U611" s="66"/>
      <c r="V611" s="66"/>
      <c r="W611" s="66"/>
      <c r="X611" s="85"/>
      <c r="AP611" t="str">
        <v/>
      </c>
    </row>
    <row r="612" spans="4:42" ht="15.75" x14ac:dyDescent="0.25">
      <c r="D612" s="3">
        <v>1</v>
      </c>
      <c r="F612" s="16" t="str" cm="1">
        <f t="array" ref="F6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2" s="31" cm="1">
        <f t="array" ref="G6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2" s="33" t="str">
        <f>_xlfn.IFNA(IF(MOD(HLG_04[[#This Row],[Rit]],
    _xlfn.XLOOKUP($G$2,Int_Sample[Ore],Int_Sample[Inc])) = 0, "YES", "NO"),"")</f>
        <v/>
      </c>
      <c r="I612" s="32" t="str">
        <f>TEXT(HLG_04[[#This Row],[Batch]],"000")&amp; " / " &amp; TEXT(HLG_04[[#This Row],[Rit]],"000")</f>
        <v>N/A / 000</v>
      </c>
      <c r="J612" s="34"/>
      <c r="K612" s="38"/>
      <c r="L612" s="35"/>
      <c r="M612" s="66"/>
      <c r="N612" s="66"/>
      <c r="O612" s="66"/>
      <c r="P612" s="66"/>
      <c r="Q612" s="66"/>
      <c r="R612" s="67"/>
      <c r="S612" s="67"/>
      <c r="T612" s="67"/>
      <c r="U612" s="66"/>
      <c r="V612" s="66"/>
      <c r="W612" s="66"/>
      <c r="X612" s="85"/>
      <c r="AP612" t="str">
        <v/>
      </c>
    </row>
    <row r="613" spans="4:42" ht="15.75" x14ac:dyDescent="0.25">
      <c r="D613" s="3">
        <v>1</v>
      </c>
      <c r="F613" s="16" t="str" cm="1">
        <f t="array" ref="F6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3" s="31" cm="1">
        <f t="array" ref="G6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3" s="33" t="str">
        <f>_xlfn.IFNA(IF(MOD(HLG_04[[#This Row],[Rit]],
    _xlfn.XLOOKUP($G$2,Int_Sample[Ore],Int_Sample[Inc])) = 0, "YES", "NO"),"")</f>
        <v/>
      </c>
      <c r="I613" s="32" t="str">
        <f>TEXT(HLG_04[[#This Row],[Batch]],"000")&amp; " / " &amp; TEXT(HLG_04[[#This Row],[Rit]],"000")</f>
        <v>N/A / 000</v>
      </c>
      <c r="J613" s="34"/>
      <c r="K613" s="38"/>
      <c r="L613" s="35"/>
      <c r="M613" s="66"/>
      <c r="N613" s="66"/>
      <c r="O613" s="66"/>
      <c r="P613" s="66"/>
      <c r="Q613" s="66"/>
      <c r="R613" s="67"/>
      <c r="S613" s="67"/>
      <c r="T613" s="67"/>
      <c r="U613" s="66"/>
      <c r="V613" s="66"/>
      <c r="W613" s="66"/>
      <c r="X613" s="85"/>
      <c r="AP613" t="str">
        <v/>
      </c>
    </row>
    <row r="614" spans="4:42" ht="15.75" x14ac:dyDescent="0.25">
      <c r="D614" s="3">
        <v>1</v>
      </c>
      <c r="F614" s="16" t="str" cm="1">
        <f t="array" ref="F6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4" s="31" cm="1">
        <f t="array" ref="G6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4" s="33" t="str">
        <f>_xlfn.IFNA(IF(MOD(HLG_04[[#This Row],[Rit]],
    _xlfn.XLOOKUP($G$2,Int_Sample[Ore],Int_Sample[Inc])) = 0, "YES", "NO"),"")</f>
        <v/>
      </c>
      <c r="I614" s="32" t="str">
        <f>TEXT(HLG_04[[#This Row],[Batch]],"000")&amp; " / " &amp; TEXT(HLG_04[[#This Row],[Rit]],"000")</f>
        <v>N/A / 000</v>
      </c>
      <c r="J614" s="34"/>
      <c r="K614" s="38"/>
      <c r="L614" s="35"/>
      <c r="M614" s="66"/>
      <c r="N614" s="66"/>
      <c r="O614" s="66"/>
      <c r="P614" s="66"/>
      <c r="Q614" s="66"/>
      <c r="R614" s="67"/>
      <c r="S614" s="67"/>
      <c r="T614" s="67"/>
      <c r="U614" s="66"/>
      <c r="V614" s="66"/>
      <c r="W614" s="66"/>
      <c r="X614" s="85"/>
      <c r="AP614" t="str">
        <v/>
      </c>
    </row>
    <row r="615" spans="4:42" ht="15.75" x14ac:dyDescent="0.25">
      <c r="D615" s="3">
        <v>1</v>
      </c>
      <c r="F615" s="16" t="str" cm="1">
        <f t="array" ref="F6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5" s="31" cm="1">
        <f t="array" ref="G6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5" s="33" t="str">
        <f>_xlfn.IFNA(IF(MOD(HLG_04[[#This Row],[Rit]],
    _xlfn.XLOOKUP($G$2,Int_Sample[Ore],Int_Sample[Inc])) = 0, "YES", "NO"),"")</f>
        <v/>
      </c>
      <c r="I615" s="32" t="str">
        <f>TEXT(HLG_04[[#This Row],[Batch]],"000")&amp; " / " &amp; TEXT(HLG_04[[#This Row],[Rit]],"000")</f>
        <v>N/A / 000</v>
      </c>
      <c r="J615" s="34"/>
      <c r="K615" s="38"/>
      <c r="L615" s="35"/>
      <c r="M615" s="66"/>
      <c r="N615" s="66"/>
      <c r="O615" s="66"/>
      <c r="P615" s="66"/>
      <c r="Q615" s="66"/>
      <c r="R615" s="67"/>
      <c r="S615" s="67"/>
      <c r="T615" s="67"/>
      <c r="U615" s="66"/>
      <c r="V615" s="66"/>
      <c r="W615" s="66"/>
      <c r="X615" s="85"/>
      <c r="AP615" t="str">
        <v/>
      </c>
    </row>
    <row r="616" spans="4:42" ht="15.75" x14ac:dyDescent="0.25">
      <c r="D616" s="3">
        <v>1</v>
      </c>
      <c r="F616" s="16" t="str" cm="1">
        <f t="array" ref="F6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6" s="31" cm="1">
        <f t="array" ref="G6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6" s="33" t="str">
        <f>_xlfn.IFNA(IF(MOD(HLG_04[[#This Row],[Rit]],
    _xlfn.XLOOKUP($G$2,Int_Sample[Ore],Int_Sample[Inc])) = 0, "YES", "NO"),"")</f>
        <v/>
      </c>
      <c r="I616" s="32" t="str">
        <f>TEXT(HLG_04[[#This Row],[Batch]],"000")&amp; " / " &amp; TEXT(HLG_04[[#This Row],[Rit]],"000")</f>
        <v>N/A / 000</v>
      </c>
      <c r="J616" s="34"/>
      <c r="K616" s="38"/>
      <c r="L616" s="35"/>
      <c r="M616" s="66"/>
      <c r="N616" s="66"/>
      <c r="O616" s="66"/>
      <c r="P616" s="66"/>
      <c r="Q616" s="66"/>
      <c r="R616" s="67"/>
      <c r="S616" s="67"/>
      <c r="T616" s="67"/>
      <c r="U616" s="66"/>
      <c r="V616" s="66"/>
      <c r="W616" s="66"/>
      <c r="X616" s="85"/>
      <c r="AP616" t="str">
        <v/>
      </c>
    </row>
    <row r="617" spans="4:42" ht="15.75" x14ac:dyDescent="0.25">
      <c r="D617" s="3">
        <v>1</v>
      </c>
      <c r="F617" s="16" t="str" cm="1">
        <f t="array" ref="F6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7" s="31" cm="1">
        <f t="array" ref="G6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7" s="33" t="str">
        <f>_xlfn.IFNA(IF(MOD(HLG_04[[#This Row],[Rit]],
    _xlfn.XLOOKUP($G$2,Int_Sample[Ore],Int_Sample[Inc])) = 0, "YES", "NO"),"")</f>
        <v/>
      </c>
      <c r="I617" s="32" t="str">
        <f>TEXT(HLG_04[[#This Row],[Batch]],"000")&amp; " / " &amp; TEXT(HLG_04[[#This Row],[Rit]],"000")</f>
        <v>N/A / 000</v>
      </c>
      <c r="J617" s="34"/>
      <c r="K617" s="38"/>
      <c r="L617" s="35"/>
      <c r="M617" s="66"/>
      <c r="N617" s="66"/>
      <c r="O617" s="66"/>
      <c r="P617" s="66"/>
      <c r="Q617" s="66"/>
      <c r="R617" s="67"/>
      <c r="S617" s="67"/>
      <c r="T617" s="67"/>
      <c r="U617" s="66"/>
      <c r="V617" s="66"/>
      <c r="W617" s="66"/>
      <c r="X617" s="85"/>
      <c r="AP617" t="str">
        <v/>
      </c>
    </row>
    <row r="618" spans="4:42" ht="15.75" x14ac:dyDescent="0.25">
      <c r="D618" s="3">
        <v>1</v>
      </c>
      <c r="F618" s="16" t="str" cm="1">
        <f t="array" ref="F6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8" s="31" cm="1">
        <f t="array" ref="G6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8" s="33" t="str">
        <f>_xlfn.IFNA(IF(MOD(HLG_04[[#This Row],[Rit]],
    _xlfn.XLOOKUP($G$2,Int_Sample[Ore],Int_Sample[Inc])) = 0, "YES", "NO"),"")</f>
        <v/>
      </c>
      <c r="I618" s="32" t="str">
        <f>TEXT(HLG_04[[#This Row],[Batch]],"000")&amp; " / " &amp; TEXT(HLG_04[[#This Row],[Rit]],"000")</f>
        <v>N/A / 000</v>
      </c>
      <c r="J618" s="34"/>
      <c r="K618" s="38"/>
      <c r="L618" s="35"/>
      <c r="M618" s="66"/>
      <c r="N618" s="66"/>
      <c r="O618" s="66"/>
      <c r="P618" s="66"/>
      <c r="Q618" s="66"/>
      <c r="R618" s="67"/>
      <c r="S618" s="67"/>
      <c r="T618" s="67"/>
      <c r="U618" s="66"/>
      <c r="V618" s="66"/>
      <c r="W618" s="66"/>
      <c r="X618" s="85"/>
      <c r="AP618" t="str">
        <v/>
      </c>
    </row>
    <row r="619" spans="4:42" ht="15.75" x14ac:dyDescent="0.25">
      <c r="D619" s="3">
        <v>1</v>
      </c>
      <c r="F619" s="16" t="str" cm="1">
        <f t="array" ref="F6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9" s="31" cm="1">
        <f t="array" ref="G6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9" s="33" t="str">
        <f>_xlfn.IFNA(IF(MOD(HLG_04[[#This Row],[Rit]],
    _xlfn.XLOOKUP($G$2,Int_Sample[Ore],Int_Sample[Inc])) = 0, "YES", "NO"),"")</f>
        <v/>
      </c>
      <c r="I619" s="32" t="str">
        <f>TEXT(HLG_04[[#This Row],[Batch]],"000")&amp; " / " &amp; TEXT(HLG_04[[#This Row],[Rit]],"000")</f>
        <v>N/A / 000</v>
      </c>
      <c r="J619" s="34"/>
      <c r="K619" s="38"/>
      <c r="L619" s="35"/>
      <c r="M619" s="66"/>
      <c r="N619" s="66"/>
      <c r="O619" s="66"/>
      <c r="P619" s="66"/>
      <c r="Q619" s="66"/>
      <c r="R619" s="67"/>
      <c r="S619" s="67"/>
      <c r="T619" s="67"/>
      <c r="U619" s="66"/>
      <c r="V619" s="66"/>
      <c r="W619" s="66"/>
      <c r="X619" s="85"/>
      <c r="AP619" t="str">
        <v/>
      </c>
    </row>
    <row r="620" spans="4:42" ht="15.75" x14ac:dyDescent="0.25">
      <c r="D620" s="3">
        <v>1</v>
      </c>
      <c r="F620" s="16" t="str" cm="1">
        <f t="array" ref="F6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0" s="31" cm="1">
        <f t="array" ref="G6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0" s="33" t="str">
        <f>_xlfn.IFNA(IF(MOD(HLG_04[[#This Row],[Rit]],
    _xlfn.XLOOKUP($G$2,Int_Sample[Ore],Int_Sample[Inc])) = 0, "YES", "NO"),"")</f>
        <v/>
      </c>
      <c r="I620" s="32" t="str">
        <f>TEXT(HLG_04[[#This Row],[Batch]],"000")&amp; " / " &amp; TEXT(HLG_04[[#This Row],[Rit]],"000")</f>
        <v>N/A / 000</v>
      </c>
      <c r="J620" s="34"/>
      <c r="K620" s="38"/>
      <c r="L620" s="35"/>
      <c r="M620" s="66"/>
      <c r="N620" s="66"/>
      <c r="O620" s="66"/>
      <c r="P620" s="66"/>
      <c r="Q620" s="66"/>
      <c r="R620" s="67"/>
      <c r="S620" s="67"/>
      <c r="T620" s="67"/>
      <c r="U620" s="66"/>
      <c r="V620" s="66"/>
      <c r="W620" s="66"/>
      <c r="X620" s="85"/>
      <c r="AP620" t="str">
        <v/>
      </c>
    </row>
    <row r="621" spans="4:42" ht="15.75" x14ac:dyDescent="0.25">
      <c r="D621" s="3">
        <v>1</v>
      </c>
      <c r="F621" s="16" t="str" cm="1">
        <f t="array" ref="F6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1" s="31" cm="1">
        <f t="array" ref="G6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1" s="33" t="str">
        <f>_xlfn.IFNA(IF(MOD(HLG_04[[#This Row],[Rit]],
    _xlfn.XLOOKUP($G$2,Int_Sample[Ore],Int_Sample[Inc])) = 0, "YES", "NO"),"")</f>
        <v/>
      </c>
      <c r="I621" s="32" t="str">
        <f>TEXT(HLG_04[[#This Row],[Batch]],"000")&amp; " / " &amp; TEXT(HLG_04[[#This Row],[Rit]],"000")</f>
        <v>N/A / 000</v>
      </c>
      <c r="J621" s="34"/>
      <c r="K621" s="38"/>
      <c r="L621" s="35"/>
      <c r="M621" s="66"/>
      <c r="N621" s="66"/>
      <c r="O621" s="66"/>
      <c r="P621" s="66"/>
      <c r="Q621" s="66"/>
      <c r="R621" s="67"/>
      <c r="S621" s="67"/>
      <c r="T621" s="67"/>
      <c r="U621" s="66"/>
      <c r="V621" s="66"/>
      <c r="W621" s="66"/>
      <c r="X621" s="85"/>
      <c r="AP621" t="str">
        <v/>
      </c>
    </row>
    <row r="622" spans="4:42" ht="15.75" x14ac:dyDescent="0.25">
      <c r="D622" s="3">
        <v>1</v>
      </c>
      <c r="F622" s="16" t="str" cm="1">
        <f t="array" ref="F6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2" s="31" cm="1">
        <f t="array" ref="G6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2" s="33" t="str">
        <f>_xlfn.IFNA(IF(MOD(HLG_04[[#This Row],[Rit]],
    _xlfn.XLOOKUP($G$2,Int_Sample[Ore],Int_Sample[Inc])) = 0, "YES", "NO"),"")</f>
        <v/>
      </c>
      <c r="I622" s="32" t="str">
        <f>TEXT(HLG_04[[#This Row],[Batch]],"000")&amp; " / " &amp; TEXT(HLG_04[[#This Row],[Rit]],"000")</f>
        <v>N/A / 000</v>
      </c>
      <c r="J622" s="34"/>
      <c r="K622" s="38"/>
      <c r="L622" s="35"/>
      <c r="M622" s="66"/>
      <c r="N622" s="66"/>
      <c r="O622" s="66"/>
      <c r="P622" s="66"/>
      <c r="Q622" s="66"/>
      <c r="R622" s="67"/>
      <c r="S622" s="67"/>
      <c r="T622" s="67"/>
      <c r="U622" s="66"/>
      <c r="V622" s="66"/>
      <c r="W622" s="66"/>
      <c r="X622" s="85"/>
      <c r="AP622" t="str">
        <v/>
      </c>
    </row>
    <row r="623" spans="4:42" ht="15.75" x14ac:dyDescent="0.25">
      <c r="D623" s="3">
        <v>1</v>
      </c>
      <c r="F623" s="16" t="str" cm="1">
        <f t="array" ref="F6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3" s="31" cm="1">
        <f t="array" ref="G6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3" s="33" t="str">
        <f>_xlfn.IFNA(IF(MOD(HLG_04[[#This Row],[Rit]],
    _xlfn.XLOOKUP($G$2,Int_Sample[Ore],Int_Sample[Inc])) = 0, "YES", "NO"),"")</f>
        <v/>
      </c>
      <c r="I623" s="32" t="str">
        <f>TEXT(HLG_04[[#This Row],[Batch]],"000")&amp; " / " &amp; TEXT(HLG_04[[#This Row],[Rit]],"000")</f>
        <v>N/A / 000</v>
      </c>
      <c r="J623" s="34"/>
      <c r="K623" s="38"/>
      <c r="L623" s="35"/>
      <c r="M623" s="66"/>
      <c r="N623" s="66"/>
      <c r="O623" s="66"/>
      <c r="P623" s="66"/>
      <c r="Q623" s="66"/>
      <c r="R623" s="67"/>
      <c r="S623" s="67"/>
      <c r="T623" s="67"/>
      <c r="U623" s="66"/>
      <c r="V623" s="66"/>
      <c r="W623" s="66"/>
      <c r="X623" s="85"/>
      <c r="AP623" t="str">
        <v/>
      </c>
    </row>
    <row r="624" spans="4:42" ht="15.75" x14ac:dyDescent="0.25">
      <c r="D624" s="3">
        <v>1</v>
      </c>
      <c r="F624" s="16" t="str" cm="1">
        <f t="array" ref="F6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4" s="31" cm="1">
        <f t="array" ref="G6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4" s="33" t="str">
        <f>_xlfn.IFNA(IF(MOD(HLG_04[[#This Row],[Rit]],
    _xlfn.XLOOKUP($G$2,Int_Sample[Ore],Int_Sample[Inc])) = 0, "YES", "NO"),"")</f>
        <v/>
      </c>
      <c r="I624" s="32" t="str">
        <f>TEXT(HLG_04[[#This Row],[Batch]],"000")&amp; " / " &amp; TEXT(HLG_04[[#This Row],[Rit]],"000")</f>
        <v>N/A / 000</v>
      </c>
      <c r="J624" s="34"/>
      <c r="K624" s="38"/>
      <c r="L624" s="35"/>
      <c r="M624" s="66"/>
      <c r="N624" s="66"/>
      <c r="O624" s="66"/>
      <c r="P624" s="66"/>
      <c r="Q624" s="66"/>
      <c r="R624" s="67"/>
      <c r="S624" s="67"/>
      <c r="T624" s="67"/>
      <c r="U624" s="66"/>
      <c r="V624" s="66"/>
      <c r="W624" s="66"/>
      <c r="X624" s="85"/>
      <c r="AP624" t="str">
        <v/>
      </c>
    </row>
    <row r="625" spans="4:42" ht="15.75" x14ac:dyDescent="0.25">
      <c r="D625" s="3">
        <v>1</v>
      </c>
      <c r="F625" s="16" t="str" cm="1">
        <f t="array" ref="F6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5" s="31" cm="1">
        <f t="array" ref="G6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5" s="33" t="str">
        <f>_xlfn.IFNA(IF(MOD(HLG_04[[#This Row],[Rit]],
    _xlfn.XLOOKUP($G$2,Int_Sample[Ore],Int_Sample[Inc])) = 0, "YES", "NO"),"")</f>
        <v/>
      </c>
      <c r="I625" s="32" t="str">
        <f>TEXT(HLG_04[[#This Row],[Batch]],"000")&amp; " / " &amp; TEXT(HLG_04[[#This Row],[Rit]],"000")</f>
        <v>N/A / 000</v>
      </c>
      <c r="J625" s="34"/>
      <c r="K625" s="38"/>
      <c r="L625" s="35"/>
      <c r="M625" s="66"/>
      <c r="N625" s="66"/>
      <c r="O625" s="66"/>
      <c r="P625" s="66"/>
      <c r="Q625" s="66"/>
      <c r="R625" s="67"/>
      <c r="S625" s="67"/>
      <c r="T625" s="67"/>
      <c r="U625" s="66"/>
      <c r="V625" s="66"/>
      <c r="W625" s="66"/>
      <c r="X625" s="85"/>
      <c r="AP625" t="str">
        <v/>
      </c>
    </row>
    <row r="626" spans="4:42" ht="15.75" x14ac:dyDescent="0.25">
      <c r="D626" s="3">
        <v>1</v>
      </c>
      <c r="F626" s="16" t="str" cm="1">
        <f t="array" ref="F6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6" s="31" cm="1">
        <f t="array" ref="G6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6" s="33" t="str">
        <f>_xlfn.IFNA(IF(MOD(HLG_04[[#This Row],[Rit]],
    _xlfn.XLOOKUP($G$2,Int_Sample[Ore],Int_Sample[Inc])) = 0, "YES", "NO"),"")</f>
        <v/>
      </c>
      <c r="I626" s="32" t="str">
        <f>TEXT(HLG_04[[#This Row],[Batch]],"000")&amp; " / " &amp; TEXT(HLG_04[[#This Row],[Rit]],"000")</f>
        <v>N/A / 000</v>
      </c>
      <c r="J626" s="34"/>
      <c r="K626" s="38"/>
      <c r="L626" s="35"/>
      <c r="M626" s="66"/>
      <c r="N626" s="66"/>
      <c r="O626" s="66"/>
      <c r="P626" s="66"/>
      <c r="Q626" s="66"/>
      <c r="R626" s="67"/>
      <c r="S626" s="67"/>
      <c r="T626" s="67"/>
      <c r="U626" s="66"/>
      <c r="V626" s="66"/>
      <c r="W626" s="66"/>
      <c r="X626" s="85"/>
      <c r="AP626" t="str">
        <v/>
      </c>
    </row>
    <row r="627" spans="4:42" ht="15.75" x14ac:dyDescent="0.25">
      <c r="D627" s="3">
        <v>1</v>
      </c>
      <c r="F627" s="16" t="str" cm="1">
        <f t="array" ref="F6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7" s="31" cm="1">
        <f t="array" ref="G6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7" s="33" t="str">
        <f>_xlfn.IFNA(IF(MOD(HLG_04[[#This Row],[Rit]],
    _xlfn.XLOOKUP($G$2,Int_Sample[Ore],Int_Sample[Inc])) = 0, "YES", "NO"),"")</f>
        <v/>
      </c>
      <c r="I627" s="32" t="str">
        <f>TEXT(HLG_04[[#This Row],[Batch]],"000")&amp; " / " &amp; TEXT(HLG_04[[#This Row],[Rit]],"000")</f>
        <v>N/A / 000</v>
      </c>
      <c r="J627" s="34"/>
      <c r="K627" s="38"/>
      <c r="L627" s="35"/>
      <c r="M627" s="66"/>
      <c r="N627" s="66"/>
      <c r="O627" s="66"/>
      <c r="P627" s="66"/>
      <c r="Q627" s="66"/>
      <c r="R627" s="67"/>
      <c r="S627" s="67"/>
      <c r="T627" s="67"/>
      <c r="U627" s="66"/>
      <c r="V627" s="66"/>
      <c r="W627" s="66"/>
      <c r="X627" s="85"/>
      <c r="AP627" t="str">
        <v/>
      </c>
    </row>
    <row r="628" spans="4:42" ht="15.75" x14ac:dyDescent="0.25">
      <c r="D628" s="3">
        <v>1</v>
      </c>
      <c r="F628" s="16" t="str" cm="1">
        <f t="array" ref="F6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8" s="31" cm="1">
        <f t="array" ref="G6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8" s="33" t="str">
        <f>_xlfn.IFNA(IF(MOD(HLG_04[[#This Row],[Rit]],
    _xlfn.XLOOKUP($G$2,Int_Sample[Ore],Int_Sample[Inc])) = 0, "YES", "NO"),"")</f>
        <v/>
      </c>
      <c r="I628" s="32" t="str">
        <f>TEXT(HLG_04[[#This Row],[Batch]],"000")&amp; " / " &amp; TEXT(HLG_04[[#This Row],[Rit]],"000")</f>
        <v>N/A / 000</v>
      </c>
      <c r="J628" s="34"/>
      <c r="K628" s="38"/>
      <c r="L628" s="35"/>
      <c r="M628" s="66"/>
      <c r="N628" s="66"/>
      <c r="O628" s="66"/>
      <c r="P628" s="66"/>
      <c r="Q628" s="66"/>
      <c r="R628" s="67"/>
      <c r="S628" s="67"/>
      <c r="T628" s="67"/>
      <c r="U628" s="66"/>
      <c r="V628" s="66"/>
      <c r="W628" s="66"/>
      <c r="X628" s="85"/>
      <c r="AP628" t="str">
        <v/>
      </c>
    </row>
    <row r="629" spans="4:42" ht="15.75" x14ac:dyDescent="0.25">
      <c r="D629" s="3">
        <v>1</v>
      </c>
      <c r="F629" s="16" t="str" cm="1">
        <f t="array" ref="F6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9" s="31" cm="1">
        <f t="array" ref="G6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9" s="33" t="str">
        <f>_xlfn.IFNA(IF(MOD(HLG_04[[#This Row],[Rit]],
    _xlfn.XLOOKUP($G$2,Int_Sample[Ore],Int_Sample[Inc])) = 0, "YES", "NO"),"")</f>
        <v/>
      </c>
      <c r="I629" s="32" t="str">
        <f>TEXT(HLG_04[[#This Row],[Batch]],"000")&amp; " / " &amp; TEXT(HLG_04[[#This Row],[Rit]],"000")</f>
        <v>N/A / 000</v>
      </c>
      <c r="J629" s="34"/>
      <c r="K629" s="38"/>
      <c r="L629" s="35"/>
      <c r="M629" s="66"/>
      <c r="N629" s="66"/>
      <c r="O629" s="66"/>
      <c r="P629" s="66"/>
      <c r="Q629" s="66"/>
      <c r="R629" s="67"/>
      <c r="S629" s="67"/>
      <c r="T629" s="67"/>
      <c r="U629" s="66"/>
      <c r="V629" s="66"/>
      <c r="W629" s="66"/>
      <c r="X629" s="85"/>
      <c r="AP629" t="str">
        <v/>
      </c>
    </row>
    <row r="630" spans="4:42" ht="15.75" x14ac:dyDescent="0.25">
      <c r="D630" s="3">
        <v>1</v>
      </c>
      <c r="F630" s="16" t="str" cm="1">
        <f t="array" ref="F6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0" s="31" cm="1">
        <f t="array" ref="G6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0" s="33" t="str">
        <f>_xlfn.IFNA(IF(MOD(HLG_04[[#This Row],[Rit]],
    _xlfn.XLOOKUP($G$2,Int_Sample[Ore],Int_Sample[Inc])) = 0, "YES", "NO"),"")</f>
        <v/>
      </c>
      <c r="I630" s="32" t="str">
        <f>TEXT(HLG_04[[#This Row],[Batch]],"000")&amp; " / " &amp; TEXT(HLG_04[[#This Row],[Rit]],"000")</f>
        <v>N/A / 000</v>
      </c>
      <c r="J630" s="34"/>
      <c r="K630" s="38"/>
      <c r="L630" s="35"/>
      <c r="M630" s="66"/>
      <c r="N630" s="66"/>
      <c r="O630" s="66"/>
      <c r="P630" s="66"/>
      <c r="Q630" s="66"/>
      <c r="R630" s="67"/>
      <c r="S630" s="67"/>
      <c r="T630" s="67"/>
      <c r="U630" s="66"/>
      <c r="V630" s="66"/>
      <c r="W630" s="66"/>
      <c r="X630" s="85"/>
      <c r="AP630" t="str">
        <v/>
      </c>
    </row>
    <row r="631" spans="4:42" ht="15.75" x14ac:dyDescent="0.25">
      <c r="D631" s="3">
        <v>1</v>
      </c>
      <c r="F631" s="16" t="str" cm="1">
        <f t="array" ref="F6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1" s="31" cm="1">
        <f t="array" ref="G6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1" s="33" t="str">
        <f>_xlfn.IFNA(IF(MOD(HLG_04[[#This Row],[Rit]],
    _xlfn.XLOOKUP($G$2,Int_Sample[Ore],Int_Sample[Inc])) = 0, "YES", "NO"),"")</f>
        <v/>
      </c>
      <c r="I631" s="32" t="str">
        <f>TEXT(HLG_04[[#This Row],[Batch]],"000")&amp; " / " &amp; TEXT(HLG_04[[#This Row],[Rit]],"000")</f>
        <v>N/A / 000</v>
      </c>
      <c r="J631" s="34"/>
      <c r="K631" s="38"/>
      <c r="L631" s="35"/>
      <c r="M631" s="66"/>
      <c r="N631" s="66"/>
      <c r="O631" s="66"/>
      <c r="P631" s="66"/>
      <c r="Q631" s="66"/>
      <c r="R631" s="67"/>
      <c r="S631" s="67"/>
      <c r="T631" s="67"/>
      <c r="U631" s="66"/>
      <c r="V631" s="66"/>
      <c r="W631" s="66"/>
      <c r="X631" s="85"/>
      <c r="AP631" t="str">
        <v/>
      </c>
    </row>
    <row r="632" spans="4:42" ht="15.75" x14ac:dyDescent="0.25">
      <c r="D632" s="3">
        <v>1</v>
      </c>
      <c r="F632" s="16" t="str" cm="1">
        <f t="array" ref="F6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2" s="31" cm="1">
        <f t="array" ref="G6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2" s="33" t="str">
        <f>_xlfn.IFNA(IF(MOD(HLG_04[[#This Row],[Rit]],
    _xlfn.XLOOKUP($G$2,Int_Sample[Ore],Int_Sample[Inc])) = 0, "YES", "NO"),"")</f>
        <v/>
      </c>
      <c r="I632" s="32" t="str">
        <f>TEXT(HLG_04[[#This Row],[Batch]],"000")&amp; " / " &amp; TEXT(HLG_04[[#This Row],[Rit]],"000")</f>
        <v>N/A / 000</v>
      </c>
      <c r="J632" s="34"/>
      <c r="K632" s="38"/>
      <c r="L632" s="35"/>
      <c r="M632" s="66"/>
      <c r="N632" s="66"/>
      <c r="O632" s="66"/>
      <c r="P632" s="66"/>
      <c r="Q632" s="66"/>
      <c r="R632" s="67"/>
      <c r="S632" s="67"/>
      <c r="T632" s="67"/>
      <c r="U632" s="66"/>
      <c r="V632" s="66"/>
      <c r="W632" s="66"/>
      <c r="X632" s="85"/>
      <c r="AP632" t="str">
        <v/>
      </c>
    </row>
    <row r="633" spans="4:42" ht="15.75" x14ac:dyDescent="0.25">
      <c r="D633" s="3">
        <v>1</v>
      </c>
      <c r="F633" s="16" t="str" cm="1">
        <f t="array" ref="F6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3" s="31" cm="1">
        <f t="array" ref="G6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3" s="33" t="str">
        <f>_xlfn.IFNA(IF(MOD(HLG_04[[#This Row],[Rit]],
    _xlfn.XLOOKUP($G$2,Int_Sample[Ore],Int_Sample[Inc])) = 0, "YES", "NO"),"")</f>
        <v/>
      </c>
      <c r="I633" s="32" t="str">
        <f>TEXT(HLG_04[[#This Row],[Batch]],"000")&amp; " / " &amp; TEXT(HLG_04[[#This Row],[Rit]],"000")</f>
        <v>N/A / 000</v>
      </c>
      <c r="J633" s="34"/>
      <c r="K633" s="38"/>
      <c r="L633" s="35"/>
      <c r="M633" s="66"/>
      <c r="N633" s="66"/>
      <c r="O633" s="66"/>
      <c r="P633" s="66"/>
      <c r="Q633" s="66"/>
      <c r="R633" s="67"/>
      <c r="S633" s="67"/>
      <c r="T633" s="67"/>
      <c r="U633" s="66"/>
      <c r="V633" s="66"/>
      <c r="W633" s="66"/>
      <c r="X633" s="85"/>
      <c r="AP633" t="str">
        <v/>
      </c>
    </row>
    <row r="634" spans="4:42" ht="15.75" x14ac:dyDescent="0.25">
      <c r="D634" s="3">
        <v>1</v>
      </c>
      <c r="F634" s="16" t="str" cm="1">
        <f t="array" ref="F6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4" s="31" cm="1">
        <f t="array" ref="G6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4" s="33" t="str">
        <f>_xlfn.IFNA(IF(MOD(HLG_04[[#This Row],[Rit]],
    _xlfn.XLOOKUP($G$2,Int_Sample[Ore],Int_Sample[Inc])) = 0, "YES", "NO"),"")</f>
        <v/>
      </c>
      <c r="I634" s="32" t="str">
        <f>TEXT(HLG_04[[#This Row],[Batch]],"000")&amp; " / " &amp; TEXT(HLG_04[[#This Row],[Rit]],"000")</f>
        <v>N/A / 000</v>
      </c>
      <c r="J634" s="34"/>
      <c r="K634" s="38"/>
      <c r="L634" s="35"/>
      <c r="M634" s="66"/>
      <c r="N634" s="66"/>
      <c r="O634" s="66"/>
      <c r="P634" s="66"/>
      <c r="Q634" s="66"/>
      <c r="R634" s="67"/>
      <c r="S634" s="67"/>
      <c r="T634" s="67"/>
      <c r="U634" s="66"/>
      <c r="V634" s="66"/>
      <c r="W634" s="66"/>
      <c r="X634" s="85"/>
      <c r="AP634" t="str">
        <v/>
      </c>
    </row>
    <row r="635" spans="4:42" ht="15.75" x14ac:dyDescent="0.25">
      <c r="D635" s="3">
        <v>1</v>
      </c>
      <c r="F635" s="16" t="str" cm="1">
        <f t="array" ref="F6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5" s="31" cm="1">
        <f t="array" ref="G6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5" s="33" t="str">
        <f>_xlfn.IFNA(IF(MOD(HLG_04[[#This Row],[Rit]],
    _xlfn.XLOOKUP($G$2,Int_Sample[Ore],Int_Sample[Inc])) = 0, "YES", "NO"),"")</f>
        <v/>
      </c>
      <c r="I635" s="32" t="str">
        <f>TEXT(HLG_04[[#This Row],[Batch]],"000")&amp; " / " &amp; TEXT(HLG_04[[#This Row],[Rit]],"000")</f>
        <v>N/A / 000</v>
      </c>
      <c r="J635" s="34"/>
      <c r="K635" s="38"/>
      <c r="L635" s="35"/>
      <c r="M635" s="66"/>
      <c r="N635" s="66"/>
      <c r="O635" s="66"/>
      <c r="P635" s="66"/>
      <c r="Q635" s="66"/>
      <c r="R635" s="67"/>
      <c r="S635" s="67"/>
      <c r="T635" s="67"/>
      <c r="U635" s="66"/>
      <c r="V635" s="66"/>
      <c r="W635" s="66"/>
      <c r="X635" s="85"/>
      <c r="AP635" t="str">
        <v/>
      </c>
    </row>
    <row r="636" spans="4:42" ht="15.75" x14ac:dyDescent="0.25">
      <c r="D636" s="3">
        <v>1</v>
      </c>
      <c r="F636" s="16" t="str" cm="1">
        <f t="array" ref="F6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6" s="31" cm="1">
        <f t="array" ref="G6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6" s="33" t="str">
        <f>_xlfn.IFNA(IF(MOD(HLG_04[[#This Row],[Rit]],
    _xlfn.XLOOKUP($G$2,Int_Sample[Ore],Int_Sample[Inc])) = 0, "YES", "NO"),"")</f>
        <v/>
      </c>
      <c r="I636" s="32" t="str">
        <f>TEXT(HLG_04[[#This Row],[Batch]],"000")&amp; " / " &amp; TEXT(HLG_04[[#This Row],[Rit]],"000")</f>
        <v>N/A / 000</v>
      </c>
      <c r="J636" s="34"/>
      <c r="K636" s="38"/>
      <c r="L636" s="35"/>
      <c r="M636" s="66"/>
      <c r="N636" s="66"/>
      <c r="O636" s="66"/>
      <c r="P636" s="66"/>
      <c r="Q636" s="66"/>
      <c r="R636" s="67"/>
      <c r="S636" s="67"/>
      <c r="T636" s="67"/>
      <c r="U636" s="66"/>
      <c r="V636" s="66"/>
      <c r="W636" s="66"/>
      <c r="X636" s="85"/>
      <c r="AN636" s="3"/>
      <c r="AO636" s="3"/>
      <c r="AP636" t="str">
        <v/>
      </c>
    </row>
    <row r="637" spans="4:42" ht="15.75" x14ac:dyDescent="0.25">
      <c r="D637" s="3">
        <v>1</v>
      </c>
      <c r="F637" s="16" t="str" cm="1">
        <f t="array" ref="F6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7" s="31" cm="1">
        <f t="array" ref="G6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7" s="33" t="str">
        <f>_xlfn.IFNA(IF(MOD(HLG_04[[#This Row],[Rit]],
    _xlfn.XLOOKUP($G$2,Int_Sample[Ore],Int_Sample[Inc])) = 0, "YES", "NO"),"")</f>
        <v/>
      </c>
      <c r="I637" s="32" t="str">
        <f>TEXT(HLG_04[[#This Row],[Batch]],"000")&amp; " / " &amp; TEXT(HLG_04[[#This Row],[Rit]],"000")</f>
        <v>N/A / 000</v>
      </c>
      <c r="J637" s="34"/>
      <c r="K637" s="38"/>
      <c r="L637" s="35"/>
      <c r="M637" s="66"/>
      <c r="N637" s="66"/>
      <c r="O637" s="66"/>
      <c r="P637" s="66"/>
      <c r="Q637" s="66"/>
      <c r="R637" s="67"/>
      <c r="S637" s="67"/>
      <c r="T637" s="67"/>
      <c r="U637" s="66"/>
      <c r="V637" s="66"/>
      <c r="W637" s="66"/>
      <c r="X637" s="85"/>
      <c r="AN637" s="3"/>
      <c r="AO637" s="3"/>
      <c r="AP637" t="str">
        <v/>
      </c>
    </row>
    <row r="638" spans="4:42" ht="15.75" x14ac:dyDescent="0.25">
      <c r="D638" s="3">
        <v>1</v>
      </c>
      <c r="F638" s="16" t="str" cm="1">
        <f t="array" ref="F6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8" s="31" cm="1">
        <f t="array" ref="G6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ROW(HLG_04[[#This Row],[Truck_ID]]) - ROW(HLG_04[#Headers]),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8" s="33" t="str">
        <f>_xlfn.IFNA(IF(MOD(HLG_04[[#This Row],[Rit]],
    _xlfn.XLOOKUP($G$2,Int_Sample[Ore],Int_Sample[Inc])) = 0, "YES", "NO"),"")</f>
        <v/>
      </c>
      <c r="I638" s="32" t="str">
        <f>TEXT(HLG_04[[#This Row],[Batch]],"000")&amp; " / " &amp; TEXT(HLG_04[[#This Row],[Rit]],"000")</f>
        <v>N/A / 000</v>
      </c>
      <c r="J638" s="34"/>
      <c r="K638" s="38"/>
      <c r="L638" s="35"/>
      <c r="M638" s="66"/>
      <c r="N638" s="66"/>
      <c r="O638" s="66"/>
      <c r="P638" s="66"/>
      <c r="Q638" s="66"/>
      <c r="R638" s="67"/>
      <c r="S638" s="67"/>
      <c r="T638" s="67"/>
      <c r="U638" s="66"/>
      <c r="V638" s="66"/>
      <c r="W638" s="66"/>
      <c r="X638" s="85"/>
      <c r="AN638" s="3"/>
      <c r="AO638" s="3"/>
      <c r="AP638" t="str">
        <v/>
      </c>
    </row>
    <row r="639" spans="4:42" x14ac:dyDescent="0.25">
      <c r="I639" s="66"/>
      <c r="J639" s="66"/>
      <c r="K639" s="66"/>
      <c r="L639" s="66"/>
      <c r="M639" s="66"/>
      <c r="N639" s="66"/>
      <c r="O639" s="66"/>
      <c r="P639" s="66"/>
      <c r="Q639" s="66"/>
      <c r="R639" s="67"/>
      <c r="S639" s="67"/>
      <c r="T639" s="67"/>
      <c r="U639" s="66"/>
      <c r="V639" s="66"/>
      <c r="W639" s="66"/>
      <c r="X639" s="85"/>
      <c r="AN639" s="3"/>
      <c r="AO639" s="3"/>
    </row>
    <row r="640" spans="4:42" x14ac:dyDescent="0.25">
      <c r="I640" s="66"/>
      <c r="J640" s="66"/>
      <c r="K640" s="66"/>
      <c r="L640" s="66"/>
      <c r="M640" s="66"/>
      <c r="N640" s="66"/>
      <c r="O640" s="66"/>
      <c r="P640" s="66"/>
      <c r="Q640" s="66"/>
      <c r="R640" s="67"/>
      <c r="S640" s="67"/>
      <c r="T640" s="67"/>
      <c r="U640" s="66"/>
      <c r="V640" s="66"/>
      <c r="W640" s="66"/>
      <c r="X640" s="85"/>
      <c r="AN640" s="3"/>
      <c r="AO640" s="3"/>
    </row>
    <row r="641" spans="9:41" x14ac:dyDescent="0.25">
      <c r="I641" s="66"/>
      <c r="J641" s="66"/>
      <c r="K641" s="66"/>
      <c r="L641" s="66"/>
      <c r="M641" s="66"/>
      <c r="N641" s="66"/>
      <c r="O641" s="66"/>
      <c r="P641" s="66"/>
      <c r="Q641" s="66"/>
      <c r="R641" s="67"/>
      <c r="S641" s="67"/>
      <c r="T641" s="67"/>
      <c r="U641" s="66"/>
      <c r="V641" s="66"/>
      <c r="W641" s="66"/>
      <c r="X641" s="85"/>
      <c r="AN641" s="3"/>
      <c r="AO641" s="3"/>
    </row>
    <row r="642" spans="9:41" x14ac:dyDescent="0.25">
      <c r="I642" s="66"/>
      <c r="J642" s="66"/>
      <c r="K642" s="66"/>
      <c r="L642" s="66"/>
      <c r="M642" s="66"/>
      <c r="N642" s="66"/>
      <c r="O642" s="66"/>
      <c r="P642" s="66"/>
      <c r="Q642" s="66"/>
      <c r="R642" s="67"/>
      <c r="S642" s="67"/>
      <c r="T642" s="67"/>
      <c r="U642" s="66"/>
      <c r="V642" s="66"/>
      <c r="W642" s="66"/>
      <c r="X642" s="85"/>
      <c r="AN642" s="3"/>
      <c r="AO642" s="3"/>
    </row>
    <row r="643" spans="9:41" x14ac:dyDescent="0.25">
      <c r="I643" s="66"/>
      <c r="J643" s="66"/>
      <c r="K643" s="66"/>
      <c r="L643" s="66"/>
      <c r="M643" s="66"/>
      <c r="N643" s="66"/>
      <c r="O643" s="66"/>
      <c r="P643" s="66"/>
      <c r="Q643" s="66"/>
      <c r="R643" s="67"/>
      <c r="S643" s="67"/>
      <c r="T643" s="67"/>
      <c r="U643" s="66"/>
      <c r="V643" s="66"/>
      <c r="W643" s="66"/>
      <c r="X643" s="85"/>
      <c r="AN643" s="3"/>
      <c r="AO643" s="3"/>
    </row>
    <row r="644" spans="9:41" x14ac:dyDescent="0.25">
      <c r="I644" s="66"/>
      <c r="J644" s="66"/>
      <c r="K644" s="66"/>
      <c r="L644" s="66"/>
      <c r="M644" s="66"/>
      <c r="N644" s="66"/>
      <c r="O644" s="66"/>
      <c r="P644" s="66"/>
      <c r="Q644" s="66"/>
      <c r="R644" s="67"/>
      <c r="S644" s="67"/>
      <c r="T644" s="67"/>
      <c r="U644" s="66"/>
      <c r="V644" s="66"/>
      <c r="W644" s="66"/>
      <c r="X644" s="85"/>
      <c r="AN644" s="3"/>
      <c r="AO644" s="3"/>
    </row>
    <row r="645" spans="9:41" x14ac:dyDescent="0.25">
      <c r="I645" s="66"/>
      <c r="J645" s="66"/>
      <c r="K645" s="66"/>
      <c r="L645" s="66"/>
      <c r="M645" s="66"/>
      <c r="N645" s="66"/>
      <c r="O645" s="66"/>
      <c r="P645" s="66"/>
      <c r="Q645" s="66"/>
      <c r="R645" s="67"/>
      <c r="S645" s="67"/>
      <c r="T645" s="67"/>
      <c r="U645" s="66"/>
      <c r="V645" s="66"/>
      <c r="W645" s="66"/>
      <c r="X645" s="85"/>
      <c r="AN645" s="3"/>
      <c r="AO645" s="3"/>
    </row>
    <row r="646" spans="9:41" x14ac:dyDescent="0.25">
      <c r="I646" s="66"/>
      <c r="J646" s="66"/>
      <c r="K646" s="66"/>
      <c r="L646" s="66"/>
      <c r="M646" s="66"/>
      <c r="N646" s="66"/>
      <c r="O646" s="66"/>
      <c r="P646" s="66"/>
      <c r="Q646" s="66"/>
      <c r="R646" s="67"/>
      <c r="S646" s="67"/>
      <c r="T646" s="67"/>
      <c r="U646" s="66"/>
      <c r="V646" s="66"/>
      <c r="W646" s="66"/>
      <c r="X646" s="85"/>
      <c r="AN646" s="3"/>
      <c r="AO646" s="3"/>
    </row>
    <row r="647" spans="9:41" x14ac:dyDescent="0.25">
      <c r="I647" s="66"/>
      <c r="J647" s="66"/>
      <c r="K647" s="66"/>
      <c r="L647" s="66"/>
      <c r="M647" s="66"/>
      <c r="N647" s="66"/>
      <c r="O647" s="66"/>
      <c r="P647" s="66"/>
      <c r="Q647" s="66"/>
      <c r="R647" s="67"/>
      <c r="S647" s="67"/>
      <c r="T647" s="67"/>
      <c r="U647" s="66"/>
      <c r="V647" s="66"/>
      <c r="W647" s="66"/>
      <c r="X647" s="85"/>
      <c r="AN647" s="3"/>
      <c r="AO647" s="3"/>
    </row>
    <row r="648" spans="9:41" x14ac:dyDescent="0.25">
      <c r="I648" s="66"/>
      <c r="J648" s="66"/>
      <c r="K648" s="66"/>
      <c r="L648" s="66"/>
      <c r="M648" s="66"/>
      <c r="N648" s="66"/>
      <c r="O648" s="66"/>
      <c r="P648" s="66"/>
      <c r="Q648" s="66"/>
      <c r="R648" s="67"/>
      <c r="S648" s="67"/>
      <c r="T648" s="67"/>
      <c r="U648" s="66"/>
      <c r="V648" s="66"/>
      <c r="W648" s="66"/>
      <c r="X648" s="85"/>
      <c r="AN648" s="3"/>
      <c r="AO648" s="3"/>
    </row>
    <row r="649" spans="9:41" x14ac:dyDescent="0.25">
      <c r="I649" s="66"/>
      <c r="J649" s="66"/>
      <c r="K649" s="66"/>
      <c r="L649" s="66"/>
      <c r="M649" s="66"/>
      <c r="N649" s="66"/>
      <c r="O649" s="66"/>
      <c r="P649" s="66"/>
      <c r="Q649" s="66"/>
      <c r="R649" s="67"/>
      <c r="S649" s="67"/>
      <c r="T649" s="67"/>
      <c r="U649" s="68"/>
      <c r="V649" s="66"/>
      <c r="W649" s="66"/>
      <c r="X649" s="85"/>
      <c r="AN649" s="3"/>
      <c r="AO649" s="3"/>
    </row>
    <row r="650" spans="9:41" x14ac:dyDescent="0.25">
      <c r="I650" s="66"/>
      <c r="J650" s="66"/>
      <c r="K650" s="66"/>
      <c r="L650" s="66"/>
      <c r="M650" s="66"/>
      <c r="N650" s="66"/>
      <c r="O650" s="66"/>
      <c r="P650" s="66"/>
      <c r="Q650" s="66"/>
      <c r="R650" s="67"/>
      <c r="S650" s="67"/>
      <c r="T650" s="67"/>
      <c r="U650" s="68"/>
      <c r="V650" s="66"/>
      <c r="W650" s="66"/>
      <c r="X650" s="85"/>
      <c r="AN650" s="3"/>
      <c r="AO650" s="3"/>
    </row>
    <row r="651" spans="9:41" x14ac:dyDescent="0.25">
      <c r="I651" s="66"/>
      <c r="J651" s="66"/>
      <c r="K651" s="66"/>
      <c r="L651" s="66"/>
      <c r="M651" s="66"/>
      <c r="N651" s="66"/>
      <c r="O651" s="66"/>
      <c r="P651" s="66"/>
      <c r="Q651" s="66"/>
      <c r="R651" s="67"/>
      <c r="S651" s="67"/>
      <c r="T651" s="67"/>
      <c r="U651" s="68"/>
      <c r="V651" s="66"/>
      <c r="W651" s="66"/>
      <c r="X651" s="85"/>
      <c r="AN651" s="3"/>
      <c r="AO651" s="3"/>
    </row>
    <row r="652" spans="9:41" x14ac:dyDescent="0.25">
      <c r="I652" s="66"/>
      <c r="J652" s="66"/>
      <c r="K652" s="66"/>
      <c r="L652" s="66"/>
      <c r="M652" s="66"/>
      <c r="N652" s="66"/>
      <c r="O652" s="66"/>
      <c r="P652" s="66"/>
      <c r="Q652" s="66"/>
      <c r="R652" s="67"/>
      <c r="S652" s="67"/>
      <c r="T652" s="67"/>
      <c r="U652" s="66"/>
      <c r="V652" s="66"/>
      <c r="W652" s="66"/>
      <c r="X652" s="85"/>
      <c r="AN652" s="3"/>
      <c r="AO652" s="3"/>
    </row>
    <row r="653" spans="9:41" x14ac:dyDescent="0.25">
      <c r="I653" s="66"/>
      <c r="J653" s="66"/>
      <c r="K653" s="66"/>
      <c r="L653" s="66"/>
      <c r="M653" s="66"/>
      <c r="N653" s="66"/>
      <c r="O653" s="66"/>
      <c r="P653" s="66"/>
      <c r="Q653" s="66"/>
      <c r="R653" s="67"/>
      <c r="S653" s="67"/>
      <c r="T653" s="67"/>
      <c r="U653" s="66"/>
      <c r="V653" s="66"/>
      <c r="W653" s="66"/>
      <c r="X653" s="85"/>
      <c r="AN653" s="3"/>
      <c r="AO653" s="3"/>
    </row>
    <row r="654" spans="9:41" x14ac:dyDescent="0.25">
      <c r="I654" s="66"/>
      <c r="J654" s="66"/>
      <c r="K654" s="66"/>
      <c r="L654" s="66"/>
      <c r="M654" s="66"/>
      <c r="N654" s="66"/>
      <c r="O654" s="66"/>
      <c r="P654" s="66"/>
      <c r="Q654" s="66"/>
      <c r="R654" s="67"/>
      <c r="S654" s="67"/>
      <c r="T654" s="67"/>
      <c r="U654" s="66"/>
      <c r="V654" s="66"/>
      <c r="W654" s="66"/>
      <c r="X654" s="85"/>
      <c r="AN654" s="3"/>
      <c r="AO654" s="3"/>
    </row>
    <row r="655" spans="9:41" x14ac:dyDescent="0.25">
      <c r="I655" s="66"/>
      <c r="J655" s="66"/>
      <c r="K655" s="66"/>
      <c r="L655" s="66"/>
      <c r="M655" s="66"/>
      <c r="N655" s="66"/>
      <c r="O655" s="66"/>
      <c r="P655" s="66"/>
      <c r="Q655" s="66"/>
      <c r="R655" s="67"/>
      <c r="S655" s="67"/>
      <c r="T655" s="67"/>
      <c r="U655" s="66"/>
      <c r="V655" s="66"/>
      <c r="W655" s="66"/>
      <c r="X655" s="85"/>
      <c r="AN655" s="3"/>
      <c r="AO655" s="3"/>
    </row>
    <row r="656" spans="9:41" x14ac:dyDescent="0.25">
      <c r="I656" s="66"/>
      <c r="J656" s="66"/>
      <c r="K656" s="66"/>
      <c r="L656" s="66"/>
      <c r="M656" s="66"/>
      <c r="N656" s="66"/>
      <c r="O656" s="66"/>
      <c r="P656" s="66"/>
      <c r="Q656" s="66"/>
      <c r="R656" s="67"/>
      <c r="S656" s="67"/>
      <c r="T656" s="67"/>
      <c r="U656" s="66"/>
      <c r="V656" s="66"/>
      <c r="W656" s="66"/>
      <c r="X656" s="85"/>
      <c r="AN656" s="3"/>
      <c r="AO656" s="3"/>
    </row>
    <row r="657" spans="9:24" x14ac:dyDescent="0.25">
      <c r="I657" s="66"/>
      <c r="J657" s="66"/>
      <c r="K657" s="66"/>
      <c r="L657" s="66"/>
      <c r="M657" s="66"/>
      <c r="N657" s="66"/>
      <c r="O657" s="66"/>
      <c r="P657" s="66"/>
      <c r="Q657" s="66"/>
      <c r="R657" s="67"/>
      <c r="S657" s="67"/>
      <c r="T657" s="67"/>
      <c r="U657" s="66"/>
      <c r="V657" s="66"/>
      <c r="W657" s="66"/>
      <c r="X657" s="85"/>
    </row>
    <row r="658" spans="9:24" x14ac:dyDescent="0.25">
      <c r="I658" s="66"/>
      <c r="J658" s="66"/>
      <c r="K658" s="66"/>
      <c r="L658" s="66"/>
      <c r="M658" s="66"/>
      <c r="N658" s="66"/>
      <c r="O658" s="66"/>
      <c r="P658" s="66"/>
      <c r="Q658" s="66"/>
      <c r="R658" s="67"/>
      <c r="S658" s="67"/>
      <c r="T658" s="67"/>
      <c r="U658" s="66"/>
      <c r="V658" s="66"/>
      <c r="W658" s="66"/>
      <c r="X658" s="85"/>
    </row>
    <row r="659" spans="9:24" x14ac:dyDescent="0.25">
      <c r="I659" s="66"/>
      <c r="J659" s="66"/>
      <c r="K659" s="66"/>
      <c r="L659" s="66"/>
      <c r="M659" s="66"/>
      <c r="N659" s="66"/>
      <c r="O659" s="66"/>
      <c r="P659" s="66"/>
      <c r="Q659" s="66"/>
      <c r="R659" s="67"/>
      <c r="S659" s="67"/>
      <c r="T659" s="67"/>
      <c r="U659" s="66"/>
      <c r="V659" s="66"/>
      <c r="W659" s="66"/>
      <c r="X659" s="85"/>
    </row>
    <row r="660" spans="9:24" x14ac:dyDescent="0.25">
      <c r="I660" s="66"/>
      <c r="J660" s="66"/>
      <c r="K660" s="66"/>
      <c r="L660" s="66"/>
      <c r="M660" s="66"/>
      <c r="N660" s="66"/>
      <c r="O660" s="66"/>
      <c r="P660" s="66"/>
      <c r="Q660" s="66"/>
      <c r="R660" s="67"/>
      <c r="S660" s="67"/>
      <c r="T660" s="67"/>
      <c r="U660" s="66"/>
      <c r="V660" s="66"/>
      <c r="W660" s="66"/>
      <c r="X660" s="85"/>
    </row>
    <row r="661" spans="9:24" x14ac:dyDescent="0.25">
      <c r="I661" s="66"/>
      <c r="J661" s="66"/>
      <c r="K661" s="66"/>
      <c r="L661" s="66"/>
      <c r="M661" s="66"/>
      <c r="N661" s="66"/>
      <c r="O661" s="66"/>
      <c r="P661" s="66"/>
      <c r="Q661" s="66"/>
      <c r="R661" s="67"/>
      <c r="S661" s="67"/>
      <c r="T661" s="67"/>
      <c r="U661" s="66"/>
      <c r="V661" s="66"/>
      <c r="W661" s="66"/>
      <c r="X661" s="85"/>
    </row>
    <row r="662" spans="9:24" x14ac:dyDescent="0.25">
      <c r="I662" s="66"/>
      <c r="J662" s="66"/>
      <c r="K662" s="66"/>
      <c r="L662" s="66"/>
      <c r="M662" s="66"/>
      <c r="N662" s="66"/>
      <c r="O662" s="66"/>
      <c r="P662" s="66"/>
      <c r="Q662" s="66"/>
      <c r="R662" s="67"/>
      <c r="S662" s="67"/>
      <c r="T662" s="67"/>
      <c r="U662" s="66"/>
      <c r="V662" s="66"/>
      <c r="W662" s="66"/>
      <c r="X662" s="85"/>
    </row>
    <row r="663" spans="9:24" x14ac:dyDescent="0.25">
      <c r="I663" s="66"/>
      <c r="J663" s="66"/>
      <c r="K663" s="66"/>
      <c r="L663" s="66"/>
      <c r="M663" s="66"/>
      <c r="N663" s="66"/>
      <c r="O663" s="66"/>
      <c r="P663" s="66"/>
      <c r="Q663" s="66"/>
      <c r="R663" s="67"/>
      <c r="S663" s="67"/>
      <c r="T663" s="67"/>
      <c r="U663" s="66"/>
      <c r="V663" s="66"/>
      <c r="W663" s="66"/>
      <c r="X663" s="85"/>
    </row>
    <row r="664" spans="9:24" x14ac:dyDescent="0.25">
      <c r="I664" s="66"/>
      <c r="J664" s="66"/>
      <c r="K664" s="66"/>
      <c r="L664" s="66"/>
      <c r="M664" s="66"/>
      <c r="N664" s="66"/>
      <c r="O664" s="66"/>
      <c r="P664" s="66"/>
      <c r="Q664" s="66"/>
      <c r="R664" s="67"/>
      <c r="S664" s="67"/>
      <c r="T664" s="67"/>
      <c r="U664" s="66"/>
      <c r="V664" s="66"/>
      <c r="W664" s="66"/>
      <c r="X664" s="85"/>
    </row>
    <row r="665" spans="9:24" x14ac:dyDescent="0.25">
      <c r="I665" s="66"/>
      <c r="J665" s="66"/>
      <c r="K665" s="66"/>
      <c r="L665" s="66"/>
      <c r="M665" s="66"/>
      <c r="N665" s="66"/>
      <c r="O665" s="66"/>
      <c r="P665" s="66"/>
      <c r="Q665" s="66"/>
      <c r="R665" s="67"/>
      <c r="S665" s="67"/>
      <c r="T665" s="67"/>
      <c r="U665" s="66"/>
      <c r="V665" s="66"/>
      <c r="W665" s="66"/>
      <c r="X665" s="85"/>
    </row>
    <row r="666" spans="9:24" x14ac:dyDescent="0.25">
      <c r="I666" s="66"/>
      <c r="J666" s="66"/>
      <c r="K666" s="66"/>
      <c r="L666" s="66"/>
      <c r="M666" s="66"/>
      <c r="N666" s="66"/>
      <c r="O666" s="66"/>
      <c r="P666" s="66"/>
      <c r="Q666" s="66"/>
      <c r="R666" s="67"/>
      <c r="S666" s="67"/>
      <c r="T666" s="67"/>
      <c r="U666" s="66"/>
      <c r="V666" s="66"/>
      <c r="W666" s="66"/>
      <c r="X666" s="85"/>
    </row>
    <row r="667" spans="9:24" x14ac:dyDescent="0.25">
      <c r="I667" s="66"/>
      <c r="J667" s="66"/>
      <c r="K667" s="66"/>
      <c r="L667" s="66"/>
      <c r="M667" s="66"/>
      <c r="N667" s="66"/>
      <c r="O667" s="66"/>
      <c r="P667" s="66"/>
      <c r="Q667" s="66"/>
      <c r="R667" s="67"/>
      <c r="S667" s="67"/>
      <c r="T667" s="67"/>
      <c r="U667" s="66"/>
      <c r="V667" s="66"/>
      <c r="W667" s="66"/>
      <c r="X667" s="85"/>
    </row>
    <row r="668" spans="9:24" x14ac:dyDescent="0.25">
      <c r="I668" s="66"/>
      <c r="J668" s="66"/>
      <c r="K668" s="66"/>
      <c r="L668" s="66"/>
      <c r="M668" s="66"/>
      <c r="N668" s="66"/>
      <c r="O668" s="66"/>
      <c r="P668" s="66"/>
      <c r="Q668" s="66"/>
      <c r="R668" s="67"/>
      <c r="S668" s="67"/>
      <c r="T668" s="67"/>
      <c r="U668" s="66"/>
      <c r="V668" s="66"/>
      <c r="W668" s="66"/>
      <c r="X668" s="85"/>
    </row>
    <row r="669" spans="9:24" x14ac:dyDescent="0.25">
      <c r="I669" s="66"/>
      <c r="J669" s="66"/>
      <c r="K669" s="66"/>
      <c r="L669" s="66"/>
      <c r="M669" s="66"/>
      <c r="N669" s="66"/>
      <c r="O669" s="66"/>
      <c r="P669" s="66"/>
      <c r="Q669" s="66"/>
      <c r="R669" s="67"/>
      <c r="S669" s="67"/>
      <c r="T669" s="67"/>
      <c r="U669" s="66"/>
      <c r="V669" s="66"/>
      <c r="W669" s="66"/>
      <c r="X669" s="85"/>
    </row>
    <row r="670" spans="9:24" x14ac:dyDescent="0.25">
      <c r="I670" s="66"/>
      <c r="J670" s="66"/>
      <c r="K670" s="66"/>
      <c r="L670" s="66"/>
      <c r="M670" s="66"/>
      <c r="N670" s="66"/>
      <c r="O670" s="66"/>
      <c r="P670" s="66"/>
      <c r="Q670" s="66"/>
      <c r="R670" s="67"/>
      <c r="S670" s="67"/>
      <c r="T670" s="67"/>
      <c r="U670" s="66"/>
      <c r="V670" s="66"/>
      <c r="W670" s="66"/>
      <c r="X670" s="85"/>
    </row>
    <row r="671" spans="9:24" x14ac:dyDescent="0.25">
      <c r="I671" s="66"/>
      <c r="J671" s="66"/>
      <c r="K671" s="66"/>
      <c r="L671" s="66"/>
      <c r="M671" s="66"/>
      <c r="N671" s="66"/>
      <c r="O671" s="66"/>
      <c r="P671" s="66"/>
      <c r="Q671" s="66"/>
      <c r="R671" s="67"/>
      <c r="S671" s="67"/>
      <c r="T671" s="67"/>
      <c r="U671" s="66"/>
      <c r="V671" s="66"/>
      <c r="W671" s="66"/>
      <c r="X671" s="85"/>
    </row>
    <row r="672" spans="9:24" x14ac:dyDescent="0.25">
      <c r="I672" s="66"/>
      <c r="J672" s="66"/>
      <c r="K672" s="66"/>
      <c r="L672" s="66"/>
      <c r="M672" s="66"/>
      <c r="N672" s="66"/>
      <c r="O672" s="66"/>
      <c r="P672" s="66"/>
      <c r="Q672" s="66"/>
      <c r="R672" s="67"/>
      <c r="S672" s="67"/>
      <c r="T672" s="67"/>
      <c r="U672" s="66"/>
      <c r="V672" s="66"/>
      <c r="W672" s="66"/>
      <c r="X672" s="85"/>
    </row>
    <row r="673" spans="9:24" x14ac:dyDescent="0.25">
      <c r="I673" s="66"/>
      <c r="J673" s="66"/>
      <c r="K673" s="66"/>
      <c r="L673" s="66"/>
      <c r="M673" s="66"/>
      <c r="N673" s="66"/>
      <c r="O673" s="66"/>
      <c r="P673" s="66"/>
      <c r="Q673" s="66"/>
      <c r="R673" s="67"/>
      <c r="S673" s="67"/>
      <c r="T673" s="67"/>
      <c r="U673" s="66"/>
      <c r="V673" s="66"/>
      <c r="W673" s="66"/>
      <c r="X673" s="85"/>
    </row>
  </sheetData>
  <sheetProtection sheet="1" objects="1" scenarios="1"/>
  <conditionalFormatting sqref="F2">
    <cfRule type="expression" dxfId="45" priority="11">
      <formula>AND($F$2&gt;0,ISNA(MATCH($F$2,_xlfn.ANCHORARRAY(#REF!),0)))</formula>
    </cfRule>
  </conditionalFormatting>
  <conditionalFormatting sqref="H5:L638">
    <cfRule type="expression" dxfId="44" priority="14">
      <formula>AND($G$2="SAP",$H5="YES")</formula>
    </cfRule>
    <cfRule type="expression" dxfId="43" priority="15">
      <formula>AND($G$2="LIM",$H5="YES")</formula>
    </cfRule>
  </conditionalFormatting>
  <conditionalFormatting sqref="I2">
    <cfRule type="expression" dxfId="42" priority="10">
      <formula>AND($I$2&gt;0,ISNA(MATCH($I$2,_xlfn.ANCHORARRAY($A$1),0)))</formula>
    </cfRule>
  </conditionalFormatting>
  <conditionalFormatting sqref="J1">
    <cfRule type="containsText" dxfId="41" priority="8" operator="containsText" text="Skipped">
      <formula>NOT(ISERROR(SEARCH("Skipped",J1)))</formula>
    </cfRule>
  </conditionalFormatting>
  <conditionalFormatting sqref="J5:J638">
    <cfRule type="expression" dxfId="40" priority="13">
      <formula>AND($J5&gt;0,ISNA(MATCH($J5,_xlfn.ANCHORARRAY($B$1),0)))</formula>
    </cfRule>
  </conditionalFormatting>
  <conditionalFormatting sqref="J5:K638">
    <cfRule type="expression" dxfId="39" priority="7">
      <formula>$D5="Skipped"</formula>
    </cfRule>
  </conditionalFormatting>
  <conditionalFormatting sqref="J1:L3">
    <cfRule type="cellIs" dxfId="38" priority="12" operator="greaterThan">
      <formula>0</formula>
    </cfRule>
  </conditionalFormatting>
  <conditionalFormatting sqref="K5:K638">
    <cfRule type="expression" dxfId="37" priority="9">
      <formula>(ISNA($D5))</formula>
    </cfRule>
  </conditionalFormatting>
  <conditionalFormatting sqref="M1:N1">
    <cfRule type="expression" dxfId="36" priority="2">
      <formula>$N$1&gt;0</formula>
    </cfRule>
  </conditionalFormatting>
  <conditionalFormatting sqref="S1:T100">
    <cfRule type="expression" dxfId="35" priority="1">
      <formula>$T1&lt;&gt;""</formula>
    </cfRule>
  </conditionalFormatting>
  <dataValidations count="3">
    <dataValidation type="list" allowBlank="1" showInputMessage="1" showErrorMessage="1" sqref="J5:J638" xr:uid="{BD7F5131-9D2A-4DCA-9036-58BF53514CEE}">
      <formula1>_xlfn.ANCHORARRAY($B$1)</formula1>
    </dataValidation>
    <dataValidation type="list" allowBlank="1" showInputMessage="1" showErrorMessage="1" sqref="I2" xr:uid="{A161BFD3-1F07-4075-BB42-65A6E58F19BD}">
      <formula1>_xlfn.ANCHORARRAY($A$1)</formula1>
    </dataValidation>
    <dataValidation type="list" allowBlank="1" showInputMessage="1" showErrorMessage="1" sqref="K5:K638" xr:uid="{AA686334-A56B-4ECC-AD3D-FF321A9C0580}">
      <formula1>Input_Truck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52A3-42F6-490D-9759-D671DE2A4C39}">
  <sheetPr codeName="Sheet9">
    <tabColor rgb="FF00FFCC"/>
  </sheetPr>
  <dimension ref="A1:DU673"/>
  <sheetViews>
    <sheetView showGridLines="0" zoomScale="130" zoomScaleNormal="130" zoomScaleSheetLayoutView="100" workbookViewId="0">
      <pane xSplit="11" ySplit="4" topLeftCell="L5" activePane="bottomRight" state="frozen"/>
      <selection activeCell="K27" sqref="K27"/>
      <selection pane="topRight" activeCell="K27" sqref="K27"/>
      <selection pane="bottomLeft" activeCell="K27" sqref="K27"/>
      <selection pane="bottomRight" activeCell="I7" sqref="I7"/>
    </sheetView>
  </sheetViews>
  <sheetFormatPr defaultRowHeight="15" x14ac:dyDescent="0.25"/>
  <cols>
    <col min="1" max="1" width="10" hidden="1" customWidth="1"/>
    <col min="2" max="2" width="9.5703125" hidden="1" customWidth="1"/>
    <col min="3" max="3" width="1.5703125" style="14" hidden="1" customWidth="1"/>
    <col min="4" max="4" width="7.7109375" style="3" hidden="1" customWidth="1"/>
    <col min="5" max="5" width="6.140625" hidden="1" customWidth="1"/>
    <col min="6" max="6" width="5.5703125" hidden="1" customWidth="1"/>
    <col min="7" max="7" width="10.140625" hidden="1" customWidth="1"/>
    <col min="8" max="8" width="1.42578125" hidden="1" customWidth="1"/>
    <col min="9" max="9" width="13.42578125" customWidth="1"/>
    <col min="10" max="10" width="11.42578125" bestFit="1" customWidth="1"/>
    <col min="11" max="11" width="15.85546875" customWidth="1"/>
    <col min="12" max="12" width="14.85546875" customWidth="1"/>
    <col min="13" max="13" width="10.28515625" customWidth="1"/>
    <col min="14" max="14" width="9.28515625" bestFit="1" customWidth="1"/>
    <col min="15" max="15" width="9.7109375" bestFit="1" customWidth="1"/>
    <col min="16" max="17" width="0" hidden="1" customWidth="1"/>
    <col min="18" max="18" width="0" style="3" hidden="1" customWidth="1"/>
    <col min="19" max="19" width="6.42578125" style="3" bestFit="1" customWidth="1"/>
    <col min="20" max="20" width="4.85546875" style="3" customWidth="1"/>
    <col min="21" max="21" width="0" hidden="1" customWidth="1"/>
    <col min="22" max="23" width="14.28515625" customWidth="1"/>
    <col min="24" max="24" width="12.7109375" style="86" customWidth="1"/>
    <col min="25" max="25" width="7.7109375" hidden="1" customWidth="1"/>
    <col min="26" max="26" width="18.140625" hidden="1" customWidth="1"/>
    <col min="27" max="27" width="12.7109375" hidden="1" customWidth="1"/>
    <col min="28" max="28" width="9" hidden="1" customWidth="1"/>
    <col min="29" max="29" width="11.7109375" hidden="1" customWidth="1"/>
    <col min="30" max="30" width="9.5703125" hidden="1" customWidth="1"/>
    <col min="31" max="31" width="8.5703125" hidden="1" customWidth="1"/>
    <col min="32" max="32" width="7.5703125" hidden="1" customWidth="1"/>
    <col min="33" max="33" width="8.140625" hidden="1" customWidth="1"/>
    <col min="34" max="34" width="9.5703125" hidden="1" customWidth="1"/>
    <col min="35" max="39" width="6.140625" hidden="1" customWidth="1"/>
    <col min="40" max="41" width="11.7109375" hidden="1" customWidth="1"/>
    <col min="42" max="92" width="13.42578125" hidden="1" customWidth="1"/>
    <col min="93" max="125" width="9.140625" hidden="1" customWidth="1"/>
    <col min="126" max="176" width="9.140625" customWidth="1"/>
  </cols>
  <sheetData>
    <row r="1" spans="1:125" ht="17.25" customHeight="1" x14ac:dyDescent="0.25">
      <c r="A1" t="str" cm="1">
        <f t="array" ref="A1:A8">_xlfn.UNIQUE(_xlfn._xlws.SORT(_xlfn._xlws.FILTER(Sample_Pending[Pile_ID],(Sample_Pending[Status]="Cont")*(Sample_Pending[Pile_ID]&gt;0)*(ISNUMBER(MATCH(Sample_Pending[Pile_ID],Pile_area[pile_id],0))))))</f>
        <v>BR-C12_L12</v>
      </c>
      <c r="B1" t="e" cm="1" vm="1">
        <f t="array" ref="B1">_xlfn._xlws.FILTER(List_Front,(Front_Des[Dest]=$I$2)*(List_Front&lt;&gt;""))</f>
        <v>#VALUE!</v>
      </c>
      <c r="C1" s="3"/>
      <c r="F1" s="29" t="s">
        <v>101</v>
      </c>
      <c r="G1" s="28" t="s">
        <v>2473</v>
      </c>
      <c r="I1" s="29" t="s">
        <v>2450</v>
      </c>
      <c r="J1" s="65" cm="1">
        <f t="array" ref="J1">_xlfn.LET(_xlpm.skp, COUNTIF(_xlfn.ANCHORARRAY($D$5),"Skipped"),
     _xlpm.fltr,(Sample_Pending[Pile_ID]=$I$2)*(Sample_Pending[Rit]&gt;0)*(Sample_Pending[Status]="Cont"),
     _xlpm.list,_xlfn._xlws.SORT(_xlfn._xlws.FILTER(TEXT(Sample_Pending[Batch],"000")&amp;" / "&amp;TEXT(Sample_Pending[Rit],"00"),_xlpm.fltr)),
     _xlpm.drp,2,
     _xlpm.trnd, TRANSPOSE(_xlfn.SEQUENCE(_xlpm.drp,3,_xlpm.drp+1)),
     _xlpm.pndng, _xlfn.IFNA(IF(SUM(--_xlpm.fltr)&gt;0,
             _xlfn.HSTACK(_xlfn.VSTACK(SUM(--_xlpm.fltr)&amp;" PENDING",_xlfn.TAKE(_xlpm.list,_xlpm.drp)),
                    IFERROR(INDEX(_xlpm.list,_xlpm.trnd),0)),0),0),
     _xlpm.skipped, _xlfn.LET( _xlpm.lst, _xlfn._xlws.FILTER(HLG_05[Incriment], ISNA(_xlfn.ANCHORARRAY($D$5)) + IFERROR(_xlfn.ANCHORARRAY($D$5)="Skipped", 0)),
                        _xlfn.IFNA(_xlfn.HSTACK(_xlfn.VSTACK( _xlpm.skp &amp; " Skipped", _xlfn.TAKE(_xlpm.lst,_xlpm.drp)),
                               IFERROR(INDEX(_xlpm.lst, _xlpm.trnd),0)),0)),
     _xlpm.rslt, IF(_xlpm.skp&gt;0, _xlpm.skipped, _xlpm.pndng),
     _xlpm.rslt)</f>
        <v>0</v>
      </c>
      <c r="K1" s="65"/>
      <c r="L1" s="65"/>
      <c r="M1" s="89"/>
      <c r="N1" s="101">
        <f>IF(COUNTBLANK(_xlfn.ANCHORARRAY(O2))=7,0,"Undeliver Samples")</f>
        <v>0</v>
      </c>
      <c r="O1" s="102"/>
      <c r="P1" s="103"/>
      <c r="Q1" s="102"/>
      <c r="R1" s="102"/>
      <c r="S1" s="102" cm="1">
        <f t="array" ref="S1">IF(COUNTBLANK(_xlfn.ANCHORARRAY(O2))=7,0,{"Batch","Rit"})</f>
        <v>0</v>
      </c>
      <c r="T1" s="102"/>
      <c r="U1" s="97" t="s">
        <v>2593</v>
      </c>
      <c r="V1" s="89"/>
      <c r="W1" s="89"/>
      <c r="X1" s="85" t="s">
        <v>2552</v>
      </c>
      <c r="Y1" t="s">
        <v>2552</v>
      </c>
      <c r="Z1" t="s">
        <v>2551</v>
      </c>
      <c r="AA1" t="s">
        <v>2477</v>
      </c>
      <c r="AB1" t="s">
        <v>2461</v>
      </c>
      <c r="AC1" t="s">
        <v>101</v>
      </c>
      <c r="AD1" t="s">
        <v>2450</v>
      </c>
      <c r="AE1" t="s">
        <v>2451</v>
      </c>
      <c r="AF1" t="s">
        <v>2594</v>
      </c>
      <c r="AG1" t="s">
        <v>2550</v>
      </c>
      <c r="AH1" t="s">
        <v>2584</v>
      </c>
      <c r="AN1" t="s">
        <v>2489</v>
      </c>
      <c r="DU1" t="s">
        <v>2489</v>
      </c>
    </row>
    <row r="2" spans="1:125" ht="21" x14ac:dyDescent="0.25">
      <c r="A2" t="str">
        <v>BR-C3_L10</v>
      </c>
      <c r="F2" s="57">
        <f>_xlfn.XLOOKUP($I$2,Pile_area[pile_id],Pile_area[stockpile])</f>
        <v>0</v>
      </c>
      <c r="G2" s="54">
        <f>_xlfn.XLOOKUP($I$2,Pile_area[pile_id],Pile_area[Ore])</f>
        <v>0</v>
      </c>
      <c r="I2" s="62"/>
      <c r="J2" s="65"/>
      <c r="K2" s="65"/>
      <c r="L2" s="65"/>
      <c r="M2" s="85"/>
      <c r="N2" s="85"/>
      <c r="O2" s="85" t="str" cm="1">
        <f t="array" ref="O2:U2">_xlfn.LET( _xlpm.db,HLG_05[],
      _xlpm.btch, INDEX(_xlpm.db,,1),
      _xlpm.rit,  INDEX(_xlpm.db,,2),
      _xlpm.smpl, INDEX(_xlpm.db,,3),
      _xlpm.frnt, INDEX(_xlpm.db,,5),
      _xlpm.carry,ISNA(MATCH($I$2&amp; _xlpm.btch &amp; _xlpm.rit,_xlfn.BYROW(_xlfn.CHOOSECOLS(_xlfn.ANCHORARRAY(Sample_Pos!$V$3),4,5,6), _xleta.CONCAT), 0)),
      _xlpm.no,   (--(_xlpm.smpl="YES")*(_xlpm.frnt&gt;0)*_xlpm.carry)&gt;0,
      _xlpm.bag, IF(_xlpm.no, _xlfn.BYROW(INDEX(_xlfn.HSTACK(Int_Sample[Inc],Int_Sample[Packing]), MATCH($G$2,Int_Sample[Ore],0)), _xlfn.LAMBDA(_xlpm.x, INDEX(_xlpm.x,,1)/INDEX(_xlpm.x,,2))),""),
      _xlpm.note, IF(_xlpm.no,_xlfn.HSTACK({"Unknown","Unknown"},$G$2,$I$2),""),
      _xlpm.rslt, _xlfn._xlws.FILTER(_xlfn.HSTACK(_xlpm.note,_xlpm.btch,_xlpm.rit,_xlpm.bag), _xlpm.no, {"","","","","","",""}),
      _xlpm.rslt)</f>
        <v/>
      </c>
      <c r="P2" s="85" t="str">
        <v/>
      </c>
      <c r="Q2" s="85" t="str">
        <v/>
      </c>
      <c r="R2" s="85" t="str">
        <v/>
      </c>
      <c r="S2" s="100" t="str">
        <v/>
      </c>
      <c r="T2" s="100" t="str">
        <v/>
      </c>
      <c r="U2" s="98" t="str">
        <v/>
      </c>
      <c r="V2" s="95"/>
      <c r="W2" s="95"/>
      <c r="X2" s="85"/>
      <c r="Z2" t="str" cm="1">
        <f t="array" ref="Z2">_xlfn.LET(
    _xlpm.note,_xlfn.ANCHORARRAY( $D$5),
    _xlpm.data, HLG_05[],
    _xlpm.IsErr, _xlfn.IFS(ISNUMBER(_xlpm.note), "", ISERROR(_xlpm.note), "TRUCK SALAH", _xlpm.note="Skipped", "TERLEWAT", TRUE, ""),
    _xlpm.src, IF(_xlpm.IsErr="TERLEWAT", "TERLEWAT", INDEX(_xlpm.data,,5)),
    _xlpm.hlr, IF(_xlpm.IsErr="TERLEWAT", _xlpm.IsErr, INDEX(_xlpm.data,,6)),
    _xlpm.id, Regist!$H$1 &amp; "/" &amp; Regist!$I$1 &amp; "|" &amp; _xlpm.src,
    _xlpm.pile, IF(_xlpm.src&lt;&gt;"", $I$2, ""),
    _xlpm.ore, _xlfn.XLOOKUP(_xlpm.pile, Pile_area[pile_id], Pile_area[Ore]),
    _xlpm.stp, _xlfn.XLOOKUP(_xlpm.pile, Pile_area[pile_id], Pile_area[stockpile]),
    _xlpm.field, _xlfn.HSTACK(
        _xlpm.id,
        _xlpm.hlr,
        _xlpm.ore,
        _xlpm.stp,
        _xlpm.pile,
        INDEX(_xlpm.data,,4),
        PROPER(INDEX(_xlpm.data,,3)),
        IF(INDEX(_xlpm.data,,5) = _xlfn.XLOOKUP(_xlpm.ore, Int_Sample[Ore], Int_Sample[Batch]), "Complete", ""),
        _xlfn.BYROW(_xlfn.HSTACK(INDEX(_xlpm.data,,7), _xlpm.IsErr), _xlfn.LAMBDA(_xlpm.x, _xlfn.TEXTJOIN("|", TRUE, _xlpm.x)))
    ),
    _xlpm.rslt, _xlfn.UNIQUE(_xlfn._xlws.FILTER(_xlpm.field, _xlpm.src&gt;0)),
     IF(ISERR(_xlfn.SINGLE(_xlpm.rslt)),"",_xlpm.rslt))</f>
        <v/>
      </c>
    </row>
    <row r="3" spans="1:125" ht="15.75" x14ac:dyDescent="0.25">
      <c r="A3" t="str">
        <v>BR-C6_S10</v>
      </c>
      <c r="I3" s="66"/>
      <c r="J3" s="65"/>
      <c r="K3" s="65"/>
      <c r="L3" s="65"/>
      <c r="M3" s="85"/>
      <c r="N3" s="85"/>
      <c r="O3" s="85"/>
      <c r="P3" s="85"/>
      <c r="Q3" s="85"/>
      <c r="R3" s="85"/>
      <c r="S3" s="100"/>
      <c r="T3" s="100"/>
      <c r="U3" s="98"/>
      <c r="V3" s="95"/>
      <c r="W3" s="95"/>
      <c r="X3" s="85"/>
    </row>
    <row r="4" spans="1:125" x14ac:dyDescent="0.25">
      <c r="A4" t="str">
        <v>L18_S09</v>
      </c>
      <c r="F4" t="s">
        <v>2451</v>
      </c>
      <c r="G4" t="s">
        <v>2474</v>
      </c>
      <c r="H4" s="14" t="s">
        <v>2549</v>
      </c>
      <c r="I4" s="14" t="s">
        <v>2567</v>
      </c>
      <c r="J4" s="14" t="s">
        <v>115</v>
      </c>
      <c r="K4" s="14" t="s">
        <v>2477</v>
      </c>
      <c r="L4" s="14" t="s">
        <v>2452</v>
      </c>
      <c r="M4" s="85"/>
      <c r="N4" s="85"/>
      <c r="O4" s="85"/>
      <c r="P4" s="85"/>
      <c r="Q4" s="85"/>
      <c r="R4" s="85"/>
      <c r="S4" s="100"/>
      <c r="T4" s="100"/>
      <c r="U4" s="85"/>
      <c r="V4" s="85"/>
      <c r="W4" s="85"/>
      <c r="X4" s="85"/>
    </row>
    <row r="5" spans="1:125" ht="15.75" x14ac:dyDescent="0.25">
      <c r="A5" t="str">
        <v>L9_26</v>
      </c>
      <c r="D5" s="3" cm="1">
        <f t="array" ref="D5:D638">_xlfn.LET( _xlpm.Batch,HLG_05[Batch],
      _xlpm.rit, HLG_05[Rit],
      _xlpm.front,HLG_05[Front_ID],
      _xlpm.truck, HLG_05[Truck_ID],
      _xlpm.Unik, _xlfn.UNIQUE(_xlfn._xlws.FILTER(_xlpm.Batch, _xlpm.Batch&lt;&gt;"")),
      _xlpm.seqBtch, _xlfn.MAP(_xlpm.Batch,_xlfn.LAMBDA(_xlpm.b,IF(_xlpm.b="","",MATCH(_xlpm.b, _xlpm.Unik,0)))),
      _xlpm.r, ROWS(_xlpm.truck),
      _xlpm.vld,_xlfn.MAP(_xlfn.SEQUENCE(_xlpm.r),_xlfn.LAMBDA(_xlpm.idx,MATCH(INDEX(_xlpm.truck,_xlpm.idx),INDEX(_xlfn.ANCHORARRAY($AP$5),_xlpm.idx,0),0))),
      _xlpm.isSkip, IF(_xlpm.front&gt;0,"",_xlfn.MAP(_xlpm.Batch, _xlpm.rit, _xlfn.LAMBDA(_xlpm.bx,_xlpm.rx,
        IFERROR(IF(_xlfn.XMATCH(1, --(_xlpm.Batch=_xlpm.bx) * (_xlpm.rit&gt;_xlpm.rx) * (_xlpm.front&gt;0), 0), "Skipped"), "")))),
      _xlpm.rslt, IF(_xlpm.isSkip="",IF((--(ISNA(_xlpm.vld)*(_xlpm.truck&gt;0))+((_xlpm.front&gt;0)*(_xlpm.truck=0)))&gt;0,_xlpm.vld,_xlpm.seqBtch),_xlpm.isSkip),
      _xlpm.rslt)</f>
        <v>1</v>
      </c>
      <c r="F5" s="16" t="str" cm="1">
        <f t="array" ref="F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" s="31" cm="1">
        <f t="array" ref="G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" s="33" t="str">
        <f>_xlfn.IFNA(IF(MOD(HLG_05[[#This Row],[Rit]],
    _xlfn.XLOOKUP($G$2,Int_Sample[Ore],Int_Sample[Inc])) = 0, "YES", "NO"),"")</f>
        <v/>
      </c>
      <c r="I5" s="32" t="str">
        <f>TEXT(HLG_05[[#This Row],[Batch]],"000")&amp; " / " &amp; TEXT(HLG_05[[#This Row],[Rit]],"000")</f>
        <v>N/A / 000</v>
      </c>
      <c r="J5" s="34"/>
      <c r="K5" s="38"/>
      <c r="L5" s="35"/>
      <c r="M5" s="85"/>
      <c r="N5" s="85"/>
      <c r="O5" s="85"/>
      <c r="P5" s="85"/>
      <c r="Q5" s="85"/>
      <c r="R5" s="85"/>
      <c r="S5" s="100"/>
      <c r="T5" s="100"/>
      <c r="U5" s="85"/>
      <c r="V5" s="85"/>
      <c r="W5" s="85"/>
      <c r="X5" s="85"/>
      <c r="AP5" t="str" cm="1">
        <f t="array" ref="AP5:AP638">_xlfn.DROP(
    _xlfn.REDUCE("", HLG_05[Front_ID],
        _xlfn.LAMBDA(_xlpm.matriks,_xlpm.p,
            _xlfn.VSTACK(_xlpm.matriks,
                IFERROR(
                    _xlfn.LET(
                        _xlpm.baris_idx, MATCH(_xlpm.p, List_Front, 0),
                        _xlpm.truk_valid, INDEX(_xlfn.ANCHORARRAY(Fleet_Det!$CE$4), _xlpm.baris_idx, ),
                        _xlpm.fleet_str, INDEX(List_Unit_Fleet, _xlpm.baris_idx),
                        _xlpm.daftar_truk, IFERROR(_xlfn.TEXTSPLIT(_xlpm.fleet_str, "|"), ""),
                        _xlpm.daftar_truk_vec, _xlfn.TOCOL(_xlpm.daftar_truk, 1),
                        _xlpm.hasil, _xlfn._xlws.FILTER(_xlpm.daftar_truk_vec, ISNUMBER(MATCH(_xlpm.daftar_truk_vec, _xlpm.truk_valid, 0))),
                        _xlfn.TOROW(_xlfn._xlws.SORT(_xlfn.UNIQUE(_xlpm.hasil)))
                    ),
                    ""
                )
            )
        )
    ),
    1
)</f>
        <v/>
      </c>
    </row>
    <row r="6" spans="1:125" ht="15.75" x14ac:dyDescent="0.25">
      <c r="A6" t="str">
        <v>S5_77</v>
      </c>
      <c r="D6" s="3">
        <v>1</v>
      </c>
      <c r="F6" s="16" t="str" cm="1">
        <f t="array" ref="F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" s="31" cm="1">
        <f t="array" ref="G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" s="33" t="str">
        <f>_xlfn.IFNA(IF(MOD(HLG_05[[#This Row],[Rit]],
    _xlfn.XLOOKUP($G$2,Int_Sample[Ore],Int_Sample[Inc])) = 0, "YES", "NO"),"")</f>
        <v/>
      </c>
      <c r="I6" s="32" t="str">
        <f>TEXT(HLG_05[[#This Row],[Batch]],"000")&amp; " / " &amp; TEXT(HLG_05[[#This Row],[Rit]],"000")</f>
        <v>N/A / 000</v>
      </c>
      <c r="J6" s="34"/>
      <c r="K6" s="38"/>
      <c r="L6" s="35"/>
      <c r="M6" s="85"/>
      <c r="N6" s="85"/>
      <c r="O6" s="85"/>
      <c r="P6" s="85"/>
      <c r="Q6" s="85"/>
      <c r="R6" s="85"/>
      <c r="S6" s="100"/>
      <c r="T6" s="100"/>
      <c r="U6" s="85"/>
      <c r="V6" s="85"/>
      <c r="W6" s="85"/>
      <c r="X6" s="85"/>
      <c r="AN6" s="3"/>
      <c r="AO6" s="3"/>
      <c r="AP6" t="str">
        <v/>
      </c>
    </row>
    <row r="7" spans="1:125" ht="15.75" x14ac:dyDescent="0.25">
      <c r="A7" t="str">
        <v>S5_88</v>
      </c>
      <c r="D7" s="3">
        <v>1</v>
      </c>
      <c r="F7" s="16" t="str" cm="1">
        <f t="array" ref="F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" s="31" cm="1">
        <f t="array" ref="G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" s="33" t="str">
        <f>_xlfn.IFNA(IF(MOD(HLG_05[[#This Row],[Rit]],
    _xlfn.XLOOKUP($G$2,Int_Sample[Ore],Int_Sample[Inc])) = 0, "YES", "NO"),"")</f>
        <v/>
      </c>
      <c r="I7" s="32" t="str">
        <f>TEXT(HLG_05[[#This Row],[Batch]],"000")&amp; " / " &amp; TEXT(HLG_05[[#This Row],[Rit]],"000")</f>
        <v>N/A / 000</v>
      </c>
      <c r="J7" s="34"/>
      <c r="K7" s="38"/>
      <c r="L7" s="35"/>
      <c r="M7" s="85"/>
      <c r="N7" s="85"/>
      <c r="O7" s="85"/>
      <c r="P7" s="85"/>
      <c r="Q7" s="85"/>
      <c r="R7" s="85"/>
      <c r="S7" s="100"/>
      <c r="T7" s="100"/>
      <c r="U7" s="85"/>
      <c r="V7" s="85"/>
      <c r="W7" s="85"/>
      <c r="X7" s="85"/>
      <c r="AN7" s="3"/>
      <c r="AO7" s="3"/>
      <c r="AP7" t="str">
        <v/>
      </c>
    </row>
    <row r="8" spans="1:125" ht="15.75" x14ac:dyDescent="0.25">
      <c r="A8" t="str">
        <v>S5_93</v>
      </c>
      <c r="D8" s="3">
        <v>1</v>
      </c>
      <c r="F8" s="16" t="str" cm="1">
        <f t="array" ref="F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" s="31" cm="1">
        <f t="array" ref="G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" s="33" t="str">
        <f>_xlfn.IFNA(IF(MOD(HLG_05[[#This Row],[Rit]],
    _xlfn.XLOOKUP($G$2,Int_Sample[Ore],Int_Sample[Inc])) = 0, "YES", "NO"),"")</f>
        <v/>
      </c>
      <c r="I8" s="32" t="str">
        <f>TEXT(HLG_05[[#This Row],[Batch]],"000")&amp; " / " &amp; TEXT(HLG_05[[#This Row],[Rit]],"000")</f>
        <v>N/A / 000</v>
      </c>
      <c r="J8" s="34"/>
      <c r="K8" s="38"/>
      <c r="L8" s="35"/>
      <c r="M8" s="85"/>
      <c r="N8" s="85"/>
      <c r="O8" s="85"/>
      <c r="P8" s="85"/>
      <c r="Q8" s="85"/>
      <c r="R8" s="85"/>
      <c r="S8" s="100"/>
      <c r="T8" s="100"/>
      <c r="U8" s="85"/>
      <c r="V8" s="85"/>
      <c r="W8" s="85"/>
      <c r="X8" s="85"/>
      <c r="AN8" s="3"/>
      <c r="AO8" s="3"/>
      <c r="AP8" t="str">
        <v/>
      </c>
    </row>
    <row r="9" spans="1:125" ht="15.75" x14ac:dyDescent="0.25">
      <c r="D9" s="3">
        <v>1</v>
      </c>
      <c r="F9" s="16" t="str" cm="1">
        <f t="array" ref="F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" s="31" cm="1">
        <f t="array" ref="G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" s="33" t="str">
        <f>_xlfn.IFNA(IF(MOD(HLG_05[[#This Row],[Rit]],
    _xlfn.XLOOKUP($G$2,Int_Sample[Ore],Int_Sample[Inc])) = 0, "YES", "NO"),"")</f>
        <v/>
      </c>
      <c r="I9" s="32" t="str">
        <f>TEXT(HLG_05[[#This Row],[Batch]],"000")&amp; " / " &amp; TEXT(HLG_05[[#This Row],[Rit]],"000")</f>
        <v>N/A / 000</v>
      </c>
      <c r="J9" s="34"/>
      <c r="K9" s="38"/>
      <c r="L9" s="35"/>
      <c r="M9" s="85"/>
      <c r="N9" s="85"/>
      <c r="O9" s="85"/>
      <c r="P9" s="85"/>
      <c r="Q9" s="85"/>
      <c r="R9" s="85"/>
      <c r="S9" s="100"/>
      <c r="T9" s="100"/>
      <c r="U9" s="85"/>
      <c r="V9" s="85"/>
      <c r="W9" s="85"/>
      <c r="X9" s="85"/>
      <c r="AN9" s="3"/>
      <c r="AO9" s="3"/>
      <c r="AP9" t="str">
        <v/>
      </c>
    </row>
    <row r="10" spans="1:125" ht="15.75" x14ac:dyDescent="0.25">
      <c r="D10" s="3">
        <v>1</v>
      </c>
      <c r="F10" s="16" t="str" cm="1">
        <f t="array" ref="F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" s="31" cm="1">
        <f t="array" ref="G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" s="33" t="str">
        <f>_xlfn.IFNA(IF(MOD(HLG_05[[#This Row],[Rit]],
    _xlfn.XLOOKUP($G$2,Int_Sample[Ore],Int_Sample[Inc])) = 0, "YES", "NO"),"")</f>
        <v/>
      </c>
      <c r="I10" s="32" t="str">
        <f>TEXT(HLG_05[[#This Row],[Batch]],"000")&amp; " / " &amp; TEXT(HLG_05[[#This Row],[Rit]],"000")</f>
        <v>N/A / 000</v>
      </c>
      <c r="J10" s="34"/>
      <c r="K10" s="38"/>
      <c r="L10" s="35"/>
      <c r="M10" s="85"/>
      <c r="N10" s="85"/>
      <c r="O10" s="85"/>
      <c r="P10" s="85"/>
      <c r="Q10" s="85"/>
      <c r="R10" s="85"/>
      <c r="S10" s="100"/>
      <c r="T10" s="100"/>
      <c r="U10" s="85"/>
      <c r="V10" s="85"/>
      <c r="W10" s="85"/>
      <c r="X10" s="85"/>
      <c r="AN10" s="3"/>
      <c r="AO10" s="3"/>
      <c r="AP10" t="str">
        <v/>
      </c>
    </row>
    <row r="11" spans="1:125" ht="15.75" x14ac:dyDescent="0.25">
      <c r="D11" s="3">
        <v>1</v>
      </c>
      <c r="F11" s="16" t="str" cm="1">
        <f t="array" ref="F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" s="31" cm="1">
        <f t="array" ref="G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" s="33" t="str">
        <f>_xlfn.IFNA(IF(MOD(HLG_05[[#This Row],[Rit]],
    _xlfn.XLOOKUP($G$2,Int_Sample[Ore],Int_Sample[Inc])) = 0, "YES", "NO"),"")</f>
        <v/>
      </c>
      <c r="I11" s="32" t="str">
        <f>TEXT(HLG_05[[#This Row],[Batch]],"000")&amp; " / " &amp; TEXT(HLG_05[[#This Row],[Rit]],"000")</f>
        <v>N/A / 000</v>
      </c>
      <c r="J11" s="34"/>
      <c r="K11" s="38"/>
      <c r="L11" s="35"/>
      <c r="M11" s="85"/>
      <c r="N11" s="85"/>
      <c r="O11" s="85"/>
      <c r="P11" s="85"/>
      <c r="Q11" s="85"/>
      <c r="R11" s="85"/>
      <c r="S11" s="100"/>
      <c r="T11" s="100"/>
      <c r="U11" s="85"/>
      <c r="V11" s="85"/>
      <c r="W11" s="85"/>
      <c r="X11" s="85"/>
      <c r="AP11" t="str">
        <v/>
      </c>
    </row>
    <row r="12" spans="1:125" ht="15.75" x14ac:dyDescent="0.25">
      <c r="D12" s="3">
        <v>1</v>
      </c>
      <c r="F12" s="16" t="str" cm="1">
        <f t="array" ref="F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" s="31" cm="1">
        <f t="array" ref="G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" s="33" t="str">
        <f>_xlfn.IFNA(IF(MOD(HLG_05[[#This Row],[Rit]],
    _xlfn.XLOOKUP($G$2,Int_Sample[Ore],Int_Sample[Inc])) = 0, "YES", "NO"),"")</f>
        <v/>
      </c>
      <c r="I12" s="32" t="str">
        <f>TEXT(HLG_05[[#This Row],[Batch]],"000")&amp; " / " &amp; TEXT(HLG_05[[#This Row],[Rit]],"000")</f>
        <v>N/A / 000</v>
      </c>
      <c r="J12" s="34"/>
      <c r="K12" s="38"/>
      <c r="L12" s="35"/>
      <c r="M12" s="85"/>
      <c r="N12" s="85"/>
      <c r="O12" s="85"/>
      <c r="P12" s="85"/>
      <c r="Q12" s="85"/>
      <c r="R12" s="85"/>
      <c r="S12" s="100"/>
      <c r="T12" s="100"/>
      <c r="U12" s="85"/>
      <c r="V12" s="85"/>
      <c r="W12" s="85"/>
      <c r="X12" s="85"/>
      <c r="AP12" t="str">
        <v/>
      </c>
    </row>
    <row r="13" spans="1:125" ht="15.75" x14ac:dyDescent="0.25">
      <c r="D13" s="3">
        <v>1</v>
      </c>
      <c r="F13" s="16" t="str" cm="1">
        <f t="array" ref="F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" s="31" cm="1">
        <f t="array" ref="G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" s="33" t="str">
        <f>_xlfn.IFNA(IF(MOD(HLG_05[[#This Row],[Rit]],
    _xlfn.XLOOKUP($G$2,Int_Sample[Ore],Int_Sample[Inc])) = 0, "YES", "NO"),"")</f>
        <v/>
      </c>
      <c r="I13" s="32" t="str">
        <f>TEXT(HLG_05[[#This Row],[Batch]],"000")&amp; " / " &amp; TEXT(HLG_05[[#This Row],[Rit]],"000")</f>
        <v>N/A / 000</v>
      </c>
      <c r="J13" s="34"/>
      <c r="K13" s="38"/>
      <c r="L13" s="35"/>
      <c r="M13" s="85"/>
      <c r="N13" s="85"/>
      <c r="O13" s="85"/>
      <c r="P13" s="85"/>
      <c r="Q13" s="85"/>
      <c r="R13" s="85"/>
      <c r="S13" s="100"/>
      <c r="T13" s="100"/>
      <c r="U13" s="85"/>
      <c r="V13" s="85"/>
      <c r="W13" s="85"/>
      <c r="X13" s="85"/>
      <c r="AP13" t="str">
        <v/>
      </c>
    </row>
    <row r="14" spans="1:125" ht="15.75" x14ac:dyDescent="0.25">
      <c r="D14" s="3">
        <v>1</v>
      </c>
      <c r="F14" s="16" t="str" cm="1">
        <f t="array" ref="F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" s="31" cm="1">
        <f t="array" ref="G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" s="33" t="str">
        <f>_xlfn.IFNA(IF(MOD(HLG_05[[#This Row],[Rit]],
    _xlfn.XLOOKUP($G$2,Int_Sample[Ore],Int_Sample[Inc])) = 0, "YES", "NO"),"")</f>
        <v/>
      </c>
      <c r="I14" s="32" t="str">
        <f>TEXT(HLG_05[[#This Row],[Batch]],"000")&amp; " / " &amp; TEXT(HLG_05[[#This Row],[Rit]],"000")</f>
        <v>N/A / 000</v>
      </c>
      <c r="J14" s="34"/>
      <c r="K14" s="38"/>
      <c r="L14" s="35"/>
      <c r="M14" s="85"/>
      <c r="N14" s="85"/>
      <c r="O14" s="85"/>
      <c r="P14" s="85"/>
      <c r="Q14" s="85"/>
      <c r="R14" s="85"/>
      <c r="S14" s="100"/>
      <c r="T14" s="100"/>
      <c r="U14" s="85"/>
      <c r="V14" s="85"/>
      <c r="W14" s="85"/>
      <c r="X14" s="85"/>
      <c r="AP14" t="str">
        <v/>
      </c>
    </row>
    <row r="15" spans="1:125" ht="15.75" x14ac:dyDescent="0.25">
      <c r="D15" s="3">
        <v>1</v>
      </c>
      <c r="F15" s="16" t="str" cm="1">
        <f t="array" ref="F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" s="31" cm="1">
        <f t="array" ref="G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" s="33" t="str">
        <f>_xlfn.IFNA(IF(MOD(HLG_05[[#This Row],[Rit]],
    _xlfn.XLOOKUP($G$2,Int_Sample[Ore],Int_Sample[Inc])) = 0, "YES", "NO"),"")</f>
        <v/>
      </c>
      <c r="I15" s="32" t="str">
        <f>TEXT(HLG_05[[#This Row],[Batch]],"000")&amp; " / " &amp; TEXT(HLG_05[[#This Row],[Rit]],"000")</f>
        <v>N/A / 000</v>
      </c>
      <c r="J15" s="34"/>
      <c r="K15" s="38"/>
      <c r="L15" s="35"/>
      <c r="M15" s="85"/>
      <c r="N15" s="85"/>
      <c r="O15" s="85"/>
      <c r="P15" s="85"/>
      <c r="Q15" s="85"/>
      <c r="R15" s="85"/>
      <c r="S15" s="100"/>
      <c r="T15" s="100"/>
      <c r="U15" s="85"/>
      <c r="V15" s="85"/>
      <c r="W15" s="85"/>
      <c r="X15" s="85"/>
      <c r="AP15" t="str">
        <v/>
      </c>
    </row>
    <row r="16" spans="1:125" ht="15.75" x14ac:dyDescent="0.25">
      <c r="D16" s="3">
        <v>1</v>
      </c>
      <c r="F16" s="16" t="str" cm="1">
        <f t="array" ref="F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" s="31" cm="1">
        <f t="array" ref="G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" s="33" t="str">
        <f>_xlfn.IFNA(IF(MOD(HLG_05[[#This Row],[Rit]],
    _xlfn.XLOOKUP($G$2,Int_Sample[Ore],Int_Sample[Inc])) = 0, "YES", "NO"),"")</f>
        <v/>
      </c>
      <c r="I16" s="32" t="str">
        <f>TEXT(HLG_05[[#This Row],[Batch]],"000")&amp; " / " &amp; TEXT(HLG_05[[#This Row],[Rit]],"000")</f>
        <v>N/A / 000</v>
      </c>
      <c r="J16" s="34"/>
      <c r="K16" s="38"/>
      <c r="L16" s="35"/>
      <c r="M16" s="85"/>
      <c r="N16" s="85"/>
      <c r="O16" s="85"/>
      <c r="P16" s="85"/>
      <c r="Q16" s="85"/>
      <c r="R16" s="85"/>
      <c r="S16" s="100"/>
      <c r="T16" s="100"/>
      <c r="U16" s="85"/>
      <c r="V16" s="85"/>
      <c r="W16" s="85"/>
      <c r="X16" s="85"/>
      <c r="AP16" t="str">
        <v/>
      </c>
    </row>
    <row r="17" spans="4:42" ht="15.75" x14ac:dyDescent="0.25">
      <c r="D17" s="3">
        <v>1</v>
      </c>
      <c r="F17" s="16" t="str" cm="1">
        <f t="array" ref="F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" s="31" cm="1">
        <f t="array" ref="G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" s="33" t="str">
        <f>_xlfn.IFNA(IF(MOD(HLG_05[[#This Row],[Rit]],
    _xlfn.XLOOKUP($G$2,Int_Sample[Ore],Int_Sample[Inc])) = 0, "YES", "NO"),"")</f>
        <v/>
      </c>
      <c r="I17" s="32" t="str">
        <f>TEXT(HLG_05[[#This Row],[Batch]],"000")&amp; " / " &amp; TEXT(HLG_05[[#This Row],[Rit]],"000")</f>
        <v>N/A / 000</v>
      </c>
      <c r="J17" s="34"/>
      <c r="K17" s="38"/>
      <c r="L17" s="35"/>
      <c r="M17" s="85"/>
      <c r="N17" s="85"/>
      <c r="O17" s="85"/>
      <c r="P17" s="85"/>
      <c r="Q17" s="85"/>
      <c r="R17" s="85"/>
      <c r="S17" s="100"/>
      <c r="T17" s="100"/>
      <c r="U17" s="85"/>
      <c r="V17" s="85"/>
      <c r="W17" s="85"/>
      <c r="X17" s="85"/>
      <c r="AP17" t="str">
        <v/>
      </c>
    </row>
    <row r="18" spans="4:42" ht="15.75" x14ac:dyDescent="0.25">
      <c r="D18" s="3">
        <v>1</v>
      </c>
      <c r="F18" s="16" t="str" cm="1">
        <f t="array" ref="F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" s="31" cm="1">
        <f t="array" ref="G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" s="33" t="str">
        <f>_xlfn.IFNA(IF(MOD(HLG_05[[#This Row],[Rit]],
    _xlfn.XLOOKUP($G$2,Int_Sample[Ore],Int_Sample[Inc])) = 0, "YES", "NO"),"")</f>
        <v/>
      </c>
      <c r="I18" s="32" t="str">
        <f>TEXT(HLG_05[[#This Row],[Batch]],"000")&amp; " / " &amp; TEXT(HLG_05[[#This Row],[Rit]],"000")</f>
        <v>N/A / 000</v>
      </c>
      <c r="J18" s="34"/>
      <c r="K18" s="38"/>
      <c r="L18" s="35"/>
      <c r="M18" s="85"/>
      <c r="N18" s="85"/>
      <c r="O18" s="85"/>
      <c r="P18" s="85"/>
      <c r="Q18" s="85"/>
      <c r="R18" s="85"/>
      <c r="S18" s="100"/>
      <c r="T18" s="100"/>
      <c r="U18" s="85"/>
      <c r="V18" s="85"/>
      <c r="W18" s="85"/>
      <c r="X18" s="85"/>
      <c r="AP18" t="str">
        <v/>
      </c>
    </row>
    <row r="19" spans="4:42" ht="15.75" x14ac:dyDescent="0.25">
      <c r="D19" s="3">
        <v>1</v>
      </c>
      <c r="F19" s="16" t="str" cm="1">
        <f t="array" ref="F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" s="31" cm="1">
        <f t="array" ref="G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" s="33" t="str">
        <f>_xlfn.IFNA(IF(MOD(HLG_05[[#This Row],[Rit]],
    _xlfn.XLOOKUP($G$2,Int_Sample[Ore],Int_Sample[Inc])) = 0, "YES", "NO"),"")</f>
        <v/>
      </c>
      <c r="I19" s="32" t="str">
        <f>TEXT(HLG_05[[#This Row],[Batch]],"000")&amp; " / " &amp; TEXT(HLG_05[[#This Row],[Rit]],"000")</f>
        <v>N/A / 000</v>
      </c>
      <c r="J19" s="34"/>
      <c r="K19" s="38"/>
      <c r="L19" s="35"/>
      <c r="M19" s="85"/>
      <c r="N19" s="85"/>
      <c r="O19" s="85"/>
      <c r="P19" s="85"/>
      <c r="Q19" s="85"/>
      <c r="R19" s="85"/>
      <c r="S19" s="100"/>
      <c r="T19" s="100"/>
      <c r="U19" s="85"/>
      <c r="V19" s="85"/>
      <c r="W19" s="85"/>
      <c r="X19" s="85"/>
      <c r="AP19" t="str">
        <v/>
      </c>
    </row>
    <row r="20" spans="4:42" ht="15.75" x14ac:dyDescent="0.25">
      <c r="D20" s="3">
        <v>1</v>
      </c>
      <c r="F20" s="16" t="str" cm="1">
        <f t="array" ref="F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" s="31" cm="1">
        <f t="array" ref="G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" s="33" t="str">
        <f>_xlfn.IFNA(IF(MOD(HLG_05[[#This Row],[Rit]],
    _xlfn.XLOOKUP($G$2,Int_Sample[Ore],Int_Sample[Inc])) = 0, "YES", "NO"),"")</f>
        <v/>
      </c>
      <c r="I20" s="32" t="str">
        <f>TEXT(HLG_05[[#This Row],[Batch]],"000")&amp; " / " &amp; TEXT(HLG_05[[#This Row],[Rit]],"000")</f>
        <v>N/A / 000</v>
      </c>
      <c r="J20" s="34"/>
      <c r="K20" s="38"/>
      <c r="L20" s="35"/>
      <c r="M20" s="85"/>
      <c r="N20" s="85"/>
      <c r="O20" s="85"/>
      <c r="P20" s="85"/>
      <c r="Q20" s="85"/>
      <c r="R20" s="85"/>
      <c r="S20" s="100"/>
      <c r="T20" s="100"/>
      <c r="U20" s="85"/>
      <c r="V20" s="85"/>
      <c r="W20" s="85"/>
      <c r="X20" s="85"/>
      <c r="AP20" t="str">
        <v/>
      </c>
    </row>
    <row r="21" spans="4:42" ht="15.75" x14ac:dyDescent="0.25">
      <c r="D21" s="3">
        <v>1</v>
      </c>
      <c r="F21" s="16" t="str" cm="1">
        <f t="array" ref="F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" s="31" cm="1">
        <f t="array" ref="G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" s="33" t="str">
        <f>_xlfn.IFNA(IF(MOD(HLG_05[[#This Row],[Rit]],
    _xlfn.XLOOKUP($G$2,Int_Sample[Ore],Int_Sample[Inc])) = 0, "YES", "NO"),"")</f>
        <v/>
      </c>
      <c r="I21" s="32" t="str">
        <f>TEXT(HLG_05[[#This Row],[Batch]],"000")&amp; " / " &amp; TEXT(HLG_05[[#This Row],[Rit]],"000")</f>
        <v>N/A / 000</v>
      </c>
      <c r="J21" s="34"/>
      <c r="K21" s="38"/>
      <c r="L21" s="35"/>
      <c r="M21" s="85"/>
      <c r="N21" s="85"/>
      <c r="O21" s="85"/>
      <c r="P21" s="85"/>
      <c r="Q21" s="85"/>
      <c r="R21" s="85"/>
      <c r="S21" s="100"/>
      <c r="T21" s="100"/>
      <c r="U21" s="85"/>
      <c r="V21" s="85"/>
      <c r="W21" s="85"/>
      <c r="X21" s="85"/>
      <c r="AP21" t="str">
        <v/>
      </c>
    </row>
    <row r="22" spans="4:42" ht="15.75" x14ac:dyDescent="0.25">
      <c r="D22" s="3">
        <v>1</v>
      </c>
      <c r="F22" s="16" t="str" cm="1">
        <f t="array" ref="F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" s="31" cm="1">
        <f t="array" ref="G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" s="33" t="str">
        <f>_xlfn.IFNA(IF(MOD(HLG_05[[#This Row],[Rit]],
    _xlfn.XLOOKUP($G$2,Int_Sample[Ore],Int_Sample[Inc])) = 0, "YES", "NO"),"")</f>
        <v/>
      </c>
      <c r="I22" s="32" t="str">
        <f>TEXT(HLG_05[[#This Row],[Batch]],"000")&amp; " / " &amp; TEXT(HLG_05[[#This Row],[Rit]],"000")</f>
        <v>N/A / 000</v>
      </c>
      <c r="J22" s="34"/>
      <c r="K22" s="38"/>
      <c r="L22" s="35"/>
      <c r="M22" s="85"/>
      <c r="N22" s="85"/>
      <c r="O22" s="85"/>
      <c r="P22" s="85"/>
      <c r="Q22" s="85"/>
      <c r="R22" s="85"/>
      <c r="S22" s="100"/>
      <c r="T22" s="100"/>
      <c r="U22" s="85"/>
      <c r="V22" s="85"/>
      <c r="W22" s="85"/>
      <c r="X22" s="85"/>
      <c r="AP22" t="str">
        <v/>
      </c>
    </row>
    <row r="23" spans="4:42" ht="15.75" x14ac:dyDescent="0.25">
      <c r="D23" s="3">
        <v>1</v>
      </c>
      <c r="F23" s="16" t="str" cm="1">
        <f t="array" ref="F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" s="31" cm="1">
        <f t="array" ref="G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" s="33" t="str">
        <f>_xlfn.IFNA(IF(MOD(HLG_05[[#This Row],[Rit]],
    _xlfn.XLOOKUP($G$2,Int_Sample[Ore],Int_Sample[Inc])) = 0, "YES", "NO"),"")</f>
        <v/>
      </c>
      <c r="I23" s="32" t="str">
        <f>TEXT(HLG_05[[#This Row],[Batch]],"000")&amp; " / " &amp; TEXT(HLG_05[[#This Row],[Rit]],"000")</f>
        <v>N/A / 000</v>
      </c>
      <c r="J23" s="34"/>
      <c r="K23" s="38"/>
      <c r="L23" s="35"/>
      <c r="M23" s="85"/>
      <c r="N23" s="85"/>
      <c r="O23" s="85"/>
      <c r="P23" s="85"/>
      <c r="Q23" s="85"/>
      <c r="R23" s="85"/>
      <c r="S23" s="100"/>
      <c r="T23" s="100"/>
      <c r="U23" s="85"/>
      <c r="V23" s="85"/>
      <c r="W23" s="85"/>
      <c r="X23" s="85"/>
      <c r="AP23" t="str">
        <v/>
      </c>
    </row>
    <row r="24" spans="4:42" ht="15.75" x14ac:dyDescent="0.25">
      <c r="D24" s="3">
        <v>1</v>
      </c>
      <c r="F24" s="16" t="str" cm="1">
        <f t="array" ref="F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" s="31" cm="1">
        <f t="array" ref="G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" s="33" t="str">
        <f>_xlfn.IFNA(IF(MOD(HLG_05[[#This Row],[Rit]],
    _xlfn.XLOOKUP($G$2,Int_Sample[Ore],Int_Sample[Inc])) = 0, "YES", "NO"),"")</f>
        <v/>
      </c>
      <c r="I24" s="32" t="str">
        <f>TEXT(HLG_05[[#This Row],[Batch]],"000")&amp; " / " &amp; TEXT(HLG_05[[#This Row],[Rit]],"000")</f>
        <v>N/A / 000</v>
      </c>
      <c r="J24" s="34"/>
      <c r="K24" s="38"/>
      <c r="L24" s="35"/>
      <c r="M24" s="85"/>
      <c r="N24" s="85"/>
      <c r="O24" s="85"/>
      <c r="P24" s="85"/>
      <c r="Q24" s="85"/>
      <c r="R24" s="85"/>
      <c r="S24" s="100"/>
      <c r="T24" s="100"/>
      <c r="U24" s="85"/>
      <c r="V24" s="85"/>
      <c r="W24" s="85"/>
      <c r="X24" s="85"/>
      <c r="AP24" t="str">
        <v/>
      </c>
    </row>
    <row r="25" spans="4:42" ht="15.75" x14ac:dyDescent="0.25">
      <c r="D25" s="3">
        <v>1</v>
      </c>
      <c r="F25" s="16" t="str" cm="1">
        <f t="array" ref="F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" s="31" cm="1">
        <f t="array" ref="G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" s="33" t="str">
        <f>_xlfn.IFNA(IF(MOD(HLG_05[[#This Row],[Rit]],
    _xlfn.XLOOKUP($G$2,Int_Sample[Ore],Int_Sample[Inc])) = 0, "YES", "NO"),"")</f>
        <v/>
      </c>
      <c r="I25" s="32" t="str">
        <f>TEXT(HLG_05[[#This Row],[Batch]],"000")&amp; " / " &amp; TEXT(HLG_05[[#This Row],[Rit]],"000")</f>
        <v>N/A / 000</v>
      </c>
      <c r="J25" s="34"/>
      <c r="K25" s="38"/>
      <c r="L25" s="35"/>
      <c r="M25" s="85"/>
      <c r="N25" s="85"/>
      <c r="O25" s="85"/>
      <c r="P25" s="85"/>
      <c r="Q25" s="85"/>
      <c r="R25" s="85"/>
      <c r="S25" s="100"/>
      <c r="T25" s="100"/>
      <c r="U25" s="85"/>
      <c r="V25" s="85"/>
      <c r="W25" s="85"/>
      <c r="X25" s="85"/>
      <c r="AP25" t="str">
        <v/>
      </c>
    </row>
    <row r="26" spans="4:42" ht="15.75" x14ac:dyDescent="0.25">
      <c r="D26" s="3">
        <v>1</v>
      </c>
      <c r="F26" s="16" t="str" cm="1">
        <f t="array" ref="F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" s="31" cm="1">
        <f t="array" ref="G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" s="33" t="str">
        <f>_xlfn.IFNA(IF(MOD(HLG_05[[#This Row],[Rit]],
    _xlfn.XLOOKUP($G$2,Int_Sample[Ore],Int_Sample[Inc])) = 0, "YES", "NO"),"")</f>
        <v/>
      </c>
      <c r="I26" s="32" t="str">
        <f>TEXT(HLG_05[[#This Row],[Batch]],"000")&amp; " / " &amp; TEXT(HLG_05[[#This Row],[Rit]],"000")</f>
        <v>N/A / 000</v>
      </c>
      <c r="J26" s="34"/>
      <c r="K26" s="38"/>
      <c r="L26" s="35"/>
      <c r="M26" s="85"/>
      <c r="N26" s="85"/>
      <c r="O26" s="85"/>
      <c r="P26" s="85"/>
      <c r="Q26" s="85"/>
      <c r="R26" s="85"/>
      <c r="S26" s="100"/>
      <c r="T26" s="100"/>
      <c r="U26" s="85"/>
      <c r="V26" s="85"/>
      <c r="W26" s="85"/>
      <c r="X26" s="85"/>
      <c r="AP26" t="str">
        <v/>
      </c>
    </row>
    <row r="27" spans="4:42" ht="15.75" x14ac:dyDescent="0.25">
      <c r="D27" s="3">
        <v>1</v>
      </c>
      <c r="F27" s="16" t="str" cm="1">
        <f t="array" ref="F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" s="31" cm="1">
        <f t="array" ref="G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" s="33" t="str">
        <f>_xlfn.IFNA(IF(MOD(HLG_05[[#This Row],[Rit]],
    _xlfn.XLOOKUP($G$2,Int_Sample[Ore],Int_Sample[Inc])) = 0, "YES", "NO"),"")</f>
        <v/>
      </c>
      <c r="I27" s="32" t="str">
        <f>TEXT(HLG_05[[#This Row],[Batch]],"000")&amp; " / " &amp; TEXT(HLG_05[[#This Row],[Rit]],"000")</f>
        <v>N/A / 000</v>
      </c>
      <c r="J27" s="34"/>
      <c r="K27" s="38"/>
      <c r="L27" s="35"/>
      <c r="M27" s="85"/>
      <c r="N27" s="85"/>
      <c r="O27" s="85"/>
      <c r="P27" s="85"/>
      <c r="Q27" s="85"/>
      <c r="R27" s="85"/>
      <c r="S27" s="100"/>
      <c r="T27" s="100"/>
      <c r="U27" s="85"/>
      <c r="V27" s="85"/>
      <c r="W27" s="85"/>
      <c r="X27" s="85"/>
      <c r="AP27" t="str">
        <v/>
      </c>
    </row>
    <row r="28" spans="4:42" ht="15.75" x14ac:dyDescent="0.25">
      <c r="D28" s="3">
        <v>1</v>
      </c>
      <c r="F28" s="16" t="str" cm="1">
        <f t="array" ref="F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" s="31" cm="1">
        <f t="array" ref="G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" s="33" t="str">
        <f>_xlfn.IFNA(IF(MOD(HLG_05[[#This Row],[Rit]],
    _xlfn.XLOOKUP($G$2,Int_Sample[Ore],Int_Sample[Inc])) = 0, "YES", "NO"),"")</f>
        <v/>
      </c>
      <c r="I28" s="32" t="str">
        <f>TEXT(HLG_05[[#This Row],[Batch]],"000")&amp; " / " &amp; TEXT(HLG_05[[#This Row],[Rit]],"000")</f>
        <v>N/A / 000</v>
      </c>
      <c r="J28" s="34"/>
      <c r="K28" s="38"/>
      <c r="L28" s="35"/>
      <c r="M28" s="85"/>
      <c r="N28" s="85"/>
      <c r="O28" s="85"/>
      <c r="P28" s="85"/>
      <c r="Q28" s="85"/>
      <c r="R28" s="85"/>
      <c r="S28" s="100"/>
      <c r="T28" s="100"/>
      <c r="U28" s="85"/>
      <c r="V28" s="85"/>
      <c r="W28" s="85"/>
      <c r="X28" s="85"/>
      <c r="AP28" t="str">
        <v/>
      </c>
    </row>
    <row r="29" spans="4:42" ht="15.75" x14ac:dyDescent="0.25">
      <c r="D29" s="3">
        <v>1</v>
      </c>
      <c r="F29" s="16" t="str" cm="1">
        <f t="array" ref="F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" s="31" cm="1">
        <f t="array" ref="G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" s="33" t="str">
        <f>_xlfn.IFNA(IF(MOD(HLG_05[[#This Row],[Rit]],
    _xlfn.XLOOKUP($G$2,Int_Sample[Ore],Int_Sample[Inc])) = 0, "YES", "NO"),"")</f>
        <v/>
      </c>
      <c r="I29" s="32" t="str">
        <f>TEXT(HLG_05[[#This Row],[Batch]],"000")&amp; " / " &amp; TEXT(HLG_05[[#This Row],[Rit]],"000")</f>
        <v>N/A / 000</v>
      </c>
      <c r="J29" s="34"/>
      <c r="K29" s="38"/>
      <c r="L29" s="35"/>
      <c r="M29" s="85"/>
      <c r="N29" s="85"/>
      <c r="O29" s="85"/>
      <c r="P29" s="85"/>
      <c r="Q29" s="85"/>
      <c r="R29" s="85"/>
      <c r="S29" s="100"/>
      <c r="T29" s="100"/>
      <c r="U29" s="85"/>
      <c r="V29" s="85"/>
      <c r="W29" s="85"/>
      <c r="X29" s="85"/>
      <c r="AP29" t="str">
        <v/>
      </c>
    </row>
    <row r="30" spans="4:42" ht="15.75" x14ac:dyDescent="0.25">
      <c r="D30" s="3">
        <v>1</v>
      </c>
      <c r="F30" s="16" t="str" cm="1">
        <f t="array" ref="F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" s="31" cm="1">
        <f t="array" ref="G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" s="33" t="str">
        <f>_xlfn.IFNA(IF(MOD(HLG_05[[#This Row],[Rit]],
    _xlfn.XLOOKUP($G$2,Int_Sample[Ore],Int_Sample[Inc])) = 0, "YES", "NO"),"")</f>
        <v/>
      </c>
      <c r="I30" s="32" t="str">
        <f>TEXT(HLG_05[[#This Row],[Batch]],"000")&amp; " / " &amp; TEXT(HLG_05[[#This Row],[Rit]],"000")</f>
        <v>N/A / 000</v>
      </c>
      <c r="J30" s="34"/>
      <c r="K30" s="38"/>
      <c r="L30" s="35"/>
      <c r="M30" s="85"/>
      <c r="N30" s="85"/>
      <c r="O30" s="85"/>
      <c r="P30" s="85"/>
      <c r="Q30" s="85"/>
      <c r="R30" s="85"/>
      <c r="S30" s="100"/>
      <c r="T30" s="100"/>
      <c r="U30" s="85"/>
      <c r="V30" s="85"/>
      <c r="W30" s="85"/>
      <c r="X30" s="85"/>
      <c r="AP30" t="str">
        <v/>
      </c>
    </row>
    <row r="31" spans="4:42" ht="15.75" x14ac:dyDescent="0.25">
      <c r="D31" s="3">
        <v>1</v>
      </c>
      <c r="F31" s="16" t="str" cm="1">
        <f t="array" ref="F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" s="31" cm="1">
        <f t="array" ref="G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" s="33" t="str">
        <f>_xlfn.IFNA(IF(MOD(HLG_05[[#This Row],[Rit]],
    _xlfn.XLOOKUP($G$2,Int_Sample[Ore],Int_Sample[Inc])) = 0, "YES", "NO"),"")</f>
        <v/>
      </c>
      <c r="I31" s="32" t="str">
        <f>TEXT(HLG_05[[#This Row],[Batch]],"000")&amp; " / " &amp; TEXT(HLG_05[[#This Row],[Rit]],"000")</f>
        <v>N/A / 000</v>
      </c>
      <c r="J31" s="34"/>
      <c r="K31" s="38"/>
      <c r="L31" s="35"/>
      <c r="M31" s="85"/>
      <c r="N31" s="85"/>
      <c r="O31" s="85"/>
      <c r="P31" s="85"/>
      <c r="Q31" s="85"/>
      <c r="R31" s="85"/>
      <c r="S31" s="100"/>
      <c r="T31" s="100"/>
      <c r="U31" s="85"/>
      <c r="V31" s="85"/>
      <c r="W31" s="85"/>
      <c r="X31" s="85"/>
      <c r="AP31" t="str">
        <v/>
      </c>
    </row>
    <row r="32" spans="4:42" ht="15.75" x14ac:dyDescent="0.25">
      <c r="D32" s="3">
        <v>1</v>
      </c>
      <c r="F32" s="16" t="str" cm="1">
        <f t="array" ref="F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" s="31" cm="1">
        <f t="array" ref="G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" s="33" t="str">
        <f>_xlfn.IFNA(IF(MOD(HLG_05[[#This Row],[Rit]],
    _xlfn.XLOOKUP($G$2,Int_Sample[Ore],Int_Sample[Inc])) = 0, "YES", "NO"),"")</f>
        <v/>
      </c>
      <c r="I32" s="32" t="str">
        <f>TEXT(HLG_05[[#This Row],[Batch]],"000")&amp; " / " &amp; TEXT(HLG_05[[#This Row],[Rit]],"000")</f>
        <v>N/A / 000</v>
      </c>
      <c r="J32" s="34"/>
      <c r="K32" s="38"/>
      <c r="L32" s="35"/>
      <c r="M32" s="85"/>
      <c r="N32" s="85"/>
      <c r="O32" s="85"/>
      <c r="P32" s="85"/>
      <c r="Q32" s="85"/>
      <c r="R32" s="85"/>
      <c r="S32" s="100"/>
      <c r="T32" s="100"/>
      <c r="U32" s="85"/>
      <c r="V32" s="85"/>
      <c r="W32" s="85"/>
      <c r="X32" s="85"/>
      <c r="AP32" t="str">
        <v/>
      </c>
    </row>
    <row r="33" spans="4:42" ht="15.75" x14ac:dyDescent="0.25">
      <c r="D33" s="3">
        <v>1</v>
      </c>
      <c r="F33" s="16" t="str" cm="1">
        <f t="array" ref="F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" s="31" cm="1">
        <f t="array" ref="G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" s="33" t="str">
        <f>_xlfn.IFNA(IF(MOD(HLG_05[[#This Row],[Rit]],
    _xlfn.XLOOKUP($G$2,Int_Sample[Ore],Int_Sample[Inc])) = 0, "YES", "NO"),"")</f>
        <v/>
      </c>
      <c r="I33" s="32" t="str">
        <f>TEXT(HLG_05[[#This Row],[Batch]],"000")&amp; " / " &amp; TEXT(HLG_05[[#This Row],[Rit]],"000")</f>
        <v>N/A / 000</v>
      </c>
      <c r="J33" s="34"/>
      <c r="K33" s="38"/>
      <c r="L33" s="35"/>
      <c r="M33" s="85"/>
      <c r="N33" s="85"/>
      <c r="O33" s="85"/>
      <c r="P33" s="85"/>
      <c r="Q33" s="85"/>
      <c r="R33" s="85"/>
      <c r="S33" s="100"/>
      <c r="T33" s="100"/>
      <c r="U33" s="85"/>
      <c r="V33" s="85"/>
      <c r="W33" s="85"/>
      <c r="X33" s="85"/>
      <c r="AP33" t="str">
        <v/>
      </c>
    </row>
    <row r="34" spans="4:42" ht="15.75" x14ac:dyDescent="0.25">
      <c r="D34" s="3">
        <v>1</v>
      </c>
      <c r="F34" s="16" t="str" cm="1">
        <f t="array" ref="F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" s="31" cm="1">
        <f t="array" ref="G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" s="33" t="str">
        <f>_xlfn.IFNA(IF(MOD(HLG_05[[#This Row],[Rit]],
    _xlfn.XLOOKUP($G$2,Int_Sample[Ore],Int_Sample[Inc])) = 0, "YES", "NO"),"")</f>
        <v/>
      </c>
      <c r="I34" s="32" t="str">
        <f>TEXT(HLG_05[[#This Row],[Batch]],"000")&amp; " / " &amp; TEXT(HLG_05[[#This Row],[Rit]],"000")</f>
        <v>N/A / 000</v>
      </c>
      <c r="J34" s="34"/>
      <c r="K34" s="38"/>
      <c r="L34" s="35"/>
      <c r="M34" s="85"/>
      <c r="N34" s="85"/>
      <c r="O34" s="85"/>
      <c r="P34" s="85"/>
      <c r="Q34" s="85"/>
      <c r="R34" s="85"/>
      <c r="S34" s="100"/>
      <c r="T34" s="100"/>
      <c r="U34" s="85"/>
      <c r="V34" s="85"/>
      <c r="W34" s="85"/>
      <c r="X34" s="85"/>
      <c r="AP34" t="str">
        <v/>
      </c>
    </row>
    <row r="35" spans="4:42" ht="15.75" x14ac:dyDescent="0.25">
      <c r="D35" s="3">
        <v>1</v>
      </c>
      <c r="F35" s="16" t="str" cm="1">
        <f t="array" ref="F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" s="31" cm="1">
        <f t="array" ref="G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" s="33" t="str">
        <f>_xlfn.IFNA(IF(MOD(HLG_05[[#This Row],[Rit]],
    _xlfn.XLOOKUP($G$2,Int_Sample[Ore],Int_Sample[Inc])) = 0, "YES", "NO"),"")</f>
        <v/>
      </c>
      <c r="I35" s="32" t="str">
        <f>TEXT(HLG_05[[#This Row],[Batch]],"000")&amp; " / " &amp; TEXT(HLG_05[[#This Row],[Rit]],"000")</f>
        <v>N/A / 000</v>
      </c>
      <c r="J35" s="34"/>
      <c r="K35" s="38"/>
      <c r="L35" s="35"/>
      <c r="M35" s="85"/>
      <c r="N35" s="85"/>
      <c r="O35" s="85"/>
      <c r="P35" s="85"/>
      <c r="Q35" s="85"/>
      <c r="R35" s="85"/>
      <c r="S35" s="100"/>
      <c r="T35" s="100"/>
      <c r="U35" s="85"/>
      <c r="V35" s="85"/>
      <c r="W35" s="85"/>
      <c r="X35" s="85"/>
      <c r="AP35" t="str">
        <v/>
      </c>
    </row>
    <row r="36" spans="4:42" ht="15.75" x14ac:dyDescent="0.25">
      <c r="D36" s="3">
        <v>1</v>
      </c>
      <c r="F36" s="16" t="str" cm="1">
        <f t="array" ref="F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" s="31" cm="1">
        <f t="array" ref="G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" s="33" t="str">
        <f>_xlfn.IFNA(IF(MOD(HLG_05[[#This Row],[Rit]],
    _xlfn.XLOOKUP($G$2,Int_Sample[Ore],Int_Sample[Inc])) = 0, "YES", "NO"),"")</f>
        <v/>
      </c>
      <c r="I36" s="32" t="str">
        <f>TEXT(HLG_05[[#This Row],[Batch]],"000")&amp; " / " &amp; TEXT(HLG_05[[#This Row],[Rit]],"000")</f>
        <v>N/A / 000</v>
      </c>
      <c r="J36" s="34"/>
      <c r="K36" s="38"/>
      <c r="L36" s="35"/>
      <c r="M36" s="85"/>
      <c r="N36" s="85"/>
      <c r="O36" s="85"/>
      <c r="P36" s="85"/>
      <c r="Q36" s="85"/>
      <c r="R36" s="85"/>
      <c r="S36" s="100"/>
      <c r="T36" s="100"/>
      <c r="U36" s="85"/>
      <c r="V36" s="85"/>
      <c r="W36" s="85"/>
      <c r="X36" s="85"/>
      <c r="AP36" t="str">
        <v/>
      </c>
    </row>
    <row r="37" spans="4:42" ht="15.75" x14ac:dyDescent="0.25">
      <c r="D37" s="3">
        <v>1</v>
      </c>
      <c r="F37" s="16" t="str" cm="1">
        <f t="array" ref="F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" s="31" cm="1">
        <f t="array" ref="G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" s="33" t="str">
        <f>_xlfn.IFNA(IF(MOD(HLG_05[[#This Row],[Rit]],
    _xlfn.XLOOKUP($G$2,Int_Sample[Ore],Int_Sample[Inc])) = 0, "YES", "NO"),"")</f>
        <v/>
      </c>
      <c r="I37" s="32" t="str">
        <f>TEXT(HLG_05[[#This Row],[Batch]],"000")&amp; " / " &amp; TEXT(HLG_05[[#This Row],[Rit]],"000")</f>
        <v>N/A / 000</v>
      </c>
      <c r="J37" s="34"/>
      <c r="K37" s="38"/>
      <c r="L37" s="35"/>
      <c r="M37" s="85"/>
      <c r="N37" s="85"/>
      <c r="O37" s="85"/>
      <c r="P37" s="85"/>
      <c r="Q37" s="85"/>
      <c r="R37" s="85"/>
      <c r="S37" s="100"/>
      <c r="T37" s="100"/>
      <c r="U37" s="85"/>
      <c r="V37" s="85"/>
      <c r="W37" s="85"/>
      <c r="X37" s="85"/>
      <c r="AP37" t="str">
        <v/>
      </c>
    </row>
    <row r="38" spans="4:42" ht="15.75" x14ac:dyDescent="0.25">
      <c r="D38" s="3">
        <v>1</v>
      </c>
      <c r="F38" s="16" t="str" cm="1">
        <f t="array" ref="F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" s="31" cm="1">
        <f t="array" ref="G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" s="33" t="str">
        <f>_xlfn.IFNA(IF(MOD(HLG_05[[#This Row],[Rit]],
    _xlfn.XLOOKUP($G$2,Int_Sample[Ore],Int_Sample[Inc])) = 0, "YES", "NO"),"")</f>
        <v/>
      </c>
      <c r="I38" s="32" t="str">
        <f>TEXT(HLG_05[[#This Row],[Batch]],"000")&amp; " / " &amp; TEXT(HLG_05[[#This Row],[Rit]],"000")</f>
        <v>N/A / 000</v>
      </c>
      <c r="J38" s="34"/>
      <c r="K38" s="38"/>
      <c r="L38" s="35"/>
      <c r="M38" s="85"/>
      <c r="N38" s="85"/>
      <c r="O38" s="85"/>
      <c r="P38" s="85"/>
      <c r="Q38" s="85"/>
      <c r="R38" s="85"/>
      <c r="S38" s="100"/>
      <c r="T38" s="100"/>
      <c r="U38" s="85"/>
      <c r="V38" s="85"/>
      <c r="W38" s="85"/>
      <c r="X38" s="85"/>
      <c r="AP38" t="str">
        <v/>
      </c>
    </row>
    <row r="39" spans="4:42" ht="15.75" x14ac:dyDescent="0.25">
      <c r="D39" s="3">
        <v>1</v>
      </c>
      <c r="F39" s="16" t="str" cm="1">
        <f t="array" ref="F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" s="31" cm="1">
        <f t="array" ref="G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" s="33" t="str">
        <f>_xlfn.IFNA(IF(MOD(HLG_05[[#This Row],[Rit]],
    _xlfn.XLOOKUP($G$2,Int_Sample[Ore],Int_Sample[Inc])) = 0, "YES", "NO"),"")</f>
        <v/>
      </c>
      <c r="I39" s="32" t="str">
        <f>TEXT(HLG_05[[#This Row],[Batch]],"000")&amp; " / " &amp; TEXT(HLG_05[[#This Row],[Rit]],"000")</f>
        <v>N/A / 000</v>
      </c>
      <c r="J39" s="34"/>
      <c r="K39" s="38"/>
      <c r="L39" s="35"/>
      <c r="M39" s="85"/>
      <c r="N39" s="85"/>
      <c r="O39" s="85"/>
      <c r="P39" s="85"/>
      <c r="Q39" s="85"/>
      <c r="R39" s="85"/>
      <c r="S39" s="100"/>
      <c r="T39" s="100"/>
      <c r="U39" s="85"/>
      <c r="V39" s="85"/>
      <c r="W39" s="85"/>
      <c r="X39" s="85"/>
      <c r="AP39" t="str">
        <v/>
      </c>
    </row>
    <row r="40" spans="4:42" ht="15.75" x14ac:dyDescent="0.25">
      <c r="D40" s="3">
        <v>1</v>
      </c>
      <c r="F40" s="16" t="str" cm="1">
        <f t="array" ref="F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" s="31" cm="1">
        <f t="array" ref="G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" s="33" t="str">
        <f>_xlfn.IFNA(IF(MOD(HLG_05[[#This Row],[Rit]],
    _xlfn.XLOOKUP($G$2,Int_Sample[Ore],Int_Sample[Inc])) = 0, "YES", "NO"),"")</f>
        <v/>
      </c>
      <c r="I40" s="32" t="str">
        <f>TEXT(HLG_05[[#This Row],[Batch]],"000")&amp; " / " &amp; TEXT(HLG_05[[#This Row],[Rit]],"000")</f>
        <v>N/A / 000</v>
      </c>
      <c r="J40" s="34"/>
      <c r="K40" s="38"/>
      <c r="L40" s="35"/>
      <c r="M40" s="85"/>
      <c r="N40" s="85"/>
      <c r="O40" s="85"/>
      <c r="P40" s="85"/>
      <c r="Q40" s="85"/>
      <c r="R40" s="85"/>
      <c r="S40" s="100"/>
      <c r="T40" s="100"/>
      <c r="U40" s="85"/>
      <c r="V40" s="85"/>
      <c r="W40" s="85"/>
      <c r="X40" s="85"/>
      <c r="AP40" t="str">
        <v/>
      </c>
    </row>
    <row r="41" spans="4:42" ht="15.75" x14ac:dyDescent="0.25">
      <c r="D41" s="3">
        <v>1</v>
      </c>
      <c r="F41" s="16" t="str" cm="1">
        <f t="array" ref="F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" s="31" cm="1">
        <f t="array" ref="G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" s="33" t="str">
        <f>_xlfn.IFNA(IF(MOD(HLG_05[[#This Row],[Rit]],
    _xlfn.XLOOKUP($G$2,Int_Sample[Ore],Int_Sample[Inc])) = 0, "YES", "NO"),"")</f>
        <v/>
      </c>
      <c r="I41" s="32" t="str">
        <f>TEXT(HLG_05[[#This Row],[Batch]],"000")&amp; " / " &amp; TEXT(HLG_05[[#This Row],[Rit]],"000")</f>
        <v>N/A / 000</v>
      </c>
      <c r="J41" s="34"/>
      <c r="K41" s="38"/>
      <c r="L41" s="35"/>
      <c r="M41" s="85"/>
      <c r="N41" s="85"/>
      <c r="O41" s="85"/>
      <c r="P41" s="85"/>
      <c r="Q41" s="85"/>
      <c r="R41" s="85"/>
      <c r="S41" s="100"/>
      <c r="T41" s="100"/>
      <c r="U41" s="85"/>
      <c r="V41" s="85"/>
      <c r="W41" s="85"/>
      <c r="X41" s="85"/>
      <c r="AP41" t="str">
        <v/>
      </c>
    </row>
    <row r="42" spans="4:42" ht="15.75" x14ac:dyDescent="0.25">
      <c r="D42" s="3">
        <v>1</v>
      </c>
      <c r="F42" s="16" t="str" cm="1">
        <f t="array" ref="F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" s="31" cm="1">
        <f t="array" ref="G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" s="33" t="str">
        <f>_xlfn.IFNA(IF(MOD(HLG_05[[#This Row],[Rit]],
    _xlfn.XLOOKUP($G$2,Int_Sample[Ore],Int_Sample[Inc])) = 0, "YES", "NO"),"")</f>
        <v/>
      </c>
      <c r="I42" s="32" t="str">
        <f>TEXT(HLG_05[[#This Row],[Batch]],"000")&amp; " / " &amp; TEXT(HLG_05[[#This Row],[Rit]],"000")</f>
        <v>N/A / 000</v>
      </c>
      <c r="J42" s="34"/>
      <c r="K42" s="38"/>
      <c r="L42" s="35"/>
      <c r="M42" s="85"/>
      <c r="N42" s="85"/>
      <c r="O42" s="85"/>
      <c r="P42" s="85"/>
      <c r="Q42" s="85"/>
      <c r="R42" s="85"/>
      <c r="S42" s="100"/>
      <c r="T42" s="100"/>
      <c r="U42" s="85"/>
      <c r="V42" s="85"/>
      <c r="W42" s="85"/>
      <c r="X42" s="85"/>
      <c r="AP42" t="str">
        <v/>
      </c>
    </row>
    <row r="43" spans="4:42" ht="15.75" x14ac:dyDescent="0.25">
      <c r="D43" s="3">
        <v>1</v>
      </c>
      <c r="F43" s="16" t="str" cm="1">
        <f t="array" ref="F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" s="31" cm="1">
        <f t="array" ref="G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" s="33" t="str">
        <f>_xlfn.IFNA(IF(MOD(HLG_05[[#This Row],[Rit]],
    _xlfn.XLOOKUP($G$2,Int_Sample[Ore],Int_Sample[Inc])) = 0, "YES", "NO"),"")</f>
        <v/>
      </c>
      <c r="I43" s="32" t="str">
        <f>TEXT(HLG_05[[#This Row],[Batch]],"000")&amp; " / " &amp; TEXT(HLG_05[[#This Row],[Rit]],"000")</f>
        <v>N/A / 000</v>
      </c>
      <c r="J43" s="34"/>
      <c r="K43" s="38"/>
      <c r="L43" s="35"/>
      <c r="M43" s="85"/>
      <c r="N43" s="85"/>
      <c r="O43" s="85"/>
      <c r="P43" s="85"/>
      <c r="Q43" s="85"/>
      <c r="R43" s="85"/>
      <c r="S43" s="100"/>
      <c r="T43" s="100"/>
      <c r="U43" s="85"/>
      <c r="V43" s="85"/>
      <c r="W43" s="85"/>
      <c r="X43" s="85"/>
      <c r="AP43" t="str">
        <v/>
      </c>
    </row>
    <row r="44" spans="4:42" ht="15.75" x14ac:dyDescent="0.25">
      <c r="D44" s="3">
        <v>1</v>
      </c>
      <c r="F44" s="16" t="str" cm="1">
        <f t="array" ref="F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" s="31" cm="1">
        <f t="array" ref="G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" s="33" t="str">
        <f>_xlfn.IFNA(IF(MOD(HLG_05[[#This Row],[Rit]],
    _xlfn.XLOOKUP($G$2,Int_Sample[Ore],Int_Sample[Inc])) = 0, "YES", "NO"),"")</f>
        <v/>
      </c>
      <c r="I44" s="32" t="str">
        <f>TEXT(HLG_05[[#This Row],[Batch]],"000")&amp; " / " &amp; TEXT(HLG_05[[#This Row],[Rit]],"000")</f>
        <v>N/A / 000</v>
      </c>
      <c r="J44" s="34"/>
      <c r="K44" s="38"/>
      <c r="L44" s="35"/>
      <c r="M44" s="85"/>
      <c r="N44" s="85"/>
      <c r="O44" s="85"/>
      <c r="P44" s="85"/>
      <c r="Q44" s="85"/>
      <c r="R44" s="85"/>
      <c r="S44" s="100"/>
      <c r="T44" s="100"/>
      <c r="U44" s="85"/>
      <c r="V44" s="85"/>
      <c r="W44" s="85"/>
      <c r="X44" s="85"/>
      <c r="AP44" t="str">
        <v/>
      </c>
    </row>
    <row r="45" spans="4:42" ht="15.75" x14ac:dyDescent="0.25">
      <c r="D45" s="3">
        <v>1</v>
      </c>
      <c r="F45" s="16" t="str" cm="1">
        <f t="array" ref="F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" s="31" cm="1">
        <f t="array" ref="G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" s="33" t="str">
        <f>_xlfn.IFNA(IF(MOD(HLG_05[[#This Row],[Rit]],
    _xlfn.XLOOKUP($G$2,Int_Sample[Ore],Int_Sample[Inc])) = 0, "YES", "NO"),"")</f>
        <v/>
      </c>
      <c r="I45" s="32" t="str">
        <f>TEXT(HLG_05[[#This Row],[Batch]],"000")&amp; " / " &amp; TEXT(HLG_05[[#This Row],[Rit]],"000")</f>
        <v>N/A / 000</v>
      </c>
      <c r="J45" s="34"/>
      <c r="K45" s="38"/>
      <c r="L45" s="35"/>
      <c r="M45" s="85"/>
      <c r="N45" s="85"/>
      <c r="O45" s="85"/>
      <c r="P45" s="85"/>
      <c r="Q45" s="85"/>
      <c r="R45" s="85"/>
      <c r="S45" s="100"/>
      <c r="T45" s="100"/>
      <c r="U45" s="85"/>
      <c r="V45" s="85"/>
      <c r="W45" s="85"/>
      <c r="X45" s="85"/>
      <c r="AP45" t="str">
        <v/>
      </c>
    </row>
    <row r="46" spans="4:42" ht="15.75" x14ac:dyDescent="0.25">
      <c r="D46" s="3">
        <v>1</v>
      </c>
      <c r="F46" s="16" t="str" cm="1">
        <f t="array" ref="F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" s="31" cm="1">
        <f t="array" ref="G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" s="33" t="str">
        <f>_xlfn.IFNA(IF(MOD(HLG_05[[#This Row],[Rit]],
    _xlfn.XLOOKUP($G$2,Int_Sample[Ore],Int_Sample[Inc])) = 0, "YES", "NO"),"")</f>
        <v/>
      </c>
      <c r="I46" s="32" t="str">
        <f>TEXT(HLG_05[[#This Row],[Batch]],"000")&amp; " / " &amp; TEXT(HLG_05[[#This Row],[Rit]],"000")</f>
        <v>N/A / 000</v>
      </c>
      <c r="J46" s="34"/>
      <c r="K46" s="38"/>
      <c r="L46" s="35"/>
      <c r="M46" s="85"/>
      <c r="N46" s="85"/>
      <c r="O46" s="85"/>
      <c r="P46" s="85"/>
      <c r="Q46" s="85"/>
      <c r="R46" s="85"/>
      <c r="S46" s="100"/>
      <c r="T46" s="100"/>
      <c r="U46" s="85"/>
      <c r="V46" s="85"/>
      <c r="W46" s="85"/>
      <c r="X46" s="85"/>
      <c r="AP46" t="str">
        <v/>
      </c>
    </row>
    <row r="47" spans="4:42" ht="15.75" x14ac:dyDescent="0.25">
      <c r="D47" s="3">
        <v>1</v>
      </c>
      <c r="F47" s="16" t="str" cm="1">
        <f t="array" ref="F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" s="31" cm="1">
        <f t="array" ref="G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" s="33" t="str">
        <f>_xlfn.IFNA(IF(MOD(HLG_05[[#This Row],[Rit]],
    _xlfn.XLOOKUP($G$2,Int_Sample[Ore],Int_Sample[Inc])) = 0, "YES", "NO"),"")</f>
        <v/>
      </c>
      <c r="I47" s="32" t="str">
        <f>TEXT(HLG_05[[#This Row],[Batch]],"000")&amp; " / " &amp; TEXT(HLG_05[[#This Row],[Rit]],"000")</f>
        <v>N/A / 000</v>
      </c>
      <c r="J47" s="34"/>
      <c r="K47" s="38"/>
      <c r="L47" s="35"/>
      <c r="M47" s="85"/>
      <c r="N47" s="85"/>
      <c r="O47" s="85"/>
      <c r="P47" s="85"/>
      <c r="Q47" s="85"/>
      <c r="R47" s="85"/>
      <c r="S47" s="100"/>
      <c r="T47" s="100"/>
      <c r="U47" s="85"/>
      <c r="V47" s="85"/>
      <c r="W47" s="85"/>
      <c r="X47" s="85"/>
      <c r="AP47" t="str">
        <v/>
      </c>
    </row>
    <row r="48" spans="4:42" ht="15.75" x14ac:dyDescent="0.25">
      <c r="D48" s="3">
        <v>1</v>
      </c>
      <c r="F48" s="16" t="str" cm="1">
        <f t="array" ref="F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" s="31" cm="1">
        <f t="array" ref="G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" s="33" t="str">
        <f>_xlfn.IFNA(IF(MOD(HLG_05[[#This Row],[Rit]],
    _xlfn.XLOOKUP($G$2,Int_Sample[Ore],Int_Sample[Inc])) = 0, "YES", "NO"),"")</f>
        <v/>
      </c>
      <c r="I48" s="32" t="str">
        <f>TEXT(HLG_05[[#This Row],[Batch]],"000")&amp; " / " &amp; TEXT(HLG_05[[#This Row],[Rit]],"000")</f>
        <v>N/A / 000</v>
      </c>
      <c r="J48" s="34"/>
      <c r="K48" s="38"/>
      <c r="L48" s="35"/>
      <c r="M48" s="85"/>
      <c r="N48" s="85"/>
      <c r="O48" s="85"/>
      <c r="P48" s="85"/>
      <c r="Q48" s="85"/>
      <c r="R48" s="85"/>
      <c r="S48" s="100"/>
      <c r="T48" s="100"/>
      <c r="U48" s="85"/>
      <c r="V48" s="85"/>
      <c r="W48" s="85"/>
      <c r="X48" s="85"/>
      <c r="AP48" t="str">
        <v/>
      </c>
    </row>
    <row r="49" spans="4:42" ht="15.75" x14ac:dyDescent="0.25">
      <c r="D49" s="3">
        <v>1</v>
      </c>
      <c r="F49" s="16" t="str" cm="1">
        <f t="array" ref="F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" s="31" cm="1">
        <f t="array" ref="G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" s="33" t="str">
        <f>_xlfn.IFNA(IF(MOD(HLG_05[[#This Row],[Rit]],
    _xlfn.XLOOKUP($G$2,Int_Sample[Ore],Int_Sample[Inc])) = 0, "YES", "NO"),"")</f>
        <v/>
      </c>
      <c r="I49" s="32" t="str">
        <f>TEXT(HLG_05[[#This Row],[Batch]],"000")&amp; " / " &amp; TEXT(HLG_05[[#This Row],[Rit]],"000")</f>
        <v>N/A / 000</v>
      </c>
      <c r="J49" s="34"/>
      <c r="K49" s="38"/>
      <c r="L49" s="35"/>
      <c r="M49" s="85"/>
      <c r="N49" s="85"/>
      <c r="O49" s="85"/>
      <c r="P49" s="85"/>
      <c r="Q49" s="85"/>
      <c r="R49" s="85"/>
      <c r="S49" s="100"/>
      <c r="T49" s="100"/>
      <c r="U49" s="85"/>
      <c r="V49" s="85"/>
      <c r="W49" s="85"/>
      <c r="X49" s="85"/>
      <c r="AP49" t="str">
        <v/>
      </c>
    </row>
    <row r="50" spans="4:42" ht="15.75" x14ac:dyDescent="0.25">
      <c r="D50" s="3">
        <v>1</v>
      </c>
      <c r="F50" s="16" t="str" cm="1">
        <f t="array" ref="F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" s="31" cm="1">
        <f t="array" ref="G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" s="33" t="str">
        <f>_xlfn.IFNA(IF(MOD(HLG_05[[#This Row],[Rit]],
    _xlfn.XLOOKUP($G$2,Int_Sample[Ore],Int_Sample[Inc])) = 0, "YES", "NO"),"")</f>
        <v/>
      </c>
      <c r="I50" s="32" t="str">
        <f>TEXT(HLG_05[[#This Row],[Batch]],"000")&amp; " / " &amp; TEXT(HLG_05[[#This Row],[Rit]],"000")</f>
        <v>N/A / 000</v>
      </c>
      <c r="J50" s="34"/>
      <c r="K50" s="38"/>
      <c r="L50" s="35"/>
      <c r="M50" s="85"/>
      <c r="N50" s="85"/>
      <c r="O50" s="85"/>
      <c r="P50" s="85"/>
      <c r="Q50" s="85"/>
      <c r="R50" s="85"/>
      <c r="S50" s="100"/>
      <c r="T50" s="100"/>
      <c r="U50" s="85"/>
      <c r="V50" s="85"/>
      <c r="W50" s="85"/>
      <c r="X50" s="85"/>
      <c r="AP50" t="str">
        <v/>
      </c>
    </row>
    <row r="51" spans="4:42" ht="15.75" x14ac:dyDescent="0.25">
      <c r="D51" s="3">
        <v>1</v>
      </c>
      <c r="F51" s="16" t="str" cm="1">
        <f t="array" ref="F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" s="31" cm="1">
        <f t="array" ref="G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" s="33" t="str">
        <f>_xlfn.IFNA(IF(MOD(HLG_05[[#This Row],[Rit]],
    _xlfn.XLOOKUP($G$2,Int_Sample[Ore],Int_Sample[Inc])) = 0, "YES", "NO"),"")</f>
        <v/>
      </c>
      <c r="I51" s="32" t="str">
        <f>TEXT(HLG_05[[#This Row],[Batch]],"000")&amp; " / " &amp; TEXT(HLG_05[[#This Row],[Rit]],"000")</f>
        <v>N/A / 000</v>
      </c>
      <c r="J51" s="34"/>
      <c r="K51" s="38"/>
      <c r="L51" s="35"/>
      <c r="M51" s="85"/>
      <c r="N51" s="85"/>
      <c r="O51" s="85"/>
      <c r="P51" s="85"/>
      <c r="Q51" s="85"/>
      <c r="R51" s="85"/>
      <c r="S51" s="100"/>
      <c r="T51" s="100"/>
      <c r="U51" s="85"/>
      <c r="V51" s="85"/>
      <c r="W51" s="85"/>
      <c r="X51" s="85"/>
      <c r="AP51" t="str">
        <v/>
      </c>
    </row>
    <row r="52" spans="4:42" ht="15.75" x14ac:dyDescent="0.25">
      <c r="D52" s="3">
        <v>1</v>
      </c>
      <c r="F52" s="16" t="str" cm="1">
        <f t="array" ref="F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" s="31" cm="1">
        <f t="array" ref="G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" s="33" t="str">
        <f>_xlfn.IFNA(IF(MOD(HLG_05[[#This Row],[Rit]],
    _xlfn.XLOOKUP($G$2,Int_Sample[Ore],Int_Sample[Inc])) = 0, "YES", "NO"),"")</f>
        <v/>
      </c>
      <c r="I52" s="32" t="str">
        <f>TEXT(HLG_05[[#This Row],[Batch]],"000")&amp; " / " &amp; TEXT(HLG_05[[#This Row],[Rit]],"000")</f>
        <v>N/A / 000</v>
      </c>
      <c r="J52" s="34"/>
      <c r="K52" s="38"/>
      <c r="L52" s="35"/>
      <c r="M52" s="85"/>
      <c r="N52" s="85"/>
      <c r="O52" s="85"/>
      <c r="P52" s="85"/>
      <c r="Q52" s="85"/>
      <c r="R52" s="85"/>
      <c r="S52" s="100"/>
      <c r="T52" s="100"/>
      <c r="U52" s="85"/>
      <c r="V52" s="85"/>
      <c r="W52" s="85"/>
      <c r="X52" s="85"/>
      <c r="AP52" t="str">
        <v/>
      </c>
    </row>
    <row r="53" spans="4:42" ht="15.75" x14ac:dyDescent="0.25">
      <c r="D53" s="3">
        <v>1</v>
      </c>
      <c r="F53" s="16" t="str" cm="1">
        <f t="array" ref="F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" s="31" cm="1">
        <f t="array" ref="G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" s="33" t="str">
        <f>_xlfn.IFNA(IF(MOD(HLG_05[[#This Row],[Rit]],
    _xlfn.XLOOKUP($G$2,Int_Sample[Ore],Int_Sample[Inc])) = 0, "YES", "NO"),"")</f>
        <v/>
      </c>
      <c r="I53" s="32" t="str">
        <f>TEXT(HLG_05[[#This Row],[Batch]],"000")&amp; " / " &amp; TEXT(HLG_05[[#This Row],[Rit]],"000")</f>
        <v>N/A / 000</v>
      </c>
      <c r="J53" s="34"/>
      <c r="K53" s="38"/>
      <c r="L53" s="35"/>
      <c r="M53" s="85"/>
      <c r="N53" s="85"/>
      <c r="O53" s="85"/>
      <c r="P53" s="85"/>
      <c r="Q53" s="85"/>
      <c r="R53" s="85"/>
      <c r="S53" s="100"/>
      <c r="T53" s="100"/>
      <c r="U53" s="85"/>
      <c r="V53" s="85"/>
      <c r="W53" s="85"/>
      <c r="X53" s="85"/>
      <c r="AP53" t="str">
        <v/>
      </c>
    </row>
    <row r="54" spans="4:42" ht="15.75" x14ac:dyDescent="0.25">
      <c r="D54" s="3">
        <v>1</v>
      </c>
      <c r="F54" s="16" t="str" cm="1">
        <f t="array" ref="F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" s="31" cm="1">
        <f t="array" ref="G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" s="33" t="str">
        <f>_xlfn.IFNA(IF(MOD(HLG_05[[#This Row],[Rit]],
    _xlfn.XLOOKUP($G$2,Int_Sample[Ore],Int_Sample[Inc])) = 0, "YES", "NO"),"")</f>
        <v/>
      </c>
      <c r="I54" s="32" t="str">
        <f>TEXT(HLG_05[[#This Row],[Batch]],"000")&amp; " / " &amp; TEXT(HLG_05[[#This Row],[Rit]],"000")</f>
        <v>N/A / 000</v>
      </c>
      <c r="J54" s="34"/>
      <c r="K54" s="38"/>
      <c r="L54" s="35"/>
      <c r="M54" s="85"/>
      <c r="N54" s="85"/>
      <c r="O54" s="85"/>
      <c r="P54" s="85"/>
      <c r="Q54" s="85"/>
      <c r="R54" s="85"/>
      <c r="S54" s="100"/>
      <c r="T54" s="100"/>
      <c r="U54" s="85"/>
      <c r="V54" s="85"/>
      <c r="W54" s="85"/>
      <c r="X54" s="85"/>
      <c r="AP54" t="str">
        <v/>
      </c>
    </row>
    <row r="55" spans="4:42" ht="15.75" x14ac:dyDescent="0.25">
      <c r="D55" s="3">
        <v>1</v>
      </c>
      <c r="F55" s="16" t="str" cm="1">
        <f t="array" ref="F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" s="31" cm="1">
        <f t="array" ref="G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" s="33" t="str">
        <f>_xlfn.IFNA(IF(MOD(HLG_05[[#This Row],[Rit]],
    _xlfn.XLOOKUP($G$2,Int_Sample[Ore],Int_Sample[Inc])) = 0, "YES", "NO"),"")</f>
        <v/>
      </c>
      <c r="I55" s="32" t="str">
        <f>TEXT(HLG_05[[#This Row],[Batch]],"000")&amp; " / " &amp; TEXT(HLG_05[[#This Row],[Rit]],"000")</f>
        <v>N/A / 000</v>
      </c>
      <c r="J55" s="34"/>
      <c r="K55" s="38"/>
      <c r="L55" s="35"/>
      <c r="M55" s="85"/>
      <c r="N55" s="85"/>
      <c r="O55" s="85"/>
      <c r="P55" s="85"/>
      <c r="Q55" s="85"/>
      <c r="R55" s="85"/>
      <c r="S55" s="100"/>
      <c r="T55" s="100"/>
      <c r="U55" s="85"/>
      <c r="V55" s="85"/>
      <c r="W55" s="85"/>
      <c r="X55" s="85"/>
      <c r="AP55" t="str">
        <v/>
      </c>
    </row>
    <row r="56" spans="4:42" ht="15.75" x14ac:dyDescent="0.25">
      <c r="D56" s="3">
        <v>1</v>
      </c>
      <c r="F56" s="16" t="str" cm="1">
        <f t="array" ref="F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" s="31" cm="1">
        <f t="array" ref="G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" s="33" t="str">
        <f>_xlfn.IFNA(IF(MOD(HLG_05[[#This Row],[Rit]],
    _xlfn.XLOOKUP($G$2,Int_Sample[Ore],Int_Sample[Inc])) = 0, "YES", "NO"),"")</f>
        <v/>
      </c>
      <c r="I56" s="32" t="str">
        <f>TEXT(HLG_05[[#This Row],[Batch]],"000")&amp; " / " &amp; TEXT(HLG_05[[#This Row],[Rit]],"000")</f>
        <v>N/A / 000</v>
      </c>
      <c r="J56" s="34"/>
      <c r="K56" s="38"/>
      <c r="L56" s="35"/>
      <c r="M56" s="85"/>
      <c r="N56" s="85"/>
      <c r="O56" s="85"/>
      <c r="P56" s="85"/>
      <c r="Q56" s="85"/>
      <c r="R56" s="85"/>
      <c r="S56" s="100"/>
      <c r="T56" s="100"/>
      <c r="U56" s="85"/>
      <c r="V56" s="85"/>
      <c r="W56" s="85"/>
      <c r="X56" s="85"/>
      <c r="AP56" t="str">
        <v/>
      </c>
    </row>
    <row r="57" spans="4:42" ht="15.75" x14ac:dyDescent="0.25">
      <c r="D57" s="3">
        <v>1</v>
      </c>
      <c r="F57" s="16" t="str" cm="1">
        <f t="array" ref="F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" s="31" cm="1">
        <f t="array" ref="G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" s="33" t="str">
        <f>_xlfn.IFNA(IF(MOD(HLG_05[[#This Row],[Rit]],
    _xlfn.XLOOKUP($G$2,Int_Sample[Ore],Int_Sample[Inc])) = 0, "YES", "NO"),"")</f>
        <v/>
      </c>
      <c r="I57" s="32" t="str">
        <f>TEXT(HLG_05[[#This Row],[Batch]],"000")&amp; " / " &amp; TEXT(HLG_05[[#This Row],[Rit]],"000")</f>
        <v>N/A / 000</v>
      </c>
      <c r="J57" s="34"/>
      <c r="K57" s="38"/>
      <c r="L57" s="35"/>
      <c r="M57" s="85"/>
      <c r="N57" s="85"/>
      <c r="O57" s="85"/>
      <c r="P57" s="85"/>
      <c r="Q57" s="85"/>
      <c r="R57" s="85"/>
      <c r="S57" s="100"/>
      <c r="T57" s="100"/>
      <c r="U57" s="85"/>
      <c r="V57" s="85"/>
      <c r="W57" s="85"/>
      <c r="X57" s="85"/>
      <c r="AP57" t="str">
        <v/>
      </c>
    </row>
    <row r="58" spans="4:42" ht="15.75" x14ac:dyDescent="0.25">
      <c r="D58" s="3">
        <v>1</v>
      </c>
      <c r="F58" s="16" t="str" cm="1">
        <f t="array" ref="F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" s="31" cm="1">
        <f t="array" ref="G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" s="33" t="str">
        <f>_xlfn.IFNA(IF(MOD(HLG_05[[#This Row],[Rit]],
    _xlfn.XLOOKUP($G$2,Int_Sample[Ore],Int_Sample[Inc])) = 0, "YES", "NO"),"")</f>
        <v/>
      </c>
      <c r="I58" s="32" t="str">
        <f>TEXT(HLG_05[[#This Row],[Batch]],"000")&amp; " / " &amp; TEXT(HLG_05[[#This Row],[Rit]],"000")</f>
        <v>N/A / 000</v>
      </c>
      <c r="J58" s="34"/>
      <c r="K58" s="38"/>
      <c r="L58" s="35"/>
      <c r="M58" s="85"/>
      <c r="N58" s="85"/>
      <c r="O58" s="85"/>
      <c r="P58" s="85"/>
      <c r="Q58" s="85"/>
      <c r="R58" s="85"/>
      <c r="S58" s="100"/>
      <c r="T58" s="100"/>
      <c r="U58" s="85"/>
      <c r="V58" s="85"/>
      <c r="W58" s="85"/>
      <c r="X58" s="85"/>
      <c r="AP58" t="str">
        <v/>
      </c>
    </row>
    <row r="59" spans="4:42" ht="15.75" x14ac:dyDescent="0.25">
      <c r="D59" s="3">
        <v>1</v>
      </c>
      <c r="F59" s="16" t="str" cm="1">
        <f t="array" ref="F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" s="31" cm="1">
        <f t="array" ref="G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" s="33" t="str">
        <f>_xlfn.IFNA(IF(MOD(HLG_05[[#This Row],[Rit]],
    _xlfn.XLOOKUP($G$2,Int_Sample[Ore],Int_Sample[Inc])) = 0, "YES", "NO"),"")</f>
        <v/>
      </c>
      <c r="I59" s="32" t="str">
        <f>TEXT(HLG_05[[#This Row],[Batch]],"000")&amp; " / " &amp; TEXT(HLG_05[[#This Row],[Rit]],"000")</f>
        <v>N/A / 000</v>
      </c>
      <c r="J59" s="34"/>
      <c r="K59" s="38"/>
      <c r="L59" s="35"/>
      <c r="M59" s="85"/>
      <c r="N59" s="85"/>
      <c r="O59" s="85"/>
      <c r="P59" s="85"/>
      <c r="Q59" s="85"/>
      <c r="R59" s="85"/>
      <c r="S59" s="100"/>
      <c r="T59" s="100"/>
      <c r="U59" s="85"/>
      <c r="V59" s="85"/>
      <c r="W59" s="85"/>
      <c r="X59" s="85"/>
      <c r="AP59" t="str">
        <v/>
      </c>
    </row>
    <row r="60" spans="4:42" ht="15.75" x14ac:dyDescent="0.25">
      <c r="D60" s="3">
        <v>1</v>
      </c>
      <c r="F60" s="16" t="str" cm="1">
        <f t="array" ref="F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" s="31" cm="1">
        <f t="array" ref="G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" s="33" t="str">
        <f>_xlfn.IFNA(IF(MOD(HLG_05[[#This Row],[Rit]],
    _xlfn.XLOOKUP($G$2,Int_Sample[Ore],Int_Sample[Inc])) = 0, "YES", "NO"),"")</f>
        <v/>
      </c>
      <c r="I60" s="32" t="str">
        <f>TEXT(HLG_05[[#This Row],[Batch]],"000")&amp; " / " &amp; TEXT(HLG_05[[#This Row],[Rit]],"000")</f>
        <v>N/A / 000</v>
      </c>
      <c r="J60" s="34"/>
      <c r="K60" s="38"/>
      <c r="L60" s="35"/>
      <c r="M60" s="85"/>
      <c r="N60" s="85"/>
      <c r="O60" s="85"/>
      <c r="P60" s="85"/>
      <c r="Q60" s="85"/>
      <c r="R60" s="85"/>
      <c r="S60" s="100"/>
      <c r="T60" s="100"/>
      <c r="U60" s="85"/>
      <c r="V60" s="85"/>
      <c r="W60" s="85"/>
      <c r="X60" s="85"/>
      <c r="AP60" t="str">
        <v/>
      </c>
    </row>
    <row r="61" spans="4:42" ht="15.75" x14ac:dyDescent="0.25">
      <c r="D61" s="3">
        <v>1</v>
      </c>
      <c r="F61" s="16" t="str" cm="1">
        <f t="array" ref="F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" s="31" cm="1">
        <f t="array" ref="G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" s="33" t="str">
        <f>_xlfn.IFNA(IF(MOD(HLG_05[[#This Row],[Rit]],
    _xlfn.XLOOKUP($G$2,Int_Sample[Ore],Int_Sample[Inc])) = 0, "YES", "NO"),"")</f>
        <v/>
      </c>
      <c r="I61" s="32" t="str">
        <f>TEXT(HLG_05[[#This Row],[Batch]],"000")&amp; " / " &amp; TEXT(HLG_05[[#This Row],[Rit]],"000")</f>
        <v>N/A / 000</v>
      </c>
      <c r="J61" s="34"/>
      <c r="K61" s="38"/>
      <c r="L61" s="35"/>
      <c r="M61" s="85"/>
      <c r="N61" s="85"/>
      <c r="O61" s="85"/>
      <c r="P61" s="85"/>
      <c r="Q61" s="85"/>
      <c r="R61" s="85"/>
      <c r="S61" s="100"/>
      <c r="T61" s="100"/>
      <c r="U61" s="85"/>
      <c r="V61" s="85"/>
      <c r="W61" s="85"/>
      <c r="X61" s="85"/>
      <c r="AP61" t="str">
        <v/>
      </c>
    </row>
    <row r="62" spans="4:42" ht="15.75" x14ac:dyDescent="0.25">
      <c r="D62" s="3">
        <v>1</v>
      </c>
      <c r="F62" s="16" t="str" cm="1">
        <f t="array" ref="F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" s="31" cm="1">
        <f t="array" ref="G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" s="33" t="str">
        <f>_xlfn.IFNA(IF(MOD(HLG_05[[#This Row],[Rit]],
    _xlfn.XLOOKUP($G$2,Int_Sample[Ore],Int_Sample[Inc])) = 0, "YES", "NO"),"")</f>
        <v/>
      </c>
      <c r="I62" s="32" t="str">
        <f>TEXT(HLG_05[[#This Row],[Batch]],"000")&amp; " / " &amp; TEXT(HLG_05[[#This Row],[Rit]],"000")</f>
        <v>N/A / 000</v>
      </c>
      <c r="J62" s="34"/>
      <c r="K62" s="38"/>
      <c r="L62" s="35"/>
      <c r="M62" s="85"/>
      <c r="N62" s="85"/>
      <c r="O62" s="85"/>
      <c r="P62" s="85"/>
      <c r="Q62" s="85"/>
      <c r="R62" s="85"/>
      <c r="S62" s="100"/>
      <c r="T62" s="100"/>
      <c r="U62" s="85"/>
      <c r="V62" s="85"/>
      <c r="W62" s="85"/>
      <c r="X62" s="85"/>
      <c r="AP62" t="str">
        <v/>
      </c>
    </row>
    <row r="63" spans="4:42" ht="15.75" x14ac:dyDescent="0.25">
      <c r="D63" s="3">
        <v>1</v>
      </c>
      <c r="F63" s="16" t="str" cm="1">
        <f t="array" ref="F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" s="31" cm="1">
        <f t="array" ref="G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" s="33" t="str">
        <f>_xlfn.IFNA(IF(MOD(HLG_05[[#This Row],[Rit]],
    _xlfn.XLOOKUP($G$2,Int_Sample[Ore],Int_Sample[Inc])) = 0, "YES", "NO"),"")</f>
        <v/>
      </c>
      <c r="I63" s="32" t="str">
        <f>TEXT(HLG_05[[#This Row],[Batch]],"000")&amp; " / " &amp; TEXT(HLG_05[[#This Row],[Rit]],"000")</f>
        <v>N/A / 000</v>
      </c>
      <c r="J63" s="34"/>
      <c r="K63" s="38"/>
      <c r="L63" s="35"/>
      <c r="M63" s="85"/>
      <c r="N63" s="85"/>
      <c r="O63" s="85"/>
      <c r="P63" s="85"/>
      <c r="Q63" s="85"/>
      <c r="R63" s="85"/>
      <c r="S63" s="100"/>
      <c r="T63" s="100"/>
      <c r="U63" s="85"/>
      <c r="V63" s="85"/>
      <c r="W63" s="85"/>
      <c r="X63" s="85"/>
      <c r="AP63" t="str">
        <v/>
      </c>
    </row>
    <row r="64" spans="4:42" ht="15.75" x14ac:dyDescent="0.25">
      <c r="D64" s="3">
        <v>1</v>
      </c>
      <c r="F64" s="16" t="str" cm="1">
        <f t="array" ref="F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4" s="31" cm="1">
        <f t="array" ref="G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4" s="33" t="str">
        <f>_xlfn.IFNA(IF(MOD(HLG_05[[#This Row],[Rit]],
    _xlfn.XLOOKUP($G$2,Int_Sample[Ore],Int_Sample[Inc])) = 0, "YES", "NO"),"")</f>
        <v/>
      </c>
      <c r="I64" s="32" t="str">
        <f>TEXT(HLG_05[[#This Row],[Batch]],"000")&amp; " / " &amp; TEXT(HLG_05[[#This Row],[Rit]],"000")</f>
        <v>N/A / 000</v>
      </c>
      <c r="J64" s="34"/>
      <c r="K64" s="38"/>
      <c r="L64" s="35"/>
      <c r="M64" s="85"/>
      <c r="N64" s="85"/>
      <c r="O64" s="85"/>
      <c r="P64" s="85"/>
      <c r="Q64" s="85"/>
      <c r="R64" s="85"/>
      <c r="S64" s="100"/>
      <c r="T64" s="100"/>
      <c r="U64" s="85"/>
      <c r="V64" s="85"/>
      <c r="W64" s="85"/>
      <c r="X64" s="85"/>
      <c r="AP64" t="str">
        <v/>
      </c>
    </row>
    <row r="65" spans="4:42" ht="15.75" x14ac:dyDescent="0.25">
      <c r="D65" s="3">
        <v>1</v>
      </c>
      <c r="F65" s="16" t="str" cm="1">
        <f t="array" ref="F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5" s="31" cm="1">
        <f t="array" ref="G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5" s="33" t="str">
        <f>_xlfn.IFNA(IF(MOD(HLG_05[[#This Row],[Rit]],
    _xlfn.XLOOKUP($G$2,Int_Sample[Ore],Int_Sample[Inc])) = 0, "YES", "NO"),"")</f>
        <v/>
      </c>
      <c r="I65" s="32" t="str">
        <f>TEXT(HLG_05[[#This Row],[Batch]],"000")&amp; " / " &amp; TEXT(HLG_05[[#This Row],[Rit]],"000")</f>
        <v>N/A / 000</v>
      </c>
      <c r="J65" s="34"/>
      <c r="K65" s="38"/>
      <c r="L65" s="35"/>
      <c r="M65" s="85"/>
      <c r="N65" s="85"/>
      <c r="O65" s="85"/>
      <c r="P65" s="85"/>
      <c r="Q65" s="85"/>
      <c r="R65" s="85"/>
      <c r="S65" s="100"/>
      <c r="T65" s="100"/>
      <c r="U65" s="85"/>
      <c r="V65" s="85"/>
      <c r="W65" s="85"/>
      <c r="X65" s="85"/>
      <c r="AP65" t="str">
        <v/>
      </c>
    </row>
    <row r="66" spans="4:42" ht="15.75" x14ac:dyDescent="0.25">
      <c r="D66" s="3">
        <v>1</v>
      </c>
      <c r="F66" s="16" t="str" cm="1">
        <f t="array" ref="F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6" s="31" cm="1">
        <f t="array" ref="G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6" s="33" t="str">
        <f>_xlfn.IFNA(IF(MOD(HLG_05[[#This Row],[Rit]],
    _xlfn.XLOOKUP($G$2,Int_Sample[Ore],Int_Sample[Inc])) = 0, "YES", "NO"),"")</f>
        <v/>
      </c>
      <c r="I66" s="32" t="str">
        <f>TEXT(HLG_05[[#This Row],[Batch]],"000")&amp; " / " &amp; TEXT(HLG_05[[#This Row],[Rit]],"000")</f>
        <v>N/A / 000</v>
      </c>
      <c r="J66" s="34"/>
      <c r="K66" s="38"/>
      <c r="L66" s="35"/>
      <c r="M66" s="85"/>
      <c r="N66" s="85"/>
      <c r="O66" s="85"/>
      <c r="P66" s="85"/>
      <c r="Q66" s="85"/>
      <c r="R66" s="85"/>
      <c r="S66" s="100"/>
      <c r="T66" s="100"/>
      <c r="U66" s="85"/>
      <c r="V66" s="85"/>
      <c r="W66" s="85"/>
      <c r="X66" s="85"/>
      <c r="AP66" t="str">
        <v/>
      </c>
    </row>
    <row r="67" spans="4:42" ht="15.75" x14ac:dyDescent="0.25">
      <c r="D67" s="3">
        <v>1</v>
      </c>
      <c r="F67" s="16" t="str" cm="1">
        <f t="array" ref="F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7" s="31" cm="1">
        <f t="array" ref="G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7" s="33" t="str">
        <f>_xlfn.IFNA(IF(MOD(HLG_05[[#This Row],[Rit]],
    _xlfn.XLOOKUP($G$2,Int_Sample[Ore],Int_Sample[Inc])) = 0, "YES", "NO"),"")</f>
        <v/>
      </c>
      <c r="I67" s="32" t="str">
        <f>TEXT(HLG_05[[#This Row],[Batch]],"000")&amp; " / " &amp; TEXT(HLG_05[[#This Row],[Rit]],"000")</f>
        <v>N/A / 000</v>
      </c>
      <c r="J67" s="34"/>
      <c r="K67" s="38"/>
      <c r="L67" s="35"/>
      <c r="M67" s="85"/>
      <c r="N67" s="85"/>
      <c r="O67" s="85"/>
      <c r="P67" s="85"/>
      <c r="Q67" s="85"/>
      <c r="R67" s="85"/>
      <c r="S67" s="100"/>
      <c r="T67" s="100"/>
      <c r="U67" s="85"/>
      <c r="V67" s="85"/>
      <c r="W67" s="85"/>
      <c r="X67" s="85"/>
      <c r="AP67" t="str">
        <v/>
      </c>
    </row>
    <row r="68" spans="4:42" ht="15.75" x14ac:dyDescent="0.25">
      <c r="D68" s="3">
        <v>1</v>
      </c>
      <c r="F68" s="16" t="str" cm="1">
        <f t="array" ref="F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8" s="31" cm="1">
        <f t="array" ref="G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8" s="33" t="str">
        <f>_xlfn.IFNA(IF(MOD(HLG_05[[#This Row],[Rit]],
    _xlfn.XLOOKUP($G$2,Int_Sample[Ore],Int_Sample[Inc])) = 0, "YES", "NO"),"")</f>
        <v/>
      </c>
      <c r="I68" s="32" t="str">
        <f>TEXT(HLG_05[[#This Row],[Batch]],"000")&amp; " / " &amp; TEXT(HLG_05[[#This Row],[Rit]],"000")</f>
        <v>N/A / 000</v>
      </c>
      <c r="J68" s="34"/>
      <c r="K68" s="38"/>
      <c r="L68" s="35"/>
      <c r="M68" s="85"/>
      <c r="N68" s="85"/>
      <c r="O68" s="85"/>
      <c r="P68" s="85"/>
      <c r="Q68" s="85"/>
      <c r="R68" s="85"/>
      <c r="S68" s="100"/>
      <c r="T68" s="100"/>
      <c r="U68" s="85"/>
      <c r="V68" s="85"/>
      <c r="W68" s="85"/>
      <c r="X68" s="85"/>
      <c r="AP68" t="str">
        <v/>
      </c>
    </row>
    <row r="69" spans="4:42" ht="15.75" x14ac:dyDescent="0.25">
      <c r="D69" s="3">
        <v>1</v>
      </c>
      <c r="F69" s="16" t="str" cm="1">
        <f t="array" ref="F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9" s="31" cm="1">
        <f t="array" ref="G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9" s="33" t="str">
        <f>_xlfn.IFNA(IF(MOD(HLG_05[[#This Row],[Rit]],
    _xlfn.XLOOKUP($G$2,Int_Sample[Ore],Int_Sample[Inc])) = 0, "YES", "NO"),"")</f>
        <v/>
      </c>
      <c r="I69" s="32" t="str">
        <f>TEXT(HLG_05[[#This Row],[Batch]],"000")&amp; " / " &amp; TEXT(HLG_05[[#This Row],[Rit]],"000")</f>
        <v>N/A / 000</v>
      </c>
      <c r="J69" s="34"/>
      <c r="K69" s="38"/>
      <c r="L69" s="35"/>
      <c r="M69" s="85"/>
      <c r="N69" s="85"/>
      <c r="O69" s="85"/>
      <c r="P69" s="85"/>
      <c r="Q69" s="85"/>
      <c r="R69" s="85"/>
      <c r="S69" s="100"/>
      <c r="T69" s="100"/>
      <c r="U69" s="85"/>
      <c r="V69" s="85"/>
      <c r="W69" s="85"/>
      <c r="X69" s="85"/>
      <c r="AP69" t="str">
        <v/>
      </c>
    </row>
    <row r="70" spans="4:42" ht="15.75" x14ac:dyDescent="0.25">
      <c r="D70" s="3">
        <v>1</v>
      </c>
      <c r="F70" s="16" t="str" cm="1">
        <f t="array" ref="F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0" s="31" cm="1">
        <f t="array" ref="G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0" s="33" t="str">
        <f>_xlfn.IFNA(IF(MOD(HLG_05[[#This Row],[Rit]],
    _xlfn.XLOOKUP($G$2,Int_Sample[Ore],Int_Sample[Inc])) = 0, "YES", "NO"),"")</f>
        <v/>
      </c>
      <c r="I70" s="32" t="str">
        <f>TEXT(HLG_05[[#This Row],[Batch]],"000")&amp; " / " &amp; TEXT(HLG_05[[#This Row],[Rit]],"000")</f>
        <v>N/A / 000</v>
      </c>
      <c r="J70" s="34"/>
      <c r="K70" s="38"/>
      <c r="L70" s="35"/>
      <c r="M70" s="85"/>
      <c r="N70" s="85"/>
      <c r="O70" s="85"/>
      <c r="P70" s="85"/>
      <c r="Q70" s="85"/>
      <c r="R70" s="85"/>
      <c r="S70" s="100"/>
      <c r="T70" s="100"/>
      <c r="U70" s="85"/>
      <c r="V70" s="85"/>
      <c r="W70" s="85"/>
      <c r="X70" s="85"/>
      <c r="AP70" t="str">
        <v/>
      </c>
    </row>
    <row r="71" spans="4:42" ht="15.75" x14ac:dyDescent="0.25">
      <c r="D71" s="3">
        <v>1</v>
      </c>
      <c r="F71" s="16" t="str" cm="1">
        <f t="array" ref="F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1" s="31" cm="1">
        <f t="array" ref="G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1" s="33" t="str">
        <f>_xlfn.IFNA(IF(MOD(HLG_05[[#This Row],[Rit]],
    _xlfn.XLOOKUP($G$2,Int_Sample[Ore],Int_Sample[Inc])) = 0, "YES", "NO"),"")</f>
        <v/>
      </c>
      <c r="I71" s="32" t="str">
        <f>TEXT(HLG_05[[#This Row],[Batch]],"000")&amp; " / " &amp; TEXT(HLG_05[[#This Row],[Rit]],"000")</f>
        <v>N/A / 000</v>
      </c>
      <c r="J71" s="34"/>
      <c r="K71" s="38"/>
      <c r="L71" s="35"/>
      <c r="M71" s="85"/>
      <c r="N71" s="85"/>
      <c r="O71" s="85"/>
      <c r="P71" s="85"/>
      <c r="Q71" s="85"/>
      <c r="R71" s="85"/>
      <c r="S71" s="100"/>
      <c r="T71" s="100"/>
      <c r="U71" s="85"/>
      <c r="V71" s="85"/>
      <c r="W71" s="85"/>
      <c r="X71" s="85"/>
      <c r="AP71" t="str">
        <v/>
      </c>
    </row>
    <row r="72" spans="4:42" ht="15.75" x14ac:dyDescent="0.25">
      <c r="D72" s="3">
        <v>1</v>
      </c>
      <c r="F72" s="16" t="str" cm="1">
        <f t="array" ref="F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2" s="31" cm="1">
        <f t="array" ref="G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2" s="33" t="str">
        <f>_xlfn.IFNA(IF(MOD(HLG_05[[#This Row],[Rit]],
    _xlfn.XLOOKUP($G$2,Int_Sample[Ore],Int_Sample[Inc])) = 0, "YES", "NO"),"")</f>
        <v/>
      </c>
      <c r="I72" s="32" t="str">
        <f>TEXT(HLG_05[[#This Row],[Batch]],"000")&amp; " / " &amp; TEXT(HLG_05[[#This Row],[Rit]],"000")</f>
        <v>N/A / 000</v>
      </c>
      <c r="J72" s="34"/>
      <c r="K72" s="38"/>
      <c r="L72" s="35"/>
      <c r="M72" s="85"/>
      <c r="N72" s="85"/>
      <c r="O72" s="85"/>
      <c r="P72" s="85"/>
      <c r="Q72" s="85"/>
      <c r="R72" s="85"/>
      <c r="S72" s="100"/>
      <c r="T72" s="100"/>
      <c r="U72" s="85"/>
      <c r="V72" s="85"/>
      <c r="W72" s="85"/>
      <c r="X72" s="85"/>
      <c r="AP72" t="str">
        <v/>
      </c>
    </row>
    <row r="73" spans="4:42" ht="15.75" x14ac:dyDescent="0.25">
      <c r="D73" s="3">
        <v>1</v>
      </c>
      <c r="F73" s="16" t="str" cm="1">
        <f t="array" ref="F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3" s="31" cm="1">
        <f t="array" ref="G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3" s="33" t="str">
        <f>_xlfn.IFNA(IF(MOD(HLG_05[[#This Row],[Rit]],
    _xlfn.XLOOKUP($G$2,Int_Sample[Ore],Int_Sample[Inc])) = 0, "YES", "NO"),"")</f>
        <v/>
      </c>
      <c r="I73" s="32" t="str">
        <f>TEXT(HLG_05[[#This Row],[Batch]],"000")&amp; " / " &amp; TEXT(HLG_05[[#This Row],[Rit]],"000")</f>
        <v>N/A / 000</v>
      </c>
      <c r="J73" s="34"/>
      <c r="K73" s="38"/>
      <c r="L73" s="35"/>
      <c r="M73" s="85"/>
      <c r="N73" s="85"/>
      <c r="O73" s="85"/>
      <c r="P73" s="85"/>
      <c r="Q73" s="85"/>
      <c r="R73" s="85"/>
      <c r="S73" s="100"/>
      <c r="T73" s="100"/>
      <c r="U73" s="85"/>
      <c r="V73" s="85"/>
      <c r="W73" s="85"/>
      <c r="X73" s="85"/>
      <c r="AP73" t="str">
        <v/>
      </c>
    </row>
    <row r="74" spans="4:42" ht="15.75" x14ac:dyDescent="0.25">
      <c r="D74" s="3">
        <v>1</v>
      </c>
      <c r="F74" s="16" t="str" cm="1">
        <f t="array" ref="F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4" s="31" cm="1">
        <f t="array" ref="G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4" s="33" t="str">
        <f>_xlfn.IFNA(IF(MOD(HLG_05[[#This Row],[Rit]],
    _xlfn.XLOOKUP($G$2,Int_Sample[Ore],Int_Sample[Inc])) = 0, "YES", "NO"),"")</f>
        <v/>
      </c>
      <c r="I74" s="32" t="str">
        <f>TEXT(HLG_05[[#This Row],[Batch]],"000")&amp; " / " &amp; TEXT(HLG_05[[#This Row],[Rit]],"000")</f>
        <v>N/A / 000</v>
      </c>
      <c r="J74" s="34"/>
      <c r="K74" s="38"/>
      <c r="L74" s="35"/>
      <c r="M74" s="85"/>
      <c r="N74" s="85"/>
      <c r="O74" s="85"/>
      <c r="P74" s="85"/>
      <c r="Q74" s="85"/>
      <c r="R74" s="85"/>
      <c r="S74" s="100"/>
      <c r="T74" s="100"/>
      <c r="U74" s="85"/>
      <c r="V74" s="85"/>
      <c r="W74" s="85"/>
      <c r="X74" s="85"/>
      <c r="AP74" t="str">
        <v/>
      </c>
    </row>
    <row r="75" spans="4:42" ht="15.75" x14ac:dyDescent="0.25">
      <c r="D75" s="3">
        <v>1</v>
      </c>
      <c r="F75" s="16" t="str" cm="1">
        <f t="array" ref="F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5" s="31" cm="1">
        <f t="array" ref="G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5" s="33" t="str">
        <f>_xlfn.IFNA(IF(MOD(HLG_05[[#This Row],[Rit]],
    _xlfn.XLOOKUP($G$2,Int_Sample[Ore],Int_Sample[Inc])) = 0, "YES", "NO"),"")</f>
        <v/>
      </c>
      <c r="I75" s="32" t="str">
        <f>TEXT(HLG_05[[#This Row],[Batch]],"000")&amp; " / " &amp; TEXT(HLG_05[[#This Row],[Rit]],"000")</f>
        <v>N/A / 000</v>
      </c>
      <c r="J75" s="34"/>
      <c r="K75" s="38"/>
      <c r="L75" s="35"/>
      <c r="M75" s="85"/>
      <c r="N75" s="85"/>
      <c r="O75" s="85"/>
      <c r="P75" s="85"/>
      <c r="Q75" s="85"/>
      <c r="R75" s="85"/>
      <c r="S75" s="100"/>
      <c r="T75" s="100"/>
      <c r="U75" s="85"/>
      <c r="V75" s="85"/>
      <c r="W75" s="85"/>
      <c r="X75" s="85"/>
      <c r="AP75" t="str">
        <v/>
      </c>
    </row>
    <row r="76" spans="4:42" ht="15.75" x14ac:dyDescent="0.25">
      <c r="D76" s="3">
        <v>1</v>
      </c>
      <c r="F76" s="16" t="str" cm="1">
        <f t="array" ref="F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6" s="31" cm="1">
        <f t="array" ref="G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6" s="33" t="str">
        <f>_xlfn.IFNA(IF(MOD(HLG_05[[#This Row],[Rit]],
    _xlfn.XLOOKUP($G$2,Int_Sample[Ore],Int_Sample[Inc])) = 0, "YES", "NO"),"")</f>
        <v/>
      </c>
      <c r="I76" s="32" t="str">
        <f>TEXT(HLG_05[[#This Row],[Batch]],"000")&amp; " / " &amp; TEXT(HLG_05[[#This Row],[Rit]],"000")</f>
        <v>N/A / 000</v>
      </c>
      <c r="J76" s="34"/>
      <c r="K76" s="38"/>
      <c r="L76" s="35"/>
      <c r="M76" s="85"/>
      <c r="N76" s="85"/>
      <c r="O76" s="85"/>
      <c r="P76" s="85"/>
      <c r="Q76" s="85"/>
      <c r="R76" s="85"/>
      <c r="S76" s="100"/>
      <c r="T76" s="100"/>
      <c r="U76" s="85"/>
      <c r="V76" s="85"/>
      <c r="W76" s="85"/>
      <c r="X76" s="85"/>
      <c r="AP76" t="str">
        <v/>
      </c>
    </row>
    <row r="77" spans="4:42" ht="15.75" x14ac:dyDescent="0.25">
      <c r="D77" s="3">
        <v>1</v>
      </c>
      <c r="F77" s="16" t="str" cm="1">
        <f t="array" ref="F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7" s="31" cm="1">
        <f t="array" ref="G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7" s="33" t="str">
        <f>_xlfn.IFNA(IF(MOD(HLG_05[[#This Row],[Rit]],
    _xlfn.XLOOKUP($G$2,Int_Sample[Ore],Int_Sample[Inc])) = 0, "YES", "NO"),"")</f>
        <v/>
      </c>
      <c r="I77" s="32" t="str">
        <f>TEXT(HLG_05[[#This Row],[Batch]],"000")&amp; " / " &amp; TEXT(HLG_05[[#This Row],[Rit]],"000")</f>
        <v>N/A / 000</v>
      </c>
      <c r="J77" s="34"/>
      <c r="K77" s="38"/>
      <c r="L77" s="35"/>
      <c r="M77" s="85"/>
      <c r="N77" s="85"/>
      <c r="O77" s="85"/>
      <c r="P77" s="85"/>
      <c r="Q77" s="85"/>
      <c r="R77" s="85"/>
      <c r="S77" s="100"/>
      <c r="T77" s="100"/>
      <c r="U77" s="85"/>
      <c r="V77" s="85"/>
      <c r="W77" s="85"/>
      <c r="X77" s="85"/>
      <c r="AP77" t="str">
        <v/>
      </c>
    </row>
    <row r="78" spans="4:42" ht="15.75" x14ac:dyDescent="0.25">
      <c r="D78" s="3">
        <v>1</v>
      </c>
      <c r="F78" s="16" t="str" cm="1">
        <f t="array" ref="F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8" s="31" cm="1">
        <f t="array" ref="G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8" s="33" t="str">
        <f>_xlfn.IFNA(IF(MOD(HLG_05[[#This Row],[Rit]],
    _xlfn.XLOOKUP($G$2,Int_Sample[Ore],Int_Sample[Inc])) = 0, "YES", "NO"),"")</f>
        <v/>
      </c>
      <c r="I78" s="32" t="str">
        <f>TEXT(HLG_05[[#This Row],[Batch]],"000")&amp; " / " &amp; TEXT(HLG_05[[#This Row],[Rit]],"000")</f>
        <v>N/A / 000</v>
      </c>
      <c r="J78" s="34"/>
      <c r="K78" s="38"/>
      <c r="L78" s="35"/>
      <c r="M78" s="85"/>
      <c r="N78" s="85"/>
      <c r="O78" s="85"/>
      <c r="P78" s="85"/>
      <c r="Q78" s="85"/>
      <c r="R78" s="85"/>
      <c r="S78" s="100"/>
      <c r="T78" s="100"/>
      <c r="U78" s="85"/>
      <c r="V78" s="85"/>
      <c r="W78" s="85"/>
      <c r="X78" s="85"/>
      <c r="AP78" t="str">
        <v/>
      </c>
    </row>
    <row r="79" spans="4:42" ht="15.75" x14ac:dyDescent="0.25">
      <c r="D79" s="3">
        <v>1</v>
      </c>
      <c r="F79" s="16" t="str" cm="1">
        <f t="array" ref="F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9" s="31" cm="1">
        <f t="array" ref="G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9" s="33" t="str">
        <f>_xlfn.IFNA(IF(MOD(HLG_05[[#This Row],[Rit]],
    _xlfn.XLOOKUP($G$2,Int_Sample[Ore],Int_Sample[Inc])) = 0, "YES", "NO"),"")</f>
        <v/>
      </c>
      <c r="I79" s="32" t="str">
        <f>TEXT(HLG_05[[#This Row],[Batch]],"000")&amp; " / " &amp; TEXT(HLG_05[[#This Row],[Rit]],"000")</f>
        <v>N/A / 000</v>
      </c>
      <c r="J79" s="34"/>
      <c r="K79" s="38"/>
      <c r="L79" s="35"/>
      <c r="M79" s="85"/>
      <c r="N79" s="85"/>
      <c r="O79" s="85"/>
      <c r="P79" s="85"/>
      <c r="Q79" s="85"/>
      <c r="R79" s="85"/>
      <c r="S79" s="100"/>
      <c r="T79" s="100"/>
      <c r="U79" s="85"/>
      <c r="V79" s="85"/>
      <c r="W79" s="85"/>
      <c r="X79" s="85"/>
      <c r="AP79" t="str">
        <v/>
      </c>
    </row>
    <row r="80" spans="4:42" ht="15.75" x14ac:dyDescent="0.25">
      <c r="D80" s="3">
        <v>1</v>
      </c>
      <c r="F80" s="16" t="str" cm="1">
        <f t="array" ref="F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0" s="31" cm="1">
        <f t="array" ref="G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0" s="33" t="str">
        <f>_xlfn.IFNA(IF(MOD(HLG_05[[#This Row],[Rit]],
    _xlfn.XLOOKUP($G$2,Int_Sample[Ore],Int_Sample[Inc])) = 0, "YES", "NO"),"")</f>
        <v/>
      </c>
      <c r="I80" s="32" t="str">
        <f>TEXT(HLG_05[[#This Row],[Batch]],"000")&amp; " / " &amp; TEXT(HLG_05[[#This Row],[Rit]],"000")</f>
        <v>N/A / 000</v>
      </c>
      <c r="J80" s="34"/>
      <c r="K80" s="38"/>
      <c r="L80" s="35"/>
      <c r="M80" s="85"/>
      <c r="N80" s="85"/>
      <c r="O80" s="85"/>
      <c r="P80" s="85"/>
      <c r="Q80" s="85"/>
      <c r="R80" s="85"/>
      <c r="S80" s="100"/>
      <c r="T80" s="100"/>
      <c r="U80" s="85"/>
      <c r="V80" s="85"/>
      <c r="W80" s="85"/>
      <c r="X80" s="85"/>
      <c r="AP80" t="str">
        <v/>
      </c>
    </row>
    <row r="81" spans="4:42" ht="15.75" x14ac:dyDescent="0.25">
      <c r="D81" s="3">
        <v>1</v>
      </c>
      <c r="F81" s="16" t="str" cm="1">
        <f t="array" ref="F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1" s="31" cm="1">
        <f t="array" ref="G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1" s="33" t="str">
        <f>_xlfn.IFNA(IF(MOD(HLG_05[[#This Row],[Rit]],
    _xlfn.XLOOKUP($G$2,Int_Sample[Ore],Int_Sample[Inc])) = 0, "YES", "NO"),"")</f>
        <v/>
      </c>
      <c r="I81" s="32" t="str">
        <f>TEXT(HLG_05[[#This Row],[Batch]],"000")&amp; " / " &amp; TEXT(HLG_05[[#This Row],[Rit]],"000")</f>
        <v>N/A / 000</v>
      </c>
      <c r="J81" s="34"/>
      <c r="K81" s="38"/>
      <c r="L81" s="35"/>
      <c r="M81" s="85"/>
      <c r="N81" s="85"/>
      <c r="O81" s="85"/>
      <c r="P81" s="85"/>
      <c r="Q81" s="85"/>
      <c r="R81" s="85"/>
      <c r="S81" s="100"/>
      <c r="T81" s="100"/>
      <c r="U81" s="85"/>
      <c r="V81" s="85"/>
      <c r="W81" s="85"/>
      <c r="X81" s="85"/>
      <c r="AP81" t="str">
        <v/>
      </c>
    </row>
    <row r="82" spans="4:42" ht="15.75" x14ac:dyDescent="0.25">
      <c r="D82" s="3">
        <v>1</v>
      </c>
      <c r="F82" s="16" t="str" cm="1">
        <f t="array" ref="F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2" s="31" cm="1">
        <f t="array" ref="G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2" s="33" t="str">
        <f>_xlfn.IFNA(IF(MOD(HLG_05[[#This Row],[Rit]],
    _xlfn.XLOOKUP($G$2,Int_Sample[Ore],Int_Sample[Inc])) = 0, "YES", "NO"),"")</f>
        <v/>
      </c>
      <c r="I82" s="32" t="str">
        <f>TEXT(HLG_05[[#This Row],[Batch]],"000")&amp; " / " &amp; TEXT(HLG_05[[#This Row],[Rit]],"000")</f>
        <v>N/A / 000</v>
      </c>
      <c r="J82" s="34"/>
      <c r="K82" s="38"/>
      <c r="L82" s="35"/>
      <c r="M82" s="85"/>
      <c r="N82" s="85"/>
      <c r="O82" s="85"/>
      <c r="P82" s="85"/>
      <c r="Q82" s="85"/>
      <c r="R82" s="85"/>
      <c r="S82" s="100"/>
      <c r="T82" s="100"/>
      <c r="U82" s="85"/>
      <c r="V82" s="85"/>
      <c r="W82" s="85"/>
      <c r="X82" s="85"/>
      <c r="AP82" t="str">
        <v/>
      </c>
    </row>
    <row r="83" spans="4:42" ht="15.75" x14ac:dyDescent="0.25">
      <c r="D83" s="3">
        <v>1</v>
      </c>
      <c r="F83" s="16" t="str" cm="1">
        <f t="array" ref="F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3" s="31" cm="1">
        <f t="array" ref="G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3" s="33" t="str">
        <f>_xlfn.IFNA(IF(MOD(HLG_05[[#This Row],[Rit]],
    _xlfn.XLOOKUP($G$2,Int_Sample[Ore],Int_Sample[Inc])) = 0, "YES", "NO"),"")</f>
        <v/>
      </c>
      <c r="I83" s="32" t="str">
        <f>TEXT(HLG_05[[#This Row],[Batch]],"000")&amp; " / " &amp; TEXT(HLG_05[[#This Row],[Rit]],"000")</f>
        <v>N/A / 000</v>
      </c>
      <c r="J83" s="34"/>
      <c r="K83" s="38"/>
      <c r="L83" s="35"/>
      <c r="M83" s="85"/>
      <c r="N83" s="85"/>
      <c r="O83" s="85"/>
      <c r="P83" s="85"/>
      <c r="Q83" s="85"/>
      <c r="R83" s="85"/>
      <c r="S83" s="100"/>
      <c r="T83" s="100"/>
      <c r="U83" s="85"/>
      <c r="V83" s="85"/>
      <c r="W83" s="85"/>
      <c r="X83" s="85"/>
      <c r="AP83" t="str">
        <v/>
      </c>
    </row>
    <row r="84" spans="4:42" ht="15.75" x14ac:dyDescent="0.25">
      <c r="D84" s="3">
        <v>1</v>
      </c>
      <c r="F84" s="16" t="str" cm="1">
        <f t="array" ref="F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4" s="31" cm="1">
        <f t="array" ref="G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4" s="33" t="str">
        <f>_xlfn.IFNA(IF(MOD(HLG_05[[#This Row],[Rit]],
    _xlfn.XLOOKUP($G$2,Int_Sample[Ore],Int_Sample[Inc])) = 0, "YES", "NO"),"")</f>
        <v/>
      </c>
      <c r="I84" s="32" t="str">
        <f>TEXT(HLG_05[[#This Row],[Batch]],"000")&amp; " / " &amp; TEXT(HLG_05[[#This Row],[Rit]],"000")</f>
        <v>N/A / 000</v>
      </c>
      <c r="J84" s="34"/>
      <c r="K84" s="38"/>
      <c r="L84" s="35"/>
      <c r="M84" s="85"/>
      <c r="N84" s="85"/>
      <c r="O84" s="85"/>
      <c r="P84" s="85"/>
      <c r="Q84" s="85"/>
      <c r="R84" s="85"/>
      <c r="S84" s="100"/>
      <c r="T84" s="100"/>
      <c r="U84" s="85"/>
      <c r="V84" s="85"/>
      <c r="W84" s="85"/>
      <c r="X84" s="85"/>
      <c r="AP84" t="str">
        <v/>
      </c>
    </row>
    <row r="85" spans="4:42" ht="15.75" x14ac:dyDescent="0.25">
      <c r="D85" s="3">
        <v>1</v>
      </c>
      <c r="F85" s="16" t="str" cm="1">
        <f t="array" ref="F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5" s="31" cm="1">
        <f t="array" ref="G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5" s="33" t="str">
        <f>_xlfn.IFNA(IF(MOD(HLG_05[[#This Row],[Rit]],
    _xlfn.XLOOKUP($G$2,Int_Sample[Ore],Int_Sample[Inc])) = 0, "YES", "NO"),"")</f>
        <v/>
      </c>
      <c r="I85" s="32" t="str">
        <f>TEXT(HLG_05[[#This Row],[Batch]],"000")&amp; " / " &amp; TEXT(HLG_05[[#This Row],[Rit]],"000")</f>
        <v>N/A / 000</v>
      </c>
      <c r="J85" s="34"/>
      <c r="K85" s="38"/>
      <c r="L85" s="35"/>
      <c r="M85" s="85"/>
      <c r="N85" s="85"/>
      <c r="O85" s="85"/>
      <c r="P85" s="85"/>
      <c r="Q85" s="85"/>
      <c r="R85" s="85"/>
      <c r="S85" s="100"/>
      <c r="T85" s="100"/>
      <c r="U85" s="85"/>
      <c r="V85" s="85"/>
      <c r="W85" s="85"/>
      <c r="X85" s="85"/>
      <c r="AP85" t="str">
        <v/>
      </c>
    </row>
    <row r="86" spans="4:42" ht="15.75" x14ac:dyDescent="0.25">
      <c r="D86" s="3">
        <v>1</v>
      </c>
      <c r="F86" s="16" t="str" cm="1">
        <f t="array" ref="F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6" s="31" cm="1">
        <f t="array" ref="G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6" s="33" t="str">
        <f>_xlfn.IFNA(IF(MOD(HLG_05[[#This Row],[Rit]],
    _xlfn.XLOOKUP($G$2,Int_Sample[Ore],Int_Sample[Inc])) = 0, "YES", "NO"),"")</f>
        <v/>
      </c>
      <c r="I86" s="32" t="str">
        <f>TEXT(HLG_05[[#This Row],[Batch]],"000")&amp; " / " &amp; TEXT(HLG_05[[#This Row],[Rit]],"000")</f>
        <v>N/A / 000</v>
      </c>
      <c r="J86" s="34"/>
      <c r="K86" s="38"/>
      <c r="L86" s="35"/>
      <c r="M86" s="85"/>
      <c r="N86" s="85"/>
      <c r="O86" s="85"/>
      <c r="P86" s="85"/>
      <c r="Q86" s="85"/>
      <c r="R86" s="85"/>
      <c r="S86" s="100"/>
      <c r="T86" s="100"/>
      <c r="U86" s="85"/>
      <c r="V86" s="85"/>
      <c r="W86" s="85"/>
      <c r="X86" s="85"/>
      <c r="AP86" t="str">
        <v/>
      </c>
    </row>
    <row r="87" spans="4:42" ht="15.75" x14ac:dyDescent="0.25">
      <c r="D87" s="3">
        <v>1</v>
      </c>
      <c r="F87" s="16" t="str" cm="1">
        <f t="array" ref="F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7" s="31" cm="1">
        <f t="array" ref="G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7" s="33" t="str">
        <f>_xlfn.IFNA(IF(MOD(HLG_05[[#This Row],[Rit]],
    _xlfn.XLOOKUP($G$2,Int_Sample[Ore],Int_Sample[Inc])) = 0, "YES", "NO"),"")</f>
        <v/>
      </c>
      <c r="I87" s="32" t="str">
        <f>TEXT(HLG_05[[#This Row],[Batch]],"000")&amp; " / " &amp; TEXT(HLG_05[[#This Row],[Rit]],"000")</f>
        <v>N/A / 000</v>
      </c>
      <c r="J87" s="34"/>
      <c r="K87" s="38"/>
      <c r="L87" s="35"/>
      <c r="M87" s="85"/>
      <c r="N87" s="85"/>
      <c r="O87" s="85"/>
      <c r="P87" s="85"/>
      <c r="Q87" s="85"/>
      <c r="R87" s="85"/>
      <c r="S87" s="100"/>
      <c r="T87" s="100"/>
      <c r="U87" s="85"/>
      <c r="V87" s="85"/>
      <c r="W87" s="85"/>
      <c r="X87" s="85"/>
      <c r="AP87" t="str">
        <v/>
      </c>
    </row>
    <row r="88" spans="4:42" ht="15.75" x14ac:dyDescent="0.25">
      <c r="D88" s="3">
        <v>1</v>
      </c>
      <c r="F88" s="16" t="str" cm="1">
        <f t="array" ref="F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8" s="31" cm="1">
        <f t="array" ref="G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8" s="33" t="str">
        <f>_xlfn.IFNA(IF(MOD(HLG_05[[#This Row],[Rit]],
    _xlfn.XLOOKUP($G$2,Int_Sample[Ore],Int_Sample[Inc])) = 0, "YES", "NO"),"")</f>
        <v/>
      </c>
      <c r="I88" s="32" t="str">
        <f>TEXT(HLG_05[[#This Row],[Batch]],"000")&amp; " / " &amp; TEXT(HLG_05[[#This Row],[Rit]],"000")</f>
        <v>N/A / 000</v>
      </c>
      <c r="J88" s="34"/>
      <c r="K88" s="38"/>
      <c r="L88" s="35"/>
      <c r="M88" s="85"/>
      <c r="N88" s="85"/>
      <c r="O88" s="85"/>
      <c r="P88" s="85"/>
      <c r="Q88" s="85"/>
      <c r="R88" s="85"/>
      <c r="S88" s="100"/>
      <c r="T88" s="100"/>
      <c r="U88" s="85"/>
      <c r="V88" s="85"/>
      <c r="W88" s="85"/>
      <c r="X88" s="85"/>
      <c r="AP88" t="str">
        <v/>
      </c>
    </row>
    <row r="89" spans="4:42" ht="15.75" x14ac:dyDescent="0.25">
      <c r="D89" s="3">
        <v>1</v>
      </c>
      <c r="F89" s="16" t="str" cm="1">
        <f t="array" ref="F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9" s="31" cm="1">
        <f t="array" ref="G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9" s="33" t="str">
        <f>_xlfn.IFNA(IF(MOD(HLG_05[[#This Row],[Rit]],
    _xlfn.XLOOKUP($G$2,Int_Sample[Ore],Int_Sample[Inc])) = 0, "YES", "NO"),"")</f>
        <v/>
      </c>
      <c r="I89" s="32" t="str">
        <f>TEXT(HLG_05[[#This Row],[Batch]],"000")&amp; " / " &amp; TEXT(HLG_05[[#This Row],[Rit]],"000")</f>
        <v>N/A / 000</v>
      </c>
      <c r="J89" s="34"/>
      <c r="K89" s="38"/>
      <c r="L89" s="35"/>
      <c r="M89" s="85"/>
      <c r="N89" s="85"/>
      <c r="O89" s="85"/>
      <c r="P89" s="85"/>
      <c r="Q89" s="85"/>
      <c r="R89" s="85"/>
      <c r="S89" s="100"/>
      <c r="T89" s="100"/>
      <c r="U89" s="85"/>
      <c r="V89" s="85"/>
      <c r="W89" s="85"/>
      <c r="X89" s="85"/>
      <c r="AP89" t="str">
        <v/>
      </c>
    </row>
    <row r="90" spans="4:42" ht="15.75" x14ac:dyDescent="0.25">
      <c r="D90" s="3">
        <v>1</v>
      </c>
      <c r="F90" s="16" t="str" cm="1">
        <f t="array" ref="F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0" s="31" cm="1">
        <f t="array" ref="G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0" s="33" t="str">
        <f>_xlfn.IFNA(IF(MOD(HLG_05[[#This Row],[Rit]],
    _xlfn.XLOOKUP($G$2,Int_Sample[Ore],Int_Sample[Inc])) = 0, "YES", "NO"),"")</f>
        <v/>
      </c>
      <c r="I90" s="32" t="str">
        <f>TEXT(HLG_05[[#This Row],[Batch]],"000")&amp; " / " &amp; TEXT(HLG_05[[#This Row],[Rit]],"000")</f>
        <v>N/A / 000</v>
      </c>
      <c r="J90" s="34"/>
      <c r="K90" s="38"/>
      <c r="L90" s="35"/>
      <c r="M90" s="85"/>
      <c r="N90" s="85"/>
      <c r="O90" s="85"/>
      <c r="P90" s="85"/>
      <c r="Q90" s="85"/>
      <c r="R90" s="85"/>
      <c r="S90" s="100"/>
      <c r="T90" s="100"/>
      <c r="U90" s="85"/>
      <c r="V90" s="85"/>
      <c r="W90" s="85"/>
      <c r="X90" s="85"/>
      <c r="AP90" t="str">
        <v/>
      </c>
    </row>
    <row r="91" spans="4:42" ht="15.75" x14ac:dyDescent="0.25">
      <c r="D91" s="3">
        <v>1</v>
      </c>
      <c r="F91" s="16" t="str" cm="1">
        <f t="array" ref="F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1" s="31" cm="1">
        <f t="array" ref="G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1" s="33" t="str">
        <f>_xlfn.IFNA(IF(MOD(HLG_05[[#This Row],[Rit]],
    _xlfn.XLOOKUP($G$2,Int_Sample[Ore],Int_Sample[Inc])) = 0, "YES", "NO"),"")</f>
        <v/>
      </c>
      <c r="I91" s="32" t="str">
        <f>TEXT(HLG_05[[#This Row],[Batch]],"000")&amp; " / " &amp; TEXT(HLG_05[[#This Row],[Rit]],"000")</f>
        <v>N/A / 000</v>
      </c>
      <c r="J91" s="34"/>
      <c r="K91" s="38"/>
      <c r="L91" s="35"/>
      <c r="M91" s="85"/>
      <c r="N91" s="85"/>
      <c r="O91" s="85"/>
      <c r="P91" s="85"/>
      <c r="Q91" s="85"/>
      <c r="R91" s="85"/>
      <c r="S91" s="100"/>
      <c r="T91" s="100"/>
      <c r="U91" s="85"/>
      <c r="V91" s="85"/>
      <c r="W91" s="85"/>
      <c r="X91" s="85"/>
      <c r="AP91" t="str">
        <v/>
      </c>
    </row>
    <row r="92" spans="4:42" ht="15.75" x14ac:dyDescent="0.25">
      <c r="D92" s="3">
        <v>1</v>
      </c>
      <c r="F92" s="16" t="str" cm="1">
        <f t="array" ref="F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2" s="31" cm="1">
        <f t="array" ref="G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2" s="33" t="str">
        <f>_xlfn.IFNA(IF(MOD(HLG_05[[#This Row],[Rit]],
    _xlfn.XLOOKUP($G$2,Int_Sample[Ore],Int_Sample[Inc])) = 0, "YES", "NO"),"")</f>
        <v/>
      </c>
      <c r="I92" s="32" t="str">
        <f>TEXT(HLG_05[[#This Row],[Batch]],"000")&amp; " / " &amp; TEXT(HLG_05[[#This Row],[Rit]],"000")</f>
        <v>N/A / 000</v>
      </c>
      <c r="J92" s="34"/>
      <c r="K92" s="38"/>
      <c r="L92" s="35"/>
      <c r="M92" s="85"/>
      <c r="N92" s="85"/>
      <c r="O92" s="85"/>
      <c r="P92" s="85"/>
      <c r="Q92" s="85"/>
      <c r="R92" s="85"/>
      <c r="S92" s="100"/>
      <c r="T92" s="100"/>
      <c r="U92" s="85"/>
      <c r="V92" s="85"/>
      <c r="W92" s="85"/>
      <c r="X92" s="85"/>
      <c r="AP92" t="str">
        <v/>
      </c>
    </row>
    <row r="93" spans="4:42" ht="15.75" x14ac:dyDescent="0.25">
      <c r="D93" s="3">
        <v>1</v>
      </c>
      <c r="F93" s="16" t="str" cm="1">
        <f t="array" ref="F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3" s="31" cm="1">
        <f t="array" ref="G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3" s="33" t="str">
        <f>_xlfn.IFNA(IF(MOD(HLG_05[[#This Row],[Rit]],
    _xlfn.XLOOKUP($G$2,Int_Sample[Ore],Int_Sample[Inc])) = 0, "YES", "NO"),"")</f>
        <v/>
      </c>
      <c r="I93" s="32" t="str">
        <f>TEXT(HLG_05[[#This Row],[Batch]],"000")&amp; " / " &amp; TEXT(HLG_05[[#This Row],[Rit]],"000")</f>
        <v>N/A / 000</v>
      </c>
      <c r="J93" s="34"/>
      <c r="K93" s="38"/>
      <c r="L93" s="35"/>
      <c r="M93" s="85"/>
      <c r="N93" s="85"/>
      <c r="O93" s="85"/>
      <c r="P93" s="85"/>
      <c r="Q93" s="85"/>
      <c r="R93" s="85"/>
      <c r="S93" s="100"/>
      <c r="T93" s="100"/>
      <c r="U93" s="85"/>
      <c r="V93" s="85"/>
      <c r="W93" s="85"/>
      <c r="X93" s="85"/>
      <c r="AP93" t="str">
        <v/>
      </c>
    </row>
    <row r="94" spans="4:42" ht="15.75" x14ac:dyDescent="0.25">
      <c r="D94" s="3">
        <v>1</v>
      </c>
      <c r="F94" s="16" t="str" cm="1">
        <f t="array" ref="F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4" s="31" cm="1">
        <f t="array" ref="G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4" s="33" t="str">
        <f>_xlfn.IFNA(IF(MOD(HLG_05[[#This Row],[Rit]],
    _xlfn.XLOOKUP($G$2,Int_Sample[Ore],Int_Sample[Inc])) = 0, "YES", "NO"),"")</f>
        <v/>
      </c>
      <c r="I94" s="32" t="str">
        <f>TEXT(HLG_05[[#This Row],[Batch]],"000")&amp; " / " &amp; TEXT(HLG_05[[#This Row],[Rit]],"000")</f>
        <v>N/A / 000</v>
      </c>
      <c r="J94" s="34"/>
      <c r="K94" s="38"/>
      <c r="L94" s="35"/>
      <c r="M94" s="85"/>
      <c r="N94" s="85"/>
      <c r="O94" s="85"/>
      <c r="P94" s="85"/>
      <c r="Q94" s="85"/>
      <c r="R94" s="85"/>
      <c r="S94" s="100"/>
      <c r="T94" s="100"/>
      <c r="U94" s="85"/>
      <c r="V94" s="85"/>
      <c r="W94" s="85"/>
      <c r="X94" s="85"/>
      <c r="AP94" t="str">
        <v/>
      </c>
    </row>
    <row r="95" spans="4:42" ht="15.75" x14ac:dyDescent="0.25">
      <c r="D95" s="3">
        <v>1</v>
      </c>
      <c r="F95" s="16" t="str" cm="1">
        <f t="array" ref="F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5" s="31" cm="1">
        <f t="array" ref="G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5" s="33" t="str">
        <f>_xlfn.IFNA(IF(MOD(HLG_05[[#This Row],[Rit]],
    _xlfn.XLOOKUP($G$2,Int_Sample[Ore],Int_Sample[Inc])) = 0, "YES", "NO"),"")</f>
        <v/>
      </c>
      <c r="I95" s="32" t="str">
        <f>TEXT(HLG_05[[#This Row],[Batch]],"000")&amp; " / " &amp; TEXT(HLG_05[[#This Row],[Rit]],"000")</f>
        <v>N/A / 000</v>
      </c>
      <c r="J95" s="34"/>
      <c r="K95" s="38"/>
      <c r="L95" s="35"/>
      <c r="M95" s="85"/>
      <c r="N95" s="85"/>
      <c r="O95" s="85"/>
      <c r="P95" s="85"/>
      <c r="Q95" s="85"/>
      <c r="R95" s="85"/>
      <c r="S95" s="100"/>
      <c r="T95" s="100"/>
      <c r="U95" s="85"/>
      <c r="V95" s="85"/>
      <c r="W95" s="85"/>
      <c r="X95" s="85"/>
      <c r="AP95" t="str">
        <v/>
      </c>
    </row>
    <row r="96" spans="4:42" ht="15.75" x14ac:dyDescent="0.25">
      <c r="D96" s="3">
        <v>1</v>
      </c>
      <c r="F96" s="16" t="str" cm="1">
        <f t="array" ref="F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6" s="31" cm="1">
        <f t="array" ref="G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6" s="33" t="str">
        <f>_xlfn.IFNA(IF(MOD(HLG_05[[#This Row],[Rit]],
    _xlfn.XLOOKUP($G$2,Int_Sample[Ore],Int_Sample[Inc])) = 0, "YES", "NO"),"")</f>
        <v/>
      </c>
      <c r="I96" s="32" t="str">
        <f>TEXT(HLG_05[[#This Row],[Batch]],"000")&amp; " / " &amp; TEXT(HLG_05[[#This Row],[Rit]],"000")</f>
        <v>N/A / 000</v>
      </c>
      <c r="J96" s="34"/>
      <c r="K96" s="38"/>
      <c r="L96" s="35"/>
      <c r="M96" s="85"/>
      <c r="N96" s="85"/>
      <c r="O96" s="85"/>
      <c r="P96" s="85"/>
      <c r="Q96" s="85"/>
      <c r="R96" s="85"/>
      <c r="S96" s="100"/>
      <c r="T96" s="100"/>
      <c r="U96" s="85"/>
      <c r="V96" s="85"/>
      <c r="W96" s="85"/>
      <c r="X96" s="85"/>
      <c r="AP96" t="str">
        <v/>
      </c>
    </row>
    <row r="97" spans="4:42" ht="15.75" x14ac:dyDescent="0.25">
      <c r="D97" s="3">
        <v>1</v>
      </c>
      <c r="F97" s="16" t="str" cm="1">
        <f t="array" ref="F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7" s="31" cm="1">
        <f t="array" ref="G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7" s="33" t="str">
        <f>_xlfn.IFNA(IF(MOD(HLG_05[[#This Row],[Rit]],
    _xlfn.XLOOKUP($G$2,Int_Sample[Ore],Int_Sample[Inc])) = 0, "YES", "NO"),"")</f>
        <v/>
      </c>
      <c r="I97" s="32" t="str">
        <f>TEXT(HLG_05[[#This Row],[Batch]],"000")&amp; " / " &amp; TEXT(HLG_05[[#This Row],[Rit]],"000")</f>
        <v>N/A / 000</v>
      </c>
      <c r="J97" s="34"/>
      <c r="K97" s="38"/>
      <c r="L97" s="35"/>
      <c r="M97" s="85"/>
      <c r="N97" s="85"/>
      <c r="O97" s="85"/>
      <c r="P97" s="85"/>
      <c r="Q97" s="85"/>
      <c r="R97" s="85"/>
      <c r="S97" s="100"/>
      <c r="T97" s="100"/>
      <c r="U97" s="85"/>
      <c r="V97" s="85"/>
      <c r="W97" s="85"/>
      <c r="X97" s="85"/>
      <c r="AP97" t="str">
        <v/>
      </c>
    </row>
    <row r="98" spans="4:42" ht="15.75" x14ac:dyDescent="0.25">
      <c r="D98" s="3">
        <v>1</v>
      </c>
      <c r="F98" s="16" t="str" cm="1">
        <f t="array" ref="F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8" s="31" cm="1">
        <f t="array" ref="G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8" s="33" t="str">
        <f>_xlfn.IFNA(IF(MOD(HLG_05[[#This Row],[Rit]],
    _xlfn.XLOOKUP($G$2,Int_Sample[Ore],Int_Sample[Inc])) = 0, "YES", "NO"),"")</f>
        <v/>
      </c>
      <c r="I98" s="32" t="str">
        <f>TEXT(HLG_05[[#This Row],[Batch]],"000")&amp; " / " &amp; TEXT(HLG_05[[#This Row],[Rit]],"000")</f>
        <v>N/A / 000</v>
      </c>
      <c r="J98" s="34"/>
      <c r="K98" s="38"/>
      <c r="L98" s="35"/>
      <c r="M98" s="85"/>
      <c r="N98" s="85"/>
      <c r="O98" s="85"/>
      <c r="P98" s="85"/>
      <c r="Q98" s="85"/>
      <c r="R98" s="85"/>
      <c r="S98" s="100"/>
      <c r="T98" s="100"/>
      <c r="U98" s="85"/>
      <c r="V98" s="85"/>
      <c r="W98" s="85"/>
      <c r="X98" s="85"/>
      <c r="AP98" t="str">
        <v/>
      </c>
    </row>
    <row r="99" spans="4:42" ht="15.75" x14ac:dyDescent="0.25">
      <c r="D99" s="3">
        <v>1</v>
      </c>
      <c r="F99" s="16" t="str" cm="1">
        <f t="array" ref="F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9" s="31" cm="1">
        <f t="array" ref="G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9" s="33" t="str">
        <f>_xlfn.IFNA(IF(MOD(HLG_05[[#This Row],[Rit]],
    _xlfn.XLOOKUP($G$2,Int_Sample[Ore],Int_Sample[Inc])) = 0, "YES", "NO"),"")</f>
        <v/>
      </c>
      <c r="I99" s="32" t="str">
        <f>TEXT(HLG_05[[#This Row],[Batch]],"000")&amp; " / " &amp; TEXT(HLG_05[[#This Row],[Rit]],"000")</f>
        <v>N/A / 000</v>
      </c>
      <c r="J99" s="34"/>
      <c r="K99" s="38"/>
      <c r="L99" s="35"/>
      <c r="M99" s="85"/>
      <c r="N99" s="85"/>
      <c r="O99" s="85"/>
      <c r="P99" s="85"/>
      <c r="Q99" s="85"/>
      <c r="R99" s="85"/>
      <c r="S99" s="100"/>
      <c r="T99" s="100"/>
      <c r="U99" s="85"/>
      <c r="V99" s="85"/>
      <c r="W99" s="85"/>
      <c r="X99" s="85"/>
      <c r="AP99" t="str">
        <v/>
      </c>
    </row>
    <row r="100" spans="4:42" ht="15.75" x14ac:dyDescent="0.25">
      <c r="D100" s="3">
        <v>1</v>
      </c>
      <c r="F100" s="16" t="str" cm="1">
        <f t="array" ref="F1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0" s="31" cm="1">
        <f t="array" ref="G1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0" s="33" t="str">
        <f>_xlfn.IFNA(IF(MOD(HLG_05[[#This Row],[Rit]],
    _xlfn.XLOOKUP($G$2,Int_Sample[Ore],Int_Sample[Inc])) = 0, "YES", "NO"),"")</f>
        <v/>
      </c>
      <c r="I100" s="32" t="str">
        <f>TEXT(HLG_05[[#This Row],[Batch]],"000")&amp; " / " &amp; TEXT(HLG_05[[#This Row],[Rit]],"000")</f>
        <v>N/A / 000</v>
      </c>
      <c r="J100" s="34"/>
      <c r="K100" s="38"/>
      <c r="L100" s="35"/>
      <c r="M100" s="85"/>
      <c r="N100" s="85"/>
      <c r="O100" s="85"/>
      <c r="P100" s="85"/>
      <c r="Q100" s="85"/>
      <c r="R100" s="85"/>
      <c r="S100" s="100"/>
      <c r="T100" s="100"/>
      <c r="U100" s="85"/>
      <c r="V100" s="85"/>
      <c r="W100" s="85"/>
      <c r="X100" s="85"/>
      <c r="AP100" t="str">
        <v/>
      </c>
    </row>
    <row r="101" spans="4:42" ht="15.75" x14ac:dyDescent="0.25">
      <c r="D101" s="3">
        <v>1</v>
      </c>
      <c r="F101" s="16" t="str" cm="1">
        <f t="array" ref="F1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1" s="31" cm="1">
        <f t="array" ref="G1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1" s="33" t="str">
        <f>_xlfn.IFNA(IF(MOD(HLG_05[[#This Row],[Rit]],
    _xlfn.XLOOKUP($G$2,Int_Sample[Ore],Int_Sample[Inc])) = 0, "YES", "NO"),"")</f>
        <v/>
      </c>
      <c r="I101" s="32" t="str">
        <f>TEXT(HLG_05[[#This Row],[Batch]],"000")&amp; " / " &amp; TEXT(HLG_05[[#This Row],[Rit]],"000")</f>
        <v>N/A / 000</v>
      </c>
      <c r="J101" s="34"/>
      <c r="K101" s="38"/>
      <c r="L101" s="35"/>
      <c r="M101" s="66"/>
      <c r="N101" s="85"/>
      <c r="O101" s="85"/>
      <c r="P101" s="85"/>
      <c r="Q101" s="85"/>
      <c r="R101" s="85"/>
      <c r="S101" s="85"/>
      <c r="T101" s="100"/>
      <c r="U101" s="100"/>
      <c r="V101" s="85"/>
      <c r="W101" s="85"/>
      <c r="X101" s="85"/>
      <c r="AP101" t="str">
        <v/>
      </c>
    </row>
    <row r="102" spans="4:42" ht="15.75" x14ac:dyDescent="0.25">
      <c r="D102" s="3">
        <v>1</v>
      </c>
      <c r="F102" s="16" t="str" cm="1">
        <f t="array" ref="F1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2" s="31" cm="1">
        <f t="array" ref="G1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2" s="33" t="str">
        <f>_xlfn.IFNA(IF(MOD(HLG_05[[#This Row],[Rit]],
    _xlfn.XLOOKUP($G$2,Int_Sample[Ore],Int_Sample[Inc])) = 0, "YES", "NO"),"")</f>
        <v/>
      </c>
      <c r="I102" s="32" t="str">
        <f>TEXT(HLG_05[[#This Row],[Batch]],"000")&amp; " / " &amp; TEXT(HLG_05[[#This Row],[Rit]],"000")</f>
        <v>N/A / 000</v>
      </c>
      <c r="J102" s="34"/>
      <c r="K102" s="38"/>
      <c r="L102" s="35"/>
      <c r="M102" s="66"/>
      <c r="N102" s="85"/>
      <c r="O102" s="85"/>
      <c r="P102" s="85"/>
      <c r="Q102" s="85"/>
      <c r="R102" s="85"/>
      <c r="S102" s="85"/>
      <c r="T102" s="100"/>
      <c r="U102" s="100"/>
      <c r="V102" s="85"/>
      <c r="W102" s="85"/>
      <c r="X102" s="85"/>
      <c r="AP102" t="str">
        <v/>
      </c>
    </row>
    <row r="103" spans="4:42" ht="15.75" x14ac:dyDescent="0.25">
      <c r="D103" s="3">
        <v>1</v>
      </c>
      <c r="F103" s="16" t="str" cm="1">
        <f t="array" ref="F1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3" s="31" cm="1">
        <f t="array" ref="G1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3" s="33" t="str">
        <f>_xlfn.IFNA(IF(MOD(HLG_05[[#This Row],[Rit]],
    _xlfn.XLOOKUP($G$2,Int_Sample[Ore],Int_Sample[Inc])) = 0, "YES", "NO"),"")</f>
        <v/>
      </c>
      <c r="I103" s="32" t="str">
        <f>TEXT(HLG_05[[#This Row],[Batch]],"000")&amp; " / " &amp; TEXT(HLG_05[[#This Row],[Rit]],"000")</f>
        <v>N/A / 000</v>
      </c>
      <c r="J103" s="34"/>
      <c r="K103" s="38"/>
      <c r="L103" s="35"/>
      <c r="M103" s="66"/>
      <c r="N103" s="85"/>
      <c r="O103" s="85"/>
      <c r="P103" s="85"/>
      <c r="Q103" s="85"/>
      <c r="R103" s="85"/>
      <c r="S103" s="85"/>
      <c r="T103" s="100"/>
      <c r="U103" s="100"/>
      <c r="V103" s="85"/>
      <c r="W103" s="85"/>
      <c r="X103" s="85"/>
      <c r="AP103" t="str">
        <v/>
      </c>
    </row>
    <row r="104" spans="4:42" ht="15.75" x14ac:dyDescent="0.25">
      <c r="D104" s="3">
        <v>1</v>
      </c>
      <c r="F104" s="16" t="str" cm="1">
        <f t="array" ref="F1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4" s="31" cm="1">
        <f t="array" ref="G1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4" s="33" t="str">
        <f>_xlfn.IFNA(IF(MOD(HLG_05[[#This Row],[Rit]],
    _xlfn.XLOOKUP($G$2,Int_Sample[Ore],Int_Sample[Inc])) = 0, "YES", "NO"),"")</f>
        <v/>
      </c>
      <c r="I104" s="32" t="str">
        <f>TEXT(HLG_05[[#This Row],[Batch]],"000")&amp; " / " &amp; TEXT(HLG_05[[#This Row],[Rit]],"000")</f>
        <v>N/A / 000</v>
      </c>
      <c r="J104" s="34"/>
      <c r="K104" s="38"/>
      <c r="L104" s="35"/>
      <c r="M104" s="66"/>
      <c r="N104" s="85"/>
      <c r="O104" s="85"/>
      <c r="P104" s="85"/>
      <c r="Q104" s="85"/>
      <c r="R104" s="85"/>
      <c r="S104" s="85"/>
      <c r="T104" s="100"/>
      <c r="U104" s="100"/>
      <c r="V104" s="85"/>
      <c r="W104" s="85"/>
      <c r="X104" s="85"/>
      <c r="AP104" t="str">
        <v/>
      </c>
    </row>
    <row r="105" spans="4:42" ht="15.75" x14ac:dyDescent="0.25">
      <c r="D105" s="3">
        <v>1</v>
      </c>
      <c r="F105" s="16" t="str" cm="1">
        <f t="array" ref="F1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5" s="31" cm="1">
        <f t="array" ref="G1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5" s="33" t="str">
        <f>_xlfn.IFNA(IF(MOD(HLG_05[[#This Row],[Rit]],
    _xlfn.XLOOKUP($G$2,Int_Sample[Ore],Int_Sample[Inc])) = 0, "YES", "NO"),"")</f>
        <v/>
      </c>
      <c r="I105" s="32" t="str">
        <f>TEXT(HLG_05[[#This Row],[Batch]],"000")&amp; " / " &amp; TEXT(HLG_05[[#This Row],[Rit]],"000")</f>
        <v>N/A / 000</v>
      </c>
      <c r="J105" s="34"/>
      <c r="K105" s="38"/>
      <c r="L105" s="35"/>
      <c r="M105" s="66"/>
      <c r="N105" s="85"/>
      <c r="O105" s="85"/>
      <c r="P105" s="85"/>
      <c r="Q105" s="85"/>
      <c r="R105" s="85"/>
      <c r="S105" s="85"/>
      <c r="T105" s="100"/>
      <c r="U105" s="100"/>
      <c r="V105" s="85"/>
      <c r="W105" s="85"/>
      <c r="X105" s="85"/>
      <c r="AP105" t="str">
        <v/>
      </c>
    </row>
    <row r="106" spans="4:42" ht="15.75" x14ac:dyDescent="0.25">
      <c r="D106" s="3">
        <v>1</v>
      </c>
      <c r="F106" s="16" t="str" cm="1">
        <f t="array" ref="F1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6" s="31" cm="1">
        <f t="array" ref="G1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6" s="33" t="str">
        <f>_xlfn.IFNA(IF(MOD(HLG_05[[#This Row],[Rit]],
    _xlfn.XLOOKUP($G$2,Int_Sample[Ore],Int_Sample[Inc])) = 0, "YES", "NO"),"")</f>
        <v/>
      </c>
      <c r="I106" s="32" t="str">
        <f>TEXT(HLG_05[[#This Row],[Batch]],"000")&amp; " / " &amp; TEXT(HLG_05[[#This Row],[Rit]],"000")</f>
        <v>N/A / 000</v>
      </c>
      <c r="J106" s="34"/>
      <c r="K106" s="38"/>
      <c r="L106" s="35"/>
      <c r="M106" s="66"/>
      <c r="N106" s="85"/>
      <c r="O106" s="85"/>
      <c r="P106" s="85"/>
      <c r="Q106" s="85"/>
      <c r="R106" s="85"/>
      <c r="S106" s="85"/>
      <c r="T106" s="100"/>
      <c r="U106" s="100"/>
      <c r="V106" s="85"/>
      <c r="W106" s="85"/>
      <c r="X106" s="85"/>
      <c r="AP106" t="str">
        <v/>
      </c>
    </row>
    <row r="107" spans="4:42" ht="15.75" x14ac:dyDescent="0.25">
      <c r="D107" s="3">
        <v>1</v>
      </c>
      <c r="F107" s="16" t="str" cm="1">
        <f t="array" ref="F1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7" s="31" cm="1">
        <f t="array" ref="G1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7" s="33" t="str">
        <f>_xlfn.IFNA(IF(MOD(HLG_05[[#This Row],[Rit]],
    _xlfn.XLOOKUP($G$2,Int_Sample[Ore],Int_Sample[Inc])) = 0, "YES", "NO"),"")</f>
        <v/>
      </c>
      <c r="I107" s="32" t="str">
        <f>TEXT(HLG_05[[#This Row],[Batch]],"000")&amp; " / " &amp; TEXT(HLG_05[[#This Row],[Rit]],"000")</f>
        <v>N/A / 000</v>
      </c>
      <c r="J107" s="34"/>
      <c r="K107" s="38"/>
      <c r="L107" s="35"/>
      <c r="M107" s="66"/>
      <c r="N107" s="85"/>
      <c r="O107" s="85"/>
      <c r="P107" s="85"/>
      <c r="Q107" s="85"/>
      <c r="R107" s="85"/>
      <c r="S107" s="85"/>
      <c r="T107" s="100"/>
      <c r="U107" s="100"/>
      <c r="V107" s="85"/>
      <c r="W107" s="85"/>
      <c r="X107" s="85"/>
      <c r="AP107" t="str">
        <v/>
      </c>
    </row>
    <row r="108" spans="4:42" ht="15.75" x14ac:dyDescent="0.25">
      <c r="D108" s="3">
        <v>1</v>
      </c>
      <c r="F108" s="16" t="str" cm="1">
        <f t="array" ref="F1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8" s="31" cm="1">
        <f t="array" ref="G1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8" s="33" t="str">
        <f>_xlfn.IFNA(IF(MOD(HLG_05[[#This Row],[Rit]],
    _xlfn.XLOOKUP($G$2,Int_Sample[Ore],Int_Sample[Inc])) = 0, "YES", "NO"),"")</f>
        <v/>
      </c>
      <c r="I108" s="32" t="str">
        <f>TEXT(HLG_05[[#This Row],[Batch]],"000")&amp; " / " &amp; TEXT(HLG_05[[#This Row],[Rit]],"000")</f>
        <v>N/A / 000</v>
      </c>
      <c r="J108" s="34"/>
      <c r="K108" s="38"/>
      <c r="L108" s="35"/>
      <c r="M108" s="66"/>
      <c r="N108" s="85"/>
      <c r="O108" s="85"/>
      <c r="P108" s="85"/>
      <c r="Q108" s="85"/>
      <c r="R108" s="85"/>
      <c r="S108" s="85"/>
      <c r="T108" s="100"/>
      <c r="U108" s="100"/>
      <c r="V108" s="85"/>
      <c r="W108" s="85"/>
      <c r="X108" s="85"/>
      <c r="AP108" t="str">
        <v/>
      </c>
    </row>
    <row r="109" spans="4:42" ht="15.75" x14ac:dyDescent="0.25">
      <c r="D109" s="3">
        <v>1</v>
      </c>
      <c r="F109" s="16" t="str" cm="1">
        <f t="array" ref="F1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9" s="31" cm="1">
        <f t="array" ref="G1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9" s="33" t="str">
        <f>_xlfn.IFNA(IF(MOD(HLG_05[[#This Row],[Rit]],
    _xlfn.XLOOKUP($G$2,Int_Sample[Ore],Int_Sample[Inc])) = 0, "YES", "NO"),"")</f>
        <v/>
      </c>
      <c r="I109" s="32" t="str">
        <f>TEXT(HLG_05[[#This Row],[Batch]],"000")&amp; " / " &amp; TEXT(HLG_05[[#This Row],[Rit]],"000")</f>
        <v>N/A / 000</v>
      </c>
      <c r="J109" s="34"/>
      <c r="K109" s="38"/>
      <c r="L109" s="35"/>
      <c r="M109" s="66"/>
      <c r="N109" s="85"/>
      <c r="O109" s="85"/>
      <c r="P109" s="85"/>
      <c r="Q109" s="85"/>
      <c r="R109" s="85"/>
      <c r="S109" s="85"/>
      <c r="T109" s="100"/>
      <c r="U109" s="100"/>
      <c r="V109" s="85"/>
      <c r="W109" s="85"/>
      <c r="X109" s="85"/>
      <c r="AP109" t="str">
        <v/>
      </c>
    </row>
    <row r="110" spans="4:42" ht="15.75" x14ac:dyDescent="0.25">
      <c r="D110" s="3">
        <v>1</v>
      </c>
      <c r="F110" s="16" t="str" cm="1">
        <f t="array" ref="F1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0" s="31" cm="1">
        <f t="array" ref="G1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0" s="33" t="str">
        <f>_xlfn.IFNA(IF(MOD(HLG_05[[#This Row],[Rit]],
    _xlfn.XLOOKUP($G$2,Int_Sample[Ore],Int_Sample[Inc])) = 0, "YES", "NO"),"")</f>
        <v/>
      </c>
      <c r="I110" s="32" t="str">
        <f>TEXT(HLG_05[[#This Row],[Batch]],"000")&amp; " / " &amp; TEXT(HLG_05[[#This Row],[Rit]],"000")</f>
        <v>N/A / 000</v>
      </c>
      <c r="J110" s="34"/>
      <c r="K110" s="38"/>
      <c r="L110" s="35"/>
      <c r="M110" s="66"/>
      <c r="N110" s="85"/>
      <c r="O110" s="85"/>
      <c r="P110" s="85"/>
      <c r="Q110" s="85"/>
      <c r="R110" s="85"/>
      <c r="S110" s="85"/>
      <c r="T110" s="100"/>
      <c r="U110" s="100"/>
      <c r="V110" s="85"/>
      <c r="W110" s="85"/>
      <c r="X110" s="85"/>
      <c r="AP110" t="str">
        <v/>
      </c>
    </row>
    <row r="111" spans="4:42" ht="15.75" x14ac:dyDescent="0.25">
      <c r="D111" s="3">
        <v>1</v>
      </c>
      <c r="F111" s="16" t="str" cm="1">
        <f t="array" ref="F1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1" s="31" cm="1">
        <f t="array" ref="G1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1" s="33" t="str">
        <f>_xlfn.IFNA(IF(MOD(HLG_05[[#This Row],[Rit]],
    _xlfn.XLOOKUP($G$2,Int_Sample[Ore],Int_Sample[Inc])) = 0, "YES", "NO"),"")</f>
        <v/>
      </c>
      <c r="I111" s="32" t="str">
        <f>TEXT(HLG_05[[#This Row],[Batch]],"000")&amp; " / " &amp; TEXT(HLG_05[[#This Row],[Rit]],"000")</f>
        <v>N/A / 000</v>
      </c>
      <c r="J111" s="34"/>
      <c r="K111" s="38"/>
      <c r="L111" s="35"/>
      <c r="M111" s="66"/>
      <c r="N111" s="66"/>
      <c r="O111" s="66"/>
      <c r="P111" s="66"/>
      <c r="Q111" s="66"/>
      <c r="R111" s="67"/>
      <c r="S111" s="67"/>
      <c r="T111" s="67"/>
      <c r="U111" s="66"/>
      <c r="V111" s="66"/>
      <c r="W111" s="66"/>
      <c r="X111" s="85"/>
      <c r="AP111" t="str">
        <v/>
      </c>
    </row>
    <row r="112" spans="4:42" ht="15.75" x14ac:dyDescent="0.25">
      <c r="D112" s="3">
        <v>1</v>
      </c>
      <c r="F112" s="16" t="str" cm="1">
        <f t="array" ref="F1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2" s="31" cm="1">
        <f t="array" ref="G1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2" s="33" t="str">
        <f>_xlfn.IFNA(IF(MOD(HLG_05[[#This Row],[Rit]],
    _xlfn.XLOOKUP($G$2,Int_Sample[Ore],Int_Sample[Inc])) = 0, "YES", "NO"),"")</f>
        <v/>
      </c>
      <c r="I112" s="32" t="str">
        <f>TEXT(HLG_05[[#This Row],[Batch]],"000")&amp; " / " &amp; TEXT(HLG_05[[#This Row],[Rit]],"000")</f>
        <v>N/A / 000</v>
      </c>
      <c r="J112" s="34"/>
      <c r="K112" s="38"/>
      <c r="L112" s="35"/>
      <c r="M112" s="66"/>
      <c r="N112" s="66"/>
      <c r="O112" s="66"/>
      <c r="P112" s="66"/>
      <c r="Q112" s="66"/>
      <c r="R112" s="67"/>
      <c r="S112" s="67"/>
      <c r="T112" s="67"/>
      <c r="U112" s="66"/>
      <c r="V112" s="66"/>
      <c r="W112" s="66"/>
      <c r="X112" s="85"/>
      <c r="AP112" t="str">
        <v/>
      </c>
    </row>
    <row r="113" spans="4:42" ht="15.75" x14ac:dyDescent="0.25">
      <c r="D113" s="3">
        <v>1</v>
      </c>
      <c r="F113" s="16" t="str" cm="1">
        <f t="array" ref="F1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3" s="31" cm="1">
        <f t="array" ref="G1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3" s="33" t="str">
        <f>_xlfn.IFNA(IF(MOD(HLG_05[[#This Row],[Rit]],
    _xlfn.XLOOKUP($G$2,Int_Sample[Ore],Int_Sample[Inc])) = 0, "YES", "NO"),"")</f>
        <v/>
      </c>
      <c r="I113" s="32" t="str">
        <f>TEXT(HLG_05[[#This Row],[Batch]],"000")&amp; " / " &amp; TEXT(HLG_05[[#This Row],[Rit]],"000")</f>
        <v>N/A / 000</v>
      </c>
      <c r="J113" s="34"/>
      <c r="K113" s="38"/>
      <c r="L113" s="35"/>
      <c r="M113" s="66"/>
      <c r="N113" s="66"/>
      <c r="O113" s="66"/>
      <c r="P113" s="66"/>
      <c r="Q113" s="66"/>
      <c r="R113" s="67"/>
      <c r="S113" s="67"/>
      <c r="T113" s="67"/>
      <c r="U113" s="66"/>
      <c r="V113" s="66"/>
      <c r="W113" s="66"/>
      <c r="X113" s="85"/>
      <c r="AP113" t="str">
        <v/>
      </c>
    </row>
    <row r="114" spans="4:42" ht="15.75" x14ac:dyDescent="0.25">
      <c r="D114" s="3">
        <v>1</v>
      </c>
      <c r="F114" s="16" t="str" cm="1">
        <f t="array" ref="F1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4" s="31" cm="1">
        <f t="array" ref="G1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4" s="33" t="str">
        <f>_xlfn.IFNA(IF(MOD(HLG_05[[#This Row],[Rit]],
    _xlfn.XLOOKUP($G$2,Int_Sample[Ore],Int_Sample[Inc])) = 0, "YES", "NO"),"")</f>
        <v/>
      </c>
      <c r="I114" s="32" t="str">
        <f>TEXT(HLG_05[[#This Row],[Batch]],"000")&amp; " / " &amp; TEXT(HLG_05[[#This Row],[Rit]],"000")</f>
        <v>N/A / 000</v>
      </c>
      <c r="J114" s="34"/>
      <c r="K114" s="38"/>
      <c r="L114" s="35"/>
      <c r="M114" s="66"/>
      <c r="N114" s="66"/>
      <c r="O114" s="66"/>
      <c r="P114" s="66"/>
      <c r="Q114" s="66"/>
      <c r="R114" s="67"/>
      <c r="S114" s="67"/>
      <c r="T114" s="67"/>
      <c r="U114" s="66"/>
      <c r="V114" s="66"/>
      <c r="W114" s="66"/>
      <c r="X114" s="85"/>
      <c r="AP114" t="str">
        <v/>
      </c>
    </row>
    <row r="115" spans="4:42" ht="15.75" x14ac:dyDescent="0.25">
      <c r="D115" s="3">
        <v>1</v>
      </c>
      <c r="F115" s="16" t="str" cm="1">
        <f t="array" ref="F1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5" s="31" cm="1">
        <f t="array" ref="G1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5" s="33" t="str">
        <f>_xlfn.IFNA(IF(MOD(HLG_05[[#This Row],[Rit]],
    _xlfn.XLOOKUP($G$2,Int_Sample[Ore],Int_Sample[Inc])) = 0, "YES", "NO"),"")</f>
        <v/>
      </c>
      <c r="I115" s="32" t="str">
        <f>TEXT(HLG_05[[#This Row],[Batch]],"000")&amp; " / " &amp; TEXT(HLG_05[[#This Row],[Rit]],"000")</f>
        <v>N/A / 000</v>
      </c>
      <c r="J115" s="34"/>
      <c r="K115" s="38"/>
      <c r="L115" s="35"/>
      <c r="M115" s="66"/>
      <c r="N115" s="66"/>
      <c r="O115" s="66"/>
      <c r="P115" s="66"/>
      <c r="Q115" s="66"/>
      <c r="R115" s="67"/>
      <c r="S115" s="67"/>
      <c r="T115" s="67"/>
      <c r="U115" s="66"/>
      <c r="V115" s="66"/>
      <c r="W115" s="66"/>
      <c r="X115" s="85"/>
      <c r="AP115" t="str">
        <v/>
      </c>
    </row>
    <row r="116" spans="4:42" ht="15.75" x14ac:dyDescent="0.25">
      <c r="D116" s="3">
        <v>1</v>
      </c>
      <c r="F116" s="16" t="str" cm="1">
        <f t="array" ref="F1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6" s="31" cm="1">
        <f t="array" ref="G1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6" s="33" t="str">
        <f>_xlfn.IFNA(IF(MOD(HLG_05[[#This Row],[Rit]],
    _xlfn.XLOOKUP($G$2,Int_Sample[Ore],Int_Sample[Inc])) = 0, "YES", "NO"),"")</f>
        <v/>
      </c>
      <c r="I116" s="32" t="str">
        <f>TEXT(HLG_05[[#This Row],[Batch]],"000")&amp; " / " &amp; TEXT(HLG_05[[#This Row],[Rit]],"000")</f>
        <v>N/A / 000</v>
      </c>
      <c r="J116" s="34"/>
      <c r="K116" s="38"/>
      <c r="L116" s="35"/>
      <c r="M116" s="66"/>
      <c r="N116" s="66"/>
      <c r="O116" s="66"/>
      <c r="P116" s="66"/>
      <c r="Q116" s="66"/>
      <c r="R116" s="67"/>
      <c r="S116" s="67"/>
      <c r="T116" s="67"/>
      <c r="U116" s="66"/>
      <c r="V116" s="66"/>
      <c r="W116" s="66"/>
      <c r="X116" s="85"/>
      <c r="AP116" t="str">
        <v/>
      </c>
    </row>
    <row r="117" spans="4:42" ht="15.75" x14ac:dyDescent="0.25">
      <c r="D117" s="3">
        <v>1</v>
      </c>
      <c r="F117" s="16" t="str" cm="1">
        <f t="array" ref="F1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7" s="31" cm="1">
        <f t="array" ref="G1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7" s="33" t="str">
        <f>_xlfn.IFNA(IF(MOD(HLG_05[[#This Row],[Rit]],
    _xlfn.XLOOKUP($G$2,Int_Sample[Ore],Int_Sample[Inc])) = 0, "YES", "NO"),"")</f>
        <v/>
      </c>
      <c r="I117" s="32" t="str">
        <f>TEXT(HLG_05[[#This Row],[Batch]],"000")&amp; " / " &amp; TEXT(HLG_05[[#This Row],[Rit]],"000")</f>
        <v>N/A / 000</v>
      </c>
      <c r="J117" s="34"/>
      <c r="K117" s="38"/>
      <c r="L117" s="35"/>
      <c r="M117" s="66"/>
      <c r="N117" s="66"/>
      <c r="O117" s="66"/>
      <c r="P117" s="66"/>
      <c r="Q117" s="66"/>
      <c r="R117" s="67"/>
      <c r="S117" s="67"/>
      <c r="T117" s="67"/>
      <c r="U117" s="66"/>
      <c r="V117" s="66"/>
      <c r="W117" s="66"/>
      <c r="X117" s="85"/>
      <c r="AP117" t="str">
        <v/>
      </c>
    </row>
    <row r="118" spans="4:42" ht="15.75" x14ac:dyDescent="0.25">
      <c r="D118" s="3">
        <v>1</v>
      </c>
      <c r="F118" s="16" t="str" cm="1">
        <f t="array" ref="F1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8" s="31" cm="1">
        <f t="array" ref="G1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8" s="33" t="str">
        <f>_xlfn.IFNA(IF(MOD(HLG_05[[#This Row],[Rit]],
    _xlfn.XLOOKUP($G$2,Int_Sample[Ore],Int_Sample[Inc])) = 0, "YES", "NO"),"")</f>
        <v/>
      </c>
      <c r="I118" s="32" t="str">
        <f>TEXT(HLG_05[[#This Row],[Batch]],"000")&amp; " / " &amp; TEXT(HLG_05[[#This Row],[Rit]],"000")</f>
        <v>N/A / 000</v>
      </c>
      <c r="J118" s="34"/>
      <c r="K118" s="38"/>
      <c r="L118" s="35"/>
      <c r="M118" s="66"/>
      <c r="N118" s="66"/>
      <c r="O118" s="66"/>
      <c r="P118" s="66"/>
      <c r="Q118" s="66"/>
      <c r="R118" s="67"/>
      <c r="S118" s="67"/>
      <c r="T118" s="67"/>
      <c r="U118" s="66"/>
      <c r="V118" s="66"/>
      <c r="W118" s="66"/>
      <c r="X118" s="85"/>
      <c r="AP118" t="str">
        <v/>
      </c>
    </row>
    <row r="119" spans="4:42" ht="15.75" x14ac:dyDescent="0.25">
      <c r="D119" s="3">
        <v>1</v>
      </c>
      <c r="F119" s="16" t="str" cm="1">
        <f t="array" ref="F1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9" s="31" cm="1">
        <f t="array" ref="G1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9" s="33" t="str">
        <f>_xlfn.IFNA(IF(MOD(HLG_05[[#This Row],[Rit]],
    _xlfn.XLOOKUP($G$2,Int_Sample[Ore],Int_Sample[Inc])) = 0, "YES", "NO"),"")</f>
        <v/>
      </c>
      <c r="I119" s="32" t="str">
        <f>TEXT(HLG_05[[#This Row],[Batch]],"000")&amp; " / " &amp; TEXT(HLG_05[[#This Row],[Rit]],"000")</f>
        <v>N/A / 000</v>
      </c>
      <c r="J119" s="34"/>
      <c r="K119" s="38"/>
      <c r="L119" s="35"/>
      <c r="M119" s="66"/>
      <c r="N119" s="66"/>
      <c r="O119" s="66"/>
      <c r="P119" s="66"/>
      <c r="Q119" s="66"/>
      <c r="R119" s="67"/>
      <c r="S119" s="67"/>
      <c r="T119" s="67"/>
      <c r="U119" s="66"/>
      <c r="V119" s="66"/>
      <c r="W119" s="66"/>
      <c r="X119" s="85"/>
      <c r="AP119" t="str">
        <v/>
      </c>
    </row>
    <row r="120" spans="4:42" ht="15.75" x14ac:dyDescent="0.25">
      <c r="D120" s="3">
        <v>1</v>
      </c>
      <c r="F120" s="16" t="str" cm="1">
        <f t="array" ref="F1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0" s="31" cm="1">
        <f t="array" ref="G1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0" s="33" t="str">
        <f>_xlfn.IFNA(IF(MOD(HLG_05[[#This Row],[Rit]],
    _xlfn.XLOOKUP($G$2,Int_Sample[Ore],Int_Sample[Inc])) = 0, "YES", "NO"),"")</f>
        <v/>
      </c>
      <c r="I120" s="32" t="str">
        <f>TEXT(HLG_05[[#This Row],[Batch]],"000")&amp; " / " &amp; TEXT(HLG_05[[#This Row],[Rit]],"000")</f>
        <v>N/A / 000</v>
      </c>
      <c r="J120" s="34"/>
      <c r="K120" s="38"/>
      <c r="L120" s="35"/>
      <c r="M120" s="66"/>
      <c r="N120" s="66"/>
      <c r="O120" s="66"/>
      <c r="P120" s="66"/>
      <c r="Q120" s="66"/>
      <c r="R120" s="67"/>
      <c r="S120" s="67"/>
      <c r="T120" s="67"/>
      <c r="U120" s="66"/>
      <c r="V120" s="66"/>
      <c r="W120" s="66"/>
      <c r="X120" s="85"/>
      <c r="AP120" t="str">
        <v/>
      </c>
    </row>
    <row r="121" spans="4:42" ht="15.75" x14ac:dyDescent="0.25">
      <c r="D121" s="3">
        <v>1</v>
      </c>
      <c r="F121" s="16" t="str" cm="1">
        <f t="array" ref="F1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1" s="31" cm="1">
        <f t="array" ref="G1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1" s="33" t="str">
        <f>_xlfn.IFNA(IF(MOD(HLG_05[[#This Row],[Rit]],
    _xlfn.XLOOKUP($G$2,Int_Sample[Ore],Int_Sample[Inc])) = 0, "YES", "NO"),"")</f>
        <v/>
      </c>
      <c r="I121" s="32" t="str">
        <f>TEXT(HLG_05[[#This Row],[Batch]],"000")&amp; " / " &amp; TEXT(HLG_05[[#This Row],[Rit]],"000")</f>
        <v>N/A / 000</v>
      </c>
      <c r="J121" s="34"/>
      <c r="K121" s="38"/>
      <c r="L121" s="35"/>
      <c r="M121" s="66"/>
      <c r="N121" s="66"/>
      <c r="O121" s="66"/>
      <c r="P121" s="66"/>
      <c r="Q121" s="66"/>
      <c r="R121" s="67"/>
      <c r="S121" s="67"/>
      <c r="T121" s="67"/>
      <c r="U121" s="66"/>
      <c r="V121" s="66"/>
      <c r="W121" s="66"/>
      <c r="X121" s="85"/>
      <c r="AP121" t="str">
        <v/>
      </c>
    </row>
    <row r="122" spans="4:42" ht="15.75" x14ac:dyDescent="0.25">
      <c r="D122" s="3">
        <v>1</v>
      </c>
      <c r="F122" s="16" t="str" cm="1">
        <f t="array" ref="F1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2" s="31" cm="1">
        <f t="array" ref="G1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2" s="33" t="str">
        <f>_xlfn.IFNA(IF(MOD(HLG_05[[#This Row],[Rit]],
    _xlfn.XLOOKUP($G$2,Int_Sample[Ore],Int_Sample[Inc])) = 0, "YES", "NO"),"")</f>
        <v/>
      </c>
      <c r="I122" s="32" t="str">
        <f>TEXT(HLG_05[[#This Row],[Batch]],"000")&amp; " / " &amp; TEXT(HLG_05[[#This Row],[Rit]],"000")</f>
        <v>N/A / 000</v>
      </c>
      <c r="J122" s="34"/>
      <c r="K122" s="38"/>
      <c r="L122" s="35"/>
      <c r="M122" s="66"/>
      <c r="N122" s="66"/>
      <c r="O122" s="66"/>
      <c r="P122" s="66"/>
      <c r="Q122" s="66"/>
      <c r="R122" s="67"/>
      <c r="S122" s="67"/>
      <c r="T122" s="67"/>
      <c r="U122" s="66"/>
      <c r="V122" s="66"/>
      <c r="W122" s="66"/>
      <c r="X122" s="85"/>
      <c r="AP122" t="str">
        <v/>
      </c>
    </row>
    <row r="123" spans="4:42" ht="15.75" x14ac:dyDescent="0.25">
      <c r="D123" s="3">
        <v>1</v>
      </c>
      <c r="F123" s="16" t="str" cm="1">
        <f t="array" ref="F1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3" s="31" cm="1">
        <f t="array" ref="G1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3" s="33" t="str">
        <f>_xlfn.IFNA(IF(MOD(HLG_05[[#This Row],[Rit]],
    _xlfn.XLOOKUP($G$2,Int_Sample[Ore],Int_Sample[Inc])) = 0, "YES", "NO"),"")</f>
        <v/>
      </c>
      <c r="I123" s="32" t="str">
        <f>TEXT(HLG_05[[#This Row],[Batch]],"000")&amp; " / " &amp; TEXT(HLG_05[[#This Row],[Rit]],"000")</f>
        <v>N/A / 000</v>
      </c>
      <c r="J123" s="34"/>
      <c r="K123" s="38"/>
      <c r="L123" s="35"/>
      <c r="M123" s="66"/>
      <c r="N123" s="66"/>
      <c r="O123" s="66"/>
      <c r="P123" s="66"/>
      <c r="Q123" s="66"/>
      <c r="R123" s="67"/>
      <c r="S123" s="67"/>
      <c r="T123" s="67"/>
      <c r="U123" s="66"/>
      <c r="V123" s="66"/>
      <c r="W123" s="66"/>
      <c r="X123" s="85"/>
      <c r="AP123" t="str">
        <v/>
      </c>
    </row>
    <row r="124" spans="4:42" ht="15.75" x14ac:dyDescent="0.25">
      <c r="D124" s="3">
        <v>1</v>
      </c>
      <c r="F124" s="16" t="str" cm="1">
        <f t="array" ref="F1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4" s="31" cm="1">
        <f t="array" ref="G1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4" s="33" t="str">
        <f>_xlfn.IFNA(IF(MOD(HLG_05[[#This Row],[Rit]],
    _xlfn.XLOOKUP($G$2,Int_Sample[Ore],Int_Sample[Inc])) = 0, "YES", "NO"),"")</f>
        <v/>
      </c>
      <c r="I124" s="32" t="str">
        <f>TEXT(HLG_05[[#This Row],[Batch]],"000")&amp; " / " &amp; TEXT(HLG_05[[#This Row],[Rit]],"000")</f>
        <v>N/A / 000</v>
      </c>
      <c r="J124" s="34"/>
      <c r="K124" s="38"/>
      <c r="L124" s="35"/>
      <c r="M124" s="66"/>
      <c r="N124" s="66"/>
      <c r="O124" s="66"/>
      <c r="P124" s="66"/>
      <c r="Q124" s="66"/>
      <c r="R124" s="67"/>
      <c r="S124" s="67"/>
      <c r="T124" s="67"/>
      <c r="U124" s="66"/>
      <c r="V124" s="66"/>
      <c r="W124" s="66"/>
      <c r="X124" s="85"/>
      <c r="AP124" t="str">
        <v/>
      </c>
    </row>
    <row r="125" spans="4:42" ht="15.75" x14ac:dyDescent="0.25">
      <c r="D125" s="3">
        <v>1</v>
      </c>
      <c r="F125" s="16" t="str" cm="1">
        <f t="array" ref="F1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5" s="31" cm="1">
        <f t="array" ref="G1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5" s="33" t="str">
        <f>_xlfn.IFNA(IF(MOD(HLG_05[[#This Row],[Rit]],
    _xlfn.XLOOKUP($G$2,Int_Sample[Ore],Int_Sample[Inc])) = 0, "YES", "NO"),"")</f>
        <v/>
      </c>
      <c r="I125" s="32" t="str">
        <f>TEXT(HLG_05[[#This Row],[Batch]],"000")&amp; " / " &amp; TEXT(HLG_05[[#This Row],[Rit]],"000")</f>
        <v>N/A / 000</v>
      </c>
      <c r="J125" s="34"/>
      <c r="K125" s="38"/>
      <c r="L125" s="35"/>
      <c r="M125" s="66"/>
      <c r="N125" s="66"/>
      <c r="O125" s="66"/>
      <c r="P125" s="66"/>
      <c r="Q125" s="66"/>
      <c r="R125" s="67"/>
      <c r="S125" s="67"/>
      <c r="T125" s="67"/>
      <c r="U125" s="66"/>
      <c r="V125" s="66"/>
      <c r="W125" s="66"/>
      <c r="X125" s="85"/>
      <c r="AP125" t="str">
        <v/>
      </c>
    </row>
    <row r="126" spans="4:42" ht="15.75" x14ac:dyDescent="0.25">
      <c r="D126" s="3">
        <v>1</v>
      </c>
      <c r="F126" s="16" t="str" cm="1">
        <f t="array" ref="F1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6" s="31" cm="1">
        <f t="array" ref="G1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6" s="33" t="str">
        <f>_xlfn.IFNA(IF(MOD(HLG_05[[#This Row],[Rit]],
    _xlfn.XLOOKUP($G$2,Int_Sample[Ore],Int_Sample[Inc])) = 0, "YES", "NO"),"")</f>
        <v/>
      </c>
      <c r="I126" s="32" t="str">
        <f>TEXT(HLG_05[[#This Row],[Batch]],"000")&amp; " / " &amp; TEXT(HLG_05[[#This Row],[Rit]],"000")</f>
        <v>N/A / 000</v>
      </c>
      <c r="J126" s="34"/>
      <c r="K126" s="38"/>
      <c r="L126" s="35"/>
      <c r="M126" s="66"/>
      <c r="N126" s="66"/>
      <c r="O126" s="66"/>
      <c r="P126" s="66"/>
      <c r="Q126" s="66"/>
      <c r="R126" s="67"/>
      <c r="S126" s="67"/>
      <c r="T126" s="67"/>
      <c r="U126" s="66"/>
      <c r="V126" s="66"/>
      <c r="W126" s="66"/>
      <c r="X126" s="85"/>
      <c r="AP126" t="str">
        <v/>
      </c>
    </row>
    <row r="127" spans="4:42" ht="15.75" x14ac:dyDescent="0.25">
      <c r="D127" s="3">
        <v>1</v>
      </c>
      <c r="F127" s="16" t="str" cm="1">
        <f t="array" ref="F1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7" s="31" cm="1">
        <f t="array" ref="G1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7" s="33" t="str">
        <f>_xlfn.IFNA(IF(MOD(HLG_05[[#This Row],[Rit]],
    _xlfn.XLOOKUP($G$2,Int_Sample[Ore],Int_Sample[Inc])) = 0, "YES", "NO"),"")</f>
        <v/>
      </c>
      <c r="I127" s="32" t="str">
        <f>TEXT(HLG_05[[#This Row],[Batch]],"000")&amp; " / " &amp; TEXT(HLG_05[[#This Row],[Rit]],"000")</f>
        <v>N/A / 000</v>
      </c>
      <c r="J127" s="34"/>
      <c r="K127" s="38"/>
      <c r="L127" s="35"/>
      <c r="M127" s="66"/>
      <c r="N127" s="66"/>
      <c r="O127" s="66"/>
      <c r="P127" s="66"/>
      <c r="Q127" s="66"/>
      <c r="R127" s="67"/>
      <c r="S127" s="67"/>
      <c r="T127" s="67"/>
      <c r="U127" s="66"/>
      <c r="V127" s="66"/>
      <c r="W127" s="66"/>
      <c r="X127" s="85"/>
      <c r="AP127" t="str">
        <v/>
      </c>
    </row>
    <row r="128" spans="4:42" ht="15.75" x14ac:dyDescent="0.25">
      <c r="D128" s="3">
        <v>1</v>
      </c>
      <c r="F128" s="16" t="str" cm="1">
        <f t="array" ref="F1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8" s="31" cm="1">
        <f t="array" ref="G1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8" s="33" t="str">
        <f>_xlfn.IFNA(IF(MOD(HLG_05[[#This Row],[Rit]],
    _xlfn.XLOOKUP($G$2,Int_Sample[Ore],Int_Sample[Inc])) = 0, "YES", "NO"),"")</f>
        <v/>
      </c>
      <c r="I128" s="32" t="str">
        <f>TEXT(HLG_05[[#This Row],[Batch]],"000")&amp; " / " &amp; TEXT(HLG_05[[#This Row],[Rit]],"000")</f>
        <v>N/A / 000</v>
      </c>
      <c r="J128" s="34"/>
      <c r="K128" s="38"/>
      <c r="L128" s="35"/>
      <c r="M128" s="66"/>
      <c r="N128" s="66"/>
      <c r="O128" s="66"/>
      <c r="P128" s="66"/>
      <c r="Q128" s="66"/>
      <c r="R128" s="67"/>
      <c r="S128" s="67"/>
      <c r="T128" s="67"/>
      <c r="U128" s="66"/>
      <c r="V128" s="66"/>
      <c r="W128" s="66"/>
      <c r="X128" s="85"/>
      <c r="AP128" t="str">
        <v/>
      </c>
    </row>
    <row r="129" spans="4:42" ht="15.75" x14ac:dyDescent="0.25">
      <c r="D129" s="3">
        <v>1</v>
      </c>
      <c r="F129" s="16" t="str" cm="1">
        <f t="array" ref="F1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9" s="31" cm="1">
        <f t="array" ref="G1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9" s="33" t="str">
        <f>_xlfn.IFNA(IF(MOD(HLG_05[[#This Row],[Rit]],
    _xlfn.XLOOKUP($G$2,Int_Sample[Ore],Int_Sample[Inc])) = 0, "YES", "NO"),"")</f>
        <v/>
      </c>
      <c r="I129" s="32" t="str">
        <f>TEXT(HLG_05[[#This Row],[Batch]],"000")&amp; " / " &amp; TEXT(HLG_05[[#This Row],[Rit]],"000")</f>
        <v>N/A / 000</v>
      </c>
      <c r="J129" s="34"/>
      <c r="K129" s="38"/>
      <c r="L129" s="35"/>
      <c r="M129" s="66"/>
      <c r="N129" s="66"/>
      <c r="O129" s="66"/>
      <c r="P129" s="66"/>
      <c r="Q129" s="66"/>
      <c r="R129" s="67"/>
      <c r="S129" s="67"/>
      <c r="T129" s="67"/>
      <c r="U129" s="66"/>
      <c r="V129" s="66"/>
      <c r="W129" s="66"/>
      <c r="X129" s="85"/>
      <c r="AP129" t="str">
        <v/>
      </c>
    </row>
    <row r="130" spans="4:42" ht="15.75" x14ac:dyDescent="0.25">
      <c r="D130" s="3">
        <v>1</v>
      </c>
      <c r="F130" s="16" t="str" cm="1">
        <f t="array" ref="F1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0" s="31" cm="1">
        <f t="array" ref="G1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0" s="33" t="str">
        <f>_xlfn.IFNA(IF(MOD(HLG_05[[#This Row],[Rit]],
    _xlfn.XLOOKUP($G$2,Int_Sample[Ore],Int_Sample[Inc])) = 0, "YES", "NO"),"")</f>
        <v/>
      </c>
      <c r="I130" s="32" t="str">
        <f>TEXT(HLG_05[[#This Row],[Batch]],"000")&amp; " / " &amp; TEXT(HLG_05[[#This Row],[Rit]],"000")</f>
        <v>N/A / 000</v>
      </c>
      <c r="J130" s="34"/>
      <c r="K130" s="38"/>
      <c r="L130" s="35"/>
      <c r="M130" s="66"/>
      <c r="N130" s="66"/>
      <c r="O130" s="66"/>
      <c r="P130" s="66"/>
      <c r="Q130" s="66"/>
      <c r="R130" s="67"/>
      <c r="S130" s="67"/>
      <c r="T130" s="67"/>
      <c r="U130" s="66"/>
      <c r="V130" s="66"/>
      <c r="W130" s="66"/>
      <c r="X130" s="85"/>
      <c r="AP130" t="str">
        <v/>
      </c>
    </row>
    <row r="131" spans="4:42" ht="15.75" x14ac:dyDescent="0.25">
      <c r="D131" s="3">
        <v>1</v>
      </c>
      <c r="F131" s="16" t="str" cm="1">
        <f t="array" ref="F1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1" s="31" cm="1">
        <f t="array" ref="G1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1" s="33" t="str">
        <f>_xlfn.IFNA(IF(MOD(HLG_05[[#This Row],[Rit]],
    _xlfn.XLOOKUP($G$2,Int_Sample[Ore],Int_Sample[Inc])) = 0, "YES", "NO"),"")</f>
        <v/>
      </c>
      <c r="I131" s="32" t="str">
        <f>TEXT(HLG_05[[#This Row],[Batch]],"000")&amp; " / " &amp; TEXT(HLG_05[[#This Row],[Rit]],"000")</f>
        <v>N/A / 000</v>
      </c>
      <c r="J131" s="34"/>
      <c r="K131" s="38"/>
      <c r="L131" s="35"/>
      <c r="M131" s="66"/>
      <c r="N131" s="66"/>
      <c r="O131" s="66"/>
      <c r="P131" s="66"/>
      <c r="Q131" s="66"/>
      <c r="R131" s="67"/>
      <c r="S131" s="67"/>
      <c r="T131" s="67"/>
      <c r="U131" s="66"/>
      <c r="V131" s="66"/>
      <c r="W131" s="66"/>
      <c r="X131" s="85"/>
      <c r="AP131" t="str">
        <v/>
      </c>
    </row>
    <row r="132" spans="4:42" ht="15.75" x14ac:dyDescent="0.25">
      <c r="D132" s="3">
        <v>1</v>
      </c>
      <c r="F132" s="16" t="str" cm="1">
        <f t="array" ref="F1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2" s="31" cm="1">
        <f t="array" ref="G1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2" s="33" t="str">
        <f>_xlfn.IFNA(IF(MOD(HLG_05[[#This Row],[Rit]],
    _xlfn.XLOOKUP($G$2,Int_Sample[Ore],Int_Sample[Inc])) = 0, "YES", "NO"),"")</f>
        <v/>
      </c>
      <c r="I132" s="32" t="str">
        <f>TEXT(HLG_05[[#This Row],[Batch]],"000")&amp; " / " &amp; TEXT(HLG_05[[#This Row],[Rit]],"000")</f>
        <v>N/A / 000</v>
      </c>
      <c r="J132" s="34"/>
      <c r="K132" s="38"/>
      <c r="L132" s="35"/>
      <c r="M132" s="66"/>
      <c r="N132" s="66"/>
      <c r="O132" s="66"/>
      <c r="P132" s="66"/>
      <c r="Q132" s="66"/>
      <c r="R132" s="67"/>
      <c r="S132" s="67"/>
      <c r="T132" s="67"/>
      <c r="U132" s="66"/>
      <c r="V132" s="66"/>
      <c r="W132" s="66"/>
      <c r="X132" s="85"/>
      <c r="AP132" t="str">
        <v/>
      </c>
    </row>
    <row r="133" spans="4:42" ht="15.75" x14ac:dyDescent="0.25">
      <c r="D133" s="3">
        <v>1</v>
      </c>
      <c r="F133" s="16" t="str" cm="1">
        <f t="array" ref="F1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3" s="31" cm="1">
        <f t="array" ref="G1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3" s="33" t="str">
        <f>_xlfn.IFNA(IF(MOD(HLG_05[[#This Row],[Rit]],
    _xlfn.XLOOKUP($G$2,Int_Sample[Ore],Int_Sample[Inc])) = 0, "YES", "NO"),"")</f>
        <v/>
      </c>
      <c r="I133" s="32" t="str">
        <f>TEXT(HLG_05[[#This Row],[Batch]],"000")&amp; " / " &amp; TEXT(HLG_05[[#This Row],[Rit]],"000")</f>
        <v>N/A / 000</v>
      </c>
      <c r="J133" s="34"/>
      <c r="K133" s="38"/>
      <c r="L133" s="35"/>
      <c r="M133" s="66"/>
      <c r="N133" s="66"/>
      <c r="O133" s="66"/>
      <c r="P133" s="66"/>
      <c r="Q133" s="66"/>
      <c r="R133" s="67"/>
      <c r="S133" s="67"/>
      <c r="T133" s="67"/>
      <c r="U133" s="66"/>
      <c r="V133" s="66"/>
      <c r="W133" s="66"/>
      <c r="X133" s="85"/>
      <c r="AP133" t="str">
        <v/>
      </c>
    </row>
    <row r="134" spans="4:42" ht="15.75" x14ac:dyDescent="0.25">
      <c r="D134" s="3">
        <v>1</v>
      </c>
      <c r="F134" s="16" t="str" cm="1">
        <f t="array" ref="F1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4" s="31" cm="1">
        <f t="array" ref="G1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4" s="33" t="str">
        <f>_xlfn.IFNA(IF(MOD(HLG_05[[#This Row],[Rit]],
    _xlfn.XLOOKUP($G$2,Int_Sample[Ore],Int_Sample[Inc])) = 0, "YES", "NO"),"")</f>
        <v/>
      </c>
      <c r="I134" s="32" t="str">
        <f>TEXT(HLG_05[[#This Row],[Batch]],"000")&amp; " / " &amp; TEXT(HLG_05[[#This Row],[Rit]],"000")</f>
        <v>N/A / 000</v>
      </c>
      <c r="J134" s="34"/>
      <c r="K134" s="38"/>
      <c r="L134" s="35"/>
      <c r="M134" s="66"/>
      <c r="N134" s="66"/>
      <c r="O134" s="66"/>
      <c r="P134" s="66"/>
      <c r="Q134" s="66"/>
      <c r="R134" s="67"/>
      <c r="S134" s="67"/>
      <c r="T134" s="67"/>
      <c r="U134" s="66"/>
      <c r="V134" s="66"/>
      <c r="W134" s="66"/>
      <c r="X134" s="85"/>
      <c r="AP134" t="str">
        <v/>
      </c>
    </row>
    <row r="135" spans="4:42" ht="15.75" x14ac:dyDescent="0.25">
      <c r="D135" s="3">
        <v>1</v>
      </c>
      <c r="F135" s="16" t="str" cm="1">
        <f t="array" ref="F1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5" s="31" cm="1">
        <f t="array" ref="G1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5" s="33" t="str">
        <f>_xlfn.IFNA(IF(MOD(HLG_05[[#This Row],[Rit]],
    _xlfn.XLOOKUP($G$2,Int_Sample[Ore],Int_Sample[Inc])) = 0, "YES", "NO"),"")</f>
        <v/>
      </c>
      <c r="I135" s="32" t="str">
        <f>TEXT(HLG_05[[#This Row],[Batch]],"000")&amp; " / " &amp; TEXT(HLG_05[[#This Row],[Rit]],"000")</f>
        <v>N/A / 000</v>
      </c>
      <c r="J135" s="34"/>
      <c r="K135" s="38"/>
      <c r="L135" s="35"/>
      <c r="M135" s="66"/>
      <c r="N135" s="66"/>
      <c r="O135" s="66"/>
      <c r="P135" s="66"/>
      <c r="Q135" s="66"/>
      <c r="R135" s="67"/>
      <c r="S135" s="67"/>
      <c r="T135" s="67"/>
      <c r="U135" s="66"/>
      <c r="V135" s="66"/>
      <c r="W135" s="66"/>
      <c r="X135" s="85"/>
      <c r="AP135" t="str">
        <v/>
      </c>
    </row>
    <row r="136" spans="4:42" ht="15.75" x14ac:dyDescent="0.25">
      <c r="D136" s="3">
        <v>1</v>
      </c>
      <c r="F136" s="16" t="str" cm="1">
        <f t="array" ref="F1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6" s="31" cm="1">
        <f t="array" ref="G1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6" s="33" t="str">
        <f>_xlfn.IFNA(IF(MOD(HLG_05[[#This Row],[Rit]],
    _xlfn.XLOOKUP($G$2,Int_Sample[Ore],Int_Sample[Inc])) = 0, "YES", "NO"),"")</f>
        <v/>
      </c>
      <c r="I136" s="32" t="str">
        <f>TEXT(HLG_05[[#This Row],[Batch]],"000")&amp; " / " &amp; TEXT(HLG_05[[#This Row],[Rit]],"000")</f>
        <v>N/A / 000</v>
      </c>
      <c r="J136" s="34"/>
      <c r="K136" s="38"/>
      <c r="L136" s="35"/>
      <c r="M136" s="66"/>
      <c r="N136" s="66"/>
      <c r="O136" s="66"/>
      <c r="P136" s="66"/>
      <c r="Q136" s="66"/>
      <c r="R136" s="67"/>
      <c r="S136" s="67"/>
      <c r="T136" s="67"/>
      <c r="U136" s="66"/>
      <c r="V136" s="66"/>
      <c r="W136" s="66"/>
      <c r="X136" s="85"/>
      <c r="AP136" t="str">
        <v/>
      </c>
    </row>
    <row r="137" spans="4:42" ht="15.75" x14ac:dyDescent="0.25">
      <c r="D137" s="3">
        <v>1</v>
      </c>
      <c r="F137" s="16" t="str" cm="1">
        <f t="array" ref="F1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7" s="31" cm="1">
        <f t="array" ref="G1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7" s="33" t="str">
        <f>_xlfn.IFNA(IF(MOD(HLG_05[[#This Row],[Rit]],
    _xlfn.XLOOKUP($G$2,Int_Sample[Ore],Int_Sample[Inc])) = 0, "YES", "NO"),"")</f>
        <v/>
      </c>
      <c r="I137" s="32" t="str">
        <f>TEXT(HLG_05[[#This Row],[Batch]],"000")&amp; " / " &amp; TEXT(HLG_05[[#This Row],[Rit]],"000")</f>
        <v>N/A / 000</v>
      </c>
      <c r="J137" s="34"/>
      <c r="K137" s="38"/>
      <c r="L137" s="35"/>
      <c r="M137" s="66"/>
      <c r="N137" s="66"/>
      <c r="O137" s="66"/>
      <c r="P137" s="66"/>
      <c r="Q137" s="66"/>
      <c r="R137" s="67"/>
      <c r="S137" s="67"/>
      <c r="T137" s="67"/>
      <c r="U137" s="66"/>
      <c r="V137" s="66"/>
      <c r="W137" s="66"/>
      <c r="X137" s="85"/>
      <c r="AP137" t="str">
        <v/>
      </c>
    </row>
    <row r="138" spans="4:42" ht="15.75" x14ac:dyDescent="0.25">
      <c r="D138" s="3">
        <v>1</v>
      </c>
      <c r="F138" s="16" t="str" cm="1">
        <f t="array" ref="F1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8" s="31" cm="1">
        <f t="array" ref="G1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8" s="33" t="str">
        <f>_xlfn.IFNA(IF(MOD(HLG_05[[#This Row],[Rit]],
    _xlfn.XLOOKUP($G$2,Int_Sample[Ore],Int_Sample[Inc])) = 0, "YES", "NO"),"")</f>
        <v/>
      </c>
      <c r="I138" s="32" t="str">
        <f>TEXT(HLG_05[[#This Row],[Batch]],"000")&amp; " / " &amp; TEXT(HLG_05[[#This Row],[Rit]],"000")</f>
        <v>N/A / 000</v>
      </c>
      <c r="J138" s="34"/>
      <c r="K138" s="38"/>
      <c r="L138" s="35"/>
      <c r="M138" s="66"/>
      <c r="N138" s="66"/>
      <c r="O138" s="66"/>
      <c r="P138" s="66"/>
      <c r="Q138" s="66"/>
      <c r="R138" s="67"/>
      <c r="S138" s="67"/>
      <c r="T138" s="67"/>
      <c r="U138" s="66"/>
      <c r="V138" s="66"/>
      <c r="W138" s="66"/>
      <c r="X138" s="85"/>
      <c r="AP138" t="str">
        <v/>
      </c>
    </row>
    <row r="139" spans="4:42" ht="15.75" x14ac:dyDescent="0.25">
      <c r="D139" s="3">
        <v>1</v>
      </c>
      <c r="F139" s="16" t="str" cm="1">
        <f t="array" ref="F1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9" s="31" cm="1">
        <f t="array" ref="G1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9" s="33" t="str">
        <f>_xlfn.IFNA(IF(MOD(HLG_05[[#This Row],[Rit]],
    _xlfn.XLOOKUP($G$2,Int_Sample[Ore],Int_Sample[Inc])) = 0, "YES", "NO"),"")</f>
        <v/>
      </c>
      <c r="I139" s="32" t="str">
        <f>TEXT(HLG_05[[#This Row],[Batch]],"000")&amp; " / " &amp; TEXT(HLG_05[[#This Row],[Rit]],"000")</f>
        <v>N/A / 000</v>
      </c>
      <c r="J139" s="34"/>
      <c r="K139" s="38"/>
      <c r="L139" s="35"/>
      <c r="M139" s="66"/>
      <c r="N139" s="66"/>
      <c r="O139" s="66"/>
      <c r="P139" s="66"/>
      <c r="Q139" s="66"/>
      <c r="R139" s="67"/>
      <c r="S139" s="67"/>
      <c r="T139" s="67"/>
      <c r="U139" s="66"/>
      <c r="V139" s="66"/>
      <c r="W139" s="66"/>
      <c r="X139" s="85"/>
      <c r="AP139" t="str">
        <v/>
      </c>
    </row>
    <row r="140" spans="4:42" ht="15.75" x14ac:dyDescent="0.25">
      <c r="D140" s="3">
        <v>1</v>
      </c>
      <c r="F140" s="16" t="str" cm="1">
        <f t="array" ref="F1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0" s="31" cm="1">
        <f t="array" ref="G1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0" s="33" t="str">
        <f>_xlfn.IFNA(IF(MOD(HLG_05[[#This Row],[Rit]],
    _xlfn.XLOOKUP($G$2,Int_Sample[Ore],Int_Sample[Inc])) = 0, "YES", "NO"),"")</f>
        <v/>
      </c>
      <c r="I140" s="32" t="str">
        <f>TEXT(HLG_05[[#This Row],[Batch]],"000")&amp; " / " &amp; TEXT(HLG_05[[#This Row],[Rit]],"000")</f>
        <v>N/A / 000</v>
      </c>
      <c r="J140" s="34"/>
      <c r="K140" s="38"/>
      <c r="L140" s="35"/>
      <c r="M140" s="66"/>
      <c r="N140" s="66"/>
      <c r="O140" s="66"/>
      <c r="P140" s="66"/>
      <c r="Q140" s="66"/>
      <c r="R140" s="67"/>
      <c r="S140" s="67"/>
      <c r="T140" s="67"/>
      <c r="U140" s="66"/>
      <c r="V140" s="66"/>
      <c r="W140" s="66"/>
      <c r="X140" s="85"/>
      <c r="AP140" t="str">
        <v/>
      </c>
    </row>
    <row r="141" spans="4:42" ht="15.75" x14ac:dyDescent="0.25">
      <c r="D141" s="3">
        <v>1</v>
      </c>
      <c r="F141" s="16" t="str" cm="1">
        <f t="array" ref="F1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1" s="31" cm="1">
        <f t="array" ref="G1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1" s="33" t="str">
        <f>_xlfn.IFNA(IF(MOD(HLG_05[[#This Row],[Rit]],
    _xlfn.XLOOKUP($G$2,Int_Sample[Ore],Int_Sample[Inc])) = 0, "YES", "NO"),"")</f>
        <v/>
      </c>
      <c r="I141" s="32" t="str">
        <f>TEXT(HLG_05[[#This Row],[Batch]],"000")&amp; " / " &amp; TEXT(HLG_05[[#This Row],[Rit]],"000")</f>
        <v>N/A / 000</v>
      </c>
      <c r="J141" s="34"/>
      <c r="K141" s="38"/>
      <c r="L141" s="35"/>
      <c r="M141" s="66"/>
      <c r="N141" s="66"/>
      <c r="O141" s="66"/>
      <c r="P141" s="66"/>
      <c r="Q141" s="66"/>
      <c r="R141" s="67"/>
      <c r="S141" s="67"/>
      <c r="T141" s="67"/>
      <c r="U141" s="66"/>
      <c r="V141" s="66"/>
      <c r="W141" s="66"/>
      <c r="X141" s="85"/>
      <c r="AP141" t="str">
        <v/>
      </c>
    </row>
    <row r="142" spans="4:42" ht="15.75" x14ac:dyDescent="0.25">
      <c r="D142" s="3">
        <v>1</v>
      </c>
      <c r="F142" s="16" t="str" cm="1">
        <f t="array" ref="F1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2" s="31" cm="1">
        <f t="array" ref="G1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2" s="33" t="str">
        <f>_xlfn.IFNA(IF(MOD(HLG_05[[#This Row],[Rit]],
    _xlfn.XLOOKUP($G$2,Int_Sample[Ore],Int_Sample[Inc])) = 0, "YES", "NO"),"")</f>
        <v/>
      </c>
      <c r="I142" s="32" t="str">
        <f>TEXT(HLG_05[[#This Row],[Batch]],"000")&amp; " / " &amp; TEXT(HLG_05[[#This Row],[Rit]],"000")</f>
        <v>N/A / 000</v>
      </c>
      <c r="J142" s="34"/>
      <c r="K142" s="38"/>
      <c r="L142" s="35"/>
      <c r="M142" s="66"/>
      <c r="N142" s="66"/>
      <c r="O142" s="66"/>
      <c r="P142" s="66"/>
      <c r="Q142" s="66"/>
      <c r="R142" s="67"/>
      <c r="S142" s="67"/>
      <c r="T142" s="67"/>
      <c r="U142" s="66"/>
      <c r="V142" s="66"/>
      <c r="W142" s="66"/>
      <c r="X142" s="85"/>
      <c r="AP142" t="str">
        <v/>
      </c>
    </row>
    <row r="143" spans="4:42" ht="15.75" x14ac:dyDescent="0.25">
      <c r="D143" s="3">
        <v>1</v>
      </c>
      <c r="F143" s="16" t="str" cm="1">
        <f t="array" ref="F1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3" s="31" cm="1">
        <f t="array" ref="G1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3" s="33" t="str">
        <f>_xlfn.IFNA(IF(MOD(HLG_05[[#This Row],[Rit]],
    _xlfn.XLOOKUP($G$2,Int_Sample[Ore],Int_Sample[Inc])) = 0, "YES", "NO"),"")</f>
        <v/>
      </c>
      <c r="I143" s="32" t="str">
        <f>TEXT(HLG_05[[#This Row],[Batch]],"000")&amp; " / " &amp; TEXT(HLG_05[[#This Row],[Rit]],"000")</f>
        <v>N/A / 000</v>
      </c>
      <c r="J143" s="34"/>
      <c r="K143" s="38"/>
      <c r="L143" s="35"/>
      <c r="M143" s="66"/>
      <c r="N143" s="66"/>
      <c r="O143" s="66"/>
      <c r="P143" s="66"/>
      <c r="Q143" s="66"/>
      <c r="R143" s="67"/>
      <c r="S143" s="67"/>
      <c r="T143" s="67"/>
      <c r="U143" s="66"/>
      <c r="V143" s="66"/>
      <c r="W143" s="66"/>
      <c r="X143" s="85"/>
      <c r="AP143" t="str">
        <v/>
      </c>
    </row>
    <row r="144" spans="4:42" ht="15.75" x14ac:dyDescent="0.25">
      <c r="D144" s="3">
        <v>1</v>
      </c>
      <c r="F144" s="16" t="str" cm="1">
        <f t="array" ref="F1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4" s="31" cm="1">
        <f t="array" ref="G1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4" s="33" t="str">
        <f>_xlfn.IFNA(IF(MOD(HLG_05[[#This Row],[Rit]],
    _xlfn.XLOOKUP($G$2,Int_Sample[Ore],Int_Sample[Inc])) = 0, "YES", "NO"),"")</f>
        <v/>
      </c>
      <c r="I144" s="32" t="str">
        <f>TEXT(HLG_05[[#This Row],[Batch]],"000")&amp; " / " &amp; TEXT(HLG_05[[#This Row],[Rit]],"000")</f>
        <v>N/A / 000</v>
      </c>
      <c r="J144" s="34"/>
      <c r="K144" s="38"/>
      <c r="L144" s="35"/>
      <c r="M144" s="66"/>
      <c r="N144" s="66"/>
      <c r="O144" s="66"/>
      <c r="P144" s="66"/>
      <c r="Q144" s="66"/>
      <c r="R144" s="67"/>
      <c r="S144" s="67"/>
      <c r="T144" s="67"/>
      <c r="U144" s="66"/>
      <c r="V144" s="66"/>
      <c r="W144" s="66"/>
      <c r="X144" s="85"/>
      <c r="AP144" t="str">
        <v/>
      </c>
    </row>
    <row r="145" spans="4:42" ht="15.75" x14ac:dyDescent="0.25">
      <c r="D145" s="3">
        <v>1</v>
      </c>
      <c r="F145" s="16" t="str" cm="1">
        <f t="array" ref="F1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5" s="31" cm="1">
        <f t="array" ref="G1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5" s="33" t="str">
        <f>_xlfn.IFNA(IF(MOD(HLG_05[[#This Row],[Rit]],
    _xlfn.XLOOKUP($G$2,Int_Sample[Ore],Int_Sample[Inc])) = 0, "YES", "NO"),"")</f>
        <v/>
      </c>
      <c r="I145" s="32" t="str">
        <f>TEXT(HLG_05[[#This Row],[Batch]],"000")&amp; " / " &amp; TEXT(HLG_05[[#This Row],[Rit]],"000")</f>
        <v>N/A / 000</v>
      </c>
      <c r="J145" s="34"/>
      <c r="K145" s="38"/>
      <c r="L145" s="35"/>
      <c r="M145" s="66"/>
      <c r="N145" s="66"/>
      <c r="O145" s="66"/>
      <c r="P145" s="66"/>
      <c r="Q145" s="66"/>
      <c r="R145" s="67"/>
      <c r="S145" s="67"/>
      <c r="T145" s="67"/>
      <c r="U145" s="66"/>
      <c r="V145" s="66"/>
      <c r="W145" s="66"/>
      <c r="X145" s="85"/>
      <c r="AP145" t="str">
        <v/>
      </c>
    </row>
    <row r="146" spans="4:42" ht="15.75" x14ac:dyDescent="0.25">
      <c r="D146" s="3">
        <v>1</v>
      </c>
      <c r="F146" s="16" t="str" cm="1">
        <f t="array" ref="F1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6" s="31" cm="1">
        <f t="array" ref="G1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6" s="33" t="str">
        <f>_xlfn.IFNA(IF(MOD(HLG_05[[#This Row],[Rit]],
    _xlfn.XLOOKUP($G$2,Int_Sample[Ore],Int_Sample[Inc])) = 0, "YES", "NO"),"")</f>
        <v/>
      </c>
      <c r="I146" s="32" t="str">
        <f>TEXT(HLG_05[[#This Row],[Batch]],"000")&amp; " / " &amp; TEXT(HLG_05[[#This Row],[Rit]],"000")</f>
        <v>N/A / 000</v>
      </c>
      <c r="J146" s="34"/>
      <c r="K146" s="38"/>
      <c r="L146" s="35"/>
      <c r="M146" s="66"/>
      <c r="N146" s="66"/>
      <c r="O146" s="66"/>
      <c r="P146" s="66"/>
      <c r="Q146" s="66"/>
      <c r="R146" s="67"/>
      <c r="S146" s="67"/>
      <c r="T146" s="67"/>
      <c r="U146" s="66"/>
      <c r="V146" s="66"/>
      <c r="W146" s="66"/>
      <c r="X146" s="85"/>
      <c r="AP146" t="str">
        <v/>
      </c>
    </row>
    <row r="147" spans="4:42" ht="15.75" x14ac:dyDescent="0.25">
      <c r="D147" s="3">
        <v>1</v>
      </c>
      <c r="F147" s="16" t="str" cm="1">
        <f t="array" ref="F1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7" s="31" cm="1">
        <f t="array" ref="G1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7" s="33" t="str">
        <f>_xlfn.IFNA(IF(MOD(HLG_05[[#This Row],[Rit]],
    _xlfn.XLOOKUP($G$2,Int_Sample[Ore],Int_Sample[Inc])) = 0, "YES", "NO"),"")</f>
        <v/>
      </c>
      <c r="I147" s="32" t="str">
        <f>TEXT(HLG_05[[#This Row],[Batch]],"000")&amp; " / " &amp; TEXT(HLG_05[[#This Row],[Rit]],"000")</f>
        <v>N/A / 000</v>
      </c>
      <c r="J147" s="34"/>
      <c r="K147" s="38"/>
      <c r="L147" s="35"/>
      <c r="M147" s="66"/>
      <c r="N147" s="66"/>
      <c r="O147" s="66"/>
      <c r="P147" s="66"/>
      <c r="Q147" s="66"/>
      <c r="R147" s="67"/>
      <c r="S147" s="67"/>
      <c r="T147" s="67"/>
      <c r="U147" s="66"/>
      <c r="V147" s="66"/>
      <c r="W147" s="66"/>
      <c r="X147" s="85"/>
      <c r="AP147" t="str">
        <v/>
      </c>
    </row>
    <row r="148" spans="4:42" ht="15.75" x14ac:dyDescent="0.25">
      <c r="D148" s="3">
        <v>1</v>
      </c>
      <c r="F148" s="16" t="str" cm="1">
        <f t="array" ref="F1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8" s="31" cm="1">
        <f t="array" ref="G1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8" s="33" t="str">
        <f>_xlfn.IFNA(IF(MOD(HLG_05[[#This Row],[Rit]],
    _xlfn.XLOOKUP($G$2,Int_Sample[Ore],Int_Sample[Inc])) = 0, "YES", "NO"),"")</f>
        <v/>
      </c>
      <c r="I148" s="32" t="str">
        <f>TEXT(HLG_05[[#This Row],[Batch]],"000")&amp; " / " &amp; TEXT(HLG_05[[#This Row],[Rit]],"000")</f>
        <v>N/A / 000</v>
      </c>
      <c r="J148" s="34"/>
      <c r="K148" s="38"/>
      <c r="L148" s="35"/>
      <c r="M148" s="66"/>
      <c r="N148" s="66"/>
      <c r="O148" s="66"/>
      <c r="P148" s="66"/>
      <c r="Q148" s="66"/>
      <c r="R148" s="67"/>
      <c r="S148" s="67"/>
      <c r="T148" s="67"/>
      <c r="U148" s="66"/>
      <c r="V148" s="66"/>
      <c r="W148" s="66"/>
      <c r="X148" s="85"/>
      <c r="AP148" t="str">
        <v/>
      </c>
    </row>
    <row r="149" spans="4:42" ht="15.75" x14ac:dyDescent="0.25">
      <c r="D149" s="3">
        <v>1</v>
      </c>
      <c r="F149" s="16" t="str" cm="1">
        <f t="array" ref="F1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9" s="31" cm="1">
        <f t="array" ref="G1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9" s="33" t="str">
        <f>_xlfn.IFNA(IF(MOD(HLG_05[[#This Row],[Rit]],
    _xlfn.XLOOKUP($G$2,Int_Sample[Ore],Int_Sample[Inc])) = 0, "YES", "NO"),"")</f>
        <v/>
      </c>
      <c r="I149" s="32" t="str">
        <f>TEXT(HLG_05[[#This Row],[Batch]],"000")&amp; " / " &amp; TEXT(HLG_05[[#This Row],[Rit]],"000")</f>
        <v>N/A / 000</v>
      </c>
      <c r="J149" s="34"/>
      <c r="K149" s="38"/>
      <c r="L149" s="35"/>
      <c r="M149" s="66"/>
      <c r="N149" s="66"/>
      <c r="O149" s="66"/>
      <c r="P149" s="66"/>
      <c r="Q149" s="66"/>
      <c r="R149" s="67"/>
      <c r="S149" s="67"/>
      <c r="T149" s="67"/>
      <c r="U149" s="66"/>
      <c r="V149" s="66"/>
      <c r="W149" s="66"/>
      <c r="X149" s="85"/>
      <c r="AP149" t="str">
        <v/>
      </c>
    </row>
    <row r="150" spans="4:42" ht="15.75" x14ac:dyDescent="0.25">
      <c r="D150" s="3">
        <v>1</v>
      </c>
      <c r="F150" s="16" t="str" cm="1">
        <f t="array" ref="F1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0" s="31" cm="1">
        <f t="array" ref="G1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0" s="33" t="str">
        <f>_xlfn.IFNA(IF(MOD(HLG_05[[#This Row],[Rit]],
    _xlfn.XLOOKUP($G$2,Int_Sample[Ore],Int_Sample[Inc])) = 0, "YES", "NO"),"")</f>
        <v/>
      </c>
      <c r="I150" s="32" t="str">
        <f>TEXT(HLG_05[[#This Row],[Batch]],"000")&amp; " / " &amp; TEXT(HLG_05[[#This Row],[Rit]],"000")</f>
        <v>N/A / 000</v>
      </c>
      <c r="J150" s="34"/>
      <c r="K150" s="38"/>
      <c r="L150" s="35"/>
      <c r="M150" s="66"/>
      <c r="N150" s="66"/>
      <c r="O150" s="66"/>
      <c r="P150" s="66"/>
      <c r="Q150" s="66"/>
      <c r="R150" s="67"/>
      <c r="S150" s="67"/>
      <c r="T150" s="67"/>
      <c r="U150" s="66"/>
      <c r="V150" s="66"/>
      <c r="W150" s="66"/>
      <c r="X150" s="85"/>
      <c r="AP150" t="str">
        <v/>
      </c>
    </row>
    <row r="151" spans="4:42" ht="15.75" x14ac:dyDescent="0.25">
      <c r="D151" s="3">
        <v>1</v>
      </c>
      <c r="F151" s="16" t="str" cm="1">
        <f t="array" ref="F1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1" s="31" cm="1">
        <f t="array" ref="G1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1" s="33" t="str">
        <f>_xlfn.IFNA(IF(MOD(HLG_05[[#This Row],[Rit]],
    _xlfn.XLOOKUP($G$2,Int_Sample[Ore],Int_Sample[Inc])) = 0, "YES", "NO"),"")</f>
        <v/>
      </c>
      <c r="I151" s="32" t="str">
        <f>TEXT(HLG_05[[#This Row],[Batch]],"000")&amp; " / " &amp; TEXT(HLG_05[[#This Row],[Rit]],"000")</f>
        <v>N/A / 000</v>
      </c>
      <c r="J151" s="34"/>
      <c r="K151" s="38"/>
      <c r="L151" s="35"/>
      <c r="M151" s="66"/>
      <c r="N151" s="66"/>
      <c r="O151" s="66"/>
      <c r="P151" s="66"/>
      <c r="Q151" s="66"/>
      <c r="R151" s="67"/>
      <c r="S151" s="67"/>
      <c r="T151" s="67"/>
      <c r="U151" s="66"/>
      <c r="V151" s="66"/>
      <c r="W151" s="66"/>
      <c r="X151" s="85"/>
      <c r="AP151" t="str">
        <v/>
      </c>
    </row>
    <row r="152" spans="4:42" ht="15.75" x14ac:dyDescent="0.25">
      <c r="D152" s="3">
        <v>1</v>
      </c>
      <c r="F152" s="16" t="str" cm="1">
        <f t="array" ref="F1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2" s="31" cm="1">
        <f t="array" ref="G1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2" s="33" t="str">
        <f>_xlfn.IFNA(IF(MOD(HLG_05[[#This Row],[Rit]],
    _xlfn.XLOOKUP($G$2,Int_Sample[Ore],Int_Sample[Inc])) = 0, "YES", "NO"),"")</f>
        <v/>
      </c>
      <c r="I152" s="32" t="str">
        <f>TEXT(HLG_05[[#This Row],[Batch]],"000")&amp; " / " &amp; TEXT(HLG_05[[#This Row],[Rit]],"000")</f>
        <v>N/A / 000</v>
      </c>
      <c r="J152" s="34"/>
      <c r="K152" s="38"/>
      <c r="L152" s="35"/>
      <c r="M152" s="66"/>
      <c r="N152" s="66"/>
      <c r="O152" s="66"/>
      <c r="P152" s="66"/>
      <c r="Q152" s="66"/>
      <c r="R152" s="67"/>
      <c r="S152" s="67"/>
      <c r="T152" s="67"/>
      <c r="U152" s="66"/>
      <c r="V152" s="66"/>
      <c r="W152" s="66"/>
      <c r="X152" s="85"/>
      <c r="AP152" t="str">
        <v/>
      </c>
    </row>
    <row r="153" spans="4:42" ht="15.75" x14ac:dyDescent="0.25">
      <c r="D153" s="3">
        <v>1</v>
      </c>
      <c r="F153" s="16" t="str" cm="1">
        <f t="array" ref="F1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3" s="31" cm="1">
        <f t="array" ref="G1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3" s="33" t="str">
        <f>_xlfn.IFNA(IF(MOD(HLG_05[[#This Row],[Rit]],
    _xlfn.XLOOKUP($G$2,Int_Sample[Ore],Int_Sample[Inc])) = 0, "YES", "NO"),"")</f>
        <v/>
      </c>
      <c r="I153" s="32" t="str">
        <f>TEXT(HLG_05[[#This Row],[Batch]],"000")&amp; " / " &amp; TEXT(HLG_05[[#This Row],[Rit]],"000")</f>
        <v>N/A / 000</v>
      </c>
      <c r="J153" s="34"/>
      <c r="K153" s="38"/>
      <c r="L153" s="35"/>
      <c r="M153" s="66"/>
      <c r="N153" s="66"/>
      <c r="O153" s="66"/>
      <c r="P153" s="66"/>
      <c r="Q153" s="66"/>
      <c r="R153" s="67"/>
      <c r="S153" s="67"/>
      <c r="T153" s="67"/>
      <c r="U153" s="66"/>
      <c r="V153" s="66"/>
      <c r="W153" s="66"/>
      <c r="X153" s="85"/>
      <c r="AP153" t="str">
        <v/>
      </c>
    </row>
    <row r="154" spans="4:42" ht="15.75" x14ac:dyDescent="0.25">
      <c r="D154" s="3">
        <v>1</v>
      </c>
      <c r="F154" s="16" t="str" cm="1">
        <f t="array" ref="F1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4" s="31" cm="1">
        <f t="array" ref="G1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4" s="33" t="str">
        <f>_xlfn.IFNA(IF(MOD(HLG_05[[#This Row],[Rit]],
    _xlfn.XLOOKUP($G$2,Int_Sample[Ore],Int_Sample[Inc])) = 0, "YES", "NO"),"")</f>
        <v/>
      </c>
      <c r="I154" s="32" t="str">
        <f>TEXT(HLG_05[[#This Row],[Batch]],"000")&amp; " / " &amp; TEXT(HLG_05[[#This Row],[Rit]],"000")</f>
        <v>N/A / 000</v>
      </c>
      <c r="J154" s="34"/>
      <c r="K154" s="38"/>
      <c r="L154" s="35"/>
      <c r="M154" s="66"/>
      <c r="N154" s="66"/>
      <c r="O154" s="66"/>
      <c r="P154" s="66"/>
      <c r="Q154" s="66"/>
      <c r="R154" s="67"/>
      <c r="S154" s="67"/>
      <c r="T154" s="67"/>
      <c r="U154" s="66"/>
      <c r="V154" s="66"/>
      <c r="W154" s="66"/>
      <c r="X154" s="85"/>
      <c r="AP154" t="str">
        <v/>
      </c>
    </row>
    <row r="155" spans="4:42" ht="15.75" x14ac:dyDescent="0.25">
      <c r="D155" s="3">
        <v>1</v>
      </c>
      <c r="F155" s="16" t="str" cm="1">
        <f t="array" ref="F1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5" s="31" cm="1">
        <f t="array" ref="G1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5" s="33" t="str">
        <f>_xlfn.IFNA(IF(MOD(HLG_05[[#This Row],[Rit]],
    _xlfn.XLOOKUP($G$2,Int_Sample[Ore],Int_Sample[Inc])) = 0, "YES", "NO"),"")</f>
        <v/>
      </c>
      <c r="I155" s="32" t="str">
        <f>TEXT(HLG_05[[#This Row],[Batch]],"000")&amp; " / " &amp; TEXT(HLG_05[[#This Row],[Rit]],"000")</f>
        <v>N/A / 000</v>
      </c>
      <c r="J155" s="34"/>
      <c r="K155" s="38"/>
      <c r="L155" s="35"/>
      <c r="M155" s="66"/>
      <c r="N155" s="66"/>
      <c r="O155" s="66"/>
      <c r="P155" s="66"/>
      <c r="Q155" s="66"/>
      <c r="R155" s="67"/>
      <c r="S155" s="67"/>
      <c r="T155" s="67"/>
      <c r="U155" s="66"/>
      <c r="V155" s="66"/>
      <c r="W155" s="66"/>
      <c r="X155" s="85"/>
      <c r="AP155" t="str">
        <v/>
      </c>
    </row>
    <row r="156" spans="4:42" ht="15.75" x14ac:dyDescent="0.25">
      <c r="D156" s="3">
        <v>1</v>
      </c>
      <c r="F156" s="16" t="str" cm="1">
        <f t="array" ref="F1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6" s="31" cm="1">
        <f t="array" ref="G1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6" s="33" t="str">
        <f>_xlfn.IFNA(IF(MOD(HLG_05[[#This Row],[Rit]],
    _xlfn.XLOOKUP($G$2,Int_Sample[Ore],Int_Sample[Inc])) = 0, "YES", "NO"),"")</f>
        <v/>
      </c>
      <c r="I156" s="32" t="str">
        <f>TEXT(HLG_05[[#This Row],[Batch]],"000")&amp; " / " &amp; TEXT(HLG_05[[#This Row],[Rit]],"000")</f>
        <v>N/A / 000</v>
      </c>
      <c r="J156" s="34"/>
      <c r="K156" s="38"/>
      <c r="L156" s="35"/>
      <c r="M156" s="66"/>
      <c r="N156" s="66"/>
      <c r="O156" s="66"/>
      <c r="P156" s="66"/>
      <c r="Q156" s="66"/>
      <c r="R156" s="67"/>
      <c r="S156" s="67"/>
      <c r="T156" s="67"/>
      <c r="U156" s="66"/>
      <c r="V156" s="66"/>
      <c r="W156" s="66"/>
      <c r="X156" s="85"/>
      <c r="AP156" t="str">
        <v/>
      </c>
    </row>
    <row r="157" spans="4:42" ht="15.75" x14ac:dyDescent="0.25">
      <c r="D157" s="3">
        <v>1</v>
      </c>
      <c r="F157" s="16" t="str" cm="1">
        <f t="array" ref="F1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7" s="31" cm="1">
        <f t="array" ref="G1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7" s="33" t="str">
        <f>_xlfn.IFNA(IF(MOD(HLG_05[[#This Row],[Rit]],
    _xlfn.XLOOKUP($G$2,Int_Sample[Ore],Int_Sample[Inc])) = 0, "YES", "NO"),"")</f>
        <v/>
      </c>
      <c r="I157" s="32" t="str">
        <f>TEXT(HLG_05[[#This Row],[Batch]],"000")&amp; " / " &amp; TEXT(HLG_05[[#This Row],[Rit]],"000")</f>
        <v>N/A / 000</v>
      </c>
      <c r="J157" s="34"/>
      <c r="K157" s="38"/>
      <c r="L157" s="35"/>
      <c r="M157" s="66"/>
      <c r="N157" s="66"/>
      <c r="O157" s="66"/>
      <c r="P157" s="66"/>
      <c r="Q157" s="66"/>
      <c r="R157" s="67"/>
      <c r="S157" s="67"/>
      <c r="T157" s="67"/>
      <c r="U157" s="66"/>
      <c r="V157" s="66"/>
      <c r="W157" s="66"/>
      <c r="X157" s="85"/>
      <c r="AP157" t="str">
        <v/>
      </c>
    </row>
    <row r="158" spans="4:42" ht="15.75" x14ac:dyDescent="0.25">
      <c r="D158" s="3">
        <v>1</v>
      </c>
      <c r="F158" s="16" t="str" cm="1">
        <f t="array" ref="F1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8" s="31" cm="1">
        <f t="array" ref="G1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8" s="33" t="str">
        <f>_xlfn.IFNA(IF(MOD(HLG_05[[#This Row],[Rit]],
    _xlfn.XLOOKUP($G$2,Int_Sample[Ore],Int_Sample[Inc])) = 0, "YES", "NO"),"")</f>
        <v/>
      </c>
      <c r="I158" s="32" t="str">
        <f>TEXT(HLG_05[[#This Row],[Batch]],"000")&amp; " / " &amp; TEXT(HLG_05[[#This Row],[Rit]],"000")</f>
        <v>N/A / 000</v>
      </c>
      <c r="J158" s="34"/>
      <c r="K158" s="38"/>
      <c r="L158" s="35"/>
      <c r="M158" s="66"/>
      <c r="N158" s="66"/>
      <c r="O158" s="66"/>
      <c r="P158" s="66"/>
      <c r="Q158" s="66"/>
      <c r="R158" s="67"/>
      <c r="S158" s="67"/>
      <c r="T158" s="67"/>
      <c r="U158" s="66"/>
      <c r="V158" s="66"/>
      <c r="W158" s="66"/>
      <c r="X158" s="85"/>
      <c r="AP158" t="str">
        <v/>
      </c>
    </row>
    <row r="159" spans="4:42" ht="15.75" x14ac:dyDescent="0.25">
      <c r="D159" s="3">
        <v>1</v>
      </c>
      <c r="F159" s="16" t="str" cm="1">
        <f t="array" ref="F1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9" s="31" cm="1">
        <f t="array" ref="G1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9" s="33" t="str">
        <f>_xlfn.IFNA(IF(MOD(HLG_05[[#This Row],[Rit]],
    _xlfn.XLOOKUP($G$2,Int_Sample[Ore],Int_Sample[Inc])) = 0, "YES", "NO"),"")</f>
        <v/>
      </c>
      <c r="I159" s="32" t="str">
        <f>TEXT(HLG_05[[#This Row],[Batch]],"000")&amp; " / " &amp; TEXT(HLG_05[[#This Row],[Rit]],"000")</f>
        <v>N/A / 000</v>
      </c>
      <c r="J159" s="34"/>
      <c r="K159" s="38"/>
      <c r="L159" s="35"/>
      <c r="M159" s="66"/>
      <c r="N159" s="66"/>
      <c r="O159" s="66"/>
      <c r="P159" s="66"/>
      <c r="Q159" s="66"/>
      <c r="R159" s="67"/>
      <c r="S159" s="67"/>
      <c r="T159" s="67"/>
      <c r="U159" s="66"/>
      <c r="V159" s="66"/>
      <c r="W159" s="66"/>
      <c r="X159" s="85"/>
      <c r="AP159" t="str">
        <v/>
      </c>
    </row>
    <row r="160" spans="4:42" ht="15.75" x14ac:dyDescent="0.25">
      <c r="D160" s="3">
        <v>1</v>
      </c>
      <c r="F160" s="16" t="str" cm="1">
        <f t="array" ref="F1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0" s="31" cm="1">
        <f t="array" ref="G1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0" s="33" t="str">
        <f>_xlfn.IFNA(IF(MOD(HLG_05[[#This Row],[Rit]],
    _xlfn.XLOOKUP($G$2,Int_Sample[Ore],Int_Sample[Inc])) = 0, "YES", "NO"),"")</f>
        <v/>
      </c>
      <c r="I160" s="32" t="str">
        <f>TEXT(HLG_05[[#This Row],[Batch]],"000")&amp; " / " &amp; TEXT(HLG_05[[#This Row],[Rit]],"000")</f>
        <v>N/A / 000</v>
      </c>
      <c r="J160" s="34"/>
      <c r="K160" s="38"/>
      <c r="L160" s="35"/>
      <c r="M160" s="66"/>
      <c r="N160" s="66"/>
      <c r="O160" s="66"/>
      <c r="P160" s="66"/>
      <c r="Q160" s="66"/>
      <c r="R160" s="67"/>
      <c r="S160" s="67"/>
      <c r="T160" s="67"/>
      <c r="U160" s="66"/>
      <c r="V160" s="66"/>
      <c r="W160" s="66"/>
      <c r="X160" s="85"/>
      <c r="AP160" t="str">
        <v/>
      </c>
    </row>
    <row r="161" spans="4:42" ht="15.75" x14ac:dyDescent="0.25">
      <c r="D161" s="3">
        <v>1</v>
      </c>
      <c r="F161" s="16" t="str" cm="1">
        <f t="array" ref="F1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1" s="31" cm="1">
        <f t="array" ref="G1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1" s="33" t="str">
        <f>_xlfn.IFNA(IF(MOD(HLG_05[[#This Row],[Rit]],
    _xlfn.XLOOKUP($G$2,Int_Sample[Ore],Int_Sample[Inc])) = 0, "YES", "NO"),"")</f>
        <v/>
      </c>
      <c r="I161" s="32" t="str">
        <f>TEXT(HLG_05[[#This Row],[Batch]],"000")&amp; " / " &amp; TEXT(HLG_05[[#This Row],[Rit]],"000")</f>
        <v>N/A / 000</v>
      </c>
      <c r="J161" s="34"/>
      <c r="K161" s="38"/>
      <c r="L161" s="35"/>
      <c r="M161" s="66"/>
      <c r="N161" s="66"/>
      <c r="O161" s="66"/>
      <c r="P161" s="66"/>
      <c r="Q161" s="66"/>
      <c r="R161" s="67"/>
      <c r="S161" s="67"/>
      <c r="T161" s="67"/>
      <c r="U161" s="66"/>
      <c r="V161" s="66"/>
      <c r="W161" s="66"/>
      <c r="X161" s="85"/>
      <c r="AP161" t="str">
        <v/>
      </c>
    </row>
    <row r="162" spans="4:42" ht="15.75" x14ac:dyDescent="0.25">
      <c r="D162" s="3">
        <v>1</v>
      </c>
      <c r="F162" s="16" t="str" cm="1">
        <f t="array" ref="F1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2" s="31" cm="1">
        <f t="array" ref="G1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2" s="33" t="str">
        <f>_xlfn.IFNA(IF(MOD(HLG_05[[#This Row],[Rit]],
    _xlfn.XLOOKUP($G$2,Int_Sample[Ore],Int_Sample[Inc])) = 0, "YES", "NO"),"")</f>
        <v/>
      </c>
      <c r="I162" s="32" t="str">
        <f>TEXT(HLG_05[[#This Row],[Batch]],"000")&amp; " / " &amp; TEXT(HLG_05[[#This Row],[Rit]],"000")</f>
        <v>N/A / 000</v>
      </c>
      <c r="J162" s="34"/>
      <c r="K162" s="38"/>
      <c r="L162" s="35"/>
      <c r="M162" s="66"/>
      <c r="N162" s="66"/>
      <c r="O162" s="66"/>
      <c r="P162" s="66"/>
      <c r="Q162" s="66"/>
      <c r="R162" s="67"/>
      <c r="S162" s="67"/>
      <c r="T162" s="67"/>
      <c r="U162" s="66"/>
      <c r="V162" s="66"/>
      <c r="W162" s="66"/>
      <c r="X162" s="85"/>
      <c r="AP162" t="str">
        <v/>
      </c>
    </row>
    <row r="163" spans="4:42" ht="15.75" x14ac:dyDescent="0.25">
      <c r="D163" s="3">
        <v>1</v>
      </c>
      <c r="F163" s="16" t="str" cm="1">
        <f t="array" ref="F1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3" s="31" cm="1">
        <f t="array" ref="G1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3" s="33" t="str">
        <f>_xlfn.IFNA(IF(MOD(HLG_05[[#This Row],[Rit]],
    _xlfn.XLOOKUP($G$2,Int_Sample[Ore],Int_Sample[Inc])) = 0, "YES", "NO"),"")</f>
        <v/>
      </c>
      <c r="I163" s="32" t="str">
        <f>TEXT(HLG_05[[#This Row],[Batch]],"000")&amp; " / " &amp; TEXT(HLG_05[[#This Row],[Rit]],"000")</f>
        <v>N/A / 000</v>
      </c>
      <c r="J163" s="34"/>
      <c r="K163" s="38"/>
      <c r="L163" s="35"/>
      <c r="M163" s="66"/>
      <c r="N163" s="66"/>
      <c r="O163" s="66"/>
      <c r="P163" s="66"/>
      <c r="Q163" s="66"/>
      <c r="R163" s="67"/>
      <c r="S163" s="67"/>
      <c r="T163" s="67"/>
      <c r="U163" s="66"/>
      <c r="V163" s="66"/>
      <c r="W163" s="66"/>
      <c r="X163" s="85"/>
      <c r="AP163" t="str">
        <v/>
      </c>
    </row>
    <row r="164" spans="4:42" ht="15.75" x14ac:dyDescent="0.25">
      <c r="D164" s="3">
        <v>1</v>
      </c>
      <c r="F164" s="16" t="str" cm="1">
        <f t="array" ref="F1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4" s="31" cm="1">
        <f t="array" ref="G1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4" s="33" t="str">
        <f>_xlfn.IFNA(IF(MOD(HLG_05[[#This Row],[Rit]],
    _xlfn.XLOOKUP($G$2,Int_Sample[Ore],Int_Sample[Inc])) = 0, "YES", "NO"),"")</f>
        <v/>
      </c>
      <c r="I164" s="32" t="str">
        <f>TEXT(HLG_05[[#This Row],[Batch]],"000")&amp; " / " &amp; TEXT(HLG_05[[#This Row],[Rit]],"000")</f>
        <v>N/A / 000</v>
      </c>
      <c r="J164" s="34"/>
      <c r="K164" s="38"/>
      <c r="L164" s="35"/>
      <c r="M164" s="66"/>
      <c r="N164" s="66"/>
      <c r="O164" s="66"/>
      <c r="P164" s="66"/>
      <c r="Q164" s="66"/>
      <c r="R164" s="67"/>
      <c r="S164" s="67"/>
      <c r="T164" s="67"/>
      <c r="U164" s="66"/>
      <c r="V164" s="66"/>
      <c r="W164" s="66"/>
      <c r="X164" s="85"/>
      <c r="AP164" t="str">
        <v/>
      </c>
    </row>
    <row r="165" spans="4:42" ht="15.75" x14ac:dyDescent="0.25">
      <c r="D165" s="3">
        <v>1</v>
      </c>
      <c r="F165" s="16" t="str" cm="1">
        <f t="array" ref="F1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5" s="31" cm="1">
        <f t="array" ref="G1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5" s="33" t="str">
        <f>_xlfn.IFNA(IF(MOD(HLG_05[[#This Row],[Rit]],
    _xlfn.XLOOKUP($G$2,Int_Sample[Ore],Int_Sample[Inc])) = 0, "YES", "NO"),"")</f>
        <v/>
      </c>
      <c r="I165" s="32" t="str">
        <f>TEXT(HLG_05[[#This Row],[Batch]],"000")&amp; " / " &amp; TEXT(HLG_05[[#This Row],[Rit]],"000")</f>
        <v>N/A / 000</v>
      </c>
      <c r="J165" s="34"/>
      <c r="K165" s="38"/>
      <c r="L165" s="35"/>
      <c r="M165" s="66"/>
      <c r="N165" s="66"/>
      <c r="O165" s="66"/>
      <c r="P165" s="66"/>
      <c r="Q165" s="66"/>
      <c r="R165" s="67"/>
      <c r="S165" s="67"/>
      <c r="T165" s="67"/>
      <c r="U165" s="66"/>
      <c r="V165" s="66"/>
      <c r="W165" s="66"/>
      <c r="X165" s="85"/>
      <c r="AP165" t="str">
        <v/>
      </c>
    </row>
    <row r="166" spans="4:42" ht="15.75" x14ac:dyDescent="0.25">
      <c r="D166" s="3">
        <v>1</v>
      </c>
      <c r="F166" s="16" t="str" cm="1">
        <f t="array" ref="F1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6" s="31" cm="1">
        <f t="array" ref="G1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6" s="33" t="str">
        <f>_xlfn.IFNA(IF(MOD(HLG_05[[#This Row],[Rit]],
    _xlfn.XLOOKUP($G$2,Int_Sample[Ore],Int_Sample[Inc])) = 0, "YES", "NO"),"")</f>
        <v/>
      </c>
      <c r="I166" s="32" t="str">
        <f>TEXT(HLG_05[[#This Row],[Batch]],"000")&amp; " / " &amp; TEXT(HLG_05[[#This Row],[Rit]],"000")</f>
        <v>N/A / 000</v>
      </c>
      <c r="J166" s="34"/>
      <c r="K166" s="38"/>
      <c r="L166" s="35"/>
      <c r="M166" s="66"/>
      <c r="N166" s="66"/>
      <c r="O166" s="66"/>
      <c r="P166" s="66"/>
      <c r="Q166" s="66"/>
      <c r="R166" s="67"/>
      <c r="S166" s="67"/>
      <c r="T166" s="67"/>
      <c r="U166" s="66"/>
      <c r="V166" s="66"/>
      <c r="W166" s="66"/>
      <c r="X166" s="85"/>
      <c r="AP166" t="str">
        <v/>
      </c>
    </row>
    <row r="167" spans="4:42" ht="15.75" x14ac:dyDescent="0.25">
      <c r="D167" s="3">
        <v>1</v>
      </c>
      <c r="F167" s="16" t="str" cm="1">
        <f t="array" ref="F1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7" s="31" cm="1">
        <f t="array" ref="G1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7" s="33" t="str">
        <f>_xlfn.IFNA(IF(MOD(HLG_05[[#This Row],[Rit]],
    _xlfn.XLOOKUP($G$2,Int_Sample[Ore],Int_Sample[Inc])) = 0, "YES", "NO"),"")</f>
        <v/>
      </c>
      <c r="I167" s="32" t="str">
        <f>TEXT(HLG_05[[#This Row],[Batch]],"000")&amp; " / " &amp; TEXT(HLG_05[[#This Row],[Rit]],"000")</f>
        <v>N/A / 000</v>
      </c>
      <c r="J167" s="34"/>
      <c r="K167" s="38"/>
      <c r="L167" s="35"/>
      <c r="M167" s="66"/>
      <c r="N167" s="66"/>
      <c r="O167" s="66"/>
      <c r="P167" s="66"/>
      <c r="Q167" s="66"/>
      <c r="R167" s="67"/>
      <c r="S167" s="67"/>
      <c r="T167" s="67"/>
      <c r="U167" s="66"/>
      <c r="V167" s="66"/>
      <c r="W167" s="66"/>
      <c r="X167" s="85"/>
      <c r="AP167" t="str">
        <v/>
      </c>
    </row>
    <row r="168" spans="4:42" ht="15.75" x14ac:dyDescent="0.25">
      <c r="D168" s="3">
        <v>1</v>
      </c>
      <c r="F168" s="16" t="str" cm="1">
        <f t="array" ref="F1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8" s="31" cm="1">
        <f t="array" ref="G1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8" s="33" t="str">
        <f>_xlfn.IFNA(IF(MOD(HLG_05[[#This Row],[Rit]],
    _xlfn.XLOOKUP($G$2,Int_Sample[Ore],Int_Sample[Inc])) = 0, "YES", "NO"),"")</f>
        <v/>
      </c>
      <c r="I168" s="32" t="str">
        <f>TEXT(HLG_05[[#This Row],[Batch]],"000")&amp; " / " &amp; TEXT(HLG_05[[#This Row],[Rit]],"000")</f>
        <v>N/A / 000</v>
      </c>
      <c r="J168" s="34"/>
      <c r="K168" s="38"/>
      <c r="L168" s="35"/>
      <c r="M168" s="66"/>
      <c r="N168" s="66"/>
      <c r="O168" s="66"/>
      <c r="P168" s="66"/>
      <c r="Q168" s="66"/>
      <c r="R168" s="67"/>
      <c r="S168" s="67"/>
      <c r="T168" s="67"/>
      <c r="U168" s="66"/>
      <c r="V168" s="66"/>
      <c r="W168" s="66"/>
      <c r="X168" s="85"/>
      <c r="AP168" t="str">
        <v/>
      </c>
    </row>
    <row r="169" spans="4:42" ht="15.75" x14ac:dyDescent="0.25">
      <c r="D169" s="3">
        <v>1</v>
      </c>
      <c r="F169" s="16" t="str" cm="1">
        <f t="array" ref="F1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9" s="31" cm="1">
        <f t="array" ref="G1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9" s="33" t="str">
        <f>_xlfn.IFNA(IF(MOD(HLG_05[[#This Row],[Rit]],
    _xlfn.XLOOKUP($G$2,Int_Sample[Ore],Int_Sample[Inc])) = 0, "YES", "NO"),"")</f>
        <v/>
      </c>
      <c r="I169" s="32" t="str">
        <f>TEXT(HLG_05[[#This Row],[Batch]],"000")&amp; " / " &amp; TEXT(HLG_05[[#This Row],[Rit]],"000")</f>
        <v>N/A / 000</v>
      </c>
      <c r="J169" s="34"/>
      <c r="K169" s="38"/>
      <c r="L169" s="35"/>
      <c r="M169" s="66"/>
      <c r="N169" s="66"/>
      <c r="O169" s="66"/>
      <c r="P169" s="66"/>
      <c r="Q169" s="66"/>
      <c r="R169" s="67"/>
      <c r="S169" s="67"/>
      <c r="T169" s="67"/>
      <c r="U169" s="66"/>
      <c r="V169" s="66"/>
      <c r="W169" s="66"/>
      <c r="X169" s="85"/>
      <c r="AP169" t="str">
        <v/>
      </c>
    </row>
    <row r="170" spans="4:42" ht="15.75" x14ac:dyDescent="0.25">
      <c r="D170" s="3">
        <v>1</v>
      </c>
      <c r="F170" s="16" t="str" cm="1">
        <f t="array" ref="F1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0" s="31" cm="1">
        <f t="array" ref="G1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0" s="33" t="str">
        <f>_xlfn.IFNA(IF(MOD(HLG_05[[#This Row],[Rit]],
    _xlfn.XLOOKUP($G$2,Int_Sample[Ore],Int_Sample[Inc])) = 0, "YES", "NO"),"")</f>
        <v/>
      </c>
      <c r="I170" s="32" t="str">
        <f>TEXT(HLG_05[[#This Row],[Batch]],"000")&amp; " / " &amp; TEXT(HLG_05[[#This Row],[Rit]],"000")</f>
        <v>N/A / 000</v>
      </c>
      <c r="J170" s="34"/>
      <c r="K170" s="38"/>
      <c r="L170" s="35"/>
      <c r="M170" s="66"/>
      <c r="N170" s="66"/>
      <c r="O170" s="66"/>
      <c r="P170" s="66"/>
      <c r="Q170" s="66"/>
      <c r="R170" s="67"/>
      <c r="S170" s="67"/>
      <c r="T170" s="67"/>
      <c r="U170" s="66"/>
      <c r="V170" s="66"/>
      <c r="W170" s="66"/>
      <c r="X170" s="85"/>
      <c r="AP170" t="str">
        <v/>
      </c>
    </row>
    <row r="171" spans="4:42" ht="15.75" x14ac:dyDescent="0.25">
      <c r="D171" s="3">
        <v>1</v>
      </c>
      <c r="F171" s="16" t="str" cm="1">
        <f t="array" ref="F1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1" s="31" cm="1">
        <f t="array" ref="G1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1" s="33" t="str">
        <f>_xlfn.IFNA(IF(MOD(HLG_05[[#This Row],[Rit]],
    _xlfn.XLOOKUP($G$2,Int_Sample[Ore],Int_Sample[Inc])) = 0, "YES", "NO"),"")</f>
        <v/>
      </c>
      <c r="I171" s="32" t="str">
        <f>TEXT(HLG_05[[#This Row],[Batch]],"000")&amp; " / " &amp; TEXT(HLG_05[[#This Row],[Rit]],"000")</f>
        <v>N/A / 000</v>
      </c>
      <c r="J171" s="34"/>
      <c r="K171" s="38"/>
      <c r="L171" s="35"/>
      <c r="M171" s="66"/>
      <c r="N171" s="66"/>
      <c r="O171" s="66"/>
      <c r="P171" s="66"/>
      <c r="Q171" s="66"/>
      <c r="R171" s="67"/>
      <c r="S171" s="67"/>
      <c r="T171" s="67"/>
      <c r="U171" s="66"/>
      <c r="V171" s="66"/>
      <c r="W171" s="66"/>
      <c r="X171" s="85"/>
      <c r="AP171" t="str">
        <v/>
      </c>
    </row>
    <row r="172" spans="4:42" ht="15.75" x14ac:dyDescent="0.25">
      <c r="D172" s="3">
        <v>1</v>
      </c>
      <c r="F172" s="16" t="str" cm="1">
        <f t="array" ref="F1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2" s="31" cm="1">
        <f t="array" ref="G1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2" s="33" t="str">
        <f>_xlfn.IFNA(IF(MOD(HLG_05[[#This Row],[Rit]],
    _xlfn.XLOOKUP($G$2,Int_Sample[Ore],Int_Sample[Inc])) = 0, "YES", "NO"),"")</f>
        <v/>
      </c>
      <c r="I172" s="32" t="str">
        <f>TEXT(HLG_05[[#This Row],[Batch]],"000")&amp; " / " &amp; TEXT(HLG_05[[#This Row],[Rit]],"000")</f>
        <v>N/A / 000</v>
      </c>
      <c r="J172" s="34"/>
      <c r="K172" s="38"/>
      <c r="L172" s="35"/>
      <c r="M172" s="66"/>
      <c r="N172" s="66"/>
      <c r="O172" s="66"/>
      <c r="P172" s="66"/>
      <c r="Q172" s="66"/>
      <c r="R172" s="67"/>
      <c r="S172" s="67"/>
      <c r="T172" s="67"/>
      <c r="U172" s="66"/>
      <c r="V172" s="66"/>
      <c r="W172" s="66"/>
      <c r="X172" s="85"/>
      <c r="AP172" t="str">
        <v/>
      </c>
    </row>
    <row r="173" spans="4:42" ht="15.75" x14ac:dyDescent="0.25">
      <c r="D173" s="3">
        <v>1</v>
      </c>
      <c r="F173" s="16" t="str" cm="1">
        <f t="array" ref="F1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3" s="31" cm="1">
        <f t="array" ref="G1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3" s="33" t="str">
        <f>_xlfn.IFNA(IF(MOD(HLG_05[[#This Row],[Rit]],
    _xlfn.XLOOKUP($G$2,Int_Sample[Ore],Int_Sample[Inc])) = 0, "YES", "NO"),"")</f>
        <v/>
      </c>
      <c r="I173" s="32" t="str">
        <f>TEXT(HLG_05[[#This Row],[Batch]],"000")&amp; " / " &amp; TEXT(HLG_05[[#This Row],[Rit]],"000")</f>
        <v>N/A / 000</v>
      </c>
      <c r="J173" s="34"/>
      <c r="K173" s="38"/>
      <c r="L173" s="35"/>
      <c r="M173" s="66"/>
      <c r="N173" s="66"/>
      <c r="O173" s="66"/>
      <c r="P173" s="66"/>
      <c r="Q173" s="66"/>
      <c r="R173" s="67"/>
      <c r="S173" s="67"/>
      <c r="T173" s="67"/>
      <c r="U173" s="66"/>
      <c r="V173" s="66"/>
      <c r="W173" s="66"/>
      <c r="X173" s="85"/>
      <c r="AP173" t="str">
        <v/>
      </c>
    </row>
    <row r="174" spans="4:42" ht="15.75" x14ac:dyDescent="0.25">
      <c r="D174" s="3">
        <v>1</v>
      </c>
      <c r="F174" s="16" t="str" cm="1">
        <f t="array" ref="F1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4" s="31" cm="1">
        <f t="array" ref="G1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4" s="33" t="str">
        <f>_xlfn.IFNA(IF(MOD(HLG_05[[#This Row],[Rit]],
    _xlfn.XLOOKUP($G$2,Int_Sample[Ore],Int_Sample[Inc])) = 0, "YES", "NO"),"")</f>
        <v/>
      </c>
      <c r="I174" s="32" t="str">
        <f>TEXT(HLG_05[[#This Row],[Batch]],"000")&amp; " / " &amp; TEXT(HLG_05[[#This Row],[Rit]],"000")</f>
        <v>N/A / 000</v>
      </c>
      <c r="J174" s="34"/>
      <c r="K174" s="38"/>
      <c r="L174" s="35"/>
      <c r="M174" s="66"/>
      <c r="N174" s="66"/>
      <c r="O174" s="66"/>
      <c r="P174" s="66"/>
      <c r="Q174" s="66"/>
      <c r="R174" s="67"/>
      <c r="S174" s="67"/>
      <c r="T174" s="67"/>
      <c r="U174" s="66"/>
      <c r="V174" s="66"/>
      <c r="W174" s="66"/>
      <c r="X174" s="85"/>
      <c r="AP174" t="str">
        <v/>
      </c>
    </row>
    <row r="175" spans="4:42" ht="15.75" x14ac:dyDescent="0.25">
      <c r="D175" s="3">
        <v>1</v>
      </c>
      <c r="F175" s="16" t="str" cm="1">
        <f t="array" ref="F1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5" s="31" cm="1">
        <f t="array" ref="G1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5" s="33" t="str">
        <f>_xlfn.IFNA(IF(MOD(HLG_05[[#This Row],[Rit]],
    _xlfn.XLOOKUP($G$2,Int_Sample[Ore],Int_Sample[Inc])) = 0, "YES", "NO"),"")</f>
        <v/>
      </c>
      <c r="I175" s="32" t="str">
        <f>TEXT(HLG_05[[#This Row],[Batch]],"000")&amp; " / " &amp; TEXT(HLG_05[[#This Row],[Rit]],"000")</f>
        <v>N/A / 000</v>
      </c>
      <c r="J175" s="34"/>
      <c r="K175" s="38"/>
      <c r="L175" s="35"/>
      <c r="M175" s="66"/>
      <c r="N175" s="66"/>
      <c r="O175" s="66"/>
      <c r="P175" s="66"/>
      <c r="Q175" s="66"/>
      <c r="R175" s="67"/>
      <c r="S175" s="67"/>
      <c r="T175" s="67"/>
      <c r="U175" s="66"/>
      <c r="V175" s="66"/>
      <c r="W175" s="66"/>
      <c r="X175" s="85"/>
      <c r="AP175" t="str">
        <v/>
      </c>
    </row>
    <row r="176" spans="4:42" ht="15.75" x14ac:dyDescent="0.25">
      <c r="D176" s="3">
        <v>1</v>
      </c>
      <c r="F176" s="16" t="str" cm="1">
        <f t="array" ref="F1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6" s="31" cm="1">
        <f t="array" ref="G1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6" s="33" t="str">
        <f>_xlfn.IFNA(IF(MOD(HLG_05[[#This Row],[Rit]],
    _xlfn.XLOOKUP($G$2,Int_Sample[Ore],Int_Sample[Inc])) = 0, "YES", "NO"),"")</f>
        <v/>
      </c>
      <c r="I176" s="32" t="str">
        <f>TEXT(HLG_05[[#This Row],[Batch]],"000")&amp; " / " &amp; TEXT(HLG_05[[#This Row],[Rit]],"000")</f>
        <v>N/A / 000</v>
      </c>
      <c r="J176" s="34"/>
      <c r="K176" s="38"/>
      <c r="L176" s="35"/>
      <c r="M176" s="66"/>
      <c r="N176" s="66"/>
      <c r="O176" s="66"/>
      <c r="P176" s="66"/>
      <c r="Q176" s="66"/>
      <c r="R176" s="67"/>
      <c r="S176" s="67"/>
      <c r="T176" s="67"/>
      <c r="U176" s="66"/>
      <c r="V176" s="66"/>
      <c r="W176" s="66"/>
      <c r="X176" s="85"/>
      <c r="AP176" t="str">
        <v/>
      </c>
    </row>
    <row r="177" spans="4:42" ht="15.75" x14ac:dyDescent="0.25">
      <c r="D177" s="3">
        <v>1</v>
      </c>
      <c r="F177" s="16" t="str" cm="1">
        <f t="array" ref="F1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7" s="31" cm="1">
        <f t="array" ref="G1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7" s="33" t="str">
        <f>_xlfn.IFNA(IF(MOD(HLG_05[[#This Row],[Rit]],
    _xlfn.XLOOKUP($G$2,Int_Sample[Ore],Int_Sample[Inc])) = 0, "YES", "NO"),"")</f>
        <v/>
      </c>
      <c r="I177" s="32" t="str">
        <f>TEXT(HLG_05[[#This Row],[Batch]],"000")&amp; " / " &amp; TEXT(HLG_05[[#This Row],[Rit]],"000")</f>
        <v>N/A / 000</v>
      </c>
      <c r="J177" s="34"/>
      <c r="K177" s="38"/>
      <c r="L177" s="35"/>
      <c r="M177" s="66"/>
      <c r="N177" s="66"/>
      <c r="O177" s="66"/>
      <c r="P177" s="66"/>
      <c r="Q177" s="66"/>
      <c r="R177" s="67"/>
      <c r="S177" s="67"/>
      <c r="T177" s="67"/>
      <c r="U177" s="66"/>
      <c r="V177" s="66"/>
      <c r="W177" s="66"/>
      <c r="X177" s="85"/>
      <c r="AP177" t="str">
        <v/>
      </c>
    </row>
    <row r="178" spans="4:42" ht="15.75" x14ac:dyDescent="0.25">
      <c r="D178" s="3">
        <v>1</v>
      </c>
      <c r="F178" s="16" t="str" cm="1">
        <f t="array" ref="F1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8" s="31" cm="1">
        <f t="array" ref="G1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8" s="33" t="str">
        <f>_xlfn.IFNA(IF(MOD(HLG_05[[#This Row],[Rit]],
    _xlfn.XLOOKUP($G$2,Int_Sample[Ore],Int_Sample[Inc])) = 0, "YES", "NO"),"")</f>
        <v/>
      </c>
      <c r="I178" s="32" t="str">
        <f>TEXT(HLG_05[[#This Row],[Batch]],"000")&amp; " / " &amp; TEXT(HLG_05[[#This Row],[Rit]],"000")</f>
        <v>N/A / 000</v>
      </c>
      <c r="J178" s="34"/>
      <c r="K178" s="38"/>
      <c r="L178" s="35"/>
      <c r="M178" s="66"/>
      <c r="N178" s="66"/>
      <c r="O178" s="66"/>
      <c r="P178" s="66"/>
      <c r="Q178" s="66"/>
      <c r="R178" s="67"/>
      <c r="S178" s="67"/>
      <c r="T178" s="67"/>
      <c r="U178" s="66"/>
      <c r="V178" s="66"/>
      <c r="W178" s="66"/>
      <c r="X178" s="85"/>
      <c r="AP178" t="str">
        <v/>
      </c>
    </row>
    <row r="179" spans="4:42" ht="15.75" x14ac:dyDescent="0.25">
      <c r="D179" s="3">
        <v>1</v>
      </c>
      <c r="F179" s="16" t="str" cm="1">
        <f t="array" ref="F1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9" s="31" cm="1">
        <f t="array" ref="G1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9" s="33" t="str">
        <f>_xlfn.IFNA(IF(MOD(HLG_05[[#This Row],[Rit]],
    _xlfn.XLOOKUP($G$2,Int_Sample[Ore],Int_Sample[Inc])) = 0, "YES", "NO"),"")</f>
        <v/>
      </c>
      <c r="I179" s="32" t="str">
        <f>TEXT(HLG_05[[#This Row],[Batch]],"000")&amp; " / " &amp; TEXT(HLG_05[[#This Row],[Rit]],"000")</f>
        <v>N/A / 000</v>
      </c>
      <c r="J179" s="34"/>
      <c r="K179" s="38"/>
      <c r="L179" s="35"/>
      <c r="M179" s="66"/>
      <c r="N179" s="66"/>
      <c r="O179" s="66"/>
      <c r="P179" s="66"/>
      <c r="Q179" s="66"/>
      <c r="R179" s="67"/>
      <c r="S179" s="67"/>
      <c r="T179" s="67"/>
      <c r="U179" s="66"/>
      <c r="V179" s="66"/>
      <c r="W179" s="66"/>
      <c r="X179" s="85"/>
      <c r="AP179" t="str">
        <v/>
      </c>
    </row>
    <row r="180" spans="4:42" ht="15.75" x14ac:dyDescent="0.25">
      <c r="D180" s="3">
        <v>1</v>
      </c>
      <c r="F180" s="16" t="str" cm="1">
        <f t="array" ref="F1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0" s="31" cm="1">
        <f t="array" ref="G1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0" s="33" t="str">
        <f>_xlfn.IFNA(IF(MOD(HLG_05[[#This Row],[Rit]],
    _xlfn.XLOOKUP($G$2,Int_Sample[Ore],Int_Sample[Inc])) = 0, "YES", "NO"),"")</f>
        <v/>
      </c>
      <c r="I180" s="32" t="str">
        <f>TEXT(HLG_05[[#This Row],[Batch]],"000")&amp; " / " &amp; TEXT(HLG_05[[#This Row],[Rit]],"000")</f>
        <v>N/A / 000</v>
      </c>
      <c r="J180" s="34"/>
      <c r="K180" s="38"/>
      <c r="L180" s="35"/>
      <c r="M180" s="66"/>
      <c r="N180" s="66"/>
      <c r="O180" s="66"/>
      <c r="P180" s="66"/>
      <c r="Q180" s="66"/>
      <c r="R180" s="67"/>
      <c r="S180" s="67"/>
      <c r="T180" s="67"/>
      <c r="U180" s="66"/>
      <c r="V180" s="66"/>
      <c r="W180" s="66"/>
      <c r="X180" s="85"/>
      <c r="AP180" t="str">
        <v/>
      </c>
    </row>
    <row r="181" spans="4:42" ht="15.75" x14ac:dyDescent="0.25">
      <c r="D181" s="3">
        <v>1</v>
      </c>
      <c r="F181" s="16" t="str" cm="1">
        <f t="array" ref="F1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1" s="31" cm="1">
        <f t="array" ref="G1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1" s="33" t="str">
        <f>_xlfn.IFNA(IF(MOD(HLG_05[[#This Row],[Rit]],
    _xlfn.XLOOKUP($G$2,Int_Sample[Ore],Int_Sample[Inc])) = 0, "YES", "NO"),"")</f>
        <v/>
      </c>
      <c r="I181" s="32" t="str">
        <f>TEXT(HLG_05[[#This Row],[Batch]],"000")&amp; " / " &amp; TEXT(HLG_05[[#This Row],[Rit]],"000")</f>
        <v>N/A / 000</v>
      </c>
      <c r="J181" s="34"/>
      <c r="K181" s="38"/>
      <c r="L181" s="35"/>
      <c r="M181" s="66"/>
      <c r="N181" s="66"/>
      <c r="O181" s="66"/>
      <c r="P181" s="66"/>
      <c r="Q181" s="66"/>
      <c r="R181" s="67"/>
      <c r="S181" s="67"/>
      <c r="T181" s="67"/>
      <c r="U181" s="66"/>
      <c r="V181" s="66"/>
      <c r="W181" s="66"/>
      <c r="X181" s="85"/>
      <c r="AP181" t="str">
        <v/>
      </c>
    </row>
    <row r="182" spans="4:42" ht="15.75" x14ac:dyDescent="0.25">
      <c r="D182" s="3">
        <v>1</v>
      </c>
      <c r="F182" s="16" t="str" cm="1">
        <f t="array" ref="F1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2" s="31" cm="1">
        <f t="array" ref="G1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2" s="33" t="str">
        <f>_xlfn.IFNA(IF(MOD(HLG_05[[#This Row],[Rit]],
    _xlfn.XLOOKUP($G$2,Int_Sample[Ore],Int_Sample[Inc])) = 0, "YES", "NO"),"")</f>
        <v/>
      </c>
      <c r="I182" s="32" t="str">
        <f>TEXT(HLG_05[[#This Row],[Batch]],"000")&amp; " / " &amp; TEXT(HLG_05[[#This Row],[Rit]],"000")</f>
        <v>N/A / 000</v>
      </c>
      <c r="J182" s="34"/>
      <c r="K182" s="38"/>
      <c r="L182" s="35"/>
      <c r="M182" s="66"/>
      <c r="N182" s="66"/>
      <c r="O182" s="66"/>
      <c r="P182" s="66"/>
      <c r="Q182" s="66"/>
      <c r="R182" s="67"/>
      <c r="S182" s="67"/>
      <c r="T182" s="67"/>
      <c r="U182" s="66"/>
      <c r="V182" s="66"/>
      <c r="W182" s="66"/>
      <c r="X182" s="85"/>
      <c r="AP182" t="str">
        <v/>
      </c>
    </row>
    <row r="183" spans="4:42" ht="15.75" x14ac:dyDescent="0.25">
      <c r="D183" s="3">
        <v>1</v>
      </c>
      <c r="F183" s="16" t="str" cm="1">
        <f t="array" ref="F1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3" s="31" cm="1">
        <f t="array" ref="G1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3" s="33" t="str">
        <f>_xlfn.IFNA(IF(MOD(HLG_05[[#This Row],[Rit]],
    _xlfn.XLOOKUP($G$2,Int_Sample[Ore],Int_Sample[Inc])) = 0, "YES", "NO"),"")</f>
        <v/>
      </c>
      <c r="I183" s="32" t="str">
        <f>TEXT(HLG_05[[#This Row],[Batch]],"000")&amp; " / " &amp; TEXT(HLG_05[[#This Row],[Rit]],"000")</f>
        <v>N/A / 000</v>
      </c>
      <c r="J183" s="34"/>
      <c r="K183" s="38"/>
      <c r="L183" s="35"/>
      <c r="M183" s="66"/>
      <c r="N183" s="66"/>
      <c r="O183" s="66"/>
      <c r="P183" s="66"/>
      <c r="Q183" s="66"/>
      <c r="R183" s="67"/>
      <c r="S183" s="67"/>
      <c r="T183" s="67"/>
      <c r="U183" s="66"/>
      <c r="V183" s="66"/>
      <c r="W183" s="66"/>
      <c r="X183" s="85"/>
      <c r="AP183" t="str">
        <v/>
      </c>
    </row>
    <row r="184" spans="4:42" ht="15.75" x14ac:dyDescent="0.25">
      <c r="D184" s="3">
        <v>1</v>
      </c>
      <c r="F184" s="16" t="str" cm="1">
        <f t="array" ref="F1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4" s="31" cm="1">
        <f t="array" ref="G1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4" s="33" t="str">
        <f>_xlfn.IFNA(IF(MOD(HLG_05[[#This Row],[Rit]],
    _xlfn.XLOOKUP($G$2,Int_Sample[Ore],Int_Sample[Inc])) = 0, "YES", "NO"),"")</f>
        <v/>
      </c>
      <c r="I184" s="32" t="str">
        <f>TEXT(HLG_05[[#This Row],[Batch]],"000")&amp; " / " &amp; TEXT(HLG_05[[#This Row],[Rit]],"000")</f>
        <v>N/A / 000</v>
      </c>
      <c r="J184" s="34"/>
      <c r="K184" s="38"/>
      <c r="L184" s="35"/>
      <c r="M184" s="66"/>
      <c r="N184" s="66"/>
      <c r="O184" s="66"/>
      <c r="P184" s="66"/>
      <c r="Q184" s="66"/>
      <c r="R184" s="67"/>
      <c r="S184" s="67"/>
      <c r="T184" s="67"/>
      <c r="U184" s="66"/>
      <c r="V184" s="66"/>
      <c r="W184" s="66"/>
      <c r="X184" s="85"/>
      <c r="AP184" t="str">
        <v/>
      </c>
    </row>
    <row r="185" spans="4:42" ht="15.75" x14ac:dyDescent="0.25">
      <c r="D185" s="3">
        <v>1</v>
      </c>
      <c r="F185" s="16" t="str" cm="1">
        <f t="array" ref="F1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5" s="31" cm="1">
        <f t="array" ref="G1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5" s="33" t="str">
        <f>_xlfn.IFNA(IF(MOD(HLG_05[[#This Row],[Rit]],
    _xlfn.XLOOKUP($G$2,Int_Sample[Ore],Int_Sample[Inc])) = 0, "YES", "NO"),"")</f>
        <v/>
      </c>
      <c r="I185" s="32" t="str">
        <f>TEXT(HLG_05[[#This Row],[Batch]],"000")&amp; " / " &amp; TEXT(HLG_05[[#This Row],[Rit]],"000")</f>
        <v>N/A / 000</v>
      </c>
      <c r="J185" s="34"/>
      <c r="K185" s="38"/>
      <c r="L185" s="35"/>
      <c r="M185" s="66"/>
      <c r="N185" s="66"/>
      <c r="O185" s="66"/>
      <c r="P185" s="66"/>
      <c r="Q185" s="66"/>
      <c r="R185" s="67"/>
      <c r="S185" s="67"/>
      <c r="T185" s="67"/>
      <c r="U185" s="66"/>
      <c r="V185" s="66"/>
      <c r="W185" s="66"/>
      <c r="X185" s="85"/>
      <c r="AP185" t="str">
        <v/>
      </c>
    </row>
    <row r="186" spans="4:42" ht="15.75" x14ac:dyDescent="0.25">
      <c r="D186" s="3">
        <v>1</v>
      </c>
      <c r="F186" s="16" t="str" cm="1">
        <f t="array" ref="F1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6" s="31" cm="1">
        <f t="array" ref="G1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6" s="33" t="str">
        <f>_xlfn.IFNA(IF(MOD(HLG_05[[#This Row],[Rit]],
    _xlfn.XLOOKUP($G$2,Int_Sample[Ore],Int_Sample[Inc])) = 0, "YES", "NO"),"")</f>
        <v/>
      </c>
      <c r="I186" s="32" t="str">
        <f>TEXT(HLG_05[[#This Row],[Batch]],"000")&amp; " / " &amp; TEXT(HLG_05[[#This Row],[Rit]],"000")</f>
        <v>N/A / 000</v>
      </c>
      <c r="J186" s="34"/>
      <c r="K186" s="38"/>
      <c r="L186" s="35"/>
      <c r="M186" s="66"/>
      <c r="N186" s="66"/>
      <c r="O186" s="66"/>
      <c r="P186" s="66"/>
      <c r="Q186" s="66"/>
      <c r="R186" s="67"/>
      <c r="S186" s="67"/>
      <c r="T186" s="67"/>
      <c r="U186" s="66"/>
      <c r="V186" s="66"/>
      <c r="W186" s="66"/>
      <c r="X186" s="85"/>
      <c r="AP186" t="str">
        <v/>
      </c>
    </row>
    <row r="187" spans="4:42" ht="15.75" x14ac:dyDescent="0.25">
      <c r="D187" s="3">
        <v>1</v>
      </c>
      <c r="F187" s="16" t="str" cm="1">
        <f t="array" ref="F1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7" s="31" cm="1">
        <f t="array" ref="G1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7" s="33" t="str">
        <f>_xlfn.IFNA(IF(MOD(HLG_05[[#This Row],[Rit]],
    _xlfn.XLOOKUP($G$2,Int_Sample[Ore],Int_Sample[Inc])) = 0, "YES", "NO"),"")</f>
        <v/>
      </c>
      <c r="I187" s="32" t="str">
        <f>TEXT(HLG_05[[#This Row],[Batch]],"000")&amp; " / " &amp; TEXT(HLG_05[[#This Row],[Rit]],"000")</f>
        <v>N/A / 000</v>
      </c>
      <c r="J187" s="34"/>
      <c r="K187" s="38"/>
      <c r="L187" s="35"/>
      <c r="M187" s="66"/>
      <c r="N187" s="66"/>
      <c r="O187" s="66"/>
      <c r="P187" s="66"/>
      <c r="Q187" s="66"/>
      <c r="R187" s="67"/>
      <c r="S187" s="67"/>
      <c r="T187" s="67"/>
      <c r="U187" s="66"/>
      <c r="V187" s="66"/>
      <c r="W187" s="66"/>
      <c r="X187" s="85"/>
      <c r="AP187" t="str">
        <v/>
      </c>
    </row>
    <row r="188" spans="4:42" ht="15.75" x14ac:dyDescent="0.25">
      <c r="D188" s="3">
        <v>1</v>
      </c>
      <c r="F188" s="16" t="str" cm="1">
        <f t="array" ref="F1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8" s="31" cm="1">
        <f t="array" ref="G1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8" s="33" t="str">
        <f>_xlfn.IFNA(IF(MOD(HLG_05[[#This Row],[Rit]],
    _xlfn.XLOOKUP($G$2,Int_Sample[Ore],Int_Sample[Inc])) = 0, "YES", "NO"),"")</f>
        <v/>
      </c>
      <c r="I188" s="32" t="str">
        <f>TEXT(HLG_05[[#This Row],[Batch]],"000")&amp; " / " &amp; TEXT(HLG_05[[#This Row],[Rit]],"000")</f>
        <v>N/A / 000</v>
      </c>
      <c r="J188" s="34"/>
      <c r="K188" s="38"/>
      <c r="L188" s="35"/>
      <c r="M188" s="66"/>
      <c r="N188" s="66"/>
      <c r="O188" s="66"/>
      <c r="P188" s="66"/>
      <c r="Q188" s="66"/>
      <c r="R188" s="67"/>
      <c r="S188" s="67"/>
      <c r="T188" s="67"/>
      <c r="U188" s="66"/>
      <c r="V188" s="66"/>
      <c r="W188" s="66"/>
      <c r="X188" s="85"/>
      <c r="AP188" t="str">
        <v/>
      </c>
    </row>
    <row r="189" spans="4:42" ht="15.75" x14ac:dyDescent="0.25">
      <c r="D189" s="3">
        <v>1</v>
      </c>
      <c r="F189" s="16" t="str" cm="1">
        <f t="array" ref="F1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9" s="31" cm="1">
        <f t="array" ref="G1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9" s="33" t="str">
        <f>_xlfn.IFNA(IF(MOD(HLG_05[[#This Row],[Rit]],
    _xlfn.XLOOKUP($G$2,Int_Sample[Ore],Int_Sample[Inc])) = 0, "YES", "NO"),"")</f>
        <v/>
      </c>
      <c r="I189" s="32" t="str">
        <f>TEXT(HLG_05[[#This Row],[Batch]],"000")&amp; " / " &amp; TEXT(HLG_05[[#This Row],[Rit]],"000")</f>
        <v>N/A / 000</v>
      </c>
      <c r="J189" s="34"/>
      <c r="K189" s="38"/>
      <c r="L189" s="35"/>
      <c r="M189" s="66"/>
      <c r="N189" s="66"/>
      <c r="O189" s="66"/>
      <c r="P189" s="66"/>
      <c r="Q189" s="66"/>
      <c r="R189" s="67"/>
      <c r="S189" s="67"/>
      <c r="T189" s="67"/>
      <c r="U189" s="66"/>
      <c r="V189" s="66"/>
      <c r="W189" s="66"/>
      <c r="X189" s="85"/>
      <c r="AP189" t="str">
        <v/>
      </c>
    </row>
    <row r="190" spans="4:42" ht="15.75" x14ac:dyDescent="0.25">
      <c r="D190" s="3">
        <v>1</v>
      </c>
      <c r="F190" s="16" t="str" cm="1">
        <f t="array" ref="F1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0" s="31" cm="1">
        <f t="array" ref="G1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0" s="33" t="str">
        <f>_xlfn.IFNA(IF(MOD(HLG_05[[#This Row],[Rit]],
    _xlfn.XLOOKUP($G$2,Int_Sample[Ore],Int_Sample[Inc])) = 0, "YES", "NO"),"")</f>
        <v/>
      </c>
      <c r="I190" s="32" t="str">
        <f>TEXT(HLG_05[[#This Row],[Batch]],"000")&amp; " / " &amp; TEXT(HLG_05[[#This Row],[Rit]],"000")</f>
        <v>N/A / 000</v>
      </c>
      <c r="J190" s="34"/>
      <c r="K190" s="38"/>
      <c r="L190" s="35"/>
      <c r="M190" s="66"/>
      <c r="N190" s="66"/>
      <c r="O190" s="66"/>
      <c r="P190" s="66"/>
      <c r="Q190" s="66"/>
      <c r="R190" s="67"/>
      <c r="S190" s="67"/>
      <c r="T190" s="67"/>
      <c r="U190" s="66"/>
      <c r="V190" s="66"/>
      <c r="W190" s="66"/>
      <c r="X190" s="85"/>
      <c r="AP190" t="str">
        <v/>
      </c>
    </row>
    <row r="191" spans="4:42" ht="15.75" x14ac:dyDescent="0.25">
      <c r="D191" s="3">
        <v>1</v>
      </c>
      <c r="F191" s="16" t="str" cm="1">
        <f t="array" ref="F1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1" s="31" cm="1">
        <f t="array" ref="G1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1" s="33" t="str">
        <f>_xlfn.IFNA(IF(MOD(HLG_05[[#This Row],[Rit]],
    _xlfn.XLOOKUP($G$2,Int_Sample[Ore],Int_Sample[Inc])) = 0, "YES", "NO"),"")</f>
        <v/>
      </c>
      <c r="I191" s="32" t="str">
        <f>TEXT(HLG_05[[#This Row],[Batch]],"000")&amp; " / " &amp; TEXT(HLG_05[[#This Row],[Rit]],"000")</f>
        <v>N/A / 000</v>
      </c>
      <c r="J191" s="34"/>
      <c r="K191" s="38"/>
      <c r="L191" s="35"/>
      <c r="M191" s="66"/>
      <c r="N191" s="66"/>
      <c r="O191" s="66"/>
      <c r="P191" s="66"/>
      <c r="Q191" s="66"/>
      <c r="R191" s="67"/>
      <c r="S191" s="67"/>
      <c r="T191" s="67"/>
      <c r="U191" s="66"/>
      <c r="V191" s="66"/>
      <c r="W191" s="66"/>
      <c r="X191" s="85"/>
      <c r="AP191" t="str">
        <v/>
      </c>
    </row>
    <row r="192" spans="4:42" ht="15.75" x14ac:dyDescent="0.25">
      <c r="D192" s="3">
        <v>1</v>
      </c>
      <c r="F192" s="16" t="str" cm="1">
        <f t="array" ref="F1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2" s="31" cm="1">
        <f t="array" ref="G1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2" s="33" t="str">
        <f>_xlfn.IFNA(IF(MOD(HLG_05[[#This Row],[Rit]],
    _xlfn.XLOOKUP($G$2,Int_Sample[Ore],Int_Sample[Inc])) = 0, "YES", "NO"),"")</f>
        <v/>
      </c>
      <c r="I192" s="32" t="str">
        <f>TEXT(HLG_05[[#This Row],[Batch]],"000")&amp; " / " &amp; TEXT(HLG_05[[#This Row],[Rit]],"000")</f>
        <v>N/A / 000</v>
      </c>
      <c r="J192" s="34"/>
      <c r="K192" s="38"/>
      <c r="L192" s="35"/>
      <c r="M192" s="66"/>
      <c r="N192" s="66"/>
      <c r="O192" s="66"/>
      <c r="P192" s="66"/>
      <c r="Q192" s="66"/>
      <c r="R192" s="67"/>
      <c r="S192" s="67"/>
      <c r="T192" s="67"/>
      <c r="U192" s="66"/>
      <c r="V192" s="66"/>
      <c r="W192" s="66"/>
      <c r="X192" s="85"/>
      <c r="AP192" t="str">
        <v/>
      </c>
    </row>
    <row r="193" spans="4:42" ht="15.75" x14ac:dyDescent="0.25">
      <c r="D193" s="3">
        <v>1</v>
      </c>
      <c r="F193" s="16" t="str" cm="1">
        <f t="array" ref="F1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3" s="31" cm="1">
        <f t="array" ref="G1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3" s="33" t="str">
        <f>_xlfn.IFNA(IF(MOD(HLG_05[[#This Row],[Rit]],
    _xlfn.XLOOKUP($G$2,Int_Sample[Ore],Int_Sample[Inc])) = 0, "YES", "NO"),"")</f>
        <v/>
      </c>
      <c r="I193" s="32" t="str">
        <f>TEXT(HLG_05[[#This Row],[Batch]],"000")&amp; " / " &amp; TEXT(HLG_05[[#This Row],[Rit]],"000")</f>
        <v>N/A / 000</v>
      </c>
      <c r="J193" s="34"/>
      <c r="K193" s="38"/>
      <c r="L193" s="35"/>
      <c r="M193" s="66"/>
      <c r="N193" s="66"/>
      <c r="O193" s="66"/>
      <c r="P193" s="66"/>
      <c r="Q193" s="66"/>
      <c r="R193" s="67"/>
      <c r="S193" s="67"/>
      <c r="T193" s="67"/>
      <c r="U193" s="66"/>
      <c r="V193" s="66"/>
      <c r="W193" s="66"/>
      <c r="X193" s="85"/>
      <c r="AP193" t="str">
        <v/>
      </c>
    </row>
    <row r="194" spans="4:42" ht="15.75" x14ac:dyDescent="0.25">
      <c r="D194" s="3">
        <v>1</v>
      </c>
      <c r="F194" s="16" t="str" cm="1">
        <f t="array" ref="F1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4" s="31" cm="1">
        <f t="array" ref="G1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4" s="33" t="str">
        <f>_xlfn.IFNA(IF(MOD(HLG_05[[#This Row],[Rit]],
    _xlfn.XLOOKUP($G$2,Int_Sample[Ore],Int_Sample[Inc])) = 0, "YES", "NO"),"")</f>
        <v/>
      </c>
      <c r="I194" s="32" t="str">
        <f>TEXT(HLG_05[[#This Row],[Batch]],"000")&amp; " / " &amp; TEXT(HLG_05[[#This Row],[Rit]],"000")</f>
        <v>N/A / 000</v>
      </c>
      <c r="J194" s="34"/>
      <c r="K194" s="38"/>
      <c r="L194" s="35"/>
      <c r="M194" s="66"/>
      <c r="N194" s="66"/>
      <c r="O194" s="66"/>
      <c r="P194" s="66"/>
      <c r="Q194" s="66"/>
      <c r="R194" s="67"/>
      <c r="S194" s="67"/>
      <c r="T194" s="67"/>
      <c r="U194" s="66"/>
      <c r="V194" s="66"/>
      <c r="W194" s="66"/>
      <c r="X194" s="85"/>
      <c r="AP194" t="str">
        <v/>
      </c>
    </row>
    <row r="195" spans="4:42" ht="15.75" x14ac:dyDescent="0.25">
      <c r="D195" s="3">
        <v>1</v>
      </c>
      <c r="F195" s="16" t="str" cm="1">
        <f t="array" ref="F1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5" s="31" cm="1">
        <f t="array" ref="G1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5" s="33" t="str">
        <f>_xlfn.IFNA(IF(MOD(HLG_05[[#This Row],[Rit]],
    _xlfn.XLOOKUP($G$2,Int_Sample[Ore],Int_Sample[Inc])) = 0, "YES", "NO"),"")</f>
        <v/>
      </c>
      <c r="I195" s="32" t="str">
        <f>TEXT(HLG_05[[#This Row],[Batch]],"000")&amp; " / " &amp; TEXT(HLG_05[[#This Row],[Rit]],"000")</f>
        <v>N/A / 000</v>
      </c>
      <c r="J195" s="34"/>
      <c r="K195" s="38"/>
      <c r="L195" s="35"/>
      <c r="M195" s="66"/>
      <c r="N195" s="66"/>
      <c r="O195" s="66"/>
      <c r="P195" s="66"/>
      <c r="Q195" s="66"/>
      <c r="R195" s="67"/>
      <c r="S195" s="67"/>
      <c r="T195" s="67"/>
      <c r="U195" s="66"/>
      <c r="V195" s="66"/>
      <c r="W195" s="66"/>
      <c r="X195" s="85"/>
      <c r="AP195" t="str">
        <v/>
      </c>
    </row>
    <row r="196" spans="4:42" ht="15.75" x14ac:dyDescent="0.25">
      <c r="D196" s="3">
        <v>1</v>
      </c>
      <c r="F196" s="16" t="str" cm="1">
        <f t="array" ref="F1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6" s="31" cm="1">
        <f t="array" ref="G1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6" s="33" t="str">
        <f>_xlfn.IFNA(IF(MOD(HLG_05[[#This Row],[Rit]],
    _xlfn.XLOOKUP($G$2,Int_Sample[Ore],Int_Sample[Inc])) = 0, "YES", "NO"),"")</f>
        <v/>
      </c>
      <c r="I196" s="32" t="str">
        <f>TEXT(HLG_05[[#This Row],[Batch]],"000")&amp; " / " &amp; TEXT(HLG_05[[#This Row],[Rit]],"000")</f>
        <v>N/A / 000</v>
      </c>
      <c r="J196" s="34"/>
      <c r="K196" s="38"/>
      <c r="L196" s="35"/>
      <c r="M196" s="66"/>
      <c r="N196" s="66"/>
      <c r="O196" s="66"/>
      <c r="P196" s="66"/>
      <c r="Q196" s="66"/>
      <c r="R196" s="67"/>
      <c r="S196" s="67"/>
      <c r="T196" s="67"/>
      <c r="U196" s="66"/>
      <c r="V196" s="66"/>
      <c r="W196" s="66"/>
      <c r="X196" s="85"/>
      <c r="AP196" t="str">
        <v/>
      </c>
    </row>
    <row r="197" spans="4:42" ht="15.75" x14ac:dyDescent="0.25">
      <c r="D197" s="3">
        <v>1</v>
      </c>
      <c r="F197" s="16" t="str" cm="1">
        <f t="array" ref="F1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7" s="31" cm="1">
        <f t="array" ref="G1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7" s="33" t="str">
        <f>_xlfn.IFNA(IF(MOD(HLG_05[[#This Row],[Rit]],
    _xlfn.XLOOKUP($G$2,Int_Sample[Ore],Int_Sample[Inc])) = 0, "YES", "NO"),"")</f>
        <v/>
      </c>
      <c r="I197" s="32" t="str">
        <f>TEXT(HLG_05[[#This Row],[Batch]],"000")&amp; " / " &amp; TEXT(HLG_05[[#This Row],[Rit]],"000")</f>
        <v>N/A / 000</v>
      </c>
      <c r="J197" s="34"/>
      <c r="K197" s="38"/>
      <c r="L197" s="35"/>
      <c r="M197" s="66"/>
      <c r="N197" s="66"/>
      <c r="O197" s="66"/>
      <c r="P197" s="66"/>
      <c r="Q197" s="66"/>
      <c r="R197" s="67"/>
      <c r="S197" s="67"/>
      <c r="T197" s="67"/>
      <c r="U197" s="66"/>
      <c r="V197" s="66"/>
      <c r="W197" s="66"/>
      <c r="X197" s="85"/>
      <c r="AP197" t="str">
        <v/>
      </c>
    </row>
    <row r="198" spans="4:42" ht="15.75" x14ac:dyDescent="0.25">
      <c r="D198" s="3">
        <v>1</v>
      </c>
      <c r="F198" s="16" t="str" cm="1">
        <f t="array" ref="F1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8" s="31" cm="1">
        <f t="array" ref="G1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8" s="33" t="str">
        <f>_xlfn.IFNA(IF(MOD(HLG_05[[#This Row],[Rit]],
    _xlfn.XLOOKUP($G$2,Int_Sample[Ore],Int_Sample[Inc])) = 0, "YES", "NO"),"")</f>
        <v/>
      </c>
      <c r="I198" s="32" t="str">
        <f>TEXT(HLG_05[[#This Row],[Batch]],"000")&amp; " / " &amp; TEXT(HLG_05[[#This Row],[Rit]],"000")</f>
        <v>N/A / 000</v>
      </c>
      <c r="J198" s="34"/>
      <c r="K198" s="38"/>
      <c r="L198" s="35"/>
      <c r="M198" s="66"/>
      <c r="N198" s="66"/>
      <c r="O198" s="66"/>
      <c r="P198" s="66"/>
      <c r="Q198" s="66"/>
      <c r="R198" s="67"/>
      <c r="S198" s="67"/>
      <c r="T198" s="67"/>
      <c r="U198" s="66"/>
      <c r="V198" s="66"/>
      <c r="W198" s="66"/>
      <c r="X198" s="85"/>
      <c r="AP198" t="str">
        <v/>
      </c>
    </row>
    <row r="199" spans="4:42" ht="15.75" x14ac:dyDescent="0.25">
      <c r="D199" s="3">
        <v>1</v>
      </c>
      <c r="F199" s="16" t="str" cm="1">
        <f t="array" ref="F1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9" s="31" cm="1">
        <f t="array" ref="G1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9" s="33" t="str">
        <f>_xlfn.IFNA(IF(MOD(HLG_05[[#This Row],[Rit]],
    _xlfn.XLOOKUP($G$2,Int_Sample[Ore],Int_Sample[Inc])) = 0, "YES", "NO"),"")</f>
        <v/>
      </c>
      <c r="I199" s="32" t="str">
        <f>TEXT(HLG_05[[#This Row],[Batch]],"000")&amp; " / " &amp; TEXT(HLG_05[[#This Row],[Rit]],"000")</f>
        <v>N/A / 000</v>
      </c>
      <c r="J199" s="34"/>
      <c r="K199" s="38"/>
      <c r="L199" s="35"/>
      <c r="M199" s="66"/>
      <c r="N199" s="66"/>
      <c r="O199" s="66"/>
      <c r="P199" s="66"/>
      <c r="Q199" s="66"/>
      <c r="R199" s="67"/>
      <c r="S199" s="67"/>
      <c r="T199" s="67"/>
      <c r="U199" s="66"/>
      <c r="V199" s="66"/>
      <c r="W199" s="66"/>
      <c r="X199" s="85"/>
      <c r="AP199" t="str">
        <v/>
      </c>
    </row>
    <row r="200" spans="4:42" ht="15.75" x14ac:dyDescent="0.25">
      <c r="D200" s="3">
        <v>1</v>
      </c>
      <c r="F200" s="16" t="str" cm="1">
        <f t="array" ref="F2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0" s="31" cm="1">
        <f t="array" ref="G2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0" s="33" t="str">
        <f>_xlfn.IFNA(IF(MOD(HLG_05[[#This Row],[Rit]],
    _xlfn.XLOOKUP($G$2,Int_Sample[Ore],Int_Sample[Inc])) = 0, "YES", "NO"),"")</f>
        <v/>
      </c>
      <c r="I200" s="32" t="str">
        <f>TEXT(HLG_05[[#This Row],[Batch]],"000")&amp; " / " &amp; TEXT(HLG_05[[#This Row],[Rit]],"000")</f>
        <v>N/A / 000</v>
      </c>
      <c r="J200" s="34"/>
      <c r="K200" s="38"/>
      <c r="L200" s="35"/>
      <c r="M200" s="66"/>
      <c r="N200" s="66"/>
      <c r="O200" s="66"/>
      <c r="P200" s="66"/>
      <c r="Q200" s="66"/>
      <c r="R200" s="67"/>
      <c r="S200" s="67"/>
      <c r="T200" s="67"/>
      <c r="U200" s="66"/>
      <c r="V200" s="66"/>
      <c r="W200" s="66"/>
      <c r="X200" s="85"/>
      <c r="AP200" t="str">
        <v/>
      </c>
    </row>
    <row r="201" spans="4:42" ht="15.75" x14ac:dyDescent="0.25">
      <c r="D201" s="3">
        <v>1</v>
      </c>
      <c r="F201" s="16" t="str" cm="1">
        <f t="array" ref="F2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1" s="31" cm="1">
        <f t="array" ref="G2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1" s="33" t="str">
        <f>_xlfn.IFNA(IF(MOD(HLG_05[[#This Row],[Rit]],
    _xlfn.XLOOKUP($G$2,Int_Sample[Ore],Int_Sample[Inc])) = 0, "YES", "NO"),"")</f>
        <v/>
      </c>
      <c r="I201" s="32" t="str">
        <f>TEXT(HLG_05[[#This Row],[Batch]],"000")&amp; " / " &amp; TEXT(HLG_05[[#This Row],[Rit]],"000")</f>
        <v>N/A / 000</v>
      </c>
      <c r="J201" s="34"/>
      <c r="K201" s="38"/>
      <c r="L201" s="35"/>
      <c r="M201" s="66"/>
      <c r="N201" s="66"/>
      <c r="O201" s="66"/>
      <c r="P201" s="66"/>
      <c r="Q201" s="66"/>
      <c r="R201" s="67"/>
      <c r="S201" s="67"/>
      <c r="T201" s="67"/>
      <c r="U201" s="66"/>
      <c r="V201" s="66"/>
      <c r="W201" s="66"/>
      <c r="X201" s="85"/>
      <c r="AP201" t="str">
        <v/>
      </c>
    </row>
    <row r="202" spans="4:42" ht="15.75" x14ac:dyDescent="0.25">
      <c r="D202" s="3">
        <v>1</v>
      </c>
      <c r="F202" s="16" t="str" cm="1">
        <f t="array" ref="F2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2" s="31" cm="1">
        <f t="array" ref="G2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2" s="33" t="str">
        <f>_xlfn.IFNA(IF(MOD(HLG_05[[#This Row],[Rit]],
    _xlfn.XLOOKUP($G$2,Int_Sample[Ore],Int_Sample[Inc])) = 0, "YES", "NO"),"")</f>
        <v/>
      </c>
      <c r="I202" s="32" t="str">
        <f>TEXT(HLG_05[[#This Row],[Batch]],"000")&amp; " / " &amp; TEXT(HLG_05[[#This Row],[Rit]],"000")</f>
        <v>N/A / 000</v>
      </c>
      <c r="J202" s="34"/>
      <c r="K202" s="38"/>
      <c r="L202" s="35"/>
      <c r="M202" s="66"/>
      <c r="N202" s="66"/>
      <c r="O202" s="66"/>
      <c r="P202" s="66"/>
      <c r="Q202" s="66"/>
      <c r="R202" s="67"/>
      <c r="S202" s="67"/>
      <c r="T202" s="67"/>
      <c r="U202" s="66"/>
      <c r="V202" s="66"/>
      <c r="W202" s="66"/>
      <c r="X202" s="85"/>
      <c r="AP202" t="str">
        <v/>
      </c>
    </row>
    <row r="203" spans="4:42" ht="15.75" x14ac:dyDescent="0.25">
      <c r="D203" s="3">
        <v>1</v>
      </c>
      <c r="F203" s="16" t="str" cm="1">
        <f t="array" ref="F2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3" s="31" cm="1">
        <f t="array" ref="G2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3" s="33" t="str">
        <f>_xlfn.IFNA(IF(MOD(HLG_05[[#This Row],[Rit]],
    _xlfn.XLOOKUP($G$2,Int_Sample[Ore],Int_Sample[Inc])) = 0, "YES", "NO"),"")</f>
        <v/>
      </c>
      <c r="I203" s="32" t="str">
        <f>TEXT(HLG_05[[#This Row],[Batch]],"000")&amp; " / " &amp; TEXT(HLG_05[[#This Row],[Rit]],"000")</f>
        <v>N/A / 000</v>
      </c>
      <c r="J203" s="34"/>
      <c r="K203" s="38"/>
      <c r="L203" s="35"/>
      <c r="M203" s="66"/>
      <c r="N203" s="66"/>
      <c r="O203" s="66"/>
      <c r="P203" s="66"/>
      <c r="Q203" s="66"/>
      <c r="R203" s="67"/>
      <c r="S203" s="67"/>
      <c r="T203" s="67"/>
      <c r="U203" s="66"/>
      <c r="V203" s="66"/>
      <c r="W203" s="66"/>
      <c r="X203" s="85"/>
      <c r="AP203" t="str">
        <v/>
      </c>
    </row>
    <row r="204" spans="4:42" ht="15.75" x14ac:dyDescent="0.25">
      <c r="D204" s="3">
        <v>1</v>
      </c>
      <c r="F204" s="16" t="str" cm="1">
        <f t="array" ref="F2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4" s="31" cm="1">
        <f t="array" ref="G2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4" s="33" t="str">
        <f>_xlfn.IFNA(IF(MOD(HLG_05[[#This Row],[Rit]],
    _xlfn.XLOOKUP($G$2,Int_Sample[Ore],Int_Sample[Inc])) = 0, "YES", "NO"),"")</f>
        <v/>
      </c>
      <c r="I204" s="32" t="str">
        <f>TEXT(HLG_05[[#This Row],[Batch]],"000")&amp; " / " &amp; TEXT(HLG_05[[#This Row],[Rit]],"000")</f>
        <v>N/A / 000</v>
      </c>
      <c r="J204" s="34"/>
      <c r="K204" s="38"/>
      <c r="L204" s="35"/>
      <c r="M204" s="66"/>
      <c r="N204" s="66"/>
      <c r="O204" s="66"/>
      <c r="P204" s="66"/>
      <c r="Q204" s="66"/>
      <c r="R204" s="67"/>
      <c r="S204" s="67"/>
      <c r="T204" s="67"/>
      <c r="U204" s="66"/>
      <c r="V204" s="66"/>
      <c r="W204" s="66"/>
      <c r="X204" s="85"/>
      <c r="AP204" t="str">
        <v/>
      </c>
    </row>
    <row r="205" spans="4:42" ht="15.75" x14ac:dyDescent="0.25">
      <c r="D205" s="3">
        <v>1</v>
      </c>
      <c r="F205" s="16" t="str" cm="1">
        <f t="array" ref="F2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5" s="31" cm="1">
        <f t="array" ref="G2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5" s="33" t="str">
        <f>_xlfn.IFNA(IF(MOD(HLG_05[[#This Row],[Rit]],
    _xlfn.XLOOKUP($G$2,Int_Sample[Ore],Int_Sample[Inc])) = 0, "YES", "NO"),"")</f>
        <v/>
      </c>
      <c r="I205" s="32" t="str">
        <f>TEXT(HLG_05[[#This Row],[Batch]],"000")&amp; " / " &amp; TEXT(HLG_05[[#This Row],[Rit]],"000")</f>
        <v>N/A / 000</v>
      </c>
      <c r="J205" s="34"/>
      <c r="K205" s="38"/>
      <c r="L205" s="35"/>
      <c r="M205" s="66"/>
      <c r="N205" s="66"/>
      <c r="O205" s="66"/>
      <c r="P205" s="66"/>
      <c r="Q205" s="66"/>
      <c r="R205" s="67"/>
      <c r="S205" s="67"/>
      <c r="T205" s="67"/>
      <c r="U205" s="66"/>
      <c r="V205" s="66"/>
      <c r="W205" s="66"/>
      <c r="X205" s="85"/>
      <c r="AP205" t="str">
        <v/>
      </c>
    </row>
    <row r="206" spans="4:42" ht="15.75" x14ac:dyDescent="0.25">
      <c r="D206" s="3">
        <v>1</v>
      </c>
      <c r="F206" s="16" t="str" cm="1">
        <f t="array" ref="F2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6" s="31" cm="1">
        <f t="array" ref="G2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6" s="33" t="str">
        <f>_xlfn.IFNA(IF(MOD(HLG_05[[#This Row],[Rit]],
    _xlfn.XLOOKUP($G$2,Int_Sample[Ore],Int_Sample[Inc])) = 0, "YES", "NO"),"")</f>
        <v/>
      </c>
      <c r="I206" s="32" t="str">
        <f>TEXT(HLG_05[[#This Row],[Batch]],"000")&amp; " / " &amp; TEXT(HLG_05[[#This Row],[Rit]],"000")</f>
        <v>N/A / 000</v>
      </c>
      <c r="J206" s="34"/>
      <c r="K206" s="38"/>
      <c r="L206" s="35"/>
      <c r="M206" s="66"/>
      <c r="N206" s="66"/>
      <c r="O206" s="66"/>
      <c r="P206" s="66"/>
      <c r="Q206" s="66"/>
      <c r="R206" s="67"/>
      <c r="S206" s="67"/>
      <c r="T206" s="67"/>
      <c r="U206" s="66"/>
      <c r="V206" s="66"/>
      <c r="W206" s="66"/>
      <c r="X206" s="85"/>
      <c r="AP206" t="str">
        <v/>
      </c>
    </row>
    <row r="207" spans="4:42" ht="15.75" x14ac:dyDescent="0.25">
      <c r="D207" s="3">
        <v>1</v>
      </c>
      <c r="F207" s="16" t="str" cm="1">
        <f t="array" ref="F2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7" s="31" cm="1">
        <f t="array" ref="G2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7" s="33" t="str">
        <f>_xlfn.IFNA(IF(MOD(HLG_05[[#This Row],[Rit]],
    _xlfn.XLOOKUP($G$2,Int_Sample[Ore],Int_Sample[Inc])) = 0, "YES", "NO"),"")</f>
        <v/>
      </c>
      <c r="I207" s="32" t="str">
        <f>TEXT(HLG_05[[#This Row],[Batch]],"000")&amp; " / " &amp; TEXT(HLG_05[[#This Row],[Rit]],"000")</f>
        <v>N/A / 000</v>
      </c>
      <c r="J207" s="34"/>
      <c r="K207" s="38"/>
      <c r="L207" s="35"/>
      <c r="M207" s="66"/>
      <c r="N207" s="66"/>
      <c r="O207" s="66"/>
      <c r="P207" s="66"/>
      <c r="Q207" s="66"/>
      <c r="R207" s="67"/>
      <c r="S207" s="67"/>
      <c r="T207" s="67"/>
      <c r="U207" s="66"/>
      <c r="V207" s="66"/>
      <c r="W207" s="66"/>
      <c r="X207" s="85"/>
      <c r="AP207" t="str">
        <v/>
      </c>
    </row>
    <row r="208" spans="4:42" ht="15.75" x14ac:dyDescent="0.25">
      <c r="D208" s="3">
        <v>1</v>
      </c>
      <c r="F208" s="16" t="str" cm="1">
        <f t="array" ref="F2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8" s="31" cm="1">
        <f t="array" ref="G2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8" s="33" t="str">
        <f>_xlfn.IFNA(IF(MOD(HLG_05[[#This Row],[Rit]],
    _xlfn.XLOOKUP($G$2,Int_Sample[Ore],Int_Sample[Inc])) = 0, "YES", "NO"),"")</f>
        <v/>
      </c>
      <c r="I208" s="32" t="str">
        <f>TEXT(HLG_05[[#This Row],[Batch]],"000")&amp; " / " &amp; TEXT(HLG_05[[#This Row],[Rit]],"000")</f>
        <v>N/A / 000</v>
      </c>
      <c r="J208" s="34"/>
      <c r="K208" s="38"/>
      <c r="L208" s="35"/>
      <c r="M208" s="66"/>
      <c r="N208" s="66"/>
      <c r="O208" s="66"/>
      <c r="P208" s="66"/>
      <c r="Q208" s="66"/>
      <c r="R208" s="67"/>
      <c r="S208" s="67"/>
      <c r="T208" s="67"/>
      <c r="U208" s="66"/>
      <c r="V208" s="66"/>
      <c r="W208" s="66"/>
      <c r="X208" s="85"/>
      <c r="AP208" t="str">
        <v/>
      </c>
    </row>
    <row r="209" spans="4:42" ht="15.75" x14ac:dyDescent="0.25">
      <c r="D209" s="3">
        <v>1</v>
      </c>
      <c r="F209" s="16" t="str" cm="1">
        <f t="array" ref="F2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9" s="31" cm="1">
        <f t="array" ref="G2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9" s="33" t="str">
        <f>_xlfn.IFNA(IF(MOD(HLG_05[[#This Row],[Rit]],
    _xlfn.XLOOKUP($G$2,Int_Sample[Ore],Int_Sample[Inc])) = 0, "YES", "NO"),"")</f>
        <v/>
      </c>
      <c r="I209" s="32" t="str">
        <f>TEXT(HLG_05[[#This Row],[Batch]],"000")&amp; " / " &amp; TEXT(HLG_05[[#This Row],[Rit]],"000")</f>
        <v>N/A / 000</v>
      </c>
      <c r="J209" s="34"/>
      <c r="K209" s="38"/>
      <c r="L209" s="35"/>
      <c r="M209" s="66"/>
      <c r="N209" s="66"/>
      <c r="O209" s="66"/>
      <c r="P209" s="66"/>
      <c r="Q209" s="66"/>
      <c r="R209" s="67"/>
      <c r="S209" s="67"/>
      <c r="T209" s="67"/>
      <c r="U209" s="66"/>
      <c r="V209" s="66"/>
      <c r="W209" s="66"/>
      <c r="X209" s="85"/>
      <c r="AP209" t="str">
        <v/>
      </c>
    </row>
    <row r="210" spans="4:42" ht="15.75" x14ac:dyDescent="0.25">
      <c r="D210" s="3">
        <v>1</v>
      </c>
      <c r="F210" s="16" t="str" cm="1">
        <f t="array" ref="F2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0" s="31" cm="1">
        <f t="array" ref="G2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0" s="33" t="str">
        <f>_xlfn.IFNA(IF(MOD(HLG_05[[#This Row],[Rit]],
    _xlfn.XLOOKUP($G$2,Int_Sample[Ore],Int_Sample[Inc])) = 0, "YES", "NO"),"")</f>
        <v/>
      </c>
      <c r="I210" s="32" t="str">
        <f>TEXT(HLG_05[[#This Row],[Batch]],"000")&amp; " / " &amp; TEXT(HLG_05[[#This Row],[Rit]],"000")</f>
        <v>N/A / 000</v>
      </c>
      <c r="J210" s="34"/>
      <c r="K210" s="38"/>
      <c r="L210" s="35"/>
      <c r="M210" s="66"/>
      <c r="N210" s="66"/>
      <c r="O210" s="66"/>
      <c r="P210" s="66"/>
      <c r="Q210" s="66"/>
      <c r="R210" s="67"/>
      <c r="S210" s="67"/>
      <c r="T210" s="67"/>
      <c r="U210" s="66"/>
      <c r="V210" s="66"/>
      <c r="W210" s="66"/>
      <c r="X210" s="85"/>
      <c r="AP210" t="str">
        <v/>
      </c>
    </row>
    <row r="211" spans="4:42" ht="15.75" x14ac:dyDescent="0.25">
      <c r="D211" s="3">
        <v>1</v>
      </c>
      <c r="F211" s="16" t="str" cm="1">
        <f t="array" ref="F2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1" s="31" cm="1">
        <f t="array" ref="G2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1" s="33" t="str">
        <f>_xlfn.IFNA(IF(MOD(HLG_05[[#This Row],[Rit]],
    _xlfn.XLOOKUP($G$2,Int_Sample[Ore],Int_Sample[Inc])) = 0, "YES", "NO"),"")</f>
        <v/>
      </c>
      <c r="I211" s="32" t="str">
        <f>TEXT(HLG_05[[#This Row],[Batch]],"000")&amp; " / " &amp; TEXT(HLG_05[[#This Row],[Rit]],"000")</f>
        <v>N/A / 000</v>
      </c>
      <c r="J211" s="34"/>
      <c r="K211" s="38"/>
      <c r="L211" s="35"/>
      <c r="M211" s="66"/>
      <c r="N211" s="66"/>
      <c r="O211" s="66"/>
      <c r="P211" s="66"/>
      <c r="Q211" s="66"/>
      <c r="R211" s="67"/>
      <c r="S211" s="67"/>
      <c r="T211" s="67"/>
      <c r="U211" s="66"/>
      <c r="V211" s="66"/>
      <c r="W211" s="66"/>
      <c r="X211" s="85"/>
      <c r="AP211" t="str">
        <v/>
      </c>
    </row>
    <row r="212" spans="4:42" ht="15.75" x14ac:dyDescent="0.25">
      <c r="D212" s="3">
        <v>1</v>
      </c>
      <c r="F212" s="16" t="str" cm="1">
        <f t="array" ref="F2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2" s="31" cm="1">
        <f t="array" ref="G2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2" s="33" t="str">
        <f>_xlfn.IFNA(IF(MOD(HLG_05[[#This Row],[Rit]],
    _xlfn.XLOOKUP($G$2,Int_Sample[Ore],Int_Sample[Inc])) = 0, "YES", "NO"),"")</f>
        <v/>
      </c>
      <c r="I212" s="32" t="str">
        <f>TEXT(HLG_05[[#This Row],[Batch]],"000")&amp; " / " &amp; TEXT(HLG_05[[#This Row],[Rit]],"000")</f>
        <v>N/A / 000</v>
      </c>
      <c r="J212" s="34"/>
      <c r="K212" s="38"/>
      <c r="L212" s="35"/>
      <c r="M212" s="66"/>
      <c r="N212" s="66"/>
      <c r="O212" s="66"/>
      <c r="P212" s="66"/>
      <c r="Q212" s="66"/>
      <c r="R212" s="67"/>
      <c r="S212" s="67"/>
      <c r="T212" s="67"/>
      <c r="U212" s="66"/>
      <c r="V212" s="66"/>
      <c r="W212" s="66"/>
      <c r="X212" s="85"/>
      <c r="AP212" t="str">
        <v/>
      </c>
    </row>
    <row r="213" spans="4:42" ht="15.75" x14ac:dyDescent="0.25">
      <c r="D213" s="3">
        <v>1</v>
      </c>
      <c r="F213" s="16" t="str" cm="1">
        <f t="array" ref="F2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3" s="31" cm="1">
        <f t="array" ref="G2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3" s="33" t="str">
        <f>_xlfn.IFNA(IF(MOD(HLG_05[[#This Row],[Rit]],
    _xlfn.XLOOKUP($G$2,Int_Sample[Ore],Int_Sample[Inc])) = 0, "YES", "NO"),"")</f>
        <v/>
      </c>
      <c r="I213" s="32" t="str">
        <f>TEXT(HLG_05[[#This Row],[Batch]],"000")&amp; " / " &amp; TEXT(HLG_05[[#This Row],[Rit]],"000")</f>
        <v>N/A / 000</v>
      </c>
      <c r="J213" s="34"/>
      <c r="K213" s="38"/>
      <c r="L213" s="35"/>
      <c r="M213" s="66"/>
      <c r="N213" s="66"/>
      <c r="O213" s="66"/>
      <c r="P213" s="66"/>
      <c r="Q213" s="66"/>
      <c r="R213" s="67"/>
      <c r="S213" s="67"/>
      <c r="T213" s="67"/>
      <c r="U213" s="66"/>
      <c r="V213" s="66"/>
      <c r="W213" s="66"/>
      <c r="X213" s="85"/>
      <c r="AP213" t="str">
        <v/>
      </c>
    </row>
    <row r="214" spans="4:42" ht="15.75" x14ac:dyDescent="0.25">
      <c r="D214" s="3">
        <v>1</v>
      </c>
      <c r="F214" s="16" t="str" cm="1">
        <f t="array" ref="F2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4" s="31" cm="1">
        <f t="array" ref="G2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4" s="33" t="str">
        <f>_xlfn.IFNA(IF(MOD(HLG_05[[#This Row],[Rit]],
    _xlfn.XLOOKUP($G$2,Int_Sample[Ore],Int_Sample[Inc])) = 0, "YES", "NO"),"")</f>
        <v/>
      </c>
      <c r="I214" s="32" t="str">
        <f>TEXT(HLG_05[[#This Row],[Batch]],"000")&amp; " / " &amp; TEXT(HLG_05[[#This Row],[Rit]],"000")</f>
        <v>N/A / 000</v>
      </c>
      <c r="J214" s="34"/>
      <c r="K214" s="38"/>
      <c r="L214" s="35"/>
      <c r="M214" s="66"/>
      <c r="N214" s="66"/>
      <c r="O214" s="66"/>
      <c r="P214" s="66"/>
      <c r="Q214" s="66"/>
      <c r="R214" s="67"/>
      <c r="S214" s="67"/>
      <c r="T214" s="67"/>
      <c r="U214" s="66"/>
      <c r="V214" s="66"/>
      <c r="W214" s="66"/>
      <c r="X214" s="85"/>
      <c r="AP214" t="str">
        <v/>
      </c>
    </row>
    <row r="215" spans="4:42" ht="15.75" x14ac:dyDescent="0.25">
      <c r="D215" s="3">
        <v>1</v>
      </c>
      <c r="F215" s="16" t="str" cm="1">
        <f t="array" ref="F2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5" s="31" cm="1">
        <f t="array" ref="G2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5" s="33" t="str">
        <f>_xlfn.IFNA(IF(MOD(HLG_05[[#This Row],[Rit]],
    _xlfn.XLOOKUP($G$2,Int_Sample[Ore],Int_Sample[Inc])) = 0, "YES", "NO"),"")</f>
        <v/>
      </c>
      <c r="I215" s="32" t="str">
        <f>TEXT(HLG_05[[#This Row],[Batch]],"000")&amp; " / " &amp; TEXT(HLG_05[[#This Row],[Rit]],"000")</f>
        <v>N/A / 000</v>
      </c>
      <c r="J215" s="34"/>
      <c r="K215" s="38"/>
      <c r="L215" s="35"/>
      <c r="M215" s="66"/>
      <c r="N215" s="66"/>
      <c r="O215" s="66"/>
      <c r="P215" s="66"/>
      <c r="Q215" s="66"/>
      <c r="R215" s="67"/>
      <c r="S215" s="67"/>
      <c r="T215" s="67"/>
      <c r="U215" s="66"/>
      <c r="V215" s="66"/>
      <c r="W215" s="66"/>
      <c r="X215" s="85"/>
      <c r="AP215" t="str">
        <v/>
      </c>
    </row>
    <row r="216" spans="4:42" ht="15.75" x14ac:dyDescent="0.25">
      <c r="D216" s="3">
        <v>1</v>
      </c>
      <c r="F216" s="16" t="str" cm="1">
        <f t="array" ref="F2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6" s="31" cm="1">
        <f t="array" ref="G2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6" s="33" t="str">
        <f>_xlfn.IFNA(IF(MOD(HLG_05[[#This Row],[Rit]],
    _xlfn.XLOOKUP($G$2,Int_Sample[Ore],Int_Sample[Inc])) = 0, "YES", "NO"),"")</f>
        <v/>
      </c>
      <c r="I216" s="32" t="str">
        <f>TEXT(HLG_05[[#This Row],[Batch]],"000")&amp; " / " &amp; TEXT(HLG_05[[#This Row],[Rit]],"000")</f>
        <v>N/A / 000</v>
      </c>
      <c r="J216" s="34"/>
      <c r="K216" s="38"/>
      <c r="L216" s="35"/>
      <c r="M216" s="66"/>
      <c r="N216" s="66"/>
      <c r="O216" s="66"/>
      <c r="P216" s="66"/>
      <c r="Q216" s="66"/>
      <c r="R216" s="67"/>
      <c r="S216" s="67"/>
      <c r="T216" s="67"/>
      <c r="U216" s="66"/>
      <c r="V216" s="66"/>
      <c r="W216" s="66"/>
      <c r="X216" s="85"/>
      <c r="AP216" t="str">
        <v/>
      </c>
    </row>
    <row r="217" spans="4:42" ht="15.75" x14ac:dyDescent="0.25">
      <c r="D217" s="3">
        <v>1</v>
      </c>
      <c r="F217" s="16" t="str" cm="1">
        <f t="array" ref="F2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7" s="31" cm="1">
        <f t="array" ref="G2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7" s="33" t="str">
        <f>_xlfn.IFNA(IF(MOD(HLG_05[[#This Row],[Rit]],
    _xlfn.XLOOKUP($G$2,Int_Sample[Ore],Int_Sample[Inc])) = 0, "YES", "NO"),"")</f>
        <v/>
      </c>
      <c r="I217" s="32" t="str">
        <f>TEXT(HLG_05[[#This Row],[Batch]],"000")&amp; " / " &amp; TEXT(HLG_05[[#This Row],[Rit]],"000")</f>
        <v>N/A / 000</v>
      </c>
      <c r="J217" s="34"/>
      <c r="K217" s="38"/>
      <c r="L217" s="35"/>
      <c r="M217" s="66"/>
      <c r="N217" s="66"/>
      <c r="O217" s="66"/>
      <c r="P217" s="66"/>
      <c r="Q217" s="66"/>
      <c r="R217" s="67"/>
      <c r="S217" s="67"/>
      <c r="T217" s="67"/>
      <c r="U217" s="66"/>
      <c r="V217" s="66"/>
      <c r="W217" s="66"/>
      <c r="X217" s="85"/>
      <c r="AP217" t="str">
        <v/>
      </c>
    </row>
    <row r="218" spans="4:42" ht="15.75" x14ac:dyDescent="0.25">
      <c r="D218" s="3">
        <v>1</v>
      </c>
      <c r="F218" s="16" t="str" cm="1">
        <f t="array" ref="F2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8" s="31" cm="1">
        <f t="array" ref="G2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8" s="33" t="str">
        <f>_xlfn.IFNA(IF(MOD(HLG_05[[#This Row],[Rit]],
    _xlfn.XLOOKUP($G$2,Int_Sample[Ore],Int_Sample[Inc])) = 0, "YES", "NO"),"")</f>
        <v/>
      </c>
      <c r="I218" s="32" t="str">
        <f>TEXT(HLG_05[[#This Row],[Batch]],"000")&amp; " / " &amp; TEXT(HLG_05[[#This Row],[Rit]],"000")</f>
        <v>N/A / 000</v>
      </c>
      <c r="J218" s="34"/>
      <c r="K218" s="38"/>
      <c r="L218" s="35"/>
      <c r="M218" s="66"/>
      <c r="N218" s="66"/>
      <c r="O218" s="66"/>
      <c r="P218" s="66"/>
      <c r="Q218" s="66"/>
      <c r="R218" s="67"/>
      <c r="S218" s="67"/>
      <c r="T218" s="67"/>
      <c r="U218" s="66"/>
      <c r="V218" s="66"/>
      <c r="W218" s="66"/>
      <c r="X218" s="85"/>
      <c r="AP218" t="str">
        <v/>
      </c>
    </row>
    <row r="219" spans="4:42" ht="15.75" x14ac:dyDescent="0.25">
      <c r="D219" s="3">
        <v>1</v>
      </c>
      <c r="F219" s="16" t="str" cm="1">
        <f t="array" ref="F2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9" s="31" cm="1">
        <f t="array" ref="G2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9" s="33" t="str">
        <f>_xlfn.IFNA(IF(MOD(HLG_05[[#This Row],[Rit]],
    _xlfn.XLOOKUP($G$2,Int_Sample[Ore],Int_Sample[Inc])) = 0, "YES", "NO"),"")</f>
        <v/>
      </c>
      <c r="I219" s="32" t="str">
        <f>TEXT(HLG_05[[#This Row],[Batch]],"000")&amp; " / " &amp; TEXT(HLG_05[[#This Row],[Rit]],"000")</f>
        <v>N/A / 000</v>
      </c>
      <c r="J219" s="34"/>
      <c r="K219" s="38"/>
      <c r="L219" s="35"/>
      <c r="M219" s="66"/>
      <c r="N219" s="66"/>
      <c r="O219" s="66"/>
      <c r="P219" s="66"/>
      <c r="Q219" s="66"/>
      <c r="R219" s="67"/>
      <c r="S219" s="67"/>
      <c r="T219" s="67"/>
      <c r="U219" s="66"/>
      <c r="V219" s="66"/>
      <c r="W219" s="66"/>
      <c r="X219" s="85"/>
      <c r="AP219" t="str">
        <v/>
      </c>
    </row>
    <row r="220" spans="4:42" ht="15.75" x14ac:dyDescent="0.25">
      <c r="D220" s="3">
        <v>1</v>
      </c>
      <c r="F220" s="16" t="str" cm="1">
        <f t="array" ref="F2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0" s="31" cm="1">
        <f t="array" ref="G2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0" s="33" t="str">
        <f>_xlfn.IFNA(IF(MOD(HLG_05[[#This Row],[Rit]],
    _xlfn.XLOOKUP($G$2,Int_Sample[Ore],Int_Sample[Inc])) = 0, "YES", "NO"),"")</f>
        <v/>
      </c>
      <c r="I220" s="32" t="str">
        <f>TEXT(HLG_05[[#This Row],[Batch]],"000")&amp; " / " &amp; TEXT(HLG_05[[#This Row],[Rit]],"000")</f>
        <v>N/A / 000</v>
      </c>
      <c r="J220" s="34"/>
      <c r="K220" s="38"/>
      <c r="L220" s="35"/>
      <c r="M220" s="66"/>
      <c r="N220" s="66"/>
      <c r="O220" s="66"/>
      <c r="P220" s="66"/>
      <c r="Q220" s="66"/>
      <c r="R220" s="67"/>
      <c r="S220" s="67"/>
      <c r="T220" s="67"/>
      <c r="U220" s="66"/>
      <c r="V220" s="66"/>
      <c r="W220" s="66"/>
      <c r="X220" s="85"/>
      <c r="AP220" t="str">
        <v/>
      </c>
    </row>
    <row r="221" spans="4:42" ht="15.75" x14ac:dyDescent="0.25">
      <c r="D221" s="3">
        <v>1</v>
      </c>
      <c r="F221" s="16" t="str" cm="1">
        <f t="array" ref="F2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1" s="31" cm="1">
        <f t="array" ref="G2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1" s="33" t="str">
        <f>_xlfn.IFNA(IF(MOD(HLG_05[[#This Row],[Rit]],
    _xlfn.XLOOKUP($G$2,Int_Sample[Ore],Int_Sample[Inc])) = 0, "YES", "NO"),"")</f>
        <v/>
      </c>
      <c r="I221" s="32" t="str">
        <f>TEXT(HLG_05[[#This Row],[Batch]],"000")&amp; " / " &amp; TEXT(HLG_05[[#This Row],[Rit]],"000")</f>
        <v>N/A / 000</v>
      </c>
      <c r="J221" s="34"/>
      <c r="K221" s="38"/>
      <c r="L221" s="35"/>
      <c r="M221" s="66"/>
      <c r="N221" s="66"/>
      <c r="O221" s="66"/>
      <c r="P221" s="66"/>
      <c r="Q221" s="66"/>
      <c r="R221" s="67"/>
      <c r="S221" s="67"/>
      <c r="T221" s="67"/>
      <c r="U221" s="66"/>
      <c r="V221" s="66"/>
      <c r="W221" s="66"/>
      <c r="X221" s="85"/>
      <c r="AP221" t="str">
        <v/>
      </c>
    </row>
    <row r="222" spans="4:42" ht="15.75" x14ac:dyDescent="0.25">
      <c r="D222" s="3">
        <v>1</v>
      </c>
      <c r="F222" s="16" t="str" cm="1">
        <f t="array" ref="F2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2" s="31" cm="1">
        <f t="array" ref="G2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2" s="33" t="str">
        <f>_xlfn.IFNA(IF(MOD(HLG_05[[#This Row],[Rit]],
    _xlfn.XLOOKUP($G$2,Int_Sample[Ore],Int_Sample[Inc])) = 0, "YES", "NO"),"")</f>
        <v/>
      </c>
      <c r="I222" s="32" t="str">
        <f>TEXT(HLG_05[[#This Row],[Batch]],"000")&amp; " / " &amp; TEXT(HLG_05[[#This Row],[Rit]],"000")</f>
        <v>N/A / 000</v>
      </c>
      <c r="J222" s="34"/>
      <c r="K222" s="38"/>
      <c r="L222" s="35"/>
      <c r="M222" s="66"/>
      <c r="N222" s="66"/>
      <c r="O222" s="66"/>
      <c r="P222" s="66"/>
      <c r="Q222" s="66"/>
      <c r="R222" s="67"/>
      <c r="S222" s="67"/>
      <c r="T222" s="67"/>
      <c r="U222" s="66"/>
      <c r="V222" s="66"/>
      <c r="W222" s="66"/>
      <c r="X222" s="85"/>
      <c r="AP222" t="str">
        <v/>
      </c>
    </row>
    <row r="223" spans="4:42" ht="15.75" x14ac:dyDescent="0.25">
      <c r="D223" s="3">
        <v>1</v>
      </c>
      <c r="F223" s="16" t="str" cm="1">
        <f t="array" ref="F2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3" s="31" cm="1">
        <f t="array" ref="G2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3" s="33" t="str">
        <f>_xlfn.IFNA(IF(MOD(HLG_05[[#This Row],[Rit]],
    _xlfn.XLOOKUP($G$2,Int_Sample[Ore],Int_Sample[Inc])) = 0, "YES", "NO"),"")</f>
        <v/>
      </c>
      <c r="I223" s="32" t="str">
        <f>TEXT(HLG_05[[#This Row],[Batch]],"000")&amp; " / " &amp; TEXT(HLG_05[[#This Row],[Rit]],"000")</f>
        <v>N/A / 000</v>
      </c>
      <c r="J223" s="34"/>
      <c r="K223" s="38"/>
      <c r="L223" s="35"/>
      <c r="M223" s="66"/>
      <c r="N223" s="66"/>
      <c r="O223" s="66"/>
      <c r="P223" s="66"/>
      <c r="Q223" s="66"/>
      <c r="R223" s="67"/>
      <c r="S223" s="67"/>
      <c r="T223" s="67"/>
      <c r="U223" s="66"/>
      <c r="V223" s="66"/>
      <c r="W223" s="66"/>
      <c r="X223" s="85"/>
      <c r="AP223" t="str">
        <v/>
      </c>
    </row>
    <row r="224" spans="4:42" ht="15.75" x14ac:dyDescent="0.25">
      <c r="D224" s="3">
        <v>1</v>
      </c>
      <c r="F224" s="16" t="str" cm="1">
        <f t="array" ref="F2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4" s="31" cm="1">
        <f t="array" ref="G2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4" s="33" t="str">
        <f>_xlfn.IFNA(IF(MOD(HLG_05[[#This Row],[Rit]],
    _xlfn.XLOOKUP($G$2,Int_Sample[Ore],Int_Sample[Inc])) = 0, "YES", "NO"),"")</f>
        <v/>
      </c>
      <c r="I224" s="32" t="str">
        <f>TEXT(HLG_05[[#This Row],[Batch]],"000")&amp; " / " &amp; TEXT(HLG_05[[#This Row],[Rit]],"000")</f>
        <v>N/A / 000</v>
      </c>
      <c r="J224" s="34"/>
      <c r="K224" s="38"/>
      <c r="L224" s="35"/>
      <c r="M224" s="66"/>
      <c r="N224" s="66"/>
      <c r="O224" s="66"/>
      <c r="P224" s="66"/>
      <c r="Q224" s="66"/>
      <c r="R224" s="67"/>
      <c r="S224" s="67"/>
      <c r="T224" s="67"/>
      <c r="U224" s="66"/>
      <c r="V224" s="66"/>
      <c r="W224" s="66"/>
      <c r="X224" s="85"/>
      <c r="AP224" t="str">
        <v/>
      </c>
    </row>
    <row r="225" spans="4:42" ht="15.75" x14ac:dyDescent="0.25">
      <c r="D225" s="3">
        <v>1</v>
      </c>
      <c r="F225" s="16" t="str" cm="1">
        <f t="array" ref="F2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5" s="31" cm="1">
        <f t="array" ref="G2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5" s="33" t="str">
        <f>_xlfn.IFNA(IF(MOD(HLG_05[[#This Row],[Rit]],
    _xlfn.XLOOKUP($G$2,Int_Sample[Ore],Int_Sample[Inc])) = 0, "YES", "NO"),"")</f>
        <v/>
      </c>
      <c r="I225" s="32" t="str">
        <f>TEXT(HLG_05[[#This Row],[Batch]],"000")&amp; " / " &amp; TEXT(HLG_05[[#This Row],[Rit]],"000")</f>
        <v>N/A / 000</v>
      </c>
      <c r="J225" s="34"/>
      <c r="K225" s="38"/>
      <c r="L225" s="35"/>
      <c r="M225" s="66"/>
      <c r="N225" s="66"/>
      <c r="O225" s="66"/>
      <c r="P225" s="66"/>
      <c r="Q225" s="66"/>
      <c r="R225" s="67"/>
      <c r="S225" s="67"/>
      <c r="T225" s="67"/>
      <c r="U225" s="66"/>
      <c r="V225" s="66"/>
      <c r="W225" s="66"/>
      <c r="X225" s="85"/>
      <c r="AP225" t="str">
        <v/>
      </c>
    </row>
    <row r="226" spans="4:42" ht="15.75" x14ac:dyDescent="0.25">
      <c r="D226" s="3">
        <v>1</v>
      </c>
      <c r="F226" s="16" t="str" cm="1">
        <f t="array" ref="F2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6" s="31" cm="1">
        <f t="array" ref="G2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6" s="33" t="str">
        <f>_xlfn.IFNA(IF(MOD(HLG_05[[#This Row],[Rit]],
    _xlfn.XLOOKUP($G$2,Int_Sample[Ore],Int_Sample[Inc])) = 0, "YES", "NO"),"")</f>
        <v/>
      </c>
      <c r="I226" s="32" t="str">
        <f>TEXT(HLG_05[[#This Row],[Batch]],"000")&amp; " / " &amp; TEXT(HLG_05[[#This Row],[Rit]],"000")</f>
        <v>N/A / 000</v>
      </c>
      <c r="J226" s="34"/>
      <c r="K226" s="38"/>
      <c r="L226" s="35"/>
      <c r="M226" s="66"/>
      <c r="N226" s="66"/>
      <c r="O226" s="66"/>
      <c r="P226" s="66"/>
      <c r="Q226" s="66"/>
      <c r="R226" s="67"/>
      <c r="S226" s="67"/>
      <c r="T226" s="67"/>
      <c r="U226" s="66"/>
      <c r="V226" s="66"/>
      <c r="W226" s="66"/>
      <c r="X226" s="85"/>
      <c r="AP226" t="str">
        <v/>
      </c>
    </row>
    <row r="227" spans="4:42" ht="15.75" x14ac:dyDescent="0.25">
      <c r="D227" s="3">
        <v>1</v>
      </c>
      <c r="F227" s="16" t="str" cm="1">
        <f t="array" ref="F2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7" s="31" cm="1">
        <f t="array" ref="G2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7" s="33" t="str">
        <f>_xlfn.IFNA(IF(MOD(HLG_05[[#This Row],[Rit]],
    _xlfn.XLOOKUP($G$2,Int_Sample[Ore],Int_Sample[Inc])) = 0, "YES", "NO"),"")</f>
        <v/>
      </c>
      <c r="I227" s="32" t="str">
        <f>TEXT(HLG_05[[#This Row],[Batch]],"000")&amp; " / " &amp; TEXT(HLG_05[[#This Row],[Rit]],"000")</f>
        <v>N/A / 000</v>
      </c>
      <c r="J227" s="34"/>
      <c r="K227" s="38"/>
      <c r="L227" s="35"/>
      <c r="M227" s="66"/>
      <c r="N227" s="66"/>
      <c r="O227" s="66"/>
      <c r="P227" s="66"/>
      <c r="Q227" s="66"/>
      <c r="R227" s="67"/>
      <c r="S227" s="67"/>
      <c r="T227" s="67"/>
      <c r="U227" s="66"/>
      <c r="V227" s="66"/>
      <c r="W227" s="66"/>
      <c r="X227" s="85"/>
      <c r="AP227" t="str">
        <v/>
      </c>
    </row>
    <row r="228" spans="4:42" ht="15.75" x14ac:dyDescent="0.25">
      <c r="D228" s="3">
        <v>1</v>
      </c>
      <c r="F228" s="16" t="str" cm="1">
        <f t="array" ref="F2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8" s="31" cm="1">
        <f t="array" ref="G2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8" s="33" t="str">
        <f>_xlfn.IFNA(IF(MOD(HLG_05[[#This Row],[Rit]],
    _xlfn.XLOOKUP($G$2,Int_Sample[Ore],Int_Sample[Inc])) = 0, "YES", "NO"),"")</f>
        <v/>
      </c>
      <c r="I228" s="32" t="str">
        <f>TEXT(HLG_05[[#This Row],[Batch]],"000")&amp; " / " &amp; TEXT(HLG_05[[#This Row],[Rit]],"000")</f>
        <v>N/A / 000</v>
      </c>
      <c r="J228" s="34"/>
      <c r="K228" s="38"/>
      <c r="L228" s="35"/>
      <c r="M228" s="66"/>
      <c r="N228" s="66"/>
      <c r="O228" s="66"/>
      <c r="P228" s="66"/>
      <c r="Q228" s="66"/>
      <c r="R228" s="67"/>
      <c r="S228" s="67"/>
      <c r="T228" s="67"/>
      <c r="U228" s="66"/>
      <c r="V228" s="66"/>
      <c r="W228" s="66"/>
      <c r="X228" s="85"/>
      <c r="AP228" t="str">
        <v/>
      </c>
    </row>
    <row r="229" spans="4:42" ht="15.75" x14ac:dyDescent="0.25">
      <c r="D229" s="3">
        <v>1</v>
      </c>
      <c r="F229" s="16" t="str" cm="1">
        <f t="array" ref="F2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9" s="31" cm="1">
        <f t="array" ref="G2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9" s="33" t="str">
        <f>_xlfn.IFNA(IF(MOD(HLG_05[[#This Row],[Rit]],
    _xlfn.XLOOKUP($G$2,Int_Sample[Ore],Int_Sample[Inc])) = 0, "YES", "NO"),"")</f>
        <v/>
      </c>
      <c r="I229" s="32" t="str">
        <f>TEXT(HLG_05[[#This Row],[Batch]],"000")&amp; " / " &amp; TEXT(HLG_05[[#This Row],[Rit]],"000")</f>
        <v>N/A / 000</v>
      </c>
      <c r="J229" s="34"/>
      <c r="K229" s="38"/>
      <c r="L229" s="35"/>
      <c r="M229" s="66"/>
      <c r="N229" s="66"/>
      <c r="O229" s="66"/>
      <c r="P229" s="66"/>
      <c r="Q229" s="66"/>
      <c r="R229" s="67"/>
      <c r="S229" s="67"/>
      <c r="T229" s="67"/>
      <c r="U229" s="66"/>
      <c r="V229" s="66"/>
      <c r="W229" s="66"/>
      <c r="X229" s="85"/>
      <c r="AP229" t="str">
        <v/>
      </c>
    </row>
    <row r="230" spans="4:42" ht="15.75" x14ac:dyDescent="0.25">
      <c r="D230" s="3">
        <v>1</v>
      </c>
      <c r="F230" s="16" t="str" cm="1">
        <f t="array" ref="F2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0" s="31" cm="1">
        <f t="array" ref="G2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0" s="33" t="str">
        <f>_xlfn.IFNA(IF(MOD(HLG_05[[#This Row],[Rit]],
    _xlfn.XLOOKUP($G$2,Int_Sample[Ore],Int_Sample[Inc])) = 0, "YES", "NO"),"")</f>
        <v/>
      </c>
      <c r="I230" s="32" t="str">
        <f>TEXT(HLG_05[[#This Row],[Batch]],"000")&amp; " / " &amp; TEXT(HLG_05[[#This Row],[Rit]],"000")</f>
        <v>N/A / 000</v>
      </c>
      <c r="J230" s="34"/>
      <c r="K230" s="38"/>
      <c r="L230" s="35"/>
      <c r="M230" s="66"/>
      <c r="N230" s="66"/>
      <c r="O230" s="66"/>
      <c r="P230" s="66"/>
      <c r="Q230" s="66"/>
      <c r="R230" s="67"/>
      <c r="S230" s="67"/>
      <c r="T230" s="67"/>
      <c r="U230" s="66"/>
      <c r="V230" s="66"/>
      <c r="W230" s="66"/>
      <c r="X230" s="85"/>
      <c r="AP230" t="str">
        <v/>
      </c>
    </row>
    <row r="231" spans="4:42" ht="15.75" x14ac:dyDescent="0.25">
      <c r="D231" s="3">
        <v>1</v>
      </c>
      <c r="F231" s="16" t="str" cm="1">
        <f t="array" ref="F2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1" s="31" cm="1">
        <f t="array" ref="G2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1" s="33" t="str">
        <f>_xlfn.IFNA(IF(MOD(HLG_05[[#This Row],[Rit]],
    _xlfn.XLOOKUP($G$2,Int_Sample[Ore],Int_Sample[Inc])) = 0, "YES", "NO"),"")</f>
        <v/>
      </c>
      <c r="I231" s="32" t="str">
        <f>TEXT(HLG_05[[#This Row],[Batch]],"000")&amp; " / " &amp; TEXT(HLG_05[[#This Row],[Rit]],"000")</f>
        <v>N/A / 000</v>
      </c>
      <c r="J231" s="34"/>
      <c r="K231" s="38"/>
      <c r="L231" s="35"/>
      <c r="M231" s="66"/>
      <c r="N231" s="66"/>
      <c r="O231" s="66"/>
      <c r="P231" s="66"/>
      <c r="Q231" s="66"/>
      <c r="R231" s="67"/>
      <c r="S231" s="67"/>
      <c r="T231" s="67"/>
      <c r="U231" s="66"/>
      <c r="V231" s="66"/>
      <c r="W231" s="66"/>
      <c r="X231" s="85"/>
      <c r="AP231" t="str">
        <v/>
      </c>
    </row>
    <row r="232" spans="4:42" ht="15.75" x14ac:dyDescent="0.25">
      <c r="D232" s="3">
        <v>1</v>
      </c>
      <c r="F232" s="16" t="str" cm="1">
        <f t="array" ref="F2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2" s="31" cm="1">
        <f t="array" ref="G2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2" s="33" t="str">
        <f>_xlfn.IFNA(IF(MOD(HLG_05[[#This Row],[Rit]],
    _xlfn.XLOOKUP($G$2,Int_Sample[Ore],Int_Sample[Inc])) = 0, "YES", "NO"),"")</f>
        <v/>
      </c>
      <c r="I232" s="32" t="str">
        <f>TEXT(HLG_05[[#This Row],[Batch]],"000")&amp; " / " &amp; TEXT(HLG_05[[#This Row],[Rit]],"000")</f>
        <v>N/A / 000</v>
      </c>
      <c r="J232" s="34"/>
      <c r="K232" s="38"/>
      <c r="L232" s="35"/>
      <c r="M232" s="66"/>
      <c r="N232" s="66"/>
      <c r="O232" s="66"/>
      <c r="P232" s="66"/>
      <c r="Q232" s="66"/>
      <c r="R232" s="67"/>
      <c r="S232" s="67"/>
      <c r="T232" s="67"/>
      <c r="U232" s="66"/>
      <c r="V232" s="66"/>
      <c r="W232" s="66"/>
      <c r="X232" s="85"/>
      <c r="AP232" t="str">
        <v/>
      </c>
    </row>
    <row r="233" spans="4:42" ht="15.75" x14ac:dyDescent="0.25">
      <c r="D233" s="3">
        <v>1</v>
      </c>
      <c r="F233" s="16" t="str" cm="1">
        <f t="array" ref="F2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3" s="31" cm="1">
        <f t="array" ref="G2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3" s="33" t="str">
        <f>_xlfn.IFNA(IF(MOD(HLG_05[[#This Row],[Rit]],
    _xlfn.XLOOKUP($G$2,Int_Sample[Ore],Int_Sample[Inc])) = 0, "YES", "NO"),"")</f>
        <v/>
      </c>
      <c r="I233" s="32" t="str">
        <f>TEXT(HLG_05[[#This Row],[Batch]],"000")&amp; " / " &amp; TEXT(HLG_05[[#This Row],[Rit]],"000")</f>
        <v>N/A / 000</v>
      </c>
      <c r="J233" s="34"/>
      <c r="K233" s="38"/>
      <c r="L233" s="35"/>
      <c r="M233" s="66"/>
      <c r="N233" s="66"/>
      <c r="O233" s="66"/>
      <c r="P233" s="66"/>
      <c r="Q233" s="66"/>
      <c r="R233" s="67"/>
      <c r="S233" s="67"/>
      <c r="T233" s="67"/>
      <c r="U233" s="66"/>
      <c r="V233" s="66"/>
      <c r="W233" s="66"/>
      <c r="X233" s="85"/>
      <c r="AP233" t="str">
        <v/>
      </c>
    </row>
    <row r="234" spans="4:42" ht="15.75" x14ac:dyDescent="0.25">
      <c r="D234" s="3">
        <v>1</v>
      </c>
      <c r="F234" s="16" t="str" cm="1">
        <f t="array" ref="F2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4" s="31" cm="1">
        <f t="array" ref="G2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4" s="33" t="str">
        <f>_xlfn.IFNA(IF(MOD(HLG_05[[#This Row],[Rit]],
    _xlfn.XLOOKUP($G$2,Int_Sample[Ore],Int_Sample[Inc])) = 0, "YES", "NO"),"")</f>
        <v/>
      </c>
      <c r="I234" s="32" t="str">
        <f>TEXT(HLG_05[[#This Row],[Batch]],"000")&amp; " / " &amp; TEXT(HLG_05[[#This Row],[Rit]],"000")</f>
        <v>N/A / 000</v>
      </c>
      <c r="J234" s="34"/>
      <c r="K234" s="38"/>
      <c r="L234" s="35"/>
      <c r="M234" s="66"/>
      <c r="N234" s="66"/>
      <c r="O234" s="66"/>
      <c r="P234" s="66"/>
      <c r="Q234" s="66"/>
      <c r="R234" s="67"/>
      <c r="S234" s="67"/>
      <c r="T234" s="67"/>
      <c r="U234" s="66"/>
      <c r="V234" s="66"/>
      <c r="W234" s="66"/>
      <c r="X234" s="85"/>
      <c r="AP234" t="str">
        <v/>
      </c>
    </row>
    <row r="235" spans="4:42" ht="15.75" x14ac:dyDescent="0.25">
      <c r="D235" s="3">
        <v>1</v>
      </c>
      <c r="F235" s="16" t="str" cm="1">
        <f t="array" ref="F2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5" s="31" cm="1">
        <f t="array" ref="G2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5" s="33" t="str">
        <f>_xlfn.IFNA(IF(MOD(HLG_05[[#This Row],[Rit]],
    _xlfn.XLOOKUP($G$2,Int_Sample[Ore],Int_Sample[Inc])) = 0, "YES", "NO"),"")</f>
        <v/>
      </c>
      <c r="I235" s="32" t="str">
        <f>TEXT(HLG_05[[#This Row],[Batch]],"000")&amp; " / " &amp; TEXT(HLG_05[[#This Row],[Rit]],"000")</f>
        <v>N/A / 000</v>
      </c>
      <c r="J235" s="34"/>
      <c r="K235" s="38"/>
      <c r="L235" s="35"/>
      <c r="M235" s="66"/>
      <c r="N235" s="66"/>
      <c r="O235" s="66"/>
      <c r="P235" s="66"/>
      <c r="Q235" s="66"/>
      <c r="R235" s="67"/>
      <c r="S235" s="67"/>
      <c r="T235" s="67"/>
      <c r="U235" s="66"/>
      <c r="V235" s="66"/>
      <c r="W235" s="66"/>
      <c r="X235" s="85"/>
      <c r="AP235" t="str">
        <v/>
      </c>
    </row>
    <row r="236" spans="4:42" ht="15.75" x14ac:dyDescent="0.25">
      <c r="D236" s="3">
        <v>1</v>
      </c>
      <c r="F236" s="16" t="str" cm="1">
        <f t="array" ref="F2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6" s="31" cm="1">
        <f t="array" ref="G2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6" s="33" t="str">
        <f>_xlfn.IFNA(IF(MOD(HLG_05[[#This Row],[Rit]],
    _xlfn.XLOOKUP($G$2,Int_Sample[Ore],Int_Sample[Inc])) = 0, "YES", "NO"),"")</f>
        <v/>
      </c>
      <c r="I236" s="32" t="str">
        <f>TEXT(HLG_05[[#This Row],[Batch]],"000")&amp; " / " &amp; TEXT(HLG_05[[#This Row],[Rit]],"000")</f>
        <v>N/A / 000</v>
      </c>
      <c r="J236" s="34"/>
      <c r="K236" s="38"/>
      <c r="L236" s="35"/>
      <c r="M236" s="66"/>
      <c r="N236" s="66"/>
      <c r="O236" s="66"/>
      <c r="P236" s="66"/>
      <c r="Q236" s="66"/>
      <c r="R236" s="67"/>
      <c r="S236" s="67"/>
      <c r="T236" s="67"/>
      <c r="U236" s="66"/>
      <c r="V236" s="66"/>
      <c r="W236" s="66"/>
      <c r="X236" s="85"/>
      <c r="AP236" t="str">
        <v/>
      </c>
    </row>
    <row r="237" spans="4:42" ht="15.75" x14ac:dyDescent="0.25">
      <c r="D237" s="3">
        <v>1</v>
      </c>
      <c r="F237" s="16" t="str" cm="1">
        <f t="array" ref="F2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7" s="31" cm="1">
        <f t="array" ref="G2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7" s="33" t="str">
        <f>_xlfn.IFNA(IF(MOD(HLG_05[[#This Row],[Rit]],
    _xlfn.XLOOKUP($G$2,Int_Sample[Ore],Int_Sample[Inc])) = 0, "YES", "NO"),"")</f>
        <v/>
      </c>
      <c r="I237" s="32" t="str">
        <f>TEXT(HLG_05[[#This Row],[Batch]],"000")&amp; " / " &amp; TEXT(HLG_05[[#This Row],[Rit]],"000")</f>
        <v>N/A / 000</v>
      </c>
      <c r="J237" s="34"/>
      <c r="K237" s="38"/>
      <c r="L237" s="35"/>
      <c r="M237" s="66"/>
      <c r="N237" s="66"/>
      <c r="O237" s="66"/>
      <c r="P237" s="66"/>
      <c r="Q237" s="66"/>
      <c r="R237" s="67"/>
      <c r="S237" s="67"/>
      <c r="T237" s="67"/>
      <c r="U237" s="66"/>
      <c r="V237" s="66"/>
      <c r="W237" s="66"/>
      <c r="X237" s="85"/>
      <c r="AP237" t="str">
        <v/>
      </c>
    </row>
    <row r="238" spans="4:42" ht="15.75" x14ac:dyDescent="0.25">
      <c r="D238" s="3">
        <v>1</v>
      </c>
      <c r="F238" s="16" t="str" cm="1">
        <f t="array" ref="F2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8" s="31" cm="1">
        <f t="array" ref="G2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8" s="33" t="str">
        <f>_xlfn.IFNA(IF(MOD(HLG_05[[#This Row],[Rit]],
    _xlfn.XLOOKUP($G$2,Int_Sample[Ore],Int_Sample[Inc])) = 0, "YES", "NO"),"")</f>
        <v/>
      </c>
      <c r="I238" s="32" t="str">
        <f>TEXT(HLG_05[[#This Row],[Batch]],"000")&amp; " / " &amp; TEXT(HLG_05[[#This Row],[Rit]],"000")</f>
        <v>N/A / 000</v>
      </c>
      <c r="J238" s="34"/>
      <c r="K238" s="38"/>
      <c r="L238" s="35"/>
      <c r="M238" s="66"/>
      <c r="N238" s="66"/>
      <c r="O238" s="66"/>
      <c r="P238" s="66"/>
      <c r="Q238" s="66"/>
      <c r="R238" s="67"/>
      <c r="S238" s="67"/>
      <c r="T238" s="67"/>
      <c r="U238" s="66"/>
      <c r="V238" s="66"/>
      <c r="W238" s="66"/>
      <c r="X238" s="85"/>
      <c r="AP238" t="str">
        <v/>
      </c>
    </row>
    <row r="239" spans="4:42" ht="15.75" x14ac:dyDescent="0.25">
      <c r="D239" s="3">
        <v>1</v>
      </c>
      <c r="F239" s="16" t="str" cm="1">
        <f t="array" ref="F2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9" s="31" cm="1">
        <f t="array" ref="G2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9" s="33" t="str">
        <f>_xlfn.IFNA(IF(MOD(HLG_05[[#This Row],[Rit]],
    _xlfn.XLOOKUP($G$2,Int_Sample[Ore],Int_Sample[Inc])) = 0, "YES", "NO"),"")</f>
        <v/>
      </c>
      <c r="I239" s="32" t="str">
        <f>TEXT(HLG_05[[#This Row],[Batch]],"000")&amp; " / " &amp; TEXT(HLG_05[[#This Row],[Rit]],"000")</f>
        <v>N/A / 000</v>
      </c>
      <c r="J239" s="34"/>
      <c r="K239" s="38"/>
      <c r="L239" s="35"/>
      <c r="M239" s="66"/>
      <c r="N239" s="66"/>
      <c r="O239" s="66"/>
      <c r="P239" s="66"/>
      <c r="Q239" s="66"/>
      <c r="R239" s="67"/>
      <c r="S239" s="67"/>
      <c r="T239" s="67"/>
      <c r="U239" s="66"/>
      <c r="V239" s="66"/>
      <c r="W239" s="66"/>
      <c r="X239" s="85"/>
      <c r="AP239" t="str">
        <v/>
      </c>
    </row>
    <row r="240" spans="4:42" ht="15.75" x14ac:dyDescent="0.25">
      <c r="D240" s="3">
        <v>1</v>
      </c>
      <c r="F240" s="16" t="str" cm="1">
        <f t="array" ref="F2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0" s="31" cm="1">
        <f t="array" ref="G2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0" s="33" t="str">
        <f>_xlfn.IFNA(IF(MOD(HLG_05[[#This Row],[Rit]],
    _xlfn.XLOOKUP($G$2,Int_Sample[Ore],Int_Sample[Inc])) = 0, "YES", "NO"),"")</f>
        <v/>
      </c>
      <c r="I240" s="32" t="str">
        <f>TEXT(HLG_05[[#This Row],[Batch]],"000")&amp; " / " &amp; TEXT(HLG_05[[#This Row],[Rit]],"000")</f>
        <v>N/A / 000</v>
      </c>
      <c r="J240" s="34"/>
      <c r="K240" s="38"/>
      <c r="L240" s="35"/>
      <c r="M240" s="66"/>
      <c r="N240" s="66"/>
      <c r="O240" s="66"/>
      <c r="P240" s="66"/>
      <c r="Q240" s="66"/>
      <c r="R240" s="67"/>
      <c r="S240" s="67"/>
      <c r="T240" s="67"/>
      <c r="U240" s="66"/>
      <c r="V240" s="66"/>
      <c r="W240" s="66"/>
      <c r="X240" s="85"/>
      <c r="AP240" t="str">
        <v/>
      </c>
    </row>
    <row r="241" spans="4:42" ht="15.75" x14ac:dyDescent="0.25">
      <c r="D241" s="3">
        <v>1</v>
      </c>
      <c r="F241" s="16" t="str" cm="1">
        <f t="array" ref="F2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1" s="31" cm="1">
        <f t="array" ref="G2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1" s="33" t="str">
        <f>_xlfn.IFNA(IF(MOD(HLG_05[[#This Row],[Rit]],
    _xlfn.XLOOKUP($G$2,Int_Sample[Ore],Int_Sample[Inc])) = 0, "YES", "NO"),"")</f>
        <v/>
      </c>
      <c r="I241" s="32" t="str">
        <f>TEXT(HLG_05[[#This Row],[Batch]],"000")&amp; " / " &amp; TEXT(HLG_05[[#This Row],[Rit]],"000")</f>
        <v>N/A / 000</v>
      </c>
      <c r="J241" s="34"/>
      <c r="K241" s="38"/>
      <c r="L241" s="35"/>
      <c r="M241" s="66"/>
      <c r="N241" s="66"/>
      <c r="O241" s="66"/>
      <c r="P241" s="66"/>
      <c r="Q241" s="66"/>
      <c r="R241" s="67"/>
      <c r="S241" s="67"/>
      <c r="T241" s="67"/>
      <c r="U241" s="66"/>
      <c r="V241" s="66"/>
      <c r="W241" s="66"/>
      <c r="X241" s="85"/>
      <c r="AP241" t="str">
        <v/>
      </c>
    </row>
    <row r="242" spans="4:42" ht="15.75" x14ac:dyDescent="0.25">
      <c r="D242" s="3">
        <v>1</v>
      </c>
      <c r="F242" s="16" t="str" cm="1">
        <f t="array" ref="F2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2" s="31" cm="1">
        <f t="array" ref="G2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2" s="33" t="str">
        <f>_xlfn.IFNA(IF(MOD(HLG_05[[#This Row],[Rit]],
    _xlfn.XLOOKUP($G$2,Int_Sample[Ore],Int_Sample[Inc])) = 0, "YES", "NO"),"")</f>
        <v/>
      </c>
      <c r="I242" s="32" t="str">
        <f>TEXT(HLG_05[[#This Row],[Batch]],"000")&amp; " / " &amp; TEXT(HLG_05[[#This Row],[Rit]],"000")</f>
        <v>N/A / 000</v>
      </c>
      <c r="J242" s="34"/>
      <c r="K242" s="38"/>
      <c r="L242" s="35"/>
      <c r="M242" s="66"/>
      <c r="N242" s="66"/>
      <c r="O242" s="66"/>
      <c r="P242" s="66"/>
      <c r="Q242" s="66"/>
      <c r="R242" s="67"/>
      <c r="S242" s="67"/>
      <c r="T242" s="67"/>
      <c r="U242" s="66"/>
      <c r="V242" s="66"/>
      <c r="W242" s="66"/>
      <c r="X242" s="85"/>
      <c r="AP242" t="str">
        <v/>
      </c>
    </row>
    <row r="243" spans="4:42" ht="15.75" x14ac:dyDescent="0.25">
      <c r="D243" s="3">
        <v>1</v>
      </c>
      <c r="F243" s="16" t="str" cm="1">
        <f t="array" ref="F2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3" s="31" cm="1">
        <f t="array" ref="G2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3" s="33" t="str">
        <f>_xlfn.IFNA(IF(MOD(HLG_05[[#This Row],[Rit]],
    _xlfn.XLOOKUP($G$2,Int_Sample[Ore],Int_Sample[Inc])) = 0, "YES", "NO"),"")</f>
        <v/>
      </c>
      <c r="I243" s="32" t="str">
        <f>TEXT(HLG_05[[#This Row],[Batch]],"000")&amp; " / " &amp; TEXT(HLG_05[[#This Row],[Rit]],"000")</f>
        <v>N/A / 000</v>
      </c>
      <c r="J243" s="34"/>
      <c r="K243" s="38"/>
      <c r="L243" s="35"/>
      <c r="M243" s="66"/>
      <c r="N243" s="66"/>
      <c r="O243" s="66"/>
      <c r="P243" s="66"/>
      <c r="Q243" s="66"/>
      <c r="R243" s="67"/>
      <c r="S243" s="67"/>
      <c r="T243" s="67"/>
      <c r="U243" s="66"/>
      <c r="V243" s="66"/>
      <c r="W243" s="66"/>
      <c r="X243" s="85"/>
      <c r="AP243" t="str">
        <v/>
      </c>
    </row>
    <row r="244" spans="4:42" ht="15.75" x14ac:dyDescent="0.25">
      <c r="D244" s="3">
        <v>1</v>
      </c>
      <c r="F244" s="16" t="str" cm="1">
        <f t="array" ref="F2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4" s="31" cm="1">
        <f t="array" ref="G2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4" s="33" t="str">
        <f>_xlfn.IFNA(IF(MOD(HLG_05[[#This Row],[Rit]],
    _xlfn.XLOOKUP($G$2,Int_Sample[Ore],Int_Sample[Inc])) = 0, "YES", "NO"),"")</f>
        <v/>
      </c>
      <c r="I244" s="32" t="str">
        <f>TEXT(HLG_05[[#This Row],[Batch]],"000")&amp; " / " &amp; TEXT(HLG_05[[#This Row],[Rit]],"000")</f>
        <v>N/A / 000</v>
      </c>
      <c r="J244" s="34"/>
      <c r="K244" s="38"/>
      <c r="L244" s="35"/>
      <c r="M244" s="66"/>
      <c r="N244" s="66"/>
      <c r="O244" s="66"/>
      <c r="P244" s="66"/>
      <c r="Q244" s="66"/>
      <c r="R244" s="67"/>
      <c r="S244" s="67"/>
      <c r="T244" s="67"/>
      <c r="U244" s="66"/>
      <c r="V244" s="66"/>
      <c r="W244" s="66"/>
      <c r="X244" s="85"/>
      <c r="AP244" t="str">
        <v/>
      </c>
    </row>
    <row r="245" spans="4:42" ht="15.75" x14ac:dyDescent="0.25">
      <c r="D245" s="3">
        <v>1</v>
      </c>
      <c r="F245" s="16" t="str" cm="1">
        <f t="array" ref="F2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5" s="31" cm="1">
        <f t="array" ref="G2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5" s="33" t="str">
        <f>_xlfn.IFNA(IF(MOD(HLG_05[[#This Row],[Rit]],
    _xlfn.XLOOKUP($G$2,Int_Sample[Ore],Int_Sample[Inc])) = 0, "YES", "NO"),"")</f>
        <v/>
      </c>
      <c r="I245" s="32" t="str">
        <f>TEXT(HLG_05[[#This Row],[Batch]],"000")&amp; " / " &amp; TEXT(HLG_05[[#This Row],[Rit]],"000")</f>
        <v>N/A / 000</v>
      </c>
      <c r="J245" s="34"/>
      <c r="K245" s="38"/>
      <c r="L245" s="35"/>
      <c r="M245" s="66"/>
      <c r="N245" s="66"/>
      <c r="O245" s="66"/>
      <c r="P245" s="66"/>
      <c r="Q245" s="66"/>
      <c r="R245" s="67"/>
      <c r="S245" s="67"/>
      <c r="T245" s="67"/>
      <c r="U245" s="66"/>
      <c r="V245" s="66"/>
      <c r="W245" s="66"/>
      <c r="X245" s="85"/>
      <c r="AP245" t="str">
        <v/>
      </c>
    </row>
    <row r="246" spans="4:42" ht="15.75" x14ac:dyDescent="0.25">
      <c r="D246" s="3">
        <v>1</v>
      </c>
      <c r="F246" s="16" t="str" cm="1">
        <f t="array" ref="F2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6" s="31" cm="1">
        <f t="array" ref="G2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6" s="33" t="str">
        <f>_xlfn.IFNA(IF(MOD(HLG_05[[#This Row],[Rit]],
    _xlfn.XLOOKUP($G$2,Int_Sample[Ore],Int_Sample[Inc])) = 0, "YES", "NO"),"")</f>
        <v/>
      </c>
      <c r="I246" s="32" t="str">
        <f>TEXT(HLG_05[[#This Row],[Batch]],"000")&amp; " / " &amp; TEXT(HLG_05[[#This Row],[Rit]],"000")</f>
        <v>N/A / 000</v>
      </c>
      <c r="J246" s="34"/>
      <c r="K246" s="38"/>
      <c r="L246" s="35"/>
      <c r="M246" s="66"/>
      <c r="N246" s="66"/>
      <c r="O246" s="66"/>
      <c r="P246" s="66"/>
      <c r="Q246" s="66"/>
      <c r="R246" s="67"/>
      <c r="S246" s="67"/>
      <c r="T246" s="67"/>
      <c r="U246" s="66"/>
      <c r="V246" s="66"/>
      <c r="W246" s="66"/>
      <c r="X246" s="85"/>
      <c r="AP246" t="str">
        <v/>
      </c>
    </row>
    <row r="247" spans="4:42" ht="15.75" x14ac:dyDescent="0.25">
      <c r="D247" s="3">
        <v>1</v>
      </c>
      <c r="F247" s="16" t="str" cm="1">
        <f t="array" ref="F2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7" s="31" cm="1">
        <f t="array" ref="G2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7" s="33" t="str">
        <f>_xlfn.IFNA(IF(MOD(HLG_05[[#This Row],[Rit]],
    _xlfn.XLOOKUP($G$2,Int_Sample[Ore],Int_Sample[Inc])) = 0, "YES", "NO"),"")</f>
        <v/>
      </c>
      <c r="I247" s="32" t="str">
        <f>TEXT(HLG_05[[#This Row],[Batch]],"000")&amp; " / " &amp; TEXT(HLG_05[[#This Row],[Rit]],"000")</f>
        <v>N/A / 000</v>
      </c>
      <c r="J247" s="34"/>
      <c r="K247" s="38"/>
      <c r="L247" s="35"/>
      <c r="M247" s="66"/>
      <c r="N247" s="66"/>
      <c r="O247" s="66"/>
      <c r="P247" s="66"/>
      <c r="Q247" s="66"/>
      <c r="R247" s="67"/>
      <c r="S247" s="67"/>
      <c r="T247" s="67"/>
      <c r="U247" s="66"/>
      <c r="V247" s="66"/>
      <c r="W247" s="66"/>
      <c r="X247" s="85"/>
      <c r="AP247" t="str">
        <v/>
      </c>
    </row>
    <row r="248" spans="4:42" ht="15.75" x14ac:dyDescent="0.25">
      <c r="D248" s="3">
        <v>1</v>
      </c>
      <c r="F248" s="16" t="str" cm="1">
        <f t="array" ref="F2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8" s="31" cm="1">
        <f t="array" ref="G2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8" s="33" t="str">
        <f>_xlfn.IFNA(IF(MOD(HLG_05[[#This Row],[Rit]],
    _xlfn.XLOOKUP($G$2,Int_Sample[Ore],Int_Sample[Inc])) = 0, "YES", "NO"),"")</f>
        <v/>
      </c>
      <c r="I248" s="32" t="str">
        <f>TEXT(HLG_05[[#This Row],[Batch]],"000")&amp; " / " &amp; TEXT(HLG_05[[#This Row],[Rit]],"000")</f>
        <v>N/A / 000</v>
      </c>
      <c r="J248" s="34"/>
      <c r="K248" s="38"/>
      <c r="L248" s="35"/>
      <c r="M248" s="66"/>
      <c r="N248" s="66"/>
      <c r="O248" s="66"/>
      <c r="P248" s="66"/>
      <c r="Q248" s="66"/>
      <c r="R248" s="67"/>
      <c r="S248" s="67"/>
      <c r="T248" s="67"/>
      <c r="U248" s="66"/>
      <c r="V248" s="66"/>
      <c r="W248" s="66"/>
      <c r="X248" s="85"/>
      <c r="AP248" t="str">
        <v/>
      </c>
    </row>
    <row r="249" spans="4:42" ht="15.75" x14ac:dyDescent="0.25">
      <c r="D249" s="3">
        <v>1</v>
      </c>
      <c r="F249" s="16" t="str" cm="1">
        <f t="array" ref="F2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9" s="31" cm="1">
        <f t="array" ref="G2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9" s="33" t="str">
        <f>_xlfn.IFNA(IF(MOD(HLG_05[[#This Row],[Rit]],
    _xlfn.XLOOKUP($G$2,Int_Sample[Ore],Int_Sample[Inc])) = 0, "YES", "NO"),"")</f>
        <v/>
      </c>
      <c r="I249" s="32" t="str">
        <f>TEXT(HLG_05[[#This Row],[Batch]],"000")&amp; " / " &amp; TEXT(HLG_05[[#This Row],[Rit]],"000")</f>
        <v>N/A / 000</v>
      </c>
      <c r="J249" s="34"/>
      <c r="K249" s="38"/>
      <c r="L249" s="35"/>
      <c r="M249" s="66"/>
      <c r="N249" s="66"/>
      <c r="O249" s="66"/>
      <c r="P249" s="66"/>
      <c r="Q249" s="66"/>
      <c r="R249" s="67"/>
      <c r="S249" s="67"/>
      <c r="T249" s="67"/>
      <c r="U249" s="66"/>
      <c r="V249" s="66"/>
      <c r="W249" s="66"/>
      <c r="X249" s="85"/>
      <c r="AP249" t="str">
        <v/>
      </c>
    </row>
    <row r="250" spans="4:42" ht="15.75" x14ac:dyDescent="0.25">
      <c r="D250" s="3">
        <v>1</v>
      </c>
      <c r="F250" s="16" t="str" cm="1">
        <f t="array" ref="F2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0" s="31" cm="1">
        <f t="array" ref="G2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0" s="33" t="str">
        <f>_xlfn.IFNA(IF(MOD(HLG_05[[#This Row],[Rit]],
    _xlfn.XLOOKUP($G$2,Int_Sample[Ore],Int_Sample[Inc])) = 0, "YES", "NO"),"")</f>
        <v/>
      </c>
      <c r="I250" s="32" t="str">
        <f>TEXT(HLG_05[[#This Row],[Batch]],"000")&amp; " / " &amp; TEXT(HLG_05[[#This Row],[Rit]],"000")</f>
        <v>N/A / 000</v>
      </c>
      <c r="J250" s="34"/>
      <c r="K250" s="38"/>
      <c r="L250" s="35"/>
      <c r="M250" s="66"/>
      <c r="N250" s="66"/>
      <c r="O250" s="66"/>
      <c r="P250" s="66"/>
      <c r="Q250" s="66"/>
      <c r="R250" s="67"/>
      <c r="S250" s="67"/>
      <c r="T250" s="67"/>
      <c r="U250" s="66"/>
      <c r="V250" s="66"/>
      <c r="W250" s="66"/>
      <c r="X250" s="85"/>
      <c r="AP250" t="str">
        <v/>
      </c>
    </row>
    <row r="251" spans="4:42" ht="15.75" x14ac:dyDescent="0.25">
      <c r="D251" s="3">
        <v>1</v>
      </c>
      <c r="F251" s="16" t="str" cm="1">
        <f t="array" ref="F2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1" s="31" cm="1">
        <f t="array" ref="G2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1" s="33" t="str">
        <f>_xlfn.IFNA(IF(MOD(HLG_05[[#This Row],[Rit]],
    _xlfn.XLOOKUP($G$2,Int_Sample[Ore],Int_Sample[Inc])) = 0, "YES", "NO"),"")</f>
        <v/>
      </c>
      <c r="I251" s="32" t="str">
        <f>TEXT(HLG_05[[#This Row],[Batch]],"000")&amp; " / " &amp; TEXT(HLG_05[[#This Row],[Rit]],"000")</f>
        <v>N/A / 000</v>
      </c>
      <c r="J251" s="34"/>
      <c r="K251" s="38"/>
      <c r="L251" s="35"/>
      <c r="M251" s="66"/>
      <c r="N251" s="66"/>
      <c r="O251" s="66"/>
      <c r="P251" s="66"/>
      <c r="Q251" s="66"/>
      <c r="R251" s="67"/>
      <c r="S251" s="67"/>
      <c r="T251" s="67"/>
      <c r="U251" s="66"/>
      <c r="V251" s="66"/>
      <c r="W251" s="66"/>
      <c r="X251" s="85"/>
      <c r="AP251" t="str">
        <v/>
      </c>
    </row>
    <row r="252" spans="4:42" ht="15.75" x14ac:dyDescent="0.25">
      <c r="D252" s="3">
        <v>1</v>
      </c>
      <c r="F252" s="16" t="str" cm="1">
        <f t="array" ref="F2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2" s="31" cm="1">
        <f t="array" ref="G2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2" s="33" t="str">
        <f>_xlfn.IFNA(IF(MOD(HLG_05[[#This Row],[Rit]],
    _xlfn.XLOOKUP($G$2,Int_Sample[Ore],Int_Sample[Inc])) = 0, "YES", "NO"),"")</f>
        <v/>
      </c>
      <c r="I252" s="32" t="str">
        <f>TEXT(HLG_05[[#This Row],[Batch]],"000")&amp; " / " &amp; TEXT(HLG_05[[#This Row],[Rit]],"000")</f>
        <v>N/A / 000</v>
      </c>
      <c r="J252" s="34"/>
      <c r="K252" s="38"/>
      <c r="L252" s="35"/>
      <c r="M252" s="66"/>
      <c r="N252" s="66"/>
      <c r="O252" s="66"/>
      <c r="P252" s="66"/>
      <c r="Q252" s="66"/>
      <c r="R252" s="67"/>
      <c r="S252" s="67"/>
      <c r="T252" s="67"/>
      <c r="U252" s="66"/>
      <c r="V252" s="66"/>
      <c r="W252" s="66"/>
      <c r="X252" s="85"/>
      <c r="AP252" t="str">
        <v/>
      </c>
    </row>
    <row r="253" spans="4:42" ht="15.75" x14ac:dyDescent="0.25">
      <c r="D253" s="3">
        <v>1</v>
      </c>
      <c r="F253" s="16" t="str" cm="1">
        <f t="array" ref="F2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3" s="31" cm="1">
        <f t="array" ref="G2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3" s="33" t="str">
        <f>_xlfn.IFNA(IF(MOD(HLG_05[[#This Row],[Rit]],
    _xlfn.XLOOKUP($G$2,Int_Sample[Ore],Int_Sample[Inc])) = 0, "YES", "NO"),"")</f>
        <v/>
      </c>
      <c r="I253" s="32" t="str">
        <f>TEXT(HLG_05[[#This Row],[Batch]],"000")&amp; " / " &amp; TEXT(HLG_05[[#This Row],[Rit]],"000")</f>
        <v>N/A / 000</v>
      </c>
      <c r="J253" s="34"/>
      <c r="K253" s="38"/>
      <c r="L253" s="35"/>
      <c r="M253" s="66"/>
      <c r="N253" s="66"/>
      <c r="O253" s="66"/>
      <c r="P253" s="66"/>
      <c r="Q253" s="66"/>
      <c r="R253" s="67"/>
      <c r="S253" s="67"/>
      <c r="T253" s="67"/>
      <c r="U253" s="66"/>
      <c r="V253" s="66"/>
      <c r="W253" s="66"/>
      <c r="X253" s="85"/>
      <c r="AP253" t="str">
        <v/>
      </c>
    </row>
    <row r="254" spans="4:42" ht="15.75" x14ac:dyDescent="0.25">
      <c r="D254" s="3">
        <v>1</v>
      </c>
      <c r="F254" s="16" t="str" cm="1">
        <f t="array" ref="F2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4" s="31" cm="1">
        <f t="array" ref="G2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4" s="33" t="str">
        <f>_xlfn.IFNA(IF(MOD(HLG_05[[#This Row],[Rit]],
    _xlfn.XLOOKUP($G$2,Int_Sample[Ore],Int_Sample[Inc])) = 0, "YES", "NO"),"")</f>
        <v/>
      </c>
      <c r="I254" s="32" t="str">
        <f>TEXT(HLG_05[[#This Row],[Batch]],"000")&amp; " / " &amp; TEXT(HLG_05[[#This Row],[Rit]],"000")</f>
        <v>N/A / 000</v>
      </c>
      <c r="J254" s="34"/>
      <c r="K254" s="38"/>
      <c r="L254" s="35"/>
      <c r="M254" s="66"/>
      <c r="N254" s="66"/>
      <c r="O254" s="66"/>
      <c r="P254" s="66"/>
      <c r="Q254" s="66"/>
      <c r="R254" s="67"/>
      <c r="S254" s="67"/>
      <c r="T254" s="67"/>
      <c r="U254" s="66"/>
      <c r="V254" s="66"/>
      <c r="W254" s="66"/>
      <c r="X254" s="85"/>
      <c r="AP254" t="str">
        <v/>
      </c>
    </row>
    <row r="255" spans="4:42" ht="15.75" x14ac:dyDescent="0.25">
      <c r="D255" s="3">
        <v>1</v>
      </c>
      <c r="F255" s="16" t="str" cm="1">
        <f t="array" ref="F2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5" s="31" cm="1">
        <f t="array" ref="G2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5" s="33" t="str">
        <f>_xlfn.IFNA(IF(MOD(HLG_05[[#This Row],[Rit]],
    _xlfn.XLOOKUP($G$2,Int_Sample[Ore],Int_Sample[Inc])) = 0, "YES", "NO"),"")</f>
        <v/>
      </c>
      <c r="I255" s="32" t="str">
        <f>TEXT(HLG_05[[#This Row],[Batch]],"000")&amp; " / " &amp; TEXT(HLG_05[[#This Row],[Rit]],"000")</f>
        <v>N/A / 000</v>
      </c>
      <c r="J255" s="34"/>
      <c r="K255" s="38"/>
      <c r="L255" s="35"/>
      <c r="M255" s="66"/>
      <c r="N255" s="66"/>
      <c r="O255" s="66"/>
      <c r="P255" s="66"/>
      <c r="Q255" s="66"/>
      <c r="R255" s="67"/>
      <c r="S255" s="67"/>
      <c r="T255" s="67"/>
      <c r="U255" s="66"/>
      <c r="V255" s="66"/>
      <c r="W255" s="66"/>
      <c r="X255" s="85"/>
      <c r="AP255" t="str">
        <v/>
      </c>
    </row>
    <row r="256" spans="4:42" ht="15.75" x14ac:dyDescent="0.25">
      <c r="D256" s="3">
        <v>1</v>
      </c>
      <c r="F256" s="16" t="str" cm="1">
        <f t="array" ref="F2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6" s="31" cm="1">
        <f t="array" ref="G2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6" s="33" t="str">
        <f>_xlfn.IFNA(IF(MOD(HLG_05[[#This Row],[Rit]],
    _xlfn.XLOOKUP($G$2,Int_Sample[Ore],Int_Sample[Inc])) = 0, "YES", "NO"),"")</f>
        <v/>
      </c>
      <c r="I256" s="32" t="str">
        <f>TEXT(HLG_05[[#This Row],[Batch]],"000")&amp; " / " &amp; TEXT(HLG_05[[#This Row],[Rit]],"000")</f>
        <v>N/A / 000</v>
      </c>
      <c r="J256" s="34"/>
      <c r="K256" s="38"/>
      <c r="L256" s="35"/>
      <c r="M256" s="66"/>
      <c r="N256" s="66"/>
      <c r="O256" s="66"/>
      <c r="P256" s="66"/>
      <c r="Q256" s="66"/>
      <c r="R256" s="67"/>
      <c r="S256" s="67"/>
      <c r="T256" s="67"/>
      <c r="U256" s="66"/>
      <c r="V256" s="66"/>
      <c r="W256" s="66"/>
      <c r="X256" s="85"/>
      <c r="AP256" t="str">
        <v/>
      </c>
    </row>
    <row r="257" spans="4:42" ht="15.75" x14ac:dyDescent="0.25">
      <c r="D257" s="3">
        <v>1</v>
      </c>
      <c r="F257" s="16" t="str" cm="1">
        <f t="array" ref="F2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7" s="31" cm="1">
        <f t="array" ref="G2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7" s="33" t="str">
        <f>_xlfn.IFNA(IF(MOD(HLG_05[[#This Row],[Rit]],
    _xlfn.XLOOKUP($G$2,Int_Sample[Ore],Int_Sample[Inc])) = 0, "YES", "NO"),"")</f>
        <v/>
      </c>
      <c r="I257" s="32" t="str">
        <f>TEXT(HLG_05[[#This Row],[Batch]],"000")&amp; " / " &amp; TEXT(HLG_05[[#This Row],[Rit]],"000")</f>
        <v>N/A / 000</v>
      </c>
      <c r="J257" s="34"/>
      <c r="K257" s="38"/>
      <c r="L257" s="35"/>
      <c r="M257" s="66"/>
      <c r="N257" s="66"/>
      <c r="O257" s="66"/>
      <c r="P257" s="66"/>
      <c r="Q257" s="66"/>
      <c r="R257" s="67"/>
      <c r="S257" s="67"/>
      <c r="T257" s="67"/>
      <c r="U257" s="66"/>
      <c r="V257" s="66"/>
      <c r="W257" s="66"/>
      <c r="X257" s="85"/>
      <c r="AP257" t="str">
        <v/>
      </c>
    </row>
    <row r="258" spans="4:42" ht="15.75" x14ac:dyDescent="0.25">
      <c r="D258" s="3">
        <v>1</v>
      </c>
      <c r="F258" s="16" t="str" cm="1">
        <f t="array" ref="F2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8" s="31" cm="1">
        <f t="array" ref="G2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8" s="33" t="str">
        <f>_xlfn.IFNA(IF(MOD(HLG_05[[#This Row],[Rit]],
    _xlfn.XLOOKUP($G$2,Int_Sample[Ore],Int_Sample[Inc])) = 0, "YES", "NO"),"")</f>
        <v/>
      </c>
      <c r="I258" s="32" t="str">
        <f>TEXT(HLG_05[[#This Row],[Batch]],"000")&amp; " / " &amp; TEXT(HLG_05[[#This Row],[Rit]],"000")</f>
        <v>N/A / 000</v>
      </c>
      <c r="J258" s="34"/>
      <c r="K258" s="38"/>
      <c r="L258" s="35"/>
      <c r="M258" s="66"/>
      <c r="N258" s="66"/>
      <c r="O258" s="66"/>
      <c r="P258" s="66"/>
      <c r="Q258" s="66"/>
      <c r="R258" s="67"/>
      <c r="S258" s="67"/>
      <c r="T258" s="67"/>
      <c r="U258" s="66"/>
      <c r="V258" s="66"/>
      <c r="W258" s="66"/>
      <c r="X258" s="85"/>
      <c r="AP258" t="str">
        <v/>
      </c>
    </row>
    <row r="259" spans="4:42" ht="15.75" x14ac:dyDescent="0.25">
      <c r="D259" s="3">
        <v>1</v>
      </c>
      <c r="F259" s="16" t="str" cm="1">
        <f t="array" ref="F2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9" s="31" cm="1">
        <f t="array" ref="G2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9" s="33" t="str">
        <f>_xlfn.IFNA(IF(MOD(HLG_05[[#This Row],[Rit]],
    _xlfn.XLOOKUP($G$2,Int_Sample[Ore],Int_Sample[Inc])) = 0, "YES", "NO"),"")</f>
        <v/>
      </c>
      <c r="I259" s="32" t="str">
        <f>TEXT(HLG_05[[#This Row],[Batch]],"000")&amp; " / " &amp; TEXT(HLG_05[[#This Row],[Rit]],"000")</f>
        <v>N/A / 000</v>
      </c>
      <c r="J259" s="34"/>
      <c r="K259" s="38"/>
      <c r="L259" s="35"/>
      <c r="M259" s="66"/>
      <c r="N259" s="66"/>
      <c r="O259" s="66"/>
      <c r="P259" s="66"/>
      <c r="Q259" s="66"/>
      <c r="R259" s="67"/>
      <c r="S259" s="67"/>
      <c r="T259" s="67"/>
      <c r="U259" s="66"/>
      <c r="V259" s="66"/>
      <c r="W259" s="66"/>
      <c r="X259" s="85"/>
      <c r="AP259" t="str">
        <v/>
      </c>
    </row>
    <row r="260" spans="4:42" ht="15.75" x14ac:dyDescent="0.25">
      <c r="D260" s="3">
        <v>1</v>
      </c>
      <c r="F260" s="16" t="str" cm="1">
        <f t="array" ref="F2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0" s="31" cm="1">
        <f t="array" ref="G2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0" s="33" t="str">
        <f>_xlfn.IFNA(IF(MOD(HLG_05[[#This Row],[Rit]],
    _xlfn.XLOOKUP($G$2,Int_Sample[Ore],Int_Sample[Inc])) = 0, "YES", "NO"),"")</f>
        <v/>
      </c>
      <c r="I260" s="32" t="str">
        <f>TEXT(HLG_05[[#This Row],[Batch]],"000")&amp; " / " &amp; TEXT(HLG_05[[#This Row],[Rit]],"000")</f>
        <v>N/A / 000</v>
      </c>
      <c r="J260" s="34"/>
      <c r="K260" s="38"/>
      <c r="L260" s="35"/>
      <c r="M260" s="66"/>
      <c r="N260" s="66"/>
      <c r="O260" s="66"/>
      <c r="P260" s="66"/>
      <c r="Q260" s="66"/>
      <c r="R260" s="67"/>
      <c r="S260" s="67"/>
      <c r="T260" s="67"/>
      <c r="U260" s="66"/>
      <c r="V260" s="66"/>
      <c r="W260" s="66"/>
      <c r="X260" s="85"/>
      <c r="AP260" t="str">
        <v/>
      </c>
    </row>
    <row r="261" spans="4:42" ht="15.75" x14ac:dyDescent="0.25">
      <c r="D261" s="3">
        <v>1</v>
      </c>
      <c r="F261" s="16" t="str" cm="1">
        <f t="array" ref="F2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1" s="31" cm="1">
        <f t="array" ref="G2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1" s="33" t="str">
        <f>_xlfn.IFNA(IF(MOD(HLG_05[[#This Row],[Rit]],
    _xlfn.XLOOKUP($G$2,Int_Sample[Ore],Int_Sample[Inc])) = 0, "YES", "NO"),"")</f>
        <v/>
      </c>
      <c r="I261" s="32" t="str">
        <f>TEXT(HLG_05[[#This Row],[Batch]],"000")&amp; " / " &amp; TEXT(HLG_05[[#This Row],[Rit]],"000")</f>
        <v>N/A / 000</v>
      </c>
      <c r="J261" s="34"/>
      <c r="K261" s="38"/>
      <c r="L261" s="35"/>
      <c r="M261" s="66"/>
      <c r="N261" s="66"/>
      <c r="O261" s="66"/>
      <c r="P261" s="66"/>
      <c r="Q261" s="66"/>
      <c r="R261" s="67"/>
      <c r="S261" s="67"/>
      <c r="T261" s="67"/>
      <c r="U261" s="66"/>
      <c r="V261" s="66"/>
      <c r="W261" s="66"/>
      <c r="X261" s="85"/>
      <c r="AP261" t="str">
        <v/>
      </c>
    </row>
    <row r="262" spans="4:42" ht="15.75" x14ac:dyDescent="0.25">
      <c r="D262" s="3">
        <v>1</v>
      </c>
      <c r="F262" s="16" t="str" cm="1">
        <f t="array" ref="F2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2" s="31" cm="1">
        <f t="array" ref="G2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2" s="33" t="str">
        <f>_xlfn.IFNA(IF(MOD(HLG_05[[#This Row],[Rit]],
    _xlfn.XLOOKUP($G$2,Int_Sample[Ore],Int_Sample[Inc])) = 0, "YES", "NO"),"")</f>
        <v/>
      </c>
      <c r="I262" s="32" t="str">
        <f>TEXT(HLG_05[[#This Row],[Batch]],"000")&amp; " / " &amp; TEXT(HLG_05[[#This Row],[Rit]],"000")</f>
        <v>N/A / 000</v>
      </c>
      <c r="J262" s="34"/>
      <c r="K262" s="38"/>
      <c r="L262" s="35"/>
      <c r="M262" s="66"/>
      <c r="N262" s="66"/>
      <c r="O262" s="66"/>
      <c r="P262" s="66"/>
      <c r="Q262" s="66"/>
      <c r="R262" s="67"/>
      <c r="S262" s="67"/>
      <c r="T262" s="67"/>
      <c r="U262" s="66"/>
      <c r="V262" s="66"/>
      <c r="W262" s="66"/>
      <c r="X262" s="85"/>
      <c r="AP262" t="str">
        <v/>
      </c>
    </row>
    <row r="263" spans="4:42" ht="15.75" x14ac:dyDescent="0.25">
      <c r="D263" s="3">
        <v>1</v>
      </c>
      <c r="F263" s="16" t="str" cm="1">
        <f t="array" ref="F2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3" s="31" cm="1">
        <f t="array" ref="G2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3" s="33" t="str">
        <f>_xlfn.IFNA(IF(MOD(HLG_05[[#This Row],[Rit]],
    _xlfn.XLOOKUP($G$2,Int_Sample[Ore],Int_Sample[Inc])) = 0, "YES", "NO"),"")</f>
        <v/>
      </c>
      <c r="I263" s="32" t="str">
        <f>TEXT(HLG_05[[#This Row],[Batch]],"000")&amp; " / " &amp; TEXT(HLG_05[[#This Row],[Rit]],"000")</f>
        <v>N/A / 000</v>
      </c>
      <c r="J263" s="34"/>
      <c r="K263" s="38"/>
      <c r="L263" s="35"/>
      <c r="M263" s="66"/>
      <c r="N263" s="66"/>
      <c r="O263" s="66"/>
      <c r="P263" s="66"/>
      <c r="Q263" s="66"/>
      <c r="R263" s="67"/>
      <c r="S263" s="67"/>
      <c r="T263" s="67"/>
      <c r="U263" s="66"/>
      <c r="V263" s="66"/>
      <c r="W263" s="66"/>
      <c r="X263" s="85"/>
      <c r="AP263" t="str">
        <v/>
      </c>
    </row>
    <row r="264" spans="4:42" ht="15.75" x14ac:dyDescent="0.25">
      <c r="D264" s="3">
        <v>1</v>
      </c>
      <c r="F264" s="16" t="str" cm="1">
        <f t="array" ref="F2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4" s="31" cm="1">
        <f t="array" ref="G2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4" s="33" t="str">
        <f>_xlfn.IFNA(IF(MOD(HLG_05[[#This Row],[Rit]],
    _xlfn.XLOOKUP($G$2,Int_Sample[Ore],Int_Sample[Inc])) = 0, "YES", "NO"),"")</f>
        <v/>
      </c>
      <c r="I264" s="32" t="str">
        <f>TEXT(HLG_05[[#This Row],[Batch]],"000")&amp; " / " &amp; TEXT(HLG_05[[#This Row],[Rit]],"000")</f>
        <v>N/A / 000</v>
      </c>
      <c r="J264" s="34"/>
      <c r="K264" s="38"/>
      <c r="L264" s="35"/>
      <c r="M264" s="66"/>
      <c r="N264" s="66"/>
      <c r="O264" s="66"/>
      <c r="P264" s="66"/>
      <c r="Q264" s="66"/>
      <c r="R264" s="67"/>
      <c r="S264" s="67"/>
      <c r="T264" s="67"/>
      <c r="U264" s="66"/>
      <c r="V264" s="66"/>
      <c r="W264" s="66"/>
      <c r="X264" s="85"/>
      <c r="AP264" t="str">
        <v/>
      </c>
    </row>
    <row r="265" spans="4:42" ht="15.75" x14ac:dyDescent="0.25">
      <c r="D265" s="3">
        <v>1</v>
      </c>
      <c r="F265" s="16" t="str" cm="1">
        <f t="array" ref="F2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5" s="31" cm="1">
        <f t="array" ref="G2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5" s="33" t="str">
        <f>_xlfn.IFNA(IF(MOD(HLG_05[[#This Row],[Rit]],
    _xlfn.XLOOKUP($G$2,Int_Sample[Ore],Int_Sample[Inc])) = 0, "YES", "NO"),"")</f>
        <v/>
      </c>
      <c r="I265" s="32" t="str">
        <f>TEXT(HLG_05[[#This Row],[Batch]],"000")&amp; " / " &amp; TEXT(HLG_05[[#This Row],[Rit]],"000")</f>
        <v>N/A / 000</v>
      </c>
      <c r="J265" s="34"/>
      <c r="K265" s="38"/>
      <c r="L265" s="35"/>
      <c r="M265" s="66"/>
      <c r="N265" s="66"/>
      <c r="O265" s="66"/>
      <c r="P265" s="66"/>
      <c r="Q265" s="66"/>
      <c r="R265" s="67"/>
      <c r="S265" s="67"/>
      <c r="T265" s="67"/>
      <c r="U265" s="66"/>
      <c r="V265" s="66"/>
      <c r="W265" s="66"/>
      <c r="X265" s="85"/>
      <c r="AP265" t="str">
        <v/>
      </c>
    </row>
    <row r="266" spans="4:42" ht="15.75" x14ac:dyDescent="0.25">
      <c r="D266" s="3">
        <v>1</v>
      </c>
      <c r="F266" s="16" t="str" cm="1">
        <f t="array" ref="F2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6" s="31" cm="1">
        <f t="array" ref="G2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6" s="33" t="str">
        <f>_xlfn.IFNA(IF(MOD(HLG_05[[#This Row],[Rit]],
    _xlfn.XLOOKUP($G$2,Int_Sample[Ore],Int_Sample[Inc])) = 0, "YES", "NO"),"")</f>
        <v/>
      </c>
      <c r="I266" s="32" t="str">
        <f>TEXT(HLG_05[[#This Row],[Batch]],"000")&amp; " / " &amp; TEXT(HLG_05[[#This Row],[Rit]],"000")</f>
        <v>N/A / 000</v>
      </c>
      <c r="J266" s="34"/>
      <c r="K266" s="38"/>
      <c r="L266" s="35"/>
      <c r="M266" s="66"/>
      <c r="N266" s="66"/>
      <c r="O266" s="66"/>
      <c r="P266" s="66"/>
      <c r="Q266" s="66"/>
      <c r="R266" s="67"/>
      <c r="S266" s="67"/>
      <c r="T266" s="67"/>
      <c r="U266" s="66"/>
      <c r="V266" s="66"/>
      <c r="W266" s="66"/>
      <c r="X266" s="85"/>
      <c r="AP266" t="str">
        <v/>
      </c>
    </row>
    <row r="267" spans="4:42" ht="15.75" x14ac:dyDescent="0.25">
      <c r="D267" s="3">
        <v>1</v>
      </c>
      <c r="F267" s="16" t="str" cm="1">
        <f t="array" ref="F2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7" s="31" cm="1">
        <f t="array" ref="G2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7" s="33" t="str">
        <f>_xlfn.IFNA(IF(MOD(HLG_05[[#This Row],[Rit]],
    _xlfn.XLOOKUP($G$2,Int_Sample[Ore],Int_Sample[Inc])) = 0, "YES", "NO"),"")</f>
        <v/>
      </c>
      <c r="I267" s="32" t="str">
        <f>TEXT(HLG_05[[#This Row],[Batch]],"000")&amp; " / " &amp; TEXT(HLG_05[[#This Row],[Rit]],"000")</f>
        <v>N/A / 000</v>
      </c>
      <c r="J267" s="34"/>
      <c r="K267" s="38"/>
      <c r="L267" s="35"/>
      <c r="M267" s="66"/>
      <c r="N267" s="66"/>
      <c r="O267" s="66"/>
      <c r="P267" s="66"/>
      <c r="Q267" s="66"/>
      <c r="R267" s="67"/>
      <c r="S267" s="67"/>
      <c r="T267" s="67"/>
      <c r="U267" s="66"/>
      <c r="V267" s="66"/>
      <c r="W267" s="66"/>
      <c r="X267" s="85"/>
      <c r="AP267" t="str">
        <v/>
      </c>
    </row>
    <row r="268" spans="4:42" ht="15.75" x14ac:dyDescent="0.25">
      <c r="D268" s="3">
        <v>1</v>
      </c>
      <c r="F268" s="16" t="str" cm="1">
        <f t="array" ref="F2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8" s="31" cm="1">
        <f t="array" ref="G2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8" s="33" t="str">
        <f>_xlfn.IFNA(IF(MOD(HLG_05[[#This Row],[Rit]],
    _xlfn.XLOOKUP($G$2,Int_Sample[Ore],Int_Sample[Inc])) = 0, "YES", "NO"),"")</f>
        <v/>
      </c>
      <c r="I268" s="32" t="str">
        <f>TEXT(HLG_05[[#This Row],[Batch]],"000")&amp; " / " &amp; TEXT(HLG_05[[#This Row],[Rit]],"000")</f>
        <v>N/A / 000</v>
      </c>
      <c r="J268" s="34"/>
      <c r="K268" s="38"/>
      <c r="L268" s="35"/>
      <c r="M268" s="66"/>
      <c r="N268" s="66"/>
      <c r="O268" s="66"/>
      <c r="P268" s="66"/>
      <c r="Q268" s="66"/>
      <c r="R268" s="67"/>
      <c r="S268" s="67"/>
      <c r="T268" s="67"/>
      <c r="U268" s="66"/>
      <c r="V268" s="66"/>
      <c r="W268" s="66"/>
      <c r="X268" s="85"/>
      <c r="AP268" t="str">
        <v/>
      </c>
    </row>
    <row r="269" spans="4:42" ht="15.75" x14ac:dyDescent="0.25">
      <c r="D269" s="3">
        <v>1</v>
      </c>
      <c r="F269" s="16" t="str" cm="1">
        <f t="array" ref="F2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9" s="31" cm="1">
        <f t="array" ref="G2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9" s="33" t="str">
        <f>_xlfn.IFNA(IF(MOD(HLG_05[[#This Row],[Rit]],
    _xlfn.XLOOKUP($G$2,Int_Sample[Ore],Int_Sample[Inc])) = 0, "YES", "NO"),"")</f>
        <v/>
      </c>
      <c r="I269" s="32" t="str">
        <f>TEXT(HLG_05[[#This Row],[Batch]],"000")&amp; " / " &amp; TEXT(HLG_05[[#This Row],[Rit]],"000")</f>
        <v>N/A / 000</v>
      </c>
      <c r="J269" s="34"/>
      <c r="K269" s="38"/>
      <c r="L269" s="35"/>
      <c r="M269" s="66"/>
      <c r="N269" s="66"/>
      <c r="O269" s="66"/>
      <c r="P269" s="66"/>
      <c r="Q269" s="66"/>
      <c r="R269" s="67"/>
      <c r="S269" s="67"/>
      <c r="T269" s="67"/>
      <c r="U269" s="66"/>
      <c r="V269" s="66"/>
      <c r="W269" s="66"/>
      <c r="X269" s="85"/>
      <c r="AP269" t="str">
        <v/>
      </c>
    </row>
    <row r="270" spans="4:42" ht="15.75" x14ac:dyDescent="0.25">
      <c r="D270" s="3">
        <v>1</v>
      </c>
      <c r="F270" s="16" t="str" cm="1">
        <f t="array" ref="F2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0" s="31" cm="1">
        <f t="array" ref="G2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0" s="33" t="str">
        <f>_xlfn.IFNA(IF(MOD(HLG_05[[#This Row],[Rit]],
    _xlfn.XLOOKUP($G$2,Int_Sample[Ore],Int_Sample[Inc])) = 0, "YES", "NO"),"")</f>
        <v/>
      </c>
      <c r="I270" s="32" t="str">
        <f>TEXT(HLG_05[[#This Row],[Batch]],"000")&amp; " / " &amp; TEXT(HLG_05[[#This Row],[Rit]],"000")</f>
        <v>N/A / 000</v>
      </c>
      <c r="J270" s="34"/>
      <c r="K270" s="38"/>
      <c r="L270" s="35"/>
      <c r="M270" s="66"/>
      <c r="N270" s="66"/>
      <c r="O270" s="66"/>
      <c r="P270" s="66"/>
      <c r="Q270" s="66"/>
      <c r="R270" s="67"/>
      <c r="S270" s="67"/>
      <c r="T270" s="67"/>
      <c r="U270" s="66"/>
      <c r="V270" s="66"/>
      <c r="W270" s="66"/>
      <c r="X270" s="85"/>
      <c r="AP270" t="str">
        <v/>
      </c>
    </row>
    <row r="271" spans="4:42" ht="15.75" x14ac:dyDescent="0.25">
      <c r="D271" s="3">
        <v>1</v>
      </c>
      <c r="F271" s="16" t="str" cm="1">
        <f t="array" ref="F2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1" s="31" cm="1">
        <f t="array" ref="G2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1" s="33" t="str">
        <f>_xlfn.IFNA(IF(MOD(HLG_05[[#This Row],[Rit]],
    _xlfn.XLOOKUP($G$2,Int_Sample[Ore],Int_Sample[Inc])) = 0, "YES", "NO"),"")</f>
        <v/>
      </c>
      <c r="I271" s="32" t="str">
        <f>TEXT(HLG_05[[#This Row],[Batch]],"000")&amp; " / " &amp; TEXT(HLG_05[[#This Row],[Rit]],"000")</f>
        <v>N/A / 000</v>
      </c>
      <c r="J271" s="34"/>
      <c r="K271" s="38"/>
      <c r="L271" s="35"/>
      <c r="M271" s="66"/>
      <c r="N271" s="66"/>
      <c r="O271" s="66"/>
      <c r="P271" s="66"/>
      <c r="Q271" s="66"/>
      <c r="R271" s="67"/>
      <c r="S271" s="67"/>
      <c r="T271" s="67"/>
      <c r="U271" s="66"/>
      <c r="V271" s="66"/>
      <c r="W271" s="66"/>
      <c r="X271" s="85"/>
      <c r="AP271" t="str">
        <v/>
      </c>
    </row>
    <row r="272" spans="4:42" ht="15.75" x14ac:dyDescent="0.25">
      <c r="D272" s="3">
        <v>1</v>
      </c>
      <c r="F272" s="16" t="str" cm="1">
        <f t="array" ref="F2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2" s="31" cm="1">
        <f t="array" ref="G2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2" s="33" t="str">
        <f>_xlfn.IFNA(IF(MOD(HLG_05[[#This Row],[Rit]],
    _xlfn.XLOOKUP($G$2,Int_Sample[Ore],Int_Sample[Inc])) = 0, "YES", "NO"),"")</f>
        <v/>
      </c>
      <c r="I272" s="32" t="str">
        <f>TEXT(HLG_05[[#This Row],[Batch]],"000")&amp; " / " &amp; TEXT(HLG_05[[#This Row],[Rit]],"000")</f>
        <v>N/A / 000</v>
      </c>
      <c r="J272" s="34"/>
      <c r="K272" s="38"/>
      <c r="L272" s="35"/>
      <c r="M272" s="66"/>
      <c r="N272" s="66"/>
      <c r="O272" s="66"/>
      <c r="P272" s="66"/>
      <c r="Q272" s="66"/>
      <c r="R272" s="67"/>
      <c r="S272" s="67"/>
      <c r="T272" s="67"/>
      <c r="U272" s="66"/>
      <c r="V272" s="66"/>
      <c r="W272" s="66"/>
      <c r="X272" s="85"/>
      <c r="AP272" t="str">
        <v/>
      </c>
    </row>
    <row r="273" spans="4:42" ht="15.75" x14ac:dyDescent="0.25">
      <c r="D273" s="3">
        <v>1</v>
      </c>
      <c r="F273" s="16" t="str" cm="1">
        <f t="array" ref="F2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3" s="31" cm="1">
        <f t="array" ref="G2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3" s="33" t="str">
        <f>_xlfn.IFNA(IF(MOD(HLG_05[[#This Row],[Rit]],
    _xlfn.XLOOKUP($G$2,Int_Sample[Ore],Int_Sample[Inc])) = 0, "YES", "NO"),"")</f>
        <v/>
      </c>
      <c r="I273" s="32" t="str">
        <f>TEXT(HLG_05[[#This Row],[Batch]],"000")&amp; " / " &amp; TEXT(HLG_05[[#This Row],[Rit]],"000")</f>
        <v>N/A / 000</v>
      </c>
      <c r="J273" s="34"/>
      <c r="K273" s="38"/>
      <c r="L273" s="35"/>
      <c r="M273" s="66"/>
      <c r="N273" s="66"/>
      <c r="O273" s="66"/>
      <c r="P273" s="66"/>
      <c r="Q273" s="66"/>
      <c r="R273" s="67"/>
      <c r="S273" s="67"/>
      <c r="T273" s="67"/>
      <c r="U273" s="66"/>
      <c r="V273" s="66"/>
      <c r="W273" s="66"/>
      <c r="X273" s="85"/>
      <c r="AP273" t="str">
        <v/>
      </c>
    </row>
    <row r="274" spans="4:42" ht="15.75" x14ac:dyDescent="0.25">
      <c r="D274" s="3">
        <v>1</v>
      </c>
      <c r="F274" s="16" t="str" cm="1">
        <f t="array" ref="F2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4" s="31" cm="1">
        <f t="array" ref="G2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4" s="33" t="str">
        <f>_xlfn.IFNA(IF(MOD(HLG_05[[#This Row],[Rit]],
    _xlfn.XLOOKUP($G$2,Int_Sample[Ore],Int_Sample[Inc])) = 0, "YES", "NO"),"")</f>
        <v/>
      </c>
      <c r="I274" s="32" t="str">
        <f>TEXT(HLG_05[[#This Row],[Batch]],"000")&amp; " / " &amp; TEXT(HLG_05[[#This Row],[Rit]],"000")</f>
        <v>N/A / 000</v>
      </c>
      <c r="J274" s="34"/>
      <c r="K274" s="38"/>
      <c r="L274" s="35"/>
      <c r="M274" s="66"/>
      <c r="N274" s="66"/>
      <c r="O274" s="66"/>
      <c r="P274" s="66"/>
      <c r="Q274" s="66"/>
      <c r="R274" s="67"/>
      <c r="S274" s="67"/>
      <c r="T274" s="67"/>
      <c r="U274" s="66"/>
      <c r="V274" s="66"/>
      <c r="W274" s="66"/>
      <c r="X274" s="85"/>
      <c r="AP274" t="str">
        <v/>
      </c>
    </row>
    <row r="275" spans="4:42" ht="15.75" x14ac:dyDescent="0.25">
      <c r="D275" s="3">
        <v>1</v>
      </c>
      <c r="F275" s="16" t="str" cm="1">
        <f t="array" ref="F2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5" s="31" cm="1">
        <f t="array" ref="G2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5" s="33" t="str">
        <f>_xlfn.IFNA(IF(MOD(HLG_05[[#This Row],[Rit]],
    _xlfn.XLOOKUP($G$2,Int_Sample[Ore],Int_Sample[Inc])) = 0, "YES", "NO"),"")</f>
        <v/>
      </c>
      <c r="I275" s="32" t="str">
        <f>TEXT(HLG_05[[#This Row],[Batch]],"000")&amp; " / " &amp; TEXT(HLG_05[[#This Row],[Rit]],"000")</f>
        <v>N/A / 000</v>
      </c>
      <c r="J275" s="34"/>
      <c r="K275" s="38"/>
      <c r="L275" s="35"/>
      <c r="M275" s="66"/>
      <c r="N275" s="66"/>
      <c r="O275" s="66"/>
      <c r="P275" s="66"/>
      <c r="Q275" s="66"/>
      <c r="R275" s="67"/>
      <c r="S275" s="67"/>
      <c r="T275" s="67"/>
      <c r="U275" s="66"/>
      <c r="V275" s="66"/>
      <c r="W275" s="66"/>
      <c r="X275" s="85"/>
      <c r="AP275" t="str">
        <v/>
      </c>
    </row>
    <row r="276" spans="4:42" ht="15.75" x14ac:dyDescent="0.25">
      <c r="D276" s="3">
        <v>1</v>
      </c>
      <c r="F276" s="16" t="str" cm="1">
        <f t="array" ref="F2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6" s="31" cm="1">
        <f t="array" ref="G2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6" s="33" t="str">
        <f>_xlfn.IFNA(IF(MOD(HLG_05[[#This Row],[Rit]],
    _xlfn.XLOOKUP($G$2,Int_Sample[Ore],Int_Sample[Inc])) = 0, "YES", "NO"),"")</f>
        <v/>
      </c>
      <c r="I276" s="32" t="str">
        <f>TEXT(HLG_05[[#This Row],[Batch]],"000")&amp; " / " &amp; TEXT(HLG_05[[#This Row],[Rit]],"000")</f>
        <v>N/A / 000</v>
      </c>
      <c r="J276" s="34"/>
      <c r="K276" s="38"/>
      <c r="L276" s="35"/>
      <c r="M276" s="66"/>
      <c r="N276" s="66"/>
      <c r="O276" s="66"/>
      <c r="P276" s="66"/>
      <c r="Q276" s="66"/>
      <c r="R276" s="67"/>
      <c r="S276" s="67"/>
      <c r="T276" s="67"/>
      <c r="U276" s="66"/>
      <c r="V276" s="66"/>
      <c r="W276" s="66"/>
      <c r="X276" s="85"/>
      <c r="AP276" t="str">
        <v/>
      </c>
    </row>
    <row r="277" spans="4:42" ht="15.75" x14ac:dyDescent="0.25">
      <c r="D277" s="3">
        <v>1</v>
      </c>
      <c r="F277" s="16" t="str" cm="1">
        <f t="array" ref="F2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7" s="31" cm="1">
        <f t="array" ref="G2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7" s="33" t="str">
        <f>_xlfn.IFNA(IF(MOD(HLG_05[[#This Row],[Rit]],
    _xlfn.XLOOKUP($G$2,Int_Sample[Ore],Int_Sample[Inc])) = 0, "YES", "NO"),"")</f>
        <v/>
      </c>
      <c r="I277" s="32" t="str">
        <f>TEXT(HLG_05[[#This Row],[Batch]],"000")&amp; " / " &amp; TEXT(HLG_05[[#This Row],[Rit]],"000")</f>
        <v>N/A / 000</v>
      </c>
      <c r="J277" s="34"/>
      <c r="K277" s="38"/>
      <c r="L277" s="35"/>
      <c r="M277" s="66"/>
      <c r="N277" s="66"/>
      <c r="O277" s="66"/>
      <c r="P277" s="66"/>
      <c r="Q277" s="66"/>
      <c r="R277" s="67"/>
      <c r="S277" s="67"/>
      <c r="T277" s="67"/>
      <c r="U277" s="66"/>
      <c r="V277" s="66"/>
      <c r="W277" s="66"/>
      <c r="X277" s="85"/>
      <c r="AP277" t="str">
        <v/>
      </c>
    </row>
    <row r="278" spans="4:42" ht="15.75" x14ac:dyDescent="0.25">
      <c r="D278" s="3">
        <v>1</v>
      </c>
      <c r="F278" s="16" t="str" cm="1">
        <f t="array" ref="F2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8" s="31" cm="1">
        <f t="array" ref="G2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8" s="33" t="str">
        <f>_xlfn.IFNA(IF(MOD(HLG_05[[#This Row],[Rit]],
    _xlfn.XLOOKUP($G$2,Int_Sample[Ore],Int_Sample[Inc])) = 0, "YES", "NO"),"")</f>
        <v/>
      </c>
      <c r="I278" s="32" t="str">
        <f>TEXT(HLG_05[[#This Row],[Batch]],"000")&amp; " / " &amp; TEXT(HLG_05[[#This Row],[Rit]],"000")</f>
        <v>N/A / 000</v>
      </c>
      <c r="J278" s="34"/>
      <c r="K278" s="38"/>
      <c r="L278" s="35"/>
      <c r="M278" s="66"/>
      <c r="N278" s="66"/>
      <c r="O278" s="66"/>
      <c r="P278" s="66"/>
      <c r="Q278" s="66"/>
      <c r="R278" s="67"/>
      <c r="S278" s="67"/>
      <c r="T278" s="67"/>
      <c r="U278" s="66"/>
      <c r="V278" s="66"/>
      <c r="W278" s="66"/>
      <c r="X278" s="85"/>
      <c r="AP278" t="str">
        <v/>
      </c>
    </row>
    <row r="279" spans="4:42" ht="15.75" x14ac:dyDescent="0.25">
      <c r="D279" s="3">
        <v>1</v>
      </c>
      <c r="F279" s="16" t="str" cm="1">
        <f t="array" ref="F2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9" s="31" cm="1">
        <f t="array" ref="G2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9" s="33" t="str">
        <f>_xlfn.IFNA(IF(MOD(HLG_05[[#This Row],[Rit]],
    _xlfn.XLOOKUP($G$2,Int_Sample[Ore],Int_Sample[Inc])) = 0, "YES", "NO"),"")</f>
        <v/>
      </c>
      <c r="I279" s="32" t="str">
        <f>TEXT(HLG_05[[#This Row],[Batch]],"000")&amp; " / " &amp; TEXT(HLG_05[[#This Row],[Rit]],"000")</f>
        <v>N/A / 000</v>
      </c>
      <c r="J279" s="34"/>
      <c r="K279" s="38"/>
      <c r="L279" s="35"/>
      <c r="M279" s="66"/>
      <c r="N279" s="66"/>
      <c r="O279" s="66"/>
      <c r="P279" s="66"/>
      <c r="Q279" s="66"/>
      <c r="R279" s="67"/>
      <c r="S279" s="67"/>
      <c r="T279" s="67"/>
      <c r="U279" s="66"/>
      <c r="V279" s="66"/>
      <c r="W279" s="66"/>
      <c r="X279" s="85"/>
      <c r="AP279" t="str">
        <v/>
      </c>
    </row>
    <row r="280" spans="4:42" ht="15.75" x14ac:dyDescent="0.25">
      <c r="D280" s="3">
        <v>1</v>
      </c>
      <c r="F280" s="16" t="str" cm="1">
        <f t="array" ref="F2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0" s="31" cm="1">
        <f t="array" ref="G2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0" s="33" t="str">
        <f>_xlfn.IFNA(IF(MOD(HLG_05[[#This Row],[Rit]],
    _xlfn.XLOOKUP($G$2,Int_Sample[Ore],Int_Sample[Inc])) = 0, "YES", "NO"),"")</f>
        <v/>
      </c>
      <c r="I280" s="32" t="str">
        <f>TEXT(HLG_05[[#This Row],[Batch]],"000")&amp; " / " &amp; TEXT(HLG_05[[#This Row],[Rit]],"000")</f>
        <v>N/A / 000</v>
      </c>
      <c r="J280" s="34"/>
      <c r="K280" s="38"/>
      <c r="L280" s="35"/>
      <c r="M280" s="66"/>
      <c r="N280" s="66"/>
      <c r="O280" s="66"/>
      <c r="P280" s="66"/>
      <c r="Q280" s="66"/>
      <c r="R280" s="67"/>
      <c r="S280" s="67"/>
      <c r="T280" s="67"/>
      <c r="U280" s="66"/>
      <c r="V280" s="66"/>
      <c r="W280" s="66"/>
      <c r="X280" s="85"/>
      <c r="AP280" t="str">
        <v/>
      </c>
    </row>
    <row r="281" spans="4:42" ht="15.75" x14ac:dyDescent="0.25">
      <c r="D281" s="3">
        <v>1</v>
      </c>
      <c r="F281" s="16" t="str" cm="1">
        <f t="array" ref="F2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1" s="31" cm="1">
        <f t="array" ref="G2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1" s="33" t="str">
        <f>_xlfn.IFNA(IF(MOD(HLG_05[[#This Row],[Rit]],
    _xlfn.XLOOKUP($G$2,Int_Sample[Ore],Int_Sample[Inc])) = 0, "YES", "NO"),"")</f>
        <v/>
      </c>
      <c r="I281" s="32" t="str">
        <f>TEXT(HLG_05[[#This Row],[Batch]],"000")&amp; " / " &amp; TEXT(HLG_05[[#This Row],[Rit]],"000")</f>
        <v>N/A / 000</v>
      </c>
      <c r="J281" s="34"/>
      <c r="K281" s="38"/>
      <c r="L281" s="35"/>
      <c r="M281" s="66"/>
      <c r="N281" s="66"/>
      <c r="O281" s="66"/>
      <c r="P281" s="66"/>
      <c r="Q281" s="66"/>
      <c r="R281" s="67"/>
      <c r="S281" s="67"/>
      <c r="T281" s="67"/>
      <c r="U281" s="66"/>
      <c r="V281" s="66"/>
      <c r="W281" s="66"/>
      <c r="X281" s="85"/>
      <c r="AP281" t="str">
        <v/>
      </c>
    </row>
    <row r="282" spans="4:42" ht="15.75" x14ac:dyDescent="0.25">
      <c r="D282" s="3">
        <v>1</v>
      </c>
      <c r="F282" s="16" t="str" cm="1">
        <f t="array" ref="F2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2" s="31" cm="1">
        <f t="array" ref="G2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2" s="33" t="str">
        <f>_xlfn.IFNA(IF(MOD(HLG_05[[#This Row],[Rit]],
    _xlfn.XLOOKUP($G$2,Int_Sample[Ore],Int_Sample[Inc])) = 0, "YES", "NO"),"")</f>
        <v/>
      </c>
      <c r="I282" s="32" t="str">
        <f>TEXT(HLG_05[[#This Row],[Batch]],"000")&amp; " / " &amp; TEXT(HLG_05[[#This Row],[Rit]],"000")</f>
        <v>N/A / 000</v>
      </c>
      <c r="J282" s="34"/>
      <c r="K282" s="38"/>
      <c r="L282" s="35"/>
      <c r="M282" s="66"/>
      <c r="N282" s="66"/>
      <c r="O282" s="66"/>
      <c r="P282" s="66"/>
      <c r="Q282" s="66"/>
      <c r="R282" s="67"/>
      <c r="S282" s="67"/>
      <c r="T282" s="67"/>
      <c r="U282" s="66"/>
      <c r="V282" s="66"/>
      <c r="W282" s="66"/>
      <c r="X282" s="85"/>
      <c r="AP282" t="str">
        <v/>
      </c>
    </row>
    <row r="283" spans="4:42" ht="15.75" x14ac:dyDescent="0.25">
      <c r="D283" s="3">
        <v>1</v>
      </c>
      <c r="F283" s="16" t="str" cm="1">
        <f t="array" ref="F2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3" s="31" cm="1">
        <f t="array" ref="G2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3" s="33" t="str">
        <f>_xlfn.IFNA(IF(MOD(HLG_05[[#This Row],[Rit]],
    _xlfn.XLOOKUP($G$2,Int_Sample[Ore],Int_Sample[Inc])) = 0, "YES", "NO"),"")</f>
        <v/>
      </c>
      <c r="I283" s="32" t="str">
        <f>TEXT(HLG_05[[#This Row],[Batch]],"000")&amp; " / " &amp; TEXT(HLG_05[[#This Row],[Rit]],"000")</f>
        <v>N/A / 000</v>
      </c>
      <c r="J283" s="34"/>
      <c r="K283" s="38"/>
      <c r="L283" s="35"/>
      <c r="M283" s="66"/>
      <c r="N283" s="66"/>
      <c r="O283" s="66"/>
      <c r="P283" s="66"/>
      <c r="Q283" s="66"/>
      <c r="R283" s="67"/>
      <c r="S283" s="67"/>
      <c r="T283" s="67"/>
      <c r="U283" s="66"/>
      <c r="V283" s="66"/>
      <c r="W283" s="66"/>
      <c r="X283" s="85"/>
      <c r="AP283" t="str">
        <v/>
      </c>
    </row>
    <row r="284" spans="4:42" ht="15.75" x14ac:dyDescent="0.25">
      <c r="D284" s="3">
        <v>1</v>
      </c>
      <c r="F284" s="16" t="str" cm="1">
        <f t="array" ref="F2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4" s="31" cm="1">
        <f t="array" ref="G2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4" s="33" t="str">
        <f>_xlfn.IFNA(IF(MOD(HLG_05[[#This Row],[Rit]],
    _xlfn.XLOOKUP($G$2,Int_Sample[Ore],Int_Sample[Inc])) = 0, "YES", "NO"),"")</f>
        <v/>
      </c>
      <c r="I284" s="32" t="str">
        <f>TEXT(HLG_05[[#This Row],[Batch]],"000")&amp; " / " &amp; TEXT(HLG_05[[#This Row],[Rit]],"000")</f>
        <v>N/A / 000</v>
      </c>
      <c r="J284" s="34"/>
      <c r="K284" s="38"/>
      <c r="L284" s="35"/>
      <c r="M284" s="66"/>
      <c r="N284" s="66"/>
      <c r="O284" s="66"/>
      <c r="P284" s="66"/>
      <c r="Q284" s="66"/>
      <c r="R284" s="67"/>
      <c r="S284" s="67"/>
      <c r="T284" s="67"/>
      <c r="U284" s="66"/>
      <c r="V284" s="66"/>
      <c r="W284" s="66"/>
      <c r="X284" s="85"/>
      <c r="AP284" t="str">
        <v/>
      </c>
    </row>
    <row r="285" spans="4:42" ht="15.75" x14ac:dyDescent="0.25">
      <c r="D285" s="3">
        <v>1</v>
      </c>
      <c r="F285" s="16" t="str" cm="1">
        <f t="array" ref="F2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5" s="31" cm="1">
        <f t="array" ref="G2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5" s="33" t="str">
        <f>_xlfn.IFNA(IF(MOD(HLG_05[[#This Row],[Rit]],
    _xlfn.XLOOKUP($G$2,Int_Sample[Ore],Int_Sample[Inc])) = 0, "YES", "NO"),"")</f>
        <v/>
      </c>
      <c r="I285" s="32" t="str">
        <f>TEXT(HLG_05[[#This Row],[Batch]],"000")&amp; " / " &amp; TEXT(HLG_05[[#This Row],[Rit]],"000")</f>
        <v>N/A / 000</v>
      </c>
      <c r="J285" s="34"/>
      <c r="K285" s="38"/>
      <c r="L285" s="35"/>
      <c r="M285" s="66"/>
      <c r="N285" s="66"/>
      <c r="O285" s="66"/>
      <c r="P285" s="66"/>
      <c r="Q285" s="66"/>
      <c r="R285" s="67"/>
      <c r="S285" s="67"/>
      <c r="T285" s="67"/>
      <c r="U285" s="66"/>
      <c r="V285" s="66"/>
      <c r="W285" s="66"/>
      <c r="X285" s="85"/>
      <c r="AP285" t="str">
        <v/>
      </c>
    </row>
    <row r="286" spans="4:42" ht="15.75" x14ac:dyDescent="0.25">
      <c r="D286" s="3">
        <v>1</v>
      </c>
      <c r="F286" s="16" t="str" cm="1">
        <f t="array" ref="F2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6" s="31" cm="1">
        <f t="array" ref="G2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6" s="33" t="str">
        <f>_xlfn.IFNA(IF(MOD(HLG_05[[#This Row],[Rit]],
    _xlfn.XLOOKUP($G$2,Int_Sample[Ore],Int_Sample[Inc])) = 0, "YES", "NO"),"")</f>
        <v/>
      </c>
      <c r="I286" s="32" t="str">
        <f>TEXT(HLG_05[[#This Row],[Batch]],"000")&amp; " / " &amp; TEXT(HLG_05[[#This Row],[Rit]],"000")</f>
        <v>N/A / 000</v>
      </c>
      <c r="J286" s="34"/>
      <c r="K286" s="38"/>
      <c r="L286" s="35"/>
      <c r="M286" s="66"/>
      <c r="N286" s="66"/>
      <c r="O286" s="66"/>
      <c r="P286" s="66"/>
      <c r="Q286" s="66"/>
      <c r="R286" s="67"/>
      <c r="S286" s="67"/>
      <c r="T286" s="67"/>
      <c r="U286" s="66"/>
      <c r="V286" s="66"/>
      <c r="W286" s="66"/>
      <c r="X286" s="85"/>
      <c r="AP286" t="str">
        <v/>
      </c>
    </row>
    <row r="287" spans="4:42" ht="15.75" x14ac:dyDescent="0.25">
      <c r="D287" s="3">
        <v>1</v>
      </c>
      <c r="F287" s="16" t="str" cm="1">
        <f t="array" ref="F2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7" s="31" cm="1">
        <f t="array" ref="G2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7" s="33" t="str">
        <f>_xlfn.IFNA(IF(MOD(HLG_05[[#This Row],[Rit]],
    _xlfn.XLOOKUP($G$2,Int_Sample[Ore],Int_Sample[Inc])) = 0, "YES", "NO"),"")</f>
        <v/>
      </c>
      <c r="I287" s="32" t="str">
        <f>TEXT(HLG_05[[#This Row],[Batch]],"000")&amp; " / " &amp; TEXT(HLG_05[[#This Row],[Rit]],"000")</f>
        <v>N/A / 000</v>
      </c>
      <c r="J287" s="34"/>
      <c r="K287" s="38"/>
      <c r="L287" s="35"/>
      <c r="M287" s="66"/>
      <c r="N287" s="66"/>
      <c r="O287" s="66"/>
      <c r="P287" s="66"/>
      <c r="Q287" s="66"/>
      <c r="R287" s="67"/>
      <c r="S287" s="67"/>
      <c r="T287" s="67"/>
      <c r="U287" s="66"/>
      <c r="V287" s="66"/>
      <c r="W287" s="66"/>
      <c r="X287" s="85"/>
      <c r="AP287" t="str">
        <v/>
      </c>
    </row>
    <row r="288" spans="4:42" ht="15.75" x14ac:dyDescent="0.25">
      <c r="D288" s="3">
        <v>1</v>
      </c>
      <c r="F288" s="16" t="str" cm="1">
        <f t="array" ref="F2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8" s="31" cm="1">
        <f t="array" ref="G2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8" s="33" t="str">
        <f>_xlfn.IFNA(IF(MOD(HLG_05[[#This Row],[Rit]],
    _xlfn.XLOOKUP($G$2,Int_Sample[Ore],Int_Sample[Inc])) = 0, "YES", "NO"),"")</f>
        <v/>
      </c>
      <c r="I288" s="32" t="str">
        <f>TEXT(HLG_05[[#This Row],[Batch]],"000")&amp; " / " &amp; TEXT(HLG_05[[#This Row],[Rit]],"000")</f>
        <v>N/A / 000</v>
      </c>
      <c r="J288" s="34"/>
      <c r="K288" s="38"/>
      <c r="L288" s="35"/>
      <c r="M288" s="66"/>
      <c r="N288" s="66"/>
      <c r="O288" s="66"/>
      <c r="P288" s="66"/>
      <c r="Q288" s="66"/>
      <c r="R288" s="67"/>
      <c r="S288" s="67"/>
      <c r="T288" s="67"/>
      <c r="U288" s="66"/>
      <c r="V288" s="66"/>
      <c r="W288" s="66"/>
      <c r="X288" s="85"/>
      <c r="AP288" t="str">
        <v/>
      </c>
    </row>
    <row r="289" spans="4:42" ht="15.75" x14ac:dyDescent="0.25">
      <c r="D289" s="3">
        <v>1</v>
      </c>
      <c r="F289" s="16" t="str" cm="1">
        <f t="array" ref="F2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9" s="31" cm="1">
        <f t="array" ref="G2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9" s="33" t="str">
        <f>_xlfn.IFNA(IF(MOD(HLG_05[[#This Row],[Rit]],
    _xlfn.XLOOKUP($G$2,Int_Sample[Ore],Int_Sample[Inc])) = 0, "YES", "NO"),"")</f>
        <v/>
      </c>
      <c r="I289" s="32" t="str">
        <f>TEXT(HLG_05[[#This Row],[Batch]],"000")&amp; " / " &amp; TEXT(HLG_05[[#This Row],[Rit]],"000")</f>
        <v>N/A / 000</v>
      </c>
      <c r="J289" s="34"/>
      <c r="K289" s="38"/>
      <c r="L289" s="35"/>
      <c r="M289" s="66"/>
      <c r="N289" s="66"/>
      <c r="O289" s="66"/>
      <c r="P289" s="66"/>
      <c r="Q289" s="66"/>
      <c r="R289" s="67"/>
      <c r="S289" s="67"/>
      <c r="T289" s="67"/>
      <c r="U289" s="66"/>
      <c r="V289" s="66"/>
      <c r="W289" s="66"/>
      <c r="X289" s="85"/>
      <c r="AP289" t="str">
        <v/>
      </c>
    </row>
    <row r="290" spans="4:42" ht="15.75" x14ac:dyDescent="0.25">
      <c r="D290" s="3">
        <v>1</v>
      </c>
      <c r="F290" s="16" t="str" cm="1">
        <f t="array" ref="F2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0" s="31" cm="1">
        <f t="array" ref="G2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0" s="33" t="str">
        <f>_xlfn.IFNA(IF(MOD(HLG_05[[#This Row],[Rit]],
    _xlfn.XLOOKUP($G$2,Int_Sample[Ore],Int_Sample[Inc])) = 0, "YES", "NO"),"")</f>
        <v/>
      </c>
      <c r="I290" s="32" t="str">
        <f>TEXT(HLG_05[[#This Row],[Batch]],"000")&amp; " / " &amp; TEXT(HLG_05[[#This Row],[Rit]],"000")</f>
        <v>N/A / 000</v>
      </c>
      <c r="J290" s="34"/>
      <c r="K290" s="38"/>
      <c r="L290" s="35"/>
      <c r="M290" s="66"/>
      <c r="N290" s="66"/>
      <c r="O290" s="66"/>
      <c r="P290" s="66"/>
      <c r="Q290" s="66"/>
      <c r="R290" s="67"/>
      <c r="S290" s="67"/>
      <c r="T290" s="67"/>
      <c r="U290" s="66"/>
      <c r="V290" s="66"/>
      <c r="W290" s="66"/>
      <c r="X290" s="85"/>
      <c r="AP290" t="str">
        <v/>
      </c>
    </row>
    <row r="291" spans="4:42" ht="15.75" x14ac:dyDescent="0.25">
      <c r="D291" s="3">
        <v>1</v>
      </c>
      <c r="F291" s="16" t="str" cm="1">
        <f t="array" ref="F2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1" s="31" cm="1">
        <f t="array" ref="G2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1" s="33" t="str">
        <f>_xlfn.IFNA(IF(MOD(HLG_05[[#This Row],[Rit]],
    _xlfn.XLOOKUP($G$2,Int_Sample[Ore],Int_Sample[Inc])) = 0, "YES", "NO"),"")</f>
        <v/>
      </c>
      <c r="I291" s="32" t="str">
        <f>TEXT(HLG_05[[#This Row],[Batch]],"000")&amp; " / " &amp; TEXT(HLG_05[[#This Row],[Rit]],"000")</f>
        <v>N/A / 000</v>
      </c>
      <c r="J291" s="34"/>
      <c r="K291" s="38"/>
      <c r="L291" s="35"/>
      <c r="M291" s="66"/>
      <c r="N291" s="66"/>
      <c r="O291" s="66"/>
      <c r="P291" s="66"/>
      <c r="Q291" s="66"/>
      <c r="R291" s="67"/>
      <c r="S291" s="67"/>
      <c r="T291" s="67"/>
      <c r="U291" s="66"/>
      <c r="V291" s="66"/>
      <c r="W291" s="66"/>
      <c r="X291" s="85"/>
      <c r="AP291" t="str">
        <v/>
      </c>
    </row>
    <row r="292" spans="4:42" ht="15.75" x14ac:dyDescent="0.25">
      <c r="D292" s="3">
        <v>1</v>
      </c>
      <c r="F292" s="16" t="str" cm="1">
        <f t="array" ref="F2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2" s="31" cm="1">
        <f t="array" ref="G2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2" s="33" t="str">
        <f>_xlfn.IFNA(IF(MOD(HLG_05[[#This Row],[Rit]],
    _xlfn.XLOOKUP($G$2,Int_Sample[Ore],Int_Sample[Inc])) = 0, "YES", "NO"),"")</f>
        <v/>
      </c>
      <c r="I292" s="32" t="str">
        <f>TEXT(HLG_05[[#This Row],[Batch]],"000")&amp; " / " &amp; TEXT(HLG_05[[#This Row],[Rit]],"000")</f>
        <v>N/A / 000</v>
      </c>
      <c r="J292" s="34"/>
      <c r="K292" s="38"/>
      <c r="L292" s="35"/>
      <c r="M292" s="66"/>
      <c r="N292" s="66"/>
      <c r="O292" s="66"/>
      <c r="P292" s="66"/>
      <c r="Q292" s="66"/>
      <c r="R292" s="67"/>
      <c r="S292" s="67"/>
      <c r="T292" s="67"/>
      <c r="U292" s="66"/>
      <c r="V292" s="66"/>
      <c r="W292" s="66"/>
      <c r="X292" s="85"/>
      <c r="AP292" t="str">
        <v/>
      </c>
    </row>
    <row r="293" spans="4:42" ht="15.75" x14ac:dyDescent="0.25">
      <c r="D293" s="3">
        <v>1</v>
      </c>
      <c r="F293" s="16" t="str" cm="1">
        <f t="array" ref="F2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3" s="31" cm="1">
        <f t="array" ref="G2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3" s="33" t="str">
        <f>_xlfn.IFNA(IF(MOD(HLG_05[[#This Row],[Rit]],
    _xlfn.XLOOKUP($G$2,Int_Sample[Ore],Int_Sample[Inc])) = 0, "YES", "NO"),"")</f>
        <v/>
      </c>
      <c r="I293" s="32" t="str">
        <f>TEXT(HLG_05[[#This Row],[Batch]],"000")&amp; " / " &amp; TEXT(HLG_05[[#This Row],[Rit]],"000")</f>
        <v>N/A / 000</v>
      </c>
      <c r="J293" s="34"/>
      <c r="K293" s="38"/>
      <c r="L293" s="35"/>
      <c r="M293" s="66"/>
      <c r="N293" s="66"/>
      <c r="O293" s="66"/>
      <c r="P293" s="66"/>
      <c r="Q293" s="66"/>
      <c r="R293" s="67"/>
      <c r="S293" s="67"/>
      <c r="T293" s="67"/>
      <c r="U293" s="66"/>
      <c r="V293" s="66"/>
      <c r="W293" s="66"/>
      <c r="X293" s="85"/>
      <c r="AP293" t="str">
        <v/>
      </c>
    </row>
    <row r="294" spans="4:42" ht="15.75" x14ac:dyDescent="0.25">
      <c r="D294" s="3">
        <v>1</v>
      </c>
      <c r="F294" s="16" t="str" cm="1">
        <f t="array" ref="F2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4" s="31" cm="1">
        <f t="array" ref="G2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4" s="33" t="str">
        <f>_xlfn.IFNA(IF(MOD(HLG_05[[#This Row],[Rit]],
    _xlfn.XLOOKUP($G$2,Int_Sample[Ore],Int_Sample[Inc])) = 0, "YES", "NO"),"")</f>
        <v/>
      </c>
      <c r="I294" s="32" t="str">
        <f>TEXT(HLG_05[[#This Row],[Batch]],"000")&amp; " / " &amp; TEXT(HLG_05[[#This Row],[Rit]],"000")</f>
        <v>N/A / 000</v>
      </c>
      <c r="J294" s="34"/>
      <c r="K294" s="38"/>
      <c r="L294" s="35"/>
      <c r="M294" s="66"/>
      <c r="N294" s="66"/>
      <c r="O294" s="66"/>
      <c r="P294" s="66"/>
      <c r="Q294" s="66"/>
      <c r="R294" s="67"/>
      <c r="S294" s="67"/>
      <c r="T294" s="67"/>
      <c r="U294" s="66"/>
      <c r="V294" s="66"/>
      <c r="W294" s="66"/>
      <c r="X294" s="85"/>
      <c r="AP294" t="str">
        <v/>
      </c>
    </row>
    <row r="295" spans="4:42" ht="15.75" x14ac:dyDescent="0.25">
      <c r="D295" s="3">
        <v>1</v>
      </c>
      <c r="F295" s="16" t="str" cm="1">
        <f t="array" ref="F2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5" s="31" cm="1">
        <f t="array" ref="G2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5" s="33" t="str">
        <f>_xlfn.IFNA(IF(MOD(HLG_05[[#This Row],[Rit]],
    _xlfn.XLOOKUP($G$2,Int_Sample[Ore],Int_Sample[Inc])) = 0, "YES", "NO"),"")</f>
        <v/>
      </c>
      <c r="I295" s="32" t="str">
        <f>TEXT(HLG_05[[#This Row],[Batch]],"000")&amp; " / " &amp; TEXT(HLG_05[[#This Row],[Rit]],"000")</f>
        <v>N/A / 000</v>
      </c>
      <c r="J295" s="34"/>
      <c r="K295" s="38"/>
      <c r="L295" s="35"/>
      <c r="M295" s="66"/>
      <c r="N295" s="66"/>
      <c r="O295" s="66"/>
      <c r="P295" s="66"/>
      <c r="Q295" s="66"/>
      <c r="R295" s="67"/>
      <c r="S295" s="67"/>
      <c r="T295" s="67"/>
      <c r="U295" s="66"/>
      <c r="V295" s="66"/>
      <c r="W295" s="66"/>
      <c r="X295" s="85"/>
      <c r="AP295" t="str">
        <v/>
      </c>
    </row>
    <row r="296" spans="4:42" ht="15.75" x14ac:dyDescent="0.25">
      <c r="D296" s="3">
        <v>1</v>
      </c>
      <c r="F296" s="16" t="str" cm="1">
        <f t="array" ref="F2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6" s="31" cm="1">
        <f t="array" ref="G2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6" s="33" t="str">
        <f>_xlfn.IFNA(IF(MOD(HLG_05[[#This Row],[Rit]],
    _xlfn.XLOOKUP($G$2,Int_Sample[Ore],Int_Sample[Inc])) = 0, "YES", "NO"),"")</f>
        <v/>
      </c>
      <c r="I296" s="32" t="str">
        <f>TEXT(HLG_05[[#This Row],[Batch]],"000")&amp; " / " &amp; TEXT(HLG_05[[#This Row],[Rit]],"000")</f>
        <v>N/A / 000</v>
      </c>
      <c r="J296" s="34"/>
      <c r="K296" s="38"/>
      <c r="L296" s="35"/>
      <c r="M296" s="66"/>
      <c r="N296" s="66"/>
      <c r="O296" s="66"/>
      <c r="P296" s="66"/>
      <c r="Q296" s="66"/>
      <c r="R296" s="67"/>
      <c r="S296" s="67"/>
      <c r="T296" s="67"/>
      <c r="U296" s="66"/>
      <c r="V296" s="66"/>
      <c r="W296" s="66"/>
      <c r="X296" s="85"/>
      <c r="AP296" t="str">
        <v/>
      </c>
    </row>
    <row r="297" spans="4:42" ht="15.75" x14ac:dyDescent="0.25">
      <c r="D297" s="3">
        <v>1</v>
      </c>
      <c r="F297" s="16" t="str" cm="1">
        <f t="array" ref="F2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7" s="31" cm="1">
        <f t="array" ref="G2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7" s="33" t="str">
        <f>_xlfn.IFNA(IF(MOD(HLG_05[[#This Row],[Rit]],
    _xlfn.XLOOKUP($G$2,Int_Sample[Ore],Int_Sample[Inc])) = 0, "YES", "NO"),"")</f>
        <v/>
      </c>
      <c r="I297" s="32" t="str">
        <f>TEXT(HLG_05[[#This Row],[Batch]],"000")&amp; " / " &amp; TEXT(HLG_05[[#This Row],[Rit]],"000")</f>
        <v>N/A / 000</v>
      </c>
      <c r="J297" s="34"/>
      <c r="K297" s="38"/>
      <c r="L297" s="35"/>
      <c r="M297" s="66"/>
      <c r="N297" s="66"/>
      <c r="O297" s="66"/>
      <c r="P297" s="66"/>
      <c r="Q297" s="66"/>
      <c r="R297" s="67"/>
      <c r="S297" s="67"/>
      <c r="T297" s="67"/>
      <c r="U297" s="66"/>
      <c r="V297" s="66"/>
      <c r="W297" s="66"/>
      <c r="X297" s="85"/>
      <c r="AP297" t="str">
        <v/>
      </c>
    </row>
    <row r="298" spans="4:42" ht="15.75" x14ac:dyDescent="0.25">
      <c r="D298" s="3">
        <v>1</v>
      </c>
      <c r="F298" s="16" t="str" cm="1">
        <f t="array" ref="F2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8" s="31" cm="1">
        <f t="array" ref="G2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8" s="33" t="str">
        <f>_xlfn.IFNA(IF(MOD(HLG_05[[#This Row],[Rit]],
    _xlfn.XLOOKUP($G$2,Int_Sample[Ore],Int_Sample[Inc])) = 0, "YES", "NO"),"")</f>
        <v/>
      </c>
      <c r="I298" s="32" t="str">
        <f>TEXT(HLG_05[[#This Row],[Batch]],"000")&amp; " / " &amp; TEXT(HLG_05[[#This Row],[Rit]],"000")</f>
        <v>N/A / 000</v>
      </c>
      <c r="J298" s="34"/>
      <c r="K298" s="38"/>
      <c r="L298" s="35"/>
      <c r="M298" s="66"/>
      <c r="N298" s="66"/>
      <c r="O298" s="66"/>
      <c r="P298" s="66"/>
      <c r="Q298" s="66"/>
      <c r="R298" s="67"/>
      <c r="S298" s="67"/>
      <c r="T298" s="67"/>
      <c r="U298" s="66"/>
      <c r="V298" s="66"/>
      <c r="W298" s="66"/>
      <c r="X298" s="85"/>
      <c r="AP298" t="str">
        <v/>
      </c>
    </row>
    <row r="299" spans="4:42" ht="15.75" x14ac:dyDescent="0.25">
      <c r="D299" s="3">
        <v>1</v>
      </c>
      <c r="F299" s="16" t="str" cm="1">
        <f t="array" ref="F2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9" s="31" cm="1">
        <f t="array" ref="G2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9" s="33" t="str">
        <f>_xlfn.IFNA(IF(MOD(HLG_05[[#This Row],[Rit]],
    _xlfn.XLOOKUP($G$2,Int_Sample[Ore],Int_Sample[Inc])) = 0, "YES", "NO"),"")</f>
        <v/>
      </c>
      <c r="I299" s="32" t="str">
        <f>TEXT(HLG_05[[#This Row],[Batch]],"000")&amp; " / " &amp; TEXT(HLG_05[[#This Row],[Rit]],"000")</f>
        <v>N/A / 000</v>
      </c>
      <c r="J299" s="34"/>
      <c r="K299" s="38"/>
      <c r="L299" s="35"/>
      <c r="M299" s="66"/>
      <c r="N299" s="66"/>
      <c r="O299" s="66"/>
      <c r="P299" s="66"/>
      <c r="Q299" s="66"/>
      <c r="R299" s="67"/>
      <c r="S299" s="67"/>
      <c r="T299" s="67"/>
      <c r="U299" s="66"/>
      <c r="V299" s="66"/>
      <c r="W299" s="66"/>
      <c r="X299" s="85"/>
      <c r="AP299" t="str">
        <v/>
      </c>
    </row>
    <row r="300" spans="4:42" ht="15.75" x14ac:dyDescent="0.25">
      <c r="D300" s="3">
        <v>1</v>
      </c>
      <c r="F300" s="16" t="str" cm="1">
        <f t="array" ref="F3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0" s="31" cm="1">
        <f t="array" ref="G3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0" s="33" t="str">
        <f>_xlfn.IFNA(IF(MOD(HLG_05[[#This Row],[Rit]],
    _xlfn.XLOOKUP($G$2,Int_Sample[Ore],Int_Sample[Inc])) = 0, "YES", "NO"),"")</f>
        <v/>
      </c>
      <c r="I300" s="32" t="str">
        <f>TEXT(HLG_05[[#This Row],[Batch]],"000")&amp; " / " &amp; TEXT(HLG_05[[#This Row],[Rit]],"000")</f>
        <v>N/A / 000</v>
      </c>
      <c r="J300" s="34"/>
      <c r="K300" s="38"/>
      <c r="L300" s="35"/>
      <c r="M300" s="66"/>
      <c r="N300" s="66"/>
      <c r="O300" s="66"/>
      <c r="P300" s="66"/>
      <c r="Q300" s="66"/>
      <c r="R300" s="67"/>
      <c r="S300" s="67"/>
      <c r="T300" s="67"/>
      <c r="U300" s="66"/>
      <c r="V300" s="66"/>
      <c r="W300" s="66"/>
      <c r="X300" s="85"/>
      <c r="AP300" t="str">
        <v/>
      </c>
    </row>
    <row r="301" spans="4:42" ht="15.75" x14ac:dyDescent="0.25">
      <c r="D301" s="3">
        <v>1</v>
      </c>
      <c r="F301" s="16" t="str" cm="1">
        <f t="array" ref="F3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1" s="31" cm="1">
        <f t="array" ref="G3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1" s="33" t="str">
        <f>_xlfn.IFNA(IF(MOD(HLG_05[[#This Row],[Rit]],
    _xlfn.XLOOKUP($G$2,Int_Sample[Ore],Int_Sample[Inc])) = 0, "YES", "NO"),"")</f>
        <v/>
      </c>
      <c r="I301" s="32" t="str">
        <f>TEXT(HLG_05[[#This Row],[Batch]],"000")&amp; " / " &amp; TEXT(HLG_05[[#This Row],[Rit]],"000")</f>
        <v>N/A / 000</v>
      </c>
      <c r="J301" s="34"/>
      <c r="K301" s="38"/>
      <c r="L301" s="35"/>
      <c r="M301" s="66"/>
      <c r="N301" s="66"/>
      <c r="O301" s="66"/>
      <c r="P301" s="66"/>
      <c r="Q301" s="66"/>
      <c r="R301" s="67"/>
      <c r="S301" s="67"/>
      <c r="T301" s="67"/>
      <c r="U301" s="66"/>
      <c r="V301" s="66"/>
      <c r="W301" s="66"/>
      <c r="X301" s="85"/>
      <c r="AP301" t="str">
        <v/>
      </c>
    </row>
    <row r="302" spans="4:42" ht="15.75" x14ac:dyDescent="0.25">
      <c r="D302" s="3">
        <v>1</v>
      </c>
      <c r="F302" s="16" t="str" cm="1">
        <f t="array" ref="F3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2" s="31" cm="1">
        <f t="array" ref="G3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2" s="33" t="str">
        <f>_xlfn.IFNA(IF(MOD(HLG_05[[#This Row],[Rit]],
    _xlfn.XLOOKUP($G$2,Int_Sample[Ore],Int_Sample[Inc])) = 0, "YES", "NO"),"")</f>
        <v/>
      </c>
      <c r="I302" s="32" t="str">
        <f>TEXT(HLG_05[[#This Row],[Batch]],"000")&amp; " / " &amp; TEXT(HLG_05[[#This Row],[Rit]],"000")</f>
        <v>N/A / 000</v>
      </c>
      <c r="J302" s="34"/>
      <c r="K302" s="38"/>
      <c r="L302" s="35"/>
      <c r="M302" s="66"/>
      <c r="N302" s="66"/>
      <c r="O302" s="66"/>
      <c r="P302" s="66"/>
      <c r="Q302" s="66"/>
      <c r="R302" s="67"/>
      <c r="S302" s="67"/>
      <c r="T302" s="67"/>
      <c r="U302" s="66"/>
      <c r="V302" s="66"/>
      <c r="W302" s="66"/>
      <c r="X302" s="85"/>
      <c r="AP302" t="str">
        <v/>
      </c>
    </row>
    <row r="303" spans="4:42" ht="15.75" x14ac:dyDescent="0.25">
      <c r="D303" s="3">
        <v>1</v>
      </c>
      <c r="F303" s="16" t="str" cm="1">
        <f t="array" ref="F3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3" s="31" cm="1">
        <f t="array" ref="G3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3" s="33" t="str">
        <f>_xlfn.IFNA(IF(MOD(HLG_05[[#This Row],[Rit]],
    _xlfn.XLOOKUP($G$2,Int_Sample[Ore],Int_Sample[Inc])) = 0, "YES", "NO"),"")</f>
        <v/>
      </c>
      <c r="I303" s="32" t="str">
        <f>TEXT(HLG_05[[#This Row],[Batch]],"000")&amp; " / " &amp; TEXT(HLG_05[[#This Row],[Rit]],"000")</f>
        <v>N/A / 000</v>
      </c>
      <c r="J303" s="34"/>
      <c r="K303" s="38"/>
      <c r="L303" s="35"/>
      <c r="M303" s="66"/>
      <c r="N303" s="66"/>
      <c r="O303" s="66"/>
      <c r="P303" s="66"/>
      <c r="Q303" s="66"/>
      <c r="R303" s="67"/>
      <c r="S303" s="67"/>
      <c r="T303" s="67"/>
      <c r="U303" s="66"/>
      <c r="V303" s="66"/>
      <c r="W303" s="66"/>
      <c r="X303" s="85"/>
      <c r="AP303" t="str">
        <v/>
      </c>
    </row>
    <row r="304" spans="4:42" ht="15.75" x14ac:dyDescent="0.25">
      <c r="D304" s="3">
        <v>1</v>
      </c>
      <c r="F304" s="16" t="str" cm="1">
        <f t="array" ref="F3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4" s="31" cm="1">
        <f t="array" ref="G3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4" s="33" t="str">
        <f>_xlfn.IFNA(IF(MOD(HLG_05[[#This Row],[Rit]],
    _xlfn.XLOOKUP($G$2,Int_Sample[Ore],Int_Sample[Inc])) = 0, "YES", "NO"),"")</f>
        <v/>
      </c>
      <c r="I304" s="32" t="str">
        <f>TEXT(HLG_05[[#This Row],[Batch]],"000")&amp; " / " &amp; TEXT(HLG_05[[#This Row],[Rit]],"000")</f>
        <v>N/A / 000</v>
      </c>
      <c r="J304" s="34"/>
      <c r="K304" s="38"/>
      <c r="L304" s="35"/>
      <c r="M304" s="66"/>
      <c r="N304" s="66"/>
      <c r="O304" s="66"/>
      <c r="P304" s="66"/>
      <c r="Q304" s="66"/>
      <c r="R304" s="67"/>
      <c r="S304" s="67"/>
      <c r="T304" s="67"/>
      <c r="U304" s="66"/>
      <c r="V304" s="66"/>
      <c r="W304" s="66"/>
      <c r="X304" s="85"/>
      <c r="AP304" t="str">
        <v/>
      </c>
    </row>
    <row r="305" spans="4:42" ht="15.75" x14ac:dyDescent="0.25">
      <c r="D305" s="3">
        <v>1</v>
      </c>
      <c r="F305" s="16" t="str" cm="1">
        <f t="array" ref="F3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5" s="31" cm="1">
        <f t="array" ref="G3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5" s="33" t="str">
        <f>_xlfn.IFNA(IF(MOD(HLG_05[[#This Row],[Rit]],
    _xlfn.XLOOKUP($G$2,Int_Sample[Ore],Int_Sample[Inc])) = 0, "YES", "NO"),"")</f>
        <v/>
      </c>
      <c r="I305" s="32" t="str">
        <f>TEXT(HLG_05[[#This Row],[Batch]],"000")&amp; " / " &amp; TEXT(HLG_05[[#This Row],[Rit]],"000")</f>
        <v>N/A / 000</v>
      </c>
      <c r="J305" s="34"/>
      <c r="K305" s="38"/>
      <c r="L305" s="35"/>
      <c r="M305" s="66"/>
      <c r="N305" s="66"/>
      <c r="O305" s="66"/>
      <c r="P305" s="66"/>
      <c r="Q305" s="66"/>
      <c r="R305" s="67"/>
      <c r="S305" s="67"/>
      <c r="T305" s="67"/>
      <c r="U305" s="66"/>
      <c r="V305" s="66"/>
      <c r="W305" s="66"/>
      <c r="X305" s="85"/>
      <c r="AP305" t="str">
        <v/>
      </c>
    </row>
    <row r="306" spans="4:42" ht="15.75" x14ac:dyDescent="0.25">
      <c r="D306" s="3">
        <v>1</v>
      </c>
      <c r="F306" s="16" t="str" cm="1">
        <f t="array" ref="F3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6" s="31" cm="1">
        <f t="array" ref="G3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6" s="33" t="str">
        <f>_xlfn.IFNA(IF(MOD(HLG_05[[#This Row],[Rit]],
    _xlfn.XLOOKUP($G$2,Int_Sample[Ore],Int_Sample[Inc])) = 0, "YES", "NO"),"")</f>
        <v/>
      </c>
      <c r="I306" s="32" t="str">
        <f>TEXT(HLG_05[[#This Row],[Batch]],"000")&amp; " / " &amp; TEXT(HLG_05[[#This Row],[Rit]],"000")</f>
        <v>N/A / 000</v>
      </c>
      <c r="J306" s="34"/>
      <c r="K306" s="38"/>
      <c r="L306" s="35"/>
      <c r="M306" s="66"/>
      <c r="N306" s="66"/>
      <c r="O306" s="66"/>
      <c r="P306" s="66"/>
      <c r="Q306" s="66"/>
      <c r="R306" s="67"/>
      <c r="S306" s="67"/>
      <c r="T306" s="67"/>
      <c r="U306" s="66"/>
      <c r="V306" s="66"/>
      <c r="W306" s="66"/>
      <c r="X306" s="85"/>
      <c r="AP306" t="str">
        <v/>
      </c>
    </row>
    <row r="307" spans="4:42" ht="15.75" x14ac:dyDescent="0.25">
      <c r="D307" s="3">
        <v>1</v>
      </c>
      <c r="F307" s="16" t="str" cm="1">
        <f t="array" ref="F3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7" s="31" cm="1">
        <f t="array" ref="G3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7" s="33" t="str">
        <f>_xlfn.IFNA(IF(MOD(HLG_05[[#This Row],[Rit]],
    _xlfn.XLOOKUP($G$2,Int_Sample[Ore],Int_Sample[Inc])) = 0, "YES", "NO"),"")</f>
        <v/>
      </c>
      <c r="I307" s="32" t="str">
        <f>TEXT(HLG_05[[#This Row],[Batch]],"000")&amp; " / " &amp; TEXT(HLG_05[[#This Row],[Rit]],"000")</f>
        <v>N/A / 000</v>
      </c>
      <c r="J307" s="34"/>
      <c r="K307" s="38"/>
      <c r="L307" s="35"/>
      <c r="M307" s="66"/>
      <c r="N307" s="66"/>
      <c r="O307" s="66"/>
      <c r="P307" s="66"/>
      <c r="Q307" s="66"/>
      <c r="R307" s="67"/>
      <c r="S307" s="67"/>
      <c r="T307" s="67"/>
      <c r="U307" s="66"/>
      <c r="V307" s="66"/>
      <c r="W307" s="66"/>
      <c r="X307" s="85"/>
      <c r="AP307" t="str">
        <v/>
      </c>
    </row>
    <row r="308" spans="4:42" ht="15.75" x14ac:dyDescent="0.25">
      <c r="D308" s="3">
        <v>1</v>
      </c>
      <c r="F308" s="16" t="str" cm="1">
        <f t="array" ref="F3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8" s="31" cm="1">
        <f t="array" ref="G3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8" s="33" t="str">
        <f>_xlfn.IFNA(IF(MOD(HLG_05[[#This Row],[Rit]],
    _xlfn.XLOOKUP($G$2,Int_Sample[Ore],Int_Sample[Inc])) = 0, "YES", "NO"),"")</f>
        <v/>
      </c>
      <c r="I308" s="32" t="str">
        <f>TEXT(HLG_05[[#This Row],[Batch]],"000")&amp; " / " &amp; TEXT(HLG_05[[#This Row],[Rit]],"000")</f>
        <v>N/A / 000</v>
      </c>
      <c r="J308" s="34"/>
      <c r="K308" s="38"/>
      <c r="L308" s="35"/>
      <c r="M308" s="66"/>
      <c r="N308" s="66"/>
      <c r="O308" s="66"/>
      <c r="P308" s="66"/>
      <c r="Q308" s="66"/>
      <c r="R308" s="67"/>
      <c r="S308" s="67"/>
      <c r="T308" s="67"/>
      <c r="U308" s="66"/>
      <c r="V308" s="66"/>
      <c r="W308" s="66"/>
      <c r="X308" s="85"/>
      <c r="AP308" t="str">
        <v/>
      </c>
    </row>
    <row r="309" spans="4:42" ht="15.75" x14ac:dyDescent="0.25">
      <c r="D309" s="3">
        <v>1</v>
      </c>
      <c r="F309" s="16" t="str" cm="1">
        <f t="array" ref="F3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9" s="31" cm="1">
        <f t="array" ref="G3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9" s="33" t="str">
        <f>_xlfn.IFNA(IF(MOD(HLG_05[[#This Row],[Rit]],
    _xlfn.XLOOKUP($G$2,Int_Sample[Ore],Int_Sample[Inc])) = 0, "YES", "NO"),"")</f>
        <v/>
      </c>
      <c r="I309" s="32" t="str">
        <f>TEXT(HLG_05[[#This Row],[Batch]],"000")&amp; " / " &amp; TEXT(HLG_05[[#This Row],[Rit]],"000")</f>
        <v>N/A / 000</v>
      </c>
      <c r="J309" s="34"/>
      <c r="K309" s="38"/>
      <c r="L309" s="35"/>
      <c r="M309" s="66"/>
      <c r="N309" s="66"/>
      <c r="O309" s="66"/>
      <c r="P309" s="66"/>
      <c r="Q309" s="66"/>
      <c r="R309" s="67"/>
      <c r="S309" s="67"/>
      <c r="T309" s="67"/>
      <c r="U309" s="66"/>
      <c r="V309" s="66"/>
      <c r="W309" s="66"/>
      <c r="X309" s="85"/>
      <c r="AP309" t="str">
        <v/>
      </c>
    </row>
    <row r="310" spans="4:42" ht="15.75" x14ac:dyDescent="0.25">
      <c r="D310" s="3">
        <v>1</v>
      </c>
      <c r="F310" s="16" t="str" cm="1">
        <f t="array" ref="F3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0" s="31" cm="1">
        <f t="array" ref="G3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0" s="33" t="str">
        <f>_xlfn.IFNA(IF(MOD(HLG_05[[#This Row],[Rit]],
    _xlfn.XLOOKUP($G$2,Int_Sample[Ore],Int_Sample[Inc])) = 0, "YES", "NO"),"")</f>
        <v/>
      </c>
      <c r="I310" s="32" t="str">
        <f>TEXT(HLG_05[[#This Row],[Batch]],"000")&amp; " / " &amp; TEXT(HLG_05[[#This Row],[Rit]],"000")</f>
        <v>N/A / 000</v>
      </c>
      <c r="J310" s="34"/>
      <c r="K310" s="38"/>
      <c r="L310" s="35"/>
      <c r="M310" s="66"/>
      <c r="N310" s="66"/>
      <c r="O310" s="66"/>
      <c r="P310" s="66"/>
      <c r="Q310" s="66"/>
      <c r="R310" s="67"/>
      <c r="S310" s="67"/>
      <c r="T310" s="67"/>
      <c r="U310" s="66"/>
      <c r="V310" s="66"/>
      <c r="W310" s="66"/>
      <c r="X310" s="85"/>
      <c r="AP310" t="str">
        <v/>
      </c>
    </row>
    <row r="311" spans="4:42" ht="15.75" x14ac:dyDescent="0.25">
      <c r="D311" s="3">
        <v>1</v>
      </c>
      <c r="F311" s="16" t="str" cm="1">
        <f t="array" ref="F3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1" s="31" cm="1">
        <f t="array" ref="G3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1" s="33" t="str">
        <f>_xlfn.IFNA(IF(MOD(HLG_05[[#This Row],[Rit]],
    _xlfn.XLOOKUP($G$2,Int_Sample[Ore],Int_Sample[Inc])) = 0, "YES", "NO"),"")</f>
        <v/>
      </c>
      <c r="I311" s="32" t="str">
        <f>TEXT(HLG_05[[#This Row],[Batch]],"000")&amp; " / " &amp; TEXT(HLG_05[[#This Row],[Rit]],"000")</f>
        <v>N/A / 000</v>
      </c>
      <c r="J311" s="34"/>
      <c r="K311" s="38"/>
      <c r="L311" s="35"/>
      <c r="M311" s="66"/>
      <c r="N311" s="66"/>
      <c r="O311" s="66"/>
      <c r="P311" s="66"/>
      <c r="Q311" s="66"/>
      <c r="R311" s="67"/>
      <c r="S311" s="67"/>
      <c r="T311" s="67"/>
      <c r="U311" s="66"/>
      <c r="V311" s="66"/>
      <c r="W311" s="66"/>
      <c r="X311" s="85"/>
      <c r="AP311" t="str">
        <v/>
      </c>
    </row>
    <row r="312" spans="4:42" ht="15.75" x14ac:dyDescent="0.25">
      <c r="D312" s="3">
        <v>1</v>
      </c>
      <c r="F312" s="16" t="str" cm="1">
        <f t="array" ref="F3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2" s="31" cm="1">
        <f t="array" ref="G3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2" s="33" t="str">
        <f>_xlfn.IFNA(IF(MOD(HLG_05[[#This Row],[Rit]],
    _xlfn.XLOOKUP($G$2,Int_Sample[Ore],Int_Sample[Inc])) = 0, "YES", "NO"),"")</f>
        <v/>
      </c>
      <c r="I312" s="32" t="str">
        <f>TEXT(HLG_05[[#This Row],[Batch]],"000")&amp; " / " &amp; TEXT(HLG_05[[#This Row],[Rit]],"000")</f>
        <v>N/A / 000</v>
      </c>
      <c r="J312" s="34"/>
      <c r="K312" s="38"/>
      <c r="L312" s="35"/>
      <c r="M312" s="66"/>
      <c r="N312" s="66"/>
      <c r="O312" s="66"/>
      <c r="P312" s="66"/>
      <c r="Q312" s="66"/>
      <c r="R312" s="67"/>
      <c r="S312" s="67"/>
      <c r="T312" s="67"/>
      <c r="U312" s="66"/>
      <c r="V312" s="66"/>
      <c r="W312" s="66"/>
      <c r="X312" s="85"/>
      <c r="AP312" t="str">
        <v/>
      </c>
    </row>
    <row r="313" spans="4:42" ht="15.75" x14ac:dyDescent="0.25">
      <c r="D313" s="3">
        <v>1</v>
      </c>
      <c r="F313" s="16" t="str" cm="1">
        <f t="array" ref="F3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3" s="31" cm="1">
        <f t="array" ref="G3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3" s="33" t="str">
        <f>_xlfn.IFNA(IF(MOD(HLG_05[[#This Row],[Rit]],
    _xlfn.XLOOKUP($G$2,Int_Sample[Ore],Int_Sample[Inc])) = 0, "YES", "NO"),"")</f>
        <v/>
      </c>
      <c r="I313" s="32" t="str">
        <f>TEXT(HLG_05[[#This Row],[Batch]],"000")&amp; " / " &amp; TEXT(HLG_05[[#This Row],[Rit]],"000")</f>
        <v>N/A / 000</v>
      </c>
      <c r="J313" s="34"/>
      <c r="K313" s="38"/>
      <c r="L313" s="35"/>
      <c r="M313" s="66"/>
      <c r="N313" s="66"/>
      <c r="O313" s="66"/>
      <c r="P313" s="66"/>
      <c r="Q313" s="66"/>
      <c r="R313" s="67"/>
      <c r="S313" s="67"/>
      <c r="T313" s="67"/>
      <c r="U313" s="66"/>
      <c r="V313" s="66"/>
      <c r="W313" s="66"/>
      <c r="X313" s="85"/>
      <c r="AP313" t="str">
        <v/>
      </c>
    </row>
    <row r="314" spans="4:42" ht="15.75" x14ac:dyDescent="0.25">
      <c r="D314" s="3">
        <v>1</v>
      </c>
      <c r="F314" s="16" t="str" cm="1">
        <f t="array" ref="F3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4" s="31" cm="1">
        <f t="array" ref="G3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4" s="33" t="str">
        <f>_xlfn.IFNA(IF(MOD(HLG_05[[#This Row],[Rit]],
    _xlfn.XLOOKUP($G$2,Int_Sample[Ore],Int_Sample[Inc])) = 0, "YES", "NO"),"")</f>
        <v/>
      </c>
      <c r="I314" s="32" t="str">
        <f>TEXT(HLG_05[[#This Row],[Batch]],"000")&amp; " / " &amp; TEXT(HLG_05[[#This Row],[Rit]],"000")</f>
        <v>N/A / 000</v>
      </c>
      <c r="J314" s="34"/>
      <c r="K314" s="38"/>
      <c r="L314" s="35"/>
      <c r="M314" s="66"/>
      <c r="N314" s="66"/>
      <c r="O314" s="66"/>
      <c r="P314" s="66"/>
      <c r="Q314" s="66"/>
      <c r="R314" s="67"/>
      <c r="S314" s="67"/>
      <c r="T314" s="67"/>
      <c r="U314" s="66"/>
      <c r="V314" s="66"/>
      <c r="W314" s="66"/>
      <c r="X314" s="85"/>
      <c r="AP314" t="str">
        <v/>
      </c>
    </row>
    <row r="315" spans="4:42" ht="15.75" x14ac:dyDescent="0.25">
      <c r="D315" s="3">
        <v>1</v>
      </c>
      <c r="F315" s="16" t="str" cm="1">
        <f t="array" ref="F3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5" s="31" cm="1">
        <f t="array" ref="G3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5" s="33" t="str">
        <f>_xlfn.IFNA(IF(MOD(HLG_05[[#This Row],[Rit]],
    _xlfn.XLOOKUP($G$2,Int_Sample[Ore],Int_Sample[Inc])) = 0, "YES", "NO"),"")</f>
        <v/>
      </c>
      <c r="I315" s="32" t="str">
        <f>TEXT(HLG_05[[#This Row],[Batch]],"000")&amp; " / " &amp; TEXT(HLG_05[[#This Row],[Rit]],"000")</f>
        <v>N/A / 000</v>
      </c>
      <c r="J315" s="34"/>
      <c r="K315" s="38"/>
      <c r="L315" s="35"/>
      <c r="M315" s="66"/>
      <c r="N315" s="66"/>
      <c r="O315" s="66"/>
      <c r="P315" s="66"/>
      <c r="Q315" s="66"/>
      <c r="R315" s="67"/>
      <c r="S315" s="67"/>
      <c r="T315" s="67"/>
      <c r="U315" s="66"/>
      <c r="V315" s="66"/>
      <c r="W315" s="66"/>
      <c r="X315" s="85"/>
      <c r="AP315" t="str">
        <v/>
      </c>
    </row>
    <row r="316" spans="4:42" ht="15.75" x14ac:dyDescent="0.25">
      <c r="D316" s="3">
        <v>1</v>
      </c>
      <c r="F316" s="16" t="str" cm="1">
        <f t="array" ref="F3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6" s="31" cm="1">
        <f t="array" ref="G3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6" s="33" t="str">
        <f>_xlfn.IFNA(IF(MOD(HLG_05[[#This Row],[Rit]],
    _xlfn.XLOOKUP($G$2,Int_Sample[Ore],Int_Sample[Inc])) = 0, "YES", "NO"),"")</f>
        <v/>
      </c>
      <c r="I316" s="32" t="str">
        <f>TEXT(HLG_05[[#This Row],[Batch]],"000")&amp; " / " &amp; TEXT(HLG_05[[#This Row],[Rit]],"000")</f>
        <v>N/A / 000</v>
      </c>
      <c r="J316" s="34"/>
      <c r="K316" s="38"/>
      <c r="L316" s="35"/>
      <c r="M316" s="66"/>
      <c r="N316" s="66"/>
      <c r="O316" s="66"/>
      <c r="P316" s="66"/>
      <c r="Q316" s="66"/>
      <c r="R316" s="67"/>
      <c r="S316" s="67"/>
      <c r="T316" s="67"/>
      <c r="U316" s="66"/>
      <c r="V316" s="66"/>
      <c r="W316" s="66"/>
      <c r="X316" s="85"/>
      <c r="AP316" t="str">
        <v/>
      </c>
    </row>
    <row r="317" spans="4:42" ht="15.75" x14ac:dyDescent="0.25">
      <c r="D317" s="3">
        <v>1</v>
      </c>
      <c r="F317" s="16" t="str" cm="1">
        <f t="array" ref="F3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7" s="31" cm="1">
        <f t="array" ref="G3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7" s="33" t="str">
        <f>_xlfn.IFNA(IF(MOD(HLG_05[[#This Row],[Rit]],
    _xlfn.XLOOKUP($G$2,Int_Sample[Ore],Int_Sample[Inc])) = 0, "YES", "NO"),"")</f>
        <v/>
      </c>
      <c r="I317" s="32" t="str">
        <f>TEXT(HLG_05[[#This Row],[Batch]],"000")&amp; " / " &amp; TEXT(HLG_05[[#This Row],[Rit]],"000")</f>
        <v>N/A / 000</v>
      </c>
      <c r="J317" s="34"/>
      <c r="K317" s="38"/>
      <c r="L317" s="35"/>
      <c r="M317" s="66"/>
      <c r="N317" s="66"/>
      <c r="O317" s="66"/>
      <c r="P317" s="66"/>
      <c r="Q317" s="66"/>
      <c r="R317" s="67"/>
      <c r="S317" s="67"/>
      <c r="T317" s="67"/>
      <c r="U317" s="66"/>
      <c r="V317" s="66"/>
      <c r="W317" s="66"/>
      <c r="X317" s="85"/>
      <c r="AP317" t="str">
        <v/>
      </c>
    </row>
    <row r="318" spans="4:42" ht="15.75" x14ac:dyDescent="0.25">
      <c r="D318" s="3">
        <v>1</v>
      </c>
      <c r="F318" s="16" t="str" cm="1">
        <f t="array" ref="F3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8" s="31" cm="1">
        <f t="array" ref="G3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8" s="33" t="str">
        <f>_xlfn.IFNA(IF(MOD(HLG_05[[#This Row],[Rit]],
    _xlfn.XLOOKUP($G$2,Int_Sample[Ore],Int_Sample[Inc])) = 0, "YES", "NO"),"")</f>
        <v/>
      </c>
      <c r="I318" s="32" t="str">
        <f>TEXT(HLG_05[[#This Row],[Batch]],"000")&amp; " / " &amp; TEXT(HLG_05[[#This Row],[Rit]],"000")</f>
        <v>N/A / 000</v>
      </c>
      <c r="J318" s="34"/>
      <c r="K318" s="38"/>
      <c r="L318" s="35"/>
      <c r="M318" s="66"/>
      <c r="N318" s="66"/>
      <c r="O318" s="66"/>
      <c r="P318" s="66"/>
      <c r="Q318" s="66"/>
      <c r="R318" s="67"/>
      <c r="S318" s="67"/>
      <c r="T318" s="67"/>
      <c r="U318" s="66"/>
      <c r="V318" s="66"/>
      <c r="W318" s="66"/>
      <c r="X318" s="85"/>
      <c r="AP318" t="str">
        <v/>
      </c>
    </row>
    <row r="319" spans="4:42" ht="15.75" x14ac:dyDescent="0.25">
      <c r="D319" s="3">
        <v>1</v>
      </c>
      <c r="F319" s="16" t="str" cm="1">
        <f t="array" ref="F3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9" s="31" cm="1">
        <f t="array" ref="G3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9" s="33" t="str">
        <f>_xlfn.IFNA(IF(MOD(HLG_05[[#This Row],[Rit]],
    _xlfn.XLOOKUP($G$2,Int_Sample[Ore],Int_Sample[Inc])) = 0, "YES", "NO"),"")</f>
        <v/>
      </c>
      <c r="I319" s="32" t="str">
        <f>TEXT(HLG_05[[#This Row],[Batch]],"000")&amp; " / " &amp; TEXT(HLG_05[[#This Row],[Rit]],"000")</f>
        <v>N/A / 000</v>
      </c>
      <c r="J319" s="34"/>
      <c r="K319" s="38"/>
      <c r="L319" s="35"/>
      <c r="M319" s="66"/>
      <c r="N319" s="66"/>
      <c r="O319" s="66"/>
      <c r="P319" s="66"/>
      <c r="Q319" s="66"/>
      <c r="R319" s="67"/>
      <c r="S319" s="67"/>
      <c r="T319" s="67"/>
      <c r="U319" s="66"/>
      <c r="V319" s="66"/>
      <c r="W319" s="66"/>
      <c r="X319" s="85"/>
      <c r="AP319" t="str">
        <v/>
      </c>
    </row>
    <row r="320" spans="4:42" ht="15.75" x14ac:dyDescent="0.25">
      <c r="D320" s="3">
        <v>1</v>
      </c>
      <c r="F320" s="16" t="str" cm="1">
        <f t="array" ref="F3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0" s="31" cm="1">
        <f t="array" ref="G3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0" s="33" t="str">
        <f>_xlfn.IFNA(IF(MOD(HLG_05[[#This Row],[Rit]],
    _xlfn.XLOOKUP($G$2,Int_Sample[Ore],Int_Sample[Inc])) = 0, "YES", "NO"),"")</f>
        <v/>
      </c>
      <c r="I320" s="32" t="str">
        <f>TEXT(HLG_05[[#This Row],[Batch]],"000")&amp; " / " &amp; TEXT(HLG_05[[#This Row],[Rit]],"000")</f>
        <v>N/A / 000</v>
      </c>
      <c r="J320" s="34"/>
      <c r="K320" s="38"/>
      <c r="L320" s="35"/>
      <c r="M320" s="66"/>
      <c r="N320" s="66"/>
      <c r="O320" s="66"/>
      <c r="P320" s="66"/>
      <c r="Q320" s="66"/>
      <c r="R320" s="67"/>
      <c r="S320" s="67"/>
      <c r="T320" s="67"/>
      <c r="U320" s="66"/>
      <c r="V320" s="66"/>
      <c r="W320" s="66"/>
      <c r="X320" s="85"/>
      <c r="AP320" t="str">
        <v/>
      </c>
    </row>
    <row r="321" spans="4:42" ht="15.75" x14ac:dyDescent="0.25">
      <c r="D321" s="3">
        <v>1</v>
      </c>
      <c r="F321" s="16" t="str" cm="1">
        <f t="array" ref="F3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1" s="31" cm="1">
        <f t="array" ref="G3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1" s="33" t="str">
        <f>_xlfn.IFNA(IF(MOD(HLG_05[[#This Row],[Rit]],
    _xlfn.XLOOKUP($G$2,Int_Sample[Ore],Int_Sample[Inc])) = 0, "YES", "NO"),"")</f>
        <v/>
      </c>
      <c r="I321" s="32" t="str">
        <f>TEXT(HLG_05[[#This Row],[Batch]],"000")&amp; " / " &amp; TEXT(HLG_05[[#This Row],[Rit]],"000")</f>
        <v>N/A / 000</v>
      </c>
      <c r="J321" s="34"/>
      <c r="K321" s="38"/>
      <c r="L321" s="35"/>
      <c r="M321" s="66"/>
      <c r="N321" s="66"/>
      <c r="O321" s="66"/>
      <c r="P321" s="66"/>
      <c r="Q321" s="66"/>
      <c r="R321" s="67"/>
      <c r="S321" s="67"/>
      <c r="T321" s="67"/>
      <c r="U321" s="66"/>
      <c r="V321" s="66"/>
      <c r="W321" s="66"/>
      <c r="X321" s="85"/>
      <c r="AP321" t="str">
        <v/>
      </c>
    </row>
    <row r="322" spans="4:42" ht="15.75" x14ac:dyDescent="0.25">
      <c r="D322" s="3">
        <v>1</v>
      </c>
      <c r="F322" s="16" t="str" cm="1">
        <f t="array" ref="F3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2" s="31" cm="1">
        <f t="array" ref="G3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2" s="33" t="str">
        <f>_xlfn.IFNA(IF(MOD(HLG_05[[#This Row],[Rit]],
    _xlfn.XLOOKUP($G$2,Int_Sample[Ore],Int_Sample[Inc])) = 0, "YES", "NO"),"")</f>
        <v/>
      </c>
      <c r="I322" s="32" t="str">
        <f>TEXT(HLG_05[[#This Row],[Batch]],"000")&amp; " / " &amp; TEXT(HLG_05[[#This Row],[Rit]],"000")</f>
        <v>N/A / 000</v>
      </c>
      <c r="J322" s="34"/>
      <c r="K322" s="38"/>
      <c r="L322" s="35"/>
      <c r="M322" s="66"/>
      <c r="N322" s="66"/>
      <c r="O322" s="66"/>
      <c r="P322" s="66"/>
      <c r="Q322" s="66"/>
      <c r="R322" s="67"/>
      <c r="S322" s="67"/>
      <c r="T322" s="67"/>
      <c r="U322" s="66"/>
      <c r="V322" s="66"/>
      <c r="W322" s="66"/>
      <c r="X322" s="85"/>
      <c r="AP322" t="str">
        <v/>
      </c>
    </row>
    <row r="323" spans="4:42" ht="15.75" x14ac:dyDescent="0.25">
      <c r="D323" s="3">
        <v>1</v>
      </c>
      <c r="F323" s="16" t="str" cm="1">
        <f t="array" ref="F3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3" s="31" cm="1">
        <f t="array" ref="G3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3" s="33" t="str">
        <f>_xlfn.IFNA(IF(MOD(HLG_05[[#This Row],[Rit]],
    _xlfn.XLOOKUP($G$2,Int_Sample[Ore],Int_Sample[Inc])) = 0, "YES", "NO"),"")</f>
        <v/>
      </c>
      <c r="I323" s="32" t="str">
        <f>TEXT(HLG_05[[#This Row],[Batch]],"000")&amp; " / " &amp; TEXT(HLG_05[[#This Row],[Rit]],"000")</f>
        <v>N/A / 000</v>
      </c>
      <c r="J323" s="34"/>
      <c r="K323" s="38"/>
      <c r="L323" s="35"/>
      <c r="M323" s="66"/>
      <c r="N323" s="66"/>
      <c r="O323" s="66"/>
      <c r="P323" s="66"/>
      <c r="Q323" s="66"/>
      <c r="R323" s="67"/>
      <c r="S323" s="67"/>
      <c r="T323" s="67"/>
      <c r="U323" s="66"/>
      <c r="V323" s="66"/>
      <c r="W323" s="66"/>
      <c r="X323" s="85"/>
      <c r="AP323" t="str">
        <v/>
      </c>
    </row>
    <row r="324" spans="4:42" ht="15.75" x14ac:dyDescent="0.25">
      <c r="D324" s="3">
        <v>1</v>
      </c>
      <c r="F324" s="16" t="str" cm="1">
        <f t="array" ref="F3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4" s="31" cm="1">
        <f t="array" ref="G3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4" s="33" t="str">
        <f>_xlfn.IFNA(IF(MOD(HLG_05[[#This Row],[Rit]],
    _xlfn.XLOOKUP($G$2,Int_Sample[Ore],Int_Sample[Inc])) = 0, "YES", "NO"),"")</f>
        <v/>
      </c>
      <c r="I324" s="32" t="str">
        <f>TEXT(HLG_05[[#This Row],[Batch]],"000")&amp; " / " &amp; TEXT(HLG_05[[#This Row],[Rit]],"000")</f>
        <v>N/A / 000</v>
      </c>
      <c r="J324" s="34"/>
      <c r="K324" s="38"/>
      <c r="L324" s="35"/>
      <c r="M324" s="66"/>
      <c r="N324" s="66"/>
      <c r="O324" s="66"/>
      <c r="P324" s="66"/>
      <c r="Q324" s="66"/>
      <c r="R324" s="67"/>
      <c r="S324" s="67"/>
      <c r="T324" s="67"/>
      <c r="U324" s="66"/>
      <c r="V324" s="66"/>
      <c r="W324" s="66"/>
      <c r="X324" s="85"/>
      <c r="AP324" t="str">
        <v/>
      </c>
    </row>
    <row r="325" spans="4:42" ht="15.75" x14ac:dyDescent="0.25">
      <c r="D325" s="3">
        <v>1</v>
      </c>
      <c r="F325" s="16" t="str" cm="1">
        <f t="array" ref="F3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5" s="31" cm="1">
        <f t="array" ref="G3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5" s="33" t="str">
        <f>_xlfn.IFNA(IF(MOD(HLG_05[[#This Row],[Rit]],
    _xlfn.XLOOKUP($G$2,Int_Sample[Ore],Int_Sample[Inc])) = 0, "YES", "NO"),"")</f>
        <v/>
      </c>
      <c r="I325" s="32" t="str">
        <f>TEXT(HLG_05[[#This Row],[Batch]],"000")&amp; " / " &amp; TEXT(HLG_05[[#This Row],[Rit]],"000")</f>
        <v>N/A / 000</v>
      </c>
      <c r="J325" s="34"/>
      <c r="K325" s="38"/>
      <c r="L325" s="35"/>
      <c r="M325" s="66"/>
      <c r="N325" s="66"/>
      <c r="O325" s="66"/>
      <c r="P325" s="66"/>
      <c r="Q325" s="66"/>
      <c r="R325" s="67"/>
      <c r="S325" s="67"/>
      <c r="T325" s="67"/>
      <c r="U325" s="66"/>
      <c r="V325" s="66"/>
      <c r="W325" s="66"/>
      <c r="X325" s="85"/>
      <c r="AP325" t="str">
        <v/>
      </c>
    </row>
    <row r="326" spans="4:42" ht="15.75" x14ac:dyDescent="0.25">
      <c r="D326" s="3">
        <v>1</v>
      </c>
      <c r="F326" s="16" t="str" cm="1">
        <f t="array" ref="F3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6" s="31" cm="1">
        <f t="array" ref="G3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6" s="33" t="str">
        <f>_xlfn.IFNA(IF(MOD(HLG_05[[#This Row],[Rit]],
    _xlfn.XLOOKUP($G$2,Int_Sample[Ore],Int_Sample[Inc])) = 0, "YES", "NO"),"")</f>
        <v/>
      </c>
      <c r="I326" s="32" t="str">
        <f>TEXT(HLG_05[[#This Row],[Batch]],"000")&amp; " / " &amp; TEXT(HLG_05[[#This Row],[Rit]],"000")</f>
        <v>N/A / 000</v>
      </c>
      <c r="J326" s="34"/>
      <c r="K326" s="38"/>
      <c r="L326" s="35"/>
      <c r="M326" s="66"/>
      <c r="N326" s="66"/>
      <c r="O326" s="66"/>
      <c r="P326" s="66"/>
      <c r="Q326" s="66"/>
      <c r="R326" s="67"/>
      <c r="S326" s="67"/>
      <c r="T326" s="67"/>
      <c r="U326" s="66"/>
      <c r="V326" s="66"/>
      <c r="W326" s="66"/>
      <c r="X326" s="85"/>
      <c r="AP326" t="str">
        <v/>
      </c>
    </row>
    <row r="327" spans="4:42" ht="15.75" x14ac:dyDescent="0.25">
      <c r="D327" s="3">
        <v>1</v>
      </c>
      <c r="F327" s="16" t="str" cm="1">
        <f t="array" ref="F3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7" s="31" cm="1">
        <f t="array" ref="G3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7" s="33" t="str">
        <f>_xlfn.IFNA(IF(MOD(HLG_05[[#This Row],[Rit]],
    _xlfn.XLOOKUP($G$2,Int_Sample[Ore],Int_Sample[Inc])) = 0, "YES", "NO"),"")</f>
        <v/>
      </c>
      <c r="I327" s="32" t="str">
        <f>TEXT(HLG_05[[#This Row],[Batch]],"000")&amp; " / " &amp; TEXT(HLG_05[[#This Row],[Rit]],"000")</f>
        <v>N/A / 000</v>
      </c>
      <c r="J327" s="34"/>
      <c r="K327" s="38"/>
      <c r="L327" s="35"/>
      <c r="M327" s="66"/>
      <c r="N327" s="66"/>
      <c r="O327" s="66"/>
      <c r="P327" s="66"/>
      <c r="Q327" s="66"/>
      <c r="R327" s="67"/>
      <c r="S327" s="67"/>
      <c r="T327" s="67"/>
      <c r="U327" s="66"/>
      <c r="V327" s="66"/>
      <c r="W327" s="66"/>
      <c r="X327" s="85"/>
      <c r="AP327" t="str">
        <v/>
      </c>
    </row>
    <row r="328" spans="4:42" ht="15.75" x14ac:dyDescent="0.25">
      <c r="D328" s="3">
        <v>1</v>
      </c>
      <c r="F328" s="16" t="str" cm="1">
        <f t="array" ref="F3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8" s="31" cm="1">
        <f t="array" ref="G3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8" s="33" t="str">
        <f>_xlfn.IFNA(IF(MOD(HLG_05[[#This Row],[Rit]],
    _xlfn.XLOOKUP($G$2,Int_Sample[Ore],Int_Sample[Inc])) = 0, "YES", "NO"),"")</f>
        <v/>
      </c>
      <c r="I328" s="32" t="str">
        <f>TEXT(HLG_05[[#This Row],[Batch]],"000")&amp; " / " &amp; TEXT(HLG_05[[#This Row],[Rit]],"000")</f>
        <v>N/A / 000</v>
      </c>
      <c r="J328" s="34"/>
      <c r="K328" s="38"/>
      <c r="L328" s="35"/>
      <c r="M328" s="66"/>
      <c r="N328" s="66"/>
      <c r="O328" s="66"/>
      <c r="P328" s="66"/>
      <c r="Q328" s="66"/>
      <c r="R328" s="67"/>
      <c r="S328" s="67"/>
      <c r="T328" s="67"/>
      <c r="U328" s="66"/>
      <c r="V328" s="66"/>
      <c r="W328" s="66"/>
      <c r="X328" s="85"/>
      <c r="AP328" t="str">
        <v/>
      </c>
    </row>
    <row r="329" spans="4:42" ht="15.75" x14ac:dyDescent="0.25">
      <c r="D329" s="3">
        <v>1</v>
      </c>
      <c r="F329" s="16" t="str" cm="1">
        <f t="array" ref="F3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9" s="31" cm="1">
        <f t="array" ref="G3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9" s="33" t="str">
        <f>_xlfn.IFNA(IF(MOD(HLG_05[[#This Row],[Rit]],
    _xlfn.XLOOKUP($G$2,Int_Sample[Ore],Int_Sample[Inc])) = 0, "YES", "NO"),"")</f>
        <v/>
      </c>
      <c r="I329" s="32" t="str">
        <f>TEXT(HLG_05[[#This Row],[Batch]],"000")&amp; " / " &amp; TEXT(HLG_05[[#This Row],[Rit]],"000")</f>
        <v>N/A / 000</v>
      </c>
      <c r="J329" s="34"/>
      <c r="K329" s="38"/>
      <c r="L329" s="35"/>
      <c r="M329" s="66"/>
      <c r="N329" s="66"/>
      <c r="O329" s="66"/>
      <c r="P329" s="66"/>
      <c r="Q329" s="66"/>
      <c r="R329" s="67"/>
      <c r="S329" s="67"/>
      <c r="T329" s="67"/>
      <c r="U329" s="66"/>
      <c r="V329" s="66"/>
      <c r="W329" s="66"/>
      <c r="X329" s="85"/>
      <c r="AP329" t="str">
        <v/>
      </c>
    </row>
    <row r="330" spans="4:42" ht="15.75" x14ac:dyDescent="0.25">
      <c r="D330" s="3">
        <v>1</v>
      </c>
      <c r="F330" s="16" t="str" cm="1">
        <f t="array" ref="F3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0" s="31" cm="1">
        <f t="array" ref="G3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0" s="33" t="str">
        <f>_xlfn.IFNA(IF(MOD(HLG_05[[#This Row],[Rit]],
    _xlfn.XLOOKUP($G$2,Int_Sample[Ore],Int_Sample[Inc])) = 0, "YES", "NO"),"")</f>
        <v/>
      </c>
      <c r="I330" s="32" t="str">
        <f>TEXT(HLG_05[[#This Row],[Batch]],"000")&amp; " / " &amp; TEXT(HLG_05[[#This Row],[Rit]],"000")</f>
        <v>N/A / 000</v>
      </c>
      <c r="J330" s="34"/>
      <c r="K330" s="38"/>
      <c r="L330" s="35"/>
      <c r="M330" s="66"/>
      <c r="N330" s="66"/>
      <c r="O330" s="66"/>
      <c r="P330" s="66"/>
      <c r="Q330" s="66"/>
      <c r="R330" s="67"/>
      <c r="S330" s="67"/>
      <c r="T330" s="67"/>
      <c r="U330" s="66"/>
      <c r="V330" s="66"/>
      <c r="W330" s="66"/>
      <c r="X330" s="85"/>
      <c r="AP330" t="str">
        <v/>
      </c>
    </row>
    <row r="331" spans="4:42" ht="15.75" x14ac:dyDescent="0.25">
      <c r="D331" s="3">
        <v>1</v>
      </c>
      <c r="F331" s="16" t="str" cm="1">
        <f t="array" ref="F3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1" s="31" cm="1">
        <f t="array" ref="G3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1" s="33" t="str">
        <f>_xlfn.IFNA(IF(MOD(HLG_05[[#This Row],[Rit]],
    _xlfn.XLOOKUP($G$2,Int_Sample[Ore],Int_Sample[Inc])) = 0, "YES", "NO"),"")</f>
        <v/>
      </c>
      <c r="I331" s="32" t="str">
        <f>TEXT(HLG_05[[#This Row],[Batch]],"000")&amp; " / " &amp; TEXT(HLG_05[[#This Row],[Rit]],"000")</f>
        <v>N/A / 000</v>
      </c>
      <c r="J331" s="34"/>
      <c r="K331" s="38"/>
      <c r="L331" s="35"/>
      <c r="M331" s="66"/>
      <c r="N331" s="66"/>
      <c r="O331" s="66"/>
      <c r="P331" s="66"/>
      <c r="Q331" s="66"/>
      <c r="R331" s="67"/>
      <c r="S331" s="67"/>
      <c r="T331" s="67"/>
      <c r="U331" s="66"/>
      <c r="V331" s="66"/>
      <c r="W331" s="66"/>
      <c r="X331" s="85"/>
      <c r="AP331" t="str">
        <v/>
      </c>
    </row>
    <row r="332" spans="4:42" ht="15.75" x14ac:dyDescent="0.25">
      <c r="D332" s="3">
        <v>1</v>
      </c>
      <c r="F332" s="16" t="str" cm="1">
        <f t="array" ref="F3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2" s="31" cm="1">
        <f t="array" ref="G3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2" s="33" t="str">
        <f>_xlfn.IFNA(IF(MOD(HLG_05[[#This Row],[Rit]],
    _xlfn.XLOOKUP($G$2,Int_Sample[Ore],Int_Sample[Inc])) = 0, "YES", "NO"),"")</f>
        <v/>
      </c>
      <c r="I332" s="32" t="str">
        <f>TEXT(HLG_05[[#This Row],[Batch]],"000")&amp; " / " &amp; TEXT(HLG_05[[#This Row],[Rit]],"000")</f>
        <v>N/A / 000</v>
      </c>
      <c r="J332" s="34"/>
      <c r="K332" s="38"/>
      <c r="L332" s="35"/>
      <c r="M332" s="66"/>
      <c r="N332" s="66"/>
      <c r="O332" s="66"/>
      <c r="P332" s="66"/>
      <c r="Q332" s="66"/>
      <c r="R332" s="67"/>
      <c r="S332" s="67"/>
      <c r="T332" s="67"/>
      <c r="U332" s="66"/>
      <c r="V332" s="66"/>
      <c r="W332" s="66"/>
      <c r="X332" s="85"/>
      <c r="AP332" t="str">
        <v/>
      </c>
    </row>
    <row r="333" spans="4:42" ht="15.75" x14ac:dyDescent="0.25">
      <c r="D333" s="3">
        <v>1</v>
      </c>
      <c r="F333" s="16" t="str" cm="1">
        <f t="array" ref="F3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3" s="31" cm="1">
        <f t="array" ref="G3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3" s="33" t="str">
        <f>_xlfn.IFNA(IF(MOD(HLG_05[[#This Row],[Rit]],
    _xlfn.XLOOKUP($G$2,Int_Sample[Ore],Int_Sample[Inc])) = 0, "YES", "NO"),"")</f>
        <v/>
      </c>
      <c r="I333" s="32" t="str">
        <f>TEXT(HLG_05[[#This Row],[Batch]],"000")&amp; " / " &amp; TEXT(HLG_05[[#This Row],[Rit]],"000")</f>
        <v>N/A / 000</v>
      </c>
      <c r="J333" s="34"/>
      <c r="K333" s="38"/>
      <c r="L333" s="35"/>
      <c r="M333" s="66"/>
      <c r="N333" s="66"/>
      <c r="O333" s="66"/>
      <c r="P333" s="66"/>
      <c r="Q333" s="66"/>
      <c r="R333" s="67"/>
      <c r="S333" s="67"/>
      <c r="T333" s="67"/>
      <c r="U333" s="66"/>
      <c r="V333" s="66"/>
      <c r="W333" s="66"/>
      <c r="X333" s="85"/>
      <c r="AP333" t="str">
        <v/>
      </c>
    </row>
    <row r="334" spans="4:42" ht="15.75" x14ac:dyDescent="0.25">
      <c r="D334" s="3">
        <v>1</v>
      </c>
      <c r="F334" s="16" t="str" cm="1">
        <f t="array" ref="F3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4" s="31" cm="1">
        <f t="array" ref="G3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4" s="33" t="str">
        <f>_xlfn.IFNA(IF(MOD(HLG_05[[#This Row],[Rit]],
    _xlfn.XLOOKUP($G$2,Int_Sample[Ore],Int_Sample[Inc])) = 0, "YES", "NO"),"")</f>
        <v/>
      </c>
      <c r="I334" s="32" t="str">
        <f>TEXT(HLG_05[[#This Row],[Batch]],"000")&amp; " / " &amp; TEXT(HLG_05[[#This Row],[Rit]],"000")</f>
        <v>N/A / 000</v>
      </c>
      <c r="J334" s="34"/>
      <c r="K334" s="38"/>
      <c r="L334" s="35"/>
      <c r="M334" s="66"/>
      <c r="N334" s="66"/>
      <c r="O334" s="66"/>
      <c r="P334" s="66"/>
      <c r="Q334" s="66"/>
      <c r="R334" s="67"/>
      <c r="S334" s="67"/>
      <c r="T334" s="67"/>
      <c r="U334" s="66"/>
      <c r="V334" s="66"/>
      <c r="W334" s="66"/>
      <c r="X334" s="85"/>
      <c r="AP334" t="str">
        <v/>
      </c>
    </row>
    <row r="335" spans="4:42" ht="15.75" x14ac:dyDescent="0.25">
      <c r="D335" s="3">
        <v>1</v>
      </c>
      <c r="F335" s="16" t="str" cm="1">
        <f t="array" ref="F3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5" s="31" cm="1">
        <f t="array" ref="G3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5" s="33" t="str">
        <f>_xlfn.IFNA(IF(MOD(HLG_05[[#This Row],[Rit]],
    _xlfn.XLOOKUP($G$2,Int_Sample[Ore],Int_Sample[Inc])) = 0, "YES", "NO"),"")</f>
        <v/>
      </c>
      <c r="I335" s="32" t="str">
        <f>TEXT(HLG_05[[#This Row],[Batch]],"000")&amp; " / " &amp; TEXT(HLG_05[[#This Row],[Rit]],"000")</f>
        <v>N/A / 000</v>
      </c>
      <c r="J335" s="34"/>
      <c r="K335" s="38"/>
      <c r="L335" s="35"/>
      <c r="M335" s="66"/>
      <c r="N335" s="66"/>
      <c r="O335" s="66"/>
      <c r="P335" s="66"/>
      <c r="Q335" s="66"/>
      <c r="R335" s="67"/>
      <c r="S335" s="67"/>
      <c r="T335" s="67"/>
      <c r="U335" s="66"/>
      <c r="V335" s="66"/>
      <c r="W335" s="66"/>
      <c r="X335" s="85"/>
      <c r="AP335" t="str">
        <v/>
      </c>
    </row>
    <row r="336" spans="4:42" ht="15.75" x14ac:dyDescent="0.25">
      <c r="D336" s="3">
        <v>1</v>
      </c>
      <c r="F336" s="16" t="str" cm="1">
        <f t="array" ref="F3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6" s="31" cm="1">
        <f t="array" ref="G3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6" s="33" t="str">
        <f>_xlfn.IFNA(IF(MOD(HLG_05[[#This Row],[Rit]],
    _xlfn.XLOOKUP($G$2,Int_Sample[Ore],Int_Sample[Inc])) = 0, "YES", "NO"),"")</f>
        <v/>
      </c>
      <c r="I336" s="32" t="str">
        <f>TEXT(HLG_05[[#This Row],[Batch]],"000")&amp; " / " &amp; TEXT(HLG_05[[#This Row],[Rit]],"000")</f>
        <v>N/A / 000</v>
      </c>
      <c r="J336" s="34"/>
      <c r="K336" s="38"/>
      <c r="L336" s="35"/>
      <c r="M336" s="66"/>
      <c r="N336" s="66"/>
      <c r="O336" s="66"/>
      <c r="P336" s="66"/>
      <c r="Q336" s="66"/>
      <c r="R336" s="67"/>
      <c r="S336" s="67"/>
      <c r="T336" s="67"/>
      <c r="U336" s="66"/>
      <c r="V336" s="66"/>
      <c r="W336" s="66"/>
      <c r="X336" s="85"/>
      <c r="AP336" t="str">
        <v/>
      </c>
    </row>
    <row r="337" spans="4:42" ht="15.75" x14ac:dyDescent="0.25">
      <c r="D337" s="3">
        <v>1</v>
      </c>
      <c r="F337" s="16" t="str" cm="1">
        <f t="array" ref="F3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7" s="31" cm="1">
        <f t="array" ref="G3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7" s="33" t="str">
        <f>_xlfn.IFNA(IF(MOD(HLG_05[[#This Row],[Rit]],
    _xlfn.XLOOKUP($G$2,Int_Sample[Ore],Int_Sample[Inc])) = 0, "YES", "NO"),"")</f>
        <v/>
      </c>
      <c r="I337" s="32" t="str">
        <f>TEXT(HLG_05[[#This Row],[Batch]],"000")&amp; " / " &amp; TEXT(HLG_05[[#This Row],[Rit]],"000")</f>
        <v>N/A / 000</v>
      </c>
      <c r="J337" s="34"/>
      <c r="K337" s="38"/>
      <c r="L337" s="35"/>
      <c r="M337" s="66"/>
      <c r="N337" s="66"/>
      <c r="O337" s="66"/>
      <c r="P337" s="66"/>
      <c r="Q337" s="66"/>
      <c r="R337" s="67"/>
      <c r="S337" s="67"/>
      <c r="T337" s="67"/>
      <c r="U337" s="66"/>
      <c r="V337" s="66"/>
      <c r="W337" s="66"/>
      <c r="X337" s="85"/>
      <c r="AP337" t="str">
        <v/>
      </c>
    </row>
    <row r="338" spans="4:42" ht="15.75" x14ac:dyDescent="0.25">
      <c r="D338" s="3">
        <v>1</v>
      </c>
      <c r="F338" s="16" t="str" cm="1">
        <f t="array" ref="F3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8" s="31" cm="1">
        <f t="array" ref="G3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8" s="33" t="str">
        <f>_xlfn.IFNA(IF(MOD(HLG_05[[#This Row],[Rit]],
    _xlfn.XLOOKUP($G$2,Int_Sample[Ore],Int_Sample[Inc])) = 0, "YES", "NO"),"")</f>
        <v/>
      </c>
      <c r="I338" s="32" t="str">
        <f>TEXT(HLG_05[[#This Row],[Batch]],"000")&amp; " / " &amp; TEXT(HLG_05[[#This Row],[Rit]],"000")</f>
        <v>N/A / 000</v>
      </c>
      <c r="J338" s="34"/>
      <c r="K338" s="38"/>
      <c r="L338" s="35"/>
      <c r="M338" s="66"/>
      <c r="N338" s="66"/>
      <c r="O338" s="66"/>
      <c r="P338" s="66"/>
      <c r="Q338" s="66"/>
      <c r="R338" s="67"/>
      <c r="S338" s="67"/>
      <c r="T338" s="67"/>
      <c r="U338" s="66"/>
      <c r="V338" s="66"/>
      <c r="W338" s="66"/>
      <c r="X338" s="85"/>
      <c r="AP338" t="str">
        <v/>
      </c>
    </row>
    <row r="339" spans="4:42" ht="15.75" x14ac:dyDescent="0.25">
      <c r="D339" s="3">
        <v>1</v>
      </c>
      <c r="F339" s="16" t="str" cm="1">
        <f t="array" ref="F3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9" s="31" cm="1">
        <f t="array" ref="G3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9" s="33" t="str">
        <f>_xlfn.IFNA(IF(MOD(HLG_05[[#This Row],[Rit]],
    _xlfn.XLOOKUP($G$2,Int_Sample[Ore],Int_Sample[Inc])) = 0, "YES", "NO"),"")</f>
        <v/>
      </c>
      <c r="I339" s="32" t="str">
        <f>TEXT(HLG_05[[#This Row],[Batch]],"000")&amp; " / " &amp; TEXT(HLG_05[[#This Row],[Rit]],"000")</f>
        <v>N/A / 000</v>
      </c>
      <c r="J339" s="34"/>
      <c r="K339" s="38"/>
      <c r="L339" s="35"/>
      <c r="M339" s="66"/>
      <c r="N339" s="66"/>
      <c r="O339" s="66"/>
      <c r="P339" s="66"/>
      <c r="Q339" s="66"/>
      <c r="R339" s="67"/>
      <c r="S339" s="67"/>
      <c r="T339" s="67"/>
      <c r="U339" s="66"/>
      <c r="V339" s="66"/>
      <c r="W339" s="66"/>
      <c r="X339" s="85"/>
      <c r="AP339" t="str">
        <v/>
      </c>
    </row>
    <row r="340" spans="4:42" ht="15.75" x14ac:dyDescent="0.25">
      <c r="D340" s="3">
        <v>1</v>
      </c>
      <c r="F340" s="16" t="str" cm="1">
        <f t="array" ref="F3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0" s="31" cm="1">
        <f t="array" ref="G3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0" s="33" t="str">
        <f>_xlfn.IFNA(IF(MOD(HLG_05[[#This Row],[Rit]],
    _xlfn.XLOOKUP($G$2,Int_Sample[Ore],Int_Sample[Inc])) = 0, "YES", "NO"),"")</f>
        <v/>
      </c>
      <c r="I340" s="32" t="str">
        <f>TEXT(HLG_05[[#This Row],[Batch]],"000")&amp; " / " &amp; TEXT(HLG_05[[#This Row],[Rit]],"000")</f>
        <v>N/A / 000</v>
      </c>
      <c r="J340" s="34"/>
      <c r="K340" s="38"/>
      <c r="L340" s="35"/>
      <c r="M340" s="66"/>
      <c r="N340" s="66"/>
      <c r="O340" s="66"/>
      <c r="P340" s="66"/>
      <c r="Q340" s="66"/>
      <c r="R340" s="67"/>
      <c r="S340" s="67"/>
      <c r="T340" s="67"/>
      <c r="U340" s="66"/>
      <c r="V340" s="66"/>
      <c r="W340" s="66"/>
      <c r="X340" s="85"/>
      <c r="AP340" t="str">
        <v/>
      </c>
    </row>
    <row r="341" spans="4:42" ht="15.75" x14ac:dyDescent="0.25">
      <c r="D341" s="3">
        <v>1</v>
      </c>
      <c r="F341" s="16" t="str" cm="1">
        <f t="array" ref="F3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1" s="31" cm="1">
        <f t="array" ref="G3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1" s="33" t="str">
        <f>_xlfn.IFNA(IF(MOD(HLG_05[[#This Row],[Rit]],
    _xlfn.XLOOKUP($G$2,Int_Sample[Ore],Int_Sample[Inc])) = 0, "YES", "NO"),"")</f>
        <v/>
      </c>
      <c r="I341" s="32" t="str">
        <f>TEXT(HLG_05[[#This Row],[Batch]],"000")&amp; " / " &amp; TEXT(HLG_05[[#This Row],[Rit]],"000")</f>
        <v>N/A / 000</v>
      </c>
      <c r="J341" s="34"/>
      <c r="K341" s="38"/>
      <c r="L341" s="35"/>
      <c r="M341" s="66"/>
      <c r="N341" s="66"/>
      <c r="O341" s="66"/>
      <c r="P341" s="66"/>
      <c r="Q341" s="66"/>
      <c r="R341" s="67"/>
      <c r="S341" s="67"/>
      <c r="T341" s="67"/>
      <c r="U341" s="66"/>
      <c r="V341" s="66"/>
      <c r="W341" s="66"/>
      <c r="X341" s="85"/>
      <c r="AP341" t="str">
        <v/>
      </c>
    </row>
    <row r="342" spans="4:42" ht="15.75" x14ac:dyDescent="0.25">
      <c r="D342" s="3">
        <v>1</v>
      </c>
      <c r="F342" s="16" t="str" cm="1">
        <f t="array" ref="F3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2" s="31" cm="1">
        <f t="array" ref="G3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2" s="33" t="str">
        <f>_xlfn.IFNA(IF(MOD(HLG_05[[#This Row],[Rit]],
    _xlfn.XLOOKUP($G$2,Int_Sample[Ore],Int_Sample[Inc])) = 0, "YES", "NO"),"")</f>
        <v/>
      </c>
      <c r="I342" s="32" t="str">
        <f>TEXT(HLG_05[[#This Row],[Batch]],"000")&amp; " / " &amp; TEXT(HLG_05[[#This Row],[Rit]],"000")</f>
        <v>N/A / 000</v>
      </c>
      <c r="J342" s="34"/>
      <c r="K342" s="38"/>
      <c r="L342" s="35"/>
      <c r="M342" s="66"/>
      <c r="N342" s="66"/>
      <c r="O342" s="66"/>
      <c r="P342" s="66"/>
      <c r="Q342" s="66"/>
      <c r="R342" s="67"/>
      <c r="S342" s="67"/>
      <c r="T342" s="67"/>
      <c r="U342" s="66"/>
      <c r="V342" s="66"/>
      <c r="W342" s="66"/>
      <c r="X342" s="85"/>
      <c r="AP342" t="str">
        <v/>
      </c>
    </row>
    <row r="343" spans="4:42" ht="15.75" x14ac:dyDescent="0.25">
      <c r="D343" s="3">
        <v>1</v>
      </c>
      <c r="F343" s="16" t="str" cm="1">
        <f t="array" ref="F3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3" s="31" cm="1">
        <f t="array" ref="G3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3" s="33" t="str">
        <f>_xlfn.IFNA(IF(MOD(HLG_05[[#This Row],[Rit]],
    _xlfn.XLOOKUP($G$2,Int_Sample[Ore],Int_Sample[Inc])) = 0, "YES", "NO"),"")</f>
        <v/>
      </c>
      <c r="I343" s="32" t="str">
        <f>TEXT(HLG_05[[#This Row],[Batch]],"000")&amp; " / " &amp; TEXT(HLG_05[[#This Row],[Rit]],"000")</f>
        <v>N/A / 000</v>
      </c>
      <c r="J343" s="34"/>
      <c r="K343" s="38"/>
      <c r="L343" s="35"/>
      <c r="M343" s="66"/>
      <c r="N343" s="66"/>
      <c r="O343" s="66"/>
      <c r="P343" s="66"/>
      <c r="Q343" s="66"/>
      <c r="R343" s="67"/>
      <c r="S343" s="67"/>
      <c r="T343" s="67"/>
      <c r="U343" s="66"/>
      <c r="V343" s="66"/>
      <c r="W343" s="66"/>
      <c r="X343" s="85"/>
      <c r="AP343" t="str">
        <v/>
      </c>
    </row>
    <row r="344" spans="4:42" ht="15.75" x14ac:dyDescent="0.25">
      <c r="D344" s="3">
        <v>1</v>
      </c>
      <c r="F344" s="16" t="str" cm="1">
        <f t="array" ref="F3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4" s="31" cm="1">
        <f t="array" ref="G3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4" s="33" t="str">
        <f>_xlfn.IFNA(IF(MOD(HLG_05[[#This Row],[Rit]],
    _xlfn.XLOOKUP($G$2,Int_Sample[Ore],Int_Sample[Inc])) = 0, "YES", "NO"),"")</f>
        <v/>
      </c>
      <c r="I344" s="32" t="str">
        <f>TEXT(HLG_05[[#This Row],[Batch]],"000")&amp; " / " &amp; TEXT(HLG_05[[#This Row],[Rit]],"000")</f>
        <v>N/A / 000</v>
      </c>
      <c r="J344" s="34"/>
      <c r="K344" s="38"/>
      <c r="L344" s="35"/>
      <c r="M344" s="66"/>
      <c r="N344" s="66"/>
      <c r="O344" s="66"/>
      <c r="P344" s="66"/>
      <c r="Q344" s="66"/>
      <c r="R344" s="67"/>
      <c r="S344" s="67"/>
      <c r="T344" s="67"/>
      <c r="U344" s="66"/>
      <c r="V344" s="66"/>
      <c r="W344" s="66"/>
      <c r="X344" s="85"/>
      <c r="AP344" t="str">
        <v/>
      </c>
    </row>
    <row r="345" spans="4:42" ht="15.75" x14ac:dyDescent="0.25">
      <c r="D345" s="3">
        <v>1</v>
      </c>
      <c r="F345" s="16" t="str" cm="1">
        <f t="array" ref="F3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5" s="31" cm="1">
        <f t="array" ref="G3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5" s="33" t="str">
        <f>_xlfn.IFNA(IF(MOD(HLG_05[[#This Row],[Rit]],
    _xlfn.XLOOKUP($G$2,Int_Sample[Ore],Int_Sample[Inc])) = 0, "YES", "NO"),"")</f>
        <v/>
      </c>
      <c r="I345" s="32" t="str">
        <f>TEXT(HLG_05[[#This Row],[Batch]],"000")&amp; " / " &amp; TEXT(HLG_05[[#This Row],[Rit]],"000")</f>
        <v>N/A / 000</v>
      </c>
      <c r="J345" s="34"/>
      <c r="K345" s="38"/>
      <c r="L345" s="35"/>
      <c r="M345" s="66"/>
      <c r="N345" s="66"/>
      <c r="O345" s="66"/>
      <c r="P345" s="66"/>
      <c r="Q345" s="66"/>
      <c r="R345" s="67"/>
      <c r="S345" s="67"/>
      <c r="T345" s="67"/>
      <c r="U345" s="66"/>
      <c r="V345" s="66"/>
      <c r="W345" s="66"/>
      <c r="X345" s="85"/>
      <c r="AP345" t="str">
        <v/>
      </c>
    </row>
    <row r="346" spans="4:42" ht="15.75" x14ac:dyDescent="0.25">
      <c r="D346" s="3">
        <v>1</v>
      </c>
      <c r="F346" s="16" t="str" cm="1">
        <f t="array" ref="F3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6" s="31" cm="1">
        <f t="array" ref="G3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6" s="33" t="str">
        <f>_xlfn.IFNA(IF(MOD(HLG_05[[#This Row],[Rit]],
    _xlfn.XLOOKUP($G$2,Int_Sample[Ore],Int_Sample[Inc])) = 0, "YES", "NO"),"")</f>
        <v/>
      </c>
      <c r="I346" s="32" t="str">
        <f>TEXT(HLG_05[[#This Row],[Batch]],"000")&amp; " / " &amp; TEXT(HLG_05[[#This Row],[Rit]],"000")</f>
        <v>N/A / 000</v>
      </c>
      <c r="J346" s="34"/>
      <c r="K346" s="38"/>
      <c r="L346" s="35"/>
      <c r="M346" s="66"/>
      <c r="N346" s="66"/>
      <c r="O346" s="66"/>
      <c r="P346" s="66"/>
      <c r="Q346" s="66"/>
      <c r="R346" s="67"/>
      <c r="S346" s="67"/>
      <c r="T346" s="67"/>
      <c r="U346" s="66"/>
      <c r="V346" s="66"/>
      <c r="W346" s="66"/>
      <c r="X346" s="85"/>
      <c r="AP346" t="str">
        <v/>
      </c>
    </row>
    <row r="347" spans="4:42" ht="15.75" x14ac:dyDescent="0.25">
      <c r="D347" s="3">
        <v>1</v>
      </c>
      <c r="F347" s="16" t="str" cm="1">
        <f t="array" ref="F3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7" s="31" cm="1">
        <f t="array" ref="G3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7" s="33" t="str">
        <f>_xlfn.IFNA(IF(MOD(HLG_05[[#This Row],[Rit]],
    _xlfn.XLOOKUP($G$2,Int_Sample[Ore],Int_Sample[Inc])) = 0, "YES", "NO"),"")</f>
        <v/>
      </c>
      <c r="I347" s="32" t="str">
        <f>TEXT(HLG_05[[#This Row],[Batch]],"000")&amp; " / " &amp; TEXT(HLG_05[[#This Row],[Rit]],"000")</f>
        <v>N/A / 000</v>
      </c>
      <c r="J347" s="34"/>
      <c r="K347" s="38"/>
      <c r="L347" s="35"/>
      <c r="M347" s="66"/>
      <c r="N347" s="66"/>
      <c r="O347" s="66"/>
      <c r="P347" s="66"/>
      <c r="Q347" s="66"/>
      <c r="R347" s="67"/>
      <c r="S347" s="67"/>
      <c r="T347" s="67"/>
      <c r="U347" s="66"/>
      <c r="V347" s="66"/>
      <c r="W347" s="66"/>
      <c r="X347" s="85"/>
      <c r="AP347" t="str">
        <v/>
      </c>
    </row>
    <row r="348" spans="4:42" ht="15.75" x14ac:dyDescent="0.25">
      <c r="D348" s="3">
        <v>1</v>
      </c>
      <c r="F348" s="16" t="str" cm="1">
        <f t="array" ref="F3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8" s="31" cm="1">
        <f t="array" ref="G3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8" s="33" t="str">
        <f>_xlfn.IFNA(IF(MOD(HLG_05[[#This Row],[Rit]],
    _xlfn.XLOOKUP($G$2,Int_Sample[Ore],Int_Sample[Inc])) = 0, "YES", "NO"),"")</f>
        <v/>
      </c>
      <c r="I348" s="32" t="str">
        <f>TEXT(HLG_05[[#This Row],[Batch]],"000")&amp; " / " &amp; TEXT(HLG_05[[#This Row],[Rit]],"000")</f>
        <v>N/A / 000</v>
      </c>
      <c r="J348" s="34"/>
      <c r="K348" s="38"/>
      <c r="L348" s="35"/>
      <c r="M348" s="66"/>
      <c r="N348" s="66"/>
      <c r="O348" s="66"/>
      <c r="P348" s="66"/>
      <c r="Q348" s="66"/>
      <c r="R348" s="67"/>
      <c r="S348" s="67"/>
      <c r="T348" s="67"/>
      <c r="U348" s="66"/>
      <c r="V348" s="66"/>
      <c r="W348" s="66"/>
      <c r="X348" s="85"/>
      <c r="AP348" t="str">
        <v/>
      </c>
    </row>
    <row r="349" spans="4:42" ht="15.75" x14ac:dyDescent="0.25">
      <c r="D349" s="3">
        <v>1</v>
      </c>
      <c r="F349" s="16" t="str" cm="1">
        <f t="array" ref="F3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9" s="31" cm="1">
        <f t="array" ref="G3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9" s="33" t="str">
        <f>_xlfn.IFNA(IF(MOD(HLG_05[[#This Row],[Rit]],
    _xlfn.XLOOKUP($G$2,Int_Sample[Ore],Int_Sample[Inc])) = 0, "YES", "NO"),"")</f>
        <v/>
      </c>
      <c r="I349" s="32" t="str">
        <f>TEXT(HLG_05[[#This Row],[Batch]],"000")&amp; " / " &amp; TEXT(HLG_05[[#This Row],[Rit]],"000")</f>
        <v>N/A / 000</v>
      </c>
      <c r="J349" s="34"/>
      <c r="K349" s="38"/>
      <c r="L349" s="35"/>
      <c r="M349" s="66"/>
      <c r="N349" s="66"/>
      <c r="O349" s="66"/>
      <c r="P349" s="66"/>
      <c r="Q349" s="66"/>
      <c r="R349" s="67"/>
      <c r="S349" s="67"/>
      <c r="T349" s="67"/>
      <c r="U349" s="66"/>
      <c r="V349" s="66"/>
      <c r="W349" s="66"/>
      <c r="X349" s="85"/>
      <c r="AP349" t="str">
        <v/>
      </c>
    </row>
    <row r="350" spans="4:42" ht="15.75" x14ac:dyDescent="0.25">
      <c r="D350" s="3">
        <v>1</v>
      </c>
      <c r="F350" s="16" t="str" cm="1">
        <f t="array" ref="F3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0" s="31" cm="1">
        <f t="array" ref="G3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0" s="33" t="str">
        <f>_xlfn.IFNA(IF(MOD(HLG_05[[#This Row],[Rit]],
    _xlfn.XLOOKUP($G$2,Int_Sample[Ore],Int_Sample[Inc])) = 0, "YES", "NO"),"")</f>
        <v/>
      </c>
      <c r="I350" s="32" t="str">
        <f>TEXT(HLG_05[[#This Row],[Batch]],"000")&amp; " / " &amp; TEXT(HLG_05[[#This Row],[Rit]],"000")</f>
        <v>N/A / 000</v>
      </c>
      <c r="J350" s="34"/>
      <c r="K350" s="38"/>
      <c r="L350" s="35"/>
      <c r="M350" s="66"/>
      <c r="N350" s="66"/>
      <c r="O350" s="66"/>
      <c r="P350" s="66"/>
      <c r="Q350" s="66"/>
      <c r="R350" s="67"/>
      <c r="S350" s="67"/>
      <c r="T350" s="67"/>
      <c r="U350" s="66"/>
      <c r="V350" s="66"/>
      <c r="W350" s="66"/>
      <c r="X350" s="85"/>
      <c r="AP350" t="str">
        <v/>
      </c>
    </row>
    <row r="351" spans="4:42" ht="15.75" x14ac:dyDescent="0.25">
      <c r="D351" s="3">
        <v>1</v>
      </c>
      <c r="F351" s="16" t="str" cm="1">
        <f t="array" ref="F3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1" s="31" cm="1">
        <f t="array" ref="G3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1" s="33" t="str">
        <f>_xlfn.IFNA(IF(MOD(HLG_05[[#This Row],[Rit]],
    _xlfn.XLOOKUP($G$2,Int_Sample[Ore],Int_Sample[Inc])) = 0, "YES", "NO"),"")</f>
        <v/>
      </c>
      <c r="I351" s="32" t="str">
        <f>TEXT(HLG_05[[#This Row],[Batch]],"000")&amp; " / " &amp; TEXT(HLG_05[[#This Row],[Rit]],"000")</f>
        <v>N/A / 000</v>
      </c>
      <c r="J351" s="34"/>
      <c r="K351" s="38"/>
      <c r="L351" s="35"/>
      <c r="M351" s="66"/>
      <c r="N351" s="66"/>
      <c r="O351" s="66"/>
      <c r="P351" s="66"/>
      <c r="Q351" s="66"/>
      <c r="R351" s="67"/>
      <c r="S351" s="67"/>
      <c r="T351" s="67"/>
      <c r="U351" s="66"/>
      <c r="V351" s="66"/>
      <c r="W351" s="66"/>
      <c r="X351" s="85"/>
      <c r="AP351" t="str">
        <v/>
      </c>
    </row>
    <row r="352" spans="4:42" ht="15.75" x14ac:dyDescent="0.25">
      <c r="D352" s="3">
        <v>1</v>
      </c>
      <c r="F352" s="16" t="str" cm="1">
        <f t="array" ref="F3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2" s="31" cm="1">
        <f t="array" ref="G3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2" s="33" t="str">
        <f>_xlfn.IFNA(IF(MOD(HLG_05[[#This Row],[Rit]],
    _xlfn.XLOOKUP($G$2,Int_Sample[Ore],Int_Sample[Inc])) = 0, "YES", "NO"),"")</f>
        <v/>
      </c>
      <c r="I352" s="32" t="str">
        <f>TEXT(HLG_05[[#This Row],[Batch]],"000")&amp; " / " &amp; TEXT(HLG_05[[#This Row],[Rit]],"000")</f>
        <v>N/A / 000</v>
      </c>
      <c r="J352" s="34"/>
      <c r="K352" s="38"/>
      <c r="L352" s="35"/>
      <c r="M352" s="66"/>
      <c r="N352" s="66"/>
      <c r="O352" s="66"/>
      <c r="P352" s="66"/>
      <c r="Q352" s="66"/>
      <c r="R352" s="67"/>
      <c r="S352" s="67"/>
      <c r="T352" s="67"/>
      <c r="U352" s="66"/>
      <c r="V352" s="66"/>
      <c r="W352" s="66"/>
      <c r="X352" s="85"/>
      <c r="AP352" t="str">
        <v/>
      </c>
    </row>
    <row r="353" spans="4:42" ht="15.75" x14ac:dyDescent="0.25">
      <c r="D353" s="3">
        <v>1</v>
      </c>
      <c r="F353" s="16" t="str" cm="1">
        <f t="array" ref="F3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3" s="31" cm="1">
        <f t="array" ref="G3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3" s="33" t="str">
        <f>_xlfn.IFNA(IF(MOD(HLG_05[[#This Row],[Rit]],
    _xlfn.XLOOKUP($G$2,Int_Sample[Ore],Int_Sample[Inc])) = 0, "YES", "NO"),"")</f>
        <v/>
      </c>
      <c r="I353" s="32" t="str">
        <f>TEXT(HLG_05[[#This Row],[Batch]],"000")&amp; " / " &amp; TEXT(HLG_05[[#This Row],[Rit]],"000")</f>
        <v>N/A / 000</v>
      </c>
      <c r="J353" s="34"/>
      <c r="K353" s="38"/>
      <c r="L353" s="35"/>
      <c r="M353" s="66"/>
      <c r="N353" s="66"/>
      <c r="O353" s="66"/>
      <c r="P353" s="66"/>
      <c r="Q353" s="66"/>
      <c r="R353" s="67"/>
      <c r="S353" s="67"/>
      <c r="T353" s="67"/>
      <c r="U353" s="66"/>
      <c r="V353" s="66"/>
      <c r="W353" s="66"/>
      <c r="X353" s="85"/>
      <c r="AP353" t="str">
        <v/>
      </c>
    </row>
    <row r="354" spans="4:42" ht="15.75" x14ac:dyDescent="0.25">
      <c r="D354" s="3">
        <v>1</v>
      </c>
      <c r="F354" s="16" t="str" cm="1">
        <f t="array" ref="F3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4" s="31" cm="1">
        <f t="array" ref="G3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4" s="33" t="str">
        <f>_xlfn.IFNA(IF(MOD(HLG_05[[#This Row],[Rit]],
    _xlfn.XLOOKUP($G$2,Int_Sample[Ore],Int_Sample[Inc])) = 0, "YES", "NO"),"")</f>
        <v/>
      </c>
      <c r="I354" s="32" t="str">
        <f>TEXT(HLG_05[[#This Row],[Batch]],"000")&amp; " / " &amp; TEXT(HLG_05[[#This Row],[Rit]],"000")</f>
        <v>N/A / 000</v>
      </c>
      <c r="J354" s="34"/>
      <c r="K354" s="38"/>
      <c r="L354" s="35"/>
      <c r="M354" s="66"/>
      <c r="N354" s="66"/>
      <c r="O354" s="66"/>
      <c r="P354" s="66"/>
      <c r="Q354" s="66"/>
      <c r="R354" s="67"/>
      <c r="S354" s="67"/>
      <c r="T354" s="67"/>
      <c r="U354" s="66"/>
      <c r="V354" s="66"/>
      <c r="W354" s="66"/>
      <c r="X354" s="85"/>
      <c r="AP354" t="str">
        <v/>
      </c>
    </row>
    <row r="355" spans="4:42" ht="15.75" x14ac:dyDescent="0.25">
      <c r="D355" s="3">
        <v>1</v>
      </c>
      <c r="F355" s="16" t="str" cm="1">
        <f t="array" ref="F3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5" s="31" cm="1">
        <f t="array" ref="G3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5" s="33" t="str">
        <f>_xlfn.IFNA(IF(MOD(HLG_05[[#This Row],[Rit]],
    _xlfn.XLOOKUP($G$2,Int_Sample[Ore],Int_Sample[Inc])) = 0, "YES", "NO"),"")</f>
        <v/>
      </c>
      <c r="I355" s="32" t="str">
        <f>TEXT(HLG_05[[#This Row],[Batch]],"000")&amp; " / " &amp; TEXT(HLG_05[[#This Row],[Rit]],"000")</f>
        <v>N/A / 000</v>
      </c>
      <c r="J355" s="34"/>
      <c r="K355" s="38"/>
      <c r="L355" s="35"/>
      <c r="M355" s="66"/>
      <c r="N355" s="66"/>
      <c r="O355" s="66"/>
      <c r="P355" s="66"/>
      <c r="Q355" s="66"/>
      <c r="R355" s="67"/>
      <c r="S355" s="67"/>
      <c r="T355" s="67"/>
      <c r="U355" s="66"/>
      <c r="V355" s="66"/>
      <c r="W355" s="66"/>
      <c r="X355" s="85"/>
      <c r="AP355" t="str">
        <v/>
      </c>
    </row>
    <row r="356" spans="4:42" ht="15.75" x14ac:dyDescent="0.25">
      <c r="D356" s="3">
        <v>1</v>
      </c>
      <c r="F356" s="16" t="str" cm="1">
        <f t="array" ref="F3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6" s="31" cm="1">
        <f t="array" ref="G3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6" s="33" t="str">
        <f>_xlfn.IFNA(IF(MOD(HLG_05[[#This Row],[Rit]],
    _xlfn.XLOOKUP($G$2,Int_Sample[Ore],Int_Sample[Inc])) = 0, "YES", "NO"),"")</f>
        <v/>
      </c>
      <c r="I356" s="32" t="str">
        <f>TEXT(HLG_05[[#This Row],[Batch]],"000")&amp; " / " &amp; TEXT(HLG_05[[#This Row],[Rit]],"000")</f>
        <v>N/A / 000</v>
      </c>
      <c r="J356" s="34"/>
      <c r="K356" s="38"/>
      <c r="L356" s="35"/>
      <c r="M356" s="66"/>
      <c r="N356" s="66"/>
      <c r="O356" s="66"/>
      <c r="P356" s="66"/>
      <c r="Q356" s="66"/>
      <c r="R356" s="67"/>
      <c r="S356" s="67"/>
      <c r="T356" s="67"/>
      <c r="U356" s="66"/>
      <c r="V356" s="66"/>
      <c r="W356" s="66"/>
      <c r="X356" s="85"/>
      <c r="AP356" t="str">
        <v/>
      </c>
    </row>
    <row r="357" spans="4:42" ht="15.75" x14ac:dyDescent="0.25">
      <c r="D357" s="3">
        <v>1</v>
      </c>
      <c r="F357" s="16" t="str" cm="1">
        <f t="array" ref="F3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7" s="31" cm="1">
        <f t="array" ref="G3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7" s="33" t="str">
        <f>_xlfn.IFNA(IF(MOD(HLG_05[[#This Row],[Rit]],
    _xlfn.XLOOKUP($G$2,Int_Sample[Ore],Int_Sample[Inc])) = 0, "YES", "NO"),"")</f>
        <v/>
      </c>
      <c r="I357" s="32" t="str">
        <f>TEXT(HLG_05[[#This Row],[Batch]],"000")&amp; " / " &amp; TEXT(HLG_05[[#This Row],[Rit]],"000")</f>
        <v>N/A / 000</v>
      </c>
      <c r="J357" s="34"/>
      <c r="K357" s="38"/>
      <c r="L357" s="35"/>
      <c r="M357" s="66"/>
      <c r="N357" s="66"/>
      <c r="O357" s="66"/>
      <c r="P357" s="66"/>
      <c r="Q357" s="66"/>
      <c r="R357" s="67"/>
      <c r="S357" s="67"/>
      <c r="T357" s="67"/>
      <c r="U357" s="66"/>
      <c r="V357" s="66"/>
      <c r="W357" s="66"/>
      <c r="X357" s="85"/>
      <c r="AP357" t="str">
        <v/>
      </c>
    </row>
    <row r="358" spans="4:42" ht="15.75" x14ac:dyDescent="0.25">
      <c r="D358" s="3">
        <v>1</v>
      </c>
      <c r="F358" s="16" t="str" cm="1">
        <f t="array" ref="F3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8" s="31" cm="1">
        <f t="array" ref="G3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8" s="33" t="str">
        <f>_xlfn.IFNA(IF(MOD(HLG_05[[#This Row],[Rit]],
    _xlfn.XLOOKUP($G$2,Int_Sample[Ore],Int_Sample[Inc])) = 0, "YES", "NO"),"")</f>
        <v/>
      </c>
      <c r="I358" s="32" t="str">
        <f>TEXT(HLG_05[[#This Row],[Batch]],"000")&amp; " / " &amp; TEXT(HLG_05[[#This Row],[Rit]],"000")</f>
        <v>N/A / 000</v>
      </c>
      <c r="J358" s="34"/>
      <c r="K358" s="38"/>
      <c r="L358" s="35"/>
      <c r="M358" s="66"/>
      <c r="N358" s="66"/>
      <c r="O358" s="66"/>
      <c r="P358" s="66"/>
      <c r="Q358" s="66"/>
      <c r="R358" s="67"/>
      <c r="S358" s="67"/>
      <c r="T358" s="67"/>
      <c r="U358" s="66"/>
      <c r="V358" s="66"/>
      <c r="W358" s="66"/>
      <c r="X358" s="85"/>
      <c r="AP358" t="str">
        <v/>
      </c>
    </row>
    <row r="359" spans="4:42" ht="15.75" x14ac:dyDescent="0.25">
      <c r="D359" s="3">
        <v>1</v>
      </c>
      <c r="F359" s="16" t="str" cm="1">
        <f t="array" ref="F3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9" s="31" cm="1">
        <f t="array" ref="G3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9" s="33" t="str">
        <f>_xlfn.IFNA(IF(MOD(HLG_05[[#This Row],[Rit]],
    _xlfn.XLOOKUP($G$2,Int_Sample[Ore],Int_Sample[Inc])) = 0, "YES", "NO"),"")</f>
        <v/>
      </c>
      <c r="I359" s="32" t="str">
        <f>TEXT(HLG_05[[#This Row],[Batch]],"000")&amp; " / " &amp; TEXT(HLG_05[[#This Row],[Rit]],"000")</f>
        <v>N/A / 000</v>
      </c>
      <c r="J359" s="34"/>
      <c r="K359" s="38"/>
      <c r="L359" s="35"/>
      <c r="M359" s="66"/>
      <c r="N359" s="66"/>
      <c r="O359" s="66"/>
      <c r="P359" s="66"/>
      <c r="Q359" s="66"/>
      <c r="R359" s="67"/>
      <c r="S359" s="67"/>
      <c r="T359" s="67"/>
      <c r="U359" s="66"/>
      <c r="V359" s="66"/>
      <c r="W359" s="66"/>
      <c r="X359" s="85"/>
      <c r="AP359" t="str">
        <v/>
      </c>
    </row>
    <row r="360" spans="4:42" ht="15.75" x14ac:dyDescent="0.25">
      <c r="D360" s="3">
        <v>1</v>
      </c>
      <c r="F360" s="16" t="str" cm="1">
        <f t="array" ref="F3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0" s="31" cm="1">
        <f t="array" ref="G3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0" s="33" t="str">
        <f>_xlfn.IFNA(IF(MOD(HLG_05[[#This Row],[Rit]],
    _xlfn.XLOOKUP($G$2,Int_Sample[Ore],Int_Sample[Inc])) = 0, "YES", "NO"),"")</f>
        <v/>
      </c>
      <c r="I360" s="32" t="str">
        <f>TEXT(HLG_05[[#This Row],[Batch]],"000")&amp; " / " &amp; TEXT(HLG_05[[#This Row],[Rit]],"000")</f>
        <v>N/A / 000</v>
      </c>
      <c r="J360" s="34"/>
      <c r="K360" s="38"/>
      <c r="L360" s="35"/>
      <c r="M360" s="66"/>
      <c r="N360" s="66"/>
      <c r="O360" s="66"/>
      <c r="P360" s="66"/>
      <c r="Q360" s="66"/>
      <c r="R360" s="67"/>
      <c r="S360" s="67"/>
      <c r="T360" s="67"/>
      <c r="U360" s="66"/>
      <c r="V360" s="66"/>
      <c r="W360" s="66"/>
      <c r="X360" s="85"/>
      <c r="AP360" t="str">
        <v/>
      </c>
    </row>
    <row r="361" spans="4:42" ht="15.75" x14ac:dyDescent="0.25">
      <c r="D361" s="3">
        <v>1</v>
      </c>
      <c r="F361" s="16" t="str" cm="1">
        <f t="array" ref="F3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1" s="31" cm="1">
        <f t="array" ref="G3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1" s="33" t="str">
        <f>_xlfn.IFNA(IF(MOD(HLG_05[[#This Row],[Rit]],
    _xlfn.XLOOKUP($G$2,Int_Sample[Ore],Int_Sample[Inc])) = 0, "YES", "NO"),"")</f>
        <v/>
      </c>
      <c r="I361" s="32" t="str">
        <f>TEXT(HLG_05[[#This Row],[Batch]],"000")&amp; " / " &amp; TEXT(HLG_05[[#This Row],[Rit]],"000")</f>
        <v>N/A / 000</v>
      </c>
      <c r="J361" s="34"/>
      <c r="K361" s="38"/>
      <c r="L361" s="35"/>
      <c r="M361" s="66"/>
      <c r="N361" s="66"/>
      <c r="O361" s="66"/>
      <c r="P361" s="66"/>
      <c r="Q361" s="66"/>
      <c r="R361" s="67"/>
      <c r="S361" s="67"/>
      <c r="T361" s="67"/>
      <c r="U361" s="66"/>
      <c r="V361" s="66"/>
      <c r="W361" s="66"/>
      <c r="X361" s="85"/>
      <c r="AP361" t="str">
        <v/>
      </c>
    </row>
    <row r="362" spans="4:42" ht="15.75" x14ac:dyDescent="0.25">
      <c r="D362" s="3">
        <v>1</v>
      </c>
      <c r="F362" s="16" t="str" cm="1">
        <f t="array" ref="F3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2" s="31" cm="1">
        <f t="array" ref="G3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2" s="33" t="str">
        <f>_xlfn.IFNA(IF(MOD(HLG_05[[#This Row],[Rit]],
    _xlfn.XLOOKUP($G$2,Int_Sample[Ore],Int_Sample[Inc])) = 0, "YES", "NO"),"")</f>
        <v/>
      </c>
      <c r="I362" s="32" t="str">
        <f>TEXT(HLG_05[[#This Row],[Batch]],"000")&amp; " / " &amp; TEXT(HLG_05[[#This Row],[Rit]],"000")</f>
        <v>N/A / 000</v>
      </c>
      <c r="J362" s="34"/>
      <c r="K362" s="38"/>
      <c r="L362" s="35"/>
      <c r="M362" s="66"/>
      <c r="N362" s="66"/>
      <c r="O362" s="66"/>
      <c r="P362" s="66"/>
      <c r="Q362" s="66"/>
      <c r="R362" s="67"/>
      <c r="S362" s="67"/>
      <c r="T362" s="67"/>
      <c r="U362" s="66"/>
      <c r="V362" s="66"/>
      <c r="W362" s="66"/>
      <c r="X362" s="85"/>
      <c r="AP362" t="str">
        <v/>
      </c>
    </row>
    <row r="363" spans="4:42" ht="15.75" x14ac:dyDescent="0.25">
      <c r="D363" s="3">
        <v>1</v>
      </c>
      <c r="F363" s="16" t="str" cm="1">
        <f t="array" ref="F3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3" s="31" cm="1">
        <f t="array" ref="G3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3" s="33" t="str">
        <f>_xlfn.IFNA(IF(MOD(HLG_05[[#This Row],[Rit]],
    _xlfn.XLOOKUP($G$2,Int_Sample[Ore],Int_Sample[Inc])) = 0, "YES", "NO"),"")</f>
        <v/>
      </c>
      <c r="I363" s="32" t="str">
        <f>TEXT(HLG_05[[#This Row],[Batch]],"000")&amp; " / " &amp; TEXT(HLG_05[[#This Row],[Rit]],"000")</f>
        <v>N/A / 000</v>
      </c>
      <c r="J363" s="34"/>
      <c r="K363" s="38"/>
      <c r="L363" s="35"/>
      <c r="M363" s="66"/>
      <c r="N363" s="66"/>
      <c r="O363" s="66"/>
      <c r="P363" s="66"/>
      <c r="Q363" s="66"/>
      <c r="R363" s="67"/>
      <c r="S363" s="67"/>
      <c r="T363" s="67"/>
      <c r="U363" s="66"/>
      <c r="V363" s="66"/>
      <c r="W363" s="66"/>
      <c r="X363" s="85"/>
      <c r="AP363" t="str">
        <v/>
      </c>
    </row>
    <row r="364" spans="4:42" ht="15.75" x14ac:dyDescent="0.25">
      <c r="D364" s="3">
        <v>1</v>
      </c>
      <c r="F364" s="16" t="str" cm="1">
        <f t="array" ref="F3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4" s="31" cm="1">
        <f t="array" ref="G3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4" s="33" t="str">
        <f>_xlfn.IFNA(IF(MOD(HLG_05[[#This Row],[Rit]],
    _xlfn.XLOOKUP($G$2,Int_Sample[Ore],Int_Sample[Inc])) = 0, "YES", "NO"),"")</f>
        <v/>
      </c>
      <c r="I364" s="32" t="str">
        <f>TEXT(HLG_05[[#This Row],[Batch]],"000")&amp; " / " &amp; TEXT(HLG_05[[#This Row],[Rit]],"000")</f>
        <v>N/A / 000</v>
      </c>
      <c r="J364" s="34"/>
      <c r="K364" s="38"/>
      <c r="L364" s="35"/>
      <c r="M364" s="66"/>
      <c r="N364" s="66"/>
      <c r="O364" s="66"/>
      <c r="P364" s="66"/>
      <c r="Q364" s="66"/>
      <c r="R364" s="67"/>
      <c r="S364" s="67"/>
      <c r="T364" s="67"/>
      <c r="U364" s="66"/>
      <c r="V364" s="66"/>
      <c r="W364" s="66"/>
      <c r="X364" s="85"/>
      <c r="AP364" t="str">
        <v/>
      </c>
    </row>
    <row r="365" spans="4:42" ht="15.75" x14ac:dyDescent="0.25">
      <c r="D365" s="3">
        <v>1</v>
      </c>
      <c r="F365" s="16" t="str" cm="1">
        <f t="array" ref="F3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5" s="31" cm="1">
        <f t="array" ref="G3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5" s="33" t="str">
        <f>_xlfn.IFNA(IF(MOD(HLG_05[[#This Row],[Rit]],
    _xlfn.XLOOKUP($G$2,Int_Sample[Ore],Int_Sample[Inc])) = 0, "YES", "NO"),"")</f>
        <v/>
      </c>
      <c r="I365" s="32" t="str">
        <f>TEXT(HLG_05[[#This Row],[Batch]],"000")&amp; " / " &amp; TEXT(HLG_05[[#This Row],[Rit]],"000")</f>
        <v>N/A / 000</v>
      </c>
      <c r="J365" s="34"/>
      <c r="K365" s="38"/>
      <c r="L365" s="35"/>
      <c r="M365" s="66"/>
      <c r="N365" s="66"/>
      <c r="O365" s="66"/>
      <c r="P365" s="66"/>
      <c r="Q365" s="66"/>
      <c r="R365" s="67"/>
      <c r="S365" s="67"/>
      <c r="T365" s="67"/>
      <c r="U365" s="66"/>
      <c r="V365" s="66"/>
      <c r="W365" s="66"/>
      <c r="X365" s="85"/>
      <c r="AP365" t="str">
        <v/>
      </c>
    </row>
    <row r="366" spans="4:42" ht="15.75" x14ac:dyDescent="0.25">
      <c r="D366" s="3">
        <v>1</v>
      </c>
      <c r="F366" s="16" t="str" cm="1">
        <f t="array" ref="F3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6" s="31" cm="1">
        <f t="array" ref="G3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6" s="33" t="str">
        <f>_xlfn.IFNA(IF(MOD(HLG_05[[#This Row],[Rit]],
    _xlfn.XLOOKUP($G$2,Int_Sample[Ore],Int_Sample[Inc])) = 0, "YES", "NO"),"")</f>
        <v/>
      </c>
      <c r="I366" s="32" t="str">
        <f>TEXT(HLG_05[[#This Row],[Batch]],"000")&amp; " / " &amp; TEXT(HLG_05[[#This Row],[Rit]],"000")</f>
        <v>N/A / 000</v>
      </c>
      <c r="J366" s="34"/>
      <c r="K366" s="38"/>
      <c r="L366" s="35"/>
      <c r="M366" s="66"/>
      <c r="N366" s="66"/>
      <c r="O366" s="66"/>
      <c r="P366" s="66"/>
      <c r="Q366" s="66"/>
      <c r="R366" s="67"/>
      <c r="S366" s="67"/>
      <c r="T366" s="67"/>
      <c r="U366" s="66"/>
      <c r="V366" s="66"/>
      <c r="W366" s="66"/>
      <c r="X366" s="85"/>
      <c r="AP366" t="str">
        <v/>
      </c>
    </row>
    <row r="367" spans="4:42" ht="15.75" x14ac:dyDescent="0.25">
      <c r="D367" s="3">
        <v>1</v>
      </c>
      <c r="F367" s="16" t="str" cm="1">
        <f t="array" ref="F3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7" s="31" cm="1">
        <f t="array" ref="G3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7" s="33" t="str">
        <f>_xlfn.IFNA(IF(MOD(HLG_05[[#This Row],[Rit]],
    _xlfn.XLOOKUP($G$2,Int_Sample[Ore],Int_Sample[Inc])) = 0, "YES", "NO"),"")</f>
        <v/>
      </c>
      <c r="I367" s="32" t="str">
        <f>TEXT(HLG_05[[#This Row],[Batch]],"000")&amp; " / " &amp; TEXT(HLG_05[[#This Row],[Rit]],"000")</f>
        <v>N/A / 000</v>
      </c>
      <c r="J367" s="34"/>
      <c r="K367" s="38"/>
      <c r="L367" s="35"/>
      <c r="M367" s="66"/>
      <c r="N367" s="66"/>
      <c r="O367" s="66"/>
      <c r="P367" s="66"/>
      <c r="Q367" s="66"/>
      <c r="R367" s="67"/>
      <c r="S367" s="67"/>
      <c r="T367" s="67"/>
      <c r="U367" s="66"/>
      <c r="V367" s="66"/>
      <c r="W367" s="66"/>
      <c r="X367" s="85"/>
      <c r="AP367" t="str">
        <v/>
      </c>
    </row>
    <row r="368" spans="4:42" ht="15.75" x14ac:dyDescent="0.25">
      <c r="D368" s="3">
        <v>1</v>
      </c>
      <c r="F368" s="16" t="str" cm="1">
        <f t="array" ref="F3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8" s="31" cm="1">
        <f t="array" ref="G3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8" s="33" t="str">
        <f>_xlfn.IFNA(IF(MOD(HLG_05[[#This Row],[Rit]],
    _xlfn.XLOOKUP($G$2,Int_Sample[Ore],Int_Sample[Inc])) = 0, "YES", "NO"),"")</f>
        <v/>
      </c>
      <c r="I368" s="32" t="str">
        <f>TEXT(HLG_05[[#This Row],[Batch]],"000")&amp; " / " &amp; TEXT(HLG_05[[#This Row],[Rit]],"000")</f>
        <v>N/A / 000</v>
      </c>
      <c r="J368" s="34"/>
      <c r="K368" s="38"/>
      <c r="L368" s="35"/>
      <c r="M368" s="66"/>
      <c r="N368" s="66"/>
      <c r="O368" s="66"/>
      <c r="P368" s="66"/>
      <c r="Q368" s="66"/>
      <c r="R368" s="67"/>
      <c r="S368" s="67"/>
      <c r="T368" s="67"/>
      <c r="U368" s="66"/>
      <c r="V368" s="66"/>
      <c r="W368" s="66"/>
      <c r="X368" s="85"/>
      <c r="AP368" t="str">
        <v/>
      </c>
    </row>
    <row r="369" spans="4:42" ht="15.75" x14ac:dyDescent="0.25">
      <c r="D369" s="3">
        <v>1</v>
      </c>
      <c r="F369" s="16" t="str" cm="1">
        <f t="array" ref="F3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9" s="31" cm="1">
        <f t="array" ref="G3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9" s="33" t="str">
        <f>_xlfn.IFNA(IF(MOD(HLG_05[[#This Row],[Rit]],
    _xlfn.XLOOKUP($G$2,Int_Sample[Ore],Int_Sample[Inc])) = 0, "YES", "NO"),"")</f>
        <v/>
      </c>
      <c r="I369" s="32" t="str">
        <f>TEXT(HLG_05[[#This Row],[Batch]],"000")&amp; " / " &amp; TEXT(HLG_05[[#This Row],[Rit]],"000")</f>
        <v>N/A / 000</v>
      </c>
      <c r="J369" s="34"/>
      <c r="K369" s="38"/>
      <c r="L369" s="35"/>
      <c r="M369" s="66"/>
      <c r="N369" s="66"/>
      <c r="O369" s="66"/>
      <c r="P369" s="66"/>
      <c r="Q369" s="66"/>
      <c r="R369" s="67"/>
      <c r="S369" s="67"/>
      <c r="T369" s="67"/>
      <c r="U369" s="66"/>
      <c r="V369" s="66"/>
      <c r="W369" s="66"/>
      <c r="X369" s="85"/>
      <c r="AP369" t="str">
        <v/>
      </c>
    </row>
    <row r="370" spans="4:42" ht="15.75" x14ac:dyDescent="0.25">
      <c r="D370" s="3">
        <v>1</v>
      </c>
      <c r="F370" s="16" t="str" cm="1">
        <f t="array" ref="F3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0" s="31" cm="1">
        <f t="array" ref="G3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0" s="33" t="str">
        <f>_xlfn.IFNA(IF(MOD(HLG_05[[#This Row],[Rit]],
    _xlfn.XLOOKUP($G$2,Int_Sample[Ore],Int_Sample[Inc])) = 0, "YES", "NO"),"")</f>
        <v/>
      </c>
      <c r="I370" s="32" t="str">
        <f>TEXT(HLG_05[[#This Row],[Batch]],"000")&amp; " / " &amp; TEXT(HLG_05[[#This Row],[Rit]],"000")</f>
        <v>N/A / 000</v>
      </c>
      <c r="J370" s="34"/>
      <c r="K370" s="38"/>
      <c r="L370" s="35"/>
      <c r="M370" s="66"/>
      <c r="N370" s="66"/>
      <c r="O370" s="66"/>
      <c r="P370" s="66"/>
      <c r="Q370" s="66"/>
      <c r="R370" s="67"/>
      <c r="S370" s="67"/>
      <c r="T370" s="67"/>
      <c r="U370" s="66"/>
      <c r="V370" s="66"/>
      <c r="W370" s="66"/>
      <c r="X370" s="85"/>
      <c r="AP370" t="str">
        <v/>
      </c>
    </row>
    <row r="371" spans="4:42" ht="15.75" x14ac:dyDescent="0.25">
      <c r="D371" s="3">
        <v>1</v>
      </c>
      <c r="F371" s="16" t="str" cm="1">
        <f t="array" ref="F3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1" s="31" cm="1">
        <f t="array" ref="G3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1" s="33" t="str">
        <f>_xlfn.IFNA(IF(MOD(HLG_05[[#This Row],[Rit]],
    _xlfn.XLOOKUP($G$2,Int_Sample[Ore],Int_Sample[Inc])) = 0, "YES", "NO"),"")</f>
        <v/>
      </c>
      <c r="I371" s="32" t="str">
        <f>TEXT(HLG_05[[#This Row],[Batch]],"000")&amp; " / " &amp; TEXT(HLG_05[[#This Row],[Rit]],"000")</f>
        <v>N/A / 000</v>
      </c>
      <c r="J371" s="34"/>
      <c r="K371" s="38"/>
      <c r="L371" s="35"/>
      <c r="M371" s="66"/>
      <c r="N371" s="66"/>
      <c r="O371" s="66"/>
      <c r="P371" s="66"/>
      <c r="Q371" s="66"/>
      <c r="R371" s="67"/>
      <c r="S371" s="67"/>
      <c r="T371" s="67"/>
      <c r="U371" s="66"/>
      <c r="V371" s="66"/>
      <c r="W371" s="66"/>
      <c r="X371" s="85"/>
      <c r="AP371" t="str">
        <v/>
      </c>
    </row>
    <row r="372" spans="4:42" ht="15.75" x14ac:dyDescent="0.25">
      <c r="D372" s="3">
        <v>1</v>
      </c>
      <c r="F372" s="16" t="str" cm="1">
        <f t="array" ref="F3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2" s="31" cm="1">
        <f t="array" ref="G3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2" s="33" t="str">
        <f>_xlfn.IFNA(IF(MOD(HLG_05[[#This Row],[Rit]],
    _xlfn.XLOOKUP($G$2,Int_Sample[Ore],Int_Sample[Inc])) = 0, "YES", "NO"),"")</f>
        <v/>
      </c>
      <c r="I372" s="32" t="str">
        <f>TEXT(HLG_05[[#This Row],[Batch]],"000")&amp; " / " &amp; TEXT(HLG_05[[#This Row],[Rit]],"000")</f>
        <v>N/A / 000</v>
      </c>
      <c r="J372" s="34"/>
      <c r="K372" s="38"/>
      <c r="L372" s="35"/>
      <c r="M372" s="66"/>
      <c r="N372" s="66"/>
      <c r="O372" s="66"/>
      <c r="P372" s="66"/>
      <c r="Q372" s="66"/>
      <c r="R372" s="67"/>
      <c r="S372" s="67"/>
      <c r="T372" s="67"/>
      <c r="U372" s="66"/>
      <c r="V372" s="66"/>
      <c r="W372" s="66"/>
      <c r="X372" s="85"/>
      <c r="AP372" t="str">
        <v/>
      </c>
    </row>
    <row r="373" spans="4:42" ht="15.75" x14ac:dyDescent="0.25">
      <c r="D373" s="3">
        <v>1</v>
      </c>
      <c r="F373" s="16" t="str" cm="1">
        <f t="array" ref="F3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3" s="31" cm="1">
        <f t="array" ref="G3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3" s="33" t="str">
        <f>_xlfn.IFNA(IF(MOD(HLG_05[[#This Row],[Rit]],
    _xlfn.XLOOKUP($G$2,Int_Sample[Ore],Int_Sample[Inc])) = 0, "YES", "NO"),"")</f>
        <v/>
      </c>
      <c r="I373" s="32" t="str">
        <f>TEXT(HLG_05[[#This Row],[Batch]],"000")&amp; " / " &amp; TEXT(HLG_05[[#This Row],[Rit]],"000")</f>
        <v>N/A / 000</v>
      </c>
      <c r="J373" s="34"/>
      <c r="K373" s="38"/>
      <c r="L373" s="35"/>
      <c r="M373" s="66"/>
      <c r="N373" s="66"/>
      <c r="O373" s="66"/>
      <c r="P373" s="66"/>
      <c r="Q373" s="66"/>
      <c r="R373" s="67"/>
      <c r="S373" s="67"/>
      <c r="T373" s="67"/>
      <c r="U373" s="66"/>
      <c r="V373" s="66"/>
      <c r="W373" s="66"/>
      <c r="X373" s="85"/>
      <c r="AP373" t="str">
        <v/>
      </c>
    </row>
    <row r="374" spans="4:42" ht="15.75" x14ac:dyDescent="0.25">
      <c r="D374" s="3">
        <v>1</v>
      </c>
      <c r="F374" s="16" t="str" cm="1">
        <f t="array" ref="F3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4" s="31" cm="1">
        <f t="array" ref="G3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4" s="33" t="str">
        <f>_xlfn.IFNA(IF(MOD(HLG_05[[#This Row],[Rit]],
    _xlfn.XLOOKUP($G$2,Int_Sample[Ore],Int_Sample[Inc])) = 0, "YES", "NO"),"")</f>
        <v/>
      </c>
      <c r="I374" s="32" t="str">
        <f>TEXT(HLG_05[[#This Row],[Batch]],"000")&amp; " / " &amp; TEXT(HLG_05[[#This Row],[Rit]],"000")</f>
        <v>N/A / 000</v>
      </c>
      <c r="J374" s="34"/>
      <c r="K374" s="38"/>
      <c r="L374" s="35"/>
      <c r="M374" s="66"/>
      <c r="N374" s="66"/>
      <c r="O374" s="66"/>
      <c r="P374" s="66"/>
      <c r="Q374" s="66"/>
      <c r="R374" s="67"/>
      <c r="S374" s="67"/>
      <c r="T374" s="67"/>
      <c r="U374" s="66"/>
      <c r="V374" s="66"/>
      <c r="W374" s="66"/>
      <c r="X374" s="85"/>
      <c r="AP374" t="str">
        <v/>
      </c>
    </row>
    <row r="375" spans="4:42" ht="15.75" x14ac:dyDescent="0.25">
      <c r="D375" s="3">
        <v>1</v>
      </c>
      <c r="F375" s="16" t="str" cm="1">
        <f t="array" ref="F3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5" s="31" cm="1">
        <f t="array" ref="G3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5" s="33" t="str">
        <f>_xlfn.IFNA(IF(MOD(HLG_05[[#This Row],[Rit]],
    _xlfn.XLOOKUP($G$2,Int_Sample[Ore],Int_Sample[Inc])) = 0, "YES", "NO"),"")</f>
        <v/>
      </c>
      <c r="I375" s="32" t="str">
        <f>TEXT(HLG_05[[#This Row],[Batch]],"000")&amp; " / " &amp; TEXT(HLG_05[[#This Row],[Rit]],"000")</f>
        <v>N/A / 000</v>
      </c>
      <c r="J375" s="34"/>
      <c r="K375" s="38"/>
      <c r="L375" s="35"/>
      <c r="M375" s="66"/>
      <c r="N375" s="66"/>
      <c r="O375" s="66"/>
      <c r="P375" s="66"/>
      <c r="Q375" s="66"/>
      <c r="R375" s="67"/>
      <c r="S375" s="67"/>
      <c r="T375" s="67"/>
      <c r="U375" s="66"/>
      <c r="V375" s="66"/>
      <c r="W375" s="66"/>
      <c r="X375" s="85"/>
      <c r="AP375" t="str">
        <v/>
      </c>
    </row>
    <row r="376" spans="4:42" ht="15.75" x14ac:dyDescent="0.25">
      <c r="D376" s="3">
        <v>1</v>
      </c>
      <c r="F376" s="16" t="str" cm="1">
        <f t="array" ref="F3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6" s="31" cm="1">
        <f t="array" ref="G3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6" s="33" t="str">
        <f>_xlfn.IFNA(IF(MOD(HLG_05[[#This Row],[Rit]],
    _xlfn.XLOOKUP($G$2,Int_Sample[Ore],Int_Sample[Inc])) = 0, "YES", "NO"),"")</f>
        <v/>
      </c>
      <c r="I376" s="32" t="str">
        <f>TEXT(HLG_05[[#This Row],[Batch]],"000")&amp; " / " &amp; TEXT(HLG_05[[#This Row],[Rit]],"000")</f>
        <v>N/A / 000</v>
      </c>
      <c r="J376" s="34"/>
      <c r="K376" s="38"/>
      <c r="L376" s="35"/>
      <c r="M376" s="66"/>
      <c r="N376" s="66"/>
      <c r="O376" s="66"/>
      <c r="P376" s="66"/>
      <c r="Q376" s="66"/>
      <c r="R376" s="67"/>
      <c r="S376" s="67"/>
      <c r="T376" s="67"/>
      <c r="U376" s="66"/>
      <c r="V376" s="66"/>
      <c r="W376" s="66"/>
      <c r="X376" s="85"/>
      <c r="AP376" t="str">
        <v/>
      </c>
    </row>
    <row r="377" spans="4:42" ht="15.75" x14ac:dyDescent="0.25">
      <c r="D377" s="3">
        <v>1</v>
      </c>
      <c r="F377" s="16" t="str" cm="1">
        <f t="array" ref="F3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7" s="31" cm="1">
        <f t="array" ref="G3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7" s="33" t="str">
        <f>_xlfn.IFNA(IF(MOD(HLG_05[[#This Row],[Rit]],
    _xlfn.XLOOKUP($G$2,Int_Sample[Ore],Int_Sample[Inc])) = 0, "YES", "NO"),"")</f>
        <v/>
      </c>
      <c r="I377" s="32" t="str">
        <f>TEXT(HLG_05[[#This Row],[Batch]],"000")&amp; " / " &amp; TEXT(HLG_05[[#This Row],[Rit]],"000")</f>
        <v>N/A / 000</v>
      </c>
      <c r="J377" s="34"/>
      <c r="K377" s="38"/>
      <c r="L377" s="35"/>
      <c r="M377" s="66"/>
      <c r="N377" s="66"/>
      <c r="O377" s="66"/>
      <c r="P377" s="66"/>
      <c r="Q377" s="66"/>
      <c r="R377" s="67"/>
      <c r="S377" s="67"/>
      <c r="T377" s="67"/>
      <c r="U377" s="66"/>
      <c r="V377" s="66"/>
      <c r="W377" s="66"/>
      <c r="X377" s="85"/>
      <c r="AP377" t="str">
        <v/>
      </c>
    </row>
    <row r="378" spans="4:42" ht="15.75" x14ac:dyDescent="0.25">
      <c r="D378" s="3">
        <v>1</v>
      </c>
      <c r="F378" s="16" t="str" cm="1">
        <f t="array" ref="F3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8" s="31" cm="1">
        <f t="array" ref="G3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8" s="33" t="str">
        <f>_xlfn.IFNA(IF(MOD(HLG_05[[#This Row],[Rit]],
    _xlfn.XLOOKUP($G$2,Int_Sample[Ore],Int_Sample[Inc])) = 0, "YES", "NO"),"")</f>
        <v/>
      </c>
      <c r="I378" s="32" t="str">
        <f>TEXT(HLG_05[[#This Row],[Batch]],"000")&amp; " / " &amp; TEXT(HLG_05[[#This Row],[Rit]],"000")</f>
        <v>N/A / 000</v>
      </c>
      <c r="J378" s="34"/>
      <c r="K378" s="38"/>
      <c r="L378" s="35"/>
      <c r="M378" s="66"/>
      <c r="N378" s="66"/>
      <c r="O378" s="66"/>
      <c r="P378" s="66"/>
      <c r="Q378" s="66"/>
      <c r="R378" s="67"/>
      <c r="S378" s="67"/>
      <c r="T378" s="67"/>
      <c r="U378" s="66"/>
      <c r="V378" s="66"/>
      <c r="W378" s="66"/>
      <c r="X378" s="85"/>
      <c r="AP378" t="str">
        <v/>
      </c>
    </row>
    <row r="379" spans="4:42" ht="15.75" x14ac:dyDescent="0.25">
      <c r="D379" s="3">
        <v>1</v>
      </c>
      <c r="F379" s="16" t="str" cm="1">
        <f t="array" ref="F3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9" s="31" cm="1">
        <f t="array" ref="G3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9" s="33" t="str">
        <f>_xlfn.IFNA(IF(MOD(HLG_05[[#This Row],[Rit]],
    _xlfn.XLOOKUP($G$2,Int_Sample[Ore],Int_Sample[Inc])) = 0, "YES", "NO"),"")</f>
        <v/>
      </c>
      <c r="I379" s="32" t="str">
        <f>TEXT(HLG_05[[#This Row],[Batch]],"000")&amp; " / " &amp; TEXT(HLG_05[[#This Row],[Rit]],"000")</f>
        <v>N/A / 000</v>
      </c>
      <c r="J379" s="34"/>
      <c r="K379" s="38"/>
      <c r="L379" s="35"/>
      <c r="M379" s="66"/>
      <c r="N379" s="66"/>
      <c r="O379" s="66"/>
      <c r="P379" s="66"/>
      <c r="Q379" s="66"/>
      <c r="R379" s="67"/>
      <c r="S379" s="67"/>
      <c r="T379" s="67"/>
      <c r="U379" s="66"/>
      <c r="V379" s="66"/>
      <c r="W379" s="66"/>
      <c r="X379" s="85"/>
      <c r="AP379" t="str">
        <v/>
      </c>
    </row>
    <row r="380" spans="4:42" ht="15.75" x14ac:dyDescent="0.25">
      <c r="D380" s="3">
        <v>1</v>
      </c>
      <c r="F380" s="16" t="str" cm="1">
        <f t="array" ref="F3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0" s="31" cm="1">
        <f t="array" ref="G3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0" s="33" t="str">
        <f>_xlfn.IFNA(IF(MOD(HLG_05[[#This Row],[Rit]],
    _xlfn.XLOOKUP($G$2,Int_Sample[Ore],Int_Sample[Inc])) = 0, "YES", "NO"),"")</f>
        <v/>
      </c>
      <c r="I380" s="32" t="str">
        <f>TEXT(HLG_05[[#This Row],[Batch]],"000")&amp; " / " &amp; TEXT(HLG_05[[#This Row],[Rit]],"000")</f>
        <v>N/A / 000</v>
      </c>
      <c r="J380" s="34"/>
      <c r="K380" s="38"/>
      <c r="L380" s="35"/>
      <c r="M380" s="66"/>
      <c r="N380" s="66"/>
      <c r="O380" s="66"/>
      <c r="P380" s="66"/>
      <c r="Q380" s="66"/>
      <c r="R380" s="67"/>
      <c r="S380" s="67"/>
      <c r="T380" s="67"/>
      <c r="U380" s="66"/>
      <c r="V380" s="66"/>
      <c r="W380" s="66"/>
      <c r="X380" s="85"/>
      <c r="AP380" t="str">
        <v/>
      </c>
    </row>
    <row r="381" spans="4:42" ht="15.75" x14ac:dyDescent="0.25">
      <c r="D381" s="3">
        <v>1</v>
      </c>
      <c r="F381" s="16" t="str" cm="1">
        <f t="array" ref="F3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1" s="31" cm="1">
        <f t="array" ref="G3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1" s="33" t="str">
        <f>_xlfn.IFNA(IF(MOD(HLG_05[[#This Row],[Rit]],
    _xlfn.XLOOKUP($G$2,Int_Sample[Ore],Int_Sample[Inc])) = 0, "YES", "NO"),"")</f>
        <v/>
      </c>
      <c r="I381" s="32" t="str">
        <f>TEXT(HLG_05[[#This Row],[Batch]],"000")&amp; " / " &amp; TEXT(HLG_05[[#This Row],[Rit]],"000")</f>
        <v>N/A / 000</v>
      </c>
      <c r="J381" s="34"/>
      <c r="K381" s="38"/>
      <c r="L381" s="35"/>
      <c r="M381" s="66"/>
      <c r="N381" s="66"/>
      <c r="O381" s="66"/>
      <c r="P381" s="66"/>
      <c r="Q381" s="66"/>
      <c r="R381" s="67"/>
      <c r="S381" s="67"/>
      <c r="T381" s="67"/>
      <c r="U381" s="66"/>
      <c r="V381" s="66"/>
      <c r="W381" s="66"/>
      <c r="X381" s="85"/>
      <c r="AP381" t="str">
        <v/>
      </c>
    </row>
    <row r="382" spans="4:42" ht="15.75" x14ac:dyDescent="0.25">
      <c r="D382" s="3">
        <v>1</v>
      </c>
      <c r="F382" s="16" t="str" cm="1">
        <f t="array" ref="F3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2" s="31" cm="1">
        <f t="array" ref="G3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2" s="33" t="str">
        <f>_xlfn.IFNA(IF(MOD(HLG_05[[#This Row],[Rit]],
    _xlfn.XLOOKUP($G$2,Int_Sample[Ore],Int_Sample[Inc])) = 0, "YES", "NO"),"")</f>
        <v/>
      </c>
      <c r="I382" s="32" t="str">
        <f>TEXT(HLG_05[[#This Row],[Batch]],"000")&amp; " / " &amp; TEXT(HLG_05[[#This Row],[Rit]],"000")</f>
        <v>N/A / 000</v>
      </c>
      <c r="J382" s="34"/>
      <c r="K382" s="38"/>
      <c r="L382" s="35"/>
      <c r="M382" s="66"/>
      <c r="N382" s="66"/>
      <c r="O382" s="66"/>
      <c r="P382" s="66"/>
      <c r="Q382" s="66"/>
      <c r="R382" s="67"/>
      <c r="S382" s="67"/>
      <c r="T382" s="67"/>
      <c r="U382" s="66"/>
      <c r="V382" s="66"/>
      <c r="W382" s="66"/>
      <c r="X382" s="85"/>
      <c r="AP382" t="str">
        <v/>
      </c>
    </row>
    <row r="383" spans="4:42" ht="15.75" x14ac:dyDescent="0.25">
      <c r="D383" s="3">
        <v>1</v>
      </c>
      <c r="F383" s="16" t="str" cm="1">
        <f t="array" ref="F3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3" s="31" cm="1">
        <f t="array" ref="G3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3" s="33" t="str">
        <f>_xlfn.IFNA(IF(MOD(HLG_05[[#This Row],[Rit]],
    _xlfn.XLOOKUP($G$2,Int_Sample[Ore],Int_Sample[Inc])) = 0, "YES", "NO"),"")</f>
        <v/>
      </c>
      <c r="I383" s="32" t="str">
        <f>TEXT(HLG_05[[#This Row],[Batch]],"000")&amp; " / " &amp; TEXT(HLG_05[[#This Row],[Rit]],"000")</f>
        <v>N/A / 000</v>
      </c>
      <c r="J383" s="34"/>
      <c r="K383" s="38"/>
      <c r="L383" s="35"/>
      <c r="M383" s="66"/>
      <c r="N383" s="66"/>
      <c r="O383" s="66"/>
      <c r="P383" s="66"/>
      <c r="Q383" s="66"/>
      <c r="R383" s="67"/>
      <c r="S383" s="67"/>
      <c r="T383" s="67"/>
      <c r="U383" s="66"/>
      <c r="V383" s="66"/>
      <c r="W383" s="66"/>
      <c r="X383" s="85"/>
      <c r="AP383" t="str">
        <v/>
      </c>
    </row>
    <row r="384" spans="4:42" ht="15.75" x14ac:dyDescent="0.25">
      <c r="D384" s="3">
        <v>1</v>
      </c>
      <c r="F384" s="16" t="str" cm="1">
        <f t="array" ref="F3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4" s="31" cm="1">
        <f t="array" ref="G3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4" s="33" t="str">
        <f>_xlfn.IFNA(IF(MOD(HLG_05[[#This Row],[Rit]],
    _xlfn.XLOOKUP($G$2,Int_Sample[Ore],Int_Sample[Inc])) = 0, "YES", "NO"),"")</f>
        <v/>
      </c>
      <c r="I384" s="32" t="str">
        <f>TEXT(HLG_05[[#This Row],[Batch]],"000")&amp; " / " &amp; TEXT(HLG_05[[#This Row],[Rit]],"000")</f>
        <v>N/A / 000</v>
      </c>
      <c r="J384" s="34"/>
      <c r="K384" s="38"/>
      <c r="L384" s="35"/>
      <c r="M384" s="66"/>
      <c r="N384" s="66"/>
      <c r="O384" s="66"/>
      <c r="P384" s="66"/>
      <c r="Q384" s="66"/>
      <c r="R384" s="67"/>
      <c r="S384" s="67"/>
      <c r="T384" s="67"/>
      <c r="U384" s="66"/>
      <c r="V384" s="66"/>
      <c r="W384" s="66"/>
      <c r="X384" s="85"/>
      <c r="AP384" t="str">
        <v/>
      </c>
    </row>
    <row r="385" spans="4:42" ht="15.75" x14ac:dyDescent="0.25">
      <c r="D385" s="3">
        <v>1</v>
      </c>
      <c r="F385" s="16" t="str" cm="1">
        <f t="array" ref="F3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5" s="31" cm="1">
        <f t="array" ref="G3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5" s="33" t="str">
        <f>_xlfn.IFNA(IF(MOD(HLG_05[[#This Row],[Rit]],
    _xlfn.XLOOKUP($G$2,Int_Sample[Ore],Int_Sample[Inc])) = 0, "YES", "NO"),"")</f>
        <v/>
      </c>
      <c r="I385" s="32" t="str">
        <f>TEXT(HLG_05[[#This Row],[Batch]],"000")&amp; " / " &amp; TEXT(HLG_05[[#This Row],[Rit]],"000")</f>
        <v>N/A / 000</v>
      </c>
      <c r="J385" s="34"/>
      <c r="K385" s="38"/>
      <c r="L385" s="35"/>
      <c r="M385" s="66"/>
      <c r="N385" s="66"/>
      <c r="O385" s="66"/>
      <c r="P385" s="66"/>
      <c r="Q385" s="66"/>
      <c r="R385" s="67"/>
      <c r="S385" s="67"/>
      <c r="T385" s="67"/>
      <c r="U385" s="66"/>
      <c r="V385" s="66"/>
      <c r="W385" s="66"/>
      <c r="X385" s="85"/>
      <c r="AP385" t="str">
        <v/>
      </c>
    </row>
    <row r="386" spans="4:42" ht="15.75" x14ac:dyDescent="0.25">
      <c r="D386" s="3">
        <v>1</v>
      </c>
      <c r="F386" s="16" t="str" cm="1">
        <f t="array" ref="F3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6" s="31" cm="1">
        <f t="array" ref="G3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6" s="33" t="str">
        <f>_xlfn.IFNA(IF(MOD(HLG_05[[#This Row],[Rit]],
    _xlfn.XLOOKUP($G$2,Int_Sample[Ore],Int_Sample[Inc])) = 0, "YES", "NO"),"")</f>
        <v/>
      </c>
      <c r="I386" s="32" t="str">
        <f>TEXT(HLG_05[[#This Row],[Batch]],"000")&amp; " / " &amp; TEXT(HLG_05[[#This Row],[Rit]],"000")</f>
        <v>N/A / 000</v>
      </c>
      <c r="J386" s="34"/>
      <c r="K386" s="38"/>
      <c r="L386" s="35"/>
      <c r="M386" s="66"/>
      <c r="N386" s="66"/>
      <c r="O386" s="66"/>
      <c r="P386" s="66"/>
      <c r="Q386" s="66"/>
      <c r="R386" s="67"/>
      <c r="S386" s="67"/>
      <c r="T386" s="67"/>
      <c r="U386" s="66"/>
      <c r="V386" s="66"/>
      <c r="W386" s="66"/>
      <c r="X386" s="85"/>
      <c r="AP386" t="str">
        <v/>
      </c>
    </row>
    <row r="387" spans="4:42" ht="15.75" x14ac:dyDescent="0.25">
      <c r="D387" s="3">
        <v>1</v>
      </c>
      <c r="F387" s="16" t="str" cm="1">
        <f t="array" ref="F3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7" s="31" cm="1">
        <f t="array" ref="G3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7" s="33" t="str">
        <f>_xlfn.IFNA(IF(MOD(HLG_05[[#This Row],[Rit]],
    _xlfn.XLOOKUP($G$2,Int_Sample[Ore],Int_Sample[Inc])) = 0, "YES", "NO"),"")</f>
        <v/>
      </c>
      <c r="I387" s="32" t="str">
        <f>TEXT(HLG_05[[#This Row],[Batch]],"000")&amp; " / " &amp; TEXT(HLG_05[[#This Row],[Rit]],"000")</f>
        <v>N/A / 000</v>
      </c>
      <c r="J387" s="34"/>
      <c r="K387" s="38"/>
      <c r="L387" s="35"/>
      <c r="M387" s="66"/>
      <c r="N387" s="66"/>
      <c r="O387" s="66"/>
      <c r="P387" s="66"/>
      <c r="Q387" s="66"/>
      <c r="R387" s="67"/>
      <c r="S387" s="67"/>
      <c r="T387" s="67"/>
      <c r="U387" s="66"/>
      <c r="V387" s="66"/>
      <c r="W387" s="66"/>
      <c r="X387" s="85"/>
      <c r="AP387" t="str">
        <v/>
      </c>
    </row>
    <row r="388" spans="4:42" ht="15.75" x14ac:dyDescent="0.25">
      <c r="D388" s="3">
        <v>1</v>
      </c>
      <c r="F388" s="16" t="str" cm="1">
        <f t="array" ref="F3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8" s="31" cm="1">
        <f t="array" ref="G3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8" s="33" t="str">
        <f>_xlfn.IFNA(IF(MOD(HLG_05[[#This Row],[Rit]],
    _xlfn.XLOOKUP($G$2,Int_Sample[Ore],Int_Sample[Inc])) = 0, "YES", "NO"),"")</f>
        <v/>
      </c>
      <c r="I388" s="32" t="str">
        <f>TEXT(HLG_05[[#This Row],[Batch]],"000")&amp; " / " &amp; TEXT(HLG_05[[#This Row],[Rit]],"000")</f>
        <v>N/A / 000</v>
      </c>
      <c r="J388" s="34"/>
      <c r="K388" s="38"/>
      <c r="L388" s="35"/>
      <c r="M388" s="66"/>
      <c r="N388" s="66"/>
      <c r="O388" s="66"/>
      <c r="P388" s="66"/>
      <c r="Q388" s="66"/>
      <c r="R388" s="67"/>
      <c r="S388" s="67"/>
      <c r="T388" s="67"/>
      <c r="U388" s="66"/>
      <c r="V388" s="66"/>
      <c r="W388" s="66"/>
      <c r="X388" s="85"/>
      <c r="AP388" t="str">
        <v/>
      </c>
    </row>
    <row r="389" spans="4:42" ht="15.75" x14ac:dyDescent="0.25">
      <c r="D389" s="3">
        <v>1</v>
      </c>
      <c r="F389" s="16" t="str" cm="1">
        <f t="array" ref="F3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9" s="31" cm="1">
        <f t="array" ref="G3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9" s="33" t="str">
        <f>_xlfn.IFNA(IF(MOD(HLG_05[[#This Row],[Rit]],
    _xlfn.XLOOKUP($G$2,Int_Sample[Ore],Int_Sample[Inc])) = 0, "YES", "NO"),"")</f>
        <v/>
      </c>
      <c r="I389" s="32" t="str">
        <f>TEXT(HLG_05[[#This Row],[Batch]],"000")&amp; " / " &amp; TEXT(HLG_05[[#This Row],[Rit]],"000")</f>
        <v>N/A / 000</v>
      </c>
      <c r="J389" s="34"/>
      <c r="K389" s="38"/>
      <c r="L389" s="35"/>
      <c r="M389" s="66"/>
      <c r="N389" s="66"/>
      <c r="O389" s="66"/>
      <c r="P389" s="66"/>
      <c r="Q389" s="66"/>
      <c r="R389" s="67"/>
      <c r="S389" s="67"/>
      <c r="T389" s="67"/>
      <c r="U389" s="66"/>
      <c r="V389" s="66"/>
      <c r="W389" s="66"/>
      <c r="X389" s="85"/>
      <c r="AP389" t="str">
        <v/>
      </c>
    </row>
    <row r="390" spans="4:42" ht="15.75" x14ac:dyDescent="0.25">
      <c r="D390" s="3">
        <v>1</v>
      </c>
      <c r="F390" s="16" t="str" cm="1">
        <f t="array" ref="F3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0" s="31" cm="1">
        <f t="array" ref="G3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0" s="33" t="str">
        <f>_xlfn.IFNA(IF(MOD(HLG_05[[#This Row],[Rit]],
    _xlfn.XLOOKUP($G$2,Int_Sample[Ore],Int_Sample[Inc])) = 0, "YES", "NO"),"")</f>
        <v/>
      </c>
      <c r="I390" s="32" t="str">
        <f>TEXT(HLG_05[[#This Row],[Batch]],"000")&amp; " / " &amp; TEXT(HLG_05[[#This Row],[Rit]],"000")</f>
        <v>N/A / 000</v>
      </c>
      <c r="J390" s="34"/>
      <c r="K390" s="38"/>
      <c r="L390" s="35"/>
      <c r="M390" s="66"/>
      <c r="N390" s="66"/>
      <c r="O390" s="66"/>
      <c r="P390" s="66"/>
      <c r="Q390" s="66"/>
      <c r="R390" s="67"/>
      <c r="S390" s="67"/>
      <c r="T390" s="67"/>
      <c r="U390" s="66"/>
      <c r="V390" s="66"/>
      <c r="W390" s="66"/>
      <c r="X390" s="85"/>
      <c r="AP390" t="str">
        <v/>
      </c>
    </row>
    <row r="391" spans="4:42" ht="15.75" x14ac:dyDescent="0.25">
      <c r="D391" s="3">
        <v>1</v>
      </c>
      <c r="F391" s="16" t="str" cm="1">
        <f t="array" ref="F3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1" s="31" cm="1">
        <f t="array" ref="G3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1" s="33" t="str">
        <f>_xlfn.IFNA(IF(MOD(HLG_05[[#This Row],[Rit]],
    _xlfn.XLOOKUP($G$2,Int_Sample[Ore],Int_Sample[Inc])) = 0, "YES", "NO"),"")</f>
        <v/>
      </c>
      <c r="I391" s="32" t="str">
        <f>TEXT(HLG_05[[#This Row],[Batch]],"000")&amp; " / " &amp; TEXT(HLG_05[[#This Row],[Rit]],"000")</f>
        <v>N/A / 000</v>
      </c>
      <c r="J391" s="34"/>
      <c r="K391" s="38"/>
      <c r="L391" s="35"/>
      <c r="M391" s="66"/>
      <c r="N391" s="66"/>
      <c r="O391" s="66"/>
      <c r="P391" s="66"/>
      <c r="Q391" s="66"/>
      <c r="R391" s="67"/>
      <c r="S391" s="67"/>
      <c r="T391" s="67"/>
      <c r="U391" s="66"/>
      <c r="V391" s="66"/>
      <c r="W391" s="66"/>
      <c r="X391" s="85"/>
      <c r="AP391" t="str">
        <v/>
      </c>
    </row>
    <row r="392" spans="4:42" ht="15.75" x14ac:dyDescent="0.25">
      <c r="D392" s="3">
        <v>1</v>
      </c>
      <c r="F392" s="16" t="str" cm="1">
        <f t="array" ref="F3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2" s="31" cm="1">
        <f t="array" ref="G3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2" s="33" t="str">
        <f>_xlfn.IFNA(IF(MOD(HLG_05[[#This Row],[Rit]],
    _xlfn.XLOOKUP($G$2,Int_Sample[Ore],Int_Sample[Inc])) = 0, "YES", "NO"),"")</f>
        <v/>
      </c>
      <c r="I392" s="32" t="str">
        <f>TEXT(HLG_05[[#This Row],[Batch]],"000")&amp; " / " &amp; TEXT(HLG_05[[#This Row],[Rit]],"000")</f>
        <v>N/A / 000</v>
      </c>
      <c r="J392" s="34"/>
      <c r="K392" s="38"/>
      <c r="L392" s="35"/>
      <c r="M392" s="66"/>
      <c r="N392" s="66"/>
      <c r="O392" s="66"/>
      <c r="P392" s="66"/>
      <c r="Q392" s="66"/>
      <c r="R392" s="67"/>
      <c r="S392" s="67"/>
      <c r="T392" s="67"/>
      <c r="U392" s="66"/>
      <c r="V392" s="66"/>
      <c r="W392" s="66"/>
      <c r="X392" s="85"/>
      <c r="AP392" t="str">
        <v/>
      </c>
    </row>
    <row r="393" spans="4:42" ht="15.75" x14ac:dyDescent="0.25">
      <c r="D393" s="3">
        <v>1</v>
      </c>
      <c r="F393" s="16" t="str" cm="1">
        <f t="array" ref="F3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3" s="31" cm="1">
        <f t="array" ref="G3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3" s="33" t="str">
        <f>_xlfn.IFNA(IF(MOD(HLG_05[[#This Row],[Rit]],
    _xlfn.XLOOKUP($G$2,Int_Sample[Ore],Int_Sample[Inc])) = 0, "YES", "NO"),"")</f>
        <v/>
      </c>
      <c r="I393" s="32" t="str">
        <f>TEXT(HLG_05[[#This Row],[Batch]],"000")&amp; " / " &amp; TEXT(HLG_05[[#This Row],[Rit]],"000")</f>
        <v>N/A / 000</v>
      </c>
      <c r="J393" s="34"/>
      <c r="K393" s="38"/>
      <c r="L393" s="35"/>
      <c r="M393" s="66"/>
      <c r="N393" s="66"/>
      <c r="O393" s="66"/>
      <c r="P393" s="66"/>
      <c r="Q393" s="66"/>
      <c r="R393" s="67"/>
      <c r="S393" s="67"/>
      <c r="T393" s="67"/>
      <c r="U393" s="66"/>
      <c r="V393" s="66"/>
      <c r="W393" s="66"/>
      <c r="X393" s="85"/>
      <c r="AP393" t="str">
        <v/>
      </c>
    </row>
    <row r="394" spans="4:42" ht="15.75" x14ac:dyDescent="0.25">
      <c r="D394" s="3">
        <v>1</v>
      </c>
      <c r="F394" s="16" t="str" cm="1">
        <f t="array" ref="F3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4" s="31" cm="1">
        <f t="array" ref="G3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4" s="33" t="str">
        <f>_xlfn.IFNA(IF(MOD(HLG_05[[#This Row],[Rit]],
    _xlfn.XLOOKUP($G$2,Int_Sample[Ore],Int_Sample[Inc])) = 0, "YES", "NO"),"")</f>
        <v/>
      </c>
      <c r="I394" s="32" t="str">
        <f>TEXT(HLG_05[[#This Row],[Batch]],"000")&amp; " / " &amp; TEXT(HLG_05[[#This Row],[Rit]],"000")</f>
        <v>N/A / 000</v>
      </c>
      <c r="J394" s="34"/>
      <c r="K394" s="38"/>
      <c r="L394" s="35"/>
      <c r="M394" s="66"/>
      <c r="N394" s="66"/>
      <c r="O394" s="66"/>
      <c r="P394" s="66"/>
      <c r="Q394" s="66"/>
      <c r="R394" s="67"/>
      <c r="S394" s="67"/>
      <c r="T394" s="67"/>
      <c r="U394" s="66"/>
      <c r="V394" s="66"/>
      <c r="W394" s="66"/>
      <c r="X394" s="85"/>
      <c r="AP394" t="str">
        <v/>
      </c>
    </row>
    <row r="395" spans="4:42" ht="15.75" x14ac:dyDescent="0.25">
      <c r="D395" s="3">
        <v>1</v>
      </c>
      <c r="F395" s="16" t="str" cm="1">
        <f t="array" ref="F3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5" s="31" cm="1">
        <f t="array" ref="G3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5" s="33" t="str">
        <f>_xlfn.IFNA(IF(MOD(HLG_05[[#This Row],[Rit]],
    _xlfn.XLOOKUP($G$2,Int_Sample[Ore],Int_Sample[Inc])) = 0, "YES", "NO"),"")</f>
        <v/>
      </c>
      <c r="I395" s="32" t="str">
        <f>TEXT(HLG_05[[#This Row],[Batch]],"000")&amp; " / " &amp; TEXT(HLG_05[[#This Row],[Rit]],"000")</f>
        <v>N/A / 000</v>
      </c>
      <c r="J395" s="34"/>
      <c r="K395" s="38"/>
      <c r="L395" s="35"/>
      <c r="M395" s="66"/>
      <c r="N395" s="66"/>
      <c r="O395" s="66"/>
      <c r="P395" s="66"/>
      <c r="Q395" s="66"/>
      <c r="R395" s="67"/>
      <c r="S395" s="67"/>
      <c r="T395" s="67"/>
      <c r="U395" s="66"/>
      <c r="V395" s="66"/>
      <c r="W395" s="66"/>
      <c r="X395" s="85"/>
      <c r="AP395" t="str">
        <v/>
      </c>
    </row>
    <row r="396" spans="4:42" ht="15.75" x14ac:dyDescent="0.25">
      <c r="D396" s="3">
        <v>1</v>
      </c>
      <c r="F396" s="16" t="str" cm="1">
        <f t="array" ref="F3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6" s="31" cm="1">
        <f t="array" ref="G3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6" s="33" t="str">
        <f>_xlfn.IFNA(IF(MOD(HLG_05[[#This Row],[Rit]],
    _xlfn.XLOOKUP($G$2,Int_Sample[Ore],Int_Sample[Inc])) = 0, "YES", "NO"),"")</f>
        <v/>
      </c>
      <c r="I396" s="32" t="str">
        <f>TEXT(HLG_05[[#This Row],[Batch]],"000")&amp; " / " &amp; TEXT(HLG_05[[#This Row],[Rit]],"000")</f>
        <v>N/A / 000</v>
      </c>
      <c r="J396" s="34"/>
      <c r="K396" s="38"/>
      <c r="L396" s="35"/>
      <c r="M396" s="66"/>
      <c r="N396" s="66"/>
      <c r="O396" s="66"/>
      <c r="P396" s="66"/>
      <c r="Q396" s="66"/>
      <c r="R396" s="67"/>
      <c r="S396" s="67"/>
      <c r="T396" s="67"/>
      <c r="U396" s="66"/>
      <c r="V396" s="66"/>
      <c r="W396" s="66"/>
      <c r="X396" s="85"/>
      <c r="AP396" t="str">
        <v/>
      </c>
    </row>
    <row r="397" spans="4:42" ht="15.75" x14ac:dyDescent="0.25">
      <c r="D397" s="3">
        <v>1</v>
      </c>
      <c r="F397" s="16" t="str" cm="1">
        <f t="array" ref="F3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7" s="31" cm="1">
        <f t="array" ref="G3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7" s="33" t="str">
        <f>_xlfn.IFNA(IF(MOD(HLG_05[[#This Row],[Rit]],
    _xlfn.XLOOKUP($G$2,Int_Sample[Ore],Int_Sample[Inc])) = 0, "YES", "NO"),"")</f>
        <v/>
      </c>
      <c r="I397" s="32" t="str">
        <f>TEXT(HLG_05[[#This Row],[Batch]],"000")&amp; " / " &amp; TEXT(HLG_05[[#This Row],[Rit]],"000")</f>
        <v>N/A / 000</v>
      </c>
      <c r="J397" s="34"/>
      <c r="K397" s="38"/>
      <c r="L397" s="35"/>
      <c r="M397" s="66"/>
      <c r="N397" s="66"/>
      <c r="O397" s="66"/>
      <c r="P397" s="66"/>
      <c r="Q397" s="66"/>
      <c r="R397" s="67"/>
      <c r="S397" s="67"/>
      <c r="T397" s="67"/>
      <c r="U397" s="66"/>
      <c r="V397" s="66"/>
      <c r="W397" s="66"/>
      <c r="X397" s="85"/>
      <c r="AP397" t="str">
        <v/>
      </c>
    </row>
    <row r="398" spans="4:42" ht="15.75" x14ac:dyDescent="0.25">
      <c r="D398" s="3">
        <v>1</v>
      </c>
      <c r="F398" s="16" t="str" cm="1">
        <f t="array" ref="F3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8" s="31" cm="1">
        <f t="array" ref="G3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8" s="33" t="str">
        <f>_xlfn.IFNA(IF(MOD(HLG_05[[#This Row],[Rit]],
    _xlfn.XLOOKUP($G$2,Int_Sample[Ore],Int_Sample[Inc])) = 0, "YES", "NO"),"")</f>
        <v/>
      </c>
      <c r="I398" s="32" t="str">
        <f>TEXT(HLG_05[[#This Row],[Batch]],"000")&amp; " / " &amp; TEXT(HLG_05[[#This Row],[Rit]],"000")</f>
        <v>N/A / 000</v>
      </c>
      <c r="J398" s="34"/>
      <c r="K398" s="38"/>
      <c r="L398" s="35"/>
      <c r="M398" s="66"/>
      <c r="N398" s="66"/>
      <c r="O398" s="66"/>
      <c r="P398" s="66"/>
      <c r="Q398" s="66"/>
      <c r="R398" s="67"/>
      <c r="S398" s="67"/>
      <c r="T398" s="67"/>
      <c r="U398" s="66"/>
      <c r="V398" s="66"/>
      <c r="W398" s="66"/>
      <c r="X398" s="85"/>
      <c r="AP398" t="str">
        <v/>
      </c>
    </row>
    <row r="399" spans="4:42" ht="15.75" x14ac:dyDescent="0.25">
      <c r="D399" s="3">
        <v>1</v>
      </c>
      <c r="F399" s="16" t="str" cm="1">
        <f t="array" ref="F3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9" s="31" cm="1">
        <f t="array" ref="G3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9" s="33" t="str">
        <f>_xlfn.IFNA(IF(MOD(HLG_05[[#This Row],[Rit]],
    _xlfn.XLOOKUP($G$2,Int_Sample[Ore],Int_Sample[Inc])) = 0, "YES", "NO"),"")</f>
        <v/>
      </c>
      <c r="I399" s="32" t="str">
        <f>TEXT(HLG_05[[#This Row],[Batch]],"000")&amp; " / " &amp; TEXT(HLG_05[[#This Row],[Rit]],"000")</f>
        <v>N/A / 000</v>
      </c>
      <c r="J399" s="34"/>
      <c r="K399" s="38"/>
      <c r="L399" s="35"/>
      <c r="M399" s="66"/>
      <c r="N399" s="66"/>
      <c r="O399" s="66"/>
      <c r="P399" s="66"/>
      <c r="Q399" s="66"/>
      <c r="R399" s="67"/>
      <c r="S399" s="67"/>
      <c r="T399" s="67"/>
      <c r="U399" s="66"/>
      <c r="V399" s="66"/>
      <c r="W399" s="66"/>
      <c r="X399" s="85"/>
      <c r="AP399" t="str">
        <v/>
      </c>
    </row>
    <row r="400" spans="4:42" ht="15.75" x14ac:dyDescent="0.25">
      <c r="D400" s="3">
        <v>1</v>
      </c>
      <c r="F400" s="16" t="str" cm="1">
        <f t="array" ref="F4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0" s="31" cm="1">
        <f t="array" ref="G4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0" s="33" t="str">
        <f>_xlfn.IFNA(IF(MOD(HLG_05[[#This Row],[Rit]],
    _xlfn.XLOOKUP($G$2,Int_Sample[Ore],Int_Sample[Inc])) = 0, "YES", "NO"),"")</f>
        <v/>
      </c>
      <c r="I400" s="32" t="str">
        <f>TEXT(HLG_05[[#This Row],[Batch]],"000")&amp; " / " &amp; TEXT(HLG_05[[#This Row],[Rit]],"000")</f>
        <v>N/A / 000</v>
      </c>
      <c r="J400" s="34"/>
      <c r="K400" s="38"/>
      <c r="L400" s="35"/>
      <c r="M400" s="66"/>
      <c r="N400" s="66"/>
      <c r="O400" s="66"/>
      <c r="P400" s="66"/>
      <c r="Q400" s="66"/>
      <c r="R400" s="67"/>
      <c r="S400" s="67"/>
      <c r="T400" s="67"/>
      <c r="U400" s="66"/>
      <c r="V400" s="66"/>
      <c r="W400" s="66"/>
      <c r="X400" s="85"/>
      <c r="AP400" t="str">
        <v/>
      </c>
    </row>
    <row r="401" spans="4:42" ht="15.75" x14ac:dyDescent="0.25">
      <c r="D401" s="3">
        <v>1</v>
      </c>
      <c r="F401" s="16" t="str" cm="1">
        <f t="array" ref="F4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1" s="31" cm="1">
        <f t="array" ref="G4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1" s="33" t="str">
        <f>_xlfn.IFNA(IF(MOD(HLG_05[[#This Row],[Rit]],
    _xlfn.XLOOKUP($G$2,Int_Sample[Ore],Int_Sample[Inc])) = 0, "YES", "NO"),"")</f>
        <v/>
      </c>
      <c r="I401" s="32" t="str">
        <f>TEXT(HLG_05[[#This Row],[Batch]],"000")&amp; " / " &amp; TEXT(HLG_05[[#This Row],[Rit]],"000")</f>
        <v>N/A / 000</v>
      </c>
      <c r="J401" s="34"/>
      <c r="K401" s="38"/>
      <c r="L401" s="35"/>
      <c r="M401" s="66"/>
      <c r="N401" s="66"/>
      <c r="O401" s="66"/>
      <c r="P401" s="66"/>
      <c r="Q401" s="66"/>
      <c r="R401" s="67"/>
      <c r="S401" s="67"/>
      <c r="T401" s="67"/>
      <c r="U401" s="66"/>
      <c r="V401" s="66"/>
      <c r="W401" s="66"/>
      <c r="X401" s="85"/>
      <c r="AP401" t="str">
        <v/>
      </c>
    </row>
    <row r="402" spans="4:42" ht="15.75" x14ac:dyDescent="0.25">
      <c r="D402" s="3">
        <v>1</v>
      </c>
      <c r="F402" s="16" t="str" cm="1">
        <f t="array" ref="F4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2" s="31" cm="1">
        <f t="array" ref="G4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2" s="33" t="str">
        <f>_xlfn.IFNA(IF(MOD(HLG_05[[#This Row],[Rit]],
    _xlfn.XLOOKUP($G$2,Int_Sample[Ore],Int_Sample[Inc])) = 0, "YES", "NO"),"")</f>
        <v/>
      </c>
      <c r="I402" s="32" t="str">
        <f>TEXT(HLG_05[[#This Row],[Batch]],"000")&amp; " / " &amp; TEXT(HLG_05[[#This Row],[Rit]],"000")</f>
        <v>N/A / 000</v>
      </c>
      <c r="J402" s="34"/>
      <c r="K402" s="38"/>
      <c r="L402" s="35"/>
      <c r="M402" s="66"/>
      <c r="N402" s="66"/>
      <c r="O402" s="66"/>
      <c r="P402" s="66"/>
      <c r="Q402" s="66"/>
      <c r="R402" s="67"/>
      <c r="S402" s="67"/>
      <c r="T402" s="67"/>
      <c r="U402" s="66"/>
      <c r="V402" s="66"/>
      <c r="W402" s="66"/>
      <c r="X402" s="85"/>
      <c r="AP402" t="str">
        <v/>
      </c>
    </row>
    <row r="403" spans="4:42" ht="15.75" x14ac:dyDescent="0.25">
      <c r="D403" s="3">
        <v>1</v>
      </c>
      <c r="F403" s="16" t="str" cm="1">
        <f t="array" ref="F4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3" s="31" cm="1">
        <f t="array" ref="G4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3" s="33" t="str">
        <f>_xlfn.IFNA(IF(MOD(HLG_05[[#This Row],[Rit]],
    _xlfn.XLOOKUP($G$2,Int_Sample[Ore],Int_Sample[Inc])) = 0, "YES", "NO"),"")</f>
        <v/>
      </c>
      <c r="I403" s="32" t="str">
        <f>TEXT(HLG_05[[#This Row],[Batch]],"000")&amp; " / " &amp; TEXT(HLG_05[[#This Row],[Rit]],"000")</f>
        <v>N/A / 000</v>
      </c>
      <c r="J403" s="34"/>
      <c r="K403" s="38"/>
      <c r="L403" s="35"/>
      <c r="M403" s="66"/>
      <c r="N403" s="66"/>
      <c r="O403" s="66"/>
      <c r="P403" s="66"/>
      <c r="Q403" s="66"/>
      <c r="R403" s="67"/>
      <c r="S403" s="67"/>
      <c r="T403" s="67"/>
      <c r="U403" s="66"/>
      <c r="V403" s="66"/>
      <c r="W403" s="66"/>
      <c r="X403" s="85"/>
      <c r="AP403" t="str">
        <v/>
      </c>
    </row>
    <row r="404" spans="4:42" ht="15.75" x14ac:dyDescent="0.25">
      <c r="D404" s="3">
        <v>1</v>
      </c>
      <c r="F404" s="16" t="str" cm="1">
        <f t="array" ref="F4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4" s="31" cm="1">
        <f t="array" ref="G4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4" s="33" t="str">
        <f>_xlfn.IFNA(IF(MOD(HLG_05[[#This Row],[Rit]],
    _xlfn.XLOOKUP($G$2,Int_Sample[Ore],Int_Sample[Inc])) = 0, "YES", "NO"),"")</f>
        <v/>
      </c>
      <c r="I404" s="32" t="str">
        <f>TEXT(HLG_05[[#This Row],[Batch]],"000")&amp; " / " &amp; TEXT(HLG_05[[#This Row],[Rit]],"000")</f>
        <v>N/A / 000</v>
      </c>
      <c r="J404" s="34"/>
      <c r="K404" s="38"/>
      <c r="L404" s="35"/>
      <c r="M404" s="66"/>
      <c r="N404" s="66"/>
      <c r="O404" s="66"/>
      <c r="P404" s="66"/>
      <c r="Q404" s="66"/>
      <c r="R404" s="67"/>
      <c r="S404" s="67"/>
      <c r="T404" s="67"/>
      <c r="U404" s="66"/>
      <c r="V404" s="66"/>
      <c r="W404" s="66"/>
      <c r="X404" s="85"/>
      <c r="AP404" t="str">
        <v/>
      </c>
    </row>
    <row r="405" spans="4:42" ht="15.75" x14ac:dyDescent="0.25">
      <c r="D405" s="3">
        <v>1</v>
      </c>
      <c r="F405" s="16" t="str" cm="1">
        <f t="array" ref="F4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5" s="31" cm="1">
        <f t="array" ref="G4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5" s="33" t="str">
        <f>_xlfn.IFNA(IF(MOD(HLG_05[[#This Row],[Rit]],
    _xlfn.XLOOKUP($G$2,Int_Sample[Ore],Int_Sample[Inc])) = 0, "YES", "NO"),"")</f>
        <v/>
      </c>
      <c r="I405" s="32" t="str">
        <f>TEXT(HLG_05[[#This Row],[Batch]],"000")&amp; " / " &amp; TEXT(HLG_05[[#This Row],[Rit]],"000")</f>
        <v>N/A / 000</v>
      </c>
      <c r="J405" s="34"/>
      <c r="K405" s="38"/>
      <c r="L405" s="35"/>
      <c r="M405" s="66"/>
      <c r="N405" s="66"/>
      <c r="O405" s="66"/>
      <c r="P405" s="66"/>
      <c r="Q405" s="66"/>
      <c r="R405" s="67"/>
      <c r="S405" s="67"/>
      <c r="T405" s="67"/>
      <c r="U405" s="66"/>
      <c r="V405" s="66"/>
      <c r="W405" s="66"/>
      <c r="X405" s="85"/>
      <c r="AP405" t="str">
        <v/>
      </c>
    </row>
    <row r="406" spans="4:42" ht="15.75" x14ac:dyDescent="0.25">
      <c r="D406" s="3">
        <v>1</v>
      </c>
      <c r="F406" s="16" t="str" cm="1">
        <f t="array" ref="F4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6" s="31" cm="1">
        <f t="array" ref="G4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6" s="33" t="str">
        <f>_xlfn.IFNA(IF(MOD(HLG_05[[#This Row],[Rit]],
    _xlfn.XLOOKUP($G$2,Int_Sample[Ore],Int_Sample[Inc])) = 0, "YES", "NO"),"")</f>
        <v/>
      </c>
      <c r="I406" s="32" t="str">
        <f>TEXT(HLG_05[[#This Row],[Batch]],"000")&amp; " / " &amp; TEXT(HLG_05[[#This Row],[Rit]],"000")</f>
        <v>N/A / 000</v>
      </c>
      <c r="J406" s="34"/>
      <c r="K406" s="38"/>
      <c r="L406" s="35"/>
      <c r="M406" s="66"/>
      <c r="N406" s="66"/>
      <c r="O406" s="66"/>
      <c r="P406" s="66"/>
      <c r="Q406" s="66"/>
      <c r="R406" s="67"/>
      <c r="S406" s="67"/>
      <c r="T406" s="67"/>
      <c r="U406" s="66"/>
      <c r="V406" s="66"/>
      <c r="W406" s="66"/>
      <c r="X406" s="85"/>
      <c r="AP406" t="str">
        <v/>
      </c>
    </row>
    <row r="407" spans="4:42" ht="15.75" x14ac:dyDescent="0.25">
      <c r="D407" s="3">
        <v>1</v>
      </c>
      <c r="F407" s="16" t="str" cm="1">
        <f t="array" ref="F4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7" s="31" cm="1">
        <f t="array" ref="G4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7" s="33" t="str">
        <f>_xlfn.IFNA(IF(MOD(HLG_05[[#This Row],[Rit]],
    _xlfn.XLOOKUP($G$2,Int_Sample[Ore],Int_Sample[Inc])) = 0, "YES", "NO"),"")</f>
        <v/>
      </c>
      <c r="I407" s="32" t="str">
        <f>TEXT(HLG_05[[#This Row],[Batch]],"000")&amp; " / " &amp; TEXT(HLG_05[[#This Row],[Rit]],"000")</f>
        <v>N/A / 000</v>
      </c>
      <c r="J407" s="34"/>
      <c r="K407" s="38"/>
      <c r="L407" s="35"/>
      <c r="M407" s="66"/>
      <c r="N407" s="66"/>
      <c r="O407" s="66"/>
      <c r="P407" s="66"/>
      <c r="Q407" s="66"/>
      <c r="R407" s="67"/>
      <c r="S407" s="67"/>
      <c r="T407" s="67"/>
      <c r="U407" s="66"/>
      <c r="V407" s="66"/>
      <c r="W407" s="66"/>
      <c r="X407" s="85"/>
      <c r="AP407" t="str">
        <v/>
      </c>
    </row>
    <row r="408" spans="4:42" ht="15.75" x14ac:dyDescent="0.25">
      <c r="D408" s="3">
        <v>1</v>
      </c>
      <c r="F408" s="16" t="str" cm="1">
        <f t="array" ref="F4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8" s="31" cm="1">
        <f t="array" ref="G4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8" s="33" t="str">
        <f>_xlfn.IFNA(IF(MOD(HLG_05[[#This Row],[Rit]],
    _xlfn.XLOOKUP($G$2,Int_Sample[Ore],Int_Sample[Inc])) = 0, "YES", "NO"),"")</f>
        <v/>
      </c>
      <c r="I408" s="32" t="str">
        <f>TEXT(HLG_05[[#This Row],[Batch]],"000")&amp; " / " &amp; TEXT(HLG_05[[#This Row],[Rit]],"000")</f>
        <v>N/A / 000</v>
      </c>
      <c r="J408" s="34"/>
      <c r="K408" s="38"/>
      <c r="L408" s="35"/>
      <c r="M408" s="66"/>
      <c r="N408" s="66"/>
      <c r="O408" s="66"/>
      <c r="P408" s="66"/>
      <c r="Q408" s="66"/>
      <c r="R408" s="67"/>
      <c r="S408" s="67"/>
      <c r="T408" s="67"/>
      <c r="U408" s="66"/>
      <c r="V408" s="66"/>
      <c r="W408" s="66"/>
      <c r="X408" s="85"/>
      <c r="AP408" t="str">
        <v/>
      </c>
    </row>
    <row r="409" spans="4:42" ht="15.75" x14ac:dyDescent="0.25">
      <c r="D409" s="3">
        <v>1</v>
      </c>
      <c r="F409" s="16" t="str" cm="1">
        <f t="array" ref="F4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9" s="31" cm="1">
        <f t="array" ref="G4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9" s="33" t="str">
        <f>_xlfn.IFNA(IF(MOD(HLG_05[[#This Row],[Rit]],
    _xlfn.XLOOKUP($G$2,Int_Sample[Ore],Int_Sample[Inc])) = 0, "YES", "NO"),"")</f>
        <v/>
      </c>
      <c r="I409" s="32" t="str">
        <f>TEXT(HLG_05[[#This Row],[Batch]],"000")&amp; " / " &amp; TEXT(HLG_05[[#This Row],[Rit]],"000")</f>
        <v>N/A / 000</v>
      </c>
      <c r="J409" s="34"/>
      <c r="K409" s="38"/>
      <c r="L409" s="35"/>
      <c r="M409" s="66"/>
      <c r="N409" s="66"/>
      <c r="O409" s="66"/>
      <c r="P409" s="66"/>
      <c r="Q409" s="66"/>
      <c r="R409" s="67"/>
      <c r="S409" s="67"/>
      <c r="T409" s="67"/>
      <c r="U409" s="66"/>
      <c r="V409" s="66"/>
      <c r="W409" s="66"/>
      <c r="X409" s="85"/>
      <c r="AP409" t="str">
        <v/>
      </c>
    </row>
    <row r="410" spans="4:42" ht="15.75" x14ac:dyDescent="0.25">
      <c r="D410" s="3">
        <v>1</v>
      </c>
      <c r="F410" s="16" t="str" cm="1">
        <f t="array" ref="F4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0" s="31" cm="1">
        <f t="array" ref="G4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0" s="33" t="str">
        <f>_xlfn.IFNA(IF(MOD(HLG_05[[#This Row],[Rit]],
    _xlfn.XLOOKUP($G$2,Int_Sample[Ore],Int_Sample[Inc])) = 0, "YES", "NO"),"")</f>
        <v/>
      </c>
      <c r="I410" s="32" t="str">
        <f>TEXT(HLG_05[[#This Row],[Batch]],"000")&amp; " / " &amp; TEXT(HLG_05[[#This Row],[Rit]],"000")</f>
        <v>N/A / 000</v>
      </c>
      <c r="J410" s="34"/>
      <c r="K410" s="38"/>
      <c r="L410" s="35"/>
      <c r="M410" s="66"/>
      <c r="N410" s="66"/>
      <c r="O410" s="66"/>
      <c r="P410" s="66"/>
      <c r="Q410" s="66"/>
      <c r="R410" s="67"/>
      <c r="S410" s="67"/>
      <c r="T410" s="67"/>
      <c r="U410" s="66"/>
      <c r="V410" s="66"/>
      <c r="W410" s="66"/>
      <c r="X410" s="85"/>
      <c r="AP410" t="str">
        <v/>
      </c>
    </row>
    <row r="411" spans="4:42" ht="15.75" x14ac:dyDescent="0.25">
      <c r="D411" s="3">
        <v>1</v>
      </c>
      <c r="F411" s="16" t="str" cm="1">
        <f t="array" ref="F4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1" s="31" cm="1">
        <f t="array" ref="G4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1" s="33" t="str">
        <f>_xlfn.IFNA(IF(MOD(HLG_05[[#This Row],[Rit]],
    _xlfn.XLOOKUP($G$2,Int_Sample[Ore],Int_Sample[Inc])) = 0, "YES", "NO"),"")</f>
        <v/>
      </c>
      <c r="I411" s="32" t="str">
        <f>TEXT(HLG_05[[#This Row],[Batch]],"000")&amp; " / " &amp; TEXT(HLG_05[[#This Row],[Rit]],"000")</f>
        <v>N/A / 000</v>
      </c>
      <c r="J411" s="34"/>
      <c r="K411" s="38"/>
      <c r="L411" s="35"/>
      <c r="M411" s="66"/>
      <c r="N411" s="66"/>
      <c r="O411" s="66"/>
      <c r="P411" s="66"/>
      <c r="Q411" s="66"/>
      <c r="R411" s="67"/>
      <c r="S411" s="67"/>
      <c r="T411" s="67"/>
      <c r="U411" s="66"/>
      <c r="V411" s="66"/>
      <c r="W411" s="66"/>
      <c r="X411" s="85"/>
      <c r="AP411" t="str">
        <v/>
      </c>
    </row>
    <row r="412" spans="4:42" ht="15.75" x14ac:dyDescent="0.25">
      <c r="D412" s="3">
        <v>1</v>
      </c>
      <c r="F412" s="16" t="str" cm="1">
        <f t="array" ref="F4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2" s="31" cm="1">
        <f t="array" ref="G4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2" s="33" t="str">
        <f>_xlfn.IFNA(IF(MOD(HLG_05[[#This Row],[Rit]],
    _xlfn.XLOOKUP($G$2,Int_Sample[Ore],Int_Sample[Inc])) = 0, "YES", "NO"),"")</f>
        <v/>
      </c>
      <c r="I412" s="32" t="str">
        <f>TEXT(HLG_05[[#This Row],[Batch]],"000")&amp; " / " &amp; TEXT(HLG_05[[#This Row],[Rit]],"000")</f>
        <v>N/A / 000</v>
      </c>
      <c r="J412" s="34"/>
      <c r="K412" s="38"/>
      <c r="L412" s="35"/>
      <c r="M412" s="66"/>
      <c r="N412" s="66"/>
      <c r="O412" s="66"/>
      <c r="P412" s="66"/>
      <c r="Q412" s="66"/>
      <c r="R412" s="67"/>
      <c r="S412" s="67"/>
      <c r="T412" s="67"/>
      <c r="U412" s="66"/>
      <c r="V412" s="66"/>
      <c r="W412" s="66"/>
      <c r="X412" s="85"/>
      <c r="AP412" t="str">
        <v/>
      </c>
    </row>
    <row r="413" spans="4:42" ht="15.75" x14ac:dyDescent="0.25">
      <c r="D413" s="3">
        <v>1</v>
      </c>
      <c r="F413" s="16" t="str" cm="1">
        <f t="array" ref="F4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3" s="31" cm="1">
        <f t="array" ref="G4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3" s="33" t="str">
        <f>_xlfn.IFNA(IF(MOD(HLG_05[[#This Row],[Rit]],
    _xlfn.XLOOKUP($G$2,Int_Sample[Ore],Int_Sample[Inc])) = 0, "YES", "NO"),"")</f>
        <v/>
      </c>
      <c r="I413" s="32" t="str">
        <f>TEXT(HLG_05[[#This Row],[Batch]],"000")&amp; " / " &amp; TEXT(HLG_05[[#This Row],[Rit]],"000")</f>
        <v>N/A / 000</v>
      </c>
      <c r="J413" s="34"/>
      <c r="K413" s="38"/>
      <c r="L413" s="35"/>
      <c r="M413" s="66"/>
      <c r="N413" s="66"/>
      <c r="O413" s="66"/>
      <c r="P413" s="66"/>
      <c r="Q413" s="66"/>
      <c r="R413" s="67"/>
      <c r="S413" s="67"/>
      <c r="T413" s="67"/>
      <c r="U413" s="66"/>
      <c r="V413" s="66"/>
      <c r="W413" s="66"/>
      <c r="X413" s="85"/>
      <c r="AP413" t="str">
        <v/>
      </c>
    </row>
    <row r="414" spans="4:42" ht="15.75" x14ac:dyDescent="0.25">
      <c r="D414" s="3">
        <v>1</v>
      </c>
      <c r="F414" s="16" t="str" cm="1">
        <f t="array" ref="F4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4" s="31" cm="1">
        <f t="array" ref="G4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4" s="33" t="str">
        <f>_xlfn.IFNA(IF(MOD(HLG_05[[#This Row],[Rit]],
    _xlfn.XLOOKUP($G$2,Int_Sample[Ore],Int_Sample[Inc])) = 0, "YES", "NO"),"")</f>
        <v/>
      </c>
      <c r="I414" s="32" t="str">
        <f>TEXT(HLG_05[[#This Row],[Batch]],"000")&amp; " / " &amp; TEXT(HLG_05[[#This Row],[Rit]],"000")</f>
        <v>N/A / 000</v>
      </c>
      <c r="J414" s="34"/>
      <c r="K414" s="38"/>
      <c r="L414" s="35"/>
      <c r="M414" s="66"/>
      <c r="N414" s="66"/>
      <c r="O414" s="66"/>
      <c r="P414" s="66"/>
      <c r="Q414" s="66"/>
      <c r="R414" s="67"/>
      <c r="S414" s="67"/>
      <c r="T414" s="67"/>
      <c r="U414" s="66"/>
      <c r="V414" s="66"/>
      <c r="W414" s="66"/>
      <c r="X414" s="85"/>
      <c r="AP414" t="str">
        <v/>
      </c>
    </row>
    <row r="415" spans="4:42" ht="15.75" x14ac:dyDescent="0.25">
      <c r="D415" s="3">
        <v>1</v>
      </c>
      <c r="F415" s="16" t="str" cm="1">
        <f t="array" ref="F4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5" s="31" cm="1">
        <f t="array" ref="G4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5" s="33" t="str">
        <f>_xlfn.IFNA(IF(MOD(HLG_05[[#This Row],[Rit]],
    _xlfn.XLOOKUP($G$2,Int_Sample[Ore],Int_Sample[Inc])) = 0, "YES", "NO"),"")</f>
        <v/>
      </c>
      <c r="I415" s="32" t="str">
        <f>TEXT(HLG_05[[#This Row],[Batch]],"000")&amp; " / " &amp; TEXT(HLG_05[[#This Row],[Rit]],"000")</f>
        <v>N/A / 000</v>
      </c>
      <c r="J415" s="34"/>
      <c r="K415" s="38"/>
      <c r="L415" s="35"/>
      <c r="M415" s="66"/>
      <c r="N415" s="66"/>
      <c r="O415" s="66"/>
      <c r="P415" s="66"/>
      <c r="Q415" s="66"/>
      <c r="R415" s="67"/>
      <c r="S415" s="67"/>
      <c r="T415" s="67"/>
      <c r="U415" s="66"/>
      <c r="V415" s="66"/>
      <c r="W415" s="66"/>
      <c r="X415" s="85"/>
      <c r="AP415" t="str">
        <v/>
      </c>
    </row>
    <row r="416" spans="4:42" ht="15.75" x14ac:dyDescent="0.25">
      <c r="D416" s="3">
        <v>1</v>
      </c>
      <c r="F416" s="16" t="str" cm="1">
        <f t="array" ref="F4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6" s="31" cm="1">
        <f t="array" ref="G4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6" s="33" t="str">
        <f>_xlfn.IFNA(IF(MOD(HLG_05[[#This Row],[Rit]],
    _xlfn.XLOOKUP($G$2,Int_Sample[Ore],Int_Sample[Inc])) = 0, "YES", "NO"),"")</f>
        <v/>
      </c>
      <c r="I416" s="32" t="str">
        <f>TEXT(HLG_05[[#This Row],[Batch]],"000")&amp; " / " &amp; TEXT(HLG_05[[#This Row],[Rit]],"000")</f>
        <v>N/A / 000</v>
      </c>
      <c r="J416" s="34"/>
      <c r="K416" s="38"/>
      <c r="L416" s="35"/>
      <c r="M416" s="66"/>
      <c r="N416" s="66"/>
      <c r="O416" s="66"/>
      <c r="P416" s="66"/>
      <c r="Q416" s="66"/>
      <c r="R416" s="67"/>
      <c r="S416" s="67"/>
      <c r="T416" s="67"/>
      <c r="U416" s="66"/>
      <c r="V416" s="66"/>
      <c r="W416" s="66"/>
      <c r="X416" s="85"/>
      <c r="AP416" t="str">
        <v/>
      </c>
    </row>
    <row r="417" spans="4:42" ht="15.75" x14ac:dyDescent="0.25">
      <c r="D417" s="3">
        <v>1</v>
      </c>
      <c r="F417" s="16" t="str" cm="1">
        <f t="array" ref="F4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7" s="31" cm="1">
        <f t="array" ref="G4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7" s="33" t="str">
        <f>_xlfn.IFNA(IF(MOD(HLG_05[[#This Row],[Rit]],
    _xlfn.XLOOKUP($G$2,Int_Sample[Ore],Int_Sample[Inc])) = 0, "YES", "NO"),"")</f>
        <v/>
      </c>
      <c r="I417" s="32" t="str">
        <f>TEXT(HLG_05[[#This Row],[Batch]],"000")&amp; " / " &amp; TEXT(HLG_05[[#This Row],[Rit]],"000")</f>
        <v>N/A / 000</v>
      </c>
      <c r="J417" s="34"/>
      <c r="K417" s="38"/>
      <c r="L417" s="35"/>
      <c r="M417" s="66"/>
      <c r="N417" s="66"/>
      <c r="O417" s="66"/>
      <c r="P417" s="66"/>
      <c r="Q417" s="66"/>
      <c r="R417" s="67"/>
      <c r="S417" s="67"/>
      <c r="T417" s="67"/>
      <c r="U417" s="66"/>
      <c r="V417" s="66"/>
      <c r="W417" s="66"/>
      <c r="X417" s="85"/>
      <c r="AP417" t="str">
        <v/>
      </c>
    </row>
    <row r="418" spans="4:42" ht="15.75" x14ac:dyDescent="0.25">
      <c r="D418" s="3">
        <v>1</v>
      </c>
      <c r="F418" s="16" t="str" cm="1">
        <f t="array" ref="F4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8" s="31" cm="1">
        <f t="array" ref="G4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8" s="33" t="str">
        <f>_xlfn.IFNA(IF(MOD(HLG_05[[#This Row],[Rit]],
    _xlfn.XLOOKUP($G$2,Int_Sample[Ore],Int_Sample[Inc])) = 0, "YES", "NO"),"")</f>
        <v/>
      </c>
      <c r="I418" s="32" t="str">
        <f>TEXT(HLG_05[[#This Row],[Batch]],"000")&amp; " / " &amp; TEXT(HLG_05[[#This Row],[Rit]],"000")</f>
        <v>N/A / 000</v>
      </c>
      <c r="J418" s="34"/>
      <c r="K418" s="38"/>
      <c r="L418" s="35"/>
      <c r="M418" s="66"/>
      <c r="N418" s="66"/>
      <c r="O418" s="66"/>
      <c r="P418" s="66"/>
      <c r="Q418" s="66"/>
      <c r="R418" s="67"/>
      <c r="S418" s="67"/>
      <c r="T418" s="67"/>
      <c r="U418" s="66"/>
      <c r="V418" s="66"/>
      <c r="W418" s="66"/>
      <c r="X418" s="85"/>
      <c r="AP418" t="str">
        <v/>
      </c>
    </row>
    <row r="419" spans="4:42" ht="15.75" x14ac:dyDescent="0.25">
      <c r="D419" s="3">
        <v>1</v>
      </c>
      <c r="F419" s="16" t="str" cm="1">
        <f t="array" ref="F4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9" s="31" cm="1">
        <f t="array" ref="G4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9" s="33" t="str">
        <f>_xlfn.IFNA(IF(MOD(HLG_05[[#This Row],[Rit]],
    _xlfn.XLOOKUP($G$2,Int_Sample[Ore],Int_Sample[Inc])) = 0, "YES", "NO"),"")</f>
        <v/>
      </c>
      <c r="I419" s="32" t="str">
        <f>TEXT(HLG_05[[#This Row],[Batch]],"000")&amp; " / " &amp; TEXT(HLG_05[[#This Row],[Rit]],"000")</f>
        <v>N/A / 000</v>
      </c>
      <c r="J419" s="34"/>
      <c r="K419" s="38"/>
      <c r="L419" s="35"/>
      <c r="M419" s="66"/>
      <c r="N419" s="66"/>
      <c r="O419" s="66"/>
      <c r="P419" s="66"/>
      <c r="Q419" s="66"/>
      <c r="R419" s="67"/>
      <c r="S419" s="67"/>
      <c r="T419" s="67"/>
      <c r="U419" s="66"/>
      <c r="V419" s="66"/>
      <c r="W419" s="66"/>
      <c r="X419" s="85"/>
      <c r="AP419" t="str">
        <v/>
      </c>
    </row>
    <row r="420" spans="4:42" ht="15.75" x14ac:dyDescent="0.25">
      <c r="D420" s="3">
        <v>1</v>
      </c>
      <c r="F420" s="16" t="str" cm="1">
        <f t="array" ref="F4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0" s="31" cm="1">
        <f t="array" ref="G4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0" s="33" t="str">
        <f>_xlfn.IFNA(IF(MOD(HLG_05[[#This Row],[Rit]],
    _xlfn.XLOOKUP($G$2,Int_Sample[Ore],Int_Sample[Inc])) = 0, "YES", "NO"),"")</f>
        <v/>
      </c>
      <c r="I420" s="32" t="str">
        <f>TEXT(HLG_05[[#This Row],[Batch]],"000")&amp; " / " &amp; TEXT(HLG_05[[#This Row],[Rit]],"000")</f>
        <v>N/A / 000</v>
      </c>
      <c r="J420" s="34"/>
      <c r="K420" s="38"/>
      <c r="L420" s="35"/>
      <c r="M420" s="66"/>
      <c r="N420" s="66"/>
      <c r="O420" s="66"/>
      <c r="P420" s="66"/>
      <c r="Q420" s="66"/>
      <c r="R420" s="67"/>
      <c r="S420" s="67"/>
      <c r="T420" s="67"/>
      <c r="U420" s="66"/>
      <c r="V420" s="66"/>
      <c r="W420" s="66"/>
      <c r="X420" s="85"/>
      <c r="AP420" t="str">
        <v/>
      </c>
    </row>
    <row r="421" spans="4:42" ht="15.75" x14ac:dyDescent="0.25">
      <c r="D421" s="3">
        <v>1</v>
      </c>
      <c r="F421" s="16" t="str" cm="1">
        <f t="array" ref="F4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1" s="31" cm="1">
        <f t="array" ref="G4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1" s="33" t="str">
        <f>_xlfn.IFNA(IF(MOD(HLG_05[[#This Row],[Rit]],
    _xlfn.XLOOKUP($G$2,Int_Sample[Ore],Int_Sample[Inc])) = 0, "YES", "NO"),"")</f>
        <v/>
      </c>
      <c r="I421" s="32" t="str">
        <f>TEXT(HLG_05[[#This Row],[Batch]],"000")&amp; " / " &amp; TEXT(HLG_05[[#This Row],[Rit]],"000")</f>
        <v>N/A / 000</v>
      </c>
      <c r="J421" s="34"/>
      <c r="K421" s="38"/>
      <c r="L421" s="35"/>
      <c r="M421" s="66"/>
      <c r="N421" s="66"/>
      <c r="O421" s="66"/>
      <c r="P421" s="66"/>
      <c r="Q421" s="66"/>
      <c r="R421" s="67"/>
      <c r="S421" s="67"/>
      <c r="T421" s="67"/>
      <c r="U421" s="66"/>
      <c r="V421" s="66"/>
      <c r="W421" s="66"/>
      <c r="X421" s="85"/>
      <c r="AP421" t="str">
        <v/>
      </c>
    </row>
    <row r="422" spans="4:42" ht="15.75" x14ac:dyDescent="0.25">
      <c r="D422" s="3">
        <v>1</v>
      </c>
      <c r="F422" s="16" t="str" cm="1">
        <f t="array" ref="F4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2" s="31" cm="1">
        <f t="array" ref="G4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2" s="33" t="str">
        <f>_xlfn.IFNA(IF(MOD(HLG_05[[#This Row],[Rit]],
    _xlfn.XLOOKUP($G$2,Int_Sample[Ore],Int_Sample[Inc])) = 0, "YES", "NO"),"")</f>
        <v/>
      </c>
      <c r="I422" s="32" t="str">
        <f>TEXT(HLG_05[[#This Row],[Batch]],"000")&amp; " / " &amp; TEXT(HLG_05[[#This Row],[Rit]],"000")</f>
        <v>N/A / 000</v>
      </c>
      <c r="J422" s="34"/>
      <c r="K422" s="38"/>
      <c r="L422" s="35"/>
      <c r="M422" s="66"/>
      <c r="N422" s="66"/>
      <c r="O422" s="66"/>
      <c r="P422" s="66"/>
      <c r="Q422" s="66"/>
      <c r="R422" s="67"/>
      <c r="S422" s="67"/>
      <c r="T422" s="67"/>
      <c r="U422" s="66"/>
      <c r="V422" s="66"/>
      <c r="W422" s="66"/>
      <c r="X422" s="85"/>
      <c r="AP422" t="str">
        <v/>
      </c>
    </row>
    <row r="423" spans="4:42" ht="15.75" x14ac:dyDescent="0.25">
      <c r="D423" s="3">
        <v>1</v>
      </c>
      <c r="F423" s="16" t="str" cm="1">
        <f t="array" ref="F4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3" s="31" cm="1">
        <f t="array" ref="G4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3" s="33" t="str">
        <f>_xlfn.IFNA(IF(MOD(HLG_05[[#This Row],[Rit]],
    _xlfn.XLOOKUP($G$2,Int_Sample[Ore],Int_Sample[Inc])) = 0, "YES", "NO"),"")</f>
        <v/>
      </c>
      <c r="I423" s="32" t="str">
        <f>TEXT(HLG_05[[#This Row],[Batch]],"000")&amp; " / " &amp; TEXT(HLG_05[[#This Row],[Rit]],"000")</f>
        <v>N/A / 000</v>
      </c>
      <c r="J423" s="34"/>
      <c r="K423" s="38"/>
      <c r="L423" s="35"/>
      <c r="M423" s="66"/>
      <c r="N423" s="66"/>
      <c r="O423" s="66"/>
      <c r="P423" s="66"/>
      <c r="Q423" s="66"/>
      <c r="R423" s="67"/>
      <c r="S423" s="67"/>
      <c r="T423" s="67"/>
      <c r="U423" s="66"/>
      <c r="V423" s="66"/>
      <c r="W423" s="66"/>
      <c r="X423" s="85"/>
      <c r="AP423" t="str">
        <v/>
      </c>
    </row>
    <row r="424" spans="4:42" ht="15.75" x14ac:dyDescent="0.25">
      <c r="D424" s="3">
        <v>1</v>
      </c>
      <c r="F424" s="16" t="str" cm="1">
        <f t="array" ref="F4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4" s="31" cm="1">
        <f t="array" ref="G4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4" s="33" t="str">
        <f>_xlfn.IFNA(IF(MOD(HLG_05[[#This Row],[Rit]],
    _xlfn.XLOOKUP($G$2,Int_Sample[Ore],Int_Sample[Inc])) = 0, "YES", "NO"),"")</f>
        <v/>
      </c>
      <c r="I424" s="32" t="str">
        <f>TEXT(HLG_05[[#This Row],[Batch]],"000")&amp; " / " &amp; TEXT(HLG_05[[#This Row],[Rit]],"000")</f>
        <v>N/A / 000</v>
      </c>
      <c r="J424" s="34"/>
      <c r="K424" s="38"/>
      <c r="L424" s="35"/>
      <c r="M424" s="66"/>
      <c r="N424" s="66"/>
      <c r="O424" s="66"/>
      <c r="P424" s="66"/>
      <c r="Q424" s="66"/>
      <c r="R424" s="67"/>
      <c r="S424" s="67"/>
      <c r="T424" s="67"/>
      <c r="U424" s="66"/>
      <c r="V424" s="66"/>
      <c r="W424" s="66"/>
      <c r="X424" s="85"/>
      <c r="AP424" t="str">
        <v/>
      </c>
    </row>
    <row r="425" spans="4:42" ht="15.75" x14ac:dyDescent="0.25">
      <c r="D425" s="3">
        <v>1</v>
      </c>
      <c r="F425" s="16" t="str" cm="1">
        <f t="array" ref="F4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5" s="31" cm="1">
        <f t="array" ref="G4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5" s="33" t="str">
        <f>_xlfn.IFNA(IF(MOD(HLG_05[[#This Row],[Rit]],
    _xlfn.XLOOKUP($G$2,Int_Sample[Ore],Int_Sample[Inc])) = 0, "YES", "NO"),"")</f>
        <v/>
      </c>
      <c r="I425" s="32" t="str">
        <f>TEXT(HLG_05[[#This Row],[Batch]],"000")&amp; " / " &amp; TEXT(HLG_05[[#This Row],[Rit]],"000")</f>
        <v>N/A / 000</v>
      </c>
      <c r="J425" s="34"/>
      <c r="K425" s="38"/>
      <c r="L425" s="35"/>
      <c r="M425" s="66"/>
      <c r="N425" s="66"/>
      <c r="O425" s="66"/>
      <c r="P425" s="66"/>
      <c r="Q425" s="66"/>
      <c r="R425" s="67"/>
      <c r="S425" s="67"/>
      <c r="T425" s="67"/>
      <c r="U425" s="66"/>
      <c r="V425" s="66"/>
      <c r="W425" s="66"/>
      <c r="X425" s="85"/>
      <c r="AP425" t="str">
        <v/>
      </c>
    </row>
    <row r="426" spans="4:42" ht="15.75" x14ac:dyDescent="0.25">
      <c r="D426" s="3">
        <v>1</v>
      </c>
      <c r="F426" s="16" t="str" cm="1">
        <f t="array" ref="F4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6" s="31" cm="1">
        <f t="array" ref="G4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6" s="33" t="str">
        <f>_xlfn.IFNA(IF(MOD(HLG_05[[#This Row],[Rit]],
    _xlfn.XLOOKUP($G$2,Int_Sample[Ore],Int_Sample[Inc])) = 0, "YES", "NO"),"")</f>
        <v/>
      </c>
      <c r="I426" s="32" t="str">
        <f>TEXT(HLG_05[[#This Row],[Batch]],"000")&amp; " / " &amp; TEXT(HLG_05[[#This Row],[Rit]],"000")</f>
        <v>N/A / 000</v>
      </c>
      <c r="J426" s="34"/>
      <c r="K426" s="38"/>
      <c r="L426" s="35"/>
      <c r="M426" s="66"/>
      <c r="N426" s="66"/>
      <c r="O426" s="66"/>
      <c r="P426" s="66"/>
      <c r="Q426" s="66"/>
      <c r="R426" s="67"/>
      <c r="S426" s="67"/>
      <c r="T426" s="67"/>
      <c r="U426" s="66"/>
      <c r="V426" s="66"/>
      <c r="W426" s="66"/>
      <c r="X426" s="85"/>
      <c r="AP426" t="str">
        <v/>
      </c>
    </row>
    <row r="427" spans="4:42" ht="15.75" x14ac:dyDescent="0.25">
      <c r="D427" s="3">
        <v>1</v>
      </c>
      <c r="F427" s="16" t="str" cm="1">
        <f t="array" ref="F4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7" s="31" cm="1">
        <f t="array" ref="G4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7" s="33" t="str">
        <f>_xlfn.IFNA(IF(MOD(HLG_05[[#This Row],[Rit]],
    _xlfn.XLOOKUP($G$2,Int_Sample[Ore],Int_Sample[Inc])) = 0, "YES", "NO"),"")</f>
        <v/>
      </c>
      <c r="I427" s="32" t="str">
        <f>TEXT(HLG_05[[#This Row],[Batch]],"000")&amp; " / " &amp; TEXT(HLG_05[[#This Row],[Rit]],"000")</f>
        <v>N/A / 000</v>
      </c>
      <c r="J427" s="34"/>
      <c r="K427" s="38"/>
      <c r="L427" s="35"/>
      <c r="M427" s="66"/>
      <c r="N427" s="66"/>
      <c r="O427" s="66"/>
      <c r="P427" s="66"/>
      <c r="Q427" s="66"/>
      <c r="R427" s="67"/>
      <c r="S427" s="67"/>
      <c r="T427" s="67"/>
      <c r="U427" s="66"/>
      <c r="V427" s="66"/>
      <c r="W427" s="66"/>
      <c r="X427" s="85"/>
      <c r="AP427" t="str">
        <v/>
      </c>
    </row>
    <row r="428" spans="4:42" ht="15.75" x14ac:dyDescent="0.25">
      <c r="D428" s="3">
        <v>1</v>
      </c>
      <c r="F428" s="16" t="str" cm="1">
        <f t="array" ref="F4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8" s="31" cm="1">
        <f t="array" ref="G4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8" s="33" t="str">
        <f>_xlfn.IFNA(IF(MOD(HLG_05[[#This Row],[Rit]],
    _xlfn.XLOOKUP($G$2,Int_Sample[Ore],Int_Sample[Inc])) = 0, "YES", "NO"),"")</f>
        <v/>
      </c>
      <c r="I428" s="32" t="str">
        <f>TEXT(HLG_05[[#This Row],[Batch]],"000")&amp; " / " &amp; TEXT(HLG_05[[#This Row],[Rit]],"000")</f>
        <v>N/A / 000</v>
      </c>
      <c r="J428" s="34"/>
      <c r="K428" s="38"/>
      <c r="L428" s="35"/>
      <c r="M428" s="66"/>
      <c r="N428" s="66"/>
      <c r="O428" s="66"/>
      <c r="P428" s="66"/>
      <c r="Q428" s="66"/>
      <c r="R428" s="67"/>
      <c r="S428" s="67"/>
      <c r="T428" s="67"/>
      <c r="U428" s="66"/>
      <c r="V428" s="66"/>
      <c r="W428" s="66"/>
      <c r="X428" s="85"/>
      <c r="AP428" t="str">
        <v/>
      </c>
    </row>
    <row r="429" spans="4:42" ht="15.75" x14ac:dyDescent="0.25">
      <c r="D429" s="3">
        <v>1</v>
      </c>
      <c r="F429" s="16" t="str" cm="1">
        <f t="array" ref="F4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9" s="31" cm="1">
        <f t="array" ref="G4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9" s="33" t="str">
        <f>_xlfn.IFNA(IF(MOD(HLG_05[[#This Row],[Rit]],
    _xlfn.XLOOKUP($G$2,Int_Sample[Ore],Int_Sample[Inc])) = 0, "YES", "NO"),"")</f>
        <v/>
      </c>
      <c r="I429" s="32" t="str">
        <f>TEXT(HLG_05[[#This Row],[Batch]],"000")&amp; " / " &amp; TEXT(HLG_05[[#This Row],[Rit]],"000")</f>
        <v>N/A / 000</v>
      </c>
      <c r="J429" s="34"/>
      <c r="K429" s="38"/>
      <c r="L429" s="35"/>
      <c r="M429" s="66"/>
      <c r="N429" s="66"/>
      <c r="O429" s="66"/>
      <c r="P429" s="66"/>
      <c r="Q429" s="66"/>
      <c r="R429" s="67"/>
      <c r="S429" s="67"/>
      <c r="T429" s="67"/>
      <c r="U429" s="66"/>
      <c r="V429" s="66"/>
      <c r="W429" s="66"/>
      <c r="X429" s="85"/>
      <c r="AP429" t="str">
        <v/>
      </c>
    </row>
    <row r="430" spans="4:42" ht="15.75" x14ac:dyDescent="0.25">
      <c r="D430" s="3">
        <v>1</v>
      </c>
      <c r="F430" s="16" t="str" cm="1">
        <f t="array" ref="F4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0" s="31" cm="1">
        <f t="array" ref="G4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0" s="33" t="str">
        <f>_xlfn.IFNA(IF(MOD(HLG_05[[#This Row],[Rit]],
    _xlfn.XLOOKUP($G$2,Int_Sample[Ore],Int_Sample[Inc])) = 0, "YES", "NO"),"")</f>
        <v/>
      </c>
      <c r="I430" s="32" t="str">
        <f>TEXT(HLG_05[[#This Row],[Batch]],"000")&amp; " / " &amp; TEXT(HLG_05[[#This Row],[Rit]],"000")</f>
        <v>N/A / 000</v>
      </c>
      <c r="J430" s="34"/>
      <c r="K430" s="38"/>
      <c r="L430" s="35"/>
      <c r="M430" s="66"/>
      <c r="N430" s="66"/>
      <c r="O430" s="66"/>
      <c r="P430" s="66"/>
      <c r="Q430" s="66"/>
      <c r="R430" s="67"/>
      <c r="S430" s="67"/>
      <c r="T430" s="67"/>
      <c r="U430" s="66"/>
      <c r="V430" s="66"/>
      <c r="W430" s="66"/>
      <c r="X430" s="85"/>
      <c r="AP430" t="str">
        <v/>
      </c>
    </row>
    <row r="431" spans="4:42" ht="15.75" x14ac:dyDescent="0.25">
      <c r="D431" s="3">
        <v>1</v>
      </c>
      <c r="F431" s="16" t="str" cm="1">
        <f t="array" ref="F4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1" s="31" cm="1">
        <f t="array" ref="G4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1" s="33" t="str">
        <f>_xlfn.IFNA(IF(MOD(HLG_05[[#This Row],[Rit]],
    _xlfn.XLOOKUP($G$2,Int_Sample[Ore],Int_Sample[Inc])) = 0, "YES", "NO"),"")</f>
        <v/>
      </c>
      <c r="I431" s="32" t="str">
        <f>TEXT(HLG_05[[#This Row],[Batch]],"000")&amp; " / " &amp; TEXT(HLG_05[[#This Row],[Rit]],"000")</f>
        <v>N/A / 000</v>
      </c>
      <c r="J431" s="34"/>
      <c r="K431" s="38"/>
      <c r="L431" s="35"/>
      <c r="M431" s="66"/>
      <c r="N431" s="66"/>
      <c r="O431" s="66"/>
      <c r="P431" s="66"/>
      <c r="Q431" s="66"/>
      <c r="R431" s="67"/>
      <c r="S431" s="67"/>
      <c r="T431" s="67"/>
      <c r="U431" s="66"/>
      <c r="V431" s="66"/>
      <c r="W431" s="66"/>
      <c r="X431" s="85"/>
      <c r="AP431" t="str">
        <v/>
      </c>
    </row>
    <row r="432" spans="4:42" ht="15.75" x14ac:dyDescent="0.25">
      <c r="D432" s="3">
        <v>1</v>
      </c>
      <c r="F432" s="16" t="str" cm="1">
        <f t="array" ref="F4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2" s="31" cm="1">
        <f t="array" ref="G4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2" s="33" t="str">
        <f>_xlfn.IFNA(IF(MOD(HLG_05[[#This Row],[Rit]],
    _xlfn.XLOOKUP($G$2,Int_Sample[Ore],Int_Sample[Inc])) = 0, "YES", "NO"),"")</f>
        <v/>
      </c>
      <c r="I432" s="32" t="str">
        <f>TEXT(HLG_05[[#This Row],[Batch]],"000")&amp; " / " &amp; TEXT(HLG_05[[#This Row],[Rit]],"000")</f>
        <v>N/A / 000</v>
      </c>
      <c r="J432" s="34"/>
      <c r="K432" s="38"/>
      <c r="L432" s="35"/>
      <c r="M432" s="66"/>
      <c r="N432" s="66"/>
      <c r="O432" s="66"/>
      <c r="P432" s="66"/>
      <c r="Q432" s="66"/>
      <c r="R432" s="67"/>
      <c r="S432" s="67"/>
      <c r="T432" s="67"/>
      <c r="U432" s="66"/>
      <c r="V432" s="66"/>
      <c r="W432" s="66"/>
      <c r="X432" s="85"/>
      <c r="AP432" t="str">
        <v/>
      </c>
    </row>
    <row r="433" spans="4:42" ht="15.75" x14ac:dyDescent="0.25">
      <c r="D433" s="3">
        <v>1</v>
      </c>
      <c r="F433" s="16" t="str" cm="1">
        <f t="array" ref="F4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3" s="31" cm="1">
        <f t="array" ref="G4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3" s="33" t="str">
        <f>_xlfn.IFNA(IF(MOD(HLG_05[[#This Row],[Rit]],
    _xlfn.XLOOKUP($G$2,Int_Sample[Ore],Int_Sample[Inc])) = 0, "YES", "NO"),"")</f>
        <v/>
      </c>
      <c r="I433" s="32" t="str">
        <f>TEXT(HLG_05[[#This Row],[Batch]],"000")&amp; " / " &amp; TEXT(HLG_05[[#This Row],[Rit]],"000")</f>
        <v>N/A / 000</v>
      </c>
      <c r="J433" s="34"/>
      <c r="K433" s="38"/>
      <c r="L433" s="35"/>
      <c r="M433" s="66"/>
      <c r="N433" s="66"/>
      <c r="O433" s="66"/>
      <c r="P433" s="66"/>
      <c r="Q433" s="66"/>
      <c r="R433" s="67"/>
      <c r="S433" s="67"/>
      <c r="T433" s="67"/>
      <c r="U433" s="66"/>
      <c r="V433" s="66"/>
      <c r="W433" s="66"/>
      <c r="X433" s="85"/>
      <c r="AP433" t="str">
        <v/>
      </c>
    </row>
    <row r="434" spans="4:42" ht="15.75" x14ac:dyDescent="0.25">
      <c r="D434" s="3">
        <v>1</v>
      </c>
      <c r="F434" s="16" t="str" cm="1">
        <f t="array" ref="F4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4" s="31" cm="1">
        <f t="array" ref="G4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4" s="33" t="str">
        <f>_xlfn.IFNA(IF(MOD(HLG_05[[#This Row],[Rit]],
    _xlfn.XLOOKUP($G$2,Int_Sample[Ore],Int_Sample[Inc])) = 0, "YES", "NO"),"")</f>
        <v/>
      </c>
      <c r="I434" s="32" t="str">
        <f>TEXT(HLG_05[[#This Row],[Batch]],"000")&amp; " / " &amp; TEXT(HLG_05[[#This Row],[Rit]],"000")</f>
        <v>N/A / 000</v>
      </c>
      <c r="J434" s="34"/>
      <c r="K434" s="38"/>
      <c r="L434" s="35"/>
      <c r="M434" s="66"/>
      <c r="N434" s="66"/>
      <c r="O434" s="66"/>
      <c r="P434" s="66"/>
      <c r="Q434" s="66"/>
      <c r="R434" s="67"/>
      <c r="S434" s="67"/>
      <c r="T434" s="67"/>
      <c r="U434" s="66"/>
      <c r="V434" s="66"/>
      <c r="W434" s="66"/>
      <c r="X434" s="85"/>
      <c r="AP434" t="str">
        <v/>
      </c>
    </row>
    <row r="435" spans="4:42" ht="15.75" x14ac:dyDescent="0.25">
      <c r="D435" s="3">
        <v>1</v>
      </c>
      <c r="F435" s="16" t="str" cm="1">
        <f t="array" ref="F4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5" s="31" cm="1">
        <f t="array" ref="G4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5" s="33" t="str">
        <f>_xlfn.IFNA(IF(MOD(HLG_05[[#This Row],[Rit]],
    _xlfn.XLOOKUP($G$2,Int_Sample[Ore],Int_Sample[Inc])) = 0, "YES", "NO"),"")</f>
        <v/>
      </c>
      <c r="I435" s="32" t="str">
        <f>TEXT(HLG_05[[#This Row],[Batch]],"000")&amp; " / " &amp; TEXT(HLG_05[[#This Row],[Rit]],"000")</f>
        <v>N/A / 000</v>
      </c>
      <c r="J435" s="34"/>
      <c r="K435" s="38"/>
      <c r="L435" s="35"/>
      <c r="M435" s="66"/>
      <c r="N435" s="66"/>
      <c r="O435" s="66"/>
      <c r="P435" s="66"/>
      <c r="Q435" s="66"/>
      <c r="R435" s="67"/>
      <c r="S435" s="67"/>
      <c r="T435" s="67"/>
      <c r="U435" s="66"/>
      <c r="V435" s="66"/>
      <c r="W435" s="66"/>
      <c r="X435" s="85"/>
      <c r="AP435" t="str">
        <v/>
      </c>
    </row>
    <row r="436" spans="4:42" ht="15.75" x14ac:dyDescent="0.25">
      <c r="D436" s="3">
        <v>1</v>
      </c>
      <c r="F436" s="16" t="str" cm="1">
        <f t="array" ref="F4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6" s="31" cm="1">
        <f t="array" ref="G4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6" s="33" t="str">
        <f>_xlfn.IFNA(IF(MOD(HLG_05[[#This Row],[Rit]],
    _xlfn.XLOOKUP($G$2,Int_Sample[Ore],Int_Sample[Inc])) = 0, "YES", "NO"),"")</f>
        <v/>
      </c>
      <c r="I436" s="32" t="str">
        <f>TEXT(HLG_05[[#This Row],[Batch]],"000")&amp; " / " &amp; TEXT(HLG_05[[#This Row],[Rit]],"000")</f>
        <v>N/A / 000</v>
      </c>
      <c r="J436" s="34"/>
      <c r="K436" s="38"/>
      <c r="L436" s="35"/>
      <c r="M436" s="66"/>
      <c r="N436" s="66"/>
      <c r="O436" s="66"/>
      <c r="P436" s="66"/>
      <c r="Q436" s="66"/>
      <c r="R436" s="67"/>
      <c r="S436" s="67"/>
      <c r="T436" s="67"/>
      <c r="U436" s="66"/>
      <c r="V436" s="66"/>
      <c r="W436" s="66"/>
      <c r="X436" s="85"/>
      <c r="AP436" t="str">
        <v/>
      </c>
    </row>
    <row r="437" spans="4:42" ht="15.75" x14ac:dyDescent="0.25">
      <c r="D437" s="3">
        <v>1</v>
      </c>
      <c r="F437" s="16" t="str" cm="1">
        <f t="array" ref="F4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7" s="31" cm="1">
        <f t="array" ref="G4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7" s="33" t="str">
        <f>_xlfn.IFNA(IF(MOD(HLG_05[[#This Row],[Rit]],
    _xlfn.XLOOKUP($G$2,Int_Sample[Ore],Int_Sample[Inc])) = 0, "YES", "NO"),"")</f>
        <v/>
      </c>
      <c r="I437" s="32" t="str">
        <f>TEXT(HLG_05[[#This Row],[Batch]],"000")&amp; " / " &amp; TEXT(HLG_05[[#This Row],[Rit]],"000")</f>
        <v>N/A / 000</v>
      </c>
      <c r="J437" s="34"/>
      <c r="K437" s="38"/>
      <c r="L437" s="35"/>
      <c r="M437" s="66"/>
      <c r="N437" s="66"/>
      <c r="O437" s="66"/>
      <c r="P437" s="66"/>
      <c r="Q437" s="66"/>
      <c r="R437" s="67"/>
      <c r="S437" s="67"/>
      <c r="T437" s="67"/>
      <c r="U437" s="66"/>
      <c r="V437" s="66"/>
      <c r="W437" s="66"/>
      <c r="X437" s="85"/>
      <c r="AP437" t="str">
        <v/>
      </c>
    </row>
    <row r="438" spans="4:42" ht="15.75" x14ac:dyDescent="0.25">
      <c r="D438" s="3">
        <v>1</v>
      </c>
      <c r="F438" s="16" t="str" cm="1">
        <f t="array" ref="F4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8" s="31" cm="1">
        <f t="array" ref="G4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8" s="33" t="str">
        <f>_xlfn.IFNA(IF(MOD(HLG_05[[#This Row],[Rit]],
    _xlfn.XLOOKUP($G$2,Int_Sample[Ore],Int_Sample[Inc])) = 0, "YES", "NO"),"")</f>
        <v/>
      </c>
      <c r="I438" s="32" t="str">
        <f>TEXT(HLG_05[[#This Row],[Batch]],"000")&amp; " / " &amp; TEXT(HLG_05[[#This Row],[Rit]],"000")</f>
        <v>N/A / 000</v>
      </c>
      <c r="J438" s="34"/>
      <c r="K438" s="38"/>
      <c r="L438" s="35"/>
      <c r="M438" s="66"/>
      <c r="N438" s="66"/>
      <c r="O438" s="66"/>
      <c r="P438" s="66"/>
      <c r="Q438" s="66"/>
      <c r="R438" s="67"/>
      <c r="S438" s="67"/>
      <c r="T438" s="67"/>
      <c r="U438" s="66"/>
      <c r="V438" s="66"/>
      <c r="W438" s="66"/>
      <c r="X438" s="85"/>
      <c r="AP438" t="str">
        <v/>
      </c>
    </row>
    <row r="439" spans="4:42" ht="15.75" x14ac:dyDescent="0.25">
      <c r="D439" s="3">
        <v>1</v>
      </c>
      <c r="F439" s="16" t="str" cm="1">
        <f t="array" ref="F4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9" s="31" cm="1">
        <f t="array" ref="G4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9" s="33" t="str">
        <f>_xlfn.IFNA(IF(MOD(HLG_05[[#This Row],[Rit]],
    _xlfn.XLOOKUP($G$2,Int_Sample[Ore],Int_Sample[Inc])) = 0, "YES", "NO"),"")</f>
        <v/>
      </c>
      <c r="I439" s="32" t="str">
        <f>TEXT(HLG_05[[#This Row],[Batch]],"000")&amp; " / " &amp; TEXT(HLG_05[[#This Row],[Rit]],"000")</f>
        <v>N/A / 000</v>
      </c>
      <c r="J439" s="34"/>
      <c r="K439" s="38"/>
      <c r="L439" s="35"/>
      <c r="M439" s="66"/>
      <c r="N439" s="66"/>
      <c r="O439" s="66"/>
      <c r="P439" s="66"/>
      <c r="Q439" s="66"/>
      <c r="R439" s="67"/>
      <c r="S439" s="67"/>
      <c r="T439" s="67"/>
      <c r="U439" s="66"/>
      <c r="V439" s="66"/>
      <c r="W439" s="66"/>
      <c r="X439" s="85"/>
      <c r="AP439" t="str">
        <v/>
      </c>
    </row>
    <row r="440" spans="4:42" ht="15.75" x14ac:dyDescent="0.25">
      <c r="D440" s="3">
        <v>1</v>
      </c>
      <c r="F440" s="16" t="str" cm="1">
        <f t="array" ref="F4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0" s="31" cm="1">
        <f t="array" ref="G4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0" s="33" t="str">
        <f>_xlfn.IFNA(IF(MOD(HLG_05[[#This Row],[Rit]],
    _xlfn.XLOOKUP($G$2,Int_Sample[Ore],Int_Sample[Inc])) = 0, "YES", "NO"),"")</f>
        <v/>
      </c>
      <c r="I440" s="32" t="str">
        <f>TEXT(HLG_05[[#This Row],[Batch]],"000")&amp; " / " &amp; TEXT(HLG_05[[#This Row],[Rit]],"000")</f>
        <v>N/A / 000</v>
      </c>
      <c r="J440" s="34"/>
      <c r="K440" s="38"/>
      <c r="L440" s="35"/>
      <c r="M440" s="66"/>
      <c r="N440" s="66"/>
      <c r="O440" s="66"/>
      <c r="P440" s="66"/>
      <c r="Q440" s="66"/>
      <c r="R440" s="67"/>
      <c r="S440" s="67"/>
      <c r="T440" s="67"/>
      <c r="U440" s="66"/>
      <c r="V440" s="66"/>
      <c r="W440" s="66"/>
      <c r="X440" s="85"/>
      <c r="AP440" t="str">
        <v/>
      </c>
    </row>
    <row r="441" spans="4:42" ht="15.75" x14ac:dyDescent="0.25">
      <c r="D441" s="3">
        <v>1</v>
      </c>
      <c r="F441" s="16" t="str" cm="1">
        <f t="array" ref="F4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1" s="31" cm="1">
        <f t="array" ref="G4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1" s="33" t="str">
        <f>_xlfn.IFNA(IF(MOD(HLG_05[[#This Row],[Rit]],
    _xlfn.XLOOKUP($G$2,Int_Sample[Ore],Int_Sample[Inc])) = 0, "YES", "NO"),"")</f>
        <v/>
      </c>
      <c r="I441" s="32" t="str">
        <f>TEXT(HLG_05[[#This Row],[Batch]],"000")&amp; " / " &amp; TEXT(HLG_05[[#This Row],[Rit]],"000")</f>
        <v>N/A / 000</v>
      </c>
      <c r="J441" s="34"/>
      <c r="K441" s="38"/>
      <c r="L441" s="35"/>
      <c r="M441" s="66"/>
      <c r="N441" s="66"/>
      <c r="O441" s="66"/>
      <c r="P441" s="66"/>
      <c r="Q441" s="66"/>
      <c r="R441" s="67"/>
      <c r="S441" s="67"/>
      <c r="T441" s="67"/>
      <c r="U441" s="66"/>
      <c r="V441" s="66"/>
      <c r="W441" s="66"/>
      <c r="X441" s="85"/>
      <c r="AP441" t="str">
        <v/>
      </c>
    </row>
    <row r="442" spans="4:42" ht="15.75" x14ac:dyDescent="0.25">
      <c r="D442" s="3">
        <v>1</v>
      </c>
      <c r="F442" s="16" t="str" cm="1">
        <f t="array" ref="F4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2" s="31" cm="1">
        <f t="array" ref="G4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2" s="33" t="str">
        <f>_xlfn.IFNA(IF(MOD(HLG_05[[#This Row],[Rit]],
    _xlfn.XLOOKUP($G$2,Int_Sample[Ore],Int_Sample[Inc])) = 0, "YES", "NO"),"")</f>
        <v/>
      </c>
      <c r="I442" s="32" t="str">
        <f>TEXT(HLG_05[[#This Row],[Batch]],"000")&amp; " / " &amp; TEXT(HLG_05[[#This Row],[Rit]],"000")</f>
        <v>N/A / 000</v>
      </c>
      <c r="J442" s="34"/>
      <c r="K442" s="38"/>
      <c r="L442" s="35"/>
      <c r="M442" s="66"/>
      <c r="N442" s="66"/>
      <c r="O442" s="66"/>
      <c r="P442" s="66"/>
      <c r="Q442" s="66"/>
      <c r="R442" s="67"/>
      <c r="S442" s="67"/>
      <c r="T442" s="67"/>
      <c r="U442" s="66"/>
      <c r="V442" s="66"/>
      <c r="W442" s="66"/>
      <c r="X442" s="85"/>
      <c r="AP442" t="str">
        <v/>
      </c>
    </row>
    <row r="443" spans="4:42" ht="15.75" x14ac:dyDescent="0.25">
      <c r="D443" s="3">
        <v>1</v>
      </c>
      <c r="F443" s="16" t="str" cm="1">
        <f t="array" ref="F4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3" s="31" cm="1">
        <f t="array" ref="G4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3" s="33" t="str">
        <f>_xlfn.IFNA(IF(MOD(HLG_05[[#This Row],[Rit]],
    _xlfn.XLOOKUP($G$2,Int_Sample[Ore],Int_Sample[Inc])) = 0, "YES", "NO"),"")</f>
        <v/>
      </c>
      <c r="I443" s="32" t="str">
        <f>TEXT(HLG_05[[#This Row],[Batch]],"000")&amp; " / " &amp; TEXT(HLG_05[[#This Row],[Rit]],"000")</f>
        <v>N/A / 000</v>
      </c>
      <c r="J443" s="34"/>
      <c r="K443" s="38"/>
      <c r="L443" s="35"/>
      <c r="M443" s="66"/>
      <c r="N443" s="66"/>
      <c r="O443" s="66"/>
      <c r="P443" s="66"/>
      <c r="Q443" s="66"/>
      <c r="R443" s="67"/>
      <c r="S443" s="67"/>
      <c r="T443" s="67"/>
      <c r="U443" s="66"/>
      <c r="V443" s="66"/>
      <c r="W443" s="66"/>
      <c r="X443" s="85"/>
      <c r="AP443" t="str">
        <v/>
      </c>
    </row>
    <row r="444" spans="4:42" ht="15.75" x14ac:dyDescent="0.25">
      <c r="D444" s="3">
        <v>1</v>
      </c>
      <c r="F444" s="16" t="str" cm="1">
        <f t="array" ref="F4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4" s="31" cm="1">
        <f t="array" ref="G4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4" s="33" t="str">
        <f>_xlfn.IFNA(IF(MOD(HLG_05[[#This Row],[Rit]],
    _xlfn.XLOOKUP($G$2,Int_Sample[Ore],Int_Sample[Inc])) = 0, "YES", "NO"),"")</f>
        <v/>
      </c>
      <c r="I444" s="32" t="str">
        <f>TEXT(HLG_05[[#This Row],[Batch]],"000")&amp; " / " &amp; TEXT(HLG_05[[#This Row],[Rit]],"000")</f>
        <v>N/A / 000</v>
      </c>
      <c r="J444" s="34"/>
      <c r="K444" s="38"/>
      <c r="L444" s="35"/>
      <c r="M444" s="66"/>
      <c r="N444" s="66"/>
      <c r="O444" s="66"/>
      <c r="P444" s="66"/>
      <c r="Q444" s="66"/>
      <c r="R444" s="67"/>
      <c r="S444" s="67"/>
      <c r="T444" s="67"/>
      <c r="U444" s="66"/>
      <c r="V444" s="66"/>
      <c r="W444" s="66"/>
      <c r="X444" s="85"/>
      <c r="AP444" t="str">
        <v/>
      </c>
    </row>
    <row r="445" spans="4:42" ht="15.75" x14ac:dyDescent="0.25">
      <c r="D445" s="3">
        <v>1</v>
      </c>
      <c r="F445" s="16" t="str" cm="1">
        <f t="array" ref="F4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5" s="31" cm="1">
        <f t="array" ref="G4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5" s="33" t="str">
        <f>_xlfn.IFNA(IF(MOD(HLG_05[[#This Row],[Rit]],
    _xlfn.XLOOKUP($G$2,Int_Sample[Ore],Int_Sample[Inc])) = 0, "YES", "NO"),"")</f>
        <v/>
      </c>
      <c r="I445" s="32" t="str">
        <f>TEXT(HLG_05[[#This Row],[Batch]],"000")&amp; " / " &amp; TEXT(HLG_05[[#This Row],[Rit]],"000")</f>
        <v>N/A / 000</v>
      </c>
      <c r="J445" s="34"/>
      <c r="K445" s="38"/>
      <c r="L445" s="35"/>
      <c r="M445" s="66"/>
      <c r="N445" s="66"/>
      <c r="O445" s="66"/>
      <c r="P445" s="66"/>
      <c r="Q445" s="66"/>
      <c r="R445" s="67"/>
      <c r="S445" s="67"/>
      <c r="T445" s="67"/>
      <c r="U445" s="66"/>
      <c r="V445" s="66"/>
      <c r="W445" s="66"/>
      <c r="X445" s="85"/>
      <c r="AP445" t="str">
        <v/>
      </c>
    </row>
    <row r="446" spans="4:42" ht="15.75" x14ac:dyDescent="0.25">
      <c r="D446" s="3">
        <v>1</v>
      </c>
      <c r="F446" s="16" t="str" cm="1">
        <f t="array" ref="F4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6" s="31" cm="1">
        <f t="array" ref="G4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6" s="33" t="str">
        <f>_xlfn.IFNA(IF(MOD(HLG_05[[#This Row],[Rit]],
    _xlfn.XLOOKUP($G$2,Int_Sample[Ore],Int_Sample[Inc])) = 0, "YES", "NO"),"")</f>
        <v/>
      </c>
      <c r="I446" s="32" t="str">
        <f>TEXT(HLG_05[[#This Row],[Batch]],"000")&amp; " / " &amp; TEXT(HLG_05[[#This Row],[Rit]],"000")</f>
        <v>N/A / 000</v>
      </c>
      <c r="J446" s="34"/>
      <c r="K446" s="38"/>
      <c r="L446" s="35"/>
      <c r="M446" s="66"/>
      <c r="N446" s="66"/>
      <c r="O446" s="66"/>
      <c r="P446" s="66"/>
      <c r="Q446" s="66"/>
      <c r="R446" s="67"/>
      <c r="S446" s="67"/>
      <c r="T446" s="67"/>
      <c r="U446" s="66"/>
      <c r="V446" s="66"/>
      <c r="W446" s="66"/>
      <c r="X446" s="85"/>
      <c r="AP446" t="str">
        <v/>
      </c>
    </row>
    <row r="447" spans="4:42" ht="15.75" x14ac:dyDescent="0.25">
      <c r="D447" s="3">
        <v>1</v>
      </c>
      <c r="F447" s="16" t="str" cm="1">
        <f t="array" ref="F4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7" s="31" cm="1">
        <f t="array" ref="G4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7" s="33" t="str">
        <f>_xlfn.IFNA(IF(MOD(HLG_05[[#This Row],[Rit]],
    _xlfn.XLOOKUP($G$2,Int_Sample[Ore],Int_Sample[Inc])) = 0, "YES", "NO"),"")</f>
        <v/>
      </c>
      <c r="I447" s="32" t="str">
        <f>TEXT(HLG_05[[#This Row],[Batch]],"000")&amp; " / " &amp; TEXT(HLG_05[[#This Row],[Rit]],"000")</f>
        <v>N/A / 000</v>
      </c>
      <c r="J447" s="34"/>
      <c r="K447" s="38"/>
      <c r="L447" s="35"/>
      <c r="M447" s="66"/>
      <c r="N447" s="66"/>
      <c r="O447" s="66"/>
      <c r="P447" s="66"/>
      <c r="Q447" s="66"/>
      <c r="R447" s="67"/>
      <c r="S447" s="67"/>
      <c r="T447" s="67"/>
      <c r="U447" s="66"/>
      <c r="V447" s="66"/>
      <c r="W447" s="66"/>
      <c r="X447" s="85"/>
      <c r="AP447" t="str">
        <v/>
      </c>
    </row>
    <row r="448" spans="4:42" ht="15.75" x14ac:dyDescent="0.25">
      <c r="D448" s="3">
        <v>1</v>
      </c>
      <c r="F448" s="16" t="str" cm="1">
        <f t="array" ref="F4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8" s="31" cm="1">
        <f t="array" ref="G4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8" s="33" t="str">
        <f>_xlfn.IFNA(IF(MOD(HLG_05[[#This Row],[Rit]],
    _xlfn.XLOOKUP($G$2,Int_Sample[Ore],Int_Sample[Inc])) = 0, "YES", "NO"),"")</f>
        <v/>
      </c>
      <c r="I448" s="32" t="str">
        <f>TEXT(HLG_05[[#This Row],[Batch]],"000")&amp; " / " &amp; TEXT(HLG_05[[#This Row],[Rit]],"000")</f>
        <v>N/A / 000</v>
      </c>
      <c r="J448" s="34"/>
      <c r="K448" s="38"/>
      <c r="L448" s="35"/>
      <c r="M448" s="66"/>
      <c r="N448" s="66"/>
      <c r="O448" s="66"/>
      <c r="P448" s="66"/>
      <c r="Q448" s="66"/>
      <c r="R448" s="67"/>
      <c r="S448" s="67"/>
      <c r="T448" s="67"/>
      <c r="U448" s="66"/>
      <c r="V448" s="66"/>
      <c r="W448" s="66"/>
      <c r="X448" s="85"/>
      <c r="AP448" t="str">
        <v/>
      </c>
    </row>
    <row r="449" spans="4:42" ht="15.75" x14ac:dyDescent="0.25">
      <c r="D449" s="3">
        <v>1</v>
      </c>
      <c r="F449" s="16" t="str" cm="1">
        <f t="array" ref="F4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9" s="31" cm="1">
        <f t="array" ref="G4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9" s="33" t="str">
        <f>_xlfn.IFNA(IF(MOD(HLG_05[[#This Row],[Rit]],
    _xlfn.XLOOKUP($G$2,Int_Sample[Ore],Int_Sample[Inc])) = 0, "YES", "NO"),"")</f>
        <v/>
      </c>
      <c r="I449" s="32" t="str">
        <f>TEXT(HLG_05[[#This Row],[Batch]],"000")&amp; " / " &amp; TEXT(HLG_05[[#This Row],[Rit]],"000")</f>
        <v>N/A / 000</v>
      </c>
      <c r="J449" s="34"/>
      <c r="K449" s="38"/>
      <c r="L449" s="35"/>
      <c r="M449" s="66"/>
      <c r="N449" s="66"/>
      <c r="O449" s="66"/>
      <c r="P449" s="66"/>
      <c r="Q449" s="66"/>
      <c r="R449" s="67"/>
      <c r="S449" s="67"/>
      <c r="T449" s="67"/>
      <c r="U449" s="66"/>
      <c r="V449" s="66"/>
      <c r="W449" s="66"/>
      <c r="X449" s="85"/>
      <c r="AP449" t="str">
        <v/>
      </c>
    </row>
    <row r="450" spans="4:42" ht="15.75" x14ac:dyDescent="0.25">
      <c r="D450" s="3">
        <v>1</v>
      </c>
      <c r="F450" s="16" t="str" cm="1">
        <f t="array" ref="F4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0" s="31" cm="1">
        <f t="array" ref="G4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0" s="33" t="str">
        <f>_xlfn.IFNA(IF(MOD(HLG_05[[#This Row],[Rit]],
    _xlfn.XLOOKUP($G$2,Int_Sample[Ore],Int_Sample[Inc])) = 0, "YES", "NO"),"")</f>
        <v/>
      </c>
      <c r="I450" s="32" t="str">
        <f>TEXT(HLG_05[[#This Row],[Batch]],"000")&amp; " / " &amp; TEXT(HLG_05[[#This Row],[Rit]],"000")</f>
        <v>N/A / 000</v>
      </c>
      <c r="J450" s="34"/>
      <c r="K450" s="38"/>
      <c r="L450" s="35"/>
      <c r="M450" s="66"/>
      <c r="N450" s="66"/>
      <c r="O450" s="66"/>
      <c r="P450" s="66"/>
      <c r="Q450" s="66"/>
      <c r="R450" s="67"/>
      <c r="S450" s="67"/>
      <c r="T450" s="67"/>
      <c r="U450" s="66"/>
      <c r="V450" s="66"/>
      <c r="W450" s="66"/>
      <c r="X450" s="85"/>
      <c r="AP450" t="str">
        <v/>
      </c>
    </row>
    <row r="451" spans="4:42" ht="15.75" x14ac:dyDescent="0.25">
      <c r="D451" s="3">
        <v>1</v>
      </c>
      <c r="F451" s="16" t="str" cm="1">
        <f t="array" ref="F4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1" s="31" cm="1">
        <f t="array" ref="G4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1" s="33" t="str">
        <f>_xlfn.IFNA(IF(MOD(HLG_05[[#This Row],[Rit]],
    _xlfn.XLOOKUP($G$2,Int_Sample[Ore],Int_Sample[Inc])) = 0, "YES", "NO"),"")</f>
        <v/>
      </c>
      <c r="I451" s="32" t="str">
        <f>TEXT(HLG_05[[#This Row],[Batch]],"000")&amp; " / " &amp; TEXT(HLG_05[[#This Row],[Rit]],"000")</f>
        <v>N/A / 000</v>
      </c>
      <c r="J451" s="34"/>
      <c r="K451" s="38"/>
      <c r="L451" s="35"/>
      <c r="M451" s="66"/>
      <c r="N451" s="66"/>
      <c r="O451" s="66"/>
      <c r="P451" s="66"/>
      <c r="Q451" s="66"/>
      <c r="R451" s="67"/>
      <c r="S451" s="67"/>
      <c r="T451" s="67"/>
      <c r="U451" s="66"/>
      <c r="V451" s="66"/>
      <c r="W451" s="66"/>
      <c r="X451" s="85"/>
      <c r="AP451" t="str">
        <v/>
      </c>
    </row>
    <row r="452" spans="4:42" ht="15.75" x14ac:dyDescent="0.25">
      <c r="D452" s="3">
        <v>1</v>
      </c>
      <c r="F452" s="16" t="str" cm="1">
        <f t="array" ref="F4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2" s="31" cm="1">
        <f t="array" ref="G4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2" s="33" t="str">
        <f>_xlfn.IFNA(IF(MOD(HLG_05[[#This Row],[Rit]],
    _xlfn.XLOOKUP($G$2,Int_Sample[Ore],Int_Sample[Inc])) = 0, "YES", "NO"),"")</f>
        <v/>
      </c>
      <c r="I452" s="32" t="str">
        <f>TEXT(HLG_05[[#This Row],[Batch]],"000")&amp; " / " &amp; TEXT(HLG_05[[#This Row],[Rit]],"000")</f>
        <v>N/A / 000</v>
      </c>
      <c r="J452" s="34"/>
      <c r="K452" s="38"/>
      <c r="L452" s="35"/>
      <c r="M452" s="66"/>
      <c r="N452" s="66"/>
      <c r="O452" s="66"/>
      <c r="P452" s="66"/>
      <c r="Q452" s="66"/>
      <c r="R452" s="67"/>
      <c r="S452" s="67"/>
      <c r="T452" s="67"/>
      <c r="U452" s="66"/>
      <c r="V452" s="66"/>
      <c r="W452" s="66"/>
      <c r="X452" s="85"/>
      <c r="AP452" t="str">
        <v/>
      </c>
    </row>
    <row r="453" spans="4:42" ht="15.75" x14ac:dyDescent="0.25">
      <c r="D453" s="3">
        <v>1</v>
      </c>
      <c r="F453" s="16" t="str" cm="1">
        <f t="array" ref="F4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3" s="31" cm="1">
        <f t="array" ref="G4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3" s="33" t="str">
        <f>_xlfn.IFNA(IF(MOD(HLG_05[[#This Row],[Rit]],
    _xlfn.XLOOKUP($G$2,Int_Sample[Ore],Int_Sample[Inc])) = 0, "YES", "NO"),"")</f>
        <v/>
      </c>
      <c r="I453" s="32" t="str">
        <f>TEXT(HLG_05[[#This Row],[Batch]],"000")&amp; " / " &amp; TEXT(HLG_05[[#This Row],[Rit]],"000")</f>
        <v>N/A / 000</v>
      </c>
      <c r="J453" s="34"/>
      <c r="K453" s="38"/>
      <c r="L453" s="35"/>
      <c r="M453" s="66"/>
      <c r="N453" s="66"/>
      <c r="O453" s="66"/>
      <c r="P453" s="66"/>
      <c r="Q453" s="66"/>
      <c r="R453" s="67"/>
      <c r="S453" s="67"/>
      <c r="T453" s="67"/>
      <c r="U453" s="66"/>
      <c r="V453" s="66"/>
      <c r="W453" s="66"/>
      <c r="X453" s="85"/>
      <c r="AP453" t="str">
        <v/>
      </c>
    </row>
    <row r="454" spans="4:42" ht="15.75" x14ac:dyDescent="0.25">
      <c r="D454" s="3">
        <v>1</v>
      </c>
      <c r="F454" s="16" t="str" cm="1">
        <f t="array" ref="F4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4" s="31" cm="1">
        <f t="array" ref="G4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4" s="33" t="str">
        <f>_xlfn.IFNA(IF(MOD(HLG_05[[#This Row],[Rit]],
    _xlfn.XLOOKUP($G$2,Int_Sample[Ore],Int_Sample[Inc])) = 0, "YES", "NO"),"")</f>
        <v/>
      </c>
      <c r="I454" s="32" t="str">
        <f>TEXT(HLG_05[[#This Row],[Batch]],"000")&amp; " / " &amp; TEXT(HLG_05[[#This Row],[Rit]],"000")</f>
        <v>N/A / 000</v>
      </c>
      <c r="J454" s="34"/>
      <c r="K454" s="38"/>
      <c r="L454" s="35"/>
      <c r="M454" s="66"/>
      <c r="N454" s="66"/>
      <c r="O454" s="66"/>
      <c r="P454" s="66"/>
      <c r="Q454" s="66"/>
      <c r="R454" s="67"/>
      <c r="S454" s="67"/>
      <c r="T454" s="67"/>
      <c r="U454" s="66"/>
      <c r="V454" s="66"/>
      <c r="W454" s="66"/>
      <c r="X454" s="85"/>
      <c r="AP454" t="str">
        <v/>
      </c>
    </row>
    <row r="455" spans="4:42" ht="15.75" x14ac:dyDescent="0.25">
      <c r="D455" s="3">
        <v>1</v>
      </c>
      <c r="F455" s="16" t="str" cm="1">
        <f t="array" ref="F4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5" s="31" cm="1">
        <f t="array" ref="G4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5" s="33" t="str">
        <f>_xlfn.IFNA(IF(MOD(HLG_05[[#This Row],[Rit]],
    _xlfn.XLOOKUP($G$2,Int_Sample[Ore],Int_Sample[Inc])) = 0, "YES", "NO"),"")</f>
        <v/>
      </c>
      <c r="I455" s="32" t="str">
        <f>TEXT(HLG_05[[#This Row],[Batch]],"000")&amp; " / " &amp; TEXT(HLG_05[[#This Row],[Rit]],"000")</f>
        <v>N/A / 000</v>
      </c>
      <c r="J455" s="34"/>
      <c r="K455" s="38"/>
      <c r="L455" s="35"/>
      <c r="M455" s="66"/>
      <c r="N455" s="66"/>
      <c r="O455" s="66"/>
      <c r="P455" s="66"/>
      <c r="Q455" s="66"/>
      <c r="R455" s="67"/>
      <c r="S455" s="67"/>
      <c r="T455" s="67"/>
      <c r="U455" s="66"/>
      <c r="V455" s="66"/>
      <c r="W455" s="66"/>
      <c r="X455" s="85"/>
      <c r="AP455" t="str">
        <v/>
      </c>
    </row>
    <row r="456" spans="4:42" ht="15.75" x14ac:dyDescent="0.25">
      <c r="D456" s="3">
        <v>1</v>
      </c>
      <c r="F456" s="16" t="str" cm="1">
        <f t="array" ref="F4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6" s="31" cm="1">
        <f t="array" ref="G4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6" s="33" t="str">
        <f>_xlfn.IFNA(IF(MOD(HLG_05[[#This Row],[Rit]],
    _xlfn.XLOOKUP($G$2,Int_Sample[Ore],Int_Sample[Inc])) = 0, "YES", "NO"),"")</f>
        <v/>
      </c>
      <c r="I456" s="32" t="str">
        <f>TEXT(HLG_05[[#This Row],[Batch]],"000")&amp; " / " &amp; TEXT(HLG_05[[#This Row],[Rit]],"000")</f>
        <v>N/A / 000</v>
      </c>
      <c r="J456" s="34"/>
      <c r="K456" s="38"/>
      <c r="L456" s="35"/>
      <c r="M456" s="66"/>
      <c r="N456" s="66"/>
      <c r="O456" s="66"/>
      <c r="P456" s="66"/>
      <c r="Q456" s="66"/>
      <c r="R456" s="67"/>
      <c r="S456" s="67"/>
      <c r="T456" s="67"/>
      <c r="U456" s="66"/>
      <c r="V456" s="66"/>
      <c r="W456" s="66"/>
      <c r="X456" s="85"/>
      <c r="AP456" t="str">
        <v/>
      </c>
    </row>
    <row r="457" spans="4:42" ht="15.75" x14ac:dyDescent="0.25">
      <c r="D457" s="3">
        <v>1</v>
      </c>
      <c r="F457" s="16" t="str" cm="1">
        <f t="array" ref="F4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7" s="31" cm="1">
        <f t="array" ref="G4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7" s="33" t="str">
        <f>_xlfn.IFNA(IF(MOD(HLG_05[[#This Row],[Rit]],
    _xlfn.XLOOKUP($G$2,Int_Sample[Ore],Int_Sample[Inc])) = 0, "YES", "NO"),"")</f>
        <v/>
      </c>
      <c r="I457" s="32" t="str">
        <f>TEXT(HLG_05[[#This Row],[Batch]],"000")&amp; " / " &amp; TEXT(HLG_05[[#This Row],[Rit]],"000")</f>
        <v>N/A / 000</v>
      </c>
      <c r="J457" s="34"/>
      <c r="K457" s="38"/>
      <c r="L457" s="35"/>
      <c r="M457" s="66"/>
      <c r="N457" s="66"/>
      <c r="O457" s="66"/>
      <c r="P457" s="66"/>
      <c r="Q457" s="66"/>
      <c r="R457" s="67"/>
      <c r="S457" s="67"/>
      <c r="T457" s="67"/>
      <c r="U457" s="66"/>
      <c r="V457" s="66"/>
      <c r="W457" s="66"/>
      <c r="X457" s="85"/>
      <c r="AP457" t="str">
        <v/>
      </c>
    </row>
    <row r="458" spans="4:42" ht="15.75" x14ac:dyDescent="0.25">
      <c r="D458" s="3">
        <v>1</v>
      </c>
      <c r="F458" s="16" t="str" cm="1">
        <f t="array" ref="F4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8" s="31" cm="1">
        <f t="array" ref="G4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8" s="33" t="str">
        <f>_xlfn.IFNA(IF(MOD(HLG_05[[#This Row],[Rit]],
    _xlfn.XLOOKUP($G$2,Int_Sample[Ore],Int_Sample[Inc])) = 0, "YES", "NO"),"")</f>
        <v/>
      </c>
      <c r="I458" s="32" t="str">
        <f>TEXT(HLG_05[[#This Row],[Batch]],"000")&amp; " / " &amp; TEXT(HLG_05[[#This Row],[Rit]],"000")</f>
        <v>N/A / 000</v>
      </c>
      <c r="J458" s="34"/>
      <c r="K458" s="38"/>
      <c r="L458" s="35"/>
      <c r="M458" s="66"/>
      <c r="N458" s="66"/>
      <c r="O458" s="66"/>
      <c r="P458" s="66"/>
      <c r="Q458" s="66"/>
      <c r="R458" s="67"/>
      <c r="S458" s="67"/>
      <c r="T458" s="67"/>
      <c r="U458" s="66"/>
      <c r="V458" s="66"/>
      <c r="W458" s="66"/>
      <c r="X458" s="85"/>
      <c r="AP458" t="str">
        <v/>
      </c>
    </row>
    <row r="459" spans="4:42" ht="15.75" x14ac:dyDescent="0.25">
      <c r="D459" s="3">
        <v>1</v>
      </c>
      <c r="F459" s="16" t="str" cm="1">
        <f t="array" ref="F4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9" s="31" cm="1">
        <f t="array" ref="G4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9" s="33" t="str">
        <f>_xlfn.IFNA(IF(MOD(HLG_05[[#This Row],[Rit]],
    _xlfn.XLOOKUP($G$2,Int_Sample[Ore],Int_Sample[Inc])) = 0, "YES", "NO"),"")</f>
        <v/>
      </c>
      <c r="I459" s="32" t="str">
        <f>TEXT(HLG_05[[#This Row],[Batch]],"000")&amp; " / " &amp; TEXT(HLG_05[[#This Row],[Rit]],"000")</f>
        <v>N/A / 000</v>
      </c>
      <c r="J459" s="34"/>
      <c r="K459" s="38"/>
      <c r="L459" s="35"/>
      <c r="M459" s="66"/>
      <c r="N459" s="66"/>
      <c r="O459" s="66"/>
      <c r="P459" s="66"/>
      <c r="Q459" s="66"/>
      <c r="R459" s="67"/>
      <c r="S459" s="67"/>
      <c r="T459" s="67"/>
      <c r="U459" s="66"/>
      <c r="V459" s="66"/>
      <c r="W459" s="66"/>
      <c r="X459" s="85"/>
      <c r="AP459" t="str">
        <v/>
      </c>
    </row>
    <row r="460" spans="4:42" ht="15.75" x14ac:dyDescent="0.25">
      <c r="D460" s="3">
        <v>1</v>
      </c>
      <c r="F460" s="16" t="str" cm="1">
        <f t="array" ref="F4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0" s="31" cm="1">
        <f t="array" ref="G4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0" s="33" t="str">
        <f>_xlfn.IFNA(IF(MOD(HLG_05[[#This Row],[Rit]],
    _xlfn.XLOOKUP($G$2,Int_Sample[Ore],Int_Sample[Inc])) = 0, "YES", "NO"),"")</f>
        <v/>
      </c>
      <c r="I460" s="32" t="str">
        <f>TEXT(HLG_05[[#This Row],[Batch]],"000")&amp; " / " &amp; TEXT(HLG_05[[#This Row],[Rit]],"000")</f>
        <v>N/A / 000</v>
      </c>
      <c r="J460" s="34"/>
      <c r="K460" s="38"/>
      <c r="L460" s="35"/>
      <c r="M460" s="66"/>
      <c r="N460" s="66"/>
      <c r="O460" s="66"/>
      <c r="P460" s="66"/>
      <c r="Q460" s="66"/>
      <c r="R460" s="67"/>
      <c r="S460" s="67"/>
      <c r="T460" s="67"/>
      <c r="U460" s="66"/>
      <c r="V460" s="66"/>
      <c r="W460" s="66"/>
      <c r="X460" s="85"/>
      <c r="AP460" t="str">
        <v/>
      </c>
    </row>
    <row r="461" spans="4:42" ht="15.75" x14ac:dyDescent="0.25">
      <c r="D461" s="3">
        <v>1</v>
      </c>
      <c r="F461" s="16" t="str" cm="1">
        <f t="array" ref="F4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1" s="31" cm="1">
        <f t="array" ref="G4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1" s="33" t="str">
        <f>_xlfn.IFNA(IF(MOD(HLG_05[[#This Row],[Rit]],
    _xlfn.XLOOKUP($G$2,Int_Sample[Ore],Int_Sample[Inc])) = 0, "YES", "NO"),"")</f>
        <v/>
      </c>
      <c r="I461" s="32" t="str">
        <f>TEXT(HLG_05[[#This Row],[Batch]],"000")&amp; " / " &amp; TEXT(HLG_05[[#This Row],[Rit]],"000")</f>
        <v>N/A / 000</v>
      </c>
      <c r="J461" s="34"/>
      <c r="K461" s="38"/>
      <c r="L461" s="35"/>
      <c r="M461" s="66"/>
      <c r="N461" s="66"/>
      <c r="O461" s="66"/>
      <c r="P461" s="66"/>
      <c r="Q461" s="66"/>
      <c r="R461" s="67"/>
      <c r="S461" s="67"/>
      <c r="T461" s="67"/>
      <c r="U461" s="66"/>
      <c r="V461" s="66"/>
      <c r="W461" s="66"/>
      <c r="X461" s="85"/>
      <c r="AP461" t="str">
        <v/>
      </c>
    </row>
    <row r="462" spans="4:42" ht="15.75" x14ac:dyDescent="0.25">
      <c r="D462" s="3">
        <v>1</v>
      </c>
      <c r="F462" s="16" t="str" cm="1">
        <f t="array" ref="F4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2" s="31" cm="1">
        <f t="array" ref="G4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2" s="33" t="str">
        <f>_xlfn.IFNA(IF(MOD(HLG_05[[#This Row],[Rit]],
    _xlfn.XLOOKUP($G$2,Int_Sample[Ore],Int_Sample[Inc])) = 0, "YES", "NO"),"")</f>
        <v/>
      </c>
      <c r="I462" s="32" t="str">
        <f>TEXT(HLG_05[[#This Row],[Batch]],"000")&amp; " / " &amp; TEXT(HLG_05[[#This Row],[Rit]],"000")</f>
        <v>N/A / 000</v>
      </c>
      <c r="J462" s="34"/>
      <c r="K462" s="38"/>
      <c r="L462" s="35"/>
      <c r="M462" s="66"/>
      <c r="N462" s="66"/>
      <c r="O462" s="66"/>
      <c r="P462" s="66"/>
      <c r="Q462" s="66"/>
      <c r="R462" s="67"/>
      <c r="S462" s="67"/>
      <c r="T462" s="67"/>
      <c r="U462" s="66"/>
      <c r="V462" s="66"/>
      <c r="W462" s="66"/>
      <c r="X462" s="85"/>
      <c r="AP462" t="str">
        <v/>
      </c>
    </row>
    <row r="463" spans="4:42" ht="15.75" x14ac:dyDescent="0.25">
      <c r="D463" s="3">
        <v>1</v>
      </c>
      <c r="F463" s="16" t="str" cm="1">
        <f t="array" ref="F4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3" s="31" cm="1">
        <f t="array" ref="G4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3" s="33" t="str">
        <f>_xlfn.IFNA(IF(MOD(HLG_05[[#This Row],[Rit]],
    _xlfn.XLOOKUP($G$2,Int_Sample[Ore],Int_Sample[Inc])) = 0, "YES", "NO"),"")</f>
        <v/>
      </c>
      <c r="I463" s="32" t="str">
        <f>TEXT(HLG_05[[#This Row],[Batch]],"000")&amp; " / " &amp; TEXT(HLG_05[[#This Row],[Rit]],"000")</f>
        <v>N/A / 000</v>
      </c>
      <c r="J463" s="34"/>
      <c r="K463" s="38"/>
      <c r="L463" s="35"/>
      <c r="M463" s="66"/>
      <c r="N463" s="66"/>
      <c r="O463" s="66"/>
      <c r="P463" s="66"/>
      <c r="Q463" s="66"/>
      <c r="R463" s="67"/>
      <c r="S463" s="67"/>
      <c r="T463" s="67"/>
      <c r="U463" s="66"/>
      <c r="V463" s="66"/>
      <c r="W463" s="66"/>
      <c r="X463" s="85"/>
      <c r="AP463" t="str">
        <v/>
      </c>
    </row>
    <row r="464" spans="4:42" ht="15.75" x14ac:dyDescent="0.25">
      <c r="D464" s="3">
        <v>1</v>
      </c>
      <c r="F464" s="16" t="str" cm="1">
        <f t="array" ref="F4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4" s="31" cm="1">
        <f t="array" ref="G4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4" s="33" t="str">
        <f>_xlfn.IFNA(IF(MOD(HLG_05[[#This Row],[Rit]],
    _xlfn.XLOOKUP($G$2,Int_Sample[Ore],Int_Sample[Inc])) = 0, "YES", "NO"),"")</f>
        <v/>
      </c>
      <c r="I464" s="32" t="str">
        <f>TEXT(HLG_05[[#This Row],[Batch]],"000")&amp; " / " &amp; TEXT(HLG_05[[#This Row],[Rit]],"000")</f>
        <v>N/A / 000</v>
      </c>
      <c r="J464" s="34"/>
      <c r="K464" s="38"/>
      <c r="L464" s="35"/>
      <c r="M464" s="66"/>
      <c r="N464" s="66"/>
      <c r="O464" s="66"/>
      <c r="P464" s="66"/>
      <c r="Q464" s="66"/>
      <c r="R464" s="67"/>
      <c r="S464" s="67"/>
      <c r="T464" s="67"/>
      <c r="U464" s="66"/>
      <c r="V464" s="66"/>
      <c r="W464" s="66"/>
      <c r="X464" s="85"/>
      <c r="AP464" t="str">
        <v/>
      </c>
    </row>
    <row r="465" spans="4:42" ht="15.75" x14ac:dyDescent="0.25">
      <c r="D465" s="3">
        <v>1</v>
      </c>
      <c r="F465" s="16" t="str" cm="1">
        <f t="array" ref="F4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5" s="31" cm="1">
        <f t="array" ref="G4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5" s="33" t="str">
        <f>_xlfn.IFNA(IF(MOD(HLG_05[[#This Row],[Rit]],
    _xlfn.XLOOKUP($G$2,Int_Sample[Ore],Int_Sample[Inc])) = 0, "YES", "NO"),"")</f>
        <v/>
      </c>
      <c r="I465" s="32" t="str">
        <f>TEXT(HLG_05[[#This Row],[Batch]],"000")&amp; " / " &amp; TEXT(HLG_05[[#This Row],[Rit]],"000")</f>
        <v>N/A / 000</v>
      </c>
      <c r="J465" s="34"/>
      <c r="K465" s="38"/>
      <c r="L465" s="35"/>
      <c r="M465" s="66"/>
      <c r="N465" s="66"/>
      <c r="O465" s="66"/>
      <c r="P465" s="66"/>
      <c r="Q465" s="66"/>
      <c r="R465" s="67"/>
      <c r="S465" s="67"/>
      <c r="T465" s="67"/>
      <c r="U465" s="66"/>
      <c r="V465" s="66"/>
      <c r="W465" s="66"/>
      <c r="X465" s="85"/>
      <c r="AP465" t="str">
        <v/>
      </c>
    </row>
    <row r="466" spans="4:42" ht="15.75" x14ac:dyDescent="0.25">
      <c r="D466" s="3">
        <v>1</v>
      </c>
      <c r="F466" s="16" t="str" cm="1">
        <f t="array" ref="F4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6" s="31" cm="1">
        <f t="array" ref="G4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6" s="33" t="str">
        <f>_xlfn.IFNA(IF(MOD(HLG_05[[#This Row],[Rit]],
    _xlfn.XLOOKUP($G$2,Int_Sample[Ore],Int_Sample[Inc])) = 0, "YES", "NO"),"")</f>
        <v/>
      </c>
      <c r="I466" s="32" t="str">
        <f>TEXT(HLG_05[[#This Row],[Batch]],"000")&amp; " / " &amp; TEXT(HLG_05[[#This Row],[Rit]],"000")</f>
        <v>N/A / 000</v>
      </c>
      <c r="J466" s="34"/>
      <c r="K466" s="38"/>
      <c r="L466" s="35"/>
      <c r="M466" s="66"/>
      <c r="N466" s="66"/>
      <c r="O466" s="66"/>
      <c r="P466" s="66"/>
      <c r="Q466" s="66"/>
      <c r="R466" s="67"/>
      <c r="S466" s="67"/>
      <c r="T466" s="67"/>
      <c r="U466" s="66"/>
      <c r="V466" s="66"/>
      <c r="W466" s="66"/>
      <c r="X466" s="85"/>
      <c r="AP466" t="str">
        <v/>
      </c>
    </row>
    <row r="467" spans="4:42" ht="15.75" x14ac:dyDescent="0.25">
      <c r="D467" s="3">
        <v>1</v>
      </c>
      <c r="F467" s="16" t="str" cm="1">
        <f t="array" ref="F4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7" s="31" cm="1">
        <f t="array" ref="G4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7" s="33" t="str">
        <f>_xlfn.IFNA(IF(MOD(HLG_05[[#This Row],[Rit]],
    _xlfn.XLOOKUP($G$2,Int_Sample[Ore],Int_Sample[Inc])) = 0, "YES", "NO"),"")</f>
        <v/>
      </c>
      <c r="I467" s="32" t="str">
        <f>TEXT(HLG_05[[#This Row],[Batch]],"000")&amp; " / " &amp; TEXT(HLG_05[[#This Row],[Rit]],"000")</f>
        <v>N/A / 000</v>
      </c>
      <c r="J467" s="34"/>
      <c r="K467" s="38"/>
      <c r="L467" s="35"/>
      <c r="M467" s="66"/>
      <c r="N467" s="66"/>
      <c r="O467" s="66"/>
      <c r="P467" s="66"/>
      <c r="Q467" s="66"/>
      <c r="R467" s="67"/>
      <c r="S467" s="67"/>
      <c r="T467" s="67"/>
      <c r="U467" s="66"/>
      <c r="V467" s="66"/>
      <c r="W467" s="66"/>
      <c r="X467" s="85"/>
      <c r="AP467" t="str">
        <v/>
      </c>
    </row>
    <row r="468" spans="4:42" ht="15.75" x14ac:dyDescent="0.25">
      <c r="D468" s="3">
        <v>1</v>
      </c>
      <c r="F468" s="16" t="str" cm="1">
        <f t="array" ref="F4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8" s="31" cm="1">
        <f t="array" ref="G4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8" s="33" t="str">
        <f>_xlfn.IFNA(IF(MOD(HLG_05[[#This Row],[Rit]],
    _xlfn.XLOOKUP($G$2,Int_Sample[Ore],Int_Sample[Inc])) = 0, "YES", "NO"),"")</f>
        <v/>
      </c>
      <c r="I468" s="32" t="str">
        <f>TEXT(HLG_05[[#This Row],[Batch]],"000")&amp; " / " &amp; TEXT(HLG_05[[#This Row],[Rit]],"000")</f>
        <v>N/A / 000</v>
      </c>
      <c r="J468" s="34"/>
      <c r="K468" s="38"/>
      <c r="L468" s="35"/>
      <c r="M468" s="66"/>
      <c r="N468" s="66"/>
      <c r="O468" s="66"/>
      <c r="P468" s="66"/>
      <c r="Q468" s="66"/>
      <c r="R468" s="67"/>
      <c r="S468" s="67"/>
      <c r="T468" s="67"/>
      <c r="U468" s="66"/>
      <c r="V468" s="66"/>
      <c r="W468" s="66"/>
      <c r="X468" s="85"/>
      <c r="AP468" t="str">
        <v/>
      </c>
    </row>
    <row r="469" spans="4:42" ht="15.75" x14ac:dyDescent="0.25">
      <c r="D469" s="3">
        <v>1</v>
      </c>
      <c r="F469" s="16" t="str" cm="1">
        <f t="array" ref="F4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9" s="31" cm="1">
        <f t="array" ref="G4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9" s="33" t="str">
        <f>_xlfn.IFNA(IF(MOD(HLG_05[[#This Row],[Rit]],
    _xlfn.XLOOKUP($G$2,Int_Sample[Ore],Int_Sample[Inc])) = 0, "YES", "NO"),"")</f>
        <v/>
      </c>
      <c r="I469" s="32" t="str">
        <f>TEXT(HLG_05[[#This Row],[Batch]],"000")&amp; " / " &amp; TEXT(HLG_05[[#This Row],[Rit]],"000")</f>
        <v>N/A / 000</v>
      </c>
      <c r="J469" s="34"/>
      <c r="K469" s="38"/>
      <c r="L469" s="35"/>
      <c r="M469" s="66"/>
      <c r="N469" s="66"/>
      <c r="O469" s="66"/>
      <c r="P469" s="66"/>
      <c r="Q469" s="66"/>
      <c r="R469" s="67"/>
      <c r="S469" s="67"/>
      <c r="T469" s="67"/>
      <c r="U469" s="66"/>
      <c r="V469" s="66"/>
      <c r="W469" s="66"/>
      <c r="X469" s="85"/>
      <c r="AP469" t="str">
        <v/>
      </c>
    </row>
    <row r="470" spans="4:42" ht="15.75" x14ac:dyDescent="0.25">
      <c r="D470" s="3">
        <v>1</v>
      </c>
      <c r="F470" s="16" t="str" cm="1">
        <f t="array" ref="F4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0" s="31" cm="1">
        <f t="array" ref="G4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0" s="33" t="str">
        <f>_xlfn.IFNA(IF(MOD(HLG_05[[#This Row],[Rit]],
    _xlfn.XLOOKUP($G$2,Int_Sample[Ore],Int_Sample[Inc])) = 0, "YES", "NO"),"")</f>
        <v/>
      </c>
      <c r="I470" s="32" t="str">
        <f>TEXT(HLG_05[[#This Row],[Batch]],"000")&amp; " / " &amp; TEXT(HLG_05[[#This Row],[Rit]],"000")</f>
        <v>N/A / 000</v>
      </c>
      <c r="J470" s="34"/>
      <c r="K470" s="38"/>
      <c r="L470" s="35"/>
      <c r="M470" s="66"/>
      <c r="N470" s="66"/>
      <c r="O470" s="66"/>
      <c r="P470" s="66"/>
      <c r="Q470" s="66"/>
      <c r="R470" s="67"/>
      <c r="S470" s="67"/>
      <c r="T470" s="67"/>
      <c r="U470" s="66"/>
      <c r="V470" s="66"/>
      <c r="W470" s="66"/>
      <c r="X470" s="85"/>
      <c r="AP470" t="str">
        <v/>
      </c>
    </row>
    <row r="471" spans="4:42" ht="15.75" x14ac:dyDescent="0.25">
      <c r="D471" s="3">
        <v>1</v>
      </c>
      <c r="F471" s="16" t="str" cm="1">
        <f t="array" ref="F4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1" s="31" cm="1">
        <f t="array" ref="G4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1" s="33" t="str">
        <f>_xlfn.IFNA(IF(MOD(HLG_05[[#This Row],[Rit]],
    _xlfn.XLOOKUP($G$2,Int_Sample[Ore],Int_Sample[Inc])) = 0, "YES", "NO"),"")</f>
        <v/>
      </c>
      <c r="I471" s="32" t="str">
        <f>TEXT(HLG_05[[#This Row],[Batch]],"000")&amp; " / " &amp; TEXT(HLG_05[[#This Row],[Rit]],"000")</f>
        <v>N/A / 000</v>
      </c>
      <c r="J471" s="34"/>
      <c r="K471" s="38"/>
      <c r="L471" s="35"/>
      <c r="M471" s="66"/>
      <c r="N471" s="66"/>
      <c r="O471" s="66"/>
      <c r="P471" s="66"/>
      <c r="Q471" s="66"/>
      <c r="R471" s="67"/>
      <c r="S471" s="67"/>
      <c r="T471" s="67"/>
      <c r="U471" s="66"/>
      <c r="V471" s="66"/>
      <c r="W471" s="66"/>
      <c r="X471" s="85"/>
      <c r="AP471" t="str">
        <v/>
      </c>
    </row>
    <row r="472" spans="4:42" ht="15.75" x14ac:dyDescent="0.25">
      <c r="D472" s="3">
        <v>1</v>
      </c>
      <c r="F472" s="16" t="str" cm="1">
        <f t="array" ref="F4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2" s="31" cm="1">
        <f t="array" ref="G4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2" s="33" t="str">
        <f>_xlfn.IFNA(IF(MOD(HLG_05[[#This Row],[Rit]],
    _xlfn.XLOOKUP($G$2,Int_Sample[Ore],Int_Sample[Inc])) = 0, "YES", "NO"),"")</f>
        <v/>
      </c>
      <c r="I472" s="32" t="str">
        <f>TEXT(HLG_05[[#This Row],[Batch]],"000")&amp; " / " &amp; TEXT(HLG_05[[#This Row],[Rit]],"000")</f>
        <v>N/A / 000</v>
      </c>
      <c r="J472" s="34"/>
      <c r="K472" s="38"/>
      <c r="L472" s="35"/>
      <c r="M472" s="66"/>
      <c r="N472" s="66"/>
      <c r="O472" s="66"/>
      <c r="P472" s="66"/>
      <c r="Q472" s="66"/>
      <c r="R472" s="67"/>
      <c r="S472" s="67"/>
      <c r="T472" s="67"/>
      <c r="U472" s="66"/>
      <c r="V472" s="66"/>
      <c r="W472" s="66"/>
      <c r="X472" s="85"/>
      <c r="AP472" t="str">
        <v/>
      </c>
    </row>
    <row r="473" spans="4:42" ht="15.75" x14ac:dyDescent="0.25">
      <c r="D473" s="3">
        <v>1</v>
      </c>
      <c r="F473" s="16" t="str" cm="1">
        <f t="array" ref="F4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3" s="31" cm="1">
        <f t="array" ref="G4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3" s="33" t="str">
        <f>_xlfn.IFNA(IF(MOD(HLG_05[[#This Row],[Rit]],
    _xlfn.XLOOKUP($G$2,Int_Sample[Ore],Int_Sample[Inc])) = 0, "YES", "NO"),"")</f>
        <v/>
      </c>
      <c r="I473" s="32" t="str">
        <f>TEXT(HLG_05[[#This Row],[Batch]],"000")&amp; " / " &amp; TEXT(HLG_05[[#This Row],[Rit]],"000")</f>
        <v>N/A / 000</v>
      </c>
      <c r="J473" s="34"/>
      <c r="K473" s="38"/>
      <c r="L473" s="35"/>
      <c r="M473" s="66"/>
      <c r="N473" s="66"/>
      <c r="O473" s="66"/>
      <c r="P473" s="66"/>
      <c r="Q473" s="66"/>
      <c r="R473" s="67"/>
      <c r="S473" s="67"/>
      <c r="T473" s="67"/>
      <c r="U473" s="66"/>
      <c r="V473" s="66"/>
      <c r="W473" s="66"/>
      <c r="X473" s="85"/>
      <c r="AP473" t="str">
        <v/>
      </c>
    </row>
    <row r="474" spans="4:42" ht="15.75" x14ac:dyDescent="0.25">
      <c r="D474" s="3">
        <v>1</v>
      </c>
      <c r="F474" s="16" t="str" cm="1">
        <f t="array" ref="F4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4" s="31" cm="1">
        <f t="array" ref="G4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4" s="33" t="str">
        <f>_xlfn.IFNA(IF(MOD(HLG_05[[#This Row],[Rit]],
    _xlfn.XLOOKUP($G$2,Int_Sample[Ore],Int_Sample[Inc])) = 0, "YES", "NO"),"")</f>
        <v/>
      </c>
      <c r="I474" s="32" t="str">
        <f>TEXT(HLG_05[[#This Row],[Batch]],"000")&amp; " / " &amp; TEXT(HLG_05[[#This Row],[Rit]],"000")</f>
        <v>N/A / 000</v>
      </c>
      <c r="J474" s="34"/>
      <c r="K474" s="38"/>
      <c r="L474" s="35"/>
      <c r="M474" s="66"/>
      <c r="N474" s="66"/>
      <c r="O474" s="66"/>
      <c r="P474" s="66"/>
      <c r="Q474" s="66"/>
      <c r="R474" s="67"/>
      <c r="S474" s="67"/>
      <c r="T474" s="67"/>
      <c r="U474" s="66"/>
      <c r="V474" s="66"/>
      <c r="W474" s="66"/>
      <c r="X474" s="85"/>
      <c r="AP474" t="str">
        <v/>
      </c>
    </row>
    <row r="475" spans="4:42" ht="15.75" x14ac:dyDescent="0.25">
      <c r="D475" s="3">
        <v>1</v>
      </c>
      <c r="F475" s="16" t="str" cm="1">
        <f t="array" ref="F4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5" s="31" cm="1">
        <f t="array" ref="G4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5" s="33" t="str">
        <f>_xlfn.IFNA(IF(MOD(HLG_05[[#This Row],[Rit]],
    _xlfn.XLOOKUP($G$2,Int_Sample[Ore],Int_Sample[Inc])) = 0, "YES", "NO"),"")</f>
        <v/>
      </c>
      <c r="I475" s="32" t="str">
        <f>TEXT(HLG_05[[#This Row],[Batch]],"000")&amp; " / " &amp; TEXT(HLG_05[[#This Row],[Rit]],"000")</f>
        <v>N/A / 000</v>
      </c>
      <c r="J475" s="34"/>
      <c r="K475" s="38"/>
      <c r="L475" s="35"/>
      <c r="M475" s="66"/>
      <c r="N475" s="66"/>
      <c r="O475" s="66"/>
      <c r="P475" s="66"/>
      <c r="Q475" s="66"/>
      <c r="R475" s="67"/>
      <c r="S475" s="67"/>
      <c r="T475" s="67"/>
      <c r="U475" s="66"/>
      <c r="V475" s="66"/>
      <c r="W475" s="66"/>
      <c r="X475" s="85"/>
      <c r="AP475" t="str">
        <v/>
      </c>
    </row>
    <row r="476" spans="4:42" ht="15.75" x14ac:dyDescent="0.25">
      <c r="D476" s="3">
        <v>1</v>
      </c>
      <c r="F476" s="16" t="str" cm="1">
        <f t="array" ref="F4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6" s="31" cm="1">
        <f t="array" ref="G4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6" s="33" t="str">
        <f>_xlfn.IFNA(IF(MOD(HLG_05[[#This Row],[Rit]],
    _xlfn.XLOOKUP($G$2,Int_Sample[Ore],Int_Sample[Inc])) = 0, "YES", "NO"),"")</f>
        <v/>
      </c>
      <c r="I476" s="32" t="str">
        <f>TEXT(HLG_05[[#This Row],[Batch]],"000")&amp; " / " &amp; TEXT(HLG_05[[#This Row],[Rit]],"000")</f>
        <v>N/A / 000</v>
      </c>
      <c r="J476" s="34"/>
      <c r="K476" s="38"/>
      <c r="L476" s="35"/>
      <c r="M476" s="66"/>
      <c r="N476" s="66"/>
      <c r="O476" s="66"/>
      <c r="P476" s="66"/>
      <c r="Q476" s="66"/>
      <c r="R476" s="67"/>
      <c r="S476" s="67"/>
      <c r="T476" s="67"/>
      <c r="U476" s="66"/>
      <c r="V476" s="66"/>
      <c r="W476" s="66"/>
      <c r="X476" s="85"/>
      <c r="AP476" t="str">
        <v/>
      </c>
    </row>
    <row r="477" spans="4:42" ht="15.75" x14ac:dyDescent="0.25">
      <c r="D477" s="3">
        <v>1</v>
      </c>
      <c r="F477" s="16" t="str" cm="1">
        <f t="array" ref="F4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7" s="31" cm="1">
        <f t="array" ref="G4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7" s="33" t="str">
        <f>_xlfn.IFNA(IF(MOD(HLG_05[[#This Row],[Rit]],
    _xlfn.XLOOKUP($G$2,Int_Sample[Ore],Int_Sample[Inc])) = 0, "YES", "NO"),"")</f>
        <v/>
      </c>
      <c r="I477" s="32" t="str">
        <f>TEXT(HLG_05[[#This Row],[Batch]],"000")&amp; " / " &amp; TEXT(HLG_05[[#This Row],[Rit]],"000")</f>
        <v>N/A / 000</v>
      </c>
      <c r="J477" s="34"/>
      <c r="K477" s="38"/>
      <c r="L477" s="35"/>
      <c r="M477" s="66"/>
      <c r="N477" s="66"/>
      <c r="O477" s="66"/>
      <c r="P477" s="66"/>
      <c r="Q477" s="66"/>
      <c r="R477" s="67"/>
      <c r="S477" s="67"/>
      <c r="T477" s="67"/>
      <c r="U477" s="66"/>
      <c r="V477" s="66"/>
      <c r="W477" s="66"/>
      <c r="X477" s="85"/>
      <c r="AP477" t="str">
        <v/>
      </c>
    </row>
    <row r="478" spans="4:42" ht="15.75" x14ac:dyDescent="0.25">
      <c r="D478" s="3">
        <v>1</v>
      </c>
      <c r="F478" s="16" t="str" cm="1">
        <f t="array" ref="F4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8" s="31" cm="1">
        <f t="array" ref="G4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8" s="33" t="str">
        <f>_xlfn.IFNA(IF(MOD(HLG_05[[#This Row],[Rit]],
    _xlfn.XLOOKUP($G$2,Int_Sample[Ore],Int_Sample[Inc])) = 0, "YES", "NO"),"")</f>
        <v/>
      </c>
      <c r="I478" s="32" t="str">
        <f>TEXT(HLG_05[[#This Row],[Batch]],"000")&amp; " / " &amp; TEXT(HLG_05[[#This Row],[Rit]],"000")</f>
        <v>N/A / 000</v>
      </c>
      <c r="J478" s="34"/>
      <c r="K478" s="38"/>
      <c r="L478" s="35"/>
      <c r="M478" s="66"/>
      <c r="N478" s="66"/>
      <c r="O478" s="66"/>
      <c r="P478" s="66"/>
      <c r="Q478" s="66"/>
      <c r="R478" s="67"/>
      <c r="S478" s="67"/>
      <c r="T478" s="67"/>
      <c r="U478" s="66"/>
      <c r="V478" s="66"/>
      <c r="W478" s="66"/>
      <c r="X478" s="85"/>
      <c r="AP478" t="str">
        <v/>
      </c>
    </row>
    <row r="479" spans="4:42" ht="15.75" x14ac:dyDescent="0.25">
      <c r="D479" s="3">
        <v>1</v>
      </c>
      <c r="F479" s="16" t="str" cm="1">
        <f t="array" ref="F4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9" s="31" cm="1">
        <f t="array" ref="G4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9" s="33" t="str">
        <f>_xlfn.IFNA(IF(MOD(HLG_05[[#This Row],[Rit]],
    _xlfn.XLOOKUP($G$2,Int_Sample[Ore],Int_Sample[Inc])) = 0, "YES", "NO"),"")</f>
        <v/>
      </c>
      <c r="I479" s="32" t="str">
        <f>TEXT(HLG_05[[#This Row],[Batch]],"000")&amp; " / " &amp; TEXT(HLG_05[[#This Row],[Rit]],"000")</f>
        <v>N/A / 000</v>
      </c>
      <c r="J479" s="34"/>
      <c r="K479" s="38"/>
      <c r="L479" s="35"/>
      <c r="M479" s="66"/>
      <c r="N479" s="66"/>
      <c r="O479" s="66"/>
      <c r="P479" s="66"/>
      <c r="Q479" s="66"/>
      <c r="R479" s="67"/>
      <c r="S479" s="67"/>
      <c r="T479" s="67"/>
      <c r="U479" s="66"/>
      <c r="V479" s="66"/>
      <c r="W479" s="66"/>
      <c r="X479" s="85"/>
      <c r="AP479" t="str">
        <v/>
      </c>
    </row>
    <row r="480" spans="4:42" ht="15.75" x14ac:dyDescent="0.25">
      <c r="D480" s="3">
        <v>1</v>
      </c>
      <c r="F480" s="16" t="str" cm="1">
        <f t="array" ref="F4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0" s="31" cm="1">
        <f t="array" ref="G4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0" s="33" t="str">
        <f>_xlfn.IFNA(IF(MOD(HLG_05[[#This Row],[Rit]],
    _xlfn.XLOOKUP($G$2,Int_Sample[Ore],Int_Sample[Inc])) = 0, "YES", "NO"),"")</f>
        <v/>
      </c>
      <c r="I480" s="32" t="str">
        <f>TEXT(HLG_05[[#This Row],[Batch]],"000")&amp; " / " &amp; TEXT(HLG_05[[#This Row],[Rit]],"000")</f>
        <v>N/A / 000</v>
      </c>
      <c r="J480" s="34"/>
      <c r="K480" s="38"/>
      <c r="L480" s="35"/>
      <c r="M480" s="66"/>
      <c r="N480" s="66"/>
      <c r="O480" s="66"/>
      <c r="P480" s="66"/>
      <c r="Q480" s="66"/>
      <c r="R480" s="67"/>
      <c r="S480" s="67"/>
      <c r="T480" s="67"/>
      <c r="U480" s="66"/>
      <c r="V480" s="66"/>
      <c r="W480" s="66"/>
      <c r="X480" s="85"/>
      <c r="AP480" t="str">
        <v/>
      </c>
    </row>
    <row r="481" spans="4:42" ht="15.75" x14ac:dyDescent="0.25">
      <c r="D481" s="3">
        <v>1</v>
      </c>
      <c r="F481" s="16" t="str" cm="1">
        <f t="array" ref="F4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1" s="31" cm="1">
        <f t="array" ref="G4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1" s="33" t="str">
        <f>_xlfn.IFNA(IF(MOD(HLG_05[[#This Row],[Rit]],
    _xlfn.XLOOKUP($G$2,Int_Sample[Ore],Int_Sample[Inc])) = 0, "YES", "NO"),"")</f>
        <v/>
      </c>
      <c r="I481" s="32" t="str">
        <f>TEXT(HLG_05[[#This Row],[Batch]],"000")&amp; " / " &amp; TEXT(HLG_05[[#This Row],[Rit]],"000")</f>
        <v>N/A / 000</v>
      </c>
      <c r="J481" s="34"/>
      <c r="K481" s="38"/>
      <c r="L481" s="35"/>
      <c r="M481" s="66"/>
      <c r="N481" s="66"/>
      <c r="O481" s="66"/>
      <c r="P481" s="66"/>
      <c r="Q481" s="66"/>
      <c r="R481" s="67"/>
      <c r="S481" s="67"/>
      <c r="T481" s="67"/>
      <c r="U481" s="66"/>
      <c r="V481" s="66"/>
      <c r="W481" s="66"/>
      <c r="X481" s="85"/>
      <c r="AP481" t="str">
        <v/>
      </c>
    </row>
    <row r="482" spans="4:42" ht="15.75" x14ac:dyDescent="0.25">
      <c r="D482" s="3">
        <v>1</v>
      </c>
      <c r="F482" s="16" t="str" cm="1">
        <f t="array" ref="F4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2" s="31" cm="1">
        <f t="array" ref="G4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2" s="33" t="str">
        <f>_xlfn.IFNA(IF(MOD(HLG_05[[#This Row],[Rit]],
    _xlfn.XLOOKUP($G$2,Int_Sample[Ore],Int_Sample[Inc])) = 0, "YES", "NO"),"")</f>
        <v/>
      </c>
      <c r="I482" s="32" t="str">
        <f>TEXT(HLG_05[[#This Row],[Batch]],"000")&amp; " / " &amp; TEXT(HLG_05[[#This Row],[Rit]],"000")</f>
        <v>N/A / 000</v>
      </c>
      <c r="J482" s="34"/>
      <c r="K482" s="38"/>
      <c r="L482" s="35"/>
      <c r="M482" s="66"/>
      <c r="N482" s="66"/>
      <c r="O482" s="66"/>
      <c r="P482" s="66"/>
      <c r="Q482" s="66"/>
      <c r="R482" s="67"/>
      <c r="S482" s="67"/>
      <c r="T482" s="67"/>
      <c r="U482" s="66"/>
      <c r="V482" s="66"/>
      <c r="W482" s="66"/>
      <c r="X482" s="85"/>
      <c r="AP482" t="str">
        <v/>
      </c>
    </row>
    <row r="483" spans="4:42" ht="15.75" x14ac:dyDescent="0.25">
      <c r="D483" s="3">
        <v>1</v>
      </c>
      <c r="F483" s="16" t="str" cm="1">
        <f t="array" ref="F4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3" s="31" cm="1">
        <f t="array" ref="G4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3" s="33" t="str">
        <f>_xlfn.IFNA(IF(MOD(HLG_05[[#This Row],[Rit]],
    _xlfn.XLOOKUP($G$2,Int_Sample[Ore],Int_Sample[Inc])) = 0, "YES", "NO"),"")</f>
        <v/>
      </c>
      <c r="I483" s="32" t="str">
        <f>TEXT(HLG_05[[#This Row],[Batch]],"000")&amp; " / " &amp; TEXT(HLG_05[[#This Row],[Rit]],"000")</f>
        <v>N/A / 000</v>
      </c>
      <c r="J483" s="34"/>
      <c r="K483" s="38"/>
      <c r="L483" s="35"/>
      <c r="M483" s="66"/>
      <c r="N483" s="66"/>
      <c r="O483" s="66"/>
      <c r="P483" s="66"/>
      <c r="Q483" s="66"/>
      <c r="R483" s="67"/>
      <c r="S483" s="67"/>
      <c r="T483" s="67"/>
      <c r="U483" s="66"/>
      <c r="V483" s="66"/>
      <c r="W483" s="66"/>
      <c r="X483" s="85"/>
      <c r="AP483" t="str">
        <v/>
      </c>
    </row>
    <row r="484" spans="4:42" ht="15.75" x14ac:dyDescent="0.25">
      <c r="D484" s="3">
        <v>1</v>
      </c>
      <c r="F484" s="16" t="str" cm="1">
        <f t="array" ref="F4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4" s="31" cm="1">
        <f t="array" ref="G4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4" s="33" t="str">
        <f>_xlfn.IFNA(IF(MOD(HLG_05[[#This Row],[Rit]],
    _xlfn.XLOOKUP($G$2,Int_Sample[Ore],Int_Sample[Inc])) = 0, "YES", "NO"),"")</f>
        <v/>
      </c>
      <c r="I484" s="32" t="str">
        <f>TEXT(HLG_05[[#This Row],[Batch]],"000")&amp; " / " &amp; TEXT(HLG_05[[#This Row],[Rit]],"000")</f>
        <v>N/A / 000</v>
      </c>
      <c r="J484" s="34"/>
      <c r="K484" s="38"/>
      <c r="L484" s="35"/>
      <c r="M484" s="66"/>
      <c r="N484" s="66"/>
      <c r="O484" s="66"/>
      <c r="P484" s="66"/>
      <c r="Q484" s="66"/>
      <c r="R484" s="67"/>
      <c r="S484" s="67"/>
      <c r="T484" s="67"/>
      <c r="U484" s="66"/>
      <c r="V484" s="66"/>
      <c r="W484" s="66"/>
      <c r="X484" s="85"/>
      <c r="AP484" t="str">
        <v/>
      </c>
    </row>
    <row r="485" spans="4:42" ht="15.75" x14ac:dyDescent="0.25">
      <c r="D485" s="3">
        <v>1</v>
      </c>
      <c r="F485" s="16" t="str" cm="1">
        <f t="array" ref="F4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5" s="31" cm="1">
        <f t="array" ref="G4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5" s="33" t="str">
        <f>_xlfn.IFNA(IF(MOD(HLG_05[[#This Row],[Rit]],
    _xlfn.XLOOKUP($G$2,Int_Sample[Ore],Int_Sample[Inc])) = 0, "YES", "NO"),"")</f>
        <v/>
      </c>
      <c r="I485" s="32" t="str">
        <f>TEXT(HLG_05[[#This Row],[Batch]],"000")&amp; " / " &amp; TEXT(HLG_05[[#This Row],[Rit]],"000")</f>
        <v>N/A / 000</v>
      </c>
      <c r="J485" s="34"/>
      <c r="K485" s="38"/>
      <c r="L485" s="35"/>
      <c r="M485" s="66"/>
      <c r="N485" s="66"/>
      <c r="O485" s="66"/>
      <c r="P485" s="66"/>
      <c r="Q485" s="66"/>
      <c r="R485" s="67"/>
      <c r="S485" s="67"/>
      <c r="T485" s="67"/>
      <c r="U485" s="66"/>
      <c r="V485" s="66"/>
      <c r="W485" s="66"/>
      <c r="X485" s="85"/>
      <c r="AP485" t="str">
        <v/>
      </c>
    </row>
    <row r="486" spans="4:42" ht="15.75" x14ac:dyDescent="0.25">
      <c r="D486" s="3">
        <v>1</v>
      </c>
      <c r="F486" s="16" t="str" cm="1">
        <f t="array" ref="F4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6" s="31" cm="1">
        <f t="array" ref="G4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6" s="33" t="str">
        <f>_xlfn.IFNA(IF(MOD(HLG_05[[#This Row],[Rit]],
    _xlfn.XLOOKUP($G$2,Int_Sample[Ore],Int_Sample[Inc])) = 0, "YES", "NO"),"")</f>
        <v/>
      </c>
      <c r="I486" s="32" t="str">
        <f>TEXT(HLG_05[[#This Row],[Batch]],"000")&amp; " / " &amp; TEXT(HLG_05[[#This Row],[Rit]],"000")</f>
        <v>N/A / 000</v>
      </c>
      <c r="J486" s="34"/>
      <c r="K486" s="38"/>
      <c r="L486" s="35"/>
      <c r="M486" s="66"/>
      <c r="N486" s="66"/>
      <c r="O486" s="66"/>
      <c r="P486" s="66"/>
      <c r="Q486" s="66"/>
      <c r="R486" s="67"/>
      <c r="S486" s="67"/>
      <c r="T486" s="67"/>
      <c r="U486" s="66"/>
      <c r="V486" s="66"/>
      <c r="W486" s="66"/>
      <c r="X486" s="85"/>
      <c r="AP486" t="str">
        <v/>
      </c>
    </row>
    <row r="487" spans="4:42" ht="15.75" x14ac:dyDescent="0.25">
      <c r="D487" s="3">
        <v>1</v>
      </c>
      <c r="F487" s="16" t="str" cm="1">
        <f t="array" ref="F4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7" s="31" cm="1">
        <f t="array" ref="G4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7" s="33" t="str">
        <f>_xlfn.IFNA(IF(MOD(HLG_05[[#This Row],[Rit]],
    _xlfn.XLOOKUP($G$2,Int_Sample[Ore],Int_Sample[Inc])) = 0, "YES", "NO"),"")</f>
        <v/>
      </c>
      <c r="I487" s="32" t="str">
        <f>TEXT(HLG_05[[#This Row],[Batch]],"000")&amp; " / " &amp; TEXT(HLG_05[[#This Row],[Rit]],"000")</f>
        <v>N/A / 000</v>
      </c>
      <c r="J487" s="34"/>
      <c r="K487" s="38"/>
      <c r="L487" s="35"/>
      <c r="M487" s="66"/>
      <c r="N487" s="66"/>
      <c r="O487" s="66"/>
      <c r="P487" s="66"/>
      <c r="Q487" s="66"/>
      <c r="R487" s="67"/>
      <c r="S487" s="67"/>
      <c r="T487" s="67"/>
      <c r="U487" s="66"/>
      <c r="V487" s="66"/>
      <c r="W487" s="66"/>
      <c r="X487" s="85"/>
      <c r="AP487" t="str">
        <v/>
      </c>
    </row>
    <row r="488" spans="4:42" ht="15.75" x14ac:dyDescent="0.25">
      <c r="D488" s="3">
        <v>1</v>
      </c>
      <c r="F488" s="16" t="str" cm="1">
        <f t="array" ref="F4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8" s="31" cm="1">
        <f t="array" ref="G4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8" s="33" t="str">
        <f>_xlfn.IFNA(IF(MOD(HLG_05[[#This Row],[Rit]],
    _xlfn.XLOOKUP($G$2,Int_Sample[Ore],Int_Sample[Inc])) = 0, "YES", "NO"),"")</f>
        <v/>
      </c>
      <c r="I488" s="32" t="str">
        <f>TEXT(HLG_05[[#This Row],[Batch]],"000")&amp; " / " &amp; TEXT(HLG_05[[#This Row],[Rit]],"000")</f>
        <v>N/A / 000</v>
      </c>
      <c r="J488" s="34"/>
      <c r="K488" s="38"/>
      <c r="L488" s="35"/>
      <c r="M488" s="66"/>
      <c r="N488" s="66"/>
      <c r="O488" s="66"/>
      <c r="P488" s="66"/>
      <c r="Q488" s="66"/>
      <c r="R488" s="67"/>
      <c r="S488" s="67"/>
      <c r="T488" s="67"/>
      <c r="U488" s="66"/>
      <c r="V488" s="66"/>
      <c r="W488" s="66"/>
      <c r="X488" s="85"/>
      <c r="AP488" t="str">
        <v/>
      </c>
    </row>
    <row r="489" spans="4:42" ht="15.75" x14ac:dyDescent="0.25">
      <c r="D489" s="3">
        <v>1</v>
      </c>
      <c r="F489" s="16" t="str" cm="1">
        <f t="array" ref="F4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9" s="31" cm="1">
        <f t="array" ref="G4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9" s="33" t="str">
        <f>_xlfn.IFNA(IF(MOD(HLG_05[[#This Row],[Rit]],
    _xlfn.XLOOKUP($G$2,Int_Sample[Ore],Int_Sample[Inc])) = 0, "YES", "NO"),"")</f>
        <v/>
      </c>
      <c r="I489" s="32" t="str">
        <f>TEXT(HLG_05[[#This Row],[Batch]],"000")&amp; " / " &amp; TEXT(HLG_05[[#This Row],[Rit]],"000")</f>
        <v>N/A / 000</v>
      </c>
      <c r="J489" s="34"/>
      <c r="K489" s="38"/>
      <c r="L489" s="35"/>
      <c r="M489" s="66"/>
      <c r="N489" s="66"/>
      <c r="O489" s="66"/>
      <c r="P489" s="66"/>
      <c r="Q489" s="66"/>
      <c r="R489" s="67"/>
      <c r="S489" s="67"/>
      <c r="T489" s="67"/>
      <c r="U489" s="66"/>
      <c r="V489" s="66"/>
      <c r="W489" s="66"/>
      <c r="X489" s="85"/>
      <c r="AP489" t="str">
        <v/>
      </c>
    </row>
    <row r="490" spans="4:42" ht="15.75" x14ac:dyDescent="0.25">
      <c r="D490" s="3">
        <v>1</v>
      </c>
      <c r="F490" s="16" t="str" cm="1">
        <f t="array" ref="F4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0" s="31" cm="1">
        <f t="array" ref="G4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0" s="33" t="str">
        <f>_xlfn.IFNA(IF(MOD(HLG_05[[#This Row],[Rit]],
    _xlfn.XLOOKUP($G$2,Int_Sample[Ore],Int_Sample[Inc])) = 0, "YES", "NO"),"")</f>
        <v/>
      </c>
      <c r="I490" s="32" t="str">
        <f>TEXT(HLG_05[[#This Row],[Batch]],"000")&amp; " / " &amp; TEXT(HLG_05[[#This Row],[Rit]],"000")</f>
        <v>N/A / 000</v>
      </c>
      <c r="J490" s="34"/>
      <c r="K490" s="38"/>
      <c r="L490" s="35"/>
      <c r="M490" s="66"/>
      <c r="N490" s="66"/>
      <c r="O490" s="66"/>
      <c r="P490" s="66"/>
      <c r="Q490" s="66"/>
      <c r="R490" s="67"/>
      <c r="S490" s="67"/>
      <c r="T490" s="67"/>
      <c r="U490" s="66"/>
      <c r="V490" s="66"/>
      <c r="W490" s="66"/>
      <c r="X490" s="85"/>
      <c r="AP490" t="str">
        <v/>
      </c>
    </row>
    <row r="491" spans="4:42" ht="15.75" x14ac:dyDescent="0.25">
      <c r="D491" s="3">
        <v>1</v>
      </c>
      <c r="F491" s="16" t="str" cm="1">
        <f t="array" ref="F4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1" s="31" cm="1">
        <f t="array" ref="G4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1" s="33" t="str">
        <f>_xlfn.IFNA(IF(MOD(HLG_05[[#This Row],[Rit]],
    _xlfn.XLOOKUP($G$2,Int_Sample[Ore],Int_Sample[Inc])) = 0, "YES", "NO"),"")</f>
        <v/>
      </c>
      <c r="I491" s="32" t="str">
        <f>TEXT(HLG_05[[#This Row],[Batch]],"000")&amp; " / " &amp; TEXT(HLG_05[[#This Row],[Rit]],"000")</f>
        <v>N/A / 000</v>
      </c>
      <c r="J491" s="34"/>
      <c r="K491" s="38"/>
      <c r="L491" s="35"/>
      <c r="M491" s="66"/>
      <c r="N491" s="66"/>
      <c r="O491" s="66"/>
      <c r="P491" s="66"/>
      <c r="Q491" s="66"/>
      <c r="R491" s="67"/>
      <c r="S491" s="67"/>
      <c r="T491" s="67"/>
      <c r="U491" s="66"/>
      <c r="V491" s="66"/>
      <c r="W491" s="66"/>
      <c r="X491" s="85"/>
      <c r="AP491" t="str">
        <v/>
      </c>
    </row>
    <row r="492" spans="4:42" ht="15.75" x14ac:dyDescent="0.25">
      <c r="D492" s="3">
        <v>1</v>
      </c>
      <c r="F492" s="16" t="str" cm="1">
        <f t="array" ref="F4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2" s="31" cm="1">
        <f t="array" ref="G4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2" s="33" t="str">
        <f>_xlfn.IFNA(IF(MOD(HLG_05[[#This Row],[Rit]],
    _xlfn.XLOOKUP($G$2,Int_Sample[Ore],Int_Sample[Inc])) = 0, "YES", "NO"),"")</f>
        <v/>
      </c>
      <c r="I492" s="32" t="str">
        <f>TEXT(HLG_05[[#This Row],[Batch]],"000")&amp; " / " &amp; TEXT(HLG_05[[#This Row],[Rit]],"000")</f>
        <v>N/A / 000</v>
      </c>
      <c r="J492" s="34"/>
      <c r="K492" s="38"/>
      <c r="L492" s="35"/>
      <c r="M492" s="66"/>
      <c r="N492" s="66"/>
      <c r="O492" s="66"/>
      <c r="P492" s="66"/>
      <c r="Q492" s="66"/>
      <c r="R492" s="67"/>
      <c r="S492" s="67"/>
      <c r="T492" s="67"/>
      <c r="U492" s="66"/>
      <c r="V492" s="66"/>
      <c r="W492" s="66"/>
      <c r="X492" s="85"/>
      <c r="AP492" t="str">
        <v/>
      </c>
    </row>
    <row r="493" spans="4:42" ht="15.75" x14ac:dyDescent="0.25">
      <c r="D493" s="3">
        <v>1</v>
      </c>
      <c r="F493" s="16" t="str" cm="1">
        <f t="array" ref="F4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3" s="31" cm="1">
        <f t="array" ref="G4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3" s="33" t="str">
        <f>_xlfn.IFNA(IF(MOD(HLG_05[[#This Row],[Rit]],
    _xlfn.XLOOKUP($G$2,Int_Sample[Ore],Int_Sample[Inc])) = 0, "YES", "NO"),"")</f>
        <v/>
      </c>
      <c r="I493" s="32" t="str">
        <f>TEXT(HLG_05[[#This Row],[Batch]],"000")&amp; " / " &amp; TEXT(HLG_05[[#This Row],[Rit]],"000")</f>
        <v>N/A / 000</v>
      </c>
      <c r="J493" s="34"/>
      <c r="K493" s="38"/>
      <c r="L493" s="35"/>
      <c r="M493" s="66"/>
      <c r="N493" s="66"/>
      <c r="O493" s="66"/>
      <c r="P493" s="66"/>
      <c r="Q493" s="66"/>
      <c r="R493" s="67"/>
      <c r="S493" s="67"/>
      <c r="T493" s="67"/>
      <c r="U493" s="66"/>
      <c r="V493" s="66"/>
      <c r="W493" s="66"/>
      <c r="X493" s="85"/>
      <c r="AP493" t="str">
        <v/>
      </c>
    </row>
    <row r="494" spans="4:42" ht="15.75" x14ac:dyDescent="0.25">
      <c r="D494" s="3">
        <v>1</v>
      </c>
      <c r="F494" s="16" t="str" cm="1">
        <f t="array" ref="F4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4" s="31" cm="1">
        <f t="array" ref="G4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4" s="33" t="str">
        <f>_xlfn.IFNA(IF(MOD(HLG_05[[#This Row],[Rit]],
    _xlfn.XLOOKUP($G$2,Int_Sample[Ore],Int_Sample[Inc])) = 0, "YES", "NO"),"")</f>
        <v/>
      </c>
      <c r="I494" s="32" t="str">
        <f>TEXT(HLG_05[[#This Row],[Batch]],"000")&amp; " / " &amp; TEXT(HLG_05[[#This Row],[Rit]],"000")</f>
        <v>N/A / 000</v>
      </c>
      <c r="J494" s="34"/>
      <c r="K494" s="38"/>
      <c r="L494" s="35"/>
      <c r="M494" s="66"/>
      <c r="N494" s="66"/>
      <c r="O494" s="66"/>
      <c r="P494" s="66"/>
      <c r="Q494" s="66"/>
      <c r="R494" s="67"/>
      <c r="S494" s="67"/>
      <c r="T494" s="67"/>
      <c r="U494" s="66"/>
      <c r="V494" s="66"/>
      <c r="W494" s="66"/>
      <c r="X494" s="85"/>
      <c r="AP494" t="str">
        <v/>
      </c>
    </row>
    <row r="495" spans="4:42" ht="15.75" x14ac:dyDescent="0.25">
      <c r="D495" s="3">
        <v>1</v>
      </c>
      <c r="F495" s="16" t="str" cm="1">
        <f t="array" ref="F4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5" s="31" cm="1">
        <f t="array" ref="G4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5" s="33" t="str">
        <f>_xlfn.IFNA(IF(MOD(HLG_05[[#This Row],[Rit]],
    _xlfn.XLOOKUP($G$2,Int_Sample[Ore],Int_Sample[Inc])) = 0, "YES", "NO"),"")</f>
        <v/>
      </c>
      <c r="I495" s="32" t="str">
        <f>TEXT(HLG_05[[#This Row],[Batch]],"000")&amp; " / " &amp; TEXT(HLG_05[[#This Row],[Rit]],"000")</f>
        <v>N/A / 000</v>
      </c>
      <c r="J495" s="34"/>
      <c r="K495" s="38"/>
      <c r="L495" s="35"/>
      <c r="M495" s="66"/>
      <c r="N495" s="66"/>
      <c r="O495" s="66"/>
      <c r="P495" s="66"/>
      <c r="Q495" s="66"/>
      <c r="R495" s="67"/>
      <c r="S495" s="67"/>
      <c r="T495" s="67"/>
      <c r="U495" s="66"/>
      <c r="V495" s="66"/>
      <c r="W495" s="66"/>
      <c r="X495" s="85"/>
      <c r="AP495" t="str">
        <v/>
      </c>
    </row>
    <row r="496" spans="4:42" ht="15.75" x14ac:dyDescent="0.25">
      <c r="D496" s="3">
        <v>1</v>
      </c>
      <c r="F496" s="16" t="str" cm="1">
        <f t="array" ref="F4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6" s="31" cm="1">
        <f t="array" ref="G4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6" s="33" t="str">
        <f>_xlfn.IFNA(IF(MOD(HLG_05[[#This Row],[Rit]],
    _xlfn.XLOOKUP($G$2,Int_Sample[Ore],Int_Sample[Inc])) = 0, "YES", "NO"),"")</f>
        <v/>
      </c>
      <c r="I496" s="32" t="str">
        <f>TEXT(HLG_05[[#This Row],[Batch]],"000")&amp; " / " &amp; TEXT(HLG_05[[#This Row],[Rit]],"000")</f>
        <v>N/A / 000</v>
      </c>
      <c r="J496" s="34"/>
      <c r="K496" s="38"/>
      <c r="L496" s="35"/>
      <c r="M496" s="66"/>
      <c r="N496" s="66"/>
      <c r="O496" s="66"/>
      <c r="P496" s="66"/>
      <c r="Q496" s="66"/>
      <c r="R496" s="67"/>
      <c r="S496" s="67"/>
      <c r="T496" s="67"/>
      <c r="U496" s="66"/>
      <c r="V496" s="66"/>
      <c r="W496" s="66"/>
      <c r="X496" s="85"/>
      <c r="AP496" t="str">
        <v/>
      </c>
    </row>
    <row r="497" spans="4:42" ht="15.75" x14ac:dyDescent="0.25">
      <c r="D497" s="3">
        <v>1</v>
      </c>
      <c r="F497" s="16" t="str" cm="1">
        <f t="array" ref="F4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7" s="31" cm="1">
        <f t="array" ref="G4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7" s="33" t="str">
        <f>_xlfn.IFNA(IF(MOD(HLG_05[[#This Row],[Rit]],
    _xlfn.XLOOKUP($G$2,Int_Sample[Ore],Int_Sample[Inc])) = 0, "YES", "NO"),"")</f>
        <v/>
      </c>
      <c r="I497" s="32" t="str">
        <f>TEXT(HLG_05[[#This Row],[Batch]],"000")&amp; " / " &amp; TEXT(HLG_05[[#This Row],[Rit]],"000")</f>
        <v>N/A / 000</v>
      </c>
      <c r="J497" s="34"/>
      <c r="K497" s="38"/>
      <c r="L497" s="35"/>
      <c r="M497" s="66"/>
      <c r="N497" s="66"/>
      <c r="O497" s="66"/>
      <c r="P497" s="66"/>
      <c r="Q497" s="66"/>
      <c r="R497" s="67"/>
      <c r="S497" s="67"/>
      <c r="T497" s="67"/>
      <c r="U497" s="66"/>
      <c r="V497" s="66"/>
      <c r="W497" s="66"/>
      <c r="X497" s="85"/>
      <c r="AP497" t="str">
        <v/>
      </c>
    </row>
    <row r="498" spans="4:42" ht="15.75" x14ac:dyDescent="0.25">
      <c r="D498" s="3">
        <v>1</v>
      </c>
      <c r="F498" s="16" t="str" cm="1">
        <f t="array" ref="F4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8" s="31" cm="1">
        <f t="array" ref="G4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8" s="33" t="str">
        <f>_xlfn.IFNA(IF(MOD(HLG_05[[#This Row],[Rit]],
    _xlfn.XLOOKUP($G$2,Int_Sample[Ore],Int_Sample[Inc])) = 0, "YES", "NO"),"")</f>
        <v/>
      </c>
      <c r="I498" s="32" t="str">
        <f>TEXT(HLG_05[[#This Row],[Batch]],"000")&amp; " / " &amp; TEXT(HLG_05[[#This Row],[Rit]],"000")</f>
        <v>N/A / 000</v>
      </c>
      <c r="J498" s="34"/>
      <c r="K498" s="38"/>
      <c r="L498" s="35"/>
      <c r="M498" s="66"/>
      <c r="N498" s="66"/>
      <c r="O498" s="66"/>
      <c r="P498" s="66"/>
      <c r="Q498" s="66"/>
      <c r="R498" s="67"/>
      <c r="S498" s="67"/>
      <c r="T498" s="67"/>
      <c r="U498" s="66"/>
      <c r="V498" s="66"/>
      <c r="W498" s="66"/>
      <c r="X498" s="85"/>
      <c r="AP498" t="str">
        <v/>
      </c>
    </row>
    <row r="499" spans="4:42" ht="15.75" x14ac:dyDescent="0.25">
      <c r="D499" s="3">
        <v>1</v>
      </c>
      <c r="F499" s="16" t="str" cm="1">
        <f t="array" ref="F4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9" s="31" cm="1">
        <f t="array" ref="G4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9" s="33" t="str">
        <f>_xlfn.IFNA(IF(MOD(HLG_05[[#This Row],[Rit]],
    _xlfn.XLOOKUP($G$2,Int_Sample[Ore],Int_Sample[Inc])) = 0, "YES", "NO"),"")</f>
        <v/>
      </c>
      <c r="I499" s="32" t="str">
        <f>TEXT(HLG_05[[#This Row],[Batch]],"000")&amp; " / " &amp; TEXT(HLG_05[[#This Row],[Rit]],"000")</f>
        <v>N/A / 000</v>
      </c>
      <c r="J499" s="34"/>
      <c r="K499" s="38"/>
      <c r="L499" s="35"/>
      <c r="M499" s="66"/>
      <c r="N499" s="66"/>
      <c r="O499" s="66"/>
      <c r="P499" s="66"/>
      <c r="Q499" s="66"/>
      <c r="R499" s="67"/>
      <c r="S499" s="67"/>
      <c r="T499" s="67"/>
      <c r="U499" s="66"/>
      <c r="V499" s="66"/>
      <c r="W499" s="66"/>
      <c r="X499" s="85"/>
      <c r="AP499" t="str">
        <v/>
      </c>
    </row>
    <row r="500" spans="4:42" ht="15.75" x14ac:dyDescent="0.25">
      <c r="D500" s="3">
        <v>1</v>
      </c>
      <c r="F500" s="16" t="str" cm="1">
        <f t="array" ref="F5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0" s="31" cm="1">
        <f t="array" ref="G5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0" s="33" t="str">
        <f>_xlfn.IFNA(IF(MOD(HLG_05[[#This Row],[Rit]],
    _xlfn.XLOOKUP($G$2,Int_Sample[Ore],Int_Sample[Inc])) = 0, "YES", "NO"),"")</f>
        <v/>
      </c>
      <c r="I500" s="32" t="str">
        <f>TEXT(HLG_05[[#This Row],[Batch]],"000")&amp; " / " &amp; TEXT(HLG_05[[#This Row],[Rit]],"000")</f>
        <v>N/A / 000</v>
      </c>
      <c r="J500" s="34"/>
      <c r="K500" s="38"/>
      <c r="L500" s="35"/>
      <c r="M500" s="66"/>
      <c r="N500" s="66"/>
      <c r="O500" s="66"/>
      <c r="P500" s="66"/>
      <c r="Q500" s="66"/>
      <c r="R500" s="67"/>
      <c r="S500" s="67"/>
      <c r="T500" s="67"/>
      <c r="U500" s="66"/>
      <c r="V500" s="66"/>
      <c r="W500" s="66"/>
      <c r="X500" s="85"/>
      <c r="AP500" t="str">
        <v/>
      </c>
    </row>
    <row r="501" spans="4:42" ht="15.75" x14ac:dyDescent="0.25">
      <c r="D501" s="3">
        <v>1</v>
      </c>
      <c r="F501" s="16" t="str" cm="1">
        <f t="array" ref="F5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1" s="31" cm="1">
        <f t="array" ref="G5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1" s="33" t="str">
        <f>_xlfn.IFNA(IF(MOD(HLG_05[[#This Row],[Rit]],
    _xlfn.XLOOKUP($G$2,Int_Sample[Ore],Int_Sample[Inc])) = 0, "YES", "NO"),"")</f>
        <v/>
      </c>
      <c r="I501" s="32" t="str">
        <f>TEXT(HLG_05[[#This Row],[Batch]],"000")&amp; " / " &amp; TEXT(HLG_05[[#This Row],[Rit]],"000")</f>
        <v>N/A / 000</v>
      </c>
      <c r="J501" s="34"/>
      <c r="K501" s="38"/>
      <c r="L501" s="35"/>
      <c r="M501" s="66"/>
      <c r="N501" s="66"/>
      <c r="O501" s="66"/>
      <c r="P501" s="66"/>
      <c r="Q501" s="66"/>
      <c r="R501" s="67"/>
      <c r="S501" s="67"/>
      <c r="T501" s="67"/>
      <c r="U501" s="66"/>
      <c r="V501" s="66"/>
      <c r="W501" s="66"/>
      <c r="X501" s="85"/>
      <c r="AP501" t="str">
        <v/>
      </c>
    </row>
    <row r="502" spans="4:42" ht="15.75" x14ac:dyDescent="0.25">
      <c r="D502" s="3">
        <v>1</v>
      </c>
      <c r="F502" s="16" t="str" cm="1">
        <f t="array" ref="F5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2" s="31" cm="1">
        <f t="array" ref="G5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2" s="33" t="str">
        <f>_xlfn.IFNA(IF(MOD(HLG_05[[#This Row],[Rit]],
    _xlfn.XLOOKUP($G$2,Int_Sample[Ore],Int_Sample[Inc])) = 0, "YES", "NO"),"")</f>
        <v/>
      </c>
      <c r="I502" s="32" t="str">
        <f>TEXT(HLG_05[[#This Row],[Batch]],"000")&amp; " / " &amp; TEXT(HLG_05[[#This Row],[Rit]],"000")</f>
        <v>N/A / 000</v>
      </c>
      <c r="J502" s="34"/>
      <c r="K502" s="38"/>
      <c r="L502" s="35"/>
      <c r="M502" s="66"/>
      <c r="N502" s="66"/>
      <c r="O502" s="66"/>
      <c r="P502" s="66"/>
      <c r="Q502" s="66"/>
      <c r="R502" s="67"/>
      <c r="S502" s="67"/>
      <c r="T502" s="67"/>
      <c r="U502" s="66"/>
      <c r="V502" s="66"/>
      <c r="W502" s="66"/>
      <c r="X502" s="85"/>
      <c r="AP502" t="str">
        <v/>
      </c>
    </row>
    <row r="503" spans="4:42" ht="15.75" x14ac:dyDescent="0.25">
      <c r="D503" s="3">
        <v>1</v>
      </c>
      <c r="F503" s="16" t="str" cm="1">
        <f t="array" ref="F5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3" s="31" cm="1">
        <f t="array" ref="G5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3" s="33" t="str">
        <f>_xlfn.IFNA(IF(MOD(HLG_05[[#This Row],[Rit]],
    _xlfn.XLOOKUP($G$2,Int_Sample[Ore],Int_Sample[Inc])) = 0, "YES", "NO"),"")</f>
        <v/>
      </c>
      <c r="I503" s="32" t="str">
        <f>TEXT(HLG_05[[#This Row],[Batch]],"000")&amp; " / " &amp; TEXT(HLG_05[[#This Row],[Rit]],"000")</f>
        <v>N/A / 000</v>
      </c>
      <c r="J503" s="34"/>
      <c r="K503" s="38"/>
      <c r="L503" s="35"/>
      <c r="M503" s="66"/>
      <c r="N503" s="66"/>
      <c r="O503" s="66"/>
      <c r="P503" s="66"/>
      <c r="Q503" s="66"/>
      <c r="R503" s="67"/>
      <c r="S503" s="67"/>
      <c r="T503" s="67"/>
      <c r="U503" s="66"/>
      <c r="V503" s="66"/>
      <c r="W503" s="66"/>
      <c r="X503" s="85"/>
      <c r="AP503" t="str">
        <v/>
      </c>
    </row>
    <row r="504" spans="4:42" ht="15.75" x14ac:dyDescent="0.25">
      <c r="D504" s="3">
        <v>1</v>
      </c>
      <c r="F504" s="16" t="str" cm="1">
        <f t="array" ref="F5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4" s="31" cm="1">
        <f t="array" ref="G5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4" s="33" t="str">
        <f>_xlfn.IFNA(IF(MOD(HLG_05[[#This Row],[Rit]],
    _xlfn.XLOOKUP($G$2,Int_Sample[Ore],Int_Sample[Inc])) = 0, "YES", "NO"),"")</f>
        <v/>
      </c>
      <c r="I504" s="32" t="str">
        <f>TEXT(HLG_05[[#This Row],[Batch]],"000")&amp; " / " &amp; TEXT(HLG_05[[#This Row],[Rit]],"000")</f>
        <v>N/A / 000</v>
      </c>
      <c r="J504" s="34"/>
      <c r="K504" s="38"/>
      <c r="L504" s="35"/>
      <c r="M504" s="66"/>
      <c r="N504" s="66"/>
      <c r="O504" s="66"/>
      <c r="P504" s="66"/>
      <c r="Q504" s="66"/>
      <c r="R504" s="67"/>
      <c r="S504" s="67"/>
      <c r="T504" s="67"/>
      <c r="U504" s="66"/>
      <c r="V504" s="66"/>
      <c r="W504" s="66"/>
      <c r="X504" s="85"/>
      <c r="AP504" t="str">
        <v/>
      </c>
    </row>
    <row r="505" spans="4:42" ht="15.75" x14ac:dyDescent="0.25">
      <c r="D505" s="3">
        <v>1</v>
      </c>
      <c r="F505" s="16" t="str" cm="1">
        <f t="array" ref="F5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5" s="31" cm="1">
        <f t="array" ref="G5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5" s="33" t="str">
        <f>_xlfn.IFNA(IF(MOD(HLG_05[[#This Row],[Rit]],
    _xlfn.XLOOKUP($G$2,Int_Sample[Ore],Int_Sample[Inc])) = 0, "YES", "NO"),"")</f>
        <v/>
      </c>
      <c r="I505" s="32" t="str">
        <f>TEXT(HLG_05[[#This Row],[Batch]],"000")&amp; " / " &amp; TEXT(HLG_05[[#This Row],[Rit]],"000")</f>
        <v>N/A / 000</v>
      </c>
      <c r="J505" s="34"/>
      <c r="K505" s="38"/>
      <c r="L505" s="35"/>
      <c r="M505" s="66"/>
      <c r="N505" s="66"/>
      <c r="O505" s="66"/>
      <c r="P505" s="66"/>
      <c r="Q505" s="66"/>
      <c r="R505" s="67"/>
      <c r="S505" s="67"/>
      <c r="T505" s="67"/>
      <c r="U505" s="66"/>
      <c r="V505" s="66"/>
      <c r="W505" s="66"/>
      <c r="X505" s="85"/>
      <c r="AP505" t="str">
        <v/>
      </c>
    </row>
    <row r="506" spans="4:42" ht="15.75" x14ac:dyDescent="0.25">
      <c r="D506" s="3">
        <v>1</v>
      </c>
      <c r="F506" s="16" t="str" cm="1">
        <f t="array" ref="F5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6" s="31" cm="1">
        <f t="array" ref="G5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6" s="33" t="str">
        <f>_xlfn.IFNA(IF(MOD(HLG_05[[#This Row],[Rit]],
    _xlfn.XLOOKUP($G$2,Int_Sample[Ore],Int_Sample[Inc])) = 0, "YES", "NO"),"")</f>
        <v/>
      </c>
      <c r="I506" s="32" t="str">
        <f>TEXT(HLG_05[[#This Row],[Batch]],"000")&amp; " / " &amp; TEXT(HLG_05[[#This Row],[Rit]],"000")</f>
        <v>N/A / 000</v>
      </c>
      <c r="J506" s="34"/>
      <c r="K506" s="38"/>
      <c r="L506" s="35"/>
      <c r="M506" s="66"/>
      <c r="N506" s="66"/>
      <c r="O506" s="66"/>
      <c r="P506" s="66"/>
      <c r="Q506" s="66"/>
      <c r="R506" s="67"/>
      <c r="S506" s="67"/>
      <c r="T506" s="67"/>
      <c r="U506" s="66"/>
      <c r="V506" s="66"/>
      <c r="W506" s="66"/>
      <c r="X506" s="85"/>
      <c r="AP506" t="str">
        <v/>
      </c>
    </row>
    <row r="507" spans="4:42" ht="15.75" x14ac:dyDescent="0.25">
      <c r="D507" s="3">
        <v>1</v>
      </c>
      <c r="F507" s="16" t="str" cm="1">
        <f t="array" ref="F5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7" s="31" cm="1">
        <f t="array" ref="G5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7" s="33" t="str">
        <f>_xlfn.IFNA(IF(MOD(HLG_05[[#This Row],[Rit]],
    _xlfn.XLOOKUP($G$2,Int_Sample[Ore],Int_Sample[Inc])) = 0, "YES", "NO"),"")</f>
        <v/>
      </c>
      <c r="I507" s="32" t="str">
        <f>TEXT(HLG_05[[#This Row],[Batch]],"000")&amp; " / " &amp; TEXT(HLG_05[[#This Row],[Rit]],"000")</f>
        <v>N/A / 000</v>
      </c>
      <c r="J507" s="34"/>
      <c r="K507" s="38"/>
      <c r="L507" s="35"/>
      <c r="M507" s="66"/>
      <c r="N507" s="66"/>
      <c r="O507" s="66"/>
      <c r="P507" s="66"/>
      <c r="Q507" s="66"/>
      <c r="R507" s="67"/>
      <c r="S507" s="67"/>
      <c r="T507" s="67"/>
      <c r="U507" s="66"/>
      <c r="V507" s="66"/>
      <c r="W507" s="66"/>
      <c r="X507" s="85"/>
      <c r="AP507" t="str">
        <v/>
      </c>
    </row>
    <row r="508" spans="4:42" ht="15.75" x14ac:dyDescent="0.25">
      <c r="D508" s="3">
        <v>1</v>
      </c>
      <c r="F508" s="16" t="str" cm="1">
        <f t="array" ref="F5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8" s="31" cm="1">
        <f t="array" ref="G5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8" s="33" t="str">
        <f>_xlfn.IFNA(IF(MOD(HLG_05[[#This Row],[Rit]],
    _xlfn.XLOOKUP($G$2,Int_Sample[Ore],Int_Sample[Inc])) = 0, "YES", "NO"),"")</f>
        <v/>
      </c>
      <c r="I508" s="32" t="str">
        <f>TEXT(HLG_05[[#This Row],[Batch]],"000")&amp; " / " &amp; TEXT(HLG_05[[#This Row],[Rit]],"000")</f>
        <v>N/A / 000</v>
      </c>
      <c r="J508" s="34"/>
      <c r="K508" s="38"/>
      <c r="L508" s="35"/>
      <c r="M508" s="66"/>
      <c r="N508" s="66"/>
      <c r="O508" s="66"/>
      <c r="P508" s="66"/>
      <c r="Q508" s="66"/>
      <c r="R508" s="67"/>
      <c r="S508" s="67"/>
      <c r="T508" s="67"/>
      <c r="U508" s="66"/>
      <c r="V508" s="66"/>
      <c r="W508" s="66"/>
      <c r="X508" s="85"/>
      <c r="AP508" t="str">
        <v/>
      </c>
    </row>
    <row r="509" spans="4:42" ht="15.75" x14ac:dyDescent="0.25">
      <c r="D509" s="3">
        <v>1</v>
      </c>
      <c r="F509" s="16" t="str" cm="1">
        <f t="array" ref="F5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9" s="31" cm="1">
        <f t="array" ref="G5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9" s="33" t="str">
        <f>_xlfn.IFNA(IF(MOD(HLG_05[[#This Row],[Rit]],
    _xlfn.XLOOKUP($G$2,Int_Sample[Ore],Int_Sample[Inc])) = 0, "YES", "NO"),"")</f>
        <v/>
      </c>
      <c r="I509" s="32" t="str">
        <f>TEXT(HLG_05[[#This Row],[Batch]],"000")&amp; " / " &amp; TEXT(HLG_05[[#This Row],[Rit]],"000")</f>
        <v>N/A / 000</v>
      </c>
      <c r="J509" s="34"/>
      <c r="K509" s="38"/>
      <c r="L509" s="35"/>
      <c r="M509" s="66"/>
      <c r="N509" s="66"/>
      <c r="O509" s="66"/>
      <c r="P509" s="66"/>
      <c r="Q509" s="66"/>
      <c r="R509" s="67"/>
      <c r="S509" s="67"/>
      <c r="T509" s="67"/>
      <c r="U509" s="66"/>
      <c r="V509" s="66"/>
      <c r="W509" s="66"/>
      <c r="X509" s="85"/>
      <c r="AP509" t="str">
        <v/>
      </c>
    </row>
    <row r="510" spans="4:42" ht="15.75" x14ac:dyDescent="0.25">
      <c r="D510" s="3">
        <v>1</v>
      </c>
      <c r="F510" s="16" t="str" cm="1">
        <f t="array" ref="F5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0" s="31" cm="1">
        <f t="array" ref="G5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0" s="33" t="str">
        <f>_xlfn.IFNA(IF(MOD(HLG_05[[#This Row],[Rit]],
    _xlfn.XLOOKUP($G$2,Int_Sample[Ore],Int_Sample[Inc])) = 0, "YES", "NO"),"")</f>
        <v/>
      </c>
      <c r="I510" s="32" t="str">
        <f>TEXT(HLG_05[[#This Row],[Batch]],"000")&amp; " / " &amp; TEXT(HLG_05[[#This Row],[Rit]],"000")</f>
        <v>N/A / 000</v>
      </c>
      <c r="J510" s="34"/>
      <c r="K510" s="38"/>
      <c r="L510" s="35"/>
      <c r="M510" s="66"/>
      <c r="N510" s="66"/>
      <c r="O510" s="66"/>
      <c r="P510" s="66"/>
      <c r="Q510" s="66"/>
      <c r="R510" s="67"/>
      <c r="S510" s="67"/>
      <c r="T510" s="67"/>
      <c r="U510" s="66"/>
      <c r="V510" s="66"/>
      <c r="W510" s="66"/>
      <c r="X510" s="85"/>
      <c r="AP510" t="str">
        <v/>
      </c>
    </row>
    <row r="511" spans="4:42" ht="15.75" x14ac:dyDescent="0.25">
      <c r="D511" s="3">
        <v>1</v>
      </c>
      <c r="F511" s="16" t="str" cm="1">
        <f t="array" ref="F5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1" s="31" cm="1">
        <f t="array" ref="G5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1" s="33" t="str">
        <f>_xlfn.IFNA(IF(MOD(HLG_05[[#This Row],[Rit]],
    _xlfn.XLOOKUP($G$2,Int_Sample[Ore],Int_Sample[Inc])) = 0, "YES", "NO"),"")</f>
        <v/>
      </c>
      <c r="I511" s="32" t="str">
        <f>TEXT(HLG_05[[#This Row],[Batch]],"000")&amp; " / " &amp; TEXT(HLG_05[[#This Row],[Rit]],"000")</f>
        <v>N/A / 000</v>
      </c>
      <c r="J511" s="34"/>
      <c r="K511" s="38"/>
      <c r="L511" s="35"/>
      <c r="M511" s="66"/>
      <c r="N511" s="66"/>
      <c r="O511" s="66"/>
      <c r="P511" s="66"/>
      <c r="Q511" s="66"/>
      <c r="R511" s="67"/>
      <c r="S511" s="67"/>
      <c r="T511" s="67"/>
      <c r="U511" s="66"/>
      <c r="V511" s="66"/>
      <c r="W511" s="66"/>
      <c r="X511" s="85"/>
      <c r="AP511" t="str">
        <v/>
      </c>
    </row>
    <row r="512" spans="4:42" ht="15.75" x14ac:dyDescent="0.25">
      <c r="D512" s="3">
        <v>1</v>
      </c>
      <c r="F512" s="16" t="str" cm="1">
        <f t="array" ref="F5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2" s="31" cm="1">
        <f t="array" ref="G5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2" s="33" t="str">
        <f>_xlfn.IFNA(IF(MOD(HLG_05[[#This Row],[Rit]],
    _xlfn.XLOOKUP($G$2,Int_Sample[Ore],Int_Sample[Inc])) = 0, "YES", "NO"),"")</f>
        <v/>
      </c>
      <c r="I512" s="32" t="str">
        <f>TEXT(HLG_05[[#This Row],[Batch]],"000")&amp; " / " &amp; TEXT(HLG_05[[#This Row],[Rit]],"000")</f>
        <v>N/A / 000</v>
      </c>
      <c r="J512" s="34"/>
      <c r="K512" s="38"/>
      <c r="L512" s="35"/>
      <c r="M512" s="66"/>
      <c r="N512" s="66"/>
      <c r="O512" s="66"/>
      <c r="P512" s="66"/>
      <c r="Q512" s="66"/>
      <c r="R512" s="67"/>
      <c r="S512" s="67"/>
      <c r="T512" s="67"/>
      <c r="U512" s="66"/>
      <c r="V512" s="66"/>
      <c r="W512" s="66"/>
      <c r="X512" s="85"/>
      <c r="AP512" t="str">
        <v/>
      </c>
    </row>
    <row r="513" spans="4:42" ht="15.75" x14ac:dyDescent="0.25">
      <c r="D513" s="3">
        <v>1</v>
      </c>
      <c r="F513" s="16" t="str" cm="1">
        <f t="array" ref="F5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3" s="31" cm="1">
        <f t="array" ref="G5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3" s="33" t="str">
        <f>_xlfn.IFNA(IF(MOD(HLG_05[[#This Row],[Rit]],
    _xlfn.XLOOKUP($G$2,Int_Sample[Ore],Int_Sample[Inc])) = 0, "YES", "NO"),"")</f>
        <v/>
      </c>
      <c r="I513" s="32" t="str">
        <f>TEXT(HLG_05[[#This Row],[Batch]],"000")&amp; " / " &amp; TEXT(HLG_05[[#This Row],[Rit]],"000")</f>
        <v>N/A / 000</v>
      </c>
      <c r="J513" s="34"/>
      <c r="K513" s="38"/>
      <c r="L513" s="35"/>
      <c r="M513" s="66"/>
      <c r="N513" s="66"/>
      <c r="O513" s="66"/>
      <c r="P513" s="66"/>
      <c r="Q513" s="66"/>
      <c r="R513" s="67"/>
      <c r="S513" s="67"/>
      <c r="T513" s="67"/>
      <c r="U513" s="66"/>
      <c r="V513" s="66"/>
      <c r="W513" s="66"/>
      <c r="X513" s="85"/>
      <c r="AP513" t="str">
        <v/>
      </c>
    </row>
    <row r="514" spans="4:42" ht="15.75" x14ac:dyDescent="0.25">
      <c r="D514" s="3">
        <v>1</v>
      </c>
      <c r="F514" s="16" t="str" cm="1">
        <f t="array" ref="F5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4" s="31" cm="1">
        <f t="array" ref="G5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4" s="33" t="str">
        <f>_xlfn.IFNA(IF(MOD(HLG_05[[#This Row],[Rit]],
    _xlfn.XLOOKUP($G$2,Int_Sample[Ore],Int_Sample[Inc])) = 0, "YES", "NO"),"")</f>
        <v/>
      </c>
      <c r="I514" s="32" t="str">
        <f>TEXT(HLG_05[[#This Row],[Batch]],"000")&amp; " / " &amp; TEXT(HLG_05[[#This Row],[Rit]],"000")</f>
        <v>N/A / 000</v>
      </c>
      <c r="J514" s="34"/>
      <c r="K514" s="38"/>
      <c r="L514" s="35"/>
      <c r="M514" s="66"/>
      <c r="N514" s="66"/>
      <c r="O514" s="66"/>
      <c r="P514" s="66"/>
      <c r="Q514" s="66"/>
      <c r="R514" s="67"/>
      <c r="S514" s="67"/>
      <c r="T514" s="67"/>
      <c r="U514" s="66"/>
      <c r="V514" s="66"/>
      <c r="W514" s="66"/>
      <c r="X514" s="85"/>
      <c r="AP514" t="str">
        <v/>
      </c>
    </row>
    <row r="515" spans="4:42" ht="15.75" x14ac:dyDescent="0.25">
      <c r="D515" s="3">
        <v>1</v>
      </c>
      <c r="F515" s="16" t="str" cm="1">
        <f t="array" ref="F5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5" s="31" cm="1">
        <f t="array" ref="G5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5" s="33" t="str">
        <f>_xlfn.IFNA(IF(MOD(HLG_05[[#This Row],[Rit]],
    _xlfn.XLOOKUP($G$2,Int_Sample[Ore],Int_Sample[Inc])) = 0, "YES", "NO"),"")</f>
        <v/>
      </c>
      <c r="I515" s="32" t="str">
        <f>TEXT(HLG_05[[#This Row],[Batch]],"000")&amp; " / " &amp; TEXT(HLG_05[[#This Row],[Rit]],"000")</f>
        <v>N/A / 000</v>
      </c>
      <c r="J515" s="34"/>
      <c r="K515" s="38"/>
      <c r="L515" s="35"/>
      <c r="M515" s="66"/>
      <c r="N515" s="66"/>
      <c r="O515" s="66"/>
      <c r="P515" s="66"/>
      <c r="Q515" s="66"/>
      <c r="R515" s="67"/>
      <c r="S515" s="67"/>
      <c r="T515" s="67"/>
      <c r="U515" s="66"/>
      <c r="V515" s="66"/>
      <c r="W515" s="66"/>
      <c r="X515" s="85"/>
      <c r="AP515" t="str">
        <v/>
      </c>
    </row>
    <row r="516" spans="4:42" ht="15.75" x14ac:dyDescent="0.25">
      <c r="D516" s="3">
        <v>1</v>
      </c>
      <c r="F516" s="16" t="str" cm="1">
        <f t="array" ref="F5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6" s="31" cm="1">
        <f t="array" ref="G5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6" s="33" t="str">
        <f>_xlfn.IFNA(IF(MOD(HLG_05[[#This Row],[Rit]],
    _xlfn.XLOOKUP($G$2,Int_Sample[Ore],Int_Sample[Inc])) = 0, "YES", "NO"),"")</f>
        <v/>
      </c>
      <c r="I516" s="32" t="str">
        <f>TEXT(HLG_05[[#This Row],[Batch]],"000")&amp; " / " &amp; TEXT(HLG_05[[#This Row],[Rit]],"000")</f>
        <v>N/A / 000</v>
      </c>
      <c r="J516" s="34"/>
      <c r="K516" s="38"/>
      <c r="L516" s="35"/>
      <c r="M516" s="66"/>
      <c r="N516" s="66"/>
      <c r="O516" s="66"/>
      <c r="P516" s="66"/>
      <c r="Q516" s="66"/>
      <c r="R516" s="67"/>
      <c r="S516" s="67"/>
      <c r="T516" s="67"/>
      <c r="U516" s="66"/>
      <c r="V516" s="66"/>
      <c r="W516" s="66"/>
      <c r="X516" s="85"/>
      <c r="AP516" t="str">
        <v/>
      </c>
    </row>
    <row r="517" spans="4:42" ht="15.75" x14ac:dyDescent="0.25">
      <c r="D517" s="3">
        <v>1</v>
      </c>
      <c r="F517" s="16" t="str" cm="1">
        <f t="array" ref="F5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7" s="31" cm="1">
        <f t="array" ref="G5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7" s="33" t="str">
        <f>_xlfn.IFNA(IF(MOD(HLG_05[[#This Row],[Rit]],
    _xlfn.XLOOKUP($G$2,Int_Sample[Ore],Int_Sample[Inc])) = 0, "YES", "NO"),"")</f>
        <v/>
      </c>
      <c r="I517" s="32" t="str">
        <f>TEXT(HLG_05[[#This Row],[Batch]],"000")&amp; " / " &amp; TEXT(HLG_05[[#This Row],[Rit]],"000")</f>
        <v>N/A / 000</v>
      </c>
      <c r="J517" s="34"/>
      <c r="K517" s="38"/>
      <c r="L517" s="35"/>
      <c r="M517" s="66"/>
      <c r="N517" s="66"/>
      <c r="O517" s="66"/>
      <c r="P517" s="66"/>
      <c r="Q517" s="66"/>
      <c r="R517" s="67"/>
      <c r="S517" s="67"/>
      <c r="T517" s="67"/>
      <c r="U517" s="66"/>
      <c r="V517" s="66"/>
      <c r="W517" s="66"/>
      <c r="X517" s="85"/>
      <c r="AP517" t="str">
        <v/>
      </c>
    </row>
    <row r="518" spans="4:42" ht="15.75" x14ac:dyDescent="0.25">
      <c r="D518" s="3">
        <v>1</v>
      </c>
      <c r="F518" s="16" t="str" cm="1">
        <f t="array" ref="F5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8" s="31" cm="1">
        <f t="array" ref="G5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8" s="33" t="str">
        <f>_xlfn.IFNA(IF(MOD(HLG_05[[#This Row],[Rit]],
    _xlfn.XLOOKUP($G$2,Int_Sample[Ore],Int_Sample[Inc])) = 0, "YES", "NO"),"")</f>
        <v/>
      </c>
      <c r="I518" s="32" t="str">
        <f>TEXT(HLG_05[[#This Row],[Batch]],"000")&amp; " / " &amp; TEXT(HLG_05[[#This Row],[Rit]],"000")</f>
        <v>N/A / 000</v>
      </c>
      <c r="J518" s="34"/>
      <c r="K518" s="38"/>
      <c r="L518" s="35"/>
      <c r="M518" s="66"/>
      <c r="N518" s="66"/>
      <c r="O518" s="66"/>
      <c r="P518" s="66"/>
      <c r="Q518" s="66"/>
      <c r="R518" s="67"/>
      <c r="S518" s="67"/>
      <c r="T518" s="67"/>
      <c r="U518" s="66"/>
      <c r="V518" s="66"/>
      <c r="W518" s="66"/>
      <c r="X518" s="85"/>
      <c r="AP518" t="str">
        <v/>
      </c>
    </row>
    <row r="519" spans="4:42" ht="15.75" x14ac:dyDescent="0.25">
      <c r="D519" s="3">
        <v>1</v>
      </c>
      <c r="F519" s="16" t="str" cm="1">
        <f t="array" ref="F5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9" s="31" cm="1">
        <f t="array" ref="G5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9" s="33" t="str">
        <f>_xlfn.IFNA(IF(MOD(HLG_05[[#This Row],[Rit]],
    _xlfn.XLOOKUP($G$2,Int_Sample[Ore],Int_Sample[Inc])) = 0, "YES", "NO"),"")</f>
        <v/>
      </c>
      <c r="I519" s="32" t="str">
        <f>TEXT(HLG_05[[#This Row],[Batch]],"000")&amp; " / " &amp; TEXT(HLG_05[[#This Row],[Rit]],"000")</f>
        <v>N/A / 000</v>
      </c>
      <c r="J519" s="34"/>
      <c r="K519" s="38"/>
      <c r="L519" s="35"/>
      <c r="M519" s="66"/>
      <c r="N519" s="66"/>
      <c r="O519" s="66"/>
      <c r="P519" s="66"/>
      <c r="Q519" s="66"/>
      <c r="R519" s="67"/>
      <c r="S519" s="67"/>
      <c r="T519" s="67"/>
      <c r="U519" s="66"/>
      <c r="V519" s="66"/>
      <c r="W519" s="66"/>
      <c r="X519" s="85"/>
      <c r="AP519" t="str">
        <v/>
      </c>
    </row>
    <row r="520" spans="4:42" ht="15.75" x14ac:dyDescent="0.25">
      <c r="D520" s="3">
        <v>1</v>
      </c>
      <c r="F520" s="16" t="str" cm="1">
        <f t="array" ref="F5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0" s="31" cm="1">
        <f t="array" ref="G5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0" s="33" t="str">
        <f>_xlfn.IFNA(IF(MOD(HLG_05[[#This Row],[Rit]],
    _xlfn.XLOOKUP($G$2,Int_Sample[Ore],Int_Sample[Inc])) = 0, "YES", "NO"),"")</f>
        <v/>
      </c>
      <c r="I520" s="32" t="str">
        <f>TEXT(HLG_05[[#This Row],[Batch]],"000")&amp; " / " &amp; TEXT(HLG_05[[#This Row],[Rit]],"000")</f>
        <v>N/A / 000</v>
      </c>
      <c r="J520" s="34"/>
      <c r="K520" s="38"/>
      <c r="L520" s="35"/>
      <c r="M520" s="66"/>
      <c r="N520" s="66"/>
      <c r="O520" s="66"/>
      <c r="P520" s="66"/>
      <c r="Q520" s="66"/>
      <c r="R520" s="67"/>
      <c r="S520" s="67"/>
      <c r="T520" s="67"/>
      <c r="U520" s="66"/>
      <c r="V520" s="66"/>
      <c r="W520" s="66"/>
      <c r="X520" s="85"/>
      <c r="AP520" t="str">
        <v/>
      </c>
    </row>
    <row r="521" spans="4:42" ht="15.75" x14ac:dyDescent="0.25">
      <c r="D521" s="3">
        <v>1</v>
      </c>
      <c r="F521" s="16" t="str" cm="1">
        <f t="array" ref="F5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1" s="31" cm="1">
        <f t="array" ref="G5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1" s="33" t="str">
        <f>_xlfn.IFNA(IF(MOD(HLG_05[[#This Row],[Rit]],
    _xlfn.XLOOKUP($G$2,Int_Sample[Ore],Int_Sample[Inc])) = 0, "YES", "NO"),"")</f>
        <v/>
      </c>
      <c r="I521" s="32" t="str">
        <f>TEXT(HLG_05[[#This Row],[Batch]],"000")&amp; " / " &amp; TEXT(HLG_05[[#This Row],[Rit]],"000")</f>
        <v>N/A / 000</v>
      </c>
      <c r="J521" s="34"/>
      <c r="K521" s="38"/>
      <c r="L521" s="35"/>
      <c r="M521" s="66"/>
      <c r="N521" s="66"/>
      <c r="O521" s="66"/>
      <c r="P521" s="66"/>
      <c r="Q521" s="66"/>
      <c r="R521" s="67"/>
      <c r="S521" s="67"/>
      <c r="T521" s="67"/>
      <c r="U521" s="66"/>
      <c r="V521" s="66"/>
      <c r="W521" s="66"/>
      <c r="X521" s="85"/>
      <c r="AP521" t="str">
        <v/>
      </c>
    </row>
    <row r="522" spans="4:42" ht="15.75" x14ac:dyDescent="0.25">
      <c r="D522" s="3">
        <v>1</v>
      </c>
      <c r="F522" s="16" t="str" cm="1">
        <f t="array" ref="F5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2" s="31" cm="1">
        <f t="array" ref="G5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2" s="33" t="str">
        <f>_xlfn.IFNA(IF(MOD(HLG_05[[#This Row],[Rit]],
    _xlfn.XLOOKUP($G$2,Int_Sample[Ore],Int_Sample[Inc])) = 0, "YES", "NO"),"")</f>
        <v/>
      </c>
      <c r="I522" s="32" t="str">
        <f>TEXT(HLG_05[[#This Row],[Batch]],"000")&amp; " / " &amp; TEXT(HLG_05[[#This Row],[Rit]],"000")</f>
        <v>N/A / 000</v>
      </c>
      <c r="J522" s="34"/>
      <c r="K522" s="38"/>
      <c r="L522" s="35"/>
      <c r="M522" s="66"/>
      <c r="N522" s="66"/>
      <c r="O522" s="66"/>
      <c r="P522" s="66"/>
      <c r="Q522" s="66"/>
      <c r="R522" s="67"/>
      <c r="S522" s="67"/>
      <c r="T522" s="67"/>
      <c r="U522" s="66"/>
      <c r="V522" s="66"/>
      <c r="W522" s="66"/>
      <c r="X522" s="85"/>
      <c r="AP522" t="str">
        <v/>
      </c>
    </row>
    <row r="523" spans="4:42" ht="15.75" x14ac:dyDescent="0.25">
      <c r="D523" s="3">
        <v>1</v>
      </c>
      <c r="F523" s="16" t="str" cm="1">
        <f t="array" ref="F5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3" s="31" cm="1">
        <f t="array" ref="G5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3" s="33" t="str">
        <f>_xlfn.IFNA(IF(MOD(HLG_05[[#This Row],[Rit]],
    _xlfn.XLOOKUP($G$2,Int_Sample[Ore],Int_Sample[Inc])) = 0, "YES", "NO"),"")</f>
        <v/>
      </c>
      <c r="I523" s="32" t="str">
        <f>TEXT(HLG_05[[#This Row],[Batch]],"000")&amp; " / " &amp; TEXT(HLG_05[[#This Row],[Rit]],"000")</f>
        <v>N/A / 000</v>
      </c>
      <c r="J523" s="34"/>
      <c r="K523" s="38"/>
      <c r="L523" s="35"/>
      <c r="M523" s="66"/>
      <c r="N523" s="66"/>
      <c r="O523" s="66"/>
      <c r="P523" s="66"/>
      <c r="Q523" s="66"/>
      <c r="R523" s="67"/>
      <c r="S523" s="67"/>
      <c r="T523" s="67"/>
      <c r="U523" s="66"/>
      <c r="V523" s="66"/>
      <c r="W523" s="66"/>
      <c r="X523" s="85"/>
      <c r="AP523" t="str">
        <v/>
      </c>
    </row>
    <row r="524" spans="4:42" ht="15.75" x14ac:dyDescent="0.25">
      <c r="D524" s="3">
        <v>1</v>
      </c>
      <c r="F524" s="16" t="str" cm="1">
        <f t="array" ref="F5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4" s="31" cm="1">
        <f t="array" ref="G5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4" s="33" t="str">
        <f>_xlfn.IFNA(IF(MOD(HLG_05[[#This Row],[Rit]],
    _xlfn.XLOOKUP($G$2,Int_Sample[Ore],Int_Sample[Inc])) = 0, "YES", "NO"),"")</f>
        <v/>
      </c>
      <c r="I524" s="32" t="str">
        <f>TEXT(HLG_05[[#This Row],[Batch]],"000")&amp; " / " &amp; TEXT(HLG_05[[#This Row],[Rit]],"000")</f>
        <v>N/A / 000</v>
      </c>
      <c r="J524" s="34"/>
      <c r="K524" s="38"/>
      <c r="L524" s="35"/>
      <c r="M524" s="66"/>
      <c r="N524" s="66"/>
      <c r="O524" s="66"/>
      <c r="P524" s="66"/>
      <c r="Q524" s="66"/>
      <c r="R524" s="67"/>
      <c r="S524" s="67"/>
      <c r="T524" s="67"/>
      <c r="U524" s="66"/>
      <c r="V524" s="66"/>
      <c r="W524" s="66"/>
      <c r="X524" s="85"/>
      <c r="AP524" t="str">
        <v/>
      </c>
    </row>
    <row r="525" spans="4:42" ht="15.75" x14ac:dyDescent="0.25">
      <c r="D525" s="3">
        <v>1</v>
      </c>
      <c r="F525" s="16" t="str" cm="1">
        <f t="array" ref="F5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5" s="31" cm="1">
        <f t="array" ref="G5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5" s="33" t="str">
        <f>_xlfn.IFNA(IF(MOD(HLG_05[[#This Row],[Rit]],
    _xlfn.XLOOKUP($G$2,Int_Sample[Ore],Int_Sample[Inc])) = 0, "YES", "NO"),"")</f>
        <v/>
      </c>
      <c r="I525" s="32" t="str">
        <f>TEXT(HLG_05[[#This Row],[Batch]],"000")&amp; " / " &amp; TEXT(HLG_05[[#This Row],[Rit]],"000")</f>
        <v>N/A / 000</v>
      </c>
      <c r="J525" s="34"/>
      <c r="K525" s="38"/>
      <c r="L525" s="35"/>
      <c r="M525" s="66"/>
      <c r="N525" s="66"/>
      <c r="O525" s="66"/>
      <c r="P525" s="66"/>
      <c r="Q525" s="66"/>
      <c r="R525" s="67"/>
      <c r="S525" s="67"/>
      <c r="T525" s="67"/>
      <c r="U525" s="66"/>
      <c r="V525" s="66"/>
      <c r="W525" s="66"/>
      <c r="X525" s="85"/>
      <c r="AP525" t="str">
        <v/>
      </c>
    </row>
    <row r="526" spans="4:42" ht="15.75" x14ac:dyDescent="0.25">
      <c r="D526" s="3">
        <v>1</v>
      </c>
      <c r="F526" s="16" t="str" cm="1">
        <f t="array" ref="F5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6" s="31" cm="1">
        <f t="array" ref="G5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6" s="33" t="str">
        <f>_xlfn.IFNA(IF(MOD(HLG_05[[#This Row],[Rit]],
    _xlfn.XLOOKUP($G$2,Int_Sample[Ore],Int_Sample[Inc])) = 0, "YES", "NO"),"")</f>
        <v/>
      </c>
      <c r="I526" s="32" t="str">
        <f>TEXT(HLG_05[[#This Row],[Batch]],"000")&amp; " / " &amp; TEXT(HLG_05[[#This Row],[Rit]],"000")</f>
        <v>N/A / 000</v>
      </c>
      <c r="J526" s="34"/>
      <c r="K526" s="38"/>
      <c r="L526" s="35"/>
      <c r="M526" s="66"/>
      <c r="N526" s="66"/>
      <c r="O526" s="66"/>
      <c r="P526" s="66"/>
      <c r="Q526" s="66"/>
      <c r="R526" s="67"/>
      <c r="S526" s="67"/>
      <c r="T526" s="67"/>
      <c r="U526" s="66"/>
      <c r="V526" s="66"/>
      <c r="W526" s="66"/>
      <c r="X526" s="85"/>
      <c r="AP526" t="str">
        <v/>
      </c>
    </row>
    <row r="527" spans="4:42" ht="15.75" x14ac:dyDescent="0.25">
      <c r="D527" s="3">
        <v>1</v>
      </c>
      <c r="F527" s="16" t="str" cm="1">
        <f t="array" ref="F5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7" s="31" cm="1">
        <f t="array" ref="G5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7" s="33" t="str">
        <f>_xlfn.IFNA(IF(MOD(HLG_05[[#This Row],[Rit]],
    _xlfn.XLOOKUP($G$2,Int_Sample[Ore],Int_Sample[Inc])) = 0, "YES", "NO"),"")</f>
        <v/>
      </c>
      <c r="I527" s="32" t="str">
        <f>TEXT(HLG_05[[#This Row],[Batch]],"000")&amp; " / " &amp; TEXT(HLG_05[[#This Row],[Rit]],"000")</f>
        <v>N/A / 000</v>
      </c>
      <c r="J527" s="34"/>
      <c r="K527" s="38"/>
      <c r="L527" s="35"/>
      <c r="M527" s="66"/>
      <c r="N527" s="66"/>
      <c r="O527" s="66"/>
      <c r="P527" s="66"/>
      <c r="Q527" s="66"/>
      <c r="R527" s="67"/>
      <c r="S527" s="67"/>
      <c r="T527" s="67"/>
      <c r="U527" s="66"/>
      <c r="V527" s="66"/>
      <c r="W527" s="66"/>
      <c r="X527" s="85"/>
      <c r="AP527" t="str">
        <v/>
      </c>
    </row>
    <row r="528" spans="4:42" ht="15.75" x14ac:dyDescent="0.25">
      <c r="D528" s="3">
        <v>1</v>
      </c>
      <c r="F528" s="16" t="str" cm="1">
        <f t="array" ref="F5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8" s="31" cm="1">
        <f t="array" ref="G5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8" s="33" t="str">
        <f>_xlfn.IFNA(IF(MOD(HLG_05[[#This Row],[Rit]],
    _xlfn.XLOOKUP($G$2,Int_Sample[Ore],Int_Sample[Inc])) = 0, "YES", "NO"),"")</f>
        <v/>
      </c>
      <c r="I528" s="32" t="str">
        <f>TEXT(HLG_05[[#This Row],[Batch]],"000")&amp; " / " &amp; TEXT(HLG_05[[#This Row],[Rit]],"000")</f>
        <v>N/A / 000</v>
      </c>
      <c r="J528" s="34"/>
      <c r="K528" s="38"/>
      <c r="L528" s="35"/>
      <c r="M528" s="66"/>
      <c r="N528" s="66"/>
      <c r="O528" s="66"/>
      <c r="P528" s="66"/>
      <c r="Q528" s="66"/>
      <c r="R528" s="67"/>
      <c r="S528" s="67"/>
      <c r="T528" s="67"/>
      <c r="U528" s="66"/>
      <c r="V528" s="66"/>
      <c r="W528" s="66"/>
      <c r="X528" s="85"/>
      <c r="AP528" t="str">
        <v/>
      </c>
    </row>
    <row r="529" spans="4:42" ht="15.75" x14ac:dyDescent="0.25">
      <c r="D529" s="3">
        <v>1</v>
      </c>
      <c r="F529" s="16" t="str" cm="1">
        <f t="array" ref="F5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9" s="31" cm="1">
        <f t="array" ref="G5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9" s="33" t="str">
        <f>_xlfn.IFNA(IF(MOD(HLG_05[[#This Row],[Rit]],
    _xlfn.XLOOKUP($G$2,Int_Sample[Ore],Int_Sample[Inc])) = 0, "YES", "NO"),"")</f>
        <v/>
      </c>
      <c r="I529" s="32" t="str">
        <f>TEXT(HLG_05[[#This Row],[Batch]],"000")&amp; " / " &amp; TEXT(HLG_05[[#This Row],[Rit]],"000")</f>
        <v>N/A / 000</v>
      </c>
      <c r="J529" s="34"/>
      <c r="K529" s="38"/>
      <c r="L529" s="35"/>
      <c r="M529" s="66"/>
      <c r="N529" s="66"/>
      <c r="O529" s="66"/>
      <c r="P529" s="66"/>
      <c r="Q529" s="66"/>
      <c r="R529" s="67"/>
      <c r="S529" s="67"/>
      <c r="T529" s="67"/>
      <c r="U529" s="66"/>
      <c r="V529" s="66"/>
      <c r="W529" s="66"/>
      <c r="X529" s="85"/>
      <c r="AP529" t="str">
        <v/>
      </c>
    </row>
    <row r="530" spans="4:42" ht="15.75" x14ac:dyDescent="0.25">
      <c r="D530" s="3">
        <v>1</v>
      </c>
      <c r="F530" s="16" t="str" cm="1">
        <f t="array" ref="F5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0" s="31" cm="1">
        <f t="array" ref="G5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0" s="33" t="str">
        <f>_xlfn.IFNA(IF(MOD(HLG_05[[#This Row],[Rit]],
    _xlfn.XLOOKUP($G$2,Int_Sample[Ore],Int_Sample[Inc])) = 0, "YES", "NO"),"")</f>
        <v/>
      </c>
      <c r="I530" s="32" t="str">
        <f>TEXT(HLG_05[[#This Row],[Batch]],"000")&amp; " / " &amp; TEXT(HLG_05[[#This Row],[Rit]],"000")</f>
        <v>N/A / 000</v>
      </c>
      <c r="J530" s="34"/>
      <c r="K530" s="38"/>
      <c r="L530" s="35"/>
      <c r="M530" s="66"/>
      <c r="N530" s="66"/>
      <c r="O530" s="66"/>
      <c r="P530" s="66"/>
      <c r="Q530" s="66"/>
      <c r="R530" s="67"/>
      <c r="S530" s="67"/>
      <c r="T530" s="67"/>
      <c r="U530" s="66"/>
      <c r="V530" s="66"/>
      <c r="W530" s="66"/>
      <c r="X530" s="85"/>
      <c r="AP530" t="str">
        <v/>
      </c>
    </row>
    <row r="531" spans="4:42" ht="15.75" x14ac:dyDescent="0.25">
      <c r="D531" s="3">
        <v>1</v>
      </c>
      <c r="F531" s="16" t="str" cm="1">
        <f t="array" ref="F5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1" s="31" cm="1">
        <f t="array" ref="G5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1" s="33" t="str">
        <f>_xlfn.IFNA(IF(MOD(HLG_05[[#This Row],[Rit]],
    _xlfn.XLOOKUP($G$2,Int_Sample[Ore],Int_Sample[Inc])) = 0, "YES", "NO"),"")</f>
        <v/>
      </c>
      <c r="I531" s="32" t="str">
        <f>TEXT(HLG_05[[#This Row],[Batch]],"000")&amp; " / " &amp; TEXT(HLG_05[[#This Row],[Rit]],"000")</f>
        <v>N/A / 000</v>
      </c>
      <c r="J531" s="34"/>
      <c r="K531" s="38"/>
      <c r="L531" s="35"/>
      <c r="M531" s="66"/>
      <c r="N531" s="66"/>
      <c r="O531" s="66"/>
      <c r="P531" s="66"/>
      <c r="Q531" s="66"/>
      <c r="R531" s="67"/>
      <c r="S531" s="67"/>
      <c r="T531" s="67"/>
      <c r="U531" s="66"/>
      <c r="V531" s="66"/>
      <c r="W531" s="66"/>
      <c r="X531" s="85"/>
      <c r="AP531" t="str">
        <v/>
      </c>
    </row>
    <row r="532" spans="4:42" ht="15.75" x14ac:dyDescent="0.25">
      <c r="D532" s="3">
        <v>1</v>
      </c>
      <c r="F532" s="16" t="str" cm="1">
        <f t="array" ref="F5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2" s="31" cm="1">
        <f t="array" ref="G5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2" s="33" t="str">
        <f>_xlfn.IFNA(IF(MOD(HLG_05[[#This Row],[Rit]],
    _xlfn.XLOOKUP($G$2,Int_Sample[Ore],Int_Sample[Inc])) = 0, "YES", "NO"),"")</f>
        <v/>
      </c>
      <c r="I532" s="32" t="str">
        <f>TEXT(HLG_05[[#This Row],[Batch]],"000")&amp; " / " &amp; TEXT(HLG_05[[#This Row],[Rit]],"000")</f>
        <v>N/A / 000</v>
      </c>
      <c r="J532" s="34"/>
      <c r="K532" s="38"/>
      <c r="L532" s="35"/>
      <c r="M532" s="66"/>
      <c r="N532" s="66"/>
      <c r="O532" s="66"/>
      <c r="P532" s="66"/>
      <c r="Q532" s="66"/>
      <c r="R532" s="67"/>
      <c r="S532" s="67"/>
      <c r="T532" s="67"/>
      <c r="U532" s="66"/>
      <c r="V532" s="66"/>
      <c r="W532" s="66"/>
      <c r="X532" s="85"/>
      <c r="AP532" t="str">
        <v/>
      </c>
    </row>
    <row r="533" spans="4:42" ht="15.75" x14ac:dyDescent="0.25">
      <c r="D533" s="3">
        <v>1</v>
      </c>
      <c r="F533" s="16" t="str" cm="1">
        <f t="array" ref="F5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3" s="31" cm="1">
        <f t="array" ref="G5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3" s="33" t="str">
        <f>_xlfn.IFNA(IF(MOD(HLG_05[[#This Row],[Rit]],
    _xlfn.XLOOKUP($G$2,Int_Sample[Ore],Int_Sample[Inc])) = 0, "YES", "NO"),"")</f>
        <v/>
      </c>
      <c r="I533" s="32" t="str">
        <f>TEXT(HLG_05[[#This Row],[Batch]],"000")&amp; " / " &amp; TEXT(HLG_05[[#This Row],[Rit]],"000")</f>
        <v>N/A / 000</v>
      </c>
      <c r="J533" s="34"/>
      <c r="K533" s="38"/>
      <c r="L533" s="35"/>
      <c r="M533" s="66"/>
      <c r="N533" s="66"/>
      <c r="O533" s="66"/>
      <c r="P533" s="66"/>
      <c r="Q533" s="66"/>
      <c r="R533" s="67"/>
      <c r="S533" s="67"/>
      <c r="T533" s="67"/>
      <c r="U533" s="66"/>
      <c r="V533" s="66"/>
      <c r="W533" s="66"/>
      <c r="X533" s="85"/>
      <c r="AP533" t="str">
        <v/>
      </c>
    </row>
    <row r="534" spans="4:42" ht="15.75" x14ac:dyDescent="0.25">
      <c r="D534" s="3">
        <v>1</v>
      </c>
      <c r="F534" s="16" t="str" cm="1">
        <f t="array" ref="F5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4" s="31" cm="1">
        <f t="array" ref="G5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4" s="33" t="str">
        <f>_xlfn.IFNA(IF(MOD(HLG_05[[#This Row],[Rit]],
    _xlfn.XLOOKUP($G$2,Int_Sample[Ore],Int_Sample[Inc])) = 0, "YES", "NO"),"")</f>
        <v/>
      </c>
      <c r="I534" s="32" t="str">
        <f>TEXT(HLG_05[[#This Row],[Batch]],"000")&amp; " / " &amp; TEXT(HLG_05[[#This Row],[Rit]],"000")</f>
        <v>N/A / 000</v>
      </c>
      <c r="J534" s="34"/>
      <c r="K534" s="38"/>
      <c r="L534" s="35"/>
      <c r="M534" s="66"/>
      <c r="N534" s="66"/>
      <c r="O534" s="66"/>
      <c r="P534" s="66"/>
      <c r="Q534" s="66"/>
      <c r="R534" s="67"/>
      <c r="S534" s="67"/>
      <c r="T534" s="67"/>
      <c r="U534" s="66"/>
      <c r="V534" s="66"/>
      <c r="W534" s="66"/>
      <c r="X534" s="85"/>
      <c r="AP534" t="str">
        <v/>
      </c>
    </row>
    <row r="535" spans="4:42" ht="15.75" x14ac:dyDescent="0.25">
      <c r="D535" s="3">
        <v>1</v>
      </c>
      <c r="F535" s="16" t="str" cm="1">
        <f t="array" ref="F5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5" s="31" cm="1">
        <f t="array" ref="G5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5" s="33" t="str">
        <f>_xlfn.IFNA(IF(MOD(HLG_05[[#This Row],[Rit]],
    _xlfn.XLOOKUP($G$2,Int_Sample[Ore],Int_Sample[Inc])) = 0, "YES", "NO"),"")</f>
        <v/>
      </c>
      <c r="I535" s="32" t="str">
        <f>TEXT(HLG_05[[#This Row],[Batch]],"000")&amp; " / " &amp; TEXT(HLG_05[[#This Row],[Rit]],"000")</f>
        <v>N/A / 000</v>
      </c>
      <c r="J535" s="34"/>
      <c r="K535" s="38"/>
      <c r="L535" s="35"/>
      <c r="M535" s="66"/>
      <c r="N535" s="66"/>
      <c r="O535" s="66"/>
      <c r="P535" s="66"/>
      <c r="Q535" s="66"/>
      <c r="R535" s="67"/>
      <c r="S535" s="67"/>
      <c r="T535" s="67"/>
      <c r="U535" s="66"/>
      <c r="V535" s="66"/>
      <c r="W535" s="66"/>
      <c r="X535" s="85"/>
      <c r="AP535" t="str">
        <v/>
      </c>
    </row>
    <row r="536" spans="4:42" ht="15.75" x14ac:dyDescent="0.25">
      <c r="D536" s="3">
        <v>1</v>
      </c>
      <c r="F536" s="16" t="str" cm="1">
        <f t="array" ref="F5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6" s="31" cm="1">
        <f t="array" ref="G5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6" s="33" t="str">
        <f>_xlfn.IFNA(IF(MOD(HLG_05[[#This Row],[Rit]],
    _xlfn.XLOOKUP($G$2,Int_Sample[Ore],Int_Sample[Inc])) = 0, "YES", "NO"),"")</f>
        <v/>
      </c>
      <c r="I536" s="32" t="str">
        <f>TEXT(HLG_05[[#This Row],[Batch]],"000")&amp; " / " &amp; TEXT(HLG_05[[#This Row],[Rit]],"000")</f>
        <v>N/A / 000</v>
      </c>
      <c r="J536" s="34"/>
      <c r="K536" s="38"/>
      <c r="L536" s="35"/>
      <c r="M536" s="66"/>
      <c r="N536" s="66"/>
      <c r="O536" s="66"/>
      <c r="P536" s="66"/>
      <c r="Q536" s="66"/>
      <c r="R536" s="67"/>
      <c r="S536" s="67"/>
      <c r="T536" s="67"/>
      <c r="U536" s="66"/>
      <c r="V536" s="66"/>
      <c r="W536" s="66"/>
      <c r="X536" s="85"/>
      <c r="AP536" t="str">
        <v/>
      </c>
    </row>
    <row r="537" spans="4:42" ht="15.75" x14ac:dyDescent="0.25">
      <c r="D537" s="3">
        <v>1</v>
      </c>
      <c r="F537" s="16" t="str" cm="1">
        <f t="array" ref="F5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7" s="31" cm="1">
        <f t="array" ref="G5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7" s="33" t="str">
        <f>_xlfn.IFNA(IF(MOD(HLG_05[[#This Row],[Rit]],
    _xlfn.XLOOKUP($G$2,Int_Sample[Ore],Int_Sample[Inc])) = 0, "YES", "NO"),"")</f>
        <v/>
      </c>
      <c r="I537" s="32" t="str">
        <f>TEXT(HLG_05[[#This Row],[Batch]],"000")&amp; " / " &amp; TEXT(HLG_05[[#This Row],[Rit]],"000")</f>
        <v>N/A / 000</v>
      </c>
      <c r="J537" s="34"/>
      <c r="K537" s="38"/>
      <c r="L537" s="35"/>
      <c r="M537" s="66"/>
      <c r="N537" s="66"/>
      <c r="O537" s="66"/>
      <c r="P537" s="66"/>
      <c r="Q537" s="66"/>
      <c r="R537" s="67"/>
      <c r="S537" s="67"/>
      <c r="T537" s="67"/>
      <c r="U537" s="66"/>
      <c r="V537" s="66"/>
      <c r="W537" s="66"/>
      <c r="X537" s="85"/>
      <c r="AP537" t="str">
        <v/>
      </c>
    </row>
    <row r="538" spans="4:42" ht="15.75" x14ac:dyDescent="0.25">
      <c r="D538" s="3">
        <v>1</v>
      </c>
      <c r="F538" s="16" t="str" cm="1">
        <f t="array" ref="F5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8" s="31" cm="1">
        <f t="array" ref="G5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8" s="33" t="str">
        <f>_xlfn.IFNA(IF(MOD(HLG_05[[#This Row],[Rit]],
    _xlfn.XLOOKUP($G$2,Int_Sample[Ore],Int_Sample[Inc])) = 0, "YES", "NO"),"")</f>
        <v/>
      </c>
      <c r="I538" s="32" t="str">
        <f>TEXT(HLG_05[[#This Row],[Batch]],"000")&amp; " / " &amp; TEXT(HLG_05[[#This Row],[Rit]],"000")</f>
        <v>N/A / 000</v>
      </c>
      <c r="J538" s="34"/>
      <c r="K538" s="38"/>
      <c r="L538" s="35"/>
      <c r="M538" s="66"/>
      <c r="N538" s="66"/>
      <c r="O538" s="66"/>
      <c r="P538" s="66"/>
      <c r="Q538" s="66"/>
      <c r="R538" s="67"/>
      <c r="S538" s="67"/>
      <c r="T538" s="67"/>
      <c r="U538" s="66"/>
      <c r="V538" s="66"/>
      <c r="W538" s="66"/>
      <c r="X538" s="85"/>
      <c r="AP538" t="str">
        <v/>
      </c>
    </row>
    <row r="539" spans="4:42" ht="15.75" x14ac:dyDescent="0.25">
      <c r="D539" s="3">
        <v>1</v>
      </c>
      <c r="F539" s="16" t="str" cm="1">
        <f t="array" ref="F5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9" s="31" cm="1">
        <f t="array" ref="G5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9" s="33" t="str">
        <f>_xlfn.IFNA(IF(MOD(HLG_05[[#This Row],[Rit]],
    _xlfn.XLOOKUP($G$2,Int_Sample[Ore],Int_Sample[Inc])) = 0, "YES", "NO"),"")</f>
        <v/>
      </c>
      <c r="I539" s="32" t="str">
        <f>TEXT(HLG_05[[#This Row],[Batch]],"000")&amp; " / " &amp; TEXT(HLG_05[[#This Row],[Rit]],"000")</f>
        <v>N/A / 000</v>
      </c>
      <c r="J539" s="34"/>
      <c r="K539" s="38"/>
      <c r="L539" s="35"/>
      <c r="M539" s="66"/>
      <c r="N539" s="66"/>
      <c r="O539" s="66"/>
      <c r="P539" s="66"/>
      <c r="Q539" s="66"/>
      <c r="R539" s="67"/>
      <c r="S539" s="67"/>
      <c r="T539" s="67"/>
      <c r="U539" s="66"/>
      <c r="V539" s="66"/>
      <c r="W539" s="66"/>
      <c r="X539" s="85"/>
      <c r="AP539" t="str">
        <v/>
      </c>
    </row>
    <row r="540" spans="4:42" ht="15.75" x14ac:dyDescent="0.25">
      <c r="D540" s="3">
        <v>1</v>
      </c>
      <c r="F540" s="16" t="str" cm="1">
        <f t="array" ref="F5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0" s="31" cm="1">
        <f t="array" ref="G5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0" s="33" t="str">
        <f>_xlfn.IFNA(IF(MOD(HLG_05[[#This Row],[Rit]],
    _xlfn.XLOOKUP($G$2,Int_Sample[Ore],Int_Sample[Inc])) = 0, "YES", "NO"),"")</f>
        <v/>
      </c>
      <c r="I540" s="32" t="str">
        <f>TEXT(HLG_05[[#This Row],[Batch]],"000")&amp; " / " &amp; TEXT(HLG_05[[#This Row],[Rit]],"000")</f>
        <v>N/A / 000</v>
      </c>
      <c r="J540" s="34"/>
      <c r="K540" s="38"/>
      <c r="L540" s="35"/>
      <c r="M540" s="66"/>
      <c r="N540" s="66"/>
      <c r="O540" s="66"/>
      <c r="P540" s="66"/>
      <c r="Q540" s="66"/>
      <c r="R540" s="67"/>
      <c r="S540" s="67"/>
      <c r="T540" s="67"/>
      <c r="U540" s="66"/>
      <c r="V540" s="66"/>
      <c r="W540" s="66"/>
      <c r="X540" s="85"/>
      <c r="AP540" t="str">
        <v/>
      </c>
    </row>
    <row r="541" spans="4:42" ht="15.75" x14ac:dyDescent="0.25">
      <c r="D541" s="3">
        <v>1</v>
      </c>
      <c r="F541" s="16" t="str" cm="1">
        <f t="array" ref="F5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1" s="31" cm="1">
        <f t="array" ref="G5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1" s="33" t="str">
        <f>_xlfn.IFNA(IF(MOD(HLG_05[[#This Row],[Rit]],
    _xlfn.XLOOKUP($G$2,Int_Sample[Ore],Int_Sample[Inc])) = 0, "YES", "NO"),"")</f>
        <v/>
      </c>
      <c r="I541" s="32" t="str">
        <f>TEXT(HLG_05[[#This Row],[Batch]],"000")&amp; " / " &amp; TEXT(HLG_05[[#This Row],[Rit]],"000")</f>
        <v>N/A / 000</v>
      </c>
      <c r="J541" s="34"/>
      <c r="K541" s="38"/>
      <c r="L541" s="35"/>
      <c r="M541" s="66"/>
      <c r="N541" s="66"/>
      <c r="O541" s="66"/>
      <c r="P541" s="66"/>
      <c r="Q541" s="66"/>
      <c r="R541" s="67"/>
      <c r="S541" s="67"/>
      <c r="T541" s="67"/>
      <c r="U541" s="66"/>
      <c r="V541" s="66"/>
      <c r="W541" s="66"/>
      <c r="X541" s="85"/>
      <c r="AP541" t="str">
        <v/>
      </c>
    </row>
    <row r="542" spans="4:42" ht="15.75" x14ac:dyDescent="0.25">
      <c r="D542" s="3">
        <v>1</v>
      </c>
      <c r="F542" s="16" t="str" cm="1">
        <f t="array" ref="F5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2" s="31" cm="1">
        <f t="array" ref="G5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2" s="33" t="str">
        <f>_xlfn.IFNA(IF(MOD(HLG_05[[#This Row],[Rit]],
    _xlfn.XLOOKUP($G$2,Int_Sample[Ore],Int_Sample[Inc])) = 0, "YES", "NO"),"")</f>
        <v/>
      </c>
      <c r="I542" s="32" t="str">
        <f>TEXT(HLG_05[[#This Row],[Batch]],"000")&amp; " / " &amp; TEXT(HLG_05[[#This Row],[Rit]],"000")</f>
        <v>N/A / 000</v>
      </c>
      <c r="J542" s="34"/>
      <c r="K542" s="38"/>
      <c r="L542" s="35"/>
      <c r="M542" s="66"/>
      <c r="N542" s="66"/>
      <c r="O542" s="66"/>
      <c r="P542" s="66"/>
      <c r="Q542" s="66"/>
      <c r="R542" s="67"/>
      <c r="S542" s="67"/>
      <c r="T542" s="67"/>
      <c r="U542" s="66"/>
      <c r="V542" s="66"/>
      <c r="W542" s="66"/>
      <c r="X542" s="85"/>
      <c r="AP542" t="str">
        <v/>
      </c>
    </row>
    <row r="543" spans="4:42" ht="15.75" x14ac:dyDescent="0.25">
      <c r="D543" s="3">
        <v>1</v>
      </c>
      <c r="F543" s="16" t="str" cm="1">
        <f t="array" ref="F5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3" s="31" cm="1">
        <f t="array" ref="G5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3" s="33" t="str">
        <f>_xlfn.IFNA(IF(MOD(HLG_05[[#This Row],[Rit]],
    _xlfn.XLOOKUP($G$2,Int_Sample[Ore],Int_Sample[Inc])) = 0, "YES", "NO"),"")</f>
        <v/>
      </c>
      <c r="I543" s="32" t="str">
        <f>TEXT(HLG_05[[#This Row],[Batch]],"000")&amp; " / " &amp; TEXT(HLG_05[[#This Row],[Rit]],"000")</f>
        <v>N/A / 000</v>
      </c>
      <c r="J543" s="34"/>
      <c r="K543" s="38"/>
      <c r="L543" s="35"/>
      <c r="M543" s="66"/>
      <c r="N543" s="66"/>
      <c r="O543" s="66"/>
      <c r="P543" s="66"/>
      <c r="Q543" s="66"/>
      <c r="R543" s="67"/>
      <c r="S543" s="67"/>
      <c r="T543" s="67"/>
      <c r="U543" s="66"/>
      <c r="V543" s="66"/>
      <c r="W543" s="66"/>
      <c r="X543" s="85"/>
      <c r="AP543" t="str">
        <v/>
      </c>
    </row>
    <row r="544" spans="4:42" ht="15.75" x14ac:dyDescent="0.25">
      <c r="D544" s="3">
        <v>1</v>
      </c>
      <c r="F544" s="16" t="str" cm="1">
        <f t="array" ref="F5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4" s="31" cm="1">
        <f t="array" ref="G5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4" s="33" t="str">
        <f>_xlfn.IFNA(IF(MOD(HLG_05[[#This Row],[Rit]],
    _xlfn.XLOOKUP($G$2,Int_Sample[Ore],Int_Sample[Inc])) = 0, "YES", "NO"),"")</f>
        <v/>
      </c>
      <c r="I544" s="32" t="str">
        <f>TEXT(HLG_05[[#This Row],[Batch]],"000")&amp; " / " &amp; TEXT(HLG_05[[#This Row],[Rit]],"000")</f>
        <v>N/A / 000</v>
      </c>
      <c r="J544" s="34"/>
      <c r="K544" s="38"/>
      <c r="L544" s="35"/>
      <c r="M544" s="66"/>
      <c r="N544" s="66"/>
      <c r="O544" s="66"/>
      <c r="P544" s="66"/>
      <c r="Q544" s="66"/>
      <c r="R544" s="67"/>
      <c r="S544" s="67"/>
      <c r="T544" s="67"/>
      <c r="U544" s="66"/>
      <c r="V544" s="66"/>
      <c r="W544" s="66"/>
      <c r="X544" s="85"/>
      <c r="AP544" t="str">
        <v/>
      </c>
    </row>
    <row r="545" spans="4:42" ht="15.75" x14ac:dyDescent="0.25">
      <c r="D545" s="3">
        <v>1</v>
      </c>
      <c r="F545" s="16" t="str" cm="1">
        <f t="array" ref="F5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5" s="31" cm="1">
        <f t="array" ref="G5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5" s="33" t="str">
        <f>_xlfn.IFNA(IF(MOD(HLG_05[[#This Row],[Rit]],
    _xlfn.XLOOKUP($G$2,Int_Sample[Ore],Int_Sample[Inc])) = 0, "YES", "NO"),"")</f>
        <v/>
      </c>
      <c r="I545" s="32" t="str">
        <f>TEXT(HLG_05[[#This Row],[Batch]],"000")&amp; " / " &amp; TEXT(HLG_05[[#This Row],[Rit]],"000")</f>
        <v>N/A / 000</v>
      </c>
      <c r="J545" s="34"/>
      <c r="K545" s="38"/>
      <c r="L545" s="35"/>
      <c r="M545" s="66"/>
      <c r="N545" s="66"/>
      <c r="O545" s="66"/>
      <c r="P545" s="66"/>
      <c r="Q545" s="66"/>
      <c r="R545" s="67"/>
      <c r="S545" s="67"/>
      <c r="T545" s="67"/>
      <c r="U545" s="66"/>
      <c r="V545" s="66"/>
      <c r="W545" s="66"/>
      <c r="X545" s="85"/>
      <c r="AP545" t="str">
        <v/>
      </c>
    </row>
    <row r="546" spans="4:42" ht="15.75" x14ac:dyDescent="0.25">
      <c r="D546" s="3">
        <v>1</v>
      </c>
      <c r="F546" s="16" t="str" cm="1">
        <f t="array" ref="F5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6" s="31" cm="1">
        <f t="array" ref="G5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6" s="33" t="str">
        <f>_xlfn.IFNA(IF(MOD(HLG_05[[#This Row],[Rit]],
    _xlfn.XLOOKUP($G$2,Int_Sample[Ore],Int_Sample[Inc])) = 0, "YES", "NO"),"")</f>
        <v/>
      </c>
      <c r="I546" s="32" t="str">
        <f>TEXT(HLG_05[[#This Row],[Batch]],"000")&amp; " / " &amp; TEXT(HLG_05[[#This Row],[Rit]],"000")</f>
        <v>N/A / 000</v>
      </c>
      <c r="J546" s="34"/>
      <c r="K546" s="38"/>
      <c r="L546" s="35"/>
      <c r="M546" s="66"/>
      <c r="N546" s="66"/>
      <c r="O546" s="66"/>
      <c r="P546" s="66"/>
      <c r="Q546" s="66"/>
      <c r="R546" s="67"/>
      <c r="S546" s="67"/>
      <c r="T546" s="67"/>
      <c r="U546" s="66"/>
      <c r="V546" s="66"/>
      <c r="W546" s="66"/>
      <c r="X546" s="85"/>
      <c r="AP546" t="str">
        <v/>
      </c>
    </row>
    <row r="547" spans="4:42" ht="15.75" x14ac:dyDescent="0.25">
      <c r="D547" s="3">
        <v>1</v>
      </c>
      <c r="F547" s="16" t="str" cm="1">
        <f t="array" ref="F5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7" s="31" cm="1">
        <f t="array" ref="G5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7" s="33" t="str">
        <f>_xlfn.IFNA(IF(MOD(HLG_05[[#This Row],[Rit]],
    _xlfn.XLOOKUP($G$2,Int_Sample[Ore],Int_Sample[Inc])) = 0, "YES", "NO"),"")</f>
        <v/>
      </c>
      <c r="I547" s="32" t="str">
        <f>TEXT(HLG_05[[#This Row],[Batch]],"000")&amp; " / " &amp; TEXT(HLG_05[[#This Row],[Rit]],"000")</f>
        <v>N/A / 000</v>
      </c>
      <c r="J547" s="34"/>
      <c r="K547" s="38"/>
      <c r="L547" s="35"/>
      <c r="M547" s="66"/>
      <c r="N547" s="66"/>
      <c r="O547" s="66"/>
      <c r="P547" s="66"/>
      <c r="Q547" s="66"/>
      <c r="R547" s="67"/>
      <c r="S547" s="67"/>
      <c r="T547" s="67"/>
      <c r="U547" s="66"/>
      <c r="V547" s="66"/>
      <c r="W547" s="66"/>
      <c r="X547" s="85"/>
      <c r="AP547" t="str">
        <v/>
      </c>
    </row>
    <row r="548" spans="4:42" ht="15.75" x14ac:dyDescent="0.25">
      <c r="D548" s="3">
        <v>1</v>
      </c>
      <c r="F548" s="16" t="str" cm="1">
        <f t="array" ref="F5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8" s="31" cm="1">
        <f t="array" ref="G5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8" s="33" t="str">
        <f>_xlfn.IFNA(IF(MOD(HLG_05[[#This Row],[Rit]],
    _xlfn.XLOOKUP($G$2,Int_Sample[Ore],Int_Sample[Inc])) = 0, "YES", "NO"),"")</f>
        <v/>
      </c>
      <c r="I548" s="32" t="str">
        <f>TEXT(HLG_05[[#This Row],[Batch]],"000")&amp; " / " &amp; TEXT(HLG_05[[#This Row],[Rit]],"000")</f>
        <v>N/A / 000</v>
      </c>
      <c r="J548" s="34"/>
      <c r="K548" s="38"/>
      <c r="L548" s="35"/>
      <c r="M548" s="66"/>
      <c r="N548" s="66"/>
      <c r="O548" s="66"/>
      <c r="P548" s="66"/>
      <c r="Q548" s="66"/>
      <c r="R548" s="67"/>
      <c r="S548" s="67"/>
      <c r="T548" s="67"/>
      <c r="U548" s="66"/>
      <c r="V548" s="66"/>
      <c r="W548" s="66"/>
      <c r="X548" s="85"/>
      <c r="AP548" t="str">
        <v/>
      </c>
    </row>
    <row r="549" spans="4:42" ht="15.75" x14ac:dyDescent="0.25">
      <c r="D549" s="3">
        <v>1</v>
      </c>
      <c r="F549" s="16" t="str" cm="1">
        <f t="array" ref="F5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9" s="31" cm="1">
        <f t="array" ref="G5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9" s="33" t="str">
        <f>_xlfn.IFNA(IF(MOD(HLG_05[[#This Row],[Rit]],
    _xlfn.XLOOKUP($G$2,Int_Sample[Ore],Int_Sample[Inc])) = 0, "YES", "NO"),"")</f>
        <v/>
      </c>
      <c r="I549" s="32" t="str">
        <f>TEXT(HLG_05[[#This Row],[Batch]],"000")&amp; " / " &amp; TEXT(HLG_05[[#This Row],[Rit]],"000")</f>
        <v>N/A / 000</v>
      </c>
      <c r="J549" s="34"/>
      <c r="K549" s="38"/>
      <c r="L549" s="35"/>
      <c r="M549" s="66"/>
      <c r="N549" s="66"/>
      <c r="O549" s="66"/>
      <c r="P549" s="66"/>
      <c r="Q549" s="66"/>
      <c r="R549" s="67"/>
      <c r="S549" s="67"/>
      <c r="T549" s="67"/>
      <c r="U549" s="66"/>
      <c r="V549" s="66"/>
      <c r="W549" s="66"/>
      <c r="X549" s="85"/>
      <c r="AP549" t="str">
        <v/>
      </c>
    </row>
    <row r="550" spans="4:42" ht="15.75" x14ac:dyDescent="0.25">
      <c r="D550" s="3">
        <v>1</v>
      </c>
      <c r="F550" s="16" t="str" cm="1">
        <f t="array" ref="F5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0" s="31" cm="1">
        <f t="array" ref="G5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0" s="33" t="str">
        <f>_xlfn.IFNA(IF(MOD(HLG_05[[#This Row],[Rit]],
    _xlfn.XLOOKUP($G$2,Int_Sample[Ore],Int_Sample[Inc])) = 0, "YES", "NO"),"")</f>
        <v/>
      </c>
      <c r="I550" s="32" t="str">
        <f>TEXT(HLG_05[[#This Row],[Batch]],"000")&amp; " / " &amp; TEXT(HLG_05[[#This Row],[Rit]],"000")</f>
        <v>N/A / 000</v>
      </c>
      <c r="J550" s="34"/>
      <c r="K550" s="38"/>
      <c r="L550" s="35"/>
      <c r="M550" s="66"/>
      <c r="N550" s="66"/>
      <c r="O550" s="66"/>
      <c r="P550" s="66"/>
      <c r="Q550" s="66"/>
      <c r="R550" s="67"/>
      <c r="S550" s="67"/>
      <c r="T550" s="67"/>
      <c r="U550" s="66"/>
      <c r="V550" s="66"/>
      <c r="W550" s="66"/>
      <c r="X550" s="85"/>
      <c r="AP550" t="str">
        <v/>
      </c>
    </row>
    <row r="551" spans="4:42" ht="15.75" x14ac:dyDescent="0.25">
      <c r="D551" s="3">
        <v>1</v>
      </c>
      <c r="F551" s="16" t="str" cm="1">
        <f t="array" ref="F5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1" s="31" cm="1">
        <f t="array" ref="G5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1" s="33" t="str">
        <f>_xlfn.IFNA(IF(MOD(HLG_05[[#This Row],[Rit]],
    _xlfn.XLOOKUP($G$2,Int_Sample[Ore],Int_Sample[Inc])) = 0, "YES", "NO"),"")</f>
        <v/>
      </c>
      <c r="I551" s="32" t="str">
        <f>TEXT(HLG_05[[#This Row],[Batch]],"000")&amp; " / " &amp; TEXT(HLG_05[[#This Row],[Rit]],"000")</f>
        <v>N/A / 000</v>
      </c>
      <c r="J551" s="34"/>
      <c r="K551" s="38"/>
      <c r="L551" s="35"/>
      <c r="M551" s="66"/>
      <c r="N551" s="66"/>
      <c r="O551" s="66"/>
      <c r="P551" s="66"/>
      <c r="Q551" s="66"/>
      <c r="R551" s="67"/>
      <c r="S551" s="67"/>
      <c r="T551" s="67"/>
      <c r="U551" s="66"/>
      <c r="V551" s="66"/>
      <c r="W551" s="66"/>
      <c r="X551" s="85"/>
      <c r="AP551" t="str">
        <v/>
      </c>
    </row>
    <row r="552" spans="4:42" ht="15.75" x14ac:dyDescent="0.25">
      <c r="D552" s="3">
        <v>1</v>
      </c>
      <c r="F552" s="16" t="str" cm="1">
        <f t="array" ref="F5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2" s="31" cm="1">
        <f t="array" ref="G5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2" s="33" t="str">
        <f>_xlfn.IFNA(IF(MOD(HLG_05[[#This Row],[Rit]],
    _xlfn.XLOOKUP($G$2,Int_Sample[Ore],Int_Sample[Inc])) = 0, "YES", "NO"),"")</f>
        <v/>
      </c>
      <c r="I552" s="32" t="str">
        <f>TEXT(HLG_05[[#This Row],[Batch]],"000")&amp; " / " &amp; TEXT(HLG_05[[#This Row],[Rit]],"000")</f>
        <v>N/A / 000</v>
      </c>
      <c r="J552" s="34"/>
      <c r="K552" s="38"/>
      <c r="L552" s="35"/>
      <c r="M552" s="66"/>
      <c r="N552" s="66"/>
      <c r="O552" s="66"/>
      <c r="P552" s="66"/>
      <c r="Q552" s="66"/>
      <c r="R552" s="67"/>
      <c r="S552" s="67"/>
      <c r="T552" s="67"/>
      <c r="U552" s="66"/>
      <c r="V552" s="66"/>
      <c r="W552" s="66"/>
      <c r="X552" s="85"/>
      <c r="AP552" t="str">
        <v/>
      </c>
    </row>
    <row r="553" spans="4:42" ht="15.75" x14ac:dyDescent="0.25">
      <c r="D553" s="3">
        <v>1</v>
      </c>
      <c r="F553" s="16" t="str" cm="1">
        <f t="array" ref="F5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3" s="31" cm="1">
        <f t="array" ref="G5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3" s="33" t="str">
        <f>_xlfn.IFNA(IF(MOD(HLG_05[[#This Row],[Rit]],
    _xlfn.XLOOKUP($G$2,Int_Sample[Ore],Int_Sample[Inc])) = 0, "YES", "NO"),"")</f>
        <v/>
      </c>
      <c r="I553" s="32" t="str">
        <f>TEXT(HLG_05[[#This Row],[Batch]],"000")&amp; " / " &amp; TEXT(HLG_05[[#This Row],[Rit]],"000")</f>
        <v>N/A / 000</v>
      </c>
      <c r="J553" s="34"/>
      <c r="K553" s="38"/>
      <c r="L553" s="35"/>
      <c r="M553" s="66"/>
      <c r="N553" s="66"/>
      <c r="O553" s="66"/>
      <c r="P553" s="66"/>
      <c r="Q553" s="66"/>
      <c r="R553" s="67"/>
      <c r="S553" s="67"/>
      <c r="T553" s="67"/>
      <c r="U553" s="66"/>
      <c r="V553" s="66"/>
      <c r="W553" s="66"/>
      <c r="X553" s="85"/>
      <c r="AP553" t="str">
        <v/>
      </c>
    </row>
    <row r="554" spans="4:42" ht="15.75" x14ac:dyDescent="0.25">
      <c r="D554" s="3">
        <v>1</v>
      </c>
      <c r="F554" s="16" t="str" cm="1">
        <f t="array" ref="F5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4" s="31" cm="1">
        <f t="array" ref="G5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4" s="33" t="str">
        <f>_xlfn.IFNA(IF(MOD(HLG_05[[#This Row],[Rit]],
    _xlfn.XLOOKUP($G$2,Int_Sample[Ore],Int_Sample[Inc])) = 0, "YES", "NO"),"")</f>
        <v/>
      </c>
      <c r="I554" s="32" t="str">
        <f>TEXT(HLG_05[[#This Row],[Batch]],"000")&amp; " / " &amp; TEXT(HLG_05[[#This Row],[Rit]],"000")</f>
        <v>N/A / 000</v>
      </c>
      <c r="J554" s="34"/>
      <c r="K554" s="38"/>
      <c r="L554" s="35"/>
      <c r="M554" s="66"/>
      <c r="N554" s="66"/>
      <c r="O554" s="66"/>
      <c r="P554" s="66"/>
      <c r="Q554" s="66"/>
      <c r="R554" s="67"/>
      <c r="S554" s="67"/>
      <c r="T554" s="67"/>
      <c r="U554" s="66"/>
      <c r="V554" s="66"/>
      <c r="W554" s="66"/>
      <c r="X554" s="85"/>
      <c r="AP554" t="str">
        <v/>
      </c>
    </row>
    <row r="555" spans="4:42" ht="15.75" x14ac:dyDescent="0.25">
      <c r="D555" s="3">
        <v>1</v>
      </c>
      <c r="F555" s="16" t="str" cm="1">
        <f t="array" ref="F5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5" s="31" cm="1">
        <f t="array" ref="G5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5" s="33" t="str">
        <f>_xlfn.IFNA(IF(MOD(HLG_05[[#This Row],[Rit]],
    _xlfn.XLOOKUP($G$2,Int_Sample[Ore],Int_Sample[Inc])) = 0, "YES", "NO"),"")</f>
        <v/>
      </c>
      <c r="I555" s="32" t="str">
        <f>TEXT(HLG_05[[#This Row],[Batch]],"000")&amp; " / " &amp; TEXT(HLG_05[[#This Row],[Rit]],"000")</f>
        <v>N/A / 000</v>
      </c>
      <c r="J555" s="34"/>
      <c r="K555" s="38"/>
      <c r="L555" s="35"/>
      <c r="M555" s="66"/>
      <c r="N555" s="66"/>
      <c r="O555" s="66"/>
      <c r="P555" s="66"/>
      <c r="Q555" s="66"/>
      <c r="R555" s="67"/>
      <c r="S555" s="67"/>
      <c r="T555" s="67"/>
      <c r="U555" s="66"/>
      <c r="V555" s="66"/>
      <c r="W555" s="66"/>
      <c r="X555" s="85"/>
      <c r="AP555" t="str">
        <v/>
      </c>
    </row>
    <row r="556" spans="4:42" ht="15.75" x14ac:dyDescent="0.25">
      <c r="D556" s="3">
        <v>1</v>
      </c>
      <c r="F556" s="16" t="str" cm="1">
        <f t="array" ref="F5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6" s="31" cm="1">
        <f t="array" ref="G5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6" s="33" t="str">
        <f>_xlfn.IFNA(IF(MOD(HLG_05[[#This Row],[Rit]],
    _xlfn.XLOOKUP($G$2,Int_Sample[Ore],Int_Sample[Inc])) = 0, "YES", "NO"),"")</f>
        <v/>
      </c>
      <c r="I556" s="32" t="str">
        <f>TEXT(HLG_05[[#This Row],[Batch]],"000")&amp; " / " &amp; TEXT(HLG_05[[#This Row],[Rit]],"000")</f>
        <v>N/A / 000</v>
      </c>
      <c r="J556" s="34"/>
      <c r="K556" s="38"/>
      <c r="L556" s="35"/>
      <c r="M556" s="66"/>
      <c r="N556" s="66"/>
      <c r="O556" s="66"/>
      <c r="P556" s="66"/>
      <c r="Q556" s="66"/>
      <c r="R556" s="67"/>
      <c r="S556" s="67"/>
      <c r="T556" s="67"/>
      <c r="U556" s="66"/>
      <c r="V556" s="66"/>
      <c r="W556" s="66"/>
      <c r="X556" s="85"/>
      <c r="AP556" t="str">
        <v/>
      </c>
    </row>
    <row r="557" spans="4:42" ht="15.75" x14ac:dyDescent="0.25">
      <c r="D557" s="3">
        <v>1</v>
      </c>
      <c r="F557" s="16" t="str" cm="1">
        <f t="array" ref="F5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7" s="31" cm="1">
        <f t="array" ref="G5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7" s="33" t="str">
        <f>_xlfn.IFNA(IF(MOD(HLG_05[[#This Row],[Rit]],
    _xlfn.XLOOKUP($G$2,Int_Sample[Ore],Int_Sample[Inc])) = 0, "YES", "NO"),"")</f>
        <v/>
      </c>
      <c r="I557" s="32" t="str">
        <f>TEXT(HLG_05[[#This Row],[Batch]],"000")&amp; " / " &amp; TEXT(HLG_05[[#This Row],[Rit]],"000")</f>
        <v>N/A / 000</v>
      </c>
      <c r="J557" s="34"/>
      <c r="K557" s="38"/>
      <c r="L557" s="35"/>
      <c r="M557" s="66"/>
      <c r="N557" s="66"/>
      <c r="O557" s="66"/>
      <c r="P557" s="66"/>
      <c r="Q557" s="66"/>
      <c r="R557" s="67"/>
      <c r="S557" s="67"/>
      <c r="T557" s="67"/>
      <c r="U557" s="66"/>
      <c r="V557" s="66"/>
      <c r="W557" s="66"/>
      <c r="X557" s="85"/>
      <c r="AP557" t="str">
        <v/>
      </c>
    </row>
    <row r="558" spans="4:42" ht="15.75" x14ac:dyDescent="0.25">
      <c r="D558" s="3">
        <v>1</v>
      </c>
      <c r="F558" s="16" t="str" cm="1">
        <f t="array" ref="F5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8" s="31" cm="1">
        <f t="array" ref="G5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8" s="33" t="str">
        <f>_xlfn.IFNA(IF(MOD(HLG_05[[#This Row],[Rit]],
    _xlfn.XLOOKUP($G$2,Int_Sample[Ore],Int_Sample[Inc])) = 0, "YES", "NO"),"")</f>
        <v/>
      </c>
      <c r="I558" s="32" t="str">
        <f>TEXT(HLG_05[[#This Row],[Batch]],"000")&amp; " / " &amp; TEXT(HLG_05[[#This Row],[Rit]],"000")</f>
        <v>N/A / 000</v>
      </c>
      <c r="J558" s="34"/>
      <c r="K558" s="38"/>
      <c r="L558" s="35"/>
      <c r="M558" s="66"/>
      <c r="N558" s="66"/>
      <c r="O558" s="66"/>
      <c r="P558" s="66"/>
      <c r="Q558" s="66"/>
      <c r="R558" s="67"/>
      <c r="S558" s="67"/>
      <c r="T558" s="67"/>
      <c r="U558" s="66"/>
      <c r="V558" s="66"/>
      <c r="W558" s="66"/>
      <c r="X558" s="85"/>
      <c r="AP558" t="str">
        <v/>
      </c>
    </row>
    <row r="559" spans="4:42" ht="15.75" x14ac:dyDescent="0.25">
      <c r="D559" s="3">
        <v>1</v>
      </c>
      <c r="F559" s="16" t="str" cm="1">
        <f t="array" ref="F5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9" s="31" cm="1">
        <f t="array" ref="G5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9" s="33" t="str">
        <f>_xlfn.IFNA(IF(MOD(HLG_05[[#This Row],[Rit]],
    _xlfn.XLOOKUP($G$2,Int_Sample[Ore],Int_Sample[Inc])) = 0, "YES", "NO"),"")</f>
        <v/>
      </c>
      <c r="I559" s="32" t="str">
        <f>TEXT(HLG_05[[#This Row],[Batch]],"000")&amp; " / " &amp; TEXT(HLG_05[[#This Row],[Rit]],"000")</f>
        <v>N/A / 000</v>
      </c>
      <c r="J559" s="34"/>
      <c r="K559" s="38"/>
      <c r="L559" s="35"/>
      <c r="M559" s="66"/>
      <c r="N559" s="66"/>
      <c r="O559" s="66"/>
      <c r="P559" s="66"/>
      <c r="Q559" s="66"/>
      <c r="R559" s="67"/>
      <c r="S559" s="67"/>
      <c r="T559" s="67"/>
      <c r="U559" s="66"/>
      <c r="V559" s="66"/>
      <c r="W559" s="66"/>
      <c r="X559" s="85"/>
      <c r="AP559" t="str">
        <v/>
      </c>
    </row>
    <row r="560" spans="4:42" ht="15.75" x14ac:dyDescent="0.25">
      <c r="D560" s="3">
        <v>1</v>
      </c>
      <c r="F560" s="16" t="str" cm="1">
        <f t="array" ref="F5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0" s="31" cm="1">
        <f t="array" ref="G5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0" s="33" t="str">
        <f>_xlfn.IFNA(IF(MOD(HLG_05[[#This Row],[Rit]],
    _xlfn.XLOOKUP($G$2,Int_Sample[Ore],Int_Sample[Inc])) = 0, "YES", "NO"),"")</f>
        <v/>
      </c>
      <c r="I560" s="32" t="str">
        <f>TEXT(HLG_05[[#This Row],[Batch]],"000")&amp; " / " &amp; TEXT(HLG_05[[#This Row],[Rit]],"000")</f>
        <v>N/A / 000</v>
      </c>
      <c r="J560" s="34"/>
      <c r="K560" s="38"/>
      <c r="L560" s="35"/>
      <c r="M560" s="66"/>
      <c r="N560" s="66"/>
      <c r="O560" s="66"/>
      <c r="P560" s="66"/>
      <c r="Q560" s="66"/>
      <c r="R560" s="67"/>
      <c r="S560" s="67"/>
      <c r="T560" s="67"/>
      <c r="U560" s="66"/>
      <c r="V560" s="66"/>
      <c r="W560" s="66"/>
      <c r="X560" s="85"/>
      <c r="AP560" t="str">
        <v/>
      </c>
    </row>
    <row r="561" spans="4:42" ht="15.75" x14ac:dyDescent="0.25">
      <c r="D561" s="3">
        <v>1</v>
      </c>
      <c r="F561" s="16" t="str" cm="1">
        <f t="array" ref="F5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1" s="31" cm="1">
        <f t="array" ref="G5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1" s="33" t="str">
        <f>_xlfn.IFNA(IF(MOD(HLG_05[[#This Row],[Rit]],
    _xlfn.XLOOKUP($G$2,Int_Sample[Ore],Int_Sample[Inc])) = 0, "YES", "NO"),"")</f>
        <v/>
      </c>
      <c r="I561" s="32" t="str">
        <f>TEXT(HLG_05[[#This Row],[Batch]],"000")&amp; " / " &amp; TEXT(HLG_05[[#This Row],[Rit]],"000")</f>
        <v>N/A / 000</v>
      </c>
      <c r="J561" s="34"/>
      <c r="K561" s="38"/>
      <c r="L561" s="35"/>
      <c r="M561" s="66"/>
      <c r="N561" s="66"/>
      <c r="O561" s="66"/>
      <c r="P561" s="66"/>
      <c r="Q561" s="66"/>
      <c r="R561" s="67"/>
      <c r="S561" s="67"/>
      <c r="T561" s="67"/>
      <c r="U561" s="66"/>
      <c r="V561" s="66"/>
      <c r="W561" s="66"/>
      <c r="X561" s="85"/>
      <c r="AP561" t="str">
        <v/>
      </c>
    </row>
    <row r="562" spans="4:42" ht="15.75" x14ac:dyDescent="0.25">
      <c r="D562" s="3">
        <v>1</v>
      </c>
      <c r="F562" s="16" t="str" cm="1">
        <f t="array" ref="F5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2" s="31" cm="1">
        <f t="array" ref="G5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2" s="33" t="str">
        <f>_xlfn.IFNA(IF(MOD(HLG_05[[#This Row],[Rit]],
    _xlfn.XLOOKUP($G$2,Int_Sample[Ore],Int_Sample[Inc])) = 0, "YES", "NO"),"")</f>
        <v/>
      </c>
      <c r="I562" s="32" t="str">
        <f>TEXT(HLG_05[[#This Row],[Batch]],"000")&amp; " / " &amp; TEXT(HLG_05[[#This Row],[Rit]],"000")</f>
        <v>N/A / 000</v>
      </c>
      <c r="J562" s="34"/>
      <c r="K562" s="38"/>
      <c r="L562" s="35"/>
      <c r="M562" s="66"/>
      <c r="N562" s="66"/>
      <c r="O562" s="66"/>
      <c r="P562" s="66"/>
      <c r="Q562" s="66"/>
      <c r="R562" s="67"/>
      <c r="S562" s="67"/>
      <c r="T562" s="67"/>
      <c r="U562" s="66"/>
      <c r="V562" s="66"/>
      <c r="W562" s="66"/>
      <c r="X562" s="85"/>
      <c r="AP562" t="str">
        <v/>
      </c>
    </row>
    <row r="563" spans="4:42" ht="15.75" x14ac:dyDescent="0.25">
      <c r="D563" s="3">
        <v>1</v>
      </c>
      <c r="F563" s="16" t="str" cm="1">
        <f t="array" ref="F5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3" s="31" cm="1">
        <f t="array" ref="G5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3" s="33" t="str">
        <f>_xlfn.IFNA(IF(MOD(HLG_05[[#This Row],[Rit]],
    _xlfn.XLOOKUP($G$2,Int_Sample[Ore],Int_Sample[Inc])) = 0, "YES", "NO"),"")</f>
        <v/>
      </c>
      <c r="I563" s="32" t="str">
        <f>TEXT(HLG_05[[#This Row],[Batch]],"000")&amp; " / " &amp; TEXT(HLG_05[[#This Row],[Rit]],"000")</f>
        <v>N/A / 000</v>
      </c>
      <c r="J563" s="34"/>
      <c r="K563" s="38"/>
      <c r="L563" s="35"/>
      <c r="M563" s="66"/>
      <c r="N563" s="66"/>
      <c r="O563" s="66"/>
      <c r="P563" s="66"/>
      <c r="Q563" s="66"/>
      <c r="R563" s="67"/>
      <c r="S563" s="67"/>
      <c r="T563" s="67"/>
      <c r="U563" s="66"/>
      <c r="V563" s="66"/>
      <c r="W563" s="66"/>
      <c r="X563" s="85"/>
      <c r="AP563" t="str">
        <v/>
      </c>
    </row>
    <row r="564" spans="4:42" ht="15.75" x14ac:dyDescent="0.25">
      <c r="D564" s="3">
        <v>1</v>
      </c>
      <c r="F564" s="16" t="str" cm="1">
        <f t="array" ref="F5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4" s="31" cm="1">
        <f t="array" ref="G5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4" s="33" t="str">
        <f>_xlfn.IFNA(IF(MOD(HLG_05[[#This Row],[Rit]],
    _xlfn.XLOOKUP($G$2,Int_Sample[Ore],Int_Sample[Inc])) = 0, "YES", "NO"),"")</f>
        <v/>
      </c>
      <c r="I564" s="32" t="str">
        <f>TEXT(HLG_05[[#This Row],[Batch]],"000")&amp; " / " &amp; TEXT(HLG_05[[#This Row],[Rit]],"000")</f>
        <v>N/A / 000</v>
      </c>
      <c r="J564" s="34"/>
      <c r="K564" s="38"/>
      <c r="L564" s="35"/>
      <c r="M564" s="66"/>
      <c r="N564" s="66"/>
      <c r="O564" s="66"/>
      <c r="P564" s="66"/>
      <c r="Q564" s="66"/>
      <c r="R564" s="67"/>
      <c r="S564" s="67"/>
      <c r="T564" s="67"/>
      <c r="U564" s="66"/>
      <c r="V564" s="66"/>
      <c r="W564" s="66"/>
      <c r="X564" s="85"/>
      <c r="AP564" t="str">
        <v/>
      </c>
    </row>
    <row r="565" spans="4:42" ht="15.75" x14ac:dyDescent="0.25">
      <c r="D565" s="3">
        <v>1</v>
      </c>
      <c r="F565" s="16" t="str" cm="1">
        <f t="array" ref="F5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5" s="31" cm="1">
        <f t="array" ref="G5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5" s="33" t="str">
        <f>_xlfn.IFNA(IF(MOD(HLG_05[[#This Row],[Rit]],
    _xlfn.XLOOKUP($G$2,Int_Sample[Ore],Int_Sample[Inc])) = 0, "YES", "NO"),"")</f>
        <v/>
      </c>
      <c r="I565" s="32" t="str">
        <f>TEXT(HLG_05[[#This Row],[Batch]],"000")&amp; " / " &amp; TEXT(HLG_05[[#This Row],[Rit]],"000")</f>
        <v>N/A / 000</v>
      </c>
      <c r="J565" s="34"/>
      <c r="K565" s="38"/>
      <c r="L565" s="35"/>
      <c r="M565" s="66"/>
      <c r="N565" s="66"/>
      <c r="O565" s="66"/>
      <c r="P565" s="66"/>
      <c r="Q565" s="66"/>
      <c r="R565" s="67"/>
      <c r="S565" s="67"/>
      <c r="T565" s="67"/>
      <c r="U565" s="66"/>
      <c r="V565" s="66"/>
      <c r="W565" s="66"/>
      <c r="X565" s="85"/>
      <c r="AP565" t="str">
        <v/>
      </c>
    </row>
    <row r="566" spans="4:42" ht="15.75" x14ac:dyDescent="0.25">
      <c r="D566" s="3">
        <v>1</v>
      </c>
      <c r="F566" s="16" t="str" cm="1">
        <f t="array" ref="F5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6" s="31" cm="1">
        <f t="array" ref="G5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6" s="33" t="str">
        <f>_xlfn.IFNA(IF(MOD(HLG_05[[#This Row],[Rit]],
    _xlfn.XLOOKUP($G$2,Int_Sample[Ore],Int_Sample[Inc])) = 0, "YES", "NO"),"")</f>
        <v/>
      </c>
      <c r="I566" s="32" t="str">
        <f>TEXT(HLG_05[[#This Row],[Batch]],"000")&amp; " / " &amp; TEXT(HLG_05[[#This Row],[Rit]],"000")</f>
        <v>N/A / 000</v>
      </c>
      <c r="J566" s="34"/>
      <c r="K566" s="38"/>
      <c r="L566" s="35"/>
      <c r="M566" s="66"/>
      <c r="N566" s="66"/>
      <c r="O566" s="66"/>
      <c r="P566" s="66"/>
      <c r="Q566" s="66"/>
      <c r="R566" s="67"/>
      <c r="S566" s="67"/>
      <c r="T566" s="67"/>
      <c r="U566" s="66"/>
      <c r="V566" s="66"/>
      <c r="W566" s="66"/>
      <c r="X566" s="85"/>
      <c r="AP566" t="str">
        <v/>
      </c>
    </row>
    <row r="567" spans="4:42" ht="15.75" x14ac:dyDescent="0.25">
      <c r="D567" s="3">
        <v>1</v>
      </c>
      <c r="F567" s="16" t="str" cm="1">
        <f t="array" ref="F5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7" s="31" cm="1">
        <f t="array" ref="G5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7" s="33" t="str">
        <f>_xlfn.IFNA(IF(MOD(HLG_05[[#This Row],[Rit]],
    _xlfn.XLOOKUP($G$2,Int_Sample[Ore],Int_Sample[Inc])) = 0, "YES", "NO"),"")</f>
        <v/>
      </c>
      <c r="I567" s="32" t="str">
        <f>TEXT(HLG_05[[#This Row],[Batch]],"000")&amp; " / " &amp; TEXT(HLG_05[[#This Row],[Rit]],"000")</f>
        <v>N/A / 000</v>
      </c>
      <c r="J567" s="34"/>
      <c r="K567" s="38"/>
      <c r="L567" s="35"/>
      <c r="M567" s="66"/>
      <c r="N567" s="66"/>
      <c r="O567" s="66"/>
      <c r="P567" s="66"/>
      <c r="Q567" s="66"/>
      <c r="R567" s="67"/>
      <c r="S567" s="67"/>
      <c r="T567" s="67"/>
      <c r="U567" s="66"/>
      <c r="V567" s="66"/>
      <c r="W567" s="66"/>
      <c r="X567" s="85"/>
      <c r="AP567" t="str">
        <v/>
      </c>
    </row>
    <row r="568" spans="4:42" ht="15.75" x14ac:dyDescent="0.25">
      <c r="D568" s="3">
        <v>1</v>
      </c>
      <c r="F568" s="16" t="str" cm="1">
        <f t="array" ref="F5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8" s="31" cm="1">
        <f t="array" ref="G5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8" s="33" t="str">
        <f>_xlfn.IFNA(IF(MOD(HLG_05[[#This Row],[Rit]],
    _xlfn.XLOOKUP($G$2,Int_Sample[Ore],Int_Sample[Inc])) = 0, "YES", "NO"),"")</f>
        <v/>
      </c>
      <c r="I568" s="32" t="str">
        <f>TEXT(HLG_05[[#This Row],[Batch]],"000")&amp; " / " &amp; TEXT(HLG_05[[#This Row],[Rit]],"000")</f>
        <v>N/A / 000</v>
      </c>
      <c r="J568" s="34"/>
      <c r="K568" s="38"/>
      <c r="L568" s="35"/>
      <c r="M568" s="66"/>
      <c r="N568" s="66"/>
      <c r="O568" s="66"/>
      <c r="P568" s="66"/>
      <c r="Q568" s="66"/>
      <c r="R568" s="67"/>
      <c r="S568" s="67"/>
      <c r="T568" s="67"/>
      <c r="U568" s="66"/>
      <c r="V568" s="66"/>
      <c r="W568" s="66"/>
      <c r="X568" s="85"/>
      <c r="AP568" t="str">
        <v/>
      </c>
    </row>
    <row r="569" spans="4:42" ht="15.75" x14ac:dyDescent="0.25">
      <c r="D569" s="3">
        <v>1</v>
      </c>
      <c r="F569" s="16" t="str" cm="1">
        <f t="array" ref="F5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9" s="31" cm="1">
        <f t="array" ref="G5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9" s="33" t="str">
        <f>_xlfn.IFNA(IF(MOD(HLG_05[[#This Row],[Rit]],
    _xlfn.XLOOKUP($G$2,Int_Sample[Ore],Int_Sample[Inc])) = 0, "YES", "NO"),"")</f>
        <v/>
      </c>
      <c r="I569" s="32" t="str">
        <f>TEXT(HLG_05[[#This Row],[Batch]],"000")&amp; " / " &amp; TEXT(HLG_05[[#This Row],[Rit]],"000")</f>
        <v>N/A / 000</v>
      </c>
      <c r="J569" s="34"/>
      <c r="K569" s="38"/>
      <c r="L569" s="35"/>
      <c r="M569" s="66"/>
      <c r="N569" s="66"/>
      <c r="O569" s="66"/>
      <c r="P569" s="66"/>
      <c r="Q569" s="66"/>
      <c r="R569" s="67"/>
      <c r="S569" s="67"/>
      <c r="T569" s="67"/>
      <c r="U569" s="66"/>
      <c r="V569" s="66"/>
      <c r="W569" s="66"/>
      <c r="X569" s="85"/>
      <c r="AP569" t="str">
        <v/>
      </c>
    </row>
    <row r="570" spans="4:42" ht="15.75" x14ac:dyDescent="0.25">
      <c r="D570" s="3">
        <v>1</v>
      </c>
      <c r="F570" s="16" t="str" cm="1">
        <f t="array" ref="F5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0" s="31" cm="1">
        <f t="array" ref="G5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0" s="33" t="str">
        <f>_xlfn.IFNA(IF(MOD(HLG_05[[#This Row],[Rit]],
    _xlfn.XLOOKUP($G$2,Int_Sample[Ore],Int_Sample[Inc])) = 0, "YES", "NO"),"")</f>
        <v/>
      </c>
      <c r="I570" s="32" t="str">
        <f>TEXT(HLG_05[[#This Row],[Batch]],"000")&amp; " / " &amp; TEXT(HLG_05[[#This Row],[Rit]],"000")</f>
        <v>N/A / 000</v>
      </c>
      <c r="J570" s="34"/>
      <c r="K570" s="38"/>
      <c r="L570" s="35"/>
      <c r="M570" s="66"/>
      <c r="N570" s="66"/>
      <c r="O570" s="66"/>
      <c r="P570" s="66"/>
      <c r="Q570" s="66"/>
      <c r="R570" s="67"/>
      <c r="S570" s="67"/>
      <c r="T570" s="67"/>
      <c r="U570" s="66"/>
      <c r="V570" s="66"/>
      <c r="W570" s="66"/>
      <c r="X570" s="85"/>
      <c r="AP570" t="str">
        <v/>
      </c>
    </row>
    <row r="571" spans="4:42" ht="15.75" x14ac:dyDescent="0.25">
      <c r="D571" s="3">
        <v>1</v>
      </c>
      <c r="F571" s="16" t="str" cm="1">
        <f t="array" ref="F5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1" s="31" cm="1">
        <f t="array" ref="G5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1" s="33" t="str">
        <f>_xlfn.IFNA(IF(MOD(HLG_05[[#This Row],[Rit]],
    _xlfn.XLOOKUP($G$2,Int_Sample[Ore],Int_Sample[Inc])) = 0, "YES", "NO"),"")</f>
        <v/>
      </c>
      <c r="I571" s="32" t="str">
        <f>TEXT(HLG_05[[#This Row],[Batch]],"000")&amp; " / " &amp; TEXT(HLG_05[[#This Row],[Rit]],"000")</f>
        <v>N/A / 000</v>
      </c>
      <c r="J571" s="34"/>
      <c r="K571" s="38"/>
      <c r="L571" s="35"/>
      <c r="M571" s="66"/>
      <c r="N571" s="66"/>
      <c r="O571" s="66"/>
      <c r="P571" s="66"/>
      <c r="Q571" s="66"/>
      <c r="R571" s="67"/>
      <c r="S571" s="67"/>
      <c r="T571" s="67"/>
      <c r="U571" s="66"/>
      <c r="V571" s="66"/>
      <c r="W571" s="66"/>
      <c r="X571" s="85"/>
      <c r="AP571" t="str">
        <v/>
      </c>
    </row>
    <row r="572" spans="4:42" ht="15.75" x14ac:dyDescent="0.25">
      <c r="D572" s="3">
        <v>1</v>
      </c>
      <c r="F572" s="16" t="str" cm="1">
        <f t="array" ref="F5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2" s="31" cm="1">
        <f t="array" ref="G5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2" s="33" t="str">
        <f>_xlfn.IFNA(IF(MOD(HLG_05[[#This Row],[Rit]],
    _xlfn.XLOOKUP($G$2,Int_Sample[Ore],Int_Sample[Inc])) = 0, "YES", "NO"),"")</f>
        <v/>
      </c>
      <c r="I572" s="32" t="str">
        <f>TEXT(HLG_05[[#This Row],[Batch]],"000")&amp; " / " &amp; TEXT(HLG_05[[#This Row],[Rit]],"000")</f>
        <v>N/A / 000</v>
      </c>
      <c r="J572" s="34"/>
      <c r="K572" s="38"/>
      <c r="L572" s="35"/>
      <c r="M572" s="66"/>
      <c r="N572" s="66"/>
      <c r="O572" s="66"/>
      <c r="P572" s="66"/>
      <c r="Q572" s="66"/>
      <c r="R572" s="67"/>
      <c r="S572" s="67"/>
      <c r="T572" s="67"/>
      <c r="U572" s="66"/>
      <c r="V572" s="66"/>
      <c r="W572" s="66"/>
      <c r="X572" s="85"/>
      <c r="AP572" t="str">
        <v/>
      </c>
    </row>
    <row r="573" spans="4:42" ht="15.75" x14ac:dyDescent="0.25">
      <c r="D573" s="3">
        <v>1</v>
      </c>
      <c r="F573" s="16" t="str" cm="1">
        <f t="array" ref="F5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3" s="31" cm="1">
        <f t="array" ref="G5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3" s="33" t="str">
        <f>_xlfn.IFNA(IF(MOD(HLG_05[[#This Row],[Rit]],
    _xlfn.XLOOKUP($G$2,Int_Sample[Ore],Int_Sample[Inc])) = 0, "YES", "NO"),"")</f>
        <v/>
      </c>
      <c r="I573" s="32" t="str">
        <f>TEXT(HLG_05[[#This Row],[Batch]],"000")&amp; " / " &amp; TEXT(HLG_05[[#This Row],[Rit]],"000")</f>
        <v>N/A / 000</v>
      </c>
      <c r="J573" s="34"/>
      <c r="K573" s="38"/>
      <c r="L573" s="35"/>
      <c r="M573" s="66"/>
      <c r="N573" s="66"/>
      <c r="O573" s="66"/>
      <c r="P573" s="66"/>
      <c r="Q573" s="66"/>
      <c r="R573" s="67"/>
      <c r="S573" s="67"/>
      <c r="T573" s="67"/>
      <c r="U573" s="66"/>
      <c r="V573" s="66"/>
      <c r="W573" s="66"/>
      <c r="X573" s="85"/>
      <c r="AP573" t="str">
        <v/>
      </c>
    </row>
    <row r="574" spans="4:42" ht="15.75" x14ac:dyDescent="0.25">
      <c r="D574" s="3">
        <v>1</v>
      </c>
      <c r="F574" s="16" t="str" cm="1">
        <f t="array" ref="F5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4" s="31" cm="1">
        <f t="array" ref="G5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4" s="33" t="str">
        <f>_xlfn.IFNA(IF(MOD(HLG_05[[#This Row],[Rit]],
    _xlfn.XLOOKUP($G$2,Int_Sample[Ore],Int_Sample[Inc])) = 0, "YES", "NO"),"")</f>
        <v/>
      </c>
      <c r="I574" s="32" t="str">
        <f>TEXT(HLG_05[[#This Row],[Batch]],"000")&amp; " / " &amp; TEXT(HLG_05[[#This Row],[Rit]],"000")</f>
        <v>N/A / 000</v>
      </c>
      <c r="J574" s="34"/>
      <c r="K574" s="38"/>
      <c r="L574" s="35"/>
      <c r="M574" s="66"/>
      <c r="N574" s="66"/>
      <c r="O574" s="66"/>
      <c r="P574" s="66"/>
      <c r="Q574" s="66"/>
      <c r="R574" s="67"/>
      <c r="S574" s="67"/>
      <c r="T574" s="67"/>
      <c r="U574" s="66"/>
      <c r="V574" s="66"/>
      <c r="W574" s="66"/>
      <c r="X574" s="85"/>
      <c r="AP574" t="str">
        <v/>
      </c>
    </row>
    <row r="575" spans="4:42" ht="15.75" x14ac:dyDescent="0.25">
      <c r="D575" s="3">
        <v>1</v>
      </c>
      <c r="F575" s="16" t="str" cm="1">
        <f t="array" ref="F5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5" s="31" cm="1">
        <f t="array" ref="G5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5" s="33" t="str">
        <f>_xlfn.IFNA(IF(MOD(HLG_05[[#This Row],[Rit]],
    _xlfn.XLOOKUP($G$2,Int_Sample[Ore],Int_Sample[Inc])) = 0, "YES", "NO"),"")</f>
        <v/>
      </c>
      <c r="I575" s="32" t="str">
        <f>TEXT(HLG_05[[#This Row],[Batch]],"000")&amp; " / " &amp; TEXT(HLG_05[[#This Row],[Rit]],"000")</f>
        <v>N/A / 000</v>
      </c>
      <c r="J575" s="34"/>
      <c r="K575" s="38"/>
      <c r="L575" s="35"/>
      <c r="M575" s="66"/>
      <c r="N575" s="66"/>
      <c r="O575" s="66"/>
      <c r="P575" s="66"/>
      <c r="Q575" s="66"/>
      <c r="R575" s="67"/>
      <c r="S575" s="67"/>
      <c r="T575" s="67"/>
      <c r="U575" s="66"/>
      <c r="V575" s="66"/>
      <c r="W575" s="66"/>
      <c r="X575" s="85"/>
      <c r="AP575" t="str">
        <v/>
      </c>
    </row>
    <row r="576" spans="4:42" ht="15.75" x14ac:dyDescent="0.25">
      <c r="D576" s="3">
        <v>1</v>
      </c>
      <c r="F576" s="16" t="str" cm="1">
        <f t="array" ref="F5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6" s="31" cm="1">
        <f t="array" ref="G5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6" s="33" t="str">
        <f>_xlfn.IFNA(IF(MOD(HLG_05[[#This Row],[Rit]],
    _xlfn.XLOOKUP($G$2,Int_Sample[Ore],Int_Sample[Inc])) = 0, "YES", "NO"),"")</f>
        <v/>
      </c>
      <c r="I576" s="32" t="str">
        <f>TEXT(HLG_05[[#This Row],[Batch]],"000")&amp; " / " &amp; TEXT(HLG_05[[#This Row],[Rit]],"000")</f>
        <v>N/A / 000</v>
      </c>
      <c r="J576" s="34"/>
      <c r="K576" s="38"/>
      <c r="L576" s="35"/>
      <c r="M576" s="66"/>
      <c r="N576" s="66"/>
      <c r="O576" s="66"/>
      <c r="P576" s="66"/>
      <c r="Q576" s="66"/>
      <c r="R576" s="67"/>
      <c r="S576" s="67"/>
      <c r="T576" s="67"/>
      <c r="U576" s="66"/>
      <c r="V576" s="66"/>
      <c r="W576" s="66"/>
      <c r="X576" s="85"/>
      <c r="AP576" t="str">
        <v/>
      </c>
    </row>
    <row r="577" spans="4:42" ht="15.75" x14ac:dyDescent="0.25">
      <c r="D577" s="3">
        <v>1</v>
      </c>
      <c r="F577" s="16" t="str" cm="1">
        <f t="array" ref="F5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7" s="31" cm="1">
        <f t="array" ref="G5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7" s="33" t="str">
        <f>_xlfn.IFNA(IF(MOD(HLG_05[[#This Row],[Rit]],
    _xlfn.XLOOKUP($G$2,Int_Sample[Ore],Int_Sample[Inc])) = 0, "YES", "NO"),"")</f>
        <v/>
      </c>
      <c r="I577" s="32" t="str">
        <f>TEXT(HLG_05[[#This Row],[Batch]],"000")&amp; " / " &amp; TEXT(HLG_05[[#This Row],[Rit]],"000")</f>
        <v>N/A / 000</v>
      </c>
      <c r="J577" s="34"/>
      <c r="K577" s="38"/>
      <c r="L577" s="35"/>
      <c r="M577" s="66"/>
      <c r="N577" s="66"/>
      <c r="O577" s="66"/>
      <c r="P577" s="66"/>
      <c r="Q577" s="66"/>
      <c r="R577" s="67"/>
      <c r="S577" s="67"/>
      <c r="T577" s="67"/>
      <c r="U577" s="66"/>
      <c r="V577" s="66"/>
      <c r="W577" s="66"/>
      <c r="X577" s="85"/>
      <c r="AP577" t="str">
        <v/>
      </c>
    </row>
    <row r="578" spans="4:42" ht="15.75" x14ac:dyDescent="0.25">
      <c r="D578" s="3">
        <v>1</v>
      </c>
      <c r="F578" s="16" t="str" cm="1">
        <f t="array" ref="F5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8" s="31" cm="1">
        <f t="array" ref="G5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8" s="33" t="str">
        <f>_xlfn.IFNA(IF(MOD(HLG_05[[#This Row],[Rit]],
    _xlfn.XLOOKUP($G$2,Int_Sample[Ore],Int_Sample[Inc])) = 0, "YES", "NO"),"")</f>
        <v/>
      </c>
      <c r="I578" s="32" t="str">
        <f>TEXT(HLG_05[[#This Row],[Batch]],"000")&amp; " / " &amp; TEXT(HLG_05[[#This Row],[Rit]],"000")</f>
        <v>N/A / 000</v>
      </c>
      <c r="J578" s="34"/>
      <c r="K578" s="38"/>
      <c r="L578" s="35"/>
      <c r="M578" s="66"/>
      <c r="N578" s="66"/>
      <c r="O578" s="66"/>
      <c r="P578" s="66"/>
      <c r="Q578" s="66"/>
      <c r="R578" s="67"/>
      <c r="S578" s="67"/>
      <c r="T578" s="67"/>
      <c r="U578" s="66"/>
      <c r="V578" s="66"/>
      <c r="W578" s="66"/>
      <c r="X578" s="85"/>
      <c r="AP578" t="str">
        <v/>
      </c>
    </row>
    <row r="579" spans="4:42" ht="15.75" x14ac:dyDescent="0.25">
      <c r="D579" s="3">
        <v>1</v>
      </c>
      <c r="F579" s="16" t="str" cm="1">
        <f t="array" ref="F5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9" s="31" cm="1">
        <f t="array" ref="G5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9" s="33" t="str">
        <f>_xlfn.IFNA(IF(MOD(HLG_05[[#This Row],[Rit]],
    _xlfn.XLOOKUP($G$2,Int_Sample[Ore],Int_Sample[Inc])) = 0, "YES", "NO"),"")</f>
        <v/>
      </c>
      <c r="I579" s="32" t="str">
        <f>TEXT(HLG_05[[#This Row],[Batch]],"000")&amp; " / " &amp; TEXT(HLG_05[[#This Row],[Rit]],"000")</f>
        <v>N/A / 000</v>
      </c>
      <c r="J579" s="34"/>
      <c r="K579" s="38"/>
      <c r="L579" s="35"/>
      <c r="M579" s="66"/>
      <c r="N579" s="66"/>
      <c r="O579" s="66"/>
      <c r="P579" s="66"/>
      <c r="Q579" s="66"/>
      <c r="R579" s="67"/>
      <c r="S579" s="67"/>
      <c r="T579" s="67"/>
      <c r="U579" s="66"/>
      <c r="V579" s="66"/>
      <c r="W579" s="66"/>
      <c r="X579" s="85"/>
      <c r="AP579" t="str">
        <v/>
      </c>
    </row>
    <row r="580" spans="4:42" ht="15.75" x14ac:dyDescent="0.25">
      <c r="D580" s="3">
        <v>1</v>
      </c>
      <c r="F580" s="16" t="str" cm="1">
        <f t="array" ref="F5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0" s="31" cm="1">
        <f t="array" ref="G5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0" s="33" t="str">
        <f>_xlfn.IFNA(IF(MOD(HLG_05[[#This Row],[Rit]],
    _xlfn.XLOOKUP($G$2,Int_Sample[Ore],Int_Sample[Inc])) = 0, "YES", "NO"),"")</f>
        <v/>
      </c>
      <c r="I580" s="32" t="str">
        <f>TEXT(HLG_05[[#This Row],[Batch]],"000")&amp; " / " &amp; TEXT(HLG_05[[#This Row],[Rit]],"000")</f>
        <v>N/A / 000</v>
      </c>
      <c r="J580" s="34"/>
      <c r="K580" s="38"/>
      <c r="L580" s="35"/>
      <c r="M580" s="66"/>
      <c r="N580" s="66"/>
      <c r="O580" s="66"/>
      <c r="P580" s="66"/>
      <c r="Q580" s="66"/>
      <c r="R580" s="67"/>
      <c r="S580" s="67"/>
      <c r="T580" s="67"/>
      <c r="U580" s="66"/>
      <c r="V580" s="66"/>
      <c r="W580" s="66"/>
      <c r="X580" s="85"/>
      <c r="AP580" t="str">
        <v/>
      </c>
    </row>
    <row r="581" spans="4:42" ht="15.75" x14ac:dyDescent="0.25">
      <c r="D581" s="3">
        <v>1</v>
      </c>
      <c r="F581" s="16" t="str" cm="1">
        <f t="array" ref="F5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1" s="31" cm="1">
        <f t="array" ref="G5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1" s="33" t="str">
        <f>_xlfn.IFNA(IF(MOD(HLG_05[[#This Row],[Rit]],
    _xlfn.XLOOKUP($G$2,Int_Sample[Ore],Int_Sample[Inc])) = 0, "YES", "NO"),"")</f>
        <v/>
      </c>
      <c r="I581" s="32" t="str">
        <f>TEXT(HLG_05[[#This Row],[Batch]],"000")&amp; " / " &amp; TEXT(HLG_05[[#This Row],[Rit]],"000")</f>
        <v>N/A / 000</v>
      </c>
      <c r="J581" s="34"/>
      <c r="K581" s="38"/>
      <c r="L581" s="35"/>
      <c r="M581" s="66"/>
      <c r="N581" s="66"/>
      <c r="O581" s="66"/>
      <c r="P581" s="66"/>
      <c r="Q581" s="66"/>
      <c r="R581" s="67"/>
      <c r="S581" s="67"/>
      <c r="T581" s="67"/>
      <c r="U581" s="66"/>
      <c r="V581" s="66"/>
      <c r="W581" s="66"/>
      <c r="X581" s="85"/>
      <c r="AP581" t="str">
        <v/>
      </c>
    </row>
    <row r="582" spans="4:42" ht="15.75" x14ac:dyDescent="0.25">
      <c r="D582" s="3">
        <v>1</v>
      </c>
      <c r="F582" s="16" t="str" cm="1">
        <f t="array" ref="F5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2" s="31" cm="1">
        <f t="array" ref="G5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2" s="33" t="str">
        <f>_xlfn.IFNA(IF(MOD(HLG_05[[#This Row],[Rit]],
    _xlfn.XLOOKUP($G$2,Int_Sample[Ore],Int_Sample[Inc])) = 0, "YES", "NO"),"")</f>
        <v/>
      </c>
      <c r="I582" s="32" t="str">
        <f>TEXT(HLG_05[[#This Row],[Batch]],"000")&amp; " / " &amp; TEXT(HLG_05[[#This Row],[Rit]],"000")</f>
        <v>N/A / 000</v>
      </c>
      <c r="J582" s="34"/>
      <c r="K582" s="38"/>
      <c r="L582" s="35"/>
      <c r="M582" s="66"/>
      <c r="N582" s="66"/>
      <c r="O582" s="66"/>
      <c r="P582" s="66"/>
      <c r="Q582" s="66"/>
      <c r="R582" s="67"/>
      <c r="S582" s="67"/>
      <c r="T582" s="67"/>
      <c r="U582" s="66"/>
      <c r="V582" s="66"/>
      <c r="W582" s="66"/>
      <c r="X582" s="85"/>
      <c r="AP582" t="str">
        <v/>
      </c>
    </row>
    <row r="583" spans="4:42" ht="15.75" x14ac:dyDescent="0.25">
      <c r="D583" s="3">
        <v>1</v>
      </c>
      <c r="F583" s="16" t="str" cm="1">
        <f t="array" ref="F5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3" s="31" cm="1">
        <f t="array" ref="G5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3" s="33" t="str">
        <f>_xlfn.IFNA(IF(MOD(HLG_05[[#This Row],[Rit]],
    _xlfn.XLOOKUP($G$2,Int_Sample[Ore],Int_Sample[Inc])) = 0, "YES", "NO"),"")</f>
        <v/>
      </c>
      <c r="I583" s="32" t="str">
        <f>TEXT(HLG_05[[#This Row],[Batch]],"000")&amp; " / " &amp; TEXT(HLG_05[[#This Row],[Rit]],"000")</f>
        <v>N/A / 000</v>
      </c>
      <c r="J583" s="34"/>
      <c r="K583" s="38"/>
      <c r="L583" s="35"/>
      <c r="M583" s="66"/>
      <c r="N583" s="66"/>
      <c r="O583" s="66"/>
      <c r="P583" s="66"/>
      <c r="Q583" s="66"/>
      <c r="R583" s="67"/>
      <c r="S583" s="67"/>
      <c r="T583" s="67"/>
      <c r="U583" s="66"/>
      <c r="V583" s="66"/>
      <c r="W583" s="66"/>
      <c r="X583" s="85"/>
      <c r="AP583" t="str">
        <v/>
      </c>
    </row>
    <row r="584" spans="4:42" ht="15.75" x14ac:dyDescent="0.25">
      <c r="D584" s="3">
        <v>1</v>
      </c>
      <c r="F584" s="16" t="str" cm="1">
        <f t="array" ref="F5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4" s="31" cm="1">
        <f t="array" ref="G5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4" s="33" t="str">
        <f>_xlfn.IFNA(IF(MOD(HLG_05[[#This Row],[Rit]],
    _xlfn.XLOOKUP($G$2,Int_Sample[Ore],Int_Sample[Inc])) = 0, "YES", "NO"),"")</f>
        <v/>
      </c>
      <c r="I584" s="32" t="str">
        <f>TEXT(HLG_05[[#This Row],[Batch]],"000")&amp; " / " &amp; TEXT(HLG_05[[#This Row],[Rit]],"000")</f>
        <v>N/A / 000</v>
      </c>
      <c r="J584" s="34"/>
      <c r="K584" s="38"/>
      <c r="L584" s="35"/>
      <c r="M584" s="66"/>
      <c r="N584" s="66"/>
      <c r="O584" s="66"/>
      <c r="P584" s="66"/>
      <c r="Q584" s="66"/>
      <c r="R584" s="67"/>
      <c r="S584" s="67"/>
      <c r="T584" s="67"/>
      <c r="U584" s="66"/>
      <c r="V584" s="66"/>
      <c r="W584" s="66"/>
      <c r="X584" s="85"/>
      <c r="AP584" t="str">
        <v/>
      </c>
    </row>
    <row r="585" spans="4:42" ht="15.75" x14ac:dyDescent="0.25">
      <c r="D585" s="3">
        <v>1</v>
      </c>
      <c r="F585" s="16" t="str" cm="1">
        <f t="array" ref="F5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5" s="31" cm="1">
        <f t="array" ref="G5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5" s="33" t="str">
        <f>_xlfn.IFNA(IF(MOD(HLG_05[[#This Row],[Rit]],
    _xlfn.XLOOKUP($G$2,Int_Sample[Ore],Int_Sample[Inc])) = 0, "YES", "NO"),"")</f>
        <v/>
      </c>
      <c r="I585" s="32" t="str">
        <f>TEXT(HLG_05[[#This Row],[Batch]],"000")&amp; " / " &amp; TEXT(HLG_05[[#This Row],[Rit]],"000")</f>
        <v>N/A / 000</v>
      </c>
      <c r="J585" s="34"/>
      <c r="K585" s="38"/>
      <c r="L585" s="35"/>
      <c r="M585" s="66"/>
      <c r="N585" s="66"/>
      <c r="O585" s="66"/>
      <c r="P585" s="66"/>
      <c r="Q585" s="66"/>
      <c r="R585" s="67"/>
      <c r="S585" s="67"/>
      <c r="T585" s="67"/>
      <c r="U585" s="66"/>
      <c r="V585" s="66"/>
      <c r="W585" s="66"/>
      <c r="X585" s="85"/>
      <c r="AP585" t="str">
        <v/>
      </c>
    </row>
    <row r="586" spans="4:42" ht="15.75" x14ac:dyDescent="0.25">
      <c r="D586" s="3">
        <v>1</v>
      </c>
      <c r="F586" s="16" t="str" cm="1">
        <f t="array" ref="F5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6" s="31" cm="1">
        <f t="array" ref="G5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6" s="33" t="str">
        <f>_xlfn.IFNA(IF(MOD(HLG_05[[#This Row],[Rit]],
    _xlfn.XLOOKUP($G$2,Int_Sample[Ore],Int_Sample[Inc])) = 0, "YES", "NO"),"")</f>
        <v/>
      </c>
      <c r="I586" s="32" t="str">
        <f>TEXT(HLG_05[[#This Row],[Batch]],"000")&amp; " / " &amp; TEXT(HLG_05[[#This Row],[Rit]],"000")</f>
        <v>N/A / 000</v>
      </c>
      <c r="J586" s="34"/>
      <c r="K586" s="38"/>
      <c r="L586" s="35"/>
      <c r="M586" s="66"/>
      <c r="N586" s="66"/>
      <c r="O586" s="66"/>
      <c r="P586" s="66"/>
      <c r="Q586" s="66"/>
      <c r="R586" s="67"/>
      <c r="S586" s="67"/>
      <c r="T586" s="67"/>
      <c r="U586" s="66"/>
      <c r="V586" s="66"/>
      <c r="W586" s="66"/>
      <c r="X586" s="85"/>
      <c r="AP586" t="str">
        <v/>
      </c>
    </row>
    <row r="587" spans="4:42" ht="15.75" x14ac:dyDescent="0.25">
      <c r="D587" s="3">
        <v>1</v>
      </c>
      <c r="F587" s="16" t="str" cm="1">
        <f t="array" ref="F5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7" s="31" cm="1">
        <f t="array" ref="G5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7" s="33" t="str">
        <f>_xlfn.IFNA(IF(MOD(HLG_05[[#This Row],[Rit]],
    _xlfn.XLOOKUP($G$2,Int_Sample[Ore],Int_Sample[Inc])) = 0, "YES", "NO"),"")</f>
        <v/>
      </c>
      <c r="I587" s="32" t="str">
        <f>TEXT(HLG_05[[#This Row],[Batch]],"000")&amp; " / " &amp; TEXT(HLG_05[[#This Row],[Rit]],"000")</f>
        <v>N/A / 000</v>
      </c>
      <c r="J587" s="34"/>
      <c r="K587" s="38"/>
      <c r="L587" s="35"/>
      <c r="M587" s="66"/>
      <c r="N587" s="66"/>
      <c r="O587" s="66"/>
      <c r="P587" s="66"/>
      <c r="Q587" s="66"/>
      <c r="R587" s="67"/>
      <c r="S587" s="67"/>
      <c r="T587" s="67"/>
      <c r="U587" s="66"/>
      <c r="V587" s="66"/>
      <c r="W587" s="66"/>
      <c r="X587" s="85"/>
      <c r="AP587" t="str">
        <v/>
      </c>
    </row>
    <row r="588" spans="4:42" ht="15.75" x14ac:dyDescent="0.25">
      <c r="D588" s="3">
        <v>1</v>
      </c>
      <c r="F588" s="16" t="str" cm="1">
        <f t="array" ref="F5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8" s="31" cm="1">
        <f t="array" ref="G5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8" s="33" t="str">
        <f>_xlfn.IFNA(IF(MOD(HLG_05[[#This Row],[Rit]],
    _xlfn.XLOOKUP($G$2,Int_Sample[Ore],Int_Sample[Inc])) = 0, "YES", "NO"),"")</f>
        <v/>
      </c>
      <c r="I588" s="32" t="str">
        <f>TEXT(HLG_05[[#This Row],[Batch]],"000")&amp; " / " &amp; TEXT(HLG_05[[#This Row],[Rit]],"000")</f>
        <v>N/A / 000</v>
      </c>
      <c r="J588" s="34"/>
      <c r="K588" s="38"/>
      <c r="L588" s="35"/>
      <c r="M588" s="66"/>
      <c r="N588" s="66"/>
      <c r="O588" s="66"/>
      <c r="P588" s="66"/>
      <c r="Q588" s="66"/>
      <c r="R588" s="67"/>
      <c r="S588" s="67"/>
      <c r="T588" s="67"/>
      <c r="U588" s="66"/>
      <c r="V588" s="66"/>
      <c r="W588" s="66"/>
      <c r="X588" s="85"/>
      <c r="AP588" t="str">
        <v/>
      </c>
    </row>
    <row r="589" spans="4:42" ht="15.75" x14ac:dyDescent="0.25">
      <c r="D589" s="3">
        <v>1</v>
      </c>
      <c r="F589" s="16" t="str" cm="1">
        <f t="array" ref="F5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9" s="31" cm="1">
        <f t="array" ref="G5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9" s="33" t="str">
        <f>_xlfn.IFNA(IF(MOD(HLG_05[[#This Row],[Rit]],
    _xlfn.XLOOKUP($G$2,Int_Sample[Ore],Int_Sample[Inc])) = 0, "YES", "NO"),"")</f>
        <v/>
      </c>
      <c r="I589" s="32" t="str">
        <f>TEXT(HLG_05[[#This Row],[Batch]],"000")&amp; " / " &amp; TEXT(HLG_05[[#This Row],[Rit]],"000")</f>
        <v>N/A / 000</v>
      </c>
      <c r="J589" s="34"/>
      <c r="K589" s="38"/>
      <c r="L589" s="35"/>
      <c r="M589" s="66"/>
      <c r="N589" s="66"/>
      <c r="O589" s="66"/>
      <c r="P589" s="66"/>
      <c r="Q589" s="66"/>
      <c r="R589" s="67"/>
      <c r="S589" s="67"/>
      <c r="T589" s="67"/>
      <c r="U589" s="66"/>
      <c r="V589" s="66"/>
      <c r="W589" s="66"/>
      <c r="X589" s="85"/>
      <c r="AP589" t="str">
        <v/>
      </c>
    </row>
    <row r="590" spans="4:42" ht="15.75" x14ac:dyDescent="0.25">
      <c r="D590" s="3">
        <v>1</v>
      </c>
      <c r="F590" s="16" t="str" cm="1">
        <f t="array" ref="F5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0" s="31" cm="1">
        <f t="array" ref="G5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0" s="33" t="str">
        <f>_xlfn.IFNA(IF(MOD(HLG_05[[#This Row],[Rit]],
    _xlfn.XLOOKUP($G$2,Int_Sample[Ore],Int_Sample[Inc])) = 0, "YES", "NO"),"")</f>
        <v/>
      </c>
      <c r="I590" s="32" t="str">
        <f>TEXT(HLG_05[[#This Row],[Batch]],"000")&amp; " / " &amp; TEXT(HLG_05[[#This Row],[Rit]],"000")</f>
        <v>N/A / 000</v>
      </c>
      <c r="J590" s="34"/>
      <c r="K590" s="38"/>
      <c r="L590" s="35"/>
      <c r="M590" s="66"/>
      <c r="N590" s="66"/>
      <c r="O590" s="66"/>
      <c r="P590" s="66"/>
      <c r="Q590" s="66"/>
      <c r="R590" s="67"/>
      <c r="S590" s="67"/>
      <c r="T590" s="67"/>
      <c r="U590" s="66"/>
      <c r="V590" s="66"/>
      <c r="W590" s="66"/>
      <c r="X590" s="85"/>
      <c r="AP590" t="str">
        <v/>
      </c>
    </row>
    <row r="591" spans="4:42" ht="15.75" x14ac:dyDescent="0.25">
      <c r="D591" s="3">
        <v>1</v>
      </c>
      <c r="F591" s="16" t="str" cm="1">
        <f t="array" ref="F5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1" s="31" cm="1">
        <f t="array" ref="G5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1" s="33" t="str">
        <f>_xlfn.IFNA(IF(MOD(HLG_05[[#This Row],[Rit]],
    _xlfn.XLOOKUP($G$2,Int_Sample[Ore],Int_Sample[Inc])) = 0, "YES", "NO"),"")</f>
        <v/>
      </c>
      <c r="I591" s="32" t="str">
        <f>TEXT(HLG_05[[#This Row],[Batch]],"000")&amp; " / " &amp; TEXT(HLG_05[[#This Row],[Rit]],"000")</f>
        <v>N/A / 000</v>
      </c>
      <c r="J591" s="34"/>
      <c r="K591" s="38"/>
      <c r="L591" s="35"/>
      <c r="M591" s="66"/>
      <c r="N591" s="66"/>
      <c r="O591" s="66"/>
      <c r="P591" s="66"/>
      <c r="Q591" s="66"/>
      <c r="R591" s="67"/>
      <c r="S591" s="67"/>
      <c r="T591" s="67"/>
      <c r="U591" s="66"/>
      <c r="V591" s="66"/>
      <c r="W591" s="66"/>
      <c r="X591" s="85"/>
      <c r="AP591" t="str">
        <v/>
      </c>
    </row>
    <row r="592" spans="4:42" ht="15.75" x14ac:dyDescent="0.25">
      <c r="D592" s="3">
        <v>1</v>
      </c>
      <c r="F592" s="16" t="str" cm="1">
        <f t="array" ref="F5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2" s="31" cm="1">
        <f t="array" ref="G5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2" s="33" t="str">
        <f>_xlfn.IFNA(IF(MOD(HLG_05[[#This Row],[Rit]],
    _xlfn.XLOOKUP($G$2,Int_Sample[Ore],Int_Sample[Inc])) = 0, "YES", "NO"),"")</f>
        <v/>
      </c>
      <c r="I592" s="32" t="str">
        <f>TEXT(HLG_05[[#This Row],[Batch]],"000")&amp; " / " &amp; TEXT(HLG_05[[#This Row],[Rit]],"000")</f>
        <v>N/A / 000</v>
      </c>
      <c r="J592" s="34"/>
      <c r="K592" s="38"/>
      <c r="L592" s="35"/>
      <c r="M592" s="66"/>
      <c r="N592" s="66"/>
      <c r="O592" s="66"/>
      <c r="P592" s="66"/>
      <c r="Q592" s="66"/>
      <c r="R592" s="67"/>
      <c r="S592" s="67"/>
      <c r="T592" s="67"/>
      <c r="U592" s="66"/>
      <c r="V592" s="66"/>
      <c r="W592" s="66"/>
      <c r="X592" s="85"/>
      <c r="AP592" t="str">
        <v/>
      </c>
    </row>
    <row r="593" spans="4:42" ht="15.75" x14ac:dyDescent="0.25">
      <c r="D593" s="3">
        <v>1</v>
      </c>
      <c r="F593" s="16" t="str" cm="1">
        <f t="array" ref="F5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3" s="31" cm="1">
        <f t="array" ref="G5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3" s="33" t="str">
        <f>_xlfn.IFNA(IF(MOD(HLG_05[[#This Row],[Rit]],
    _xlfn.XLOOKUP($G$2,Int_Sample[Ore],Int_Sample[Inc])) = 0, "YES", "NO"),"")</f>
        <v/>
      </c>
      <c r="I593" s="32" t="str">
        <f>TEXT(HLG_05[[#This Row],[Batch]],"000")&amp; " / " &amp; TEXT(HLG_05[[#This Row],[Rit]],"000")</f>
        <v>N/A / 000</v>
      </c>
      <c r="J593" s="34"/>
      <c r="K593" s="38"/>
      <c r="L593" s="35"/>
      <c r="M593" s="66"/>
      <c r="N593" s="66"/>
      <c r="O593" s="66"/>
      <c r="P593" s="66"/>
      <c r="Q593" s="66"/>
      <c r="R593" s="67"/>
      <c r="S593" s="67"/>
      <c r="T593" s="67"/>
      <c r="U593" s="66"/>
      <c r="V593" s="66"/>
      <c r="W593" s="66"/>
      <c r="X593" s="85"/>
      <c r="AP593" t="str">
        <v/>
      </c>
    </row>
    <row r="594" spans="4:42" ht="15.75" x14ac:dyDescent="0.25">
      <c r="D594" s="3">
        <v>1</v>
      </c>
      <c r="F594" s="16" t="str" cm="1">
        <f t="array" ref="F5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4" s="31" cm="1">
        <f t="array" ref="G5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4" s="33" t="str">
        <f>_xlfn.IFNA(IF(MOD(HLG_05[[#This Row],[Rit]],
    _xlfn.XLOOKUP($G$2,Int_Sample[Ore],Int_Sample[Inc])) = 0, "YES", "NO"),"")</f>
        <v/>
      </c>
      <c r="I594" s="32" t="str">
        <f>TEXT(HLG_05[[#This Row],[Batch]],"000")&amp; " / " &amp; TEXT(HLG_05[[#This Row],[Rit]],"000")</f>
        <v>N/A / 000</v>
      </c>
      <c r="J594" s="34"/>
      <c r="K594" s="38"/>
      <c r="L594" s="35"/>
      <c r="M594" s="66"/>
      <c r="N594" s="66"/>
      <c r="O594" s="66"/>
      <c r="P594" s="66"/>
      <c r="Q594" s="66"/>
      <c r="R594" s="67"/>
      <c r="S594" s="67"/>
      <c r="T594" s="67"/>
      <c r="U594" s="66"/>
      <c r="V594" s="66"/>
      <c r="W594" s="66"/>
      <c r="X594" s="85"/>
      <c r="AP594" t="str">
        <v/>
      </c>
    </row>
    <row r="595" spans="4:42" ht="15.75" x14ac:dyDescent="0.25">
      <c r="D595" s="3">
        <v>1</v>
      </c>
      <c r="F595" s="16" t="str" cm="1">
        <f t="array" ref="F5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5" s="31" cm="1">
        <f t="array" ref="G5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5" s="33" t="str">
        <f>_xlfn.IFNA(IF(MOD(HLG_05[[#This Row],[Rit]],
    _xlfn.XLOOKUP($G$2,Int_Sample[Ore],Int_Sample[Inc])) = 0, "YES", "NO"),"")</f>
        <v/>
      </c>
      <c r="I595" s="32" t="str">
        <f>TEXT(HLG_05[[#This Row],[Batch]],"000")&amp; " / " &amp; TEXT(HLG_05[[#This Row],[Rit]],"000")</f>
        <v>N/A / 000</v>
      </c>
      <c r="J595" s="34"/>
      <c r="K595" s="38"/>
      <c r="L595" s="35"/>
      <c r="M595" s="66"/>
      <c r="N595" s="66"/>
      <c r="O595" s="66"/>
      <c r="P595" s="66"/>
      <c r="Q595" s="66"/>
      <c r="R595" s="67"/>
      <c r="S595" s="67"/>
      <c r="T595" s="67"/>
      <c r="U595" s="66"/>
      <c r="V595" s="66"/>
      <c r="W595" s="66"/>
      <c r="X595" s="85"/>
      <c r="AP595" t="str">
        <v/>
      </c>
    </row>
    <row r="596" spans="4:42" ht="15.75" x14ac:dyDescent="0.25">
      <c r="D596" s="3">
        <v>1</v>
      </c>
      <c r="F596" s="16" t="str" cm="1">
        <f t="array" ref="F5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6" s="31" cm="1">
        <f t="array" ref="G5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6" s="33" t="str">
        <f>_xlfn.IFNA(IF(MOD(HLG_05[[#This Row],[Rit]],
    _xlfn.XLOOKUP($G$2,Int_Sample[Ore],Int_Sample[Inc])) = 0, "YES", "NO"),"")</f>
        <v/>
      </c>
      <c r="I596" s="32" t="str">
        <f>TEXT(HLG_05[[#This Row],[Batch]],"000")&amp; " / " &amp; TEXT(HLG_05[[#This Row],[Rit]],"000")</f>
        <v>N/A / 000</v>
      </c>
      <c r="J596" s="34"/>
      <c r="K596" s="38"/>
      <c r="L596" s="35"/>
      <c r="M596" s="66"/>
      <c r="N596" s="66"/>
      <c r="O596" s="66"/>
      <c r="P596" s="66"/>
      <c r="Q596" s="66"/>
      <c r="R596" s="67"/>
      <c r="S596" s="67"/>
      <c r="T596" s="67"/>
      <c r="U596" s="66"/>
      <c r="V596" s="66"/>
      <c r="W596" s="66"/>
      <c r="X596" s="85"/>
      <c r="AP596" t="str">
        <v/>
      </c>
    </row>
    <row r="597" spans="4:42" ht="15.75" x14ac:dyDescent="0.25">
      <c r="D597" s="3">
        <v>1</v>
      </c>
      <c r="F597" s="16" t="str" cm="1">
        <f t="array" ref="F5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7" s="31" cm="1">
        <f t="array" ref="G5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7" s="33" t="str">
        <f>_xlfn.IFNA(IF(MOD(HLG_05[[#This Row],[Rit]],
    _xlfn.XLOOKUP($G$2,Int_Sample[Ore],Int_Sample[Inc])) = 0, "YES", "NO"),"")</f>
        <v/>
      </c>
      <c r="I597" s="32" t="str">
        <f>TEXT(HLG_05[[#This Row],[Batch]],"000")&amp; " / " &amp; TEXT(HLG_05[[#This Row],[Rit]],"000")</f>
        <v>N/A / 000</v>
      </c>
      <c r="J597" s="34"/>
      <c r="K597" s="38"/>
      <c r="L597" s="35"/>
      <c r="M597" s="66"/>
      <c r="N597" s="66"/>
      <c r="O597" s="66"/>
      <c r="P597" s="66"/>
      <c r="Q597" s="66"/>
      <c r="R597" s="67"/>
      <c r="S597" s="67"/>
      <c r="T597" s="67"/>
      <c r="U597" s="66"/>
      <c r="V597" s="66"/>
      <c r="W597" s="66"/>
      <c r="X597" s="85"/>
      <c r="AP597" t="str">
        <v/>
      </c>
    </row>
    <row r="598" spans="4:42" ht="15.75" x14ac:dyDescent="0.25">
      <c r="D598" s="3">
        <v>1</v>
      </c>
      <c r="F598" s="16" t="str" cm="1">
        <f t="array" ref="F5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8" s="31" cm="1">
        <f t="array" ref="G5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8" s="33" t="str">
        <f>_xlfn.IFNA(IF(MOD(HLG_05[[#This Row],[Rit]],
    _xlfn.XLOOKUP($G$2,Int_Sample[Ore],Int_Sample[Inc])) = 0, "YES", "NO"),"")</f>
        <v/>
      </c>
      <c r="I598" s="32" t="str">
        <f>TEXT(HLG_05[[#This Row],[Batch]],"000")&amp; " / " &amp; TEXT(HLG_05[[#This Row],[Rit]],"000")</f>
        <v>N/A / 000</v>
      </c>
      <c r="J598" s="34"/>
      <c r="K598" s="38"/>
      <c r="L598" s="35"/>
      <c r="M598" s="66"/>
      <c r="N598" s="66"/>
      <c r="O598" s="66"/>
      <c r="P598" s="66"/>
      <c r="Q598" s="66"/>
      <c r="R598" s="67"/>
      <c r="S598" s="67"/>
      <c r="T598" s="67"/>
      <c r="U598" s="66"/>
      <c r="V598" s="66"/>
      <c r="W598" s="66"/>
      <c r="X598" s="85"/>
      <c r="AP598" t="str">
        <v/>
      </c>
    </row>
    <row r="599" spans="4:42" ht="15.75" x14ac:dyDescent="0.25">
      <c r="D599" s="3">
        <v>1</v>
      </c>
      <c r="F599" s="16" t="str" cm="1">
        <f t="array" ref="F5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9" s="31" cm="1">
        <f t="array" ref="G5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9" s="33" t="str">
        <f>_xlfn.IFNA(IF(MOD(HLG_05[[#This Row],[Rit]],
    _xlfn.XLOOKUP($G$2,Int_Sample[Ore],Int_Sample[Inc])) = 0, "YES", "NO"),"")</f>
        <v/>
      </c>
      <c r="I599" s="32" t="str">
        <f>TEXT(HLG_05[[#This Row],[Batch]],"000")&amp; " / " &amp; TEXT(HLG_05[[#This Row],[Rit]],"000")</f>
        <v>N/A / 000</v>
      </c>
      <c r="J599" s="34"/>
      <c r="K599" s="38"/>
      <c r="L599" s="35"/>
      <c r="M599" s="66"/>
      <c r="N599" s="66"/>
      <c r="O599" s="66"/>
      <c r="P599" s="66"/>
      <c r="Q599" s="66"/>
      <c r="R599" s="67"/>
      <c r="S599" s="67"/>
      <c r="T599" s="67"/>
      <c r="U599" s="66"/>
      <c r="V599" s="66"/>
      <c r="W599" s="66"/>
      <c r="X599" s="85"/>
      <c r="AP599" t="str">
        <v/>
      </c>
    </row>
    <row r="600" spans="4:42" ht="15.75" x14ac:dyDescent="0.25">
      <c r="D600" s="3">
        <v>1</v>
      </c>
      <c r="F600" s="16" t="str" cm="1">
        <f t="array" ref="F6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0" s="31" cm="1">
        <f t="array" ref="G6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0" s="33" t="str">
        <f>_xlfn.IFNA(IF(MOD(HLG_05[[#This Row],[Rit]],
    _xlfn.XLOOKUP($G$2,Int_Sample[Ore],Int_Sample[Inc])) = 0, "YES", "NO"),"")</f>
        <v/>
      </c>
      <c r="I600" s="32" t="str">
        <f>TEXT(HLG_05[[#This Row],[Batch]],"000")&amp; " / " &amp; TEXT(HLG_05[[#This Row],[Rit]],"000")</f>
        <v>N/A / 000</v>
      </c>
      <c r="J600" s="34"/>
      <c r="K600" s="38"/>
      <c r="L600" s="35"/>
      <c r="M600" s="66"/>
      <c r="N600" s="66"/>
      <c r="O600" s="66"/>
      <c r="P600" s="66"/>
      <c r="Q600" s="66"/>
      <c r="R600" s="67"/>
      <c r="S600" s="67"/>
      <c r="T600" s="67"/>
      <c r="U600" s="66"/>
      <c r="V600" s="66"/>
      <c r="W600" s="66"/>
      <c r="X600" s="85"/>
      <c r="AP600" t="str">
        <v/>
      </c>
    </row>
    <row r="601" spans="4:42" ht="15.75" x14ac:dyDescent="0.25">
      <c r="D601" s="3">
        <v>1</v>
      </c>
      <c r="F601" s="16" t="str" cm="1">
        <f t="array" ref="F6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1" s="31" cm="1">
        <f t="array" ref="G6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1" s="33" t="str">
        <f>_xlfn.IFNA(IF(MOD(HLG_05[[#This Row],[Rit]],
    _xlfn.XLOOKUP($G$2,Int_Sample[Ore],Int_Sample[Inc])) = 0, "YES", "NO"),"")</f>
        <v/>
      </c>
      <c r="I601" s="32" t="str">
        <f>TEXT(HLG_05[[#This Row],[Batch]],"000")&amp; " / " &amp; TEXT(HLG_05[[#This Row],[Rit]],"000")</f>
        <v>N/A / 000</v>
      </c>
      <c r="J601" s="34"/>
      <c r="K601" s="38"/>
      <c r="L601" s="35"/>
      <c r="M601" s="66"/>
      <c r="N601" s="66"/>
      <c r="O601" s="66"/>
      <c r="P601" s="66"/>
      <c r="Q601" s="66"/>
      <c r="R601" s="67"/>
      <c r="S601" s="67"/>
      <c r="T601" s="67"/>
      <c r="U601" s="66"/>
      <c r="V601" s="66"/>
      <c r="W601" s="66"/>
      <c r="X601" s="85"/>
      <c r="AP601" t="str">
        <v/>
      </c>
    </row>
    <row r="602" spans="4:42" ht="15.75" x14ac:dyDescent="0.25">
      <c r="D602" s="3">
        <v>1</v>
      </c>
      <c r="F602" s="16" t="str" cm="1">
        <f t="array" ref="F6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2" s="31" cm="1">
        <f t="array" ref="G6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2" s="33" t="str">
        <f>_xlfn.IFNA(IF(MOD(HLG_05[[#This Row],[Rit]],
    _xlfn.XLOOKUP($G$2,Int_Sample[Ore],Int_Sample[Inc])) = 0, "YES", "NO"),"")</f>
        <v/>
      </c>
      <c r="I602" s="32" t="str">
        <f>TEXT(HLG_05[[#This Row],[Batch]],"000")&amp; " / " &amp; TEXT(HLG_05[[#This Row],[Rit]],"000")</f>
        <v>N/A / 000</v>
      </c>
      <c r="J602" s="34"/>
      <c r="K602" s="38"/>
      <c r="L602" s="35"/>
      <c r="M602" s="66"/>
      <c r="N602" s="66"/>
      <c r="O602" s="66"/>
      <c r="P602" s="66"/>
      <c r="Q602" s="66"/>
      <c r="R602" s="67"/>
      <c r="S602" s="67"/>
      <c r="T602" s="67"/>
      <c r="U602" s="66"/>
      <c r="V602" s="66"/>
      <c r="W602" s="66"/>
      <c r="X602" s="85"/>
      <c r="AP602" t="str">
        <v/>
      </c>
    </row>
    <row r="603" spans="4:42" ht="15.75" x14ac:dyDescent="0.25">
      <c r="D603" s="3">
        <v>1</v>
      </c>
      <c r="F603" s="16" t="str" cm="1">
        <f t="array" ref="F6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3" s="31" cm="1">
        <f t="array" ref="G6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3" s="33" t="str">
        <f>_xlfn.IFNA(IF(MOD(HLG_05[[#This Row],[Rit]],
    _xlfn.XLOOKUP($G$2,Int_Sample[Ore],Int_Sample[Inc])) = 0, "YES", "NO"),"")</f>
        <v/>
      </c>
      <c r="I603" s="32" t="str">
        <f>TEXT(HLG_05[[#This Row],[Batch]],"000")&amp; " / " &amp; TEXT(HLG_05[[#This Row],[Rit]],"000")</f>
        <v>N/A / 000</v>
      </c>
      <c r="J603" s="34"/>
      <c r="K603" s="38"/>
      <c r="L603" s="35"/>
      <c r="M603" s="66"/>
      <c r="N603" s="66"/>
      <c r="O603" s="66"/>
      <c r="P603" s="66"/>
      <c r="Q603" s="66"/>
      <c r="R603" s="67"/>
      <c r="S603" s="67"/>
      <c r="T603" s="67"/>
      <c r="U603" s="66"/>
      <c r="V603" s="66"/>
      <c r="W603" s="66"/>
      <c r="X603" s="85"/>
      <c r="AP603" t="str">
        <v/>
      </c>
    </row>
    <row r="604" spans="4:42" ht="15.75" x14ac:dyDescent="0.25">
      <c r="D604" s="3">
        <v>1</v>
      </c>
      <c r="F604" s="16" t="str" cm="1">
        <f t="array" ref="F6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4" s="31" cm="1">
        <f t="array" ref="G6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4" s="33" t="str">
        <f>_xlfn.IFNA(IF(MOD(HLG_05[[#This Row],[Rit]],
    _xlfn.XLOOKUP($G$2,Int_Sample[Ore],Int_Sample[Inc])) = 0, "YES", "NO"),"")</f>
        <v/>
      </c>
      <c r="I604" s="32" t="str">
        <f>TEXT(HLG_05[[#This Row],[Batch]],"000")&amp; " / " &amp; TEXT(HLG_05[[#This Row],[Rit]],"000")</f>
        <v>N/A / 000</v>
      </c>
      <c r="J604" s="34"/>
      <c r="K604" s="38"/>
      <c r="L604" s="35"/>
      <c r="M604" s="66"/>
      <c r="N604" s="66"/>
      <c r="O604" s="66"/>
      <c r="P604" s="66"/>
      <c r="Q604" s="66"/>
      <c r="R604" s="67"/>
      <c r="S604" s="67"/>
      <c r="T604" s="67"/>
      <c r="U604" s="66"/>
      <c r="V604" s="66"/>
      <c r="W604" s="66"/>
      <c r="X604" s="85"/>
      <c r="AP604" t="str">
        <v/>
      </c>
    </row>
    <row r="605" spans="4:42" ht="15.75" x14ac:dyDescent="0.25">
      <c r="D605" s="3">
        <v>1</v>
      </c>
      <c r="F605" s="16" t="str" cm="1">
        <f t="array" ref="F6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5" s="31" cm="1">
        <f t="array" ref="G6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5" s="33" t="str">
        <f>_xlfn.IFNA(IF(MOD(HLG_05[[#This Row],[Rit]],
    _xlfn.XLOOKUP($G$2,Int_Sample[Ore],Int_Sample[Inc])) = 0, "YES", "NO"),"")</f>
        <v/>
      </c>
      <c r="I605" s="32" t="str">
        <f>TEXT(HLG_05[[#This Row],[Batch]],"000")&amp; " / " &amp; TEXT(HLG_05[[#This Row],[Rit]],"000")</f>
        <v>N/A / 000</v>
      </c>
      <c r="J605" s="34"/>
      <c r="K605" s="38"/>
      <c r="L605" s="35"/>
      <c r="M605" s="66"/>
      <c r="N605" s="66"/>
      <c r="O605" s="66"/>
      <c r="P605" s="66"/>
      <c r="Q605" s="66"/>
      <c r="R605" s="67"/>
      <c r="S605" s="67"/>
      <c r="T605" s="67"/>
      <c r="U605" s="66"/>
      <c r="V605" s="66"/>
      <c r="W605" s="66"/>
      <c r="X605" s="85"/>
      <c r="AP605" t="str">
        <v/>
      </c>
    </row>
    <row r="606" spans="4:42" ht="15.75" x14ac:dyDescent="0.25">
      <c r="D606" s="3">
        <v>1</v>
      </c>
      <c r="F606" s="16" t="str" cm="1">
        <f t="array" ref="F6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6" s="31" cm="1">
        <f t="array" ref="G6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6" s="33" t="str">
        <f>_xlfn.IFNA(IF(MOD(HLG_05[[#This Row],[Rit]],
    _xlfn.XLOOKUP($G$2,Int_Sample[Ore],Int_Sample[Inc])) = 0, "YES", "NO"),"")</f>
        <v/>
      </c>
      <c r="I606" s="32" t="str">
        <f>TEXT(HLG_05[[#This Row],[Batch]],"000")&amp; " / " &amp; TEXT(HLG_05[[#This Row],[Rit]],"000")</f>
        <v>N/A / 000</v>
      </c>
      <c r="J606" s="34"/>
      <c r="K606" s="38"/>
      <c r="L606" s="35"/>
      <c r="M606" s="66"/>
      <c r="N606" s="66"/>
      <c r="O606" s="66"/>
      <c r="P606" s="66"/>
      <c r="Q606" s="66"/>
      <c r="R606" s="67"/>
      <c r="S606" s="67"/>
      <c r="T606" s="67"/>
      <c r="U606" s="66"/>
      <c r="V606" s="66"/>
      <c r="W606" s="66"/>
      <c r="X606" s="85"/>
      <c r="AP606" t="str">
        <v/>
      </c>
    </row>
    <row r="607" spans="4:42" ht="15.75" x14ac:dyDescent="0.25">
      <c r="D607" s="3">
        <v>1</v>
      </c>
      <c r="F607" s="16" t="str" cm="1">
        <f t="array" ref="F6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7" s="31" cm="1">
        <f t="array" ref="G6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7" s="33" t="str">
        <f>_xlfn.IFNA(IF(MOD(HLG_05[[#This Row],[Rit]],
    _xlfn.XLOOKUP($G$2,Int_Sample[Ore],Int_Sample[Inc])) = 0, "YES", "NO"),"")</f>
        <v/>
      </c>
      <c r="I607" s="32" t="str">
        <f>TEXT(HLG_05[[#This Row],[Batch]],"000")&amp; " / " &amp; TEXT(HLG_05[[#This Row],[Rit]],"000")</f>
        <v>N/A / 000</v>
      </c>
      <c r="J607" s="34"/>
      <c r="K607" s="38"/>
      <c r="L607" s="35"/>
      <c r="M607" s="66"/>
      <c r="N607" s="66"/>
      <c r="O607" s="66"/>
      <c r="P607" s="66"/>
      <c r="Q607" s="66"/>
      <c r="R607" s="67"/>
      <c r="S607" s="67"/>
      <c r="T607" s="67"/>
      <c r="U607" s="66"/>
      <c r="V607" s="66"/>
      <c r="W607" s="66"/>
      <c r="X607" s="85"/>
      <c r="AP607" t="str">
        <v/>
      </c>
    </row>
    <row r="608" spans="4:42" ht="15.75" x14ac:dyDescent="0.25">
      <c r="D608" s="3">
        <v>1</v>
      </c>
      <c r="F608" s="16" t="str" cm="1">
        <f t="array" ref="F6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8" s="31" cm="1">
        <f t="array" ref="G6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8" s="33" t="str">
        <f>_xlfn.IFNA(IF(MOD(HLG_05[[#This Row],[Rit]],
    _xlfn.XLOOKUP($G$2,Int_Sample[Ore],Int_Sample[Inc])) = 0, "YES", "NO"),"")</f>
        <v/>
      </c>
      <c r="I608" s="32" t="str">
        <f>TEXT(HLG_05[[#This Row],[Batch]],"000")&amp; " / " &amp; TEXT(HLG_05[[#This Row],[Rit]],"000")</f>
        <v>N/A / 000</v>
      </c>
      <c r="J608" s="34"/>
      <c r="K608" s="38"/>
      <c r="L608" s="35"/>
      <c r="M608" s="66"/>
      <c r="N608" s="66"/>
      <c r="O608" s="66"/>
      <c r="P608" s="66"/>
      <c r="Q608" s="66"/>
      <c r="R608" s="67"/>
      <c r="S608" s="67"/>
      <c r="T608" s="67"/>
      <c r="U608" s="66"/>
      <c r="V608" s="66"/>
      <c r="W608" s="66"/>
      <c r="X608" s="85"/>
      <c r="AP608" t="str">
        <v/>
      </c>
    </row>
    <row r="609" spans="4:42" ht="15.75" x14ac:dyDescent="0.25">
      <c r="D609" s="3">
        <v>1</v>
      </c>
      <c r="F609" s="16" t="str" cm="1">
        <f t="array" ref="F6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9" s="31" cm="1">
        <f t="array" ref="G6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9" s="33" t="str">
        <f>_xlfn.IFNA(IF(MOD(HLG_05[[#This Row],[Rit]],
    _xlfn.XLOOKUP($G$2,Int_Sample[Ore],Int_Sample[Inc])) = 0, "YES", "NO"),"")</f>
        <v/>
      </c>
      <c r="I609" s="32" t="str">
        <f>TEXT(HLG_05[[#This Row],[Batch]],"000")&amp; " / " &amp; TEXT(HLG_05[[#This Row],[Rit]],"000")</f>
        <v>N/A / 000</v>
      </c>
      <c r="J609" s="34"/>
      <c r="K609" s="38"/>
      <c r="L609" s="35"/>
      <c r="M609" s="66"/>
      <c r="N609" s="66"/>
      <c r="O609" s="66"/>
      <c r="P609" s="66"/>
      <c r="Q609" s="66"/>
      <c r="R609" s="67"/>
      <c r="S609" s="67"/>
      <c r="T609" s="67"/>
      <c r="U609" s="66"/>
      <c r="V609" s="66"/>
      <c r="W609" s="66"/>
      <c r="X609" s="85"/>
      <c r="AP609" t="str">
        <v/>
      </c>
    </row>
    <row r="610" spans="4:42" ht="15.75" x14ac:dyDescent="0.25">
      <c r="D610" s="3">
        <v>1</v>
      </c>
      <c r="F610" s="16" t="str" cm="1">
        <f t="array" ref="F6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0" s="31" cm="1">
        <f t="array" ref="G6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0" s="33" t="str">
        <f>_xlfn.IFNA(IF(MOD(HLG_05[[#This Row],[Rit]],
    _xlfn.XLOOKUP($G$2,Int_Sample[Ore],Int_Sample[Inc])) = 0, "YES", "NO"),"")</f>
        <v/>
      </c>
      <c r="I610" s="32" t="str">
        <f>TEXT(HLG_05[[#This Row],[Batch]],"000")&amp; " / " &amp; TEXT(HLG_05[[#This Row],[Rit]],"000")</f>
        <v>N/A / 000</v>
      </c>
      <c r="J610" s="34"/>
      <c r="K610" s="38"/>
      <c r="L610" s="35"/>
      <c r="M610" s="66"/>
      <c r="N610" s="66"/>
      <c r="O610" s="66"/>
      <c r="P610" s="66"/>
      <c r="Q610" s="66"/>
      <c r="R610" s="67"/>
      <c r="S610" s="67"/>
      <c r="T610" s="67"/>
      <c r="U610" s="66"/>
      <c r="V610" s="66"/>
      <c r="W610" s="66"/>
      <c r="X610" s="85"/>
      <c r="AP610" t="str">
        <v/>
      </c>
    </row>
    <row r="611" spans="4:42" ht="15.75" x14ac:dyDescent="0.25">
      <c r="D611" s="3">
        <v>1</v>
      </c>
      <c r="F611" s="16" t="str" cm="1">
        <f t="array" ref="F6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1" s="31" cm="1">
        <f t="array" ref="G6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1" s="33" t="str">
        <f>_xlfn.IFNA(IF(MOD(HLG_05[[#This Row],[Rit]],
    _xlfn.XLOOKUP($G$2,Int_Sample[Ore],Int_Sample[Inc])) = 0, "YES", "NO"),"")</f>
        <v/>
      </c>
      <c r="I611" s="32" t="str">
        <f>TEXT(HLG_05[[#This Row],[Batch]],"000")&amp; " / " &amp; TEXT(HLG_05[[#This Row],[Rit]],"000")</f>
        <v>N/A / 000</v>
      </c>
      <c r="J611" s="34"/>
      <c r="K611" s="38"/>
      <c r="L611" s="35"/>
      <c r="M611" s="66"/>
      <c r="N611" s="66"/>
      <c r="O611" s="66"/>
      <c r="P611" s="66"/>
      <c r="Q611" s="66"/>
      <c r="R611" s="67"/>
      <c r="S611" s="67"/>
      <c r="T611" s="67"/>
      <c r="U611" s="66"/>
      <c r="V611" s="66"/>
      <c r="W611" s="66"/>
      <c r="X611" s="85"/>
      <c r="AP611" t="str">
        <v/>
      </c>
    </row>
    <row r="612" spans="4:42" ht="15.75" x14ac:dyDescent="0.25">
      <c r="D612" s="3">
        <v>1</v>
      </c>
      <c r="F612" s="16" t="str" cm="1">
        <f t="array" ref="F6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2" s="31" cm="1">
        <f t="array" ref="G6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2" s="33" t="str">
        <f>_xlfn.IFNA(IF(MOD(HLG_05[[#This Row],[Rit]],
    _xlfn.XLOOKUP($G$2,Int_Sample[Ore],Int_Sample[Inc])) = 0, "YES", "NO"),"")</f>
        <v/>
      </c>
      <c r="I612" s="32" t="str">
        <f>TEXT(HLG_05[[#This Row],[Batch]],"000")&amp; " / " &amp; TEXT(HLG_05[[#This Row],[Rit]],"000")</f>
        <v>N/A / 000</v>
      </c>
      <c r="J612" s="34"/>
      <c r="K612" s="38"/>
      <c r="L612" s="35"/>
      <c r="M612" s="66"/>
      <c r="N612" s="66"/>
      <c r="O612" s="66"/>
      <c r="P612" s="66"/>
      <c r="Q612" s="66"/>
      <c r="R612" s="67"/>
      <c r="S612" s="67"/>
      <c r="T612" s="67"/>
      <c r="U612" s="66"/>
      <c r="V612" s="66"/>
      <c r="W612" s="66"/>
      <c r="X612" s="85"/>
      <c r="AP612" t="str">
        <v/>
      </c>
    </row>
    <row r="613" spans="4:42" ht="15.75" x14ac:dyDescent="0.25">
      <c r="D613" s="3">
        <v>1</v>
      </c>
      <c r="F613" s="16" t="str" cm="1">
        <f t="array" ref="F6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3" s="31" cm="1">
        <f t="array" ref="G6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3" s="33" t="str">
        <f>_xlfn.IFNA(IF(MOD(HLG_05[[#This Row],[Rit]],
    _xlfn.XLOOKUP($G$2,Int_Sample[Ore],Int_Sample[Inc])) = 0, "YES", "NO"),"")</f>
        <v/>
      </c>
      <c r="I613" s="32" t="str">
        <f>TEXT(HLG_05[[#This Row],[Batch]],"000")&amp; " / " &amp; TEXT(HLG_05[[#This Row],[Rit]],"000")</f>
        <v>N/A / 000</v>
      </c>
      <c r="J613" s="34"/>
      <c r="K613" s="38"/>
      <c r="L613" s="35"/>
      <c r="M613" s="66"/>
      <c r="N613" s="66"/>
      <c r="O613" s="66"/>
      <c r="P613" s="66"/>
      <c r="Q613" s="66"/>
      <c r="R613" s="67"/>
      <c r="S613" s="67"/>
      <c r="T613" s="67"/>
      <c r="U613" s="66"/>
      <c r="V613" s="66"/>
      <c r="W613" s="66"/>
      <c r="X613" s="85"/>
      <c r="AP613" t="str">
        <v/>
      </c>
    </row>
    <row r="614" spans="4:42" ht="15.75" x14ac:dyDescent="0.25">
      <c r="D614" s="3">
        <v>1</v>
      </c>
      <c r="F614" s="16" t="str" cm="1">
        <f t="array" ref="F6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4" s="31" cm="1">
        <f t="array" ref="G6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4" s="33" t="str">
        <f>_xlfn.IFNA(IF(MOD(HLG_05[[#This Row],[Rit]],
    _xlfn.XLOOKUP($G$2,Int_Sample[Ore],Int_Sample[Inc])) = 0, "YES", "NO"),"")</f>
        <v/>
      </c>
      <c r="I614" s="32" t="str">
        <f>TEXT(HLG_05[[#This Row],[Batch]],"000")&amp; " / " &amp; TEXT(HLG_05[[#This Row],[Rit]],"000")</f>
        <v>N/A / 000</v>
      </c>
      <c r="J614" s="34"/>
      <c r="K614" s="38"/>
      <c r="L614" s="35"/>
      <c r="M614" s="66"/>
      <c r="N614" s="66"/>
      <c r="O614" s="66"/>
      <c r="P614" s="66"/>
      <c r="Q614" s="66"/>
      <c r="R614" s="67"/>
      <c r="S614" s="67"/>
      <c r="T614" s="67"/>
      <c r="U614" s="66"/>
      <c r="V614" s="66"/>
      <c r="W614" s="66"/>
      <c r="X614" s="85"/>
      <c r="AP614" t="str">
        <v/>
      </c>
    </row>
    <row r="615" spans="4:42" ht="15.75" x14ac:dyDescent="0.25">
      <c r="D615" s="3">
        <v>1</v>
      </c>
      <c r="F615" s="16" t="str" cm="1">
        <f t="array" ref="F6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5" s="31" cm="1">
        <f t="array" ref="G6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5" s="33" t="str">
        <f>_xlfn.IFNA(IF(MOD(HLG_05[[#This Row],[Rit]],
    _xlfn.XLOOKUP($G$2,Int_Sample[Ore],Int_Sample[Inc])) = 0, "YES", "NO"),"")</f>
        <v/>
      </c>
      <c r="I615" s="32" t="str">
        <f>TEXT(HLG_05[[#This Row],[Batch]],"000")&amp; " / " &amp; TEXT(HLG_05[[#This Row],[Rit]],"000")</f>
        <v>N/A / 000</v>
      </c>
      <c r="J615" s="34"/>
      <c r="K615" s="38"/>
      <c r="L615" s="35"/>
      <c r="M615" s="66"/>
      <c r="N615" s="66"/>
      <c r="O615" s="66"/>
      <c r="P615" s="66"/>
      <c r="Q615" s="66"/>
      <c r="R615" s="67"/>
      <c r="S615" s="67"/>
      <c r="T615" s="67"/>
      <c r="U615" s="66"/>
      <c r="V615" s="66"/>
      <c r="W615" s="66"/>
      <c r="X615" s="85"/>
      <c r="AP615" t="str">
        <v/>
      </c>
    </row>
    <row r="616" spans="4:42" ht="15.75" x14ac:dyDescent="0.25">
      <c r="D616" s="3">
        <v>1</v>
      </c>
      <c r="F616" s="16" t="str" cm="1">
        <f t="array" ref="F6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6" s="31" cm="1">
        <f t="array" ref="G6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6" s="33" t="str">
        <f>_xlfn.IFNA(IF(MOD(HLG_05[[#This Row],[Rit]],
    _xlfn.XLOOKUP($G$2,Int_Sample[Ore],Int_Sample[Inc])) = 0, "YES", "NO"),"")</f>
        <v/>
      </c>
      <c r="I616" s="32" t="str">
        <f>TEXT(HLG_05[[#This Row],[Batch]],"000")&amp; " / " &amp; TEXT(HLG_05[[#This Row],[Rit]],"000")</f>
        <v>N/A / 000</v>
      </c>
      <c r="J616" s="34"/>
      <c r="K616" s="38"/>
      <c r="L616" s="35"/>
      <c r="M616" s="66"/>
      <c r="N616" s="66"/>
      <c r="O616" s="66"/>
      <c r="P616" s="66"/>
      <c r="Q616" s="66"/>
      <c r="R616" s="67"/>
      <c r="S616" s="67"/>
      <c r="T616" s="67"/>
      <c r="U616" s="66"/>
      <c r="V616" s="66"/>
      <c r="W616" s="66"/>
      <c r="X616" s="85"/>
      <c r="AP616" t="str">
        <v/>
      </c>
    </row>
    <row r="617" spans="4:42" ht="15.75" x14ac:dyDescent="0.25">
      <c r="D617" s="3">
        <v>1</v>
      </c>
      <c r="F617" s="16" t="str" cm="1">
        <f t="array" ref="F6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7" s="31" cm="1">
        <f t="array" ref="G6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7" s="33" t="str">
        <f>_xlfn.IFNA(IF(MOD(HLG_05[[#This Row],[Rit]],
    _xlfn.XLOOKUP($G$2,Int_Sample[Ore],Int_Sample[Inc])) = 0, "YES", "NO"),"")</f>
        <v/>
      </c>
      <c r="I617" s="32" t="str">
        <f>TEXT(HLG_05[[#This Row],[Batch]],"000")&amp; " / " &amp; TEXT(HLG_05[[#This Row],[Rit]],"000")</f>
        <v>N/A / 000</v>
      </c>
      <c r="J617" s="34"/>
      <c r="K617" s="38"/>
      <c r="L617" s="35"/>
      <c r="M617" s="66"/>
      <c r="N617" s="66"/>
      <c r="O617" s="66"/>
      <c r="P617" s="66"/>
      <c r="Q617" s="66"/>
      <c r="R617" s="67"/>
      <c r="S617" s="67"/>
      <c r="T617" s="67"/>
      <c r="U617" s="66"/>
      <c r="V617" s="66"/>
      <c r="W617" s="66"/>
      <c r="X617" s="85"/>
      <c r="AP617" t="str">
        <v/>
      </c>
    </row>
    <row r="618" spans="4:42" ht="15.75" x14ac:dyDescent="0.25">
      <c r="D618" s="3">
        <v>1</v>
      </c>
      <c r="F618" s="16" t="str" cm="1">
        <f t="array" ref="F6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8" s="31" cm="1">
        <f t="array" ref="G6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8" s="33" t="str">
        <f>_xlfn.IFNA(IF(MOD(HLG_05[[#This Row],[Rit]],
    _xlfn.XLOOKUP($G$2,Int_Sample[Ore],Int_Sample[Inc])) = 0, "YES", "NO"),"")</f>
        <v/>
      </c>
      <c r="I618" s="32" t="str">
        <f>TEXT(HLG_05[[#This Row],[Batch]],"000")&amp; " / " &amp; TEXT(HLG_05[[#This Row],[Rit]],"000")</f>
        <v>N/A / 000</v>
      </c>
      <c r="J618" s="34"/>
      <c r="K618" s="38"/>
      <c r="L618" s="35"/>
      <c r="M618" s="66"/>
      <c r="N618" s="66"/>
      <c r="O618" s="66"/>
      <c r="P618" s="66"/>
      <c r="Q618" s="66"/>
      <c r="R618" s="67"/>
      <c r="S618" s="67"/>
      <c r="T618" s="67"/>
      <c r="U618" s="66"/>
      <c r="V618" s="66"/>
      <c r="W618" s="66"/>
      <c r="X618" s="85"/>
      <c r="AP618" t="str">
        <v/>
      </c>
    </row>
    <row r="619" spans="4:42" ht="15.75" x14ac:dyDescent="0.25">
      <c r="D619" s="3">
        <v>1</v>
      </c>
      <c r="F619" s="16" t="str" cm="1">
        <f t="array" ref="F6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9" s="31" cm="1">
        <f t="array" ref="G6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9" s="33" t="str">
        <f>_xlfn.IFNA(IF(MOD(HLG_05[[#This Row],[Rit]],
    _xlfn.XLOOKUP($G$2,Int_Sample[Ore],Int_Sample[Inc])) = 0, "YES", "NO"),"")</f>
        <v/>
      </c>
      <c r="I619" s="32" t="str">
        <f>TEXT(HLG_05[[#This Row],[Batch]],"000")&amp; " / " &amp; TEXT(HLG_05[[#This Row],[Rit]],"000")</f>
        <v>N/A / 000</v>
      </c>
      <c r="J619" s="34"/>
      <c r="K619" s="38"/>
      <c r="L619" s="35"/>
      <c r="M619" s="66"/>
      <c r="N619" s="66"/>
      <c r="O619" s="66"/>
      <c r="P619" s="66"/>
      <c r="Q619" s="66"/>
      <c r="R619" s="67"/>
      <c r="S619" s="67"/>
      <c r="T619" s="67"/>
      <c r="U619" s="66"/>
      <c r="V619" s="66"/>
      <c r="W619" s="66"/>
      <c r="X619" s="85"/>
      <c r="AP619" t="str">
        <v/>
      </c>
    </row>
    <row r="620" spans="4:42" ht="15.75" x14ac:dyDescent="0.25">
      <c r="D620" s="3">
        <v>1</v>
      </c>
      <c r="F620" s="16" t="str" cm="1">
        <f t="array" ref="F6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0" s="31" cm="1">
        <f t="array" ref="G6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0" s="33" t="str">
        <f>_xlfn.IFNA(IF(MOD(HLG_05[[#This Row],[Rit]],
    _xlfn.XLOOKUP($G$2,Int_Sample[Ore],Int_Sample[Inc])) = 0, "YES", "NO"),"")</f>
        <v/>
      </c>
      <c r="I620" s="32" t="str">
        <f>TEXT(HLG_05[[#This Row],[Batch]],"000")&amp; " / " &amp; TEXT(HLG_05[[#This Row],[Rit]],"000")</f>
        <v>N/A / 000</v>
      </c>
      <c r="J620" s="34"/>
      <c r="K620" s="38"/>
      <c r="L620" s="35"/>
      <c r="M620" s="66"/>
      <c r="N620" s="66"/>
      <c r="O620" s="66"/>
      <c r="P620" s="66"/>
      <c r="Q620" s="66"/>
      <c r="R620" s="67"/>
      <c r="S620" s="67"/>
      <c r="T620" s="67"/>
      <c r="U620" s="66"/>
      <c r="V620" s="66"/>
      <c r="W620" s="66"/>
      <c r="X620" s="85"/>
      <c r="AP620" t="str">
        <v/>
      </c>
    </row>
    <row r="621" spans="4:42" ht="15.75" x14ac:dyDescent="0.25">
      <c r="D621" s="3">
        <v>1</v>
      </c>
      <c r="F621" s="16" t="str" cm="1">
        <f t="array" ref="F6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1" s="31" cm="1">
        <f t="array" ref="G6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1" s="33" t="str">
        <f>_xlfn.IFNA(IF(MOD(HLG_05[[#This Row],[Rit]],
    _xlfn.XLOOKUP($G$2,Int_Sample[Ore],Int_Sample[Inc])) = 0, "YES", "NO"),"")</f>
        <v/>
      </c>
      <c r="I621" s="32" t="str">
        <f>TEXT(HLG_05[[#This Row],[Batch]],"000")&amp; " / " &amp; TEXT(HLG_05[[#This Row],[Rit]],"000")</f>
        <v>N/A / 000</v>
      </c>
      <c r="J621" s="34"/>
      <c r="K621" s="38"/>
      <c r="L621" s="35"/>
      <c r="M621" s="66"/>
      <c r="N621" s="66"/>
      <c r="O621" s="66"/>
      <c r="P621" s="66"/>
      <c r="Q621" s="66"/>
      <c r="R621" s="67"/>
      <c r="S621" s="67"/>
      <c r="T621" s="67"/>
      <c r="U621" s="66"/>
      <c r="V621" s="66"/>
      <c r="W621" s="66"/>
      <c r="X621" s="85"/>
      <c r="AP621" t="str">
        <v/>
      </c>
    </row>
    <row r="622" spans="4:42" ht="15.75" x14ac:dyDescent="0.25">
      <c r="D622" s="3">
        <v>1</v>
      </c>
      <c r="F622" s="16" t="str" cm="1">
        <f t="array" ref="F6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2" s="31" cm="1">
        <f t="array" ref="G6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2" s="33" t="str">
        <f>_xlfn.IFNA(IF(MOD(HLG_05[[#This Row],[Rit]],
    _xlfn.XLOOKUP($G$2,Int_Sample[Ore],Int_Sample[Inc])) = 0, "YES", "NO"),"")</f>
        <v/>
      </c>
      <c r="I622" s="32" t="str">
        <f>TEXT(HLG_05[[#This Row],[Batch]],"000")&amp; " / " &amp; TEXT(HLG_05[[#This Row],[Rit]],"000")</f>
        <v>N/A / 000</v>
      </c>
      <c r="J622" s="34"/>
      <c r="K622" s="38"/>
      <c r="L622" s="35"/>
      <c r="M622" s="66"/>
      <c r="N622" s="66"/>
      <c r="O622" s="66"/>
      <c r="P622" s="66"/>
      <c r="Q622" s="66"/>
      <c r="R622" s="67"/>
      <c r="S622" s="67"/>
      <c r="T622" s="67"/>
      <c r="U622" s="66"/>
      <c r="V622" s="66"/>
      <c r="W622" s="66"/>
      <c r="X622" s="85"/>
      <c r="AP622" t="str">
        <v/>
      </c>
    </row>
    <row r="623" spans="4:42" ht="15.75" x14ac:dyDescent="0.25">
      <c r="D623" s="3">
        <v>1</v>
      </c>
      <c r="F623" s="16" t="str" cm="1">
        <f t="array" ref="F6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3" s="31" cm="1">
        <f t="array" ref="G6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3" s="33" t="str">
        <f>_xlfn.IFNA(IF(MOD(HLG_05[[#This Row],[Rit]],
    _xlfn.XLOOKUP($G$2,Int_Sample[Ore],Int_Sample[Inc])) = 0, "YES", "NO"),"")</f>
        <v/>
      </c>
      <c r="I623" s="32" t="str">
        <f>TEXT(HLG_05[[#This Row],[Batch]],"000")&amp; " / " &amp; TEXT(HLG_05[[#This Row],[Rit]],"000")</f>
        <v>N/A / 000</v>
      </c>
      <c r="J623" s="34"/>
      <c r="K623" s="38"/>
      <c r="L623" s="35"/>
      <c r="M623" s="66"/>
      <c r="N623" s="66"/>
      <c r="O623" s="66"/>
      <c r="P623" s="66"/>
      <c r="Q623" s="66"/>
      <c r="R623" s="67"/>
      <c r="S623" s="67"/>
      <c r="T623" s="67"/>
      <c r="U623" s="66"/>
      <c r="V623" s="66"/>
      <c r="W623" s="66"/>
      <c r="X623" s="85"/>
      <c r="AP623" t="str">
        <v/>
      </c>
    </row>
    <row r="624" spans="4:42" ht="15.75" x14ac:dyDescent="0.25">
      <c r="D624" s="3">
        <v>1</v>
      </c>
      <c r="F624" s="16" t="str" cm="1">
        <f t="array" ref="F6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4" s="31" cm="1">
        <f t="array" ref="G6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4" s="33" t="str">
        <f>_xlfn.IFNA(IF(MOD(HLG_05[[#This Row],[Rit]],
    _xlfn.XLOOKUP($G$2,Int_Sample[Ore],Int_Sample[Inc])) = 0, "YES", "NO"),"")</f>
        <v/>
      </c>
      <c r="I624" s="32" t="str">
        <f>TEXT(HLG_05[[#This Row],[Batch]],"000")&amp; " / " &amp; TEXT(HLG_05[[#This Row],[Rit]],"000")</f>
        <v>N/A / 000</v>
      </c>
      <c r="J624" s="34"/>
      <c r="K624" s="38"/>
      <c r="L624" s="35"/>
      <c r="M624" s="66"/>
      <c r="N624" s="66"/>
      <c r="O624" s="66"/>
      <c r="P624" s="66"/>
      <c r="Q624" s="66"/>
      <c r="R624" s="67"/>
      <c r="S624" s="67"/>
      <c r="T624" s="67"/>
      <c r="U624" s="66"/>
      <c r="V624" s="66"/>
      <c r="W624" s="66"/>
      <c r="X624" s="85"/>
      <c r="AP624" t="str">
        <v/>
      </c>
    </row>
    <row r="625" spans="4:42" ht="15.75" x14ac:dyDescent="0.25">
      <c r="D625" s="3">
        <v>1</v>
      </c>
      <c r="F625" s="16" t="str" cm="1">
        <f t="array" ref="F6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5" s="31" cm="1">
        <f t="array" ref="G6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5" s="33" t="str">
        <f>_xlfn.IFNA(IF(MOD(HLG_05[[#This Row],[Rit]],
    _xlfn.XLOOKUP($G$2,Int_Sample[Ore],Int_Sample[Inc])) = 0, "YES", "NO"),"")</f>
        <v/>
      </c>
      <c r="I625" s="32" t="str">
        <f>TEXT(HLG_05[[#This Row],[Batch]],"000")&amp; " / " &amp; TEXT(HLG_05[[#This Row],[Rit]],"000")</f>
        <v>N/A / 000</v>
      </c>
      <c r="J625" s="34"/>
      <c r="K625" s="38"/>
      <c r="L625" s="35"/>
      <c r="M625" s="66"/>
      <c r="N625" s="66"/>
      <c r="O625" s="66"/>
      <c r="P625" s="66"/>
      <c r="Q625" s="66"/>
      <c r="R625" s="67"/>
      <c r="S625" s="67"/>
      <c r="T625" s="67"/>
      <c r="U625" s="66"/>
      <c r="V625" s="66"/>
      <c r="W625" s="66"/>
      <c r="X625" s="85"/>
      <c r="AP625" t="str">
        <v/>
      </c>
    </row>
    <row r="626" spans="4:42" ht="15.75" x14ac:dyDescent="0.25">
      <c r="D626" s="3">
        <v>1</v>
      </c>
      <c r="F626" s="16" t="str" cm="1">
        <f t="array" ref="F6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6" s="31" cm="1">
        <f t="array" ref="G6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6" s="33" t="str">
        <f>_xlfn.IFNA(IF(MOD(HLG_05[[#This Row],[Rit]],
    _xlfn.XLOOKUP($G$2,Int_Sample[Ore],Int_Sample[Inc])) = 0, "YES", "NO"),"")</f>
        <v/>
      </c>
      <c r="I626" s="32" t="str">
        <f>TEXT(HLG_05[[#This Row],[Batch]],"000")&amp; " / " &amp; TEXT(HLG_05[[#This Row],[Rit]],"000")</f>
        <v>N/A / 000</v>
      </c>
      <c r="J626" s="34"/>
      <c r="K626" s="38"/>
      <c r="L626" s="35"/>
      <c r="M626" s="66"/>
      <c r="N626" s="66"/>
      <c r="O626" s="66"/>
      <c r="P626" s="66"/>
      <c r="Q626" s="66"/>
      <c r="R626" s="67"/>
      <c r="S626" s="67"/>
      <c r="T626" s="67"/>
      <c r="U626" s="66"/>
      <c r="V626" s="66"/>
      <c r="W626" s="66"/>
      <c r="X626" s="85"/>
      <c r="AP626" t="str">
        <v/>
      </c>
    </row>
    <row r="627" spans="4:42" ht="15.75" x14ac:dyDescent="0.25">
      <c r="D627" s="3">
        <v>1</v>
      </c>
      <c r="F627" s="16" t="str" cm="1">
        <f t="array" ref="F6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7" s="31" cm="1">
        <f t="array" ref="G6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7" s="33" t="str">
        <f>_xlfn.IFNA(IF(MOD(HLG_05[[#This Row],[Rit]],
    _xlfn.XLOOKUP($G$2,Int_Sample[Ore],Int_Sample[Inc])) = 0, "YES", "NO"),"")</f>
        <v/>
      </c>
      <c r="I627" s="32" t="str">
        <f>TEXT(HLG_05[[#This Row],[Batch]],"000")&amp; " / " &amp; TEXT(HLG_05[[#This Row],[Rit]],"000")</f>
        <v>N/A / 000</v>
      </c>
      <c r="J627" s="34"/>
      <c r="K627" s="38"/>
      <c r="L627" s="35"/>
      <c r="M627" s="66"/>
      <c r="N627" s="66"/>
      <c r="O627" s="66"/>
      <c r="P627" s="66"/>
      <c r="Q627" s="66"/>
      <c r="R627" s="67"/>
      <c r="S627" s="67"/>
      <c r="T627" s="67"/>
      <c r="U627" s="66"/>
      <c r="V627" s="66"/>
      <c r="W627" s="66"/>
      <c r="X627" s="85"/>
      <c r="AP627" t="str">
        <v/>
      </c>
    </row>
    <row r="628" spans="4:42" ht="15.75" x14ac:dyDescent="0.25">
      <c r="D628" s="3">
        <v>1</v>
      </c>
      <c r="F628" s="16" t="str" cm="1">
        <f t="array" ref="F6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8" s="31" cm="1">
        <f t="array" ref="G6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8" s="33" t="str">
        <f>_xlfn.IFNA(IF(MOD(HLG_05[[#This Row],[Rit]],
    _xlfn.XLOOKUP($G$2,Int_Sample[Ore],Int_Sample[Inc])) = 0, "YES", "NO"),"")</f>
        <v/>
      </c>
      <c r="I628" s="32" t="str">
        <f>TEXT(HLG_05[[#This Row],[Batch]],"000")&amp; " / " &amp; TEXT(HLG_05[[#This Row],[Rit]],"000")</f>
        <v>N/A / 000</v>
      </c>
      <c r="J628" s="34"/>
      <c r="K628" s="38"/>
      <c r="L628" s="35"/>
      <c r="M628" s="66"/>
      <c r="N628" s="66"/>
      <c r="O628" s="66"/>
      <c r="P628" s="66"/>
      <c r="Q628" s="66"/>
      <c r="R628" s="67"/>
      <c r="S628" s="67"/>
      <c r="T628" s="67"/>
      <c r="U628" s="66"/>
      <c r="V628" s="66"/>
      <c r="W628" s="66"/>
      <c r="X628" s="85"/>
      <c r="AP628" t="str">
        <v/>
      </c>
    </row>
    <row r="629" spans="4:42" ht="15.75" x14ac:dyDescent="0.25">
      <c r="D629" s="3">
        <v>1</v>
      </c>
      <c r="F629" s="16" t="str" cm="1">
        <f t="array" ref="F6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9" s="31" cm="1">
        <f t="array" ref="G6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9" s="33" t="str">
        <f>_xlfn.IFNA(IF(MOD(HLG_05[[#This Row],[Rit]],
    _xlfn.XLOOKUP($G$2,Int_Sample[Ore],Int_Sample[Inc])) = 0, "YES", "NO"),"")</f>
        <v/>
      </c>
      <c r="I629" s="32" t="str">
        <f>TEXT(HLG_05[[#This Row],[Batch]],"000")&amp; " / " &amp; TEXT(HLG_05[[#This Row],[Rit]],"000")</f>
        <v>N/A / 000</v>
      </c>
      <c r="J629" s="34"/>
      <c r="K629" s="38"/>
      <c r="L629" s="35"/>
      <c r="M629" s="66"/>
      <c r="N629" s="66"/>
      <c r="O629" s="66"/>
      <c r="P629" s="66"/>
      <c r="Q629" s="66"/>
      <c r="R629" s="67"/>
      <c r="S629" s="67"/>
      <c r="T629" s="67"/>
      <c r="U629" s="66"/>
      <c r="V629" s="66"/>
      <c r="W629" s="66"/>
      <c r="X629" s="85"/>
      <c r="AP629" t="str">
        <v/>
      </c>
    </row>
    <row r="630" spans="4:42" ht="15.75" x14ac:dyDescent="0.25">
      <c r="D630" s="3">
        <v>1</v>
      </c>
      <c r="F630" s="16" t="str" cm="1">
        <f t="array" ref="F6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0" s="31" cm="1">
        <f t="array" ref="G6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0" s="33" t="str">
        <f>_xlfn.IFNA(IF(MOD(HLG_05[[#This Row],[Rit]],
    _xlfn.XLOOKUP($G$2,Int_Sample[Ore],Int_Sample[Inc])) = 0, "YES", "NO"),"")</f>
        <v/>
      </c>
      <c r="I630" s="32" t="str">
        <f>TEXT(HLG_05[[#This Row],[Batch]],"000")&amp; " / " &amp; TEXT(HLG_05[[#This Row],[Rit]],"000")</f>
        <v>N/A / 000</v>
      </c>
      <c r="J630" s="34"/>
      <c r="K630" s="38"/>
      <c r="L630" s="35"/>
      <c r="M630" s="66"/>
      <c r="N630" s="66"/>
      <c r="O630" s="66"/>
      <c r="P630" s="66"/>
      <c r="Q630" s="66"/>
      <c r="R630" s="67"/>
      <c r="S630" s="67"/>
      <c r="T630" s="67"/>
      <c r="U630" s="66"/>
      <c r="V630" s="66"/>
      <c r="W630" s="66"/>
      <c r="X630" s="85"/>
      <c r="AP630" t="str">
        <v/>
      </c>
    </row>
    <row r="631" spans="4:42" ht="15.75" x14ac:dyDescent="0.25">
      <c r="D631" s="3">
        <v>1</v>
      </c>
      <c r="F631" s="16" t="str" cm="1">
        <f t="array" ref="F6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1" s="31" cm="1">
        <f t="array" ref="G6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1" s="33" t="str">
        <f>_xlfn.IFNA(IF(MOD(HLG_05[[#This Row],[Rit]],
    _xlfn.XLOOKUP($G$2,Int_Sample[Ore],Int_Sample[Inc])) = 0, "YES", "NO"),"")</f>
        <v/>
      </c>
      <c r="I631" s="32" t="str">
        <f>TEXT(HLG_05[[#This Row],[Batch]],"000")&amp; " / " &amp; TEXT(HLG_05[[#This Row],[Rit]],"000")</f>
        <v>N/A / 000</v>
      </c>
      <c r="J631" s="34"/>
      <c r="K631" s="38"/>
      <c r="L631" s="35"/>
      <c r="M631" s="66"/>
      <c r="N631" s="66"/>
      <c r="O631" s="66"/>
      <c r="P631" s="66"/>
      <c r="Q631" s="66"/>
      <c r="R631" s="67"/>
      <c r="S631" s="67"/>
      <c r="T631" s="67"/>
      <c r="U631" s="66"/>
      <c r="V631" s="66"/>
      <c r="W631" s="66"/>
      <c r="X631" s="85"/>
      <c r="AP631" t="str">
        <v/>
      </c>
    </row>
    <row r="632" spans="4:42" ht="15.75" x14ac:dyDescent="0.25">
      <c r="D632" s="3">
        <v>1</v>
      </c>
      <c r="F632" s="16" t="str" cm="1">
        <f t="array" ref="F6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2" s="31" cm="1">
        <f t="array" ref="G6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2" s="33" t="str">
        <f>_xlfn.IFNA(IF(MOD(HLG_05[[#This Row],[Rit]],
    _xlfn.XLOOKUP($G$2,Int_Sample[Ore],Int_Sample[Inc])) = 0, "YES", "NO"),"")</f>
        <v/>
      </c>
      <c r="I632" s="32" t="str">
        <f>TEXT(HLG_05[[#This Row],[Batch]],"000")&amp; " / " &amp; TEXT(HLG_05[[#This Row],[Rit]],"000")</f>
        <v>N/A / 000</v>
      </c>
      <c r="J632" s="34"/>
      <c r="K632" s="38"/>
      <c r="L632" s="35"/>
      <c r="M632" s="66"/>
      <c r="N632" s="66"/>
      <c r="O632" s="66"/>
      <c r="P632" s="66"/>
      <c r="Q632" s="66"/>
      <c r="R632" s="67"/>
      <c r="S632" s="67"/>
      <c r="T632" s="67"/>
      <c r="U632" s="66"/>
      <c r="V632" s="66"/>
      <c r="W632" s="66"/>
      <c r="X632" s="85"/>
      <c r="AP632" t="str">
        <v/>
      </c>
    </row>
    <row r="633" spans="4:42" ht="15.75" x14ac:dyDescent="0.25">
      <c r="D633" s="3">
        <v>1</v>
      </c>
      <c r="F633" s="16" t="str" cm="1">
        <f t="array" ref="F6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3" s="31" cm="1">
        <f t="array" ref="G6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3" s="33" t="str">
        <f>_xlfn.IFNA(IF(MOD(HLG_05[[#This Row],[Rit]],
    _xlfn.XLOOKUP($G$2,Int_Sample[Ore],Int_Sample[Inc])) = 0, "YES", "NO"),"")</f>
        <v/>
      </c>
      <c r="I633" s="32" t="str">
        <f>TEXT(HLG_05[[#This Row],[Batch]],"000")&amp; " / " &amp; TEXT(HLG_05[[#This Row],[Rit]],"000")</f>
        <v>N/A / 000</v>
      </c>
      <c r="J633" s="34"/>
      <c r="K633" s="38"/>
      <c r="L633" s="35"/>
      <c r="M633" s="66"/>
      <c r="N633" s="66"/>
      <c r="O633" s="66"/>
      <c r="P633" s="66"/>
      <c r="Q633" s="66"/>
      <c r="R633" s="67"/>
      <c r="S633" s="67"/>
      <c r="T633" s="67"/>
      <c r="U633" s="66"/>
      <c r="V633" s="66"/>
      <c r="W633" s="66"/>
      <c r="X633" s="85"/>
      <c r="AP633" t="str">
        <v/>
      </c>
    </row>
    <row r="634" spans="4:42" ht="15.75" x14ac:dyDescent="0.25">
      <c r="D634" s="3">
        <v>1</v>
      </c>
      <c r="F634" s="16" t="str" cm="1">
        <f t="array" ref="F6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4" s="31" cm="1">
        <f t="array" ref="G6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4" s="33" t="str">
        <f>_xlfn.IFNA(IF(MOD(HLG_05[[#This Row],[Rit]],
    _xlfn.XLOOKUP($G$2,Int_Sample[Ore],Int_Sample[Inc])) = 0, "YES", "NO"),"")</f>
        <v/>
      </c>
      <c r="I634" s="32" t="str">
        <f>TEXT(HLG_05[[#This Row],[Batch]],"000")&amp; " / " &amp; TEXT(HLG_05[[#This Row],[Rit]],"000")</f>
        <v>N/A / 000</v>
      </c>
      <c r="J634" s="34"/>
      <c r="K634" s="38"/>
      <c r="L634" s="35"/>
      <c r="M634" s="66"/>
      <c r="N634" s="66"/>
      <c r="O634" s="66"/>
      <c r="P634" s="66"/>
      <c r="Q634" s="66"/>
      <c r="R634" s="67"/>
      <c r="S634" s="67"/>
      <c r="T634" s="67"/>
      <c r="U634" s="66"/>
      <c r="V634" s="66"/>
      <c r="W634" s="66"/>
      <c r="X634" s="85"/>
      <c r="AP634" t="str">
        <v/>
      </c>
    </row>
    <row r="635" spans="4:42" ht="15.75" x14ac:dyDescent="0.25">
      <c r="D635" s="3">
        <v>1</v>
      </c>
      <c r="F635" s="16" t="str" cm="1">
        <f t="array" ref="F6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5" s="31" cm="1">
        <f t="array" ref="G6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5" s="33" t="str">
        <f>_xlfn.IFNA(IF(MOD(HLG_05[[#This Row],[Rit]],
    _xlfn.XLOOKUP($G$2,Int_Sample[Ore],Int_Sample[Inc])) = 0, "YES", "NO"),"")</f>
        <v/>
      </c>
      <c r="I635" s="32" t="str">
        <f>TEXT(HLG_05[[#This Row],[Batch]],"000")&amp; " / " &amp; TEXT(HLG_05[[#This Row],[Rit]],"000")</f>
        <v>N/A / 000</v>
      </c>
      <c r="J635" s="34"/>
      <c r="K635" s="38"/>
      <c r="L635" s="35"/>
      <c r="M635" s="66"/>
      <c r="N635" s="66"/>
      <c r="O635" s="66"/>
      <c r="P635" s="66"/>
      <c r="Q635" s="66"/>
      <c r="R635" s="67"/>
      <c r="S635" s="67"/>
      <c r="T635" s="67"/>
      <c r="U635" s="66"/>
      <c r="V635" s="66"/>
      <c r="W635" s="66"/>
      <c r="X635" s="85"/>
      <c r="AP635" t="str">
        <v/>
      </c>
    </row>
    <row r="636" spans="4:42" ht="15.75" x14ac:dyDescent="0.25">
      <c r="D636" s="3">
        <v>1</v>
      </c>
      <c r="F636" s="16" t="str" cm="1">
        <f t="array" ref="F6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6" s="31" cm="1">
        <f t="array" ref="G6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6" s="33" t="str">
        <f>_xlfn.IFNA(IF(MOD(HLG_05[[#This Row],[Rit]],
    _xlfn.XLOOKUP($G$2,Int_Sample[Ore],Int_Sample[Inc])) = 0, "YES", "NO"),"")</f>
        <v/>
      </c>
      <c r="I636" s="32" t="str">
        <f>TEXT(HLG_05[[#This Row],[Batch]],"000")&amp; " / " &amp; TEXT(HLG_05[[#This Row],[Rit]],"000")</f>
        <v>N/A / 000</v>
      </c>
      <c r="J636" s="34"/>
      <c r="K636" s="38"/>
      <c r="L636" s="35"/>
      <c r="M636" s="66"/>
      <c r="N636" s="66"/>
      <c r="O636" s="66"/>
      <c r="P636" s="66"/>
      <c r="Q636" s="66"/>
      <c r="R636" s="67"/>
      <c r="S636" s="67"/>
      <c r="T636" s="67"/>
      <c r="U636" s="66"/>
      <c r="V636" s="66"/>
      <c r="W636" s="66"/>
      <c r="X636" s="85"/>
      <c r="AN636" s="3"/>
      <c r="AO636" s="3"/>
      <c r="AP636" t="str">
        <v/>
      </c>
    </row>
    <row r="637" spans="4:42" ht="15.75" x14ac:dyDescent="0.25">
      <c r="D637" s="3">
        <v>1</v>
      </c>
      <c r="F637" s="16" t="str" cm="1">
        <f t="array" ref="F6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7" s="31" cm="1">
        <f t="array" ref="G6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7" s="33" t="str">
        <f>_xlfn.IFNA(IF(MOD(HLG_05[[#This Row],[Rit]],
    _xlfn.XLOOKUP($G$2,Int_Sample[Ore],Int_Sample[Inc])) = 0, "YES", "NO"),"")</f>
        <v/>
      </c>
      <c r="I637" s="32" t="str">
        <f>TEXT(HLG_05[[#This Row],[Batch]],"000")&amp; " / " &amp; TEXT(HLG_05[[#This Row],[Rit]],"000")</f>
        <v>N/A / 000</v>
      </c>
      <c r="J637" s="34"/>
      <c r="K637" s="38"/>
      <c r="L637" s="35"/>
      <c r="M637" s="66"/>
      <c r="N637" s="66"/>
      <c r="O637" s="66"/>
      <c r="P637" s="66"/>
      <c r="Q637" s="66"/>
      <c r="R637" s="67"/>
      <c r="S637" s="67"/>
      <c r="T637" s="67"/>
      <c r="U637" s="66"/>
      <c r="V637" s="66"/>
      <c r="W637" s="66"/>
      <c r="X637" s="85"/>
      <c r="AN637" s="3"/>
      <c r="AO637" s="3"/>
      <c r="AP637" t="str">
        <v/>
      </c>
    </row>
    <row r="638" spans="4:42" ht="15.75" x14ac:dyDescent="0.25">
      <c r="D638" s="3">
        <v>1</v>
      </c>
      <c r="F638" s="16" t="str" cm="1">
        <f t="array" ref="F6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8" s="31" cm="1">
        <f t="array" ref="G6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ROW(HLG_05[[#This Row],[Truck_ID]]) - ROW(HLG_05[#Headers]),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8" s="33" t="str">
        <f>_xlfn.IFNA(IF(MOD(HLG_05[[#This Row],[Rit]],
    _xlfn.XLOOKUP($G$2,Int_Sample[Ore],Int_Sample[Inc])) = 0, "YES", "NO"),"")</f>
        <v/>
      </c>
      <c r="I638" s="32" t="str">
        <f>TEXT(HLG_05[[#This Row],[Batch]],"000")&amp; " / " &amp; TEXT(HLG_05[[#This Row],[Rit]],"000")</f>
        <v>N/A / 000</v>
      </c>
      <c r="J638" s="34"/>
      <c r="K638" s="38"/>
      <c r="L638" s="35"/>
      <c r="M638" s="66"/>
      <c r="N638" s="66"/>
      <c r="O638" s="66"/>
      <c r="P638" s="66"/>
      <c r="Q638" s="66"/>
      <c r="R638" s="67"/>
      <c r="S638" s="67"/>
      <c r="T638" s="67"/>
      <c r="U638" s="66"/>
      <c r="V638" s="66"/>
      <c r="W638" s="66"/>
      <c r="X638" s="85"/>
      <c r="AN638" s="3"/>
      <c r="AO638" s="3"/>
      <c r="AP638" t="str">
        <v/>
      </c>
    </row>
    <row r="639" spans="4:42" x14ac:dyDescent="0.25">
      <c r="I639" s="66"/>
      <c r="J639" s="66"/>
      <c r="K639" s="66"/>
      <c r="L639" s="66"/>
      <c r="M639" s="66"/>
      <c r="N639" s="66"/>
      <c r="O639" s="66"/>
      <c r="P639" s="66"/>
      <c r="Q639" s="66"/>
      <c r="R639" s="67"/>
      <c r="S639" s="67"/>
      <c r="T639" s="67"/>
      <c r="U639" s="66"/>
      <c r="V639" s="66"/>
      <c r="W639" s="66"/>
      <c r="X639" s="85"/>
      <c r="AN639" s="3"/>
      <c r="AO639" s="3"/>
    </row>
    <row r="640" spans="4:42" x14ac:dyDescent="0.25">
      <c r="I640" s="66"/>
      <c r="J640" s="66"/>
      <c r="K640" s="66"/>
      <c r="L640" s="66"/>
      <c r="M640" s="66"/>
      <c r="N640" s="66"/>
      <c r="O640" s="66"/>
      <c r="P640" s="66"/>
      <c r="Q640" s="66"/>
      <c r="R640" s="67"/>
      <c r="S640" s="67"/>
      <c r="T640" s="67"/>
      <c r="U640" s="66"/>
      <c r="V640" s="66"/>
      <c r="W640" s="66"/>
      <c r="X640" s="85"/>
      <c r="AN640" s="3"/>
      <c r="AO640" s="3"/>
    </row>
    <row r="641" spans="9:41" x14ac:dyDescent="0.25">
      <c r="I641" s="66"/>
      <c r="J641" s="66"/>
      <c r="K641" s="66"/>
      <c r="L641" s="66"/>
      <c r="M641" s="66"/>
      <c r="N641" s="66"/>
      <c r="O641" s="66"/>
      <c r="P641" s="66"/>
      <c r="Q641" s="66"/>
      <c r="R641" s="67"/>
      <c r="S641" s="67"/>
      <c r="T641" s="67"/>
      <c r="U641" s="66"/>
      <c r="V641" s="66"/>
      <c r="W641" s="66"/>
      <c r="X641" s="85"/>
      <c r="AN641" s="3"/>
      <c r="AO641" s="3"/>
    </row>
    <row r="642" spans="9:41" x14ac:dyDescent="0.25">
      <c r="I642" s="66"/>
      <c r="J642" s="66"/>
      <c r="K642" s="66"/>
      <c r="L642" s="66"/>
      <c r="M642" s="66"/>
      <c r="N642" s="66"/>
      <c r="O642" s="66"/>
      <c r="P642" s="66"/>
      <c r="Q642" s="66"/>
      <c r="R642" s="67"/>
      <c r="S642" s="67"/>
      <c r="T642" s="67"/>
      <c r="U642" s="66"/>
      <c r="V642" s="66"/>
      <c r="W642" s="66"/>
      <c r="X642" s="85"/>
      <c r="AN642" s="3"/>
      <c r="AO642" s="3"/>
    </row>
    <row r="643" spans="9:41" x14ac:dyDescent="0.25">
      <c r="I643" s="66"/>
      <c r="J643" s="66"/>
      <c r="K643" s="66"/>
      <c r="L643" s="66"/>
      <c r="M643" s="66"/>
      <c r="N643" s="66"/>
      <c r="O643" s="66"/>
      <c r="P643" s="66"/>
      <c r="Q643" s="66"/>
      <c r="R643" s="67"/>
      <c r="S643" s="67"/>
      <c r="T643" s="67"/>
      <c r="U643" s="66"/>
      <c r="V643" s="66"/>
      <c r="W643" s="66"/>
      <c r="X643" s="85"/>
      <c r="AN643" s="3"/>
      <c r="AO643" s="3"/>
    </row>
    <row r="644" spans="9:41" x14ac:dyDescent="0.25">
      <c r="I644" s="66"/>
      <c r="J644" s="66"/>
      <c r="K644" s="66"/>
      <c r="L644" s="66"/>
      <c r="M644" s="66"/>
      <c r="N644" s="66"/>
      <c r="O644" s="66"/>
      <c r="P644" s="66"/>
      <c r="Q644" s="66"/>
      <c r="R644" s="67"/>
      <c r="S644" s="67"/>
      <c r="T644" s="67"/>
      <c r="U644" s="66"/>
      <c r="V644" s="66"/>
      <c r="W644" s="66"/>
      <c r="X644" s="85"/>
      <c r="AN644" s="3"/>
      <c r="AO644" s="3"/>
    </row>
    <row r="645" spans="9:41" x14ac:dyDescent="0.25">
      <c r="I645" s="66"/>
      <c r="J645" s="66"/>
      <c r="K645" s="66"/>
      <c r="L645" s="66"/>
      <c r="M645" s="66"/>
      <c r="N645" s="66"/>
      <c r="O645" s="66"/>
      <c r="P645" s="66"/>
      <c r="Q645" s="66"/>
      <c r="R645" s="67"/>
      <c r="S645" s="67"/>
      <c r="T645" s="67"/>
      <c r="U645" s="66"/>
      <c r="V645" s="66"/>
      <c r="W645" s="66"/>
      <c r="X645" s="85"/>
      <c r="AN645" s="3"/>
      <c r="AO645" s="3"/>
    </row>
    <row r="646" spans="9:41" x14ac:dyDescent="0.25">
      <c r="I646" s="66"/>
      <c r="J646" s="66"/>
      <c r="K646" s="66"/>
      <c r="L646" s="66"/>
      <c r="M646" s="66"/>
      <c r="N646" s="66"/>
      <c r="O646" s="66"/>
      <c r="P646" s="66"/>
      <c r="Q646" s="66"/>
      <c r="R646" s="67"/>
      <c r="S646" s="67"/>
      <c r="T646" s="67"/>
      <c r="U646" s="66"/>
      <c r="V646" s="66"/>
      <c r="W646" s="66"/>
      <c r="X646" s="85"/>
      <c r="AN646" s="3"/>
      <c r="AO646" s="3"/>
    </row>
    <row r="647" spans="9:41" x14ac:dyDescent="0.25">
      <c r="I647" s="66"/>
      <c r="J647" s="66"/>
      <c r="K647" s="66"/>
      <c r="L647" s="66"/>
      <c r="M647" s="66"/>
      <c r="N647" s="66"/>
      <c r="O647" s="66"/>
      <c r="P647" s="66"/>
      <c r="Q647" s="66"/>
      <c r="R647" s="67"/>
      <c r="S647" s="67"/>
      <c r="T647" s="67"/>
      <c r="U647" s="66"/>
      <c r="V647" s="66"/>
      <c r="W647" s="66"/>
      <c r="X647" s="85"/>
      <c r="AN647" s="3"/>
      <c r="AO647" s="3"/>
    </row>
    <row r="648" spans="9:41" x14ac:dyDescent="0.25">
      <c r="I648" s="66"/>
      <c r="J648" s="66"/>
      <c r="K648" s="66"/>
      <c r="L648" s="66"/>
      <c r="M648" s="66"/>
      <c r="N648" s="66"/>
      <c r="O648" s="66"/>
      <c r="P648" s="66"/>
      <c r="Q648" s="66"/>
      <c r="R648" s="67"/>
      <c r="S648" s="67"/>
      <c r="T648" s="67"/>
      <c r="U648" s="66"/>
      <c r="V648" s="66"/>
      <c r="W648" s="66"/>
      <c r="X648" s="85"/>
      <c r="AN648" s="3"/>
      <c r="AO648" s="3"/>
    </row>
    <row r="649" spans="9:41" x14ac:dyDescent="0.25">
      <c r="I649" s="66"/>
      <c r="J649" s="66"/>
      <c r="K649" s="66"/>
      <c r="L649" s="66"/>
      <c r="M649" s="66"/>
      <c r="N649" s="66"/>
      <c r="O649" s="66"/>
      <c r="P649" s="66"/>
      <c r="Q649" s="66"/>
      <c r="R649" s="67"/>
      <c r="S649" s="67"/>
      <c r="T649" s="67"/>
      <c r="U649" s="68"/>
      <c r="V649" s="66"/>
      <c r="W649" s="66"/>
      <c r="X649" s="85"/>
      <c r="AN649" s="3"/>
      <c r="AO649" s="3"/>
    </row>
    <row r="650" spans="9:41" x14ac:dyDescent="0.25">
      <c r="I650" s="66"/>
      <c r="J650" s="66"/>
      <c r="K650" s="66"/>
      <c r="L650" s="66"/>
      <c r="M650" s="66"/>
      <c r="N650" s="66"/>
      <c r="O650" s="66"/>
      <c r="P650" s="66"/>
      <c r="Q650" s="66"/>
      <c r="R650" s="67"/>
      <c r="S650" s="67"/>
      <c r="T650" s="67"/>
      <c r="U650" s="68"/>
      <c r="V650" s="66"/>
      <c r="W650" s="66"/>
      <c r="X650" s="85"/>
      <c r="AN650" s="3"/>
      <c r="AO650" s="3"/>
    </row>
    <row r="651" spans="9:41" x14ac:dyDescent="0.25">
      <c r="I651" s="66"/>
      <c r="J651" s="66"/>
      <c r="K651" s="66"/>
      <c r="L651" s="66"/>
      <c r="M651" s="66"/>
      <c r="N651" s="66"/>
      <c r="O651" s="66"/>
      <c r="P651" s="66"/>
      <c r="Q651" s="66"/>
      <c r="R651" s="67"/>
      <c r="S651" s="67"/>
      <c r="T651" s="67"/>
      <c r="U651" s="68"/>
      <c r="V651" s="66"/>
      <c r="W651" s="66"/>
      <c r="X651" s="85"/>
      <c r="AN651" s="3"/>
      <c r="AO651" s="3"/>
    </row>
    <row r="652" spans="9:41" x14ac:dyDescent="0.25">
      <c r="I652" s="66"/>
      <c r="J652" s="66"/>
      <c r="K652" s="66"/>
      <c r="L652" s="66"/>
      <c r="M652" s="66"/>
      <c r="N652" s="66"/>
      <c r="O652" s="66"/>
      <c r="P652" s="66"/>
      <c r="Q652" s="66"/>
      <c r="R652" s="67"/>
      <c r="S652" s="67"/>
      <c r="T652" s="67"/>
      <c r="U652" s="66"/>
      <c r="V652" s="66"/>
      <c r="W652" s="66"/>
      <c r="X652" s="85"/>
      <c r="AN652" s="3"/>
      <c r="AO652" s="3"/>
    </row>
    <row r="653" spans="9:41" x14ac:dyDescent="0.25">
      <c r="I653" s="66"/>
      <c r="J653" s="66"/>
      <c r="K653" s="66"/>
      <c r="L653" s="66"/>
      <c r="M653" s="66"/>
      <c r="N653" s="66"/>
      <c r="O653" s="66"/>
      <c r="P653" s="66"/>
      <c r="Q653" s="66"/>
      <c r="R653" s="67"/>
      <c r="S653" s="67"/>
      <c r="T653" s="67"/>
      <c r="U653" s="66"/>
      <c r="V653" s="66"/>
      <c r="W653" s="66"/>
      <c r="X653" s="85"/>
      <c r="AN653" s="3"/>
      <c r="AO653" s="3"/>
    </row>
    <row r="654" spans="9:41" x14ac:dyDescent="0.25">
      <c r="I654" s="66"/>
      <c r="J654" s="66"/>
      <c r="K654" s="66"/>
      <c r="L654" s="66"/>
      <c r="M654" s="66"/>
      <c r="N654" s="66"/>
      <c r="O654" s="66"/>
      <c r="P654" s="66"/>
      <c r="Q654" s="66"/>
      <c r="R654" s="67"/>
      <c r="S654" s="67"/>
      <c r="T654" s="67"/>
      <c r="U654" s="66"/>
      <c r="V654" s="66"/>
      <c r="W654" s="66"/>
      <c r="X654" s="85"/>
      <c r="AN654" s="3"/>
      <c r="AO654" s="3"/>
    </row>
    <row r="655" spans="9:41" x14ac:dyDescent="0.25">
      <c r="I655" s="66"/>
      <c r="J655" s="66"/>
      <c r="K655" s="66"/>
      <c r="L655" s="66"/>
      <c r="M655" s="66"/>
      <c r="N655" s="66"/>
      <c r="O655" s="66"/>
      <c r="P655" s="66"/>
      <c r="Q655" s="66"/>
      <c r="R655" s="67"/>
      <c r="S655" s="67"/>
      <c r="T655" s="67"/>
      <c r="U655" s="66"/>
      <c r="V655" s="66"/>
      <c r="W655" s="66"/>
      <c r="X655" s="85"/>
      <c r="AN655" s="3"/>
      <c r="AO655" s="3"/>
    </row>
    <row r="656" spans="9:41" x14ac:dyDescent="0.25">
      <c r="I656" s="66"/>
      <c r="J656" s="66"/>
      <c r="K656" s="66"/>
      <c r="L656" s="66"/>
      <c r="M656" s="66"/>
      <c r="N656" s="66"/>
      <c r="O656" s="66"/>
      <c r="P656" s="66"/>
      <c r="Q656" s="66"/>
      <c r="R656" s="67"/>
      <c r="S656" s="67"/>
      <c r="T656" s="67"/>
      <c r="U656" s="66"/>
      <c r="V656" s="66"/>
      <c r="W656" s="66"/>
      <c r="X656" s="85"/>
      <c r="AN656" s="3"/>
      <c r="AO656" s="3"/>
    </row>
    <row r="657" spans="9:24" x14ac:dyDescent="0.25">
      <c r="I657" s="66"/>
      <c r="J657" s="66"/>
      <c r="K657" s="66"/>
      <c r="L657" s="66"/>
      <c r="M657" s="66"/>
      <c r="N657" s="66"/>
      <c r="O657" s="66"/>
      <c r="P657" s="66"/>
      <c r="Q657" s="66"/>
      <c r="R657" s="67"/>
      <c r="S657" s="67"/>
      <c r="T657" s="67"/>
      <c r="U657" s="66"/>
      <c r="V657" s="66"/>
      <c r="W657" s="66"/>
      <c r="X657" s="85"/>
    </row>
    <row r="658" spans="9:24" x14ac:dyDescent="0.25">
      <c r="I658" s="66"/>
      <c r="J658" s="66"/>
      <c r="K658" s="66"/>
      <c r="L658" s="66"/>
      <c r="M658" s="66"/>
      <c r="N658" s="66"/>
      <c r="O658" s="66"/>
      <c r="P658" s="66"/>
      <c r="Q658" s="66"/>
      <c r="R658" s="67"/>
      <c r="S658" s="67"/>
      <c r="T658" s="67"/>
      <c r="U658" s="66"/>
      <c r="V658" s="66"/>
      <c r="W658" s="66"/>
      <c r="X658" s="85"/>
    </row>
    <row r="659" spans="9:24" x14ac:dyDescent="0.25">
      <c r="I659" s="66"/>
      <c r="J659" s="66"/>
      <c r="K659" s="66"/>
      <c r="L659" s="66"/>
      <c r="M659" s="66"/>
      <c r="N659" s="66"/>
      <c r="O659" s="66"/>
      <c r="P659" s="66"/>
      <c r="Q659" s="66"/>
      <c r="R659" s="67"/>
      <c r="S659" s="67"/>
      <c r="T659" s="67"/>
      <c r="U659" s="66"/>
      <c r="V659" s="66"/>
      <c r="W659" s="66"/>
      <c r="X659" s="85"/>
    </row>
    <row r="660" spans="9:24" x14ac:dyDescent="0.25">
      <c r="I660" s="66"/>
      <c r="J660" s="66"/>
      <c r="K660" s="66"/>
      <c r="L660" s="66"/>
      <c r="M660" s="66"/>
      <c r="N660" s="66"/>
      <c r="O660" s="66"/>
      <c r="P660" s="66"/>
      <c r="Q660" s="66"/>
      <c r="R660" s="67"/>
      <c r="S660" s="67"/>
      <c r="T660" s="67"/>
      <c r="U660" s="66"/>
      <c r="V660" s="66"/>
      <c r="W660" s="66"/>
      <c r="X660" s="85"/>
    </row>
    <row r="661" spans="9:24" x14ac:dyDescent="0.25">
      <c r="I661" s="66"/>
      <c r="J661" s="66"/>
      <c r="K661" s="66"/>
      <c r="L661" s="66"/>
      <c r="M661" s="66"/>
      <c r="N661" s="66"/>
      <c r="O661" s="66"/>
      <c r="P661" s="66"/>
      <c r="Q661" s="66"/>
      <c r="R661" s="67"/>
      <c r="S661" s="67"/>
      <c r="T661" s="67"/>
      <c r="U661" s="66"/>
      <c r="V661" s="66"/>
      <c r="W661" s="66"/>
      <c r="X661" s="85"/>
    </row>
    <row r="662" spans="9:24" x14ac:dyDescent="0.25">
      <c r="I662" s="66"/>
      <c r="J662" s="66"/>
      <c r="K662" s="66"/>
      <c r="L662" s="66"/>
      <c r="M662" s="66"/>
      <c r="N662" s="66"/>
      <c r="O662" s="66"/>
      <c r="P662" s="66"/>
      <c r="Q662" s="66"/>
      <c r="R662" s="67"/>
      <c r="S662" s="67"/>
      <c r="T662" s="67"/>
      <c r="U662" s="66"/>
      <c r="V662" s="66"/>
      <c r="W662" s="66"/>
      <c r="X662" s="85"/>
    </row>
    <row r="663" spans="9:24" x14ac:dyDescent="0.25">
      <c r="I663" s="66"/>
      <c r="J663" s="66"/>
      <c r="K663" s="66"/>
      <c r="L663" s="66"/>
      <c r="M663" s="66"/>
      <c r="N663" s="66"/>
      <c r="O663" s="66"/>
      <c r="P663" s="66"/>
      <c r="Q663" s="66"/>
      <c r="R663" s="67"/>
      <c r="S663" s="67"/>
      <c r="T663" s="67"/>
      <c r="U663" s="66"/>
      <c r="V663" s="66"/>
      <c r="W663" s="66"/>
      <c r="X663" s="85"/>
    </row>
    <row r="664" spans="9:24" x14ac:dyDescent="0.25">
      <c r="I664" s="66"/>
      <c r="J664" s="66"/>
      <c r="K664" s="66"/>
      <c r="L664" s="66"/>
      <c r="M664" s="66"/>
      <c r="N664" s="66"/>
      <c r="O664" s="66"/>
      <c r="P664" s="66"/>
      <c r="Q664" s="66"/>
      <c r="R664" s="67"/>
      <c r="S664" s="67"/>
      <c r="T664" s="67"/>
      <c r="U664" s="66"/>
      <c r="V664" s="66"/>
      <c r="W664" s="66"/>
      <c r="X664" s="85"/>
    </row>
    <row r="665" spans="9:24" x14ac:dyDescent="0.25">
      <c r="I665" s="66"/>
      <c r="J665" s="66"/>
      <c r="K665" s="66"/>
      <c r="L665" s="66"/>
      <c r="M665" s="66"/>
      <c r="N665" s="66"/>
      <c r="O665" s="66"/>
      <c r="P665" s="66"/>
      <c r="Q665" s="66"/>
      <c r="R665" s="67"/>
      <c r="S665" s="67"/>
      <c r="T665" s="67"/>
      <c r="U665" s="66"/>
      <c r="V665" s="66"/>
      <c r="W665" s="66"/>
      <c r="X665" s="85"/>
    </row>
    <row r="666" spans="9:24" x14ac:dyDescent="0.25">
      <c r="I666" s="66"/>
      <c r="J666" s="66"/>
      <c r="K666" s="66"/>
      <c r="L666" s="66"/>
      <c r="M666" s="66"/>
      <c r="N666" s="66"/>
      <c r="O666" s="66"/>
      <c r="P666" s="66"/>
      <c r="Q666" s="66"/>
      <c r="R666" s="67"/>
      <c r="S666" s="67"/>
      <c r="T666" s="67"/>
      <c r="U666" s="66"/>
      <c r="V666" s="66"/>
      <c r="W666" s="66"/>
      <c r="X666" s="85"/>
    </row>
    <row r="667" spans="9:24" x14ac:dyDescent="0.25">
      <c r="I667" s="66"/>
      <c r="J667" s="66"/>
      <c r="K667" s="66"/>
      <c r="L667" s="66"/>
      <c r="M667" s="66"/>
      <c r="N667" s="66"/>
      <c r="O667" s="66"/>
      <c r="P667" s="66"/>
      <c r="Q667" s="66"/>
      <c r="R667" s="67"/>
      <c r="S667" s="67"/>
      <c r="T667" s="67"/>
      <c r="U667" s="66"/>
      <c r="V667" s="66"/>
      <c r="W667" s="66"/>
      <c r="X667" s="85"/>
    </row>
    <row r="668" spans="9:24" x14ac:dyDescent="0.25">
      <c r="I668" s="66"/>
      <c r="J668" s="66"/>
      <c r="K668" s="66"/>
      <c r="L668" s="66"/>
      <c r="M668" s="66"/>
      <c r="N668" s="66"/>
      <c r="O668" s="66"/>
      <c r="P668" s="66"/>
      <c r="Q668" s="66"/>
      <c r="R668" s="67"/>
      <c r="S668" s="67"/>
      <c r="T668" s="67"/>
      <c r="U668" s="66"/>
      <c r="V668" s="66"/>
      <c r="W668" s="66"/>
      <c r="X668" s="85"/>
    </row>
    <row r="669" spans="9:24" x14ac:dyDescent="0.25">
      <c r="I669" s="66"/>
      <c r="J669" s="66"/>
      <c r="K669" s="66"/>
      <c r="L669" s="66"/>
      <c r="M669" s="66"/>
      <c r="N669" s="66"/>
      <c r="O669" s="66"/>
      <c r="P669" s="66"/>
      <c r="Q669" s="66"/>
      <c r="R669" s="67"/>
      <c r="S669" s="67"/>
      <c r="T669" s="67"/>
      <c r="U669" s="66"/>
      <c r="V669" s="66"/>
      <c r="W669" s="66"/>
      <c r="X669" s="85"/>
    </row>
    <row r="670" spans="9:24" x14ac:dyDescent="0.25">
      <c r="I670" s="66"/>
      <c r="J670" s="66"/>
      <c r="K670" s="66"/>
      <c r="L670" s="66"/>
      <c r="M670" s="66"/>
      <c r="N670" s="66"/>
      <c r="O670" s="66"/>
      <c r="P670" s="66"/>
      <c r="Q670" s="66"/>
      <c r="R670" s="67"/>
      <c r="S670" s="67"/>
      <c r="T670" s="67"/>
      <c r="U670" s="66"/>
      <c r="V670" s="66"/>
      <c r="W670" s="66"/>
      <c r="X670" s="85"/>
    </row>
    <row r="671" spans="9:24" x14ac:dyDescent="0.25">
      <c r="I671" s="66"/>
      <c r="J671" s="66"/>
      <c r="K671" s="66"/>
      <c r="L671" s="66"/>
      <c r="M671" s="66"/>
      <c r="N671" s="66"/>
      <c r="O671" s="66"/>
      <c r="P671" s="66"/>
      <c r="Q671" s="66"/>
      <c r="R671" s="67"/>
      <c r="S671" s="67"/>
      <c r="T671" s="67"/>
      <c r="U671" s="66"/>
      <c r="V671" s="66"/>
      <c r="W671" s="66"/>
      <c r="X671" s="85"/>
    </row>
    <row r="672" spans="9:24" x14ac:dyDescent="0.25">
      <c r="I672" s="66"/>
      <c r="J672" s="66"/>
      <c r="K672" s="66"/>
      <c r="L672" s="66"/>
      <c r="M672" s="66"/>
      <c r="N672" s="66"/>
      <c r="O672" s="66"/>
      <c r="P672" s="66"/>
      <c r="Q672" s="66"/>
      <c r="R672" s="67"/>
      <c r="S672" s="67"/>
      <c r="T672" s="67"/>
      <c r="U672" s="66"/>
      <c r="V672" s="66"/>
      <c r="W672" s="66"/>
      <c r="X672" s="85"/>
    </row>
    <row r="673" spans="9:24" x14ac:dyDescent="0.25">
      <c r="I673" s="66"/>
      <c r="J673" s="66"/>
      <c r="K673" s="66"/>
      <c r="L673" s="66"/>
      <c r="M673" s="66"/>
      <c r="N673" s="66"/>
      <c r="O673" s="66"/>
      <c r="P673" s="66"/>
      <c r="Q673" s="66"/>
      <c r="R673" s="67"/>
      <c r="S673" s="67"/>
      <c r="T673" s="67"/>
      <c r="U673" s="66"/>
      <c r="V673" s="66"/>
      <c r="W673" s="66"/>
      <c r="X673" s="85"/>
    </row>
  </sheetData>
  <sheetProtection sheet="1" objects="1" scenarios="1"/>
  <conditionalFormatting sqref="F2">
    <cfRule type="expression" dxfId="34" priority="11">
      <formula>AND($F$2&gt;0,ISNA(MATCH($F$2,_xlfn.ANCHORARRAY(#REF!),0)))</formula>
    </cfRule>
  </conditionalFormatting>
  <conditionalFormatting sqref="H5:L638">
    <cfRule type="expression" dxfId="33" priority="14">
      <formula>AND($G$2="SAP",$H5="YES")</formula>
    </cfRule>
    <cfRule type="expression" dxfId="32" priority="15">
      <formula>AND($G$2="LIM",$H5="YES")</formula>
    </cfRule>
  </conditionalFormatting>
  <conditionalFormatting sqref="I2">
    <cfRule type="expression" dxfId="31" priority="10">
      <formula>AND($I$2&gt;0,ISNA(MATCH($I$2,_xlfn.ANCHORARRAY($A$1),0)))</formula>
    </cfRule>
  </conditionalFormatting>
  <conditionalFormatting sqref="J1">
    <cfRule type="containsText" dxfId="30" priority="8" operator="containsText" text="Skipped">
      <formula>NOT(ISERROR(SEARCH("Skipped",J1)))</formula>
    </cfRule>
  </conditionalFormatting>
  <conditionalFormatting sqref="J5:J638">
    <cfRule type="expression" dxfId="29" priority="13">
      <formula>AND($J5&gt;0,ISNA(MATCH($J5,_xlfn.ANCHORARRAY($B$1),0)))</formula>
    </cfRule>
  </conditionalFormatting>
  <conditionalFormatting sqref="J5:K638">
    <cfRule type="expression" dxfId="28" priority="7">
      <formula>$D5="Skipped"</formula>
    </cfRule>
  </conditionalFormatting>
  <conditionalFormatting sqref="J1:L3">
    <cfRule type="cellIs" dxfId="27" priority="12" operator="greaterThan">
      <formula>0</formula>
    </cfRule>
  </conditionalFormatting>
  <conditionalFormatting sqref="K5:K638">
    <cfRule type="expression" dxfId="26" priority="9">
      <formula>(ISNA($D5))</formula>
    </cfRule>
  </conditionalFormatting>
  <conditionalFormatting sqref="M1:N1">
    <cfRule type="expression" dxfId="25" priority="2">
      <formula>$N$1&gt;0</formula>
    </cfRule>
  </conditionalFormatting>
  <conditionalFormatting sqref="S1:T100">
    <cfRule type="expression" dxfId="24" priority="1">
      <formula>$T1&lt;&gt;""</formula>
    </cfRule>
  </conditionalFormatting>
  <dataValidations count="3">
    <dataValidation type="list" allowBlank="1" showInputMessage="1" showErrorMessage="1" sqref="J5:J638" xr:uid="{4DC9C3C4-3CBC-4EDD-A755-352BA7F62257}">
      <formula1>_xlfn.ANCHORARRAY($B$1)</formula1>
    </dataValidation>
    <dataValidation type="list" allowBlank="1" showInputMessage="1" showErrorMessage="1" sqref="I2" xr:uid="{ABA0F2CE-5AD9-4399-977D-6C4E908F3A56}">
      <formula1>_xlfn.ANCHORARRAY($A$1)</formula1>
    </dataValidation>
    <dataValidation type="list" allowBlank="1" showInputMessage="1" showErrorMessage="1" sqref="K5:K638" xr:uid="{8EA64C31-69CE-4547-AA10-697CFE06C0C2}">
      <formula1>Input_Truck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577D-530F-4006-9DC7-84D6375B17C8}">
  <sheetPr codeName="Sheet10">
    <tabColor rgb="FF00FFCC"/>
  </sheetPr>
  <dimension ref="A1:DU673"/>
  <sheetViews>
    <sheetView showGridLines="0" zoomScale="130" zoomScaleNormal="130" zoomScaleSheetLayoutView="100" workbookViewId="0">
      <pane xSplit="11" ySplit="4" topLeftCell="L5" activePane="bottomRight" state="frozen"/>
      <selection activeCell="K27" sqref="K27"/>
      <selection pane="topRight" activeCell="K27" sqref="K27"/>
      <selection pane="bottomLeft" activeCell="K27" sqref="K27"/>
      <selection pane="bottomRight" activeCell="I7" sqref="I7"/>
    </sheetView>
  </sheetViews>
  <sheetFormatPr defaultRowHeight="15" x14ac:dyDescent="0.25"/>
  <cols>
    <col min="1" max="1" width="10" hidden="1" customWidth="1"/>
    <col min="2" max="2" width="9.5703125" hidden="1" customWidth="1"/>
    <col min="3" max="3" width="1.5703125" style="14" hidden="1" customWidth="1"/>
    <col min="4" max="4" width="7.7109375" style="3" hidden="1" customWidth="1"/>
    <col min="5" max="5" width="6.140625" hidden="1" customWidth="1"/>
    <col min="6" max="6" width="5.5703125" hidden="1" customWidth="1"/>
    <col min="7" max="7" width="10.140625" hidden="1" customWidth="1"/>
    <col min="8" max="8" width="5.42578125" hidden="1" customWidth="1"/>
    <col min="9" max="9" width="13.42578125" customWidth="1"/>
    <col min="10" max="10" width="11.42578125" bestFit="1" customWidth="1"/>
    <col min="11" max="11" width="15.85546875" customWidth="1"/>
    <col min="12" max="12" width="14.85546875" customWidth="1"/>
    <col min="13" max="13" width="10.28515625" customWidth="1"/>
    <col min="14" max="14" width="9.28515625" bestFit="1" customWidth="1"/>
    <col min="15" max="15" width="9.7109375" bestFit="1" customWidth="1"/>
    <col min="16" max="17" width="0" hidden="1" customWidth="1"/>
    <col min="18" max="18" width="0" style="3" hidden="1" customWidth="1"/>
    <col min="19" max="19" width="6.42578125" style="3" bestFit="1" customWidth="1"/>
    <col min="20" max="20" width="4.85546875" style="3" customWidth="1"/>
    <col min="21" max="21" width="0" hidden="1" customWidth="1"/>
    <col min="22" max="23" width="14.28515625" customWidth="1"/>
    <col min="24" max="24" width="12.7109375" style="86" customWidth="1"/>
    <col min="25" max="25" width="7.7109375" hidden="1" customWidth="1"/>
    <col min="26" max="26" width="18.140625" hidden="1" customWidth="1"/>
    <col min="27" max="27" width="12.7109375" hidden="1" customWidth="1"/>
    <col min="28" max="28" width="9" hidden="1" customWidth="1"/>
    <col min="29" max="29" width="11.7109375" hidden="1" customWidth="1"/>
    <col min="30" max="30" width="9.5703125" hidden="1" customWidth="1"/>
    <col min="31" max="31" width="8.5703125" hidden="1" customWidth="1"/>
    <col min="32" max="32" width="7.5703125" hidden="1" customWidth="1"/>
    <col min="33" max="33" width="8.140625" hidden="1" customWidth="1"/>
    <col min="34" max="34" width="9.5703125" hidden="1" customWidth="1"/>
    <col min="35" max="39" width="6.140625" hidden="1" customWidth="1"/>
    <col min="40" max="41" width="11.7109375" hidden="1" customWidth="1"/>
    <col min="42" max="92" width="13.42578125" hidden="1" customWidth="1"/>
    <col min="93" max="125" width="9.140625" hidden="1" customWidth="1"/>
    <col min="126" max="176" width="9.140625" customWidth="1"/>
  </cols>
  <sheetData>
    <row r="1" spans="1:125" ht="17.25" customHeight="1" x14ac:dyDescent="0.25">
      <c r="A1" t="str" cm="1">
        <f t="array" ref="A1:A8">_xlfn.UNIQUE(_xlfn._xlws.SORT(_xlfn._xlws.FILTER(Sample_Pending[Pile_ID],(Sample_Pending[Status]="Cont")*(Sample_Pending[Pile_ID]&gt;0)*(ISNUMBER(MATCH(Sample_Pending[Pile_ID],Pile_area[pile_id],0))))))</f>
        <v>BR-C12_L12</v>
      </c>
      <c r="B1" t="e" cm="1" vm="1">
        <f t="array" ref="B1">_xlfn._xlws.FILTER(List_Front,(Front_Des[Dest]=$I$2)*(List_Front&lt;&gt;""))</f>
        <v>#VALUE!</v>
      </c>
      <c r="C1" s="3"/>
      <c r="F1" s="29" t="s">
        <v>101</v>
      </c>
      <c r="G1" s="28" t="s">
        <v>2473</v>
      </c>
      <c r="I1" s="29" t="s">
        <v>2450</v>
      </c>
      <c r="J1" s="65" cm="1">
        <f t="array" ref="J1">_xlfn.LET(_xlpm.skp, COUNTIF(_xlfn.ANCHORARRAY($D$5),"Skipped"),
     _xlpm.fltr,(Sample_Pending[Pile_ID]=$I$2)*(Sample_Pending[Rit]&gt;0)*(Sample_Pending[Status]="Cont"),
     _xlpm.list,_xlfn._xlws.SORT(_xlfn._xlws.FILTER(TEXT(Sample_Pending[Batch],"000")&amp;" / "&amp;TEXT(Sample_Pending[Rit],"00"),_xlpm.fltr)),
     _xlpm.drp,2,
     _xlpm.trnd, TRANSPOSE(_xlfn.SEQUENCE(_xlpm.drp,3,_xlpm.drp+1)),
     _xlpm.pndng, _xlfn.IFNA(IF(SUM(--_xlpm.fltr)&gt;0,
             _xlfn.HSTACK(_xlfn.VSTACK(SUM(--_xlpm.fltr)&amp;" PENDING",_xlfn.TAKE(_xlpm.list,_xlpm.drp)),
                    IFERROR(INDEX(_xlpm.list,_xlpm.trnd),0)),0),0),
     _xlpm.skipped, _xlfn.LET( _xlpm.lst, _xlfn._xlws.FILTER(HLG_06[Incriment], ISNA(_xlfn.ANCHORARRAY($D$5)) + IFERROR(_xlfn.ANCHORARRAY($D$5)="Skipped", 0)),
                        _xlfn.IFNA(_xlfn.HSTACK(_xlfn.VSTACK( _xlpm.skp &amp; " Skipped", _xlfn.TAKE(_xlpm.lst,_xlpm.drp)),
                               IFERROR(INDEX(_xlpm.lst, _xlpm.trnd),0)),0)),
     _xlpm.rslt, IF(_xlpm.skp&gt;0, _xlpm.skipped, _xlpm.pndng),
     _xlpm.rslt)</f>
        <v>0</v>
      </c>
      <c r="K1" s="65"/>
      <c r="L1" s="65"/>
      <c r="M1" s="89"/>
      <c r="N1" s="101">
        <f>IF(COUNTBLANK(_xlfn.ANCHORARRAY(O2))=7,0,"Undeliver Samples")</f>
        <v>0</v>
      </c>
      <c r="O1" s="102"/>
      <c r="P1" s="103"/>
      <c r="Q1" s="102"/>
      <c r="R1" s="102"/>
      <c r="S1" s="102" cm="1">
        <f t="array" ref="S1">IF(COUNTBLANK(_xlfn.ANCHORARRAY(O2))=7,0,{"Batch","Rit"})</f>
        <v>0</v>
      </c>
      <c r="T1" s="102"/>
      <c r="U1" s="97" t="s">
        <v>2593</v>
      </c>
      <c r="V1" s="89"/>
      <c r="W1" s="89"/>
      <c r="X1" s="85" t="s">
        <v>2552</v>
      </c>
      <c r="Y1" t="s">
        <v>2552</v>
      </c>
      <c r="Z1" t="s">
        <v>2551</v>
      </c>
      <c r="AA1" t="s">
        <v>2477</v>
      </c>
      <c r="AB1" t="s">
        <v>2461</v>
      </c>
      <c r="AC1" t="s">
        <v>101</v>
      </c>
      <c r="AD1" t="s">
        <v>2450</v>
      </c>
      <c r="AE1" t="s">
        <v>2451</v>
      </c>
      <c r="AF1" t="s">
        <v>2594</v>
      </c>
      <c r="AG1" t="s">
        <v>2550</v>
      </c>
      <c r="AH1" t="s">
        <v>2584</v>
      </c>
      <c r="AN1" t="s">
        <v>2489</v>
      </c>
      <c r="DU1" t="s">
        <v>2489</v>
      </c>
    </row>
    <row r="2" spans="1:125" ht="21" x14ac:dyDescent="0.25">
      <c r="A2" t="str">
        <v>BR-C3_L10</v>
      </c>
      <c r="F2" s="57">
        <f>_xlfn.XLOOKUP($I$2,Pile_area[pile_id],Pile_area[stockpile])</f>
        <v>0</v>
      </c>
      <c r="G2" s="54">
        <f>_xlfn.XLOOKUP($I$2,Pile_area[pile_id],Pile_area[Ore])</f>
        <v>0</v>
      </c>
      <c r="I2" s="62"/>
      <c r="J2" s="65"/>
      <c r="K2" s="65"/>
      <c r="L2" s="65"/>
      <c r="M2" s="85"/>
      <c r="N2" s="85"/>
      <c r="O2" s="85" t="str" cm="1">
        <f t="array" ref="O2:U2">_xlfn.LET( _xlpm.db,HLG_06[],
      _xlpm.btch, INDEX(_xlpm.db,,1),
      _xlpm.rit,  INDEX(_xlpm.db,,2),
      _xlpm.smpl, INDEX(_xlpm.db,,3),
      _xlpm.frnt, INDEX(_xlpm.db,,5),
      _xlpm.carry,ISNA(MATCH($I$2&amp; _xlpm.btch &amp; _xlpm.rit,_xlfn.BYROW(_xlfn.CHOOSECOLS(_xlfn.ANCHORARRAY(Sample_Pos!$V$3),4,5,6), _xleta.CONCAT), 0)),
      _xlpm.no,   (--(_xlpm.smpl="YES")*(_xlpm.frnt&gt;0)*_xlpm.carry)&gt;0,
      _xlpm.bag, IF(_xlpm.no, _xlfn.BYROW(INDEX(_xlfn.HSTACK(Int_Sample[Inc],Int_Sample[Packing]), MATCH($G$2,Int_Sample[Ore],0)), _xlfn.LAMBDA(_xlpm.x, INDEX(_xlpm.x,,1)/INDEX(_xlpm.x,,2))),""),
      _xlpm.note, IF(_xlpm.no,_xlfn.HSTACK({"Unknown","Unknown"},$G$2,$I$2),""),
      _xlpm.rslt, _xlfn._xlws.FILTER(_xlfn.HSTACK(_xlpm.note,_xlpm.btch,_xlpm.rit,_xlpm.bag), _xlpm.no, {"","","","","","",""}),
      _xlpm.rslt)</f>
        <v/>
      </c>
      <c r="P2" s="85" t="str">
        <v/>
      </c>
      <c r="Q2" s="85" t="str">
        <v/>
      </c>
      <c r="R2" s="85" t="str">
        <v/>
      </c>
      <c r="S2" s="100" t="str">
        <v/>
      </c>
      <c r="T2" s="100" t="str">
        <v/>
      </c>
      <c r="U2" s="98" t="str">
        <v/>
      </c>
      <c r="V2" s="95"/>
      <c r="W2" s="95"/>
      <c r="X2" s="85"/>
      <c r="Z2" t="str" cm="1">
        <f t="array" ref="Z2">_xlfn.LET(
    _xlpm.note,_xlfn.ANCHORARRAY( $D$5),
    _xlpm.data, HLG_06[],
    _xlpm.IsErr, _xlfn.IFS(ISNUMBER(_xlpm.note), "", ISERROR(_xlpm.note), "TRUCK SALAH", _xlpm.note="Skipped", "TERLEWAT", TRUE, ""),
    _xlpm.src, IF(_xlpm.IsErr="TERLEWAT", "TERLEWAT", INDEX(_xlpm.data,,5)),
    _xlpm.hlr, IF(_xlpm.IsErr="TERLEWAT", _xlpm.IsErr, INDEX(_xlpm.data,,6)),
    _xlpm.id, Regist!$H$1 &amp; "/" &amp; Regist!$I$1 &amp; "|" &amp; _xlpm.src,
    _xlpm.pile, IF(_xlpm.src&lt;&gt;"", $I$2, ""),
    _xlpm.ore, _xlfn.XLOOKUP(_xlpm.pile, Pile_area[pile_id], Pile_area[Ore]),
    _xlpm.stp, _xlfn.XLOOKUP(_xlpm.pile, Pile_area[pile_id], Pile_area[stockpile]),
    _xlpm.field, _xlfn.HSTACK(
        _xlpm.id,
        _xlpm.hlr,
        _xlpm.ore,
        _xlpm.stp,
        _xlpm.pile,
        INDEX(_xlpm.data,,4),
        PROPER(INDEX(_xlpm.data,,3)),
        IF(INDEX(_xlpm.data,,5) = _xlfn.XLOOKUP(_xlpm.ore, Int_Sample[Ore], Int_Sample[Batch]), "Complete", ""),
        _xlfn.BYROW(_xlfn.HSTACK(INDEX(_xlpm.data,,7), _xlpm.IsErr), _xlfn.LAMBDA(_xlpm.x, _xlfn.TEXTJOIN("|", TRUE, _xlpm.x)))
    ),
    _xlpm.rslt, _xlfn.UNIQUE(_xlfn._xlws.FILTER(_xlpm.field, _xlpm.src&gt;0)),
     IF(ISERR(_xlfn.SINGLE(_xlpm.rslt)),"",_xlpm.rslt)
)</f>
        <v/>
      </c>
    </row>
    <row r="3" spans="1:125" ht="15.75" x14ac:dyDescent="0.25">
      <c r="A3" t="str">
        <v>BR-C6_S10</v>
      </c>
      <c r="I3" s="66"/>
      <c r="J3" s="65"/>
      <c r="K3" s="65"/>
      <c r="L3" s="65"/>
      <c r="M3" s="85"/>
      <c r="N3" s="85"/>
      <c r="O3" s="85"/>
      <c r="P3" s="85"/>
      <c r="Q3" s="85"/>
      <c r="R3" s="85"/>
      <c r="S3" s="100"/>
      <c r="T3" s="100"/>
      <c r="U3" s="98"/>
      <c r="V3" s="95"/>
      <c r="W3" s="95"/>
      <c r="X3" s="85"/>
    </row>
    <row r="4" spans="1:125" x14ac:dyDescent="0.25">
      <c r="A4" t="str">
        <v>L18_S09</v>
      </c>
      <c r="F4" t="s">
        <v>2451</v>
      </c>
      <c r="G4" t="s">
        <v>2474</v>
      </c>
      <c r="H4" s="14" t="s">
        <v>2549</v>
      </c>
      <c r="I4" s="14" t="s">
        <v>2567</v>
      </c>
      <c r="J4" s="14" t="s">
        <v>115</v>
      </c>
      <c r="K4" s="14" t="s">
        <v>2477</v>
      </c>
      <c r="L4" s="14" t="s">
        <v>2452</v>
      </c>
      <c r="M4" s="85"/>
      <c r="N4" s="85"/>
      <c r="O4" s="85"/>
      <c r="P4" s="85"/>
      <c r="Q4" s="85"/>
      <c r="R4" s="85"/>
      <c r="S4" s="100"/>
      <c r="T4" s="100"/>
      <c r="U4" s="85"/>
      <c r="V4" s="85"/>
      <c r="W4" s="85"/>
      <c r="X4" s="85"/>
    </row>
    <row r="5" spans="1:125" ht="15.75" x14ac:dyDescent="0.25">
      <c r="A5" t="str">
        <v>L9_26</v>
      </c>
      <c r="D5" s="3" cm="1">
        <f t="array" ref="D5:D638">_xlfn.LET( _xlpm.Batch,HLG_06[Batch],
      _xlpm.rit, HLG_06[Rit],
      _xlpm.front,HLG_06[Front_ID],
      _xlpm.truck, HLG_06[Truck_ID],
      _xlpm.Unik, _xlfn.UNIQUE(_xlfn._xlws.FILTER(_xlpm.Batch, _xlpm.Batch&lt;&gt;"")),
      _xlpm.seqBtch, _xlfn.MAP(_xlpm.Batch,_xlfn.LAMBDA(_xlpm.b,IF(_xlpm.b="","",MATCH(_xlpm.b, _xlpm.Unik,0)))),
      _xlpm.r, ROWS(_xlpm.truck),
      _xlpm.vld,_xlfn.MAP(_xlfn.SEQUENCE(_xlpm.r),_xlfn.LAMBDA(_xlpm.idx,MATCH(INDEX(_xlpm.truck,_xlpm.idx),INDEX(_xlfn.ANCHORARRAY($AP$5),_xlpm.idx,0),0))),
      _xlpm.isSkip, IF(_xlpm.front&gt;0,"",_xlfn.MAP(_xlpm.Batch, _xlpm.rit, _xlfn.LAMBDA(_xlpm.bx,_xlpm.rx,
        IFERROR(IF(_xlfn.XMATCH(1, --(_xlpm.Batch=_xlpm.bx) * (_xlpm.rit&gt;_xlpm.rx) * (_xlpm.front&gt;0), 0), "Skipped"), "")))),
      _xlpm.rslt, IF(_xlpm.isSkip="",IF((--(ISNA(_xlpm.vld)*(_xlpm.truck&gt;0))+((_xlpm.front&gt;0)*(_xlpm.truck=0)))&gt;0,_xlpm.vld,_xlpm.seqBtch),_xlpm.isSkip),
      _xlpm.rslt)</f>
        <v>1</v>
      </c>
      <c r="F5" s="16" t="str" cm="1">
        <f t="array" ref="F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" s="31" cm="1">
        <f t="array" ref="G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" s="33" t="str">
        <f>_xlfn.IFNA(IF(MOD(HLG_06[[#This Row],[Rit]],
    _xlfn.XLOOKUP($G$2,Int_Sample[Ore],Int_Sample[Inc])) = 0, "YES", "NO"),"")</f>
        <v/>
      </c>
      <c r="I5" s="32" t="str">
        <f>TEXT(HLG_06[[#This Row],[Batch]],"000")&amp; " / " &amp; TEXT(HLG_06[[#This Row],[Rit]],"000")</f>
        <v>N/A / 000</v>
      </c>
      <c r="J5" s="34"/>
      <c r="K5" s="38"/>
      <c r="L5" s="35"/>
      <c r="M5" s="85"/>
      <c r="N5" s="85"/>
      <c r="O5" s="85"/>
      <c r="P5" s="85"/>
      <c r="Q5" s="85"/>
      <c r="R5" s="85"/>
      <c r="S5" s="100"/>
      <c r="T5" s="100"/>
      <c r="U5" s="85"/>
      <c r="V5" s="85"/>
      <c r="W5" s="85"/>
      <c r="X5" s="85"/>
      <c r="AP5" t="str" cm="1">
        <f t="array" ref="AP5:AP638">_xlfn.DROP(
    _xlfn.REDUCE("", HLG_06[Front_ID],
        _xlfn.LAMBDA(_xlpm.matriks,_xlpm.p,
            _xlfn.VSTACK(_xlpm.matriks,
                IFERROR(
                    _xlfn.LET(
                        _xlpm.baris_idx, MATCH(_xlpm.p, List_Front, 0),
                        _xlpm.truk_valid, INDEX(_xlfn.ANCHORARRAY(Fleet_Det!$CE$4), _xlpm.baris_idx, ),
                        _xlpm.fleet_str, INDEX(List_Unit_Fleet, _xlpm.baris_idx),
                        _xlpm.daftar_truk, IFERROR(_xlfn.TEXTSPLIT(_xlpm.fleet_str, "|"), ""),
                        _xlpm.daftar_truk_vec, _xlfn.TOCOL(_xlpm.daftar_truk, 1),
                        _xlpm.hasil, _xlfn._xlws.FILTER(_xlpm.daftar_truk_vec, ISNUMBER(MATCH(_xlpm.daftar_truk_vec, _xlpm.truk_valid, 0))),
                        _xlfn.TOROW(_xlfn._xlws.SORT(_xlfn.UNIQUE(_xlpm.hasil)))
                    ),
                    ""
                )
            )
        )
    ),
    1
)</f>
        <v/>
      </c>
    </row>
    <row r="6" spans="1:125" ht="15.75" x14ac:dyDescent="0.25">
      <c r="A6" t="str">
        <v>S5_77</v>
      </c>
      <c r="D6" s="3">
        <v>1</v>
      </c>
      <c r="F6" s="16" t="str" cm="1">
        <f t="array" ref="F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" s="31" cm="1">
        <f t="array" ref="G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" s="33" t="str">
        <f>_xlfn.IFNA(IF(MOD(HLG_06[[#This Row],[Rit]],
    _xlfn.XLOOKUP($G$2,Int_Sample[Ore],Int_Sample[Inc])) = 0, "YES", "NO"),"")</f>
        <v/>
      </c>
      <c r="I6" s="32" t="str">
        <f>TEXT(HLG_06[[#This Row],[Batch]],"000")&amp; " / " &amp; TEXT(HLG_06[[#This Row],[Rit]],"000")</f>
        <v>N/A / 000</v>
      </c>
      <c r="J6" s="34"/>
      <c r="K6" s="38"/>
      <c r="L6" s="35"/>
      <c r="M6" s="85"/>
      <c r="N6" s="85"/>
      <c r="O6" s="85"/>
      <c r="P6" s="85"/>
      <c r="Q6" s="85"/>
      <c r="R6" s="85"/>
      <c r="S6" s="100"/>
      <c r="T6" s="100"/>
      <c r="U6" s="85"/>
      <c r="V6" s="85"/>
      <c r="W6" s="85"/>
      <c r="X6" s="85"/>
      <c r="AN6" s="3"/>
      <c r="AO6" s="3"/>
      <c r="AP6" t="str">
        <v/>
      </c>
    </row>
    <row r="7" spans="1:125" ht="15.75" x14ac:dyDescent="0.25">
      <c r="A7" t="str">
        <v>S5_88</v>
      </c>
      <c r="D7" s="3">
        <v>1</v>
      </c>
      <c r="F7" s="16" t="str" cm="1">
        <f t="array" ref="F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" s="31" cm="1">
        <f t="array" ref="G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" s="33" t="str">
        <f>_xlfn.IFNA(IF(MOD(HLG_06[[#This Row],[Rit]],
    _xlfn.XLOOKUP($G$2,Int_Sample[Ore],Int_Sample[Inc])) = 0, "YES", "NO"),"")</f>
        <v/>
      </c>
      <c r="I7" s="32" t="str">
        <f>TEXT(HLG_06[[#This Row],[Batch]],"000")&amp; " / " &amp; TEXT(HLG_06[[#This Row],[Rit]],"000")</f>
        <v>N/A / 000</v>
      </c>
      <c r="J7" s="34"/>
      <c r="K7" s="38"/>
      <c r="L7" s="35"/>
      <c r="M7" s="85"/>
      <c r="N7" s="85"/>
      <c r="O7" s="85"/>
      <c r="P7" s="85"/>
      <c r="Q7" s="85"/>
      <c r="R7" s="85"/>
      <c r="S7" s="100"/>
      <c r="T7" s="100"/>
      <c r="U7" s="85"/>
      <c r="V7" s="85"/>
      <c r="W7" s="85"/>
      <c r="X7" s="85"/>
      <c r="AN7" s="3"/>
      <c r="AO7" s="3"/>
      <c r="AP7" t="str">
        <v/>
      </c>
    </row>
    <row r="8" spans="1:125" ht="15.75" x14ac:dyDescent="0.25">
      <c r="A8" t="str">
        <v>S5_93</v>
      </c>
      <c r="D8" s="3">
        <v>1</v>
      </c>
      <c r="F8" s="16" t="str" cm="1">
        <f t="array" ref="F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" s="31" cm="1">
        <f t="array" ref="G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" s="33" t="str">
        <f>_xlfn.IFNA(IF(MOD(HLG_06[[#This Row],[Rit]],
    _xlfn.XLOOKUP($G$2,Int_Sample[Ore],Int_Sample[Inc])) = 0, "YES", "NO"),"")</f>
        <v/>
      </c>
      <c r="I8" s="32" t="str">
        <f>TEXT(HLG_06[[#This Row],[Batch]],"000")&amp; " / " &amp; TEXT(HLG_06[[#This Row],[Rit]],"000")</f>
        <v>N/A / 000</v>
      </c>
      <c r="J8" s="34"/>
      <c r="K8" s="38"/>
      <c r="L8" s="35"/>
      <c r="M8" s="85"/>
      <c r="N8" s="85"/>
      <c r="O8" s="85"/>
      <c r="P8" s="85"/>
      <c r="Q8" s="85"/>
      <c r="R8" s="85"/>
      <c r="S8" s="100"/>
      <c r="T8" s="100"/>
      <c r="U8" s="85"/>
      <c r="V8" s="85"/>
      <c r="W8" s="85"/>
      <c r="X8" s="85"/>
      <c r="AN8" s="3"/>
      <c r="AO8" s="3"/>
      <c r="AP8" t="str">
        <v/>
      </c>
    </row>
    <row r="9" spans="1:125" ht="15.75" x14ac:dyDescent="0.25">
      <c r="D9" s="3">
        <v>1</v>
      </c>
      <c r="F9" s="16" t="str" cm="1">
        <f t="array" ref="F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" s="31" cm="1">
        <f t="array" ref="G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" s="33" t="str">
        <f>_xlfn.IFNA(IF(MOD(HLG_06[[#This Row],[Rit]],
    _xlfn.XLOOKUP($G$2,Int_Sample[Ore],Int_Sample[Inc])) = 0, "YES", "NO"),"")</f>
        <v/>
      </c>
      <c r="I9" s="32" t="str">
        <f>TEXT(HLG_06[[#This Row],[Batch]],"000")&amp; " / " &amp; TEXT(HLG_06[[#This Row],[Rit]],"000")</f>
        <v>N/A / 000</v>
      </c>
      <c r="J9" s="34"/>
      <c r="K9" s="38"/>
      <c r="L9" s="35"/>
      <c r="M9" s="85"/>
      <c r="N9" s="85"/>
      <c r="O9" s="85"/>
      <c r="P9" s="85"/>
      <c r="Q9" s="85"/>
      <c r="R9" s="85"/>
      <c r="S9" s="100"/>
      <c r="T9" s="100"/>
      <c r="U9" s="85"/>
      <c r="V9" s="85"/>
      <c r="W9" s="85"/>
      <c r="X9" s="85"/>
      <c r="AN9" s="3"/>
      <c r="AO9" s="3"/>
      <c r="AP9" t="str">
        <v/>
      </c>
    </row>
    <row r="10" spans="1:125" ht="15.75" x14ac:dyDescent="0.25">
      <c r="D10" s="3">
        <v>1</v>
      </c>
      <c r="F10" s="16" t="str" cm="1">
        <f t="array" ref="F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" s="31" cm="1">
        <f t="array" ref="G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" s="33" t="str">
        <f>_xlfn.IFNA(IF(MOD(HLG_06[[#This Row],[Rit]],
    _xlfn.XLOOKUP($G$2,Int_Sample[Ore],Int_Sample[Inc])) = 0, "YES", "NO"),"")</f>
        <v/>
      </c>
      <c r="I10" s="32" t="str">
        <f>TEXT(HLG_06[[#This Row],[Batch]],"000")&amp; " / " &amp; TEXT(HLG_06[[#This Row],[Rit]],"000")</f>
        <v>N/A / 000</v>
      </c>
      <c r="J10" s="34"/>
      <c r="K10" s="38"/>
      <c r="L10" s="35"/>
      <c r="M10" s="85"/>
      <c r="N10" s="85"/>
      <c r="O10" s="85"/>
      <c r="P10" s="85"/>
      <c r="Q10" s="85"/>
      <c r="R10" s="85"/>
      <c r="S10" s="100"/>
      <c r="T10" s="100"/>
      <c r="U10" s="85"/>
      <c r="V10" s="85"/>
      <c r="W10" s="85"/>
      <c r="X10" s="85"/>
      <c r="AN10" s="3"/>
      <c r="AO10" s="3"/>
      <c r="AP10" t="str">
        <v/>
      </c>
    </row>
    <row r="11" spans="1:125" ht="15.75" x14ac:dyDescent="0.25">
      <c r="D11" s="3">
        <v>1</v>
      </c>
      <c r="F11" s="16" t="str" cm="1">
        <f t="array" ref="F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" s="31" cm="1">
        <f t="array" ref="G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" s="33" t="str">
        <f>_xlfn.IFNA(IF(MOD(HLG_06[[#This Row],[Rit]],
    _xlfn.XLOOKUP($G$2,Int_Sample[Ore],Int_Sample[Inc])) = 0, "YES", "NO"),"")</f>
        <v/>
      </c>
      <c r="I11" s="32" t="str">
        <f>TEXT(HLG_06[[#This Row],[Batch]],"000")&amp; " / " &amp; TEXT(HLG_06[[#This Row],[Rit]],"000")</f>
        <v>N/A / 000</v>
      </c>
      <c r="J11" s="34"/>
      <c r="K11" s="38"/>
      <c r="L11" s="35"/>
      <c r="M11" s="85"/>
      <c r="N11" s="85"/>
      <c r="O11" s="85"/>
      <c r="P11" s="85"/>
      <c r="Q11" s="85"/>
      <c r="R11" s="85"/>
      <c r="S11" s="100"/>
      <c r="T11" s="100"/>
      <c r="U11" s="85"/>
      <c r="V11" s="85"/>
      <c r="W11" s="85"/>
      <c r="X11" s="85"/>
      <c r="AP11" t="str">
        <v/>
      </c>
    </row>
    <row r="12" spans="1:125" ht="15.75" x14ac:dyDescent="0.25">
      <c r="D12" s="3">
        <v>1</v>
      </c>
      <c r="F12" s="16" t="str" cm="1">
        <f t="array" ref="F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" s="31" cm="1">
        <f t="array" ref="G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" s="33" t="str">
        <f>_xlfn.IFNA(IF(MOD(HLG_06[[#This Row],[Rit]],
    _xlfn.XLOOKUP($G$2,Int_Sample[Ore],Int_Sample[Inc])) = 0, "YES", "NO"),"")</f>
        <v/>
      </c>
      <c r="I12" s="32" t="str">
        <f>TEXT(HLG_06[[#This Row],[Batch]],"000")&amp; " / " &amp; TEXT(HLG_06[[#This Row],[Rit]],"000")</f>
        <v>N/A / 000</v>
      </c>
      <c r="J12" s="34"/>
      <c r="K12" s="38"/>
      <c r="L12" s="35"/>
      <c r="M12" s="85"/>
      <c r="N12" s="85"/>
      <c r="O12" s="85"/>
      <c r="P12" s="85"/>
      <c r="Q12" s="85"/>
      <c r="R12" s="85"/>
      <c r="S12" s="100"/>
      <c r="T12" s="100"/>
      <c r="U12" s="85"/>
      <c r="V12" s="85"/>
      <c r="W12" s="85"/>
      <c r="X12" s="85"/>
      <c r="AP12" t="str">
        <v/>
      </c>
    </row>
    <row r="13" spans="1:125" ht="15.75" x14ac:dyDescent="0.25">
      <c r="D13" s="3">
        <v>1</v>
      </c>
      <c r="F13" s="16" t="str" cm="1">
        <f t="array" ref="F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" s="31" cm="1">
        <f t="array" ref="G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" s="33" t="str">
        <f>_xlfn.IFNA(IF(MOD(HLG_06[[#This Row],[Rit]],
    _xlfn.XLOOKUP($G$2,Int_Sample[Ore],Int_Sample[Inc])) = 0, "YES", "NO"),"")</f>
        <v/>
      </c>
      <c r="I13" s="32" t="str">
        <f>TEXT(HLG_06[[#This Row],[Batch]],"000")&amp; " / " &amp; TEXT(HLG_06[[#This Row],[Rit]],"000")</f>
        <v>N/A / 000</v>
      </c>
      <c r="J13" s="34"/>
      <c r="K13" s="38"/>
      <c r="L13" s="35"/>
      <c r="M13" s="85"/>
      <c r="N13" s="85"/>
      <c r="O13" s="85"/>
      <c r="P13" s="85"/>
      <c r="Q13" s="85"/>
      <c r="R13" s="85"/>
      <c r="S13" s="100"/>
      <c r="T13" s="100"/>
      <c r="U13" s="85"/>
      <c r="V13" s="85"/>
      <c r="W13" s="85"/>
      <c r="X13" s="85"/>
      <c r="AP13" t="str">
        <v/>
      </c>
    </row>
    <row r="14" spans="1:125" ht="15.75" x14ac:dyDescent="0.25">
      <c r="D14" s="3">
        <v>1</v>
      </c>
      <c r="F14" s="16" t="str" cm="1">
        <f t="array" ref="F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" s="31" cm="1">
        <f t="array" ref="G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" s="33" t="str">
        <f>_xlfn.IFNA(IF(MOD(HLG_06[[#This Row],[Rit]],
    _xlfn.XLOOKUP($G$2,Int_Sample[Ore],Int_Sample[Inc])) = 0, "YES", "NO"),"")</f>
        <v/>
      </c>
      <c r="I14" s="32" t="str">
        <f>TEXT(HLG_06[[#This Row],[Batch]],"000")&amp; " / " &amp; TEXT(HLG_06[[#This Row],[Rit]],"000")</f>
        <v>N/A / 000</v>
      </c>
      <c r="J14" s="34"/>
      <c r="K14" s="38"/>
      <c r="L14" s="35"/>
      <c r="M14" s="85"/>
      <c r="N14" s="85"/>
      <c r="O14" s="85"/>
      <c r="P14" s="85"/>
      <c r="Q14" s="85"/>
      <c r="R14" s="85"/>
      <c r="S14" s="100"/>
      <c r="T14" s="100"/>
      <c r="U14" s="85"/>
      <c r="V14" s="85"/>
      <c r="W14" s="85"/>
      <c r="X14" s="85"/>
      <c r="AP14" t="str">
        <v/>
      </c>
    </row>
    <row r="15" spans="1:125" ht="15.75" x14ac:dyDescent="0.25">
      <c r="D15" s="3">
        <v>1</v>
      </c>
      <c r="F15" s="16" t="str" cm="1">
        <f t="array" ref="F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" s="31" cm="1">
        <f t="array" ref="G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" s="33" t="str">
        <f>_xlfn.IFNA(IF(MOD(HLG_06[[#This Row],[Rit]],
    _xlfn.XLOOKUP($G$2,Int_Sample[Ore],Int_Sample[Inc])) = 0, "YES", "NO"),"")</f>
        <v/>
      </c>
      <c r="I15" s="32" t="str">
        <f>TEXT(HLG_06[[#This Row],[Batch]],"000")&amp; " / " &amp; TEXT(HLG_06[[#This Row],[Rit]],"000")</f>
        <v>N/A / 000</v>
      </c>
      <c r="J15" s="34"/>
      <c r="K15" s="38"/>
      <c r="L15" s="35"/>
      <c r="M15" s="85"/>
      <c r="N15" s="85"/>
      <c r="O15" s="85"/>
      <c r="P15" s="85"/>
      <c r="Q15" s="85"/>
      <c r="R15" s="85"/>
      <c r="S15" s="100"/>
      <c r="T15" s="100"/>
      <c r="U15" s="85"/>
      <c r="V15" s="85"/>
      <c r="W15" s="85"/>
      <c r="X15" s="85"/>
      <c r="AP15" t="str">
        <v/>
      </c>
    </row>
    <row r="16" spans="1:125" ht="15.75" x14ac:dyDescent="0.25">
      <c r="D16" s="3">
        <v>1</v>
      </c>
      <c r="F16" s="16" t="str" cm="1">
        <f t="array" ref="F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" s="31" cm="1">
        <f t="array" ref="G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" s="33" t="str">
        <f>_xlfn.IFNA(IF(MOD(HLG_06[[#This Row],[Rit]],
    _xlfn.XLOOKUP($G$2,Int_Sample[Ore],Int_Sample[Inc])) = 0, "YES", "NO"),"")</f>
        <v/>
      </c>
      <c r="I16" s="32" t="str">
        <f>TEXT(HLG_06[[#This Row],[Batch]],"000")&amp; " / " &amp; TEXT(HLG_06[[#This Row],[Rit]],"000")</f>
        <v>N/A / 000</v>
      </c>
      <c r="J16" s="34"/>
      <c r="K16" s="38"/>
      <c r="L16" s="35"/>
      <c r="M16" s="85"/>
      <c r="N16" s="85"/>
      <c r="O16" s="85"/>
      <c r="P16" s="85"/>
      <c r="Q16" s="85"/>
      <c r="R16" s="85"/>
      <c r="S16" s="100"/>
      <c r="T16" s="100"/>
      <c r="U16" s="85"/>
      <c r="V16" s="85"/>
      <c r="W16" s="85"/>
      <c r="X16" s="85"/>
      <c r="AP16" t="str">
        <v/>
      </c>
    </row>
    <row r="17" spans="4:42" ht="15.75" x14ac:dyDescent="0.25">
      <c r="D17" s="3">
        <v>1</v>
      </c>
      <c r="F17" s="16" t="str" cm="1">
        <f t="array" ref="F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" s="31" cm="1">
        <f t="array" ref="G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" s="33" t="str">
        <f>_xlfn.IFNA(IF(MOD(HLG_06[[#This Row],[Rit]],
    _xlfn.XLOOKUP($G$2,Int_Sample[Ore],Int_Sample[Inc])) = 0, "YES", "NO"),"")</f>
        <v/>
      </c>
      <c r="I17" s="32" t="str">
        <f>TEXT(HLG_06[[#This Row],[Batch]],"000")&amp; " / " &amp; TEXT(HLG_06[[#This Row],[Rit]],"000")</f>
        <v>N/A / 000</v>
      </c>
      <c r="J17" s="34"/>
      <c r="K17" s="38"/>
      <c r="L17" s="35"/>
      <c r="M17" s="85"/>
      <c r="N17" s="85"/>
      <c r="O17" s="85"/>
      <c r="P17" s="85"/>
      <c r="Q17" s="85"/>
      <c r="R17" s="85"/>
      <c r="S17" s="100"/>
      <c r="T17" s="100"/>
      <c r="U17" s="85"/>
      <c r="V17" s="85"/>
      <c r="W17" s="85"/>
      <c r="X17" s="85"/>
      <c r="AP17" t="str">
        <v/>
      </c>
    </row>
    <row r="18" spans="4:42" ht="15.75" x14ac:dyDescent="0.25">
      <c r="D18" s="3">
        <v>1</v>
      </c>
      <c r="F18" s="16" t="str" cm="1">
        <f t="array" ref="F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" s="31" cm="1">
        <f t="array" ref="G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" s="33" t="str">
        <f>_xlfn.IFNA(IF(MOD(HLG_06[[#This Row],[Rit]],
    _xlfn.XLOOKUP($G$2,Int_Sample[Ore],Int_Sample[Inc])) = 0, "YES", "NO"),"")</f>
        <v/>
      </c>
      <c r="I18" s="32" t="str">
        <f>TEXT(HLG_06[[#This Row],[Batch]],"000")&amp; " / " &amp; TEXT(HLG_06[[#This Row],[Rit]],"000")</f>
        <v>N/A / 000</v>
      </c>
      <c r="J18" s="34"/>
      <c r="K18" s="38"/>
      <c r="L18" s="35"/>
      <c r="M18" s="85"/>
      <c r="N18" s="85"/>
      <c r="O18" s="85"/>
      <c r="P18" s="85"/>
      <c r="Q18" s="85"/>
      <c r="R18" s="85"/>
      <c r="S18" s="100"/>
      <c r="T18" s="100"/>
      <c r="U18" s="85"/>
      <c r="V18" s="85"/>
      <c r="W18" s="85"/>
      <c r="X18" s="85"/>
      <c r="AP18" t="str">
        <v/>
      </c>
    </row>
    <row r="19" spans="4:42" ht="15.75" x14ac:dyDescent="0.25">
      <c r="D19" s="3">
        <v>1</v>
      </c>
      <c r="F19" s="16" t="str" cm="1">
        <f t="array" ref="F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" s="31" cm="1">
        <f t="array" ref="G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" s="33" t="str">
        <f>_xlfn.IFNA(IF(MOD(HLG_06[[#This Row],[Rit]],
    _xlfn.XLOOKUP($G$2,Int_Sample[Ore],Int_Sample[Inc])) = 0, "YES", "NO"),"")</f>
        <v/>
      </c>
      <c r="I19" s="32" t="str">
        <f>TEXT(HLG_06[[#This Row],[Batch]],"000")&amp; " / " &amp; TEXT(HLG_06[[#This Row],[Rit]],"000")</f>
        <v>N/A / 000</v>
      </c>
      <c r="J19" s="34"/>
      <c r="K19" s="38"/>
      <c r="L19" s="35"/>
      <c r="M19" s="85"/>
      <c r="N19" s="85"/>
      <c r="O19" s="85"/>
      <c r="P19" s="85"/>
      <c r="Q19" s="85"/>
      <c r="R19" s="85"/>
      <c r="S19" s="100"/>
      <c r="T19" s="100"/>
      <c r="U19" s="85"/>
      <c r="V19" s="85"/>
      <c r="W19" s="85"/>
      <c r="X19" s="85"/>
      <c r="AP19" t="str">
        <v/>
      </c>
    </row>
    <row r="20" spans="4:42" ht="15.75" x14ac:dyDescent="0.25">
      <c r="D20" s="3">
        <v>1</v>
      </c>
      <c r="F20" s="16" t="str" cm="1">
        <f t="array" ref="F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" s="31" cm="1">
        <f t="array" ref="G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" s="33" t="str">
        <f>_xlfn.IFNA(IF(MOD(HLG_06[[#This Row],[Rit]],
    _xlfn.XLOOKUP($G$2,Int_Sample[Ore],Int_Sample[Inc])) = 0, "YES", "NO"),"")</f>
        <v/>
      </c>
      <c r="I20" s="32" t="str">
        <f>TEXT(HLG_06[[#This Row],[Batch]],"000")&amp; " / " &amp; TEXT(HLG_06[[#This Row],[Rit]],"000")</f>
        <v>N/A / 000</v>
      </c>
      <c r="J20" s="34"/>
      <c r="K20" s="38"/>
      <c r="L20" s="35"/>
      <c r="M20" s="85"/>
      <c r="N20" s="85"/>
      <c r="O20" s="85"/>
      <c r="P20" s="85"/>
      <c r="Q20" s="85"/>
      <c r="R20" s="85"/>
      <c r="S20" s="100"/>
      <c r="T20" s="100"/>
      <c r="U20" s="85"/>
      <c r="V20" s="85"/>
      <c r="W20" s="85"/>
      <c r="X20" s="85"/>
      <c r="AP20" t="str">
        <v/>
      </c>
    </row>
    <row r="21" spans="4:42" ht="15.75" x14ac:dyDescent="0.25">
      <c r="D21" s="3">
        <v>1</v>
      </c>
      <c r="F21" s="16" t="str" cm="1">
        <f t="array" ref="F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" s="31" cm="1">
        <f t="array" ref="G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" s="33" t="str">
        <f>_xlfn.IFNA(IF(MOD(HLG_06[[#This Row],[Rit]],
    _xlfn.XLOOKUP($G$2,Int_Sample[Ore],Int_Sample[Inc])) = 0, "YES", "NO"),"")</f>
        <v/>
      </c>
      <c r="I21" s="32" t="str">
        <f>TEXT(HLG_06[[#This Row],[Batch]],"000")&amp; " / " &amp; TEXT(HLG_06[[#This Row],[Rit]],"000")</f>
        <v>N/A / 000</v>
      </c>
      <c r="J21" s="34"/>
      <c r="K21" s="38"/>
      <c r="L21" s="35"/>
      <c r="M21" s="85"/>
      <c r="N21" s="85"/>
      <c r="O21" s="85"/>
      <c r="P21" s="85"/>
      <c r="Q21" s="85"/>
      <c r="R21" s="85"/>
      <c r="S21" s="100"/>
      <c r="T21" s="100"/>
      <c r="U21" s="85"/>
      <c r="V21" s="85"/>
      <c r="W21" s="85"/>
      <c r="X21" s="85"/>
      <c r="AP21" t="str">
        <v/>
      </c>
    </row>
    <row r="22" spans="4:42" ht="15.75" x14ac:dyDescent="0.25">
      <c r="D22" s="3">
        <v>1</v>
      </c>
      <c r="F22" s="16" t="str" cm="1">
        <f t="array" ref="F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" s="31" cm="1">
        <f t="array" ref="G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" s="33" t="str">
        <f>_xlfn.IFNA(IF(MOD(HLG_06[[#This Row],[Rit]],
    _xlfn.XLOOKUP($G$2,Int_Sample[Ore],Int_Sample[Inc])) = 0, "YES", "NO"),"")</f>
        <v/>
      </c>
      <c r="I22" s="32" t="str">
        <f>TEXT(HLG_06[[#This Row],[Batch]],"000")&amp; " / " &amp; TEXT(HLG_06[[#This Row],[Rit]],"000")</f>
        <v>N/A / 000</v>
      </c>
      <c r="J22" s="34"/>
      <c r="K22" s="38"/>
      <c r="L22" s="35"/>
      <c r="M22" s="85"/>
      <c r="N22" s="85"/>
      <c r="O22" s="85"/>
      <c r="P22" s="85"/>
      <c r="Q22" s="85"/>
      <c r="R22" s="85"/>
      <c r="S22" s="100"/>
      <c r="T22" s="100"/>
      <c r="U22" s="85"/>
      <c r="V22" s="85"/>
      <c r="W22" s="85"/>
      <c r="X22" s="85"/>
      <c r="AP22" t="str">
        <v/>
      </c>
    </row>
    <row r="23" spans="4:42" ht="15.75" x14ac:dyDescent="0.25">
      <c r="D23" s="3">
        <v>1</v>
      </c>
      <c r="F23" s="16" t="str" cm="1">
        <f t="array" ref="F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" s="31" cm="1">
        <f t="array" ref="G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" s="33" t="str">
        <f>_xlfn.IFNA(IF(MOD(HLG_06[[#This Row],[Rit]],
    _xlfn.XLOOKUP($G$2,Int_Sample[Ore],Int_Sample[Inc])) = 0, "YES", "NO"),"")</f>
        <v/>
      </c>
      <c r="I23" s="32" t="str">
        <f>TEXT(HLG_06[[#This Row],[Batch]],"000")&amp; " / " &amp; TEXT(HLG_06[[#This Row],[Rit]],"000")</f>
        <v>N/A / 000</v>
      </c>
      <c r="J23" s="34"/>
      <c r="K23" s="38"/>
      <c r="L23" s="35"/>
      <c r="M23" s="85"/>
      <c r="N23" s="85"/>
      <c r="O23" s="85"/>
      <c r="P23" s="85"/>
      <c r="Q23" s="85"/>
      <c r="R23" s="85"/>
      <c r="S23" s="100"/>
      <c r="T23" s="100"/>
      <c r="U23" s="85"/>
      <c r="V23" s="85"/>
      <c r="W23" s="85"/>
      <c r="X23" s="85"/>
      <c r="AP23" t="str">
        <v/>
      </c>
    </row>
    <row r="24" spans="4:42" ht="15.75" x14ac:dyDescent="0.25">
      <c r="D24" s="3">
        <v>1</v>
      </c>
      <c r="F24" s="16" t="str" cm="1">
        <f t="array" ref="F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" s="31" cm="1">
        <f t="array" ref="G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" s="33" t="str">
        <f>_xlfn.IFNA(IF(MOD(HLG_06[[#This Row],[Rit]],
    _xlfn.XLOOKUP($G$2,Int_Sample[Ore],Int_Sample[Inc])) = 0, "YES", "NO"),"")</f>
        <v/>
      </c>
      <c r="I24" s="32" t="str">
        <f>TEXT(HLG_06[[#This Row],[Batch]],"000")&amp; " / " &amp; TEXT(HLG_06[[#This Row],[Rit]],"000")</f>
        <v>N/A / 000</v>
      </c>
      <c r="J24" s="34"/>
      <c r="K24" s="38"/>
      <c r="L24" s="35"/>
      <c r="M24" s="85"/>
      <c r="N24" s="85"/>
      <c r="O24" s="85"/>
      <c r="P24" s="85"/>
      <c r="Q24" s="85"/>
      <c r="R24" s="85"/>
      <c r="S24" s="100"/>
      <c r="T24" s="100"/>
      <c r="U24" s="85"/>
      <c r="V24" s="85"/>
      <c r="W24" s="85"/>
      <c r="X24" s="85"/>
      <c r="AP24" t="str">
        <v/>
      </c>
    </row>
    <row r="25" spans="4:42" ht="15.75" x14ac:dyDescent="0.25">
      <c r="D25" s="3">
        <v>1</v>
      </c>
      <c r="F25" s="16" t="str" cm="1">
        <f t="array" ref="F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" s="31" cm="1">
        <f t="array" ref="G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" s="33" t="str">
        <f>_xlfn.IFNA(IF(MOD(HLG_06[[#This Row],[Rit]],
    _xlfn.XLOOKUP($G$2,Int_Sample[Ore],Int_Sample[Inc])) = 0, "YES", "NO"),"")</f>
        <v/>
      </c>
      <c r="I25" s="32" t="str">
        <f>TEXT(HLG_06[[#This Row],[Batch]],"000")&amp; " / " &amp; TEXT(HLG_06[[#This Row],[Rit]],"000")</f>
        <v>N/A / 000</v>
      </c>
      <c r="J25" s="34"/>
      <c r="K25" s="38"/>
      <c r="L25" s="35"/>
      <c r="M25" s="85"/>
      <c r="N25" s="85"/>
      <c r="O25" s="85"/>
      <c r="P25" s="85"/>
      <c r="Q25" s="85"/>
      <c r="R25" s="85"/>
      <c r="S25" s="100"/>
      <c r="T25" s="100"/>
      <c r="U25" s="85"/>
      <c r="V25" s="85"/>
      <c r="W25" s="85"/>
      <c r="X25" s="85"/>
      <c r="AP25" t="str">
        <v/>
      </c>
    </row>
    <row r="26" spans="4:42" ht="15.75" x14ac:dyDescent="0.25">
      <c r="D26" s="3">
        <v>1</v>
      </c>
      <c r="F26" s="16" t="str" cm="1">
        <f t="array" ref="F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" s="31" cm="1">
        <f t="array" ref="G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" s="33" t="str">
        <f>_xlfn.IFNA(IF(MOD(HLG_06[[#This Row],[Rit]],
    _xlfn.XLOOKUP($G$2,Int_Sample[Ore],Int_Sample[Inc])) = 0, "YES", "NO"),"")</f>
        <v/>
      </c>
      <c r="I26" s="32" t="str">
        <f>TEXT(HLG_06[[#This Row],[Batch]],"000")&amp; " / " &amp; TEXT(HLG_06[[#This Row],[Rit]],"000")</f>
        <v>N/A / 000</v>
      </c>
      <c r="J26" s="34"/>
      <c r="K26" s="38"/>
      <c r="L26" s="35"/>
      <c r="M26" s="85"/>
      <c r="N26" s="85"/>
      <c r="O26" s="85"/>
      <c r="P26" s="85"/>
      <c r="Q26" s="85"/>
      <c r="R26" s="85"/>
      <c r="S26" s="100"/>
      <c r="T26" s="100"/>
      <c r="U26" s="85"/>
      <c r="V26" s="85"/>
      <c r="W26" s="85"/>
      <c r="X26" s="85"/>
      <c r="AP26" t="str">
        <v/>
      </c>
    </row>
    <row r="27" spans="4:42" ht="15.75" x14ac:dyDescent="0.25">
      <c r="D27" s="3">
        <v>1</v>
      </c>
      <c r="F27" s="16" t="str" cm="1">
        <f t="array" ref="F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" s="31" cm="1">
        <f t="array" ref="G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" s="33" t="str">
        <f>_xlfn.IFNA(IF(MOD(HLG_06[[#This Row],[Rit]],
    _xlfn.XLOOKUP($G$2,Int_Sample[Ore],Int_Sample[Inc])) = 0, "YES", "NO"),"")</f>
        <v/>
      </c>
      <c r="I27" s="32" t="str">
        <f>TEXT(HLG_06[[#This Row],[Batch]],"000")&amp; " / " &amp; TEXT(HLG_06[[#This Row],[Rit]],"000")</f>
        <v>N/A / 000</v>
      </c>
      <c r="J27" s="34"/>
      <c r="K27" s="38"/>
      <c r="L27" s="35"/>
      <c r="M27" s="85"/>
      <c r="N27" s="85"/>
      <c r="O27" s="85"/>
      <c r="P27" s="85"/>
      <c r="Q27" s="85"/>
      <c r="R27" s="85"/>
      <c r="S27" s="100"/>
      <c r="T27" s="100"/>
      <c r="U27" s="85"/>
      <c r="V27" s="85"/>
      <c r="W27" s="85"/>
      <c r="X27" s="85"/>
      <c r="AP27" t="str">
        <v/>
      </c>
    </row>
    <row r="28" spans="4:42" ht="15.75" x14ac:dyDescent="0.25">
      <c r="D28" s="3">
        <v>1</v>
      </c>
      <c r="F28" s="16" t="str" cm="1">
        <f t="array" ref="F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" s="31" cm="1">
        <f t="array" ref="G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" s="33" t="str">
        <f>_xlfn.IFNA(IF(MOD(HLG_06[[#This Row],[Rit]],
    _xlfn.XLOOKUP($G$2,Int_Sample[Ore],Int_Sample[Inc])) = 0, "YES", "NO"),"")</f>
        <v/>
      </c>
      <c r="I28" s="32" t="str">
        <f>TEXT(HLG_06[[#This Row],[Batch]],"000")&amp; " / " &amp; TEXT(HLG_06[[#This Row],[Rit]],"000")</f>
        <v>N/A / 000</v>
      </c>
      <c r="J28" s="34"/>
      <c r="K28" s="38"/>
      <c r="L28" s="35"/>
      <c r="M28" s="85"/>
      <c r="N28" s="85"/>
      <c r="O28" s="85"/>
      <c r="P28" s="85"/>
      <c r="Q28" s="85"/>
      <c r="R28" s="85"/>
      <c r="S28" s="100"/>
      <c r="T28" s="100"/>
      <c r="U28" s="85"/>
      <c r="V28" s="85"/>
      <c r="W28" s="85"/>
      <c r="X28" s="85"/>
      <c r="AP28" t="str">
        <v/>
      </c>
    </row>
    <row r="29" spans="4:42" ht="15.75" x14ac:dyDescent="0.25">
      <c r="D29" s="3">
        <v>1</v>
      </c>
      <c r="F29" s="16" t="str" cm="1">
        <f t="array" ref="F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" s="31" cm="1">
        <f t="array" ref="G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" s="33" t="str">
        <f>_xlfn.IFNA(IF(MOD(HLG_06[[#This Row],[Rit]],
    _xlfn.XLOOKUP($G$2,Int_Sample[Ore],Int_Sample[Inc])) = 0, "YES", "NO"),"")</f>
        <v/>
      </c>
      <c r="I29" s="32" t="str">
        <f>TEXT(HLG_06[[#This Row],[Batch]],"000")&amp; " / " &amp; TEXT(HLG_06[[#This Row],[Rit]],"000")</f>
        <v>N/A / 000</v>
      </c>
      <c r="J29" s="34"/>
      <c r="K29" s="38"/>
      <c r="L29" s="35"/>
      <c r="M29" s="85"/>
      <c r="N29" s="85"/>
      <c r="O29" s="85"/>
      <c r="P29" s="85"/>
      <c r="Q29" s="85"/>
      <c r="R29" s="85"/>
      <c r="S29" s="100"/>
      <c r="T29" s="100"/>
      <c r="U29" s="85"/>
      <c r="V29" s="85"/>
      <c r="W29" s="85"/>
      <c r="X29" s="85"/>
      <c r="AP29" t="str">
        <v/>
      </c>
    </row>
    <row r="30" spans="4:42" ht="15.75" x14ac:dyDescent="0.25">
      <c r="D30" s="3">
        <v>1</v>
      </c>
      <c r="F30" s="16" t="str" cm="1">
        <f t="array" ref="F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" s="31" cm="1">
        <f t="array" ref="G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" s="33" t="str">
        <f>_xlfn.IFNA(IF(MOD(HLG_06[[#This Row],[Rit]],
    _xlfn.XLOOKUP($G$2,Int_Sample[Ore],Int_Sample[Inc])) = 0, "YES", "NO"),"")</f>
        <v/>
      </c>
      <c r="I30" s="32" t="str">
        <f>TEXT(HLG_06[[#This Row],[Batch]],"000")&amp; " / " &amp; TEXT(HLG_06[[#This Row],[Rit]],"000")</f>
        <v>N/A / 000</v>
      </c>
      <c r="J30" s="34"/>
      <c r="K30" s="38"/>
      <c r="L30" s="35"/>
      <c r="M30" s="85"/>
      <c r="N30" s="85"/>
      <c r="O30" s="85"/>
      <c r="P30" s="85"/>
      <c r="Q30" s="85"/>
      <c r="R30" s="85"/>
      <c r="S30" s="100"/>
      <c r="T30" s="100"/>
      <c r="U30" s="85"/>
      <c r="V30" s="85"/>
      <c r="W30" s="85"/>
      <c r="X30" s="85"/>
      <c r="AP30" t="str">
        <v/>
      </c>
    </row>
    <row r="31" spans="4:42" ht="15.75" x14ac:dyDescent="0.25">
      <c r="D31" s="3">
        <v>1</v>
      </c>
      <c r="F31" s="16" t="str" cm="1">
        <f t="array" ref="F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" s="31" cm="1">
        <f t="array" ref="G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" s="33" t="str">
        <f>_xlfn.IFNA(IF(MOD(HLG_06[[#This Row],[Rit]],
    _xlfn.XLOOKUP($G$2,Int_Sample[Ore],Int_Sample[Inc])) = 0, "YES", "NO"),"")</f>
        <v/>
      </c>
      <c r="I31" s="32" t="str">
        <f>TEXT(HLG_06[[#This Row],[Batch]],"000")&amp; " / " &amp; TEXT(HLG_06[[#This Row],[Rit]],"000")</f>
        <v>N/A / 000</v>
      </c>
      <c r="J31" s="34"/>
      <c r="K31" s="38"/>
      <c r="L31" s="35"/>
      <c r="M31" s="85"/>
      <c r="N31" s="85"/>
      <c r="O31" s="85"/>
      <c r="P31" s="85"/>
      <c r="Q31" s="85"/>
      <c r="R31" s="85"/>
      <c r="S31" s="100"/>
      <c r="T31" s="100"/>
      <c r="U31" s="85"/>
      <c r="V31" s="85"/>
      <c r="W31" s="85"/>
      <c r="X31" s="85"/>
      <c r="AP31" t="str">
        <v/>
      </c>
    </row>
    <row r="32" spans="4:42" ht="15.75" x14ac:dyDescent="0.25">
      <c r="D32" s="3">
        <v>1</v>
      </c>
      <c r="F32" s="16" t="str" cm="1">
        <f t="array" ref="F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" s="31" cm="1">
        <f t="array" ref="G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" s="33" t="str">
        <f>_xlfn.IFNA(IF(MOD(HLG_06[[#This Row],[Rit]],
    _xlfn.XLOOKUP($G$2,Int_Sample[Ore],Int_Sample[Inc])) = 0, "YES", "NO"),"")</f>
        <v/>
      </c>
      <c r="I32" s="32" t="str">
        <f>TEXT(HLG_06[[#This Row],[Batch]],"000")&amp; " / " &amp; TEXT(HLG_06[[#This Row],[Rit]],"000")</f>
        <v>N/A / 000</v>
      </c>
      <c r="J32" s="34"/>
      <c r="K32" s="38"/>
      <c r="L32" s="35"/>
      <c r="M32" s="85"/>
      <c r="N32" s="85"/>
      <c r="O32" s="85"/>
      <c r="P32" s="85"/>
      <c r="Q32" s="85"/>
      <c r="R32" s="85"/>
      <c r="S32" s="100"/>
      <c r="T32" s="100"/>
      <c r="U32" s="85"/>
      <c r="V32" s="85"/>
      <c r="W32" s="85"/>
      <c r="X32" s="85"/>
      <c r="AP32" t="str">
        <v/>
      </c>
    </row>
    <row r="33" spans="4:42" ht="15.75" x14ac:dyDescent="0.25">
      <c r="D33" s="3">
        <v>1</v>
      </c>
      <c r="F33" s="16" t="str" cm="1">
        <f t="array" ref="F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" s="31" cm="1">
        <f t="array" ref="G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" s="33" t="str">
        <f>_xlfn.IFNA(IF(MOD(HLG_06[[#This Row],[Rit]],
    _xlfn.XLOOKUP($G$2,Int_Sample[Ore],Int_Sample[Inc])) = 0, "YES", "NO"),"")</f>
        <v/>
      </c>
      <c r="I33" s="32" t="str">
        <f>TEXT(HLG_06[[#This Row],[Batch]],"000")&amp; " / " &amp; TEXT(HLG_06[[#This Row],[Rit]],"000")</f>
        <v>N/A / 000</v>
      </c>
      <c r="J33" s="34"/>
      <c r="K33" s="38"/>
      <c r="L33" s="35"/>
      <c r="M33" s="85"/>
      <c r="N33" s="85"/>
      <c r="O33" s="85"/>
      <c r="P33" s="85"/>
      <c r="Q33" s="85"/>
      <c r="R33" s="85"/>
      <c r="S33" s="100"/>
      <c r="T33" s="100"/>
      <c r="U33" s="85"/>
      <c r="V33" s="85"/>
      <c r="W33" s="85"/>
      <c r="X33" s="85"/>
      <c r="AP33" t="str">
        <v/>
      </c>
    </row>
    <row r="34" spans="4:42" ht="15.75" x14ac:dyDescent="0.25">
      <c r="D34" s="3">
        <v>1</v>
      </c>
      <c r="F34" s="16" t="str" cm="1">
        <f t="array" ref="F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" s="31" cm="1">
        <f t="array" ref="G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" s="33" t="str">
        <f>_xlfn.IFNA(IF(MOD(HLG_06[[#This Row],[Rit]],
    _xlfn.XLOOKUP($G$2,Int_Sample[Ore],Int_Sample[Inc])) = 0, "YES", "NO"),"")</f>
        <v/>
      </c>
      <c r="I34" s="32" t="str">
        <f>TEXT(HLG_06[[#This Row],[Batch]],"000")&amp; " / " &amp; TEXT(HLG_06[[#This Row],[Rit]],"000")</f>
        <v>N/A / 000</v>
      </c>
      <c r="J34" s="34"/>
      <c r="K34" s="38"/>
      <c r="L34" s="35"/>
      <c r="M34" s="85"/>
      <c r="N34" s="85"/>
      <c r="O34" s="85"/>
      <c r="P34" s="85"/>
      <c r="Q34" s="85"/>
      <c r="R34" s="85"/>
      <c r="S34" s="100"/>
      <c r="T34" s="100"/>
      <c r="U34" s="85"/>
      <c r="V34" s="85"/>
      <c r="W34" s="85"/>
      <c r="X34" s="85"/>
      <c r="AP34" t="str">
        <v/>
      </c>
    </row>
    <row r="35" spans="4:42" ht="15.75" x14ac:dyDescent="0.25">
      <c r="D35" s="3">
        <v>1</v>
      </c>
      <c r="F35" s="16" t="str" cm="1">
        <f t="array" ref="F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" s="31" cm="1">
        <f t="array" ref="G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" s="33" t="str">
        <f>_xlfn.IFNA(IF(MOD(HLG_06[[#This Row],[Rit]],
    _xlfn.XLOOKUP($G$2,Int_Sample[Ore],Int_Sample[Inc])) = 0, "YES", "NO"),"")</f>
        <v/>
      </c>
      <c r="I35" s="32" t="str">
        <f>TEXT(HLG_06[[#This Row],[Batch]],"000")&amp; " / " &amp; TEXT(HLG_06[[#This Row],[Rit]],"000")</f>
        <v>N/A / 000</v>
      </c>
      <c r="J35" s="34"/>
      <c r="K35" s="38"/>
      <c r="L35" s="35"/>
      <c r="M35" s="85"/>
      <c r="N35" s="85"/>
      <c r="O35" s="85"/>
      <c r="P35" s="85"/>
      <c r="Q35" s="85"/>
      <c r="R35" s="85"/>
      <c r="S35" s="100"/>
      <c r="T35" s="100"/>
      <c r="U35" s="85"/>
      <c r="V35" s="85"/>
      <c r="W35" s="85"/>
      <c r="X35" s="85"/>
      <c r="AP35" t="str">
        <v/>
      </c>
    </row>
    <row r="36" spans="4:42" ht="15.75" x14ac:dyDescent="0.25">
      <c r="D36" s="3">
        <v>1</v>
      </c>
      <c r="F36" s="16" t="str" cm="1">
        <f t="array" ref="F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" s="31" cm="1">
        <f t="array" ref="G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" s="33" t="str">
        <f>_xlfn.IFNA(IF(MOD(HLG_06[[#This Row],[Rit]],
    _xlfn.XLOOKUP($G$2,Int_Sample[Ore],Int_Sample[Inc])) = 0, "YES", "NO"),"")</f>
        <v/>
      </c>
      <c r="I36" s="32" t="str">
        <f>TEXT(HLG_06[[#This Row],[Batch]],"000")&amp; " / " &amp; TEXT(HLG_06[[#This Row],[Rit]],"000")</f>
        <v>N/A / 000</v>
      </c>
      <c r="J36" s="34"/>
      <c r="K36" s="38"/>
      <c r="L36" s="35"/>
      <c r="M36" s="85"/>
      <c r="N36" s="85"/>
      <c r="O36" s="85"/>
      <c r="P36" s="85"/>
      <c r="Q36" s="85"/>
      <c r="R36" s="85"/>
      <c r="S36" s="100"/>
      <c r="T36" s="100"/>
      <c r="U36" s="85"/>
      <c r="V36" s="85"/>
      <c r="W36" s="85"/>
      <c r="X36" s="85"/>
      <c r="AP36" t="str">
        <v/>
      </c>
    </row>
    <row r="37" spans="4:42" ht="15.75" x14ac:dyDescent="0.25">
      <c r="D37" s="3">
        <v>1</v>
      </c>
      <c r="F37" s="16" t="str" cm="1">
        <f t="array" ref="F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" s="31" cm="1">
        <f t="array" ref="G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" s="33" t="str">
        <f>_xlfn.IFNA(IF(MOD(HLG_06[[#This Row],[Rit]],
    _xlfn.XLOOKUP($G$2,Int_Sample[Ore],Int_Sample[Inc])) = 0, "YES", "NO"),"")</f>
        <v/>
      </c>
      <c r="I37" s="32" t="str">
        <f>TEXT(HLG_06[[#This Row],[Batch]],"000")&amp; " / " &amp; TEXT(HLG_06[[#This Row],[Rit]],"000")</f>
        <v>N/A / 000</v>
      </c>
      <c r="J37" s="34"/>
      <c r="K37" s="38"/>
      <c r="L37" s="35"/>
      <c r="M37" s="85"/>
      <c r="N37" s="85"/>
      <c r="O37" s="85"/>
      <c r="P37" s="85"/>
      <c r="Q37" s="85"/>
      <c r="R37" s="85"/>
      <c r="S37" s="100"/>
      <c r="T37" s="100"/>
      <c r="U37" s="85"/>
      <c r="V37" s="85"/>
      <c r="W37" s="85"/>
      <c r="X37" s="85"/>
      <c r="AP37" t="str">
        <v/>
      </c>
    </row>
    <row r="38" spans="4:42" ht="15.75" x14ac:dyDescent="0.25">
      <c r="D38" s="3">
        <v>1</v>
      </c>
      <c r="F38" s="16" t="str" cm="1">
        <f t="array" ref="F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" s="31" cm="1">
        <f t="array" ref="G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" s="33" t="str">
        <f>_xlfn.IFNA(IF(MOD(HLG_06[[#This Row],[Rit]],
    _xlfn.XLOOKUP($G$2,Int_Sample[Ore],Int_Sample[Inc])) = 0, "YES", "NO"),"")</f>
        <v/>
      </c>
      <c r="I38" s="32" t="str">
        <f>TEXT(HLG_06[[#This Row],[Batch]],"000")&amp; " / " &amp; TEXT(HLG_06[[#This Row],[Rit]],"000")</f>
        <v>N/A / 000</v>
      </c>
      <c r="J38" s="34"/>
      <c r="K38" s="38"/>
      <c r="L38" s="35"/>
      <c r="M38" s="85"/>
      <c r="N38" s="85"/>
      <c r="O38" s="85"/>
      <c r="P38" s="85"/>
      <c r="Q38" s="85"/>
      <c r="R38" s="85"/>
      <c r="S38" s="100"/>
      <c r="T38" s="100"/>
      <c r="U38" s="85"/>
      <c r="V38" s="85"/>
      <c r="W38" s="85"/>
      <c r="X38" s="85"/>
      <c r="AP38" t="str">
        <v/>
      </c>
    </row>
    <row r="39" spans="4:42" ht="15.75" x14ac:dyDescent="0.25">
      <c r="D39" s="3">
        <v>1</v>
      </c>
      <c r="F39" s="16" t="str" cm="1">
        <f t="array" ref="F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" s="31" cm="1">
        <f t="array" ref="G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" s="33" t="str">
        <f>_xlfn.IFNA(IF(MOD(HLG_06[[#This Row],[Rit]],
    _xlfn.XLOOKUP($G$2,Int_Sample[Ore],Int_Sample[Inc])) = 0, "YES", "NO"),"")</f>
        <v/>
      </c>
      <c r="I39" s="32" t="str">
        <f>TEXT(HLG_06[[#This Row],[Batch]],"000")&amp; " / " &amp; TEXT(HLG_06[[#This Row],[Rit]],"000")</f>
        <v>N/A / 000</v>
      </c>
      <c r="J39" s="34"/>
      <c r="K39" s="38"/>
      <c r="L39" s="35"/>
      <c r="M39" s="85"/>
      <c r="N39" s="85"/>
      <c r="O39" s="85"/>
      <c r="P39" s="85"/>
      <c r="Q39" s="85"/>
      <c r="R39" s="85"/>
      <c r="S39" s="100"/>
      <c r="T39" s="100"/>
      <c r="U39" s="85"/>
      <c r="V39" s="85"/>
      <c r="W39" s="85"/>
      <c r="X39" s="85"/>
      <c r="AP39" t="str">
        <v/>
      </c>
    </row>
    <row r="40" spans="4:42" ht="15.75" x14ac:dyDescent="0.25">
      <c r="D40" s="3">
        <v>1</v>
      </c>
      <c r="F40" s="16" t="str" cm="1">
        <f t="array" ref="F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" s="31" cm="1">
        <f t="array" ref="G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" s="33" t="str">
        <f>_xlfn.IFNA(IF(MOD(HLG_06[[#This Row],[Rit]],
    _xlfn.XLOOKUP($G$2,Int_Sample[Ore],Int_Sample[Inc])) = 0, "YES", "NO"),"")</f>
        <v/>
      </c>
      <c r="I40" s="32" t="str">
        <f>TEXT(HLG_06[[#This Row],[Batch]],"000")&amp; " / " &amp; TEXT(HLG_06[[#This Row],[Rit]],"000")</f>
        <v>N/A / 000</v>
      </c>
      <c r="J40" s="34"/>
      <c r="K40" s="38"/>
      <c r="L40" s="35"/>
      <c r="M40" s="85"/>
      <c r="N40" s="85"/>
      <c r="O40" s="85"/>
      <c r="P40" s="85"/>
      <c r="Q40" s="85"/>
      <c r="R40" s="85"/>
      <c r="S40" s="100"/>
      <c r="T40" s="100"/>
      <c r="U40" s="85"/>
      <c r="V40" s="85"/>
      <c r="W40" s="85"/>
      <c r="X40" s="85"/>
      <c r="AP40" t="str">
        <v/>
      </c>
    </row>
    <row r="41" spans="4:42" ht="15.75" x14ac:dyDescent="0.25">
      <c r="D41" s="3">
        <v>1</v>
      </c>
      <c r="F41" s="16" t="str" cm="1">
        <f t="array" ref="F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" s="31" cm="1">
        <f t="array" ref="G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" s="33" t="str">
        <f>_xlfn.IFNA(IF(MOD(HLG_06[[#This Row],[Rit]],
    _xlfn.XLOOKUP($G$2,Int_Sample[Ore],Int_Sample[Inc])) = 0, "YES", "NO"),"")</f>
        <v/>
      </c>
      <c r="I41" s="32" t="str">
        <f>TEXT(HLG_06[[#This Row],[Batch]],"000")&amp; " / " &amp; TEXT(HLG_06[[#This Row],[Rit]],"000")</f>
        <v>N/A / 000</v>
      </c>
      <c r="J41" s="34"/>
      <c r="K41" s="38"/>
      <c r="L41" s="35"/>
      <c r="M41" s="85"/>
      <c r="N41" s="85"/>
      <c r="O41" s="85"/>
      <c r="P41" s="85"/>
      <c r="Q41" s="85"/>
      <c r="R41" s="85"/>
      <c r="S41" s="100"/>
      <c r="T41" s="100"/>
      <c r="U41" s="85"/>
      <c r="V41" s="85"/>
      <c r="W41" s="85"/>
      <c r="X41" s="85"/>
      <c r="AP41" t="str">
        <v/>
      </c>
    </row>
    <row r="42" spans="4:42" ht="15.75" x14ac:dyDescent="0.25">
      <c r="D42" s="3">
        <v>1</v>
      </c>
      <c r="F42" s="16" t="str" cm="1">
        <f t="array" ref="F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" s="31" cm="1">
        <f t="array" ref="G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" s="33" t="str">
        <f>_xlfn.IFNA(IF(MOD(HLG_06[[#This Row],[Rit]],
    _xlfn.XLOOKUP($G$2,Int_Sample[Ore],Int_Sample[Inc])) = 0, "YES", "NO"),"")</f>
        <v/>
      </c>
      <c r="I42" s="32" t="str">
        <f>TEXT(HLG_06[[#This Row],[Batch]],"000")&amp; " / " &amp; TEXT(HLG_06[[#This Row],[Rit]],"000")</f>
        <v>N/A / 000</v>
      </c>
      <c r="J42" s="34"/>
      <c r="K42" s="38"/>
      <c r="L42" s="35"/>
      <c r="M42" s="85"/>
      <c r="N42" s="85"/>
      <c r="O42" s="85"/>
      <c r="P42" s="85"/>
      <c r="Q42" s="85"/>
      <c r="R42" s="85"/>
      <c r="S42" s="100"/>
      <c r="T42" s="100"/>
      <c r="U42" s="85"/>
      <c r="V42" s="85"/>
      <c r="W42" s="85"/>
      <c r="X42" s="85"/>
      <c r="AP42" t="str">
        <v/>
      </c>
    </row>
    <row r="43" spans="4:42" ht="15.75" x14ac:dyDescent="0.25">
      <c r="D43" s="3">
        <v>1</v>
      </c>
      <c r="F43" s="16" t="str" cm="1">
        <f t="array" ref="F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" s="31" cm="1">
        <f t="array" ref="G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" s="33" t="str">
        <f>_xlfn.IFNA(IF(MOD(HLG_06[[#This Row],[Rit]],
    _xlfn.XLOOKUP($G$2,Int_Sample[Ore],Int_Sample[Inc])) = 0, "YES", "NO"),"")</f>
        <v/>
      </c>
      <c r="I43" s="32" t="str">
        <f>TEXT(HLG_06[[#This Row],[Batch]],"000")&amp; " / " &amp; TEXT(HLG_06[[#This Row],[Rit]],"000")</f>
        <v>N/A / 000</v>
      </c>
      <c r="J43" s="34"/>
      <c r="K43" s="38"/>
      <c r="L43" s="35"/>
      <c r="M43" s="85"/>
      <c r="N43" s="85"/>
      <c r="O43" s="85"/>
      <c r="P43" s="85"/>
      <c r="Q43" s="85"/>
      <c r="R43" s="85"/>
      <c r="S43" s="100"/>
      <c r="T43" s="100"/>
      <c r="U43" s="85"/>
      <c r="V43" s="85"/>
      <c r="W43" s="85"/>
      <c r="X43" s="85"/>
      <c r="AP43" t="str">
        <v/>
      </c>
    </row>
    <row r="44" spans="4:42" ht="15.75" x14ac:dyDescent="0.25">
      <c r="D44" s="3">
        <v>1</v>
      </c>
      <c r="F44" s="16" t="str" cm="1">
        <f t="array" ref="F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" s="31" cm="1">
        <f t="array" ref="G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" s="33" t="str">
        <f>_xlfn.IFNA(IF(MOD(HLG_06[[#This Row],[Rit]],
    _xlfn.XLOOKUP($G$2,Int_Sample[Ore],Int_Sample[Inc])) = 0, "YES", "NO"),"")</f>
        <v/>
      </c>
      <c r="I44" s="32" t="str">
        <f>TEXT(HLG_06[[#This Row],[Batch]],"000")&amp; " / " &amp; TEXT(HLG_06[[#This Row],[Rit]],"000")</f>
        <v>N/A / 000</v>
      </c>
      <c r="J44" s="34"/>
      <c r="K44" s="38"/>
      <c r="L44" s="35"/>
      <c r="M44" s="85"/>
      <c r="N44" s="85"/>
      <c r="O44" s="85"/>
      <c r="P44" s="85"/>
      <c r="Q44" s="85"/>
      <c r="R44" s="85"/>
      <c r="S44" s="100"/>
      <c r="T44" s="100"/>
      <c r="U44" s="85"/>
      <c r="V44" s="85"/>
      <c r="W44" s="85"/>
      <c r="X44" s="85"/>
      <c r="AP44" t="str">
        <v/>
      </c>
    </row>
    <row r="45" spans="4:42" ht="15.75" x14ac:dyDescent="0.25">
      <c r="D45" s="3">
        <v>1</v>
      </c>
      <c r="F45" s="16" t="str" cm="1">
        <f t="array" ref="F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" s="31" cm="1">
        <f t="array" ref="G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" s="33" t="str">
        <f>_xlfn.IFNA(IF(MOD(HLG_06[[#This Row],[Rit]],
    _xlfn.XLOOKUP($G$2,Int_Sample[Ore],Int_Sample[Inc])) = 0, "YES", "NO"),"")</f>
        <v/>
      </c>
      <c r="I45" s="32" t="str">
        <f>TEXT(HLG_06[[#This Row],[Batch]],"000")&amp; " / " &amp; TEXT(HLG_06[[#This Row],[Rit]],"000")</f>
        <v>N/A / 000</v>
      </c>
      <c r="J45" s="34"/>
      <c r="K45" s="38"/>
      <c r="L45" s="35"/>
      <c r="M45" s="85"/>
      <c r="N45" s="85"/>
      <c r="O45" s="85"/>
      <c r="P45" s="85"/>
      <c r="Q45" s="85"/>
      <c r="R45" s="85"/>
      <c r="S45" s="100"/>
      <c r="T45" s="100"/>
      <c r="U45" s="85"/>
      <c r="V45" s="85"/>
      <c r="W45" s="85"/>
      <c r="X45" s="85"/>
      <c r="AP45" t="str">
        <v/>
      </c>
    </row>
    <row r="46" spans="4:42" ht="15.75" x14ac:dyDescent="0.25">
      <c r="D46" s="3">
        <v>1</v>
      </c>
      <c r="F46" s="16" t="str" cm="1">
        <f t="array" ref="F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" s="31" cm="1">
        <f t="array" ref="G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" s="33" t="str">
        <f>_xlfn.IFNA(IF(MOD(HLG_06[[#This Row],[Rit]],
    _xlfn.XLOOKUP($G$2,Int_Sample[Ore],Int_Sample[Inc])) = 0, "YES", "NO"),"")</f>
        <v/>
      </c>
      <c r="I46" s="32" t="str">
        <f>TEXT(HLG_06[[#This Row],[Batch]],"000")&amp; " / " &amp; TEXT(HLG_06[[#This Row],[Rit]],"000")</f>
        <v>N/A / 000</v>
      </c>
      <c r="J46" s="34"/>
      <c r="K46" s="38"/>
      <c r="L46" s="35"/>
      <c r="M46" s="85"/>
      <c r="N46" s="85"/>
      <c r="O46" s="85"/>
      <c r="P46" s="85"/>
      <c r="Q46" s="85"/>
      <c r="R46" s="85"/>
      <c r="S46" s="100"/>
      <c r="T46" s="100"/>
      <c r="U46" s="85"/>
      <c r="V46" s="85"/>
      <c r="W46" s="85"/>
      <c r="X46" s="85"/>
      <c r="AP46" t="str">
        <v/>
      </c>
    </row>
    <row r="47" spans="4:42" ht="15.75" x14ac:dyDescent="0.25">
      <c r="D47" s="3">
        <v>1</v>
      </c>
      <c r="F47" s="16" t="str" cm="1">
        <f t="array" ref="F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" s="31" cm="1">
        <f t="array" ref="G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" s="33" t="str">
        <f>_xlfn.IFNA(IF(MOD(HLG_06[[#This Row],[Rit]],
    _xlfn.XLOOKUP($G$2,Int_Sample[Ore],Int_Sample[Inc])) = 0, "YES", "NO"),"")</f>
        <v/>
      </c>
      <c r="I47" s="32" t="str">
        <f>TEXT(HLG_06[[#This Row],[Batch]],"000")&amp; " / " &amp; TEXT(HLG_06[[#This Row],[Rit]],"000")</f>
        <v>N/A / 000</v>
      </c>
      <c r="J47" s="34"/>
      <c r="K47" s="38"/>
      <c r="L47" s="35"/>
      <c r="M47" s="85"/>
      <c r="N47" s="85"/>
      <c r="O47" s="85"/>
      <c r="P47" s="85"/>
      <c r="Q47" s="85"/>
      <c r="R47" s="85"/>
      <c r="S47" s="100"/>
      <c r="T47" s="100"/>
      <c r="U47" s="85"/>
      <c r="V47" s="85"/>
      <c r="W47" s="85"/>
      <c r="X47" s="85"/>
      <c r="AP47" t="str">
        <v/>
      </c>
    </row>
    <row r="48" spans="4:42" ht="15.75" x14ac:dyDescent="0.25">
      <c r="D48" s="3">
        <v>1</v>
      </c>
      <c r="F48" s="16" t="str" cm="1">
        <f t="array" ref="F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" s="31" cm="1">
        <f t="array" ref="G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" s="33" t="str">
        <f>_xlfn.IFNA(IF(MOD(HLG_06[[#This Row],[Rit]],
    _xlfn.XLOOKUP($G$2,Int_Sample[Ore],Int_Sample[Inc])) = 0, "YES", "NO"),"")</f>
        <v/>
      </c>
      <c r="I48" s="32" t="str">
        <f>TEXT(HLG_06[[#This Row],[Batch]],"000")&amp; " / " &amp; TEXT(HLG_06[[#This Row],[Rit]],"000")</f>
        <v>N/A / 000</v>
      </c>
      <c r="J48" s="34"/>
      <c r="K48" s="38"/>
      <c r="L48" s="35"/>
      <c r="M48" s="85"/>
      <c r="N48" s="85"/>
      <c r="O48" s="85"/>
      <c r="P48" s="85"/>
      <c r="Q48" s="85"/>
      <c r="R48" s="85"/>
      <c r="S48" s="100"/>
      <c r="T48" s="100"/>
      <c r="U48" s="85"/>
      <c r="V48" s="85"/>
      <c r="W48" s="85"/>
      <c r="X48" s="85"/>
      <c r="AP48" t="str">
        <v/>
      </c>
    </row>
    <row r="49" spans="4:42" ht="15.75" x14ac:dyDescent="0.25">
      <c r="D49" s="3">
        <v>1</v>
      </c>
      <c r="F49" s="16" t="str" cm="1">
        <f t="array" ref="F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" s="31" cm="1">
        <f t="array" ref="G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" s="33" t="str">
        <f>_xlfn.IFNA(IF(MOD(HLG_06[[#This Row],[Rit]],
    _xlfn.XLOOKUP($G$2,Int_Sample[Ore],Int_Sample[Inc])) = 0, "YES", "NO"),"")</f>
        <v/>
      </c>
      <c r="I49" s="32" t="str">
        <f>TEXT(HLG_06[[#This Row],[Batch]],"000")&amp; " / " &amp; TEXT(HLG_06[[#This Row],[Rit]],"000")</f>
        <v>N/A / 000</v>
      </c>
      <c r="J49" s="34"/>
      <c r="K49" s="38"/>
      <c r="L49" s="35"/>
      <c r="M49" s="85"/>
      <c r="N49" s="85"/>
      <c r="O49" s="85"/>
      <c r="P49" s="85"/>
      <c r="Q49" s="85"/>
      <c r="R49" s="85"/>
      <c r="S49" s="100"/>
      <c r="T49" s="100"/>
      <c r="U49" s="85"/>
      <c r="V49" s="85"/>
      <c r="W49" s="85"/>
      <c r="X49" s="85"/>
      <c r="AP49" t="str">
        <v/>
      </c>
    </row>
    <row r="50" spans="4:42" ht="15.75" x14ac:dyDescent="0.25">
      <c r="D50" s="3">
        <v>1</v>
      </c>
      <c r="F50" s="16" t="str" cm="1">
        <f t="array" ref="F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" s="31" cm="1">
        <f t="array" ref="G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" s="33" t="str">
        <f>_xlfn.IFNA(IF(MOD(HLG_06[[#This Row],[Rit]],
    _xlfn.XLOOKUP($G$2,Int_Sample[Ore],Int_Sample[Inc])) = 0, "YES", "NO"),"")</f>
        <v/>
      </c>
      <c r="I50" s="32" t="str">
        <f>TEXT(HLG_06[[#This Row],[Batch]],"000")&amp; " / " &amp; TEXT(HLG_06[[#This Row],[Rit]],"000")</f>
        <v>N/A / 000</v>
      </c>
      <c r="J50" s="34"/>
      <c r="K50" s="38"/>
      <c r="L50" s="35"/>
      <c r="M50" s="85"/>
      <c r="N50" s="85"/>
      <c r="O50" s="85"/>
      <c r="P50" s="85"/>
      <c r="Q50" s="85"/>
      <c r="R50" s="85"/>
      <c r="S50" s="100"/>
      <c r="T50" s="100"/>
      <c r="U50" s="85"/>
      <c r="V50" s="85"/>
      <c r="W50" s="85"/>
      <c r="X50" s="85"/>
      <c r="AP50" t="str">
        <v/>
      </c>
    </row>
    <row r="51" spans="4:42" ht="15.75" x14ac:dyDescent="0.25">
      <c r="D51" s="3">
        <v>1</v>
      </c>
      <c r="F51" s="16" t="str" cm="1">
        <f t="array" ref="F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" s="31" cm="1">
        <f t="array" ref="G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" s="33" t="str">
        <f>_xlfn.IFNA(IF(MOD(HLG_06[[#This Row],[Rit]],
    _xlfn.XLOOKUP($G$2,Int_Sample[Ore],Int_Sample[Inc])) = 0, "YES", "NO"),"")</f>
        <v/>
      </c>
      <c r="I51" s="32" t="str">
        <f>TEXT(HLG_06[[#This Row],[Batch]],"000")&amp; " / " &amp; TEXT(HLG_06[[#This Row],[Rit]],"000")</f>
        <v>N/A / 000</v>
      </c>
      <c r="J51" s="34"/>
      <c r="K51" s="38"/>
      <c r="L51" s="35"/>
      <c r="M51" s="85"/>
      <c r="N51" s="85"/>
      <c r="O51" s="85"/>
      <c r="P51" s="85"/>
      <c r="Q51" s="85"/>
      <c r="R51" s="85"/>
      <c r="S51" s="100"/>
      <c r="T51" s="100"/>
      <c r="U51" s="85"/>
      <c r="V51" s="85"/>
      <c r="W51" s="85"/>
      <c r="X51" s="85"/>
      <c r="AP51" t="str">
        <v/>
      </c>
    </row>
    <row r="52" spans="4:42" ht="15.75" x14ac:dyDescent="0.25">
      <c r="D52" s="3">
        <v>1</v>
      </c>
      <c r="F52" s="16" t="str" cm="1">
        <f t="array" ref="F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" s="31" cm="1">
        <f t="array" ref="G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" s="33" t="str">
        <f>_xlfn.IFNA(IF(MOD(HLG_06[[#This Row],[Rit]],
    _xlfn.XLOOKUP($G$2,Int_Sample[Ore],Int_Sample[Inc])) = 0, "YES", "NO"),"")</f>
        <v/>
      </c>
      <c r="I52" s="32" t="str">
        <f>TEXT(HLG_06[[#This Row],[Batch]],"000")&amp; " / " &amp; TEXT(HLG_06[[#This Row],[Rit]],"000")</f>
        <v>N/A / 000</v>
      </c>
      <c r="J52" s="34"/>
      <c r="K52" s="38"/>
      <c r="L52" s="35"/>
      <c r="M52" s="85"/>
      <c r="N52" s="85"/>
      <c r="O52" s="85"/>
      <c r="P52" s="85"/>
      <c r="Q52" s="85"/>
      <c r="R52" s="85"/>
      <c r="S52" s="100"/>
      <c r="T52" s="100"/>
      <c r="U52" s="85"/>
      <c r="V52" s="85"/>
      <c r="W52" s="85"/>
      <c r="X52" s="85"/>
      <c r="AP52" t="str">
        <v/>
      </c>
    </row>
    <row r="53" spans="4:42" ht="15.75" x14ac:dyDescent="0.25">
      <c r="D53" s="3">
        <v>1</v>
      </c>
      <c r="F53" s="16" t="str" cm="1">
        <f t="array" ref="F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" s="31" cm="1">
        <f t="array" ref="G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" s="33" t="str">
        <f>_xlfn.IFNA(IF(MOD(HLG_06[[#This Row],[Rit]],
    _xlfn.XLOOKUP($G$2,Int_Sample[Ore],Int_Sample[Inc])) = 0, "YES", "NO"),"")</f>
        <v/>
      </c>
      <c r="I53" s="32" t="str">
        <f>TEXT(HLG_06[[#This Row],[Batch]],"000")&amp; " / " &amp; TEXT(HLG_06[[#This Row],[Rit]],"000")</f>
        <v>N/A / 000</v>
      </c>
      <c r="J53" s="34"/>
      <c r="K53" s="38"/>
      <c r="L53" s="35"/>
      <c r="M53" s="85"/>
      <c r="N53" s="85"/>
      <c r="O53" s="85"/>
      <c r="P53" s="85"/>
      <c r="Q53" s="85"/>
      <c r="R53" s="85"/>
      <c r="S53" s="100"/>
      <c r="T53" s="100"/>
      <c r="U53" s="85"/>
      <c r="V53" s="85"/>
      <c r="W53" s="85"/>
      <c r="X53" s="85"/>
      <c r="AP53" t="str">
        <v/>
      </c>
    </row>
    <row r="54" spans="4:42" ht="15.75" x14ac:dyDescent="0.25">
      <c r="D54" s="3">
        <v>1</v>
      </c>
      <c r="F54" s="16" t="str" cm="1">
        <f t="array" ref="F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" s="31" cm="1">
        <f t="array" ref="G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" s="33" t="str">
        <f>_xlfn.IFNA(IF(MOD(HLG_06[[#This Row],[Rit]],
    _xlfn.XLOOKUP($G$2,Int_Sample[Ore],Int_Sample[Inc])) = 0, "YES", "NO"),"")</f>
        <v/>
      </c>
      <c r="I54" s="32" t="str">
        <f>TEXT(HLG_06[[#This Row],[Batch]],"000")&amp; " / " &amp; TEXT(HLG_06[[#This Row],[Rit]],"000")</f>
        <v>N/A / 000</v>
      </c>
      <c r="J54" s="34"/>
      <c r="K54" s="38"/>
      <c r="L54" s="35"/>
      <c r="M54" s="85"/>
      <c r="N54" s="85"/>
      <c r="O54" s="85"/>
      <c r="P54" s="85"/>
      <c r="Q54" s="85"/>
      <c r="R54" s="85"/>
      <c r="S54" s="100"/>
      <c r="T54" s="100"/>
      <c r="U54" s="85"/>
      <c r="V54" s="85"/>
      <c r="W54" s="85"/>
      <c r="X54" s="85"/>
      <c r="AP54" t="str">
        <v/>
      </c>
    </row>
    <row r="55" spans="4:42" ht="15.75" x14ac:dyDescent="0.25">
      <c r="D55" s="3">
        <v>1</v>
      </c>
      <c r="F55" s="16" t="str" cm="1">
        <f t="array" ref="F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" s="31" cm="1">
        <f t="array" ref="G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" s="33" t="str">
        <f>_xlfn.IFNA(IF(MOD(HLG_06[[#This Row],[Rit]],
    _xlfn.XLOOKUP($G$2,Int_Sample[Ore],Int_Sample[Inc])) = 0, "YES", "NO"),"")</f>
        <v/>
      </c>
      <c r="I55" s="32" t="str">
        <f>TEXT(HLG_06[[#This Row],[Batch]],"000")&amp; " / " &amp; TEXT(HLG_06[[#This Row],[Rit]],"000")</f>
        <v>N/A / 000</v>
      </c>
      <c r="J55" s="34"/>
      <c r="K55" s="38"/>
      <c r="L55" s="35"/>
      <c r="M55" s="85"/>
      <c r="N55" s="85"/>
      <c r="O55" s="85"/>
      <c r="P55" s="85"/>
      <c r="Q55" s="85"/>
      <c r="R55" s="85"/>
      <c r="S55" s="100"/>
      <c r="T55" s="100"/>
      <c r="U55" s="85"/>
      <c r="V55" s="85"/>
      <c r="W55" s="85"/>
      <c r="X55" s="85"/>
      <c r="AP55" t="str">
        <v/>
      </c>
    </row>
    <row r="56" spans="4:42" ht="15.75" x14ac:dyDescent="0.25">
      <c r="D56" s="3">
        <v>1</v>
      </c>
      <c r="F56" s="16" t="str" cm="1">
        <f t="array" ref="F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" s="31" cm="1">
        <f t="array" ref="G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" s="33" t="str">
        <f>_xlfn.IFNA(IF(MOD(HLG_06[[#This Row],[Rit]],
    _xlfn.XLOOKUP($G$2,Int_Sample[Ore],Int_Sample[Inc])) = 0, "YES", "NO"),"")</f>
        <v/>
      </c>
      <c r="I56" s="32" t="str">
        <f>TEXT(HLG_06[[#This Row],[Batch]],"000")&amp; " / " &amp; TEXT(HLG_06[[#This Row],[Rit]],"000")</f>
        <v>N/A / 000</v>
      </c>
      <c r="J56" s="34"/>
      <c r="K56" s="38"/>
      <c r="L56" s="35"/>
      <c r="M56" s="85"/>
      <c r="N56" s="85"/>
      <c r="O56" s="85"/>
      <c r="P56" s="85"/>
      <c r="Q56" s="85"/>
      <c r="R56" s="85"/>
      <c r="S56" s="100"/>
      <c r="T56" s="100"/>
      <c r="U56" s="85"/>
      <c r="V56" s="85"/>
      <c r="W56" s="85"/>
      <c r="X56" s="85"/>
      <c r="AP56" t="str">
        <v/>
      </c>
    </row>
    <row r="57" spans="4:42" ht="15.75" x14ac:dyDescent="0.25">
      <c r="D57" s="3">
        <v>1</v>
      </c>
      <c r="F57" s="16" t="str" cm="1">
        <f t="array" ref="F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" s="31" cm="1">
        <f t="array" ref="G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" s="33" t="str">
        <f>_xlfn.IFNA(IF(MOD(HLG_06[[#This Row],[Rit]],
    _xlfn.XLOOKUP($G$2,Int_Sample[Ore],Int_Sample[Inc])) = 0, "YES", "NO"),"")</f>
        <v/>
      </c>
      <c r="I57" s="32" t="str">
        <f>TEXT(HLG_06[[#This Row],[Batch]],"000")&amp; " / " &amp; TEXT(HLG_06[[#This Row],[Rit]],"000")</f>
        <v>N/A / 000</v>
      </c>
      <c r="J57" s="34"/>
      <c r="K57" s="38"/>
      <c r="L57" s="35"/>
      <c r="M57" s="85"/>
      <c r="N57" s="85"/>
      <c r="O57" s="85"/>
      <c r="P57" s="85"/>
      <c r="Q57" s="85"/>
      <c r="R57" s="85"/>
      <c r="S57" s="100"/>
      <c r="T57" s="100"/>
      <c r="U57" s="85"/>
      <c r="V57" s="85"/>
      <c r="W57" s="85"/>
      <c r="X57" s="85"/>
      <c r="AP57" t="str">
        <v/>
      </c>
    </row>
    <row r="58" spans="4:42" ht="15.75" x14ac:dyDescent="0.25">
      <c r="D58" s="3">
        <v>1</v>
      </c>
      <c r="F58" s="16" t="str" cm="1">
        <f t="array" ref="F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" s="31" cm="1">
        <f t="array" ref="G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" s="33" t="str">
        <f>_xlfn.IFNA(IF(MOD(HLG_06[[#This Row],[Rit]],
    _xlfn.XLOOKUP($G$2,Int_Sample[Ore],Int_Sample[Inc])) = 0, "YES", "NO"),"")</f>
        <v/>
      </c>
      <c r="I58" s="32" t="str">
        <f>TEXT(HLG_06[[#This Row],[Batch]],"000")&amp; " / " &amp; TEXT(HLG_06[[#This Row],[Rit]],"000")</f>
        <v>N/A / 000</v>
      </c>
      <c r="J58" s="34"/>
      <c r="K58" s="38"/>
      <c r="L58" s="35"/>
      <c r="M58" s="85"/>
      <c r="N58" s="85"/>
      <c r="O58" s="85"/>
      <c r="P58" s="85"/>
      <c r="Q58" s="85"/>
      <c r="R58" s="85"/>
      <c r="S58" s="100"/>
      <c r="T58" s="100"/>
      <c r="U58" s="85"/>
      <c r="V58" s="85"/>
      <c r="W58" s="85"/>
      <c r="X58" s="85"/>
      <c r="AP58" t="str">
        <v/>
      </c>
    </row>
    <row r="59" spans="4:42" ht="15.75" x14ac:dyDescent="0.25">
      <c r="D59" s="3">
        <v>1</v>
      </c>
      <c r="F59" s="16" t="str" cm="1">
        <f t="array" ref="F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" s="31" cm="1">
        <f t="array" ref="G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" s="33" t="str">
        <f>_xlfn.IFNA(IF(MOD(HLG_06[[#This Row],[Rit]],
    _xlfn.XLOOKUP($G$2,Int_Sample[Ore],Int_Sample[Inc])) = 0, "YES", "NO"),"")</f>
        <v/>
      </c>
      <c r="I59" s="32" t="str">
        <f>TEXT(HLG_06[[#This Row],[Batch]],"000")&amp; " / " &amp; TEXT(HLG_06[[#This Row],[Rit]],"000")</f>
        <v>N/A / 000</v>
      </c>
      <c r="J59" s="34"/>
      <c r="K59" s="38"/>
      <c r="L59" s="35"/>
      <c r="M59" s="85"/>
      <c r="N59" s="85"/>
      <c r="O59" s="85"/>
      <c r="P59" s="85"/>
      <c r="Q59" s="85"/>
      <c r="R59" s="85"/>
      <c r="S59" s="100"/>
      <c r="T59" s="100"/>
      <c r="U59" s="85"/>
      <c r="V59" s="85"/>
      <c r="W59" s="85"/>
      <c r="X59" s="85"/>
      <c r="AP59" t="str">
        <v/>
      </c>
    </row>
    <row r="60" spans="4:42" ht="15.75" x14ac:dyDescent="0.25">
      <c r="D60" s="3">
        <v>1</v>
      </c>
      <c r="F60" s="16" t="str" cm="1">
        <f t="array" ref="F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" s="31" cm="1">
        <f t="array" ref="G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" s="33" t="str">
        <f>_xlfn.IFNA(IF(MOD(HLG_06[[#This Row],[Rit]],
    _xlfn.XLOOKUP($G$2,Int_Sample[Ore],Int_Sample[Inc])) = 0, "YES", "NO"),"")</f>
        <v/>
      </c>
      <c r="I60" s="32" t="str">
        <f>TEXT(HLG_06[[#This Row],[Batch]],"000")&amp; " / " &amp; TEXT(HLG_06[[#This Row],[Rit]],"000")</f>
        <v>N/A / 000</v>
      </c>
      <c r="J60" s="34"/>
      <c r="K60" s="38"/>
      <c r="L60" s="35"/>
      <c r="M60" s="85"/>
      <c r="N60" s="85"/>
      <c r="O60" s="85"/>
      <c r="P60" s="85"/>
      <c r="Q60" s="85"/>
      <c r="R60" s="85"/>
      <c r="S60" s="100"/>
      <c r="T60" s="100"/>
      <c r="U60" s="85"/>
      <c r="V60" s="85"/>
      <c r="W60" s="85"/>
      <c r="X60" s="85"/>
      <c r="AP60" t="str">
        <v/>
      </c>
    </row>
    <row r="61" spans="4:42" ht="15.75" x14ac:dyDescent="0.25">
      <c r="D61" s="3">
        <v>1</v>
      </c>
      <c r="F61" s="16" t="str" cm="1">
        <f t="array" ref="F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" s="31" cm="1">
        <f t="array" ref="G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" s="33" t="str">
        <f>_xlfn.IFNA(IF(MOD(HLG_06[[#This Row],[Rit]],
    _xlfn.XLOOKUP($G$2,Int_Sample[Ore],Int_Sample[Inc])) = 0, "YES", "NO"),"")</f>
        <v/>
      </c>
      <c r="I61" s="32" t="str">
        <f>TEXT(HLG_06[[#This Row],[Batch]],"000")&amp; " / " &amp; TEXT(HLG_06[[#This Row],[Rit]],"000")</f>
        <v>N/A / 000</v>
      </c>
      <c r="J61" s="34"/>
      <c r="K61" s="38"/>
      <c r="L61" s="35"/>
      <c r="M61" s="85"/>
      <c r="N61" s="85"/>
      <c r="O61" s="85"/>
      <c r="P61" s="85"/>
      <c r="Q61" s="85"/>
      <c r="R61" s="85"/>
      <c r="S61" s="100"/>
      <c r="T61" s="100"/>
      <c r="U61" s="85"/>
      <c r="V61" s="85"/>
      <c r="W61" s="85"/>
      <c r="X61" s="85"/>
      <c r="AP61" t="str">
        <v/>
      </c>
    </row>
    <row r="62" spans="4:42" ht="15.75" x14ac:dyDescent="0.25">
      <c r="D62" s="3">
        <v>1</v>
      </c>
      <c r="F62" s="16" t="str" cm="1">
        <f t="array" ref="F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" s="31" cm="1">
        <f t="array" ref="G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" s="33" t="str">
        <f>_xlfn.IFNA(IF(MOD(HLG_06[[#This Row],[Rit]],
    _xlfn.XLOOKUP($G$2,Int_Sample[Ore],Int_Sample[Inc])) = 0, "YES", "NO"),"")</f>
        <v/>
      </c>
      <c r="I62" s="32" t="str">
        <f>TEXT(HLG_06[[#This Row],[Batch]],"000")&amp; " / " &amp; TEXT(HLG_06[[#This Row],[Rit]],"000")</f>
        <v>N/A / 000</v>
      </c>
      <c r="J62" s="34"/>
      <c r="K62" s="38"/>
      <c r="L62" s="35"/>
      <c r="M62" s="85"/>
      <c r="N62" s="85"/>
      <c r="O62" s="85"/>
      <c r="P62" s="85"/>
      <c r="Q62" s="85"/>
      <c r="R62" s="85"/>
      <c r="S62" s="100"/>
      <c r="T62" s="100"/>
      <c r="U62" s="85"/>
      <c r="V62" s="85"/>
      <c r="W62" s="85"/>
      <c r="X62" s="85"/>
      <c r="AP62" t="str">
        <v/>
      </c>
    </row>
    <row r="63" spans="4:42" ht="15.75" x14ac:dyDescent="0.25">
      <c r="D63" s="3">
        <v>1</v>
      </c>
      <c r="F63" s="16" t="str" cm="1">
        <f t="array" ref="F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" s="31" cm="1">
        <f t="array" ref="G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" s="33" t="str">
        <f>_xlfn.IFNA(IF(MOD(HLG_06[[#This Row],[Rit]],
    _xlfn.XLOOKUP($G$2,Int_Sample[Ore],Int_Sample[Inc])) = 0, "YES", "NO"),"")</f>
        <v/>
      </c>
      <c r="I63" s="32" t="str">
        <f>TEXT(HLG_06[[#This Row],[Batch]],"000")&amp; " / " &amp; TEXT(HLG_06[[#This Row],[Rit]],"000")</f>
        <v>N/A / 000</v>
      </c>
      <c r="J63" s="34"/>
      <c r="K63" s="38"/>
      <c r="L63" s="35"/>
      <c r="M63" s="85"/>
      <c r="N63" s="85"/>
      <c r="O63" s="85"/>
      <c r="P63" s="85"/>
      <c r="Q63" s="85"/>
      <c r="R63" s="85"/>
      <c r="S63" s="100"/>
      <c r="T63" s="100"/>
      <c r="U63" s="85"/>
      <c r="V63" s="85"/>
      <c r="W63" s="85"/>
      <c r="X63" s="85"/>
      <c r="AP63" t="str">
        <v/>
      </c>
    </row>
    <row r="64" spans="4:42" ht="15.75" x14ac:dyDescent="0.25">
      <c r="D64" s="3">
        <v>1</v>
      </c>
      <c r="F64" s="16" t="str" cm="1">
        <f t="array" ref="F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4" s="31" cm="1">
        <f t="array" ref="G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4" s="33" t="str">
        <f>_xlfn.IFNA(IF(MOD(HLG_06[[#This Row],[Rit]],
    _xlfn.XLOOKUP($G$2,Int_Sample[Ore],Int_Sample[Inc])) = 0, "YES", "NO"),"")</f>
        <v/>
      </c>
      <c r="I64" s="32" t="str">
        <f>TEXT(HLG_06[[#This Row],[Batch]],"000")&amp; " / " &amp; TEXT(HLG_06[[#This Row],[Rit]],"000")</f>
        <v>N/A / 000</v>
      </c>
      <c r="J64" s="34"/>
      <c r="K64" s="38"/>
      <c r="L64" s="35"/>
      <c r="M64" s="85"/>
      <c r="N64" s="85"/>
      <c r="O64" s="85"/>
      <c r="P64" s="85"/>
      <c r="Q64" s="85"/>
      <c r="R64" s="85"/>
      <c r="S64" s="100"/>
      <c r="T64" s="100"/>
      <c r="U64" s="85"/>
      <c r="V64" s="85"/>
      <c r="W64" s="85"/>
      <c r="X64" s="85"/>
      <c r="AP64" t="str">
        <v/>
      </c>
    </row>
    <row r="65" spans="4:42" ht="15.75" x14ac:dyDescent="0.25">
      <c r="D65" s="3">
        <v>1</v>
      </c>
      <c r="F65" s="16" t="str" cm="1">
        <f t="array" ref="F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5" s="31" cm="1">
        <f t="array" ref="G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5" s="33" t="str">
        <f>_xlfn.IFNA(IF(MOD(HLG_06[[#This Row],[Rit]],
    _xlfn.XLOOKUP($G$2,Int_Sample[Ore],Int_Sample[Inc])) = 0, "YES", "NO"),"")</f>
        <v/>
      </c>
      <c r="I65" s="32" t="str">
        <f>TEXT(HLG_06[[#This Row],[Batch]],"000")&amp; " / " &amp; TEXT(HLG_06[[#This Row],[Rit]],"000")</f>
        <v>N/A / 000</v>
      </c>
      <c r="J65" s="34"/>
      <c r="K65" s="38"/>
      <c r="L65" s="35"/>
      <c r="M65" s="85"/>
      <c r="N65" s="85"/>
      <c r="O65" s="85"/>
      <c r="P65" s="85"/>
      <c r="Q65" s="85"/>
      <c r="R65" s="85"/>
      <c r="S65" s="100"/>
      <c r="T65" s="100"/>
      <c r="U65" s="85"/>
      <c r="V65" s="85"/>
      <c r="W65" s="85"/>
      <c r="X65" s="85"/>
      <c r="AP65" t="str">
        <v/>
      </c>
    </row>
    <row r="66" spans="4:42" ht="15.75" x14ac:dyDescent="0.25">
      <c r="D66" s="3">
        <v>1</v>
      </c>
      <c r="F66" s="16" t="str" cm="1">
        <f t="array" ref="F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6" s="31" cm="1">
        <f t="array" ref="G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6" s="33" t="str">
        <f>_xlfn.IFNA(IF(MOD(HLG_06[[#This Row],[Rit]],
    _xlfn.XLOOKUP($G$2,Int_Sample[Ore],Int_Sample[Inc])) = 0, "YES", "NO"),"")</f>
        <v/>
      </c>
      <c r="I66" s="32" t="str">
        <f>TEXT(HLG_06[[#This Row],[Batch]],"000")&amp; " / " &amp; TEXT(HLG_06[[#This Row],[Rit]],"000")</f>
        <v>N/A / 000</v>
      </c>
      <c r="J66" s="34"/>
      <c r="K66" s="38"/>
      <c r="L66" s="35"/>
      <c r="M66" s="85"/>
      <c r="N66" s="85"/>
      <c r="O66" s="85"/>
      <c r="P66" s="85"/>
      <c r="Q66" s="85"/>
      <c r="R66" s="85"/>
      <c r="S66" s="100"/>
      <c r="T66" s="100"/>
      <c r="U66" s="85"/>
      <c r="V66" s="85"/>
      <c r="W66" s="85"/>
      <c r="X66" s="85"/>
      <c r="AP66" t="str">
        <v/>
      </c>
    </row>
    <row r="67" spans="4:42" ht="15.75" x14ac:dyDescent="0.25">
      <c r="D67" s="3">
        <v>1</v>
      </c>
      <c r="F67" s="16" t="str" cm="1">
        <f t="array" ref="F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7" s="31" cm="1">
        <f t="array" ref="G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7" s="33" t="str">
        <f>_xlfn.IFNA(IF(MOD(HLG_06[[#This Row],[Rit]],
    _xlfn.XLOOKUP($G$2,Int_Sample[Ore],Int_Sample[Inc])) = 0, "YES", "NO"),"")</f>
        <v/>
      </c>
      <c r="I67" s="32" t="str">
        <f>TEXT(HLG_06[[#This Row],[Batch]],"000")&amp; " / " &amp; TEXT(HLG_06[[#This Row],[Rit]],"000")</f>
        <v>N/A / 000</v>
      </c>
      <c r="J67" s="34"/>
      <c r="K67" s="38"/>
      <c r="L67" s="35"/>
      <c r="M67" s="85"/>
      <c r="N67" s="85"/>
      <c r="O67" s="85"/>
      <c r="P67" s="85"/>
      <c r="Q67" s="85"/>
      <c r="R67" s="85"/>
      <c r="S67" s="100"/>
      <c r="T67" s="100"/>
      <c r="U67" s="85"/>
      <c r="V67" s="85"/>
      <c r="W67" s="85"/>
      <c r="X67" s="85"/>
      <c r="AP67" t="str">
        <v/>
      </c>
    </row>
    <row r="68" spans="4:42" ht="15.75" x14ac:dyDescent="0.25">
      <c r="D68" s="3">
        <v>1</v>
      </c>
      <c r="F68" s="16" t="str" cm="1">
        <f t="array" ref="F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8" s="31" cm="1">
        <f t="array" ref="G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8" s="33" t="str">
        <f>_xlfn.IFNA(IF(MOD(HLG_06[[#This Row],[Rit]],
    _xlfn.XLOOKUP($G$2,Int_Sample[Ore],Int_Sample[Inc])) = 0, "YES", "NO"),"")</f>
        <v/>
      </c>
      <c r="I68" s="32" t="str">
        <f>TEXT(HLG_06[[#This Row],[Batch]],"000")&amp; " / " &amp; TEXT(HLG_06[[#This Row],[Rit]],"000")</f>
        <v>N/A / 000</v>
      </c>
      <c r="J68" s="34"/>
      <c r="K68" s="38"/>
      <c r="L68" s="35"/>
      <c r="M68" s="85"/>
      <c r="N68" s="85"/>
      <c r="O68" s="85"/>
      <c r="P68" s="85"/>
      <c r="Q68" s="85"/>
      <c r="R68" s="85"/>
      <c r="S68" s="100"/>
      <c r="T68" s="100"/>
      <c r="U68" s="85"/>
      <c r="V68" s="85"/>
      <c r="W68" s="85"/>
      <c r="X68" s="85"/>
      <c r="AP68" t="str">
        <v/>
      </c>
    </row>
    <row r="69" spans="4:42" ht="15.75" x14ac:dyDescent="0.25">
      <c r="D69" s="3">
        <v>1</v>
      </c>
      <c r="F69" s="16" t="str" cm="1">
        <f t="array" ref="F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9" s="31" cm="1">
        <f t="array" ref="G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9" s="33" t="str">
        <f>_xlfn.IFNA(IF(MOD(HLG_06[[#This Row],[Rit]],
    _xlfn.XLOOKUP($G$2,Int_Sample[Ore],Int_Sample[Inc])) = 0, "YES", "NO"),"")</f>
        <v/>
      </c>
      <c r="I69" s="32" t="str">
        <f>TEXT(HLG_06[[#This Row],[Batch]],"000")&amp; " / " &amp; TEXT(HLG_06[[#This Row],[Rit]],"000")</f>
        <v>N/A / 000</v>
      </c>
      <c r="J69" s="34"/>
      <c r="K69" s="38"/>
      <c r="L69" s="35"/>
      <c r="M69" s="85"/>
      <c r="N69" s="85"/>
      <c r="O69" s="85"/>
      <c r="P69" s="85"/>
      <c r="Q69" s="85"/>
      <c r="R69" s="85"/>
      <c r="S69" s="100"/>
      <c r="T69" s="100"/>
      <c r="U69" s="85"/>
      <c r="V69" s="85"/>
      <c r="W69" s="85"/>
      <c r="X69" s="85"/>
      <c r="AP69" t="str">
        <v/>
      </c>
    </row>
    <row r="70" spans="4:42" ht="15.75" x14ac:dyDescent="0.25">
      <c r="D70" s="3">
        <v>1</v>
      </c>
      <c r="F70" s="16" t="str" cm="1">
        <f t="array" ref="F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0" s="31" cm="1">
        <f t="array" ref="G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0" s="33" t="str">
        <f>_xlfn.IFNA(IF(MOD(HLG_06[[#This Row],[Rit]],
    _xlfn.XLOOKUP($G$2,Int_Sample[Ore],Int_Sample[Inc])) = 0, "YES", "NO"),"")</f>
        <v/>
      </c>
      <c r="I70" s="32" t="str">
        <f>TEXT(HLG_06[[#This Row],[Batch]],"000")&amp; " / " &amp; TEXT(HLG_06[[#This Row],[Rit]],"000")</f>
        <v>N/A / 000</v>
      </c>
      <c r="J70" s="34"/>
      <c r="K70" s="38"/>
      <c r="L70" s="35"/>
      <c r="M70" s="85"/>
      <c r="N70" s="85"/>
      <c r="O70" s="85"/>
      <c r="P70" s="85"/>
      <c r="Q70" s="85"/>
      <c r="R70" s="85"/>
      <c r="S70" s="100"/>
      <c r="T70" s="100"/>
      <c r="U70" s="85"/>
      <c r="V70" s="85"/>
      <c r="W70" s="85"/>
      <c r="X70" s="85"/>
      <c r="AP70" t="str">
        <v/>
      </c>
    </row>
    <row r="71" spans="4:42" ht="15.75" x14ac:dyDescent="0.25">
      <c r="D71" s="3">
        <v>1</v>
      </c>
      <c r="F71" s="16" t="str" cm="1">
        <f t="array" ref="F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1" s="31" cm="1">
        <f t="array" ref="G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1" s="33" t="str">
        <f>_xlfn.IFNA(IF(MOD(HLG_06[[#This Row],[Rit]],
    _xlfn.XLOOKUP($G$2,Int_Sample[Ore],Int_Sample[Inc])) = 0, "YES", "NO"),"")</f>
        <v/>
      </c>
      <c r="I71" s="32" t="str">
        <f>TEXT(HLG_06[[#This Row],[Batch]],"000")&amp; " / " &amp; TEXT(HLG_06[[#This Row],[Rit]],"000")</f>
        <v>N/A / 000</v>
      </c>
      <c r="J71" s="34"/>
      <c r="K71" s="38"/>
      <c r="L71" s="35"/>
      <c r="M71" s="85"/>
      <c r="N71" s="85"/>
      <c r="O71" s="85"/>
      <c r="P71" s="85"/>
      <c r="Q71" s="85"/>
      <c r="R71" s="85"/>
      <c r="S71" s="100"/>
      <c r="T71" s="100"/>
      <c r="U71" s="85"/>
      <c r="V71" s="85"/>
      <c r="W71" s="85"/>
      <c r="X71" s="85"/>
      <c r="AP71" t="str">
        <v/>
      </c>
    </row>
    <row r="72" spans="4:42" ht="15.75" x14ac:dyDescent="0.25">
      <c r="D72" s="3">
        <v>1</v>
      </c>
      <c r="F72" s="16" t="str" cm="1">
        <f t="array" ref="F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2" s="31" cm="1">
        <f t="array" ref="G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2" s="33" t="str">
        <f>_xlfn.IFNA(IF(MOD(HLG_06[[#This Row],[Rit]],
    _xlfn.XLOOKUP($G$2,Int_Sample[Ore],Int_Sample[Inc])) = 0, "YES", "NO"),"")</f>
        <v/>
      </c>
      <c r="I72" s="32" t="str">
        <f>TEXT(HLG_06[[#This Row],[Batch]],"000")&amp; " / " &amp; TEXT(HLG_06[[#This Row],[Rit]],"000")</f>
        <v>N/A / 000</v>
      </c>
      <c r="J72" s="34"/>
      <c r="K72" s="38"/>
      <c r="L72" s="35"/>
      <c r="M72" s="85"/>
      <c r="N72" s="85"/>
      <c r="O72" s="85"/>
      <c r="P72" s="85"/>
      <c r="Q72" s="85"/>
      <c r="R72" s="85"/>
      <c r="S72" s="100"/>
      <c r="T72" s="100"/>
      <c r="U72" s="85"/>
      <c r="V72" s="85"/>
      <c r="W72" s="85"/>
      <c r="X72" s="85"/>
      <c r="AP72" t="str">
        <v/>
      </c>
    </row>
    <row r="73" spans="4:42" ht="15.75" x14ac:dyDescent="0.25">
      <c r="D73" s="3">
        <v>1</v>
      </c>
      <c r="F73" s="16" t="str" cm="1">
        <f t="array" ref="F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3" s="31" cm="1">
        <f t="array" ref="G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3" s="33" t="str">
        <f>_xlfn.IFNA(IF(MOD(HLG_06[[#This Row],[Rit]],
    _xlfn.XLOOKUP($G$2,Int_Sample[Ore],Int_Sample[Inc])) = 0, "YES", "NO"),"")</f>
        <v/>
      </c>
      <c r="I73" s="32" t="str">
        <f>TEXT(HLG_06[[#This Row],[Batch]],"000")&amp; " / " &amp; TEXT(HLG_06[[#This Row],[Rit]],"000")</f>
        <v>N/A / 000</v>
      </c>
      <c r="J73" s="34"/>
      <c r="K73" s="38"/>
      <c r="L73" s="35"/>
      <c r="M73" s="85"/>
      <c r="N73" s="85"/>
      <c r="O73" s="85"/>
      <c r="P73" s="85"/>
      <c r="Q73" s="85"/>
      <c r="R73" s="85"/>
      <c r="S73" s="100"/>
      <c r="T73" s="100"/>
      <c r="U73" s="85"/>
      <c r="V73" s="85"/>
      <c r="W73" s="85"/>
      <c r="X73" s="85"/>
      <c r="AP73" t="str">
        <v/>
      </c>
    </row>
    <row r="74" spans="4:42" ht="15.75" x14ac:dyDescent="0.25">
      <c r="D74" s="3">
        <v>1</v>
      </c>
      <c r="F74" s="16" t="str" cm="1">
        <f t="array" ref="F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4" s="31" cm="1">
        <f t="array" ref="G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4" s="33" t="str">
        <f>_xlfn.IFNA(IF(MOD(HLG_06[[#This Row],[Rit]],
    _xlfn.XLOOKUP($G$2,Int_Sample[Ore],Int_Sample[Inc])) = 0, "YES", "NO"),"")</f>
        <v/>
      </c>
      <c r="I74" s="32" t="str">
        <f>TEXT(HLG_06[[#This Row],[Batch]],"000")&amp; " / " &amp; TEXT(HLG_06[[#This Row],[Rit]],"000")</f>
        <v>N/A / 000</v>
      </c>
      <c r="J74" s="34"/>
      <c r="K74" s="38"/>
      <c r="L74" s="35"/>
      <c r="M74" s="85"/>
      <c r="N74" s="85"/>
      <c r="O74" s="85"/>
      <c r="P74" s="85"/>
      <c r="Q74" s="85"/>
      <c r="R74" s="85"/>
      <c r="S74" s="100"/>
      <c r="T74" s="100"/>
      <c r="U74" s="85"/>
      <c r="V74" s="85"/>
      <c r="W74" s="85"/>
      <c r="X74" s="85"/>
      <c r="AP74" t="str">
        <v/>
      </c>
    </row>
    <row r="75" spans="4:42" ht="15.75" x14ac:dyDescent="0.25">
      <c r="D75" s="3">
        <v>1</v>
      </c>
      <c r="F75" s="16" t="str" cm="1">
        <f t="array" ref="F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5" s="31" cm="1">
        <f t="array" ref="G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5" s="33" t="str">
        <f>_xlfn.IFNA(IF(MOD(HLG_06[[#This Row],[Rit]],
    _xlfn.XLOOKUP($G$2,Int_Sample[Ore],Int_Sample[Inc])) = 0, "YES", "NO"),"")</f>
        <v/>
      </c>
      <c r="I75" s="32" t="str">
        <f>TEXT(HLG_06[[#This Row],[Batch]],"000")&amp; " / " &amp; TEXT(HLG_06[[#This Row],[Rit]],"000")</f>
        <v>N/A / 000</v>
      </c>
      <c r="J75" s="34"/>
      <c r="K75" s="38"/>
      <c r="L75" s="35"/>
      <c r="M75" s="85"/>
      <c r="N75" s="85"/>
      <c r="O75" s="85"/>
      <c r="P75" s="85"/>
      <c r="Q75" s="85"/>
      <c r="R75" s="85"/>
      <c r="S75" s="100"/>
      <c r="T75" s="100"/>
      <c r="U75" s="85"/>
      <c r="V75" s="85"/>
      <c r="W75" s="85"/>
      <c r="X75" s="85"/>
      <c r="AP75" t="str">
        <v/>
      </c>
    </row>
    <row r="76" spans="4:42" ht="15.75" x14ac:dyDescent="0.25">
      <c r="D76" s="3">
        <v>1</v>
      </c>
      <c r="F76" s="16" t="str" cm="1">
        <f t="array" ref="F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6" s="31" cm="1">
        <f t="array" ref="G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6" s="33" t="str">
        <f>_xlfn.IFNA(IF(MOD(HLG_06[[#This Row],[Rit]],
    _xlfn.XLOOKUP($G$2,Int_Sample[Ore],Int_Sample[Inc])) = 0, "YES", "NO"),"")</f>
        <v/>
      </c>
      <c r="I76" s="32" t="str">
        <f>TEXT(HLG_06[[#This Row],[Batch]],"000")&amp; " / " &amp; TEXT(HLG_06[[#This Row],[Rit]],"000")</f>
        <v>N/A / 000</v>
      </c>
      <c r="J76" s="34"/>
      <c r="K76" s="38"/>
      <c r="L76" s="35"/>
      <c r="M76" s="85"/>
      <c r="N76" s="85"/>
      <c r="O76" s="85"/>
      <c r="P76" s="85"/>
      <c r="Q76" s="85"/>
      <c r="R76" s="85"/>
      <c r="S76" s="100"/>
      <c r="T76" s="100"/>
      <c r="U76" s="85"/>
      <c r="V76" s="85"/>
      <c r="W76" s="85"/>
      <c r="X76" s="85"/>
      <c r="AP76" t="str">
        <v/>
      </c>
    </row>
    <row r="77" spans="4:42" ht="15.75" x14ac:dyDescent="0.25">
      <c r="D77" s="3">
        <v>1</v>
      </c>
      <c r="F77" s="16" t="str" cm="1">
        <f t="array" ref="F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7" s="31" cm="1">
        <f t="array" ref="G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7" s="33" t="str">
        <f>_xlfn.IFNA(IF(MOD(HLG_06[[#This Row],[Rit]],
    _xlfn.XLOOKUP($G$2,Int_Sample[Ore],Int_Sample[Inc])) = 0, "YES", "NO"),"")</f>
        <v/>
      </c>
      <c r="I77" s="32" t="str">
        <f>TEXT(HLG_06[[#This Row],[Batch]],"000")&amp; " / " &amp; TEXT(HLG_06[[#This Row],[Rit]],"000")</f>
        <v>N/A / 000</v>
      </c>
      <c r="J77" s="34"/>
      <c r="K77" s="38"/>
      <c r="L77" s="35"/>
      <c r="M77" s="85"/>
      <c r="N77" s="85"/>
      <c r="O77" s="85"/>
      <c r="P77" s="85"/>
      <c r="Q77" s="85"/>
      <c r="R77" s="85"/>
      <c r="S77" s="100"/>
      <c r="T77" s="100"/>
      <c r="U77" s="85"/>
      <c r="V77" s="85"/>
      <c r="W77" s="85"/>
      <c r="X77" s="85"/>
      <c r="AP77" t="str">
        <v/>
      </c>
    </row>
    <row r="78" spans="4:42" ht="15.75" x14ac:dyDescent="0.25">
      <c r="D78" s="3">
        <v>1</v>
      </c>
      <c r="F78" s="16" t="str" cm="1">
        <f t="array" ref="F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8" s="31" cm="1">
        <f t="array" ref="G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8" s="33" t="str">
        <f>_xlfn.IFNA(IF(MOD(HLG_06[[#This Row],[Rit]],
    _xlfn.XLOOKUP($G$2,Int_Sample[Ore],Int_Sample[Inc])) = 0, "YES", "NO"),"")</f>
        <v/>
      </c>
      <c r="I78" s="32" t="str">
        <f>TEXT(HLG_06[[#This Row],[Batch]],"000")&amp; " / " &amp; TEXT(HLG_06[[#This Row],[Rit]],"000")</f>
        <v>N/A / 000</v>
      </c>
      <c r="J78" s="34"/>
      <c r="K78" s="38"/>
      <c r="L78" s="35"/>
      <c r="M78" s="85"/>
      <c r="N78" s="85"/>
      <c r="O78" s="85"/>
      <c r="P78" s="85"/>
      <c r="Q78" s="85"/>
      <c r="R78" s="85"/>
      <c r="S78" s="100"/>
      <c r="T78" s="100"/>
      <c r="U78" s="85"/>
      <c r="V78" s="85"/>
      <c r="W78" s="85"/>
      <c r="X78" s="85"/>
      <c r="AP78" t="str">
        <v/>
      </c>
    </row>
    <row r="79" spans="4:42" ht="15.75" x14ac:dyDescent="0.25">
      <c r="D79" s="3">
        <v>1</v>
      </c>
      <c r="F79" s="16" t="str" cm="1">
        <f t="array" ref="F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79" s="31" cm="1">
        <f t="array" ref="G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79" s="33" t="str">
        <f>_xlfn.IFNA(IF(MOD(HLG_06[[#This Row],[Rit]],
    _xlfn.XLOOKUP($G$2,Int_Sample[Ore],Int_Sample[Inc])) = 0, "YES", "NO"),"")</f>
        <v/>
      </c>
      <c r="I79" s="32" t="str">
        <f>TEXT(HLG_06[[#This Row],[Batch]],"000")&amp; " / " &amp; TEXT(HLG_06[[#This Row],[Rit]],"000")</f>
        <v>N/A / 000</v>
      </c>
      <c r="J79" s="34"/>
      <c r="K79" s="38"/>
      <c r="L79" s="35"/>
      <c r="M79" s="85"/>
      <c r="N79" s="85"/>
      <c r="O79" s="85"/>
      <c r="P79" s="85"/>
      <c r="Q79" s="85"/>
      <c r="R79" s="85"/>
      <c r="S79" s="100"/>
      <c r="T79" s="100"/>
      <c r="U79" s="85"/>
      <c r="V79" s="85"/>
      <c r="W79" s="85"/>
      <c r="X79" s="85"/>
      <c r="AP79" t="str">
        <v/>
      </c>
    </row>
    <row r="80" spans="4:42" ht="15.75" x14ac:dyDescent="0.25">
      <c r="D80" s="3">
        <v>1</v>
      </c>
      <c r="F80" s="16" t="str" cm="1">
        <f t="array" ref="F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0" s="31" cm="1">
        <f t="array" ref="G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0" s="33" t="str">
        <f>_xlfn.IFNA(IF(MOD(HLG_06[[#This Row],[Rit]],
    _xlfn.XLOOKUP($G$2,Int_Sample[Ore],Int_Sample[Inc])) = 0, "YES", "NO"),"")</f>
        <v/>
      </c>
      <c r="I80" s="32" t="str">
        <f>TEXT(HLG_06[[#This Row],[Batch]],"000")&amp; " / " &amp; TEXT(HLG_06[[#This Row],[Rit]],"000")</f>
        <v>N/A / 000</v>
      </c>
      <c r="J80" s="34"/>
      <c r="K80" s="38"/>
      <c r="L80" s="35"/>
      <c r="M80" s="85"/>
      <c r="N80" s="85"/>
      <c r="O80" s="85"/>
      <c r="P80" s="85"/>
      <c r="Q80" s="85"/>
      <c r="R80" s="85"/>
      <c r="S80" s="100"/>
      <c r="T80" s="100"/>
      <c r="U80" s="85"/>
      <c r="V80" s="85"/>
      <c r="W80" s="85"/>
      <c r="X80" s="85"/>
      <c r="AP80" t="str">
        <v/>
      </c>
    </row>
    <row r="81" spans="4:42" ht="15.75" x14ac:dyDescent="0.25">
      <c r="D81" s="3">
        <v>1</v>
      </c>
      <c r="F81" s="16" t="str" cm="1">
        <f t="array" ref="F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1" s="31" cm="1">
        <f t="array" ref="G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1" s="33" t="str">
        <f>_xlfn.IFNA(IF(MOD(HLG_06[[#This Row],[Rit]],
    _xlfn.XLOOKUP($G$2,Int_Sample[Ore],Int_Sample[Inc])) = 0, "YES", "NO"),"")</f>
        <v/>
      </c>
      <c r="I81" s="32" t="str">
        <f>TEXT(HLG_06[[#This Row],[Batch]],"000")&amp; " / " &amp; TEXT(HLG_06[[#This Row],[Rit]],"000")</f>
        <v>N/A / 000</v>
      </c>
      <c r="J81" s="34"/>
      <c r="K81" s="38"/>
      <c r="L81" s="35"/>
      <c r="M81" s="85"/>
      <c r="N81" s="85"/>
      <c r="O81" s="85"/>
      <c r="P81" s="85"/>
      <c r="Q81" s="85"/>
      <c r="R81" s="85"/>
      <c r="S81" s="100"/>
      <c r="T81" s="100"/>
      <c r="U81" s="85"/>
      <c r="V81" s="85"/>
      <c r="W81" s="85"/>
      <c r="X81" s="85"/>
      <c r="AP81" t="str">
        <v/>
      </c>
    </row>
    <row r="82" spans="4:42" ht="15.75" x14ac:dyDescent="0.25">
      <c r="D82" s="3">
        <v>1</v>
      </c>
      <c r="F82" s="16" t="str" cm="1">
        <f t="array" ref="F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2" s="31" cm="1">
        <f t="array" ref="G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2" s="33" t="str">
        <f>_xlfn.IFNA(IF(MOD(HLG_06[[#This Row],[Rit]],
    _xlfn.XLOOKUP($G$2,Int_Sample[Ore],Int_Sample[Inc])) = 0, "YES", "NO"),"")</f>
        <v/>
      </c>
      <c r="I82" s="32" t="str">
        <f>TEXT(HLG_06[[#This Row],[Batch]],"000")&amp; " / " &amp; TEXT(HLG_06[[#This Row],[Rit]],"000")</f>
        <v>N/A / 000</v>
      </c>
      <c r="J82" s="34"/>
      <c r="K82" s="38"/>
      <c r="L82" s="35"/>
      <c r="M82" s="85"/>
      <c r="N82" s="85"/>
      <c r="O82" s="85"/>
      <c r="P82" s="85"/>
      <c r="Q82" s="85"/>
      <c r="R82" s="85"/>
      <c r="S82" s="100"/>
      <c r="T82" s="100"/>
      <c r="U82" s="85"/>
      <c r="V82" s="85"/>
      <c r="W82" s="85"/>
      <c r="X82" s="85"/>
      <c r="AP82" t="str">
        <v/>
      </c>
    </row>
    <row r="83" spans="4:42" ht="15.75" x14ac:dyDescent="0.25">
      <c r="D83" s="3">
        <v>1</v>
      </c>
      <c r="F83" s="16" t="str" cm="1">
        <f t="array" ref="F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3" s="31" cm="1">
        <f t="array" ref="G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3" s="33" t="str">
        <f>_xlfn.IFNA(IF(MOD(HLG_06[[#This Row],[Rit]],
    _xlfn.XLOOKUP($G$2,Int_Sample[Ore],Int_Sample[Inc])) = 0, "YES", "NO"),"")</f>
        <v/>
      </c>
      <c r="I83" s="32" t="str">
        <f>TEXT(HLG_06[[#This Row],[Batch]],"000")&amp; " / " &amp; TEXT(HLG_06[[#This Row],[Rit]],"000")</f>
        <v>N/A / 000</v>
      </c>
      <c r="J83" s="34"/>
      <c r="K83" s="38"/>
      <c r="L83" s="35"/>
      <c r="M83" s="85"/>
      <c r="N83" s="85"/>
      <c r="O83" s="85"/>
      <c r="P83" s="85"/>
      <c r="Q83" s="85"/>
      <c r="R83" s="85"/>
      <c r="S83" s="100"/>
      <c r="T83" s="100"/>
      <c r="U83" s="85"/>
      <c r="V83" s="85"/>
      <c r="W83" s="85"/>
      <c r="X83" s="85"/>
      <c r="AP83" t="str">
        <v/>
      </c>
    </row>
    <row r="84" spans="4:42" ht="15.75" x14ac:dyDescent="0.25">
      <c r="D84" s="3">
        <v>1</v>
      </c>
      <c r="F84" s="16" t="str" cm="1">
        <f t="array" ref="F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4" s="31" cm="1">
        <f t="array" ref="G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4" s="33" t="str">
        <f>_xlfn.IFNA(IF(MOD(HLG_06[[#This Row],[Rit]],
    _xlfn.XLOOKUP($G$2,Int_Sample[Ore],Int_Sample[Inc])) = 0, "YES", "NO"),"")</f>
        <v/>
      </c>
      <c r="I84" s="32" t="str">
        <f>TEXT(HLG_06[[#This Row],[Batch]],"000")&amp; " / " &amp; TEXT(HLG_06[[#This Row],[Rit]],"000")</f>
        <v>N/A / 000</v>
      </c>
      <c r="J84" s="34"/>
      <c r="K84" s="38"/>
      <c r="L84" s="35"/>
      <c r="M84" s="85"/>
      <c r="N84" s="85"/>
      <c r="O84" s="85"/>
      <c r="P84" s="85"/>
      <c r="Q84" s="85"/>
      <c r="R84" s="85"/>
      <c r="S84" s="100"/>
      <c r="T84" s="100"/>
      <c r="U84" s="85"/>
      <c r="V84" s="85"/>
      <c r="W84" s="85"/>
      <c r="X84" s="85"/>
      <c r="AP84" t="str">
        <v/>
      </c>
    </row>
    <row r="85" spans="4:42" ht="15.75" x14ac:dyDescent="0.25">
      <c r="D85" s="3">
        <v>1</v>
      </c>
      <c r="F85" s="16" t="str" cm="1">
        <f t="array" ref="F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5" s="31" cm="1">
        <f t="array" ref="G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5" s="33" t="str">
        <f>_xlfn.IFNA(IF(MOD(HLG_06[[#This Row],[Rit]],
    _xlfn.XLOOKUP($G$2,Int_Sample[Ore],Int_Sample[Inc])) = 0, "YES", "NO"),"")</f>
        <v/>
      </c>
      <c r="I85" s="32" t="str">
        <f>TEXT(HLG_06[[#This Row],[Batch]],"000")&amp; " / " &amp; TEXT(HLG_06[[#This Row],[Rit]],"000")</f>
        <v>N/A / 000</v>
      </c>
      <c r="J85" s="34"/>
      <c r="K85" s="38"/>
      <c r="L85" s="35"/>
      <c r="M85" s="85"/>
      <c r="N85" s="85"/>
      <c r="O85" s="85"/>
      <c r="P85" s="85"/>
      <c r="Q85" s="85"/>
      <c r="R85" s="85"/>
      <c r="S85" s="100"/>
      <c r="T85" s="100"/>
      <c r="U85" s="85"/>
      <c r="V85" s="85"/>
      <c r="W85" s="85"/>
      <c r="X85" s="85"/>
      <c r="AP85" t="str">
        <v/>
      </c>
    </row>
    <row r="86" spans="4:42" ht="15.75" x14ac:dyDescent="0.25">
      <c r="D86" s="3">
        <v>1</v>
      </c>
      <c r="F86" s="16" t="str" cm="1">
        <f t="array" ref="F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6" s="31" cm="1">
        <f t="array" ref="G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6" s="33" t="str">
        <f>_xlfn.IFNA(IF(MOD(HLG_06[[#This Row],[Rit]],
    _xlfn.XLOOKUP($G$2,Int_Sample[Ore],Int_Sample[Inc])) = 0, "YES", "NO"),"")</f>
        <v/>
      </c>
      <c r="I86" s="32" t="str">
        <f>TEXT(HLG_06[[#This Row],[Batch]],"000")&amp; " / " &amp; TEXT(HLG_06[[#This Row],[Rit]],"000")</f>
        <v>N/A / 000</v>
      </c>
      <c r="J86" s="34"/>
      <c r="K86" s="38"/>
      <c r="L86" s="35"/>
      <c r="M86" s="85"/>
      <c r="N86" s="85"/>
      <c r="O86" s="85"/>
      <c r="P86" s="85"/>
      <c r="Q86" s="85"/>
      <c r="R86" s="85"/>
      <c r="S86" s="100"/>
      <c r="T86" s="100"/>
      <c r="U86" s="85"/>
      <c r="V86" s="85"/>
      <c r="W86" s="85"/>
      <c r="X86" s="85"/>
      <c r="AP86" t="str">
        <v/>
      </c>
    </row>
    <row r="87" spans="4:42" ht="15.75" x14ac:dyDescent="0.25">
      <c r="D87" s="3">
        <v>1</v>
      </c>
      <c r="F87" s="16" t="str" cm="1">
        <f t="array" ref="F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7" s="31" cm="1">
        <f t="array" ref="G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7" s="33" t="str">
        <f>_xlfn.IFNA(IF(MOD(HLG_06[[#This Row],[Rit]],
    _xlfn.XLOOKUP($G$2,Int_Sample[Ore],Int_Sample[Inc])) = 0, "YES", "NO"),"")</f>
        <v/>
      </c>
      <c r="I87" s="32" t="str">
        <f>TEXT(HLG_06[[#This Row],[Batch]],"000")&amp; " / " &amp; TEXT(HLG_06[[#This Row],[Rit]],"000")</f>
        <v>N/A / 000</v>
      </c>
      <c r="J87" s="34"/>
      <c r="K87" s="38"/>
      <c r="L87" s="35"/>
      <c r="M87" s="85"/>
      <c r="N87" s="85"/>
      <c r="O87" s="85"/>
      <c r="P87" s="85"/>
      <c r="Q87" s="85"/>
      <c r="R87" s="85"/>
      <c r="S87" s="100"/>
      <c r="T87" s="100"/>
      <c r="U87" s="85"/>
      <c r="V87" s="85"/>
      <c r="W87" s="85"/>
      <c r="X87" s="85"/>
      <c r="AP87" t="str">
        <v/>
      </c>
    </row>
    <row r="88" spans="4:42" ht="15.75" x14ac:dyDescent="0.25">
      <c r="D88" s="3">
        <v>1</v>
      </c>
      <c r="F88" s="16" t="str" cm="1">
        <f t="array" ref="F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8" s="31" cm="1">
        <f t="array" ref="G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8" s="33" t="str">
        <f>_xlfn.IFNA(IF(MOD(HLG_06[[#This Row],[Rit]],
    _xlfn.XLOOKUP($G$2,Int_Sample[Ore],Int_Sample[Inc])) = 0, "YES", "NO"),"")</f>
        <v/>
      </c>
      <c r="I88" s="32" t="str">
        <f>TEXT(HLG_06[[#This Row],[Batch]],"000")&amp; " / " &amp; TEXT(HLG_06[[#This Row],[Rit]],"000")</f>
        <v>N/A / 000</v>
      </c>
      <c r="J88" s="34"/>
      <c r="K88" s="38"/>
      <c r="L88" s="35"/>
      <c r="M88" s="85"/>
      <c r="N88" s="85"/>
      <c r="O88" s="85"/>
      <c r="P88" s="85"/>
      <c r="Q88" s="85"/>
      <c r="R88" s="85"/>
      <c r="S88" s="100"/>
      <c r="T88" s="100"/>
      <c r="U88" s="85"/>
      <c r="V88" s="85"/>
      <c r="W88" s="85"/>
      <c r="X88" s="85"/>
      <c r="AP88" t="str">
        <v/>
      </c>
    </row>
    <row r="89" spans="4:42" ht="15.75" x14ac:dyDescent="0.25">
      <c r="D89" s="3">
        <v>1</v>
      </c>
      <c r="F89" s="16" t="str" cm="1">
        <f t="array" ref="F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89" s="31" cm="1">
        <f t="array" ref="G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89" s="33" t="str">
        <f>_xlfn.IFNA(IF(MOD(HLG_06[[#This Row],[Rit]],
    _xlfn.XLOOKUP($G$2,Int_Sample[Ore],Int_Sample[Inc])) = 0, "YES", "NO"),"")</f>
        <v/>
      </c>
      <c r="I89" s="32" t="str">
        <f>TEXT(HLG_06[[#This Row],[Batch]],"000")&amp; " / " &amp; TEXT(HLG_06[[#This Row],[Rit]],"000")</f>
        <v>N/A / 000</v>
      </c>
      <c r="J89" s="34"/>
      <c r="K89" s="38"/>
      <c r="L89" s="35"/>
      <c r="M89" s="85"/>
      <c r="N89" s="85"/>
      <c r="O89" s="85"/>
      <c r="P89" s="85"/>
      <c r="Q89" s="85"/>
      <c r="R89" s="85"/>
      <c r="S89" s="100"/>
      <c r="T89" s="100"/>
      <c r="U89" s="85"/>
      <c r="V89" s="85"/>
      <c r="W89" s="85"/>
      <c r="X89" s="85"/>
      <c r="AP89" t="str">
        <v/>
      </c>
    </row>
    <row r="90" spans="4:42" ht="15.75" x14ac:dyDescent="0.25">
      <c r="D90" s="3">
        <v>1</v>
      </c>
      <c r="F90" s="16" t="str" cm="1">
        <f t="array" ref="F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0" s="31" cm="1">
        <f t="array" ref="G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0" s="33" t="str">
        <f>_xlfn.IFNA(IF(MOD(HLG_06[[#This Row],[Rit]],
    _xlfn.XLOOKUP($G$2,Int_Sample[Ore],Int_Sample[Inc])) = 0, "YES", "NO"),"")</f>
        <v/>
      </c>
      <c r="I90" s="32" t="str">
        <f>TEXT(HLG_06[[#This Row],[Batch]],"000")&amp; " / " &amp; TEXT(HLG_06[[#This Row],[Rit]],"000")</f>
        <v>N/A / 000</v>
      </c>
      <c r="J90" s="34"/>
      <c r="K90" s="38"/>
      <c r="L90" s="35"/>
      <c r="M90" s="85"/>
      <c r="N90" s="85"/>
      <c r="O90" s="85"/>
      <c r="P90" s="85"/>
      <c r="Q90" s="85"/>
      <c r="R90" s="85"/>
      <c r="S90" s="100"/>
      <c r="T90" s="100"/>
      <c r="U90" s="85"/>
      <c r="V90" s="85"/>
      <c r="W90" s="85"/>
      <c r="X90" s="85"/>
      <c r="AP90" t="str">
        <v/>
      </c>
    </row>
    <row r="91" spans="4:42" ht="15.75" x14ac:dyDescent="0.25">
      <c r="D91" s="3">
        <v>1</v>
      </c>
      <c r="F91" s="16" t="str" cm="1">
        <f t="array" ref="F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1" s="31" cm="1">
        <f t="array" ref="G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1" s="33" t="str">
        <f>_xlfn.IFNA(IF(MOD(HLG_06[[#This Row],[Rit]],
    _xlfn.XLOOKUP($G$2,Int_Sample[Ore],Int_Sample[Inc])) = 0, "YES", "NO"),"")</f>
        <v/>
      </c>
      <c r="I91" s="32" t="str">
        <f>TEXT(HLG_06[[#This Row],[Batch]],"000")&amp; " / " &amp; TEXT(HLG_06[[#This Row],[Rit]],"000")</f>
        <v>N/A / 000</v>
      </c>
      <c r="J91" s="34"/>
      <c r="K91" s="38"/>
      <c r="L91" s="35"/>
      <c r="M91" s="85"/>
      <c r="N91" s="85"/>
      <c r="O91" s="85"/>
      <c r="P91" s="85"/>
      <c r="Q91" s="85"/>
      <c r="R91" s="85"/>
      <c r="S91" s="100"/>
      <c r="T91" s="100"/>
      <c r="U91" s="85"/>
      <c r="V91" s="85"/>
      <c r="W91" s="85"/>
      <c r="X91" s="85"/>
      <c r="AP91" t="str">
        <v/>
      </c>
    </row>
    <row r="92" spans="4:42" ht="15.75" x14ac:dyDescent="0.25">
      <c r="D92" s="3">
        <v>1</v>
      </c>
      <c r="F92" s="16" t="str" cm="1">
        <f t="array" ref="F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2" s="31" cm="1">
        <f t="array" ref="G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2" s="33" t="str">
        <f>_xlfn.IFNA(IF(MOD(HLG_06[[#This Row],[Rit]],
    _xlfn.XLOOKUP($G$2,Int_Sample[Ore],Int_Sample[Inc])) = 0, "YES", "NO"),"")</f>
        <v/>
      </c>
      <c r="I92" s="32" t="str">
        <f>TEXT(HLG_06[[#This Row],[Batch]],"000")&amp; " / " &amp; TEXT(HLG_06[[#This Row],[Rit]],"000")</f>
        <v>N/A / 000</v>
      </c>
      <c r="J92" s="34"/>
      <c r="K92" s="38"/>
      <c r="L92" s="35"/>
      <c r="M92" s="85"/>
      <c r="N92" s="85"/>
      <c r="O92" s="85"/>
      <c r="P92" s="85"/>
      <c r="Q92" s="85"/>
      <c r="R92" s="85"/>
      <c r="S92" s="100"/>
      <c r="T92" s="100"/>
      <c r="U92" s="85"/>
      <c r="V92" s="85"/>
      <c r="W92" s="85"/>
      <c r="X92" s="85"/>
      <c r="AP92" t="str">
        <v/>
      </c>
    </row>
    <row r="93" spans="4:42" ht="15.75" x14ac:dyDescent="0.25">
      <c r="D93" s="3">
        <v>1</v>
      </c>
      <c r="F93" s="16" t="str" cm="1">
        <f t="array" ref="F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3" s="31" cm="1">
        <f t="array" ref="G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3" s="33" t="str">
        <f>_xlfn.IFNA(IF(MOD(HLG_06[[#This Row],[Rit]],
    _xlfn.XLOOKUP($G$2,Int_Sample[Ore],Int_Sample[Inc])) = 0, "YES", "NO"),"")</f>
        <v/>
      </c>
      <c r="I93" s="32" t="str">
        <f>TEXT(HLG_06[[#This Row],[Batch]],"000")&amp; " / " &amp; TEXT(HLG_06[[#This Row],[Rit]],"000")</f>
        <v>N/A / 000</v>
      </c>
      <c r="J93" s="34"/>
      <c r="K93" s="38"/>
      <c r="L93" s="35"/>
      <c r="M93" s="85"/>
      <c r="N93" s="85"/>
      <c r="O93" s="85"/>
      <c r="P93" s="85"/>
      <c r="Q93" s="85"/>
      <c r="R93" s="85"/>
      <c r="S93" s="100"/>
      <c r="T93" s="100"/>
      <c r="U93" s="85"/>
      <c r="V93" s="85"/>
      <c r="W93" s="85"/>
      <c r="X93" s="85"/>
      <c r="AP93" t="str">
        <v/>
      </c>
    </row>
    <row r="94" spans="4:42" ht="15.75" x14ac:dyDescent="0.25">
      <c r="D94" s="3">
        <v>1</v>
      </c>
      <c r="F94" s="16" t="str" cm="1">
        <f t="array" ref="F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4" s="31" cm="1">
        <f t="array" ref="G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4" s="33" t="str">
        <f>_xlfn.IFNA(IF(MOD(HLG_06[[#This Row],[Rit]],
    _xlfn.XLOOKUP($G$2,Int_Sample[Ore],Int_Sample[Inc])) = 0, "YES", "NO"),"")</f>
        <v/>
      </c>
      <c r="I94" s="32" t="str">
        <f>TEXT(HLG_06[[#This Row],[Batch]],"000")&amp; " / " &amp; TEXT(HLG_06[[#This Row],[Rit]],"000")</f>
        <v>N/A / 000</v>
      </c>
      <c r="J94" s="34"/>
      <c r="K94" s="38"/>
      <c r="L94" s="35"/>
      <c r="M94" s="85"/>
      <c r="N94" s="85"/>
      <c r="O94" s="85"/>
      <c r="P94" s="85"/>
      <c r="Q94" s="85"/>
      <c r="R94" s="85"/>
      <c r="S94" s="100"/>
      <c r="T94" s="100"/>
      <c r="U94" s="85"/>
      <c r="V94" s="85"/>
      <c r="W94" s="85"/>
      <c r="X94" s="85"/>
      <c r="AP94" t="str">
        <v/>
      </c>
    </row>
    <row r="95" spans="4:42" ht="15.75" x14ac:dyDescent="0.25">
      <c r="D95" s="3">
        <v>1</v>
      </c>
      <c r="F95" s="16" t="str" cm="1">
        <f t="array" ref="F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5" s="31" cm="1">
        <f t="array" ref="G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5" s="33" t="str">
        <f>_xlfn.IFNA(IF(MOD(HLG_06[[#This Row],[Rit]],
    _xlfn.XLOOKUP($G$2,Int_Sample[Ore],Int_Sample[Inc])) = 0, "YES", "NO"),"")</f>
        <v/>
      </c>
      <c r="I95" s="32" t="str">
        <f>TEXT(HLG_06[[#This Row],[Batch]],"000")&amp; " / " &amp; TEXT(HLG_06[[#This Row],[Rit]],"000")</f>
        <v>N/A / 000</v>
      </c>
      <c r="J95" s="34"/>
      <c r="K95" s="38"/>
      <c r="L95" s="35"/>
      <c r="M95" s="85"/>
      <c r="N95" s="85"/>
      <c r="O95" s="85"/>
      <c r="P95" s="85"/>
      <c r="Q95" s="85"/>
      <c r="R95" s="85"/>
      <c r="S95" s="100"/>
      <c r="T95" s="100"/>
      <c r="U95" s="85"/>
      <c r="V95" s="85"/>
      <c r="W95" s="85"/>
      <c r="X95" s="85"/>
      <c r="AP95" t="str">
        <v/>
      </c>
    </row>
    <row r="96" spans="4:42" ht="15.75" x14ac:dyDescent="0.25">
      <c r="D96" s="3">
        <v>1</v>
      </c>
      <c r="F96" s="16" t="str" cm="1">
        <f t="array" ref="F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6" s="31" cm="1">
        <f t="array" ref="G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6" s="33" t="str">
        <f>_xlfn.IFNA(IF(MOD(HLG_06[[#This Row],[Rit]],
    _xlfn.XLOOKUP($G$2,Int_Sample[Ore],Int_Sample[Inc])) = 0, "YES", "NO"),"")</f>
        <v/>
      </c>
      <c r="I96" s="32" t="str">
        <f>TEXT(HLG_06[[#This Row],[Batch]],"000")&amp; " / " &amp; TEXT(HLG_06[[#This Row],[Rit]],"000")</f>
        <v>N/A / 000</v>
      </c>
      <c r="J96" s="34"/>
      <c r="K96" s="38"/>
      <c r="L96" s="35"/>
      <c r="M96" s="85"/>
      <c r="N96" s="85"/>
      <c r="O96" s="85"/>
      <c r="P96" s="85"/>
      <c r="Q96" s="85"/>
      <c r="R96" s="85"/>
      <c r="S96" s="100"/>
      <c r="T96" s="100"/>
      <c r="U96" s="85"/>
      <c r="V96" s="85"/>
      <c r="W96" s="85"/>
      <c r="X96" s="85"/>
      <c r="AP96" t="str">
        <v/>
      </c>
    </row>
    <row r="97" spans="4:42" ht="15.75" x14ac:dyDescent="0.25">
      <c r="D97" s="3">
        <v>1</v>
      </c>
      <c r="F97" s="16" t="str" cm="1">
        <f t="array" ref="F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7" s="31" cm="1">
        <f t="array" ref="G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7" s="33" t="str">
        <f>_xlfn.IFNA(IF(MOD(HLG_06[[#This Row],[Rit]],
    _xlfn.XLOOKUP($G$2,Int_Sample[Ore],Int_Sample[Inc])) = 0, "YES", "NO"),"")</f>
        <v/>
      </c>
      <c r="I97" s="32" t="str">
        <f>TEXT(HLG_06[[#This Row],[Batch]],"000")&amp; " / " &amp; TEXT(HLG_06[[#This Row],[Rit]],"000")</f>
        <v>N/A / 000</v>
      </c>
      <c r="J97" s="34"/>
      <c r="K97" s="38"/>
      <c r="L97" s="35"/>
      <c r="M97" s="85"/>
      <c r="N97" s="85"/>
      <c r="O97" s="85"/>
      <c r="P97" s="85"/>
      <c r="Q97" s="85"/>
      <c r="R97" s="85"/>
      <c r="S97" s="100"/>
      <c r="T97" s="100"/>
      <c r="U97" s="85"/>
      <c r="V97" s="85"/>
      <c r="W97" s="85"/>
      <c r="X97" s="85"/>
      <c r="AP97" t="str">
        <v/>
      </c>
    </row>
    <row r="98" spans="4:42" ht="15.75" x14ac:dyDescent="0.25">
      <c r="D98" s="3">
        <v>1</v>
      </c>
      <c r="F98" s="16" t="str" cm="1">
        <f t="array" ref="F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8" s="31" cm="1">
        <f t="array" ref="G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8" s="33" t="str">
        <f>_xlfn.IFNA(IF(MOD(HLG_06[[#This Row],[Rit]],
    _xlfn.XLOOKUP($G$2,Int_Sample[Ore],Int_Sample[Inc])) = 0, "YES", "NO"),"")</f>
        <v/>
      </c>
      <c r="I98" s="32" t="str">
        <f>TEXT(HLG_06[[#This Row],[Batch]],"000")&amp; " / " &amp; TEXT(HLG_06[[#This Row],[Rit]],"000")</f>
        <v>N/A / 000</v>
      </c>
      <c r="J98" s="34"/>
      <c r="K98" s="38"/>
      <c r="L98" s="35"/>
      <c r="M98" s="85"/>
      <c r="N98" s="85"/>
      <c r="O98" s="85"/>
      <c r="P98" s="85"/>
      <c r="Q98" s="85"/>
      <c r="R98" s="85"/>
      <c r="S98" s="100"/>
      <c r="T98" s="100"/>
      <c r="U98" s="85"/>
      <c r="V98" s="85"/>
      <c r="W98" s="85"/>
      <c r="X98" s="85"/>
      <c r="AP98" t="str">
        <v/>
      </c>
    </row>
    <row r="99" spans="4:42" ht="15.75" x14ac:dyDescent="0.25">
      <c r="D99" s="3">
        <v>1</v>
      </c>
      <c r="F99" s="16" t="str" cm="1">
        <f t="array" ref="F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99" s="31" cm="1">
        <f t="array" ref="G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99" s="33" t="str">
        <f>_xlfn.IFNA(IF(MOD(HLG_06[[#This Row],[Rit]],
    _xlfn.XLOOKUP($G$2,Int_Sample[Ore],Int_Sample[Inc])) = 0, "YES", "NO"),"")</f>
        <v/>
      </c>
      <c r="I99" s="32" t="str">
        <f>TEXT(HLG_06[[#This Row],[Batch]],"000")&amp; " / " &amp; TEXT(HLG_06[[#This Row],[Rit]],"000")</f>
        <v>N/A / 000</v>
      </c>
      <c r="J99" s="34"/>
      <c r="K99" s="38"/>
      <c r="L99" s="35"/>
      <c r="M99" s="85"/>
      <c r="N99" s="85"/>
      <c r="O99" s="85"/>
      <c r="P99" s="85"/>
      <c r="Q99" s="85"/>
      <c r="R99" s="85"/>
      <c r="S99" s="100"/>
      <c r="T99" s="100"/>
      <c r="U99" s="85"/>
      <c r="V99" s="85"/>
      <c r="W99" s="85"/>
      <c r="X99" s="85"/>
      <c r="AP99" t="str">
        <v/>
      </c>
    </row>
    <row r="100" spans="4:42" ht="15.75" x14ac:dyDescent="0.25">
      <c r="D100" s="3">
        <v>1</v>
      </c>
      <c r="F100" s="16" t="str" cm="1">
        <f t="array" ref="F1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0" s="31" cm="1">
        <f t="array" ref="G1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0" s="33" t="str">
        <f>_xlfn.IFNA(IF(MOD(HLG_06[[#This Row],[Rit]],
    _xlfn.XLOOKUP($G$2,Int_Sample[Ore],Int_Sample[Inc])) = 0, "YES", "NO"),"")</f>
        <v/>
      </c>
      <c r="I100" s="32" t="str">
        <f>TEXT(HLG_06[[#This Row],[Batch]],"000")&amp; " / " &amp; TEXT(HLG_06[[#This Row],[Rit]],"000")</f>
        <v>N/A / 000</v>
      </c>
      <c r="J100" s="34"/>
      <c r="K100" s="38"/>
      <c r="L100" s="35"/>
      <c r="M100" s="85"/>
      <c r="N100" s="85"/>
      <c r="O100" s="85"/>
      <c r="P100" s="85"/>
      <c r="Q100" s="85"/>
      <c r="R100" s="85"/>
      <c r="S100" s="100"/>
      <c r="T100" s="100"/>
      <c r="U100" s="85"/>
      <c r="V100" s="85"/>
      <c r="W100" s="85"/>
      <c r="X100" s="85"/>
      <c r="AP100" t="str">
        <v/>
      </c>
    </row>
    <row r="101" spans="4:42" ht="15.75" x14ac:dyDescent="0.25">
      <c r="D101" s="3">
        <v>1</v>
      </c>
      <c r="F101" s="16" t="str" cm="1">
        <f t="array" ref="F1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1" s="31" cm="1">
        <f t="array" ref="G1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1" s="33" t="str">
        <f>_xlfn.IFNA(IF(MOD(HLG_06[[#This Row],[Rit]],
    _xlfn.XLOOKUP($G$2,Int_Sample[Ore],Int_Sample[Inc])) = 0, "YES", "NO"),"")</f>
        <v/>
      </c>
      <c r="I101" s="32" t="str">
        <f>TEXT(HLG_06[[#This Row],[Batch]],"000")&amp; " / " &amp; TEXT(HLG_06[[#This Row],[Rit]],"000")</f>
        <v>N/A / 000</v>
      </c>
      <c r="J101" s="34"/>
      <c r="K101" s="38"/>
      <c r="L101" s="35"/>
      <c r="M101" s="66"/>
      <c r="N101" s="85"/>
      <c r="O101" s="85"/>
      <c r="P101" s="85"/>
      <c r="Q101" s="85"/>
      <c r="R101" s="85"/>
      <c r="S101" s="85"/>
      <c r="T101" s="100"/>
      <c r="U101" s="100"/>
      <c r="V101" s="85"/>
      <c r="W101" s="85"/>
      <c r="X101" s="85"/>
      <c r="AP101" t="str">
        <v/>
      </c>
    </row>
    <row r="102" spans="4:42" ht="15.75" x14ac:dyDescent="0.25">
      <c r="D102" s="3">
        <v>1</v>
      </c>
      <c r="F102" s="16" t="str" cm="1">
        <f t="array" ref="F1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2" s="31" cm="1">
        <f t="array" ref="G1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2" s="33" t="str">
        <f>_xlfn.IFNA(IF(MOD(HLG_06[[#This Row],[Rit]],
    _xlfn.XLOOKUP($G$2,Int_Sample[Ore],Int_Sample[Inc])) = 0, "YES", "NO"),"")</f>
        <v/>
      </c>
      <c r="I102" s="32" t="str">
        <f>TEXT(HLG_06[[#This Row],[Batch]],"000")&amp; " / " &amp; TEXT(HLG_06[[#This Row],[Rit]],"000")</f>
        <v>N/A / 000</v>
      </c>
      <c r="J102" s="34"/>
      <c r="K102" s="38"/>
      <c r="L102" s="35"/>
      <c r="M102" s="66"/>
      <c r="N102" s="85"/>
      <c r="O102" s="85"/>
      <c r="P102" s="85"/>
      <c r="Q102" s="85"/>
      <c r="R102" s="85"/>
      <c r="S102" s="85"/>
      <c r="T102" s="100"/>
      <c r="U102" s="100"/>
      <c r="V102" s="85"/>
      <c r="W102" s="85"/>
      <c r="X102" s="85"/>
      <c r="AP102" t="str">
        <v/>
      </c>
    </row>
    <row r="103" spans="4:42" ht="15.75" x14ac:dyDescent="0.25">
      <c r="D103" s="3">
        <v>1</v>
      </c>
      <c r="F103" s="16" t="str" cm="1">
        <f t="array" ref="F1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3" s="31" cm="1">
        <f t="array" ref="G1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3" s="33" t="str">
        <f>_xlfn.IFNA(IF(MOD(HLG_06[[#This Row],[Rit]],
    _xlfn.XLOOKUP($G$2,Int_Sample[Ore],Int_Sample[Inc])) = 0, "YES", "NO"),"")</f>
        <v/>
      </c>
      <c r="I103" s="32" t="str">
        <f>TEXT(HLG_06[[#This Row],[Batch]],"000")&amp; " / " &amp; TEXT(HLG_06[[#This Row],[Rit]],"000")</f>
        <v>N/A / 000</v>
      </c>
      <c r="J103" s="34"/>
      <c r="K103" s="38"/>
      <c r="L103" s="35"/>
      <c r="M103" s="66"/>
      <c r="N103" s="85"/>
      <c r="O103" s="85"/>
      <c r="P103" s="85"/>
      <c r="Q103" s="85"/>
      <c r="R103" s="85"/>
      <c r="S103" s="85"/>
      <c r="T103" s="100"/>
      <c r="U103" s="100"/>
      <c r="V103" s="85"/>
      <c r="W103" s="85"/>
      <c r="X103" s="85"/>
      <c r="AP103" t="str">
        <v/>
      </c>
    </row>
    <row r="104" spans="4:42" ht="15.75" x14ac:dyDescent="0.25">
      <c r="D104" s="3">
        <v>1</v>
      </c>
      <c r="F104" s="16" t="str" cm="1">
        <f t="array" ref="F1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4" s="31" cm="1">
        <f t="array" ref="G1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4" s="33" t="str">
        <f>_xlfn.IFNA(IF(MOD(HLG_06[[#This Row],[Rit]],
    _xlfn.XLOOKUP($G$2,Int_Sample[Ore],Int_Sample[Inc])) = 0, "YES", "NO"),"")</f>
        <v/>
      </c>
      <c r="I104" s="32" t="str">
        <f>TEXT(HLG_06[[#This Row],[Batch]],"000")&amp; " / " &amp; TEXT(HLG_06[[#This Row],[Rit]],"000")</f>
        <v>N/A / 000</v>
      </c>
      <c r="J104" s="34"/>
      <c r="K104" s="38"/>
      <c r="L104" s="35"/>
      <c r="M104" s="66"/>
      <c r="N104" s="85"/>
      <c r="O104" s="85"/>
      <c r="P104" s="85"/>
      <c r="Q104" s="85"/>
      <c r="R104" s="85"/>
      <c r="S104" s="85"/>
      <c r="T104" s="100"/>
      <c r="U104" s="100"/>
      <c r="V104" s="85"/>
      <c r="W104" s="85"/>
      <c r="X104" s="85"/>
      <c r="AP104" t="str">
        <v/>
      </c>
    </row>
    <row r="105" spans="4:42" ht="15.75" x14ac:dyDescent="0.25">
      <c r="D105" s="3">
        <v>1</v>
      </c>
      <c r="F105" s="16" t="str" cm="1">
        <f t="array" ref="F1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5" s="31" cm="1">
        <f t="array" ref="G1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5" s="33" t="str">
        <f>_xlfn.IFNA(IF(MOD(HLG_06[[#This Row],[Rit]],
    _xlfn.XLOOKUP($G$2,Int_Sample[Ore],Int_Sample[Inc])) = 0, "YES", "NO"),"")</f>
        <v/>
      </c>
      <c r="I105" s="32" t="str">
        <f>TEXT(HLG_06[[#This Row],[Batch]],"000")&amp; " / " &amp; TEXT(HLG_06[[#This Row],[Rit]],"000")</f>
        <v>N/A / 000</v>
      </c>
      <c r="J105" s="34"/>
      <c r="K105" s="38"/>
      <c r="L105" s="35"/>
      <c r="M105" s="66"/>
      <c r="N105" s="85"/>
      <c r="O105" s="85"/>
      <c r="P105" s="85"/>
      <c r="Q105" s="85"/>
      <c r="R105" s="85"/>
      <c r="S105" s="85"/>
      <c r="T105" s="100"/>
      <c r="U105" s="100"/>
      <c r="V105" s="85"/>
      <c r="W105" s="85"/>
      <c r="X105" s="85"/>
      <c r="AP105" t="str">
        <v/>
      </c>
    </row>
    <row r="106" spans="4:42" ht="15.75" x14ac:dyDescent="0.25">
      <c r="D106" s="3">
        <v>1</v>
      </c>
      <c r="F106" s="16" t="str" cm="1">
        <f t="array" ref="F1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6" s="31" cm="1">
        <f t="array" ref="G1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6" s="33" t="str">
        <f>_xlfn.IFNA(IF(MOD(HLG_06[[#This Row],[Rit]],
    _xlfn.XLOOKUP($G$2,Int_Sample[Ore],Int_Sample[Inc])) = 0, "YES", "NO"),"")</f>
        <v/>
      </c>
      <c r="I106" s="32" t="str">
        <f>TEXT(HLG_06[[#This Row],[Batch]],"000")&amp; " / " &amp; TEXT(HLG_06[[#This Row],[Rit]],"000")</f>
        <v>N/A / 000</v>
      </c>
      <c r="J106" s="34"/>
      <c r="K106" s="38"/>
      <c r="L106" s="35"/>
      <c r="M106" s="66"/>
      <c r="N106" s="85"/>
      <c r="O106" s="85"/>
      <c r="P106" s="85"/>
      <c r="Q106" s="85"/>
      <c r="R106" s="85"/>
      <c r="S106" s="85"/>
      <c r="T106" s="100"/>
      <c r="U106" s="100"/>
      <c r="V106" s="85"/>
      <c r="W106" s="85"/>
      <c r="X106" s="85"/>
      <c r="AP106" t="str">
        <v/>
      </c>
    </row>
    <row r="107" spans="4:42" ht="15.75" x14ac:dyDescent="0.25">
      <c r="D107" s="3">
        <v>1</v>
      </c>
      <c r="F107" s="16" t="str" cm="1">
        <f t="array" ref="F1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7" s="31" cm="1">
        <f t="array" ref="G1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7" s="33" t="str">
        <f>_xlfn.IFNA(IF(MOD(HLG_06[[#This Row],[Rit]],
    _xlfn.XLOOKUP($G$2,Int_Sample[Ore],Int_Sample[Inc])) = 0, "YES", "NO"),"")</f>
        <v/>
      </c>
      <c r="I107" s="32" t="str">
        <f>TEXT(HLG_06[[#This Row],[Batch]],"000")&amp; " / " &amp; TEXT(HLG_06[[#This Row],[Rit]],"000")</f>
        <v>N/A / 000</v>
      </c>
      <c r="J107" s="34"/>
      <c r="K107" s="38"/>
      <c r="L107" s="35"/>
      <c r="M107" s="66"/>
      <c r="N107" s="85"/>
      <c r="O107" s="85"/>
      <c r="P107" s="85"/>
      <c r="Q107" s="85"/>
      <c r="R107" s="85"/>
      <c r="S107" s="85"/>
      <c r="T107" s="100"/>
      <c r="U107" s="100"/>
      <c r="V107" s="85"/>
      <c r="W107" s="85"/>
      <c r="X107" s="85"/>
      <c r="AP107" t="str">
        <v/>
      </c>
    </row>
    <row r="108" spans="4:42" ht="15.75" x14ac:dyDescent="0.25">
      <c r="D108" s="3">
        <v>1</v>
      </c>
      <c r="F108" s="16" t="str" cm="1">
        <f t="array" ref="F1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8" s="31" cm="1">
        <f t="array" ref="G1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8" s="33" t="str">
        <f>_xlfn.IFNA(IF(MOD(HLG_06[[#This Row],[Rit]],
    _xlfn.XLOOKUP($G$2,Int_Sample[Ore],Int_Sample[Inc])) = 0, "YES", "NO"),"")</f>
        <v/>
      </c>
      <c r="I108" s="32" t="str">
        <f>TEXT(HLG_06[[#This Row],[Batch]],"000")&amp; " / " &amp; TEXT(HLG_06[[#This Row],[Rit]],"000")</f>
        <v>N/A / 000</v>
      </c>
      <c r="J108" s="34"/>
      <c r="K108" s="38"/>
      <c r="L108" s="35"/>
      <c r="M108" s="66"/>
      <c r="N108" s="85"/>
      <c r="O108" s="85"/>
      <c r="P108" s="85"/>
      <c r="Q108" s="85"/>
      <c r="R108" s="85"/>
      <c r="S108" s="85"/>
      <c r="T108" s="100"/>
      <c r="U108" s="100"/>
      <c r="V108" s="85"/>
      <c r="W108" s="85"/>
      <c r="X108" s="85"/>
      <c r="AP108" t="str">
        <v/>
      </c>
    </row>
    <row r="109" spans="4:42" ht="15.75" x14ac:dyDescent="0.25">
      <c r="D109" s="3">
        <v>1</v>
      </c>
      <c r="F109" s="16" t="str" cm="1">
        <f t="array" ref="F1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09" s="31" cm="1">
        <f t="array" ref="G1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09" s="33" t="str">
        <f>_xlfn.IFNA(IF(MOD(HLG_06[[#This Row],[Rit]],
    _xlfn.XLOOKUP($G$2,Int_Sample[Ore],Int_Sample[Inc])) = 0, "YES", "NO"),"")</f>
        <v/>
      </c>
      <c r="I109" s="32" t="str">
        <f>TEXT(HLG_06[[#This Row],[Batch]],"000")&amp; " / " &amp; TEXT(HLG_06[[#This Row],[Rit]],"000")</f>
        <v>N/A / 000</v>
      </c>
      <c r="J109" s="34"/>
      <c r="K109" s="38"/>
      <c r="L109" s="35"/>
      <c r="M109" s="66"/>
      <c r="N109" s="85"/>
      <c r="O109" s="85"/>
      <c r="P109" s="85"/>
      <c r="Q109" s="85"/>
      <c r="R109" s="85"/>
      <c r="S109" s="85"/>
      <c r="T109" s="100"/>
      <c r="U109" s="100"/>
      <c r="V109" s="85"/>
      <c r="W109" s="85"/>
      <c r="X109" s="85"/>
      <c r="AP109" t="str">
        <v/>
      </c>
    </row>
    <row r="110" spans="4:42" ht="15.75" x14ac:dyDescent="0.25">
      <c r="D110" s="3">
        <v>1</v>
      </c>
      <c r="F110" s="16" t="str" cm="1">
        <f t="array" ref="F1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0" s="31" cm="1">
        <f t="array" ref="G1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0" s="33" t="str">
        <f>_xlfn.IFNA(IF(MOD(HLG_06[[#This Row],[Rit]],
    _xlfn.XLOOKUP($G$2,Int_Sample[Ore],Int_Sample[Inc])) = 0, "YES", "NO"),"")</f>
        <v/>
      </c>
      <c r="I110" s="32" t="str">
        <f>TEXT(HLG_06[[#This Row],[Batch]],"000")&amp; " / " &amp; TEXT(HLG_06[[#This Row],[Rit]],"000")</f>
        <v>N/A / 000</v>
      </c>
      <c r="J110" s="34"/>
      <c r="K110" s="38"/>
      <c r="L110" s="35"/>
      <c r="M110" s="66"/>
      <c r="N110" s="85"/>
      <c r="O110" s="85"/>
      <c r="P110" s="85"/>
      <c r="Q110" s="85"/>
      <c r="R110" s="85"/>
      <c r="S110" s="85"/>
      <c r="T110" s="100"/>
      <c r="U110" s="100"/>
      <c r="V110" s="85"/>
      <c r="W110" s="85"/>
      <c r="X110" s="85"/>
      <c r="AP110" t="str">
        <v/>
      </c>
    </row>
    <row r="111" spans="4:42" ht="15.75" x14ac:dyDescent="0.25">
      <c r="D111" s="3">
        <v>1</v>
      </c>
      <c r="F111" s="16" t="str" cm="1">
        <f t="array" ref="F1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1" s="31" cm="1">
        <f t="array" ref="G1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1" s="33" t="str">
        <f>_xlfn.IFNA(IF(MOD(HLG_06[[#This Row],[Rit]],
    _xlfn.XLOOKUP($G$2,Int_Sample[Ore],Int_Sample[Inc])) = 0, "YES", "NO"),"")</f>
        <v/>
      </c>
      <c r="I111" s="32" t="str">
        <f>TEXT(HLG_06[[#This Row],[Batch]],"000")&amp; " / " &amp; TEXT(HLG_06[[#This Row],[Rit]],"000")</f>
        <v>N/A / 000</v>
      </c>
      <c r="J111" s="34"/>
      <c r="K111" s="38"/>
      <c r="L111" s="35"/>
      <c r="M111" s="66"/>
      <c r="N111" s="66"/>
      <c r="O111" s="66"/>
      <c r="P111" s="66"/>
      <c r="Q111" s="66"/>
      <c r="R111" s="67"/>
      <c r="S111" s="67"/>
      <c r="T111" s="67"/>
      <c r="U111" s="66"/>
      <c r="V111" s="66"/>
      <c r="W111" s="66"/>
      <c r="X111" s="85"/>
      <c r="AP111" t="str">
        <v/>
      </c>
    </row>
    <row r="112" spans="4:42" ht="15.75" x14ac:dyDescent="0.25">
      <c r="D112" s="3">
        <v>1</v>
      </c>
      <c r="F112" s="16" t="str" cm="1">
        <f t="array" ref="F1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2" s="31" cm="1">
        <f t="array" ref="G1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2" s="33" t="str">
        <f>_xlfn.IFNA(IF(MOD(HLG_06[[#This Row],[Rit]],
    _xlfn.XLOOKUP($G$2,Int_Sample[Ore],Int_Sample[Inc])) = 0, "YES", "NO"),"")</f>
        <v/>
      </c>
      <c r="I112" s="32" t="str">
        <f>TEXT(HLG_06[[#This Row],[Batch]],"000")&amp; " / " &amp; TEXT(HLG_06[[#This Row],[Rit]],"000")</f>
        <v>N/A / 000</v>
      </c>
      <c r="J112" s="34"/>
      <c r="K112" s="38"/>
      <c r="L112" s="35"/>
      <c r="M112" s="66"/>
      <c r="N112" s="66"/>
      <c r="O112" s="66"/>
      <c r="P112" s="66"/>
      <c r="Q112" s="66"/>
      <c r="R112" s="67"/>
      <c r="S112" s="67"/>
      <c r="T112" s="67"/>
      <c r="U112" s="66"/>
      <c r="V112" s="66"/>
      <c r="W112" s="66"/>
      <c r="X112" s="85"/>
      <c r="AP112" t="str">
        <v/>
      </c>
    </row>
    <row r="113" spans="4:42" ht="15.75" x14ac:dyDescent="0.25">
      <c r="D113" s="3">
        <v>1</v>
      </c>
      <c r="F113" s="16" t="str" cm="1">
        <f t="array" ref="F1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3" s="31" cm="1">
        <f t="array" ref="G1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3" s="33" t="str">
        <f>_xlfn.IFNA(IF(MOD(HLG_06[[#This Row],[Rit]],
    _xlfn.XLOOKUP($G$2,Int_Sample[Ore],Int_Sample[Inc])) = 0, "YES", "NO"),"")</f>
        <v/>
      </c>
      <c r="I113" s="32" t="str">
        <f>TEXT(HLG_06[[#This Row],[Batch]],"000")&amp; " / " &amp; TEXT(HLG_06[[#This Row],[Rit]],"000")</f>
        <v>N/A / 000</v>
      </c>
      <c r="J113" s="34"/>
      <c r="K113" s="38"/>
      <c r="L113" s="35"/>
      <c r="M113" s="66"/>
      <c r="N113" s="66"/>
      <c r="O113" s="66"/>
      <c r="P113" s="66"/>
      <c r="Q113" s="66"/>
      <c r="R113" s="67"/>
      <c r="S113" s="67"/>
      <c r="T113" s="67"/>
      <c r="U113" s="66"/>
      <c r="V113" s="66"/>
      <c r="W113" s="66"/>
      <c r="X113" s="85"/>
      <c r="AP113" t="str">
        <v/>
      </c>
    </row>
    <row r="114" spans="4:42" ht="15.75" x14ac:dyDescent="0.25">
      <c r="D114" s="3">
        <v>1</v>
      </c>
      <c r="F114" s="16" t="str" cm="1">
        <f t="array" ref="F1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4" s="31" cm="1">
        <f t="array" ref="G1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4" s="33" t="str">
        <f>_xlfn.IFNA(IF(MOD(HLG_06[[#This Row],[Rit]],
    _xlfn.XLOOKUP($G$2,Int_Sample[Ore],Int_Sample[Inc])) = 0, "YES", "NO"),"")</f>
        <v/>
      </c>
      <c r="I114" s="32" t="str">
        <f>TEXT(HLG_06[[#This Row],[Batch]],"000")&amp; " / " &amp; TEXT(HLG_06[[#This Row],[Rit]],"000")</f>
        <v>N/A / 000</v>
      </c>
      <c r="J114" s="34"/>
      <c r="K114" s="38"/>
      <c r="L114" s="35"/>
      <c r="M114" s="66"/>
      <c r="N114" s="66"/>
      <c r="O114" s="66"/>
      <c r="P114" s="66"/>
      <c r="Q114" s="66"/>
      <c r="R114" s="67"/>
      <c r="S114" s="67"/>
      <c r="T114" s="67"/>
      <c r="U114" s="66"/>
      <c r="V114" s="66"/>
      <c r="W114" s="66"/>
      <c r="X114" s="85"/>
      <c r="AP114" t="str">
        <v/>
      </c>
    </row>
    <row r="115" spans="4:42" ht="15.75" x14ac:dyDescent="0.25">
      <c r="D115" s="3">
        <v>1</v>
      </c>
      <c r="F115" s="16" t="str" cm="1">
        <f t="array" ref="F1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5" s="31" cm="1">
        <f t="array" ref="G1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5" s="33" t="str">
        <f>_xlfn.IFNA(IF(MOD(HLG_06[[#This Row],[Rit]],
    _xlfn.XLOOKUP($G$2,Int_Sample[Ore],Int_Sample[Inc])) = 0, "YES", "NO"),"")</f>
        <v/>
      </c>
      <c r="I115" s="32" t="str">
        <f>TEXT(HLG_06[[#This Row],[Batch]],"000")&amp; " / " &amp; TEXT(HLG_06[[#This Row],[Rit]],"000")</f>
        <v>N/A / 000</v>
      </c>
      <c r="J115" s="34"/>
      <c r="K115" s="38"/>
      <c r="L115" s="35"/>
      <c r="M115" s="66"/>
      <c r="N115" s="66"/>
      <c r="O115" s="66"/>
      <c r="P115" s="66"/>
      <c r="Q115" s="66"/>
      <c r="R115" s="67"/>
      <c r="S115" s="67"/>
      <c r="T115" s="67"/>
      <c r="U115" s="66"/>
      <c r="V115" s="66"/>
      <c r="W115" s="66"/>
      <c r="X115" s="85"/>
      <c r="AP115" t="str">
        <v/>
      </c>
    </row>
    <row r="116" spans="4:42" ht="15.75" x14ac:dyDescent="0.25">
      <c r="D116" s="3">
        <v>1</v>
      </c>
      <c r="F116" s="16" t="str" cm="1">
        <f t="array" ref="F1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6" s="31" cm="1">
        <f t="array" ref="G1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6" s="33" t="str">
        <f>_xlfn.IFNA(IF(MOD(HLG_06[[#This Row],[Rit]],
    _xlfn.XLOOKUP($G$2,Int_Sample[Ore],Int_Sample[Inc])) = 0, "YES", "NO"),"")</f>
        <v/>
      </c>
      <c r="I116" s="32" t="str">
        <f>TEXT(HLG_06[[#This Row],[Batch]],"000")&amp; " / " &amp; TEXT(HLG_06[[#This Row],[Rit]],"000")</f>
        <v>N/A / 000</v>
      </c>
      <c r="J116" s="34"/>
      <c r="K116" s="38"/>
      <c r="L116" s="35"/>
      <c r="M116" s="66"/>
      <c r="N116" s="66"/>
      <c r="O116" s="66"/>
      <c r="P116" s="66"/>
      <c r="Q116" s="66"/>
      <c r="R116" s="67"/>
      <c r="S116" s="67"/>
      <c r="T116" s="67"/>
      <c r="U116" s="66"/>
      <c r="V116" s="66"/>
      <c r="W116" s="66"/>
      <c r="X116" s="85"/>
      <c r="AP116" t="str">
        <v/>
      </c>
    </row>
    <row r="117" spans="4:42" ht="15.75" x14ac:dyDescent="0.25">
      <c r="D117" s="3">
        <v>1</v>
      </c>
      <c r="F117" s="16" t="str" cm="1">
        <f t="array" ref="F1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7" s="31" cm="1">
        <f t="array" ref="G1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7" s="33" t="str">
        <f>_xlfn.IFNA(IF(MOD(HLG_06[[#This Row],[Rit]],
    _xlfn.XLOOKUP($G$2,Int_Sample[Ore],Int_Sample[Inc])) = 0, "YES", "NO"),"")</f>
        <v/>
      </c>
      <c r="I117" s="32" t="str">
        <f>TEXT(HLG_06[[#This Row],[Batch]],"000")&amp; " / " &amp; TEXT(HLG_06[[#This Row],[Rit]],"000")</f>
        <v>N/A / 000</v>
      </c>
      <c r="J117" s="34"/>
      <c r="K117" s="38"/>
      <c r="L117" s="35"/>
      <c r="M117" s="66"/>
      <c r="N117" s="66"/>
      <c r="O117" s="66"/>
      <c r="P117" s="66"/>
      <c r="Q117" s="66"/>
      <c r="R117" s="67"/>
      <c r="S117" s="67"/>
      <c r="T117" s="67"/>
      <c r="U117" s="66"/>
      <c r="V117" s="66"/>
      <c r="W117" s="66"/>
      <c r="X117" s="85"/>
      <c r="AP117" t="str">
        <v/>
      </c>
    </row>
    <row r="118" spans="4:42" ht="15.75" x14ac:dyDescent="0.25">
      <c r="D118" s="3">
        <v>1</v>
      </c>
      <c r="F118" s="16" t="str" cm="1">
        <f t="array" ref="F1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8" s="31" cm="1">
        <f t="array" ref="G1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8" s="33" t="str">
        <f>_xlfn.IFNA(IF(MOD(HLG_06[[#This Row],[Rit]],
    _xlfn.XLOOKUP($G$2,Int_Sample[Ore],Int_Sample[Inc])) = 0, "YES", "NO"),"")</f>
        <v/>
      </c>
      <c r="I118" s="32" t="str">
        <f>TEXT(HLG_06[[#This Row],[Batch]],"000")&amp; " / " &amp; TEXT(HLG_06[[#This Row],[Rit]],"000")</f>
        <v>N/A / 000</v>
      </c>
      <c r="J118" s="34"/>
      <c r="K118" s="38"/>
      <c r="L118" s="35"/>
      <c r="M118" s="66"/>
      <c r="N118" s="66"/>
      <c r="O118" s="66"/>
      <c r="P118" s="66"/>
      <c r="Q118" s="66"/>
      <c r="R118" s="67"/>
      <c r="S118" s="67"/>
      <c r="T118" s="67"/>
      <c r="U118" s="66"/>
      <c r="V118" s="66"/>
      <c r="W118" s="66"/>
      <c r="X118" s="85"/>
      <c r="AP118" t="str">
        <v/>
      </c>
    </row>
    <row r="119" spans="4:42" ht="15.75" x14ac:dyDescent="0.25">
      <c r="D119" s="3">
        <v>1</v>
      </c>
      <c r="F119" s="16" t="str" cm="1">
        <f t="array" ref="F1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19" s="31" cm="1">
        <f t="array" ref="G1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19" s="33" t="str">
        <f>_xlfn.IFNA(IF(MOD(HLG_06[[#This Row],[Rit]],
    _xlfn.XLOOKUP($G$2,Int_Sample[Ore],Int_Sample[Inc])) = 0, "YES", "NO"),"")</f>
        <v/>
      </c>
      <c r="I119" s="32" t="str">
        <f>TEXT(HLG_06[[#This Row],[Batch]],"000")&amp; " / " &amp; TEXT(HLG_06[[#This Row],[Rit]],"000")</f>
        <v>N/A / 000</v>
      </c>
      <c r="J119" s="34"/>
      <c r="K119" s="38"/>
      <c r="L119" s="35"/>
      <c r="M119" s="66"/>
      <c r="N119" s="66"/>
      <c r="O119" s="66"/>
      <c r="P119" s="66"/>
      <c r="Q119" s="66"/>
      <c r="R119" s="67"/>
      <c r="S119" s="67"/>
      <c r="T119" s="67"/>
      <c r="U119" s="66"/>
      <c r="V119" s="66"/>
      <c r="W119" s="66"/>
      <c r="X119" s="85"/>
      <c r="AP119" t="str">
        <v/>
      </c>
    </row>
    <row r="120" spans="4:42" ht="15.75" x14ac:dyDescent="0.25">
      <c r="D120" s="3">
        <v>1</v>
      </c>
      <c r="F120" s="16" t="str" cm="1">
        <f t="array" ref="F1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0" s="31" cm="1">
        <f t="array" ref="G1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0" s="33" t="str">
        <f>_xlfn.IFNA(IF(MOD(HLG_06[[#This Row],[Rit]],
    _xlfn.XLOOKUP($G$2,Int_Sample[Ore],Int_Sample[Inc])) = 0, "YES", "NO"),"")</f>
        <v/>
      </c>
      <c r="I120" s="32" t="str">
        <f>TEXT(HLG_06[[#This Row],[Batch]],"000")&amp; " / " &amp; TEXT(HLG_06[[#This Row],[Rit]],"000")</f>
        <v>N/A / 000</v>
      </c>
      <c r="J120" s="34"/>
      <c r="K120" s="38"/>
      <c r="L120" s="35"/>
      <c r="M120" s="66"/>
      <c r="N120" s="66"/>
      <c r="O120" s="66"/>
      <c r="P120" s="66"/>
      <c r="Q120" s="66"/>
      <c r="R120" s="67"/>
      <c r="S120" s="67"/>
      <c r="T120" s="67"/>
      <c r="U120" s="66"/>
      <c r="V120" s="66"/>
      <c r="W120" s="66"/>
      <c r="X120" s="85"/>
      <c r="AP120" t="str">
        <v/>
      </c>
    </row>
    <row r="121" spans="4:42" ht="15.75" x14ac:dyDescent="0.25">
      <c r="D121" s="3">
        <v>1</v>
      </c>
      <c r="F121" s="16" t="str" cm="1">
        <f t="array" ref="F1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1" s="31" cm="1">
        <f t="array" ref="G1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1" s="33" t="str">
        <f>_xlfn.IFNA(IF(MOD(HLG_06[[#This Row],[Rit]],
    _xlfn.XLOOKUP($G$2,Int_Sample[Ore],Int_Sample[Inc])) = 0, "YES", "NO"),"")</f>
        <v/>
      </c>
      <c r="I121" s="32" t="str">
        <f>TEXT(HLG_06[[#This Row],[Batch]],"000")&amp; " / " &amp; TEXT(HLG_06[[#This Row],[Rit]],"000")</f>
        <v>N/A / 000</v>
      </c>
      <c r="J121" s="34"/>
      <c r="K121" s="38"/>
      <c r="L121" s="35"/>
      <c r="M121" s="66"/>
      <c r="N121" s="66"/>
      <c r="O121" s="66"/>
      <c r="P121" s="66"/>
      <c r="Q121" s="66"/>
      <c r="R121" s="67"/>
      <c r="S121" s="67"/>
      <c r="T121" s="67"/>
      <c r="U121" s="66"/>
      <c r="V121" s="66"/>
      <c r="W121" s="66"/>
      <c r="X121" s="85"/>
      <c r="AP121" t="str">
        <v/>
      </c>
    </row>
    <row r="122" spans="4:42" ht="15.75" x14ac:dyDescent="0.25">
      <c r="D122" s="3">
        <v>1</v>
      </c>
      <c r="F122" s="16" t="str" cm="1">
        <f t="array" ref="F1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2" s="31" cm="1">
        <f t="array" ref="G1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2" s="33" t="str">
        <f>_xlfn.IFNA(IF(MOD(HLG_06[[#This Row],[Rit]],
    _xlfn.XLOOKUP($G$2,Int_Sample[Ore],Int_Sample[Inc])) = 0, "YES", "NO"),"")</f>
        <v/>
      </c>
      <c r="I122" s="32" t="str">
        <f>TEXT(HLG_06[[#This Row],[Batch]],"000")&amp; " / " &amp; TEXT(HLG_06[[#This Row],[Rit]],"000")</f>
        <v>N/A / 000</v>
      </c>
      <c r="J122" s="34"/>
      <c r="K122" s="38"/>
      <c r="L122" s="35"/>
      <c r="M122" s="66"/>
      <c r="N122" s="66"/>
      <c r="O122" s="66"/>
      <c r="P122" s="66"/>
      <c r="Q122" s="66"/>
      <c r="R122" s="67"/>
      <c r="S122" s="67"/>
      <c r="T122" s="67"/>
      <c r="U122" s="66"/>
      <c r="V122" s="66"/>
      <c r="W122" s="66"/>
      <c r="X122" s="85"/>
      <c r="AP122" t="str">
        <v/>
      </c>
    </row>
    <row r="123" spans="4:42" ht="15.75" x14ac:dyDescent="0.25">
      <c r="D123" s="3">
        <v>1</v>
      </c>
      <c r="F123" s="16" t="str" cm="1">
        <f t="array" ref="F1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3" s="31" cm="1">
        <f t="array" ref="G1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3" s="33" t="str">
        <f>_xlfn.IFNA(IF(MOD(HLG_06[[#This Row],[Rit]],
    _xlfn.XLOOKUP($G$2,Int_Sample[Ore],Int_Sample[Inc])) = 0, "YES", "NO"),"")</f>
        <v/>
      </c>
      <c r="I123" s="32" t="str">
        <f>TEXT(HLG_06[[#This Row],[Batch]],"000")&amp; " / " &amp; TEXT(HLG_06[[#This Row],[Rit]],"000")</f>
        <v>N/A / 000</v>
      </c>
      <c r="J123" s="34"/>
      <c r="K123" s="38"/>
      <c r="L123" s="35"/>
      <c r="M123" s="66"/>
      <c r="N123" s="66"/>
      <c r="O123" s="66"/>
      <c r="P123" s="66"/>
      <c r="Q123" s="66"/>
      <c r="R123" s="67"/>
      <c r="S123" s="67"/>
      <c r="T123" s="67"/>
      <c r="U123" s="66"/>
      <c r="V123" s="66"/>
      <c r="W123" s="66"/>
      <c r="X123" s="85"/>
      <c r="AP123" t="str">
        <v/>
      </c>
    </row>
    <row r="124" spans="4:42" ht="15.75" x14ac:dyDescent="0.25">
      <c r="D124" s="3">
        <v>1</v>
      </c>
      <c r="F124" s="16" t="str" cm="1">
        <f t="array" ref="F1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4" s="31" cm="1">
        <f t="array" ref="G1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4" s="33" t="str">
        <f>_xlfn.IFNA(IF(MOD(HLG_06[[#This Row],[Rit]],
    _xlfn.XLOOKUP($G$2,Int_Sample[Ore],Int_Sample[Inc])) = 0, "YES", "NO"),"")</f>
        <v/>
      </c>
      <c r="I124" s="32" t="str">
        <f>TEXT(HLG_06[[#This Row],[Batch]],"000")&amp; " / " &amp; TEXT(HLG_06[[#This Row],[Rit]],"000")</f>
        <v>N/A / 000</v>
      </c>
      <c r="J124" s="34"/>
      <c r="K124" s="38"/>
      <c r="L124" s="35"/>
      <c r="M124" s="66"/>
      <c r="N124" s="66"/>
      <c r="O124" s="66"/>
      <c r="P124" s="66"/>
      <c r="Q124" s="66"/>
      <c r="R124" s="67"/>
      <c r="S124" s="67"/>
      <c r="T124" s="67"/>
      <c r="U124" s="66"/>
      <c r="V124" s="66"/>
      <c r="W124" s="66"/>
      <c r="X124" s="85"/>
      <c r="AP124" t="str">
        <v/>
      </c>
    </row>
    <row r="125" spans="4:42" ht="15.75" x14ac:dyDescent="0.25">
      <c r="D125" s="3">
        <v>1</v>
      </c>
      <c r="F125" s="16" t="str" cm="1">
        <f t="array" ref="F1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5" s="31" cm="1">
        <f t="array" ref="G1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5" s="33" t="str">
        <f>_xlfn.IFNA(IF(MOD(HLG_06[[#This Row],[Rit]],
    _xlfn.XLOOKUP($G$2,Int_Sample[Ore],Int_Sample[Inc])) = 0, "YES", "NO"),"")</f>
        <v/>
      </c>
      <c r="I125" s="32" t="str">
        <f>TEXT(HLG_06[[#This Row],[Batch]],"000")&amp; " / " &amp; TEXT(HLG_06[[#This Row],[Rit]],"000")</f>
        <v>N/A / 000</v>
      </c>
      <c r="J125" s="34"/>
      <c r="K125" s="38"/>
      <c r="L125" s="35"/>
      <c r="M125" s="66"/>
      <c r="N125" s="66"/>
      <c r="O125" s="66"/>
      <c r="P125" s="66"/>
      <c r="Q125" s="66"/>
      <c r="R125" s="67"/>
      <c r="S125" s="67"/>
      <c r="T125" s="67"/>
      <c r="U125" s="66"/>
      <c r="V125" s="66"/>
      <c r="W125" s="66"/>
      <c r="X125" s="85"/>
      <c r="AP125" t="str">
        <v/>
      </c>
    </row>
    <row r="126" spans="4:42" ht="15.75" x14ac:dyDescent="0.25">
      <c r="D126" s="3">
        <v>1</v>
      </c>
      <c r="F126" s="16" t="str" cm="1">
        <f t="array" ref="F1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6" s="31" cm="1">
        <f t="array" ref="G1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6" s="33" t="str">
        <f>_xlfn.IFNA(IF(MOD(HLG_06[[#This Row],[Rit]],
    _xlfn.XLOOKUP($G$2,Int_Sample[Ore],Int_Sample[Inc])) = 0, "YES", "NO"),"")</f>
        <v/>
      </c>
      <c r="I126" s="32" t="str">
        <f>TEXT(HLG_06[[#This Row],[Batch]],"000")&amp; " / " &amp; TEXT(HLG_06[[#This Row],[Rit]],"000")</f>
        <v>N/A / 000</v>
      </c>
      <c r="J126" s="34"/>
      <c r="K126" s="38"/>
      <c r="L126" s="35"/>
      <c r="M126" s="66"/>
      <c r="N126" s="66"/>
      <c r="O126" s="66"/>
      <c r="P126" s="66"/>
      <c r="Q126" s="66"/>
      <c r="R126" s="67"/>
      <c r="S126" s="67"/>
      <c r="T126" s="67"/>
      <c r="U126" s="66"/>
      <c r="V126" s="66"/>
      <c r="W126" s="66"/>
      <c r="X126" s="85"/>
      <c r="AP126" t="str">
        <v/>
      </c>
    </row>
    <row r="127" spans="4:42" ht="15.75" x14ac:dyDescent="0.25">
      <c r="D127" s="3">
        <v>1</v>
      </c>
      <c r="F127" s="16" t="str" cm="1">
        <f t="array" ref="F1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7" s="31" cm="1">
        <f t="array" ref="G1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7" s="33" t="str">
        <f>_xlfn.IFNA(IF(MOD(HLG_06[[#This Row],[Rit]],
    _xlfn.XLOOKUP($G$2,Int_Sample[Ore],Int_Sample[Inc])) = 0, "YES", "NO"),"")</f>
        <v/>
      </c>
      <c r="I127" s="32" t="str">
        <f>TEXT(HLG_06[[#This Row],[Batch]],"000")&amp; " / " &amp; TEXT(HLG_06[[#This Row],[Rit]],"000")</f>
        <v>N/A / 000</v>
      </c>
      <c r="J127" s="34"/>
      <c r="K127" s="38"/>
      <c r="L127" s="35"/>
      <c r="M127" s="66"/>
      <c r="N127" s="66"/>
      <c r="O127" s="66"/>
      <c r="P127" s="66"/>
      <c r="Q127" s="66"/>
      <c r="R127" s="67"/>
      <c r="S127" s="67"/>
      <c r="T127" s="67"/>
      <c r="U127" s="66"/>
      <c r="V127" s="66"/>
      <c r="W127" s="66"/>
      <c r="X127" s="85"/>
      <c r="AP127" t="str">
        <v/>
      </c>
    </row>
    <row r="128" spans="4:42" ht="15.75" x14ac:dyDescent="0.25">
      <c r="D128" s="3">
        <v>1</v>
      </c>
      <c r="F128" s="16" t="str" cm="1">
        <f t="array" ref="F1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8" s="31" cm="1">
        <f t="array" ref="G1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8" s="33" t="str">
        <f>_xlfn.IFNA(IF(MOD(HLG_06[[#This Row],[Rit]],
    _xlfn.XLOOKUP($G$2,Int_Sample[Ore],Int_Sample[Inc])) = 0, "YES", "NO"),"")</f>
        <v/>
      </c>
      <c r="I128" s="32" t="str">
        <f>TEXT(HLG_06[[#This Row],[Batch]],"000")&amp; " / " &amp; TEXT(HLG_06[[#This Row],[Rit]],"000")</f>
        <v>N/A / 000</v>
      </c>
      <c r="J128" s="34"/>
      <c r="K128" s="38"/>
      <c r="L128" s="35"/>
      <c r="M128" s="66"/>
      <c r="N128" s="66"/>
      <c r="O128" s="66"/>
      <c r="P128" s="66"/>
      <c r="Q128" s="66"/>
      <c r="R128" s="67"/>
      <c r="S128" s="67"/>
      <c r="T128" s="67"/>
      <c r="U128" s="66"/>
      <c r="V128" s="66"/>
      <c r="W128" s="66"/>
      <c r="X128" s="85"/>
      <c r="AP128" t="str">
        <v/>
      </c>
    </row>
    <row r="129" spans="4:42" ht="15.75" x14ac:dyDescent="0.25">
      <c r="D129" s="3">
        <v>1</v>
      </c>
      <c r="F129" s="16" t="str" cm="1">
        <f t="array" ref="F1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29" s="31" cm="1">
        <f t="array" ref="G1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29" s="33" t="str">
        <f>_xlfn.IFNA(IF(MOD(HLG_06[[#This Row],[Rit]],
    _xlfn.XLOOKUP($G$2,Int_Sample[Ore],Int_Sample[Inc])) = 0, "YES", "NO"),"")</f>
        <v/>
      </c>
      <c r="I129" s="32" t="str">
        <f>TEXT(HLG_06[[#This Row],[Batch]],"000")&amp; " / " &amp; TEXT(HLG_06[[#This Row],[Rit]],"000")</f>
        <v>N/A / 000</v>
      </c>
      <c r="J129" s="34"/>
      <c r="K129" s="38"/>
      <c r="L129" s="35"/>
      <c r="M129" s="66"/>
      <c r="N129" s="66"/>
      <c r="O129" s="66"/>
      <c r="P129" s="66"/>
      <c r="Q129" s="66"/>
      <c r="R129" s="67"/>
      <c r="S129" s="67"/>
      <c r="T129" s="67"/>
      <c r="U129" s="66"/>
      <c r="V129" s="66"/>
      <c r="W129" s="66"/>
      <c r="X129" s="85"/>
      <c r="AP129" t="str">
        <v/>
      </c>
    </row>
    <row r="130" spans="4:42" ht="15.75" x14ac:dyDescent="0.25">
      <c r="D130" s="3">
        <v>1</v>
      </c>
      <c r="F130" s="16" t="str" cm="1">
        <f t="array" ref="F1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0" s="31" cm="1">
        <f t="array" ref="G1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0" s="33" t="str">
        <f>_xlfn.IFNA(IF(MOD(HLG_06[[#This Row],[Rit]],
    _xlfn.XLOOKUP($G$2,Int_Sample[Ore],Int_Sample[Inc])) = 0, "YES", "NO"),"")</f>
        <v/>
      </c>
      <c r="I130" s="32" t="str">
        <f>TEXT(HLG_06[[#This Row],[Batch]],"000")&amp; " / " &amp; TEXT(HLG_06[[#This Row],[Rit]],"000")</f>
        <v>N/A / 000</v>
      </c>
      <c r="J130" s="34"/>
      <c r="K130" s="38"/>
      <c r="L130" s="35"/>
      <c r="M130" s="66"/>
      <c r="N130" s="66"/>
      <c r="O130" s="66"/>
      <c r="P130" s="66"/>
      <c r="Q130" s="66"/>
      <c r="R130" s="67"/>
      <c r="S130" s="67"/>
      <c r="T130" s="67"/>
      <c r="U130" s="66"/>
      <c r="V130" s="66"/>
      <c r="W130" s="66"/>
      <c r="X130" s="85"/>
      <c r="AP130" t="str">
        <v/>
      </c>
    </row>
    <row r="131" spans="4:42" ht="15.75" x14ac:dyDescent="0.25">
      <c r="D131" s="3">
        <v>1</v>
      </c>
      <c r="F131" s="16" t="str" cm="1">
        <f t="array" ref="F1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1" s="31" cm="1">
        <f t="array" ref="G1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1" s="33" t="str">
        <f>_xlfn.IFNA(IF(MOD(HLG_06[[#This Row],[Rit]],
    _xlfn.XLOOKUP($G$2,Int_Sample[Ore],Int_Sample[Inc])) = 0, "YES", "NO"),"")</f>
        <v/>
      </c>
      <c r="I131" s="32" t="str">
        <f>TEXT(HLG_06[[#This Row],[Batch]],"000")&amp; " / " &amp; TEXT(HLG_06[[#This Row],[Rit]],"000")</f>
        <v>N/A / 000</v>
      </c>
      <c r="J131" s="34"/>
      <c r="K131" s="38"/>
      <c r="L131" s="35"/>
      <c r="M131" s="66"/>
      <c r="N131" s="66"/>
      <c r="O131" s="66"/>
      <c r="P131" s="66"/>
      <c r="Q131" s="66"/>
      <c r="R131" s="67"/>
      <c r="S131" s="67"/>
      <c r="T131" s="67"/>
      <c r="U131" s="66"/>
      <c r="V131" s="66"/>
      <c r="W131" s="66"/>
      <c r="X131" s="85"/>
      <c r="AP131" t="str">
        <v/>
      </c>
    </row>
    <row r="132" spans="4:42" ht="15.75" x14ac:dyDescent="0.25">
      <c r="D132" s="3">
        <v>1</v>
      </c>
      <c r="F132" s="16" t="str" cm="1">
        <f t="array" ref="F1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2" s="31" cm="1">
        <f t="array" ref="G1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2" s="33" t="str">
        <f>_xlfn.IFNA(IF(MOD(HLG_06[[#This Row],[Rit]],
    _xlfn.XLOOKUP($G$2,Int_Sample[Ore],Int_Sample[Inc])) = 0, "YES", "NO"),"")</f>
        <v/>
      </c>
      <c r="I132" s="32" t="str">
        <f>TEXT(HLG_06[[#This Row],[Batch]],"000")&amp; " / " &amp; TEXT(HLG_06[[#This Row],[Rit]],"000")</f>
        <v>N/A / 000</v>
      </c>
      <c r="J132" s="34"/>
      <c r="K132" s="38"/>
      <c r="L132" s="35"/>
      <c r="M132" s="66"/>
      <c r="N132" s="66"/>
      <c r="O132" s="66"/>
      <c r="P132" s="66"/>
      <c r="Q132" s="66"/>
      <c r="R132" s="67"/>
      <c r="S132" s="67"/>
      <c r="T132" s="67"/>
      <c r="U132" s="66"/>
      <c r="V132" s="66"/>
      <c r="W132" s="66"/>
      <c r="X132" s="85"/>
      <c r="AP132" t="str">
        <v/>
      </c>
    </row>
    <row r="133" spans="4:42" ht="15.75" x14ac:dyDescent="0.25">
      <c r="D133" s="3">
        <v>1</v>
      </c>
      <c r="F133" s="16" t="str" cm="1">
        <f t="array" ref="F1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3" s="31" cm="1">
        <f t="array" ref="G1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3" s="33" t="str">
        <f>_xlfn.IFNA(IF(MOD(HLG_06[[#This Row],[Rit]],
    _xlfn.XLOOKUP($G$2,Int_Sample[Ore],Int_Sample[Inc])) = 0, "YES", "NO"),"")</f>
        <v/>
      </c>
      <c r="I133" s="32" t="str">
        <f>TEXT(HLG_06[[#This Row],[Batch]],"000")&amp; " / " &amp; TEXT(HLG_06[[#This Row],[Rit]],"000")</f>
        <v>N/A / 000</v>
      </c>
      <c r="J133" s="34"/>
      <c r="K133" s="38"/>
      <c r="L133" s="35"/>
      <c r="M133" s="66"/>
      <c r="N133" s="66"/>
      <c r="O133" s="66"/>
      <c r="P133" s="66"/>
      <c r="Q133" s="66"/>
      <c r="R133" s="67"/>
      <c r="S133" s="67"/>
      <c r="T133" s="67"/>
      <c r="U133" s="66"/>
      <c r="V133" s="66"/>
      <c r="W133" s="66"/>
      <c r="X133" s="85"/>
      <c r="AP133" t="str">
        <v/>
      </c>
    </row>
    <row r="134" spans="4:42" ht="15.75" x14ac:dyDescent="0.25">
      <c r="D134" s="3">
        <v>1</v>
      </c>
      <c r="F134" s="16" t="str" cm="1">
        <f t="array" ref="F1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4" s="31" cm="1">
        <f t="array" ref="G1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4" s="33" t="str">
        <f>_xlfn.IFNA(IF(MOD(HLG_06[[#This Row],[Rit]],
    _xlfn.XLOOKUP($G$2,Int_Sample[Ore],Int_Sample[Inc])) = 0, "YES", "NO"),"")</f>
        <v/>
      </c>
      <c r="I134" s="32" t="str">
        <f>TEXT(HLG_06[[#This Row],[Batch]],"000")&amp; " / " &amp; TEXT(HLG_06[[#This Row],[Rit]],"000")</f>
        <v>N/A / 000</v>
      </c>
      <c r="J134" s="34"/>
      <c r="K134" s="38"/>
      <c r="L134" s="35"/>
      <c r="M134" s="66"/>
      <c r="N134" s="66"/>
      <c r="O134" s="66"/>
      <c r="P134" s="66"/>
      <c r="Q134" s="66"/>
      <c r="R134" s="67"/>
      <c r="S134" s="67"/>
      <c r="T134" s="67"/>
      <c r="U134" s="66"/>
      <c r="V134" s="66"/>
      <c r="W134" s="66"/>
      <c r="X134" s="85"/>
      <c r="AP134" t="str">
        <v/>
      </c>
    </row>
    <row r="135" spans="4:42" ht="15.75" x14ac:dyDescent="0.25">
      <c r="D135" s="3">
        <v>1</v>
      </c>
      <c r="F135" s="16" t="str" cm="1">
        <f t="array" ref="F1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5" s="31" cm="1">
        <f t="array" ref="G1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5" s="33" t="str">
        <f>_xlfn.IFNA(IF(MOD(HLG_06[[#This Row],[Rit]],
    _xlfn.XLOOKUP($G$2,Int_Sample[Ore],Int_Sample[Inc])) = 0, "YES", "NO"),"")</f>
        <v/>
      </c>
      <c r="I135" s="32" t="str">
        <f>TEXT(HLG_06[[#This Row],[Batch]],"000")&amp; " / " &amp; TEXT(HLG_06[[#This Row],[Rit]],"000")</f>
        <v>N/A / 000</v>
      </c>
      <c r="J135" s="34"/>
      <c r="K135" s="38"/>
      <c r="L135" s="35"/>
      <c r="M135" s="66"/>
      <c r="N135" s="66"/>
      <c r="O135" s="66"/>
      <c r="P135" s="66"/>
      <c r="Q135" s="66"/>
      <c r="R135" s="67"/>
      <c r="S135" s="67"/>
      <c r="T135" s="67"/>
      <c r="U135" s="66"/>
      <c r="V135" s="66"/>
      <c r="W135" s="66"/>
      <c r="X135" s="85"/>
      <c r="AP135" t="str">
        <v/>
      </c>
    </row>
    <row r="136" spans="4:42" ht="15.75" x14ac:dyDescent="0.25">
      <c r="D136" s="3">
        <v>1</v>
      </c>
      <c r="F136" s="16" t="str" cm="1">
        <f t="array" ref="F1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6" s="31" cm="1">
        <f t="array" ref="G1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6" s="33" t="str">
        <f>_xlfn.IFNA(IF(MOD(HLG_06[[#This Row],[Rit]],
    _xlfn.XLOOKUP($G$2,Int_Sample[Ore],Int_Sample[Inc])) = 0, "YES", "NO"),"")</f>
        <v/>
      </c>
      <c r="I136" s="32" t="str">
        <f>TEXT(HLG_06[[#This Row],[Batch]],"000")&amp; " / " &amp; TEXT(HLG_06[[#This Row],[Rit]],"000")</f>
        <v>N/A / 000</v>
      </c>
      <c r="J136" s="34"/>
      <c r="K136" s="38"/>
      <c r="L136" s="35"/>
      <c r="M136" s="66"/>
      <c r="N136" s="66"/>
      <c r="O136" s="66"/>
      <c r="P136" s="66"/>
      <c r="Q136" s="66"/>
      <c r="R136" s="67"/>
      <c r="S136" s="67"/>
      <c r="T136" s="67"/>
      <c r="U136" s="66"/>
      <c r="V136" s="66"/>
      <c r="W136" s="66"/>
      <c r="X136" s="85"/>
      <c r="AP136" t="str">
        <v/>
      </c>
    </row>
    <row r="137" spans="4:42" ht="15.75" x14ac:dyDescent="0.25">
      <c r="D137" s="3">
        <v>1</v>
      </c>
      <c r="F137" s="16" t="str" cm="1">
        <f t="array" ref="F1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7" s="31" cm="1">
        <f t="array" ref="G1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7" s="33" t="str">
        <f>_xlfn.IFNA(IF(MOD(HLG_06[[#This Row],[Rit]],
    _xlfn.XLOOKUP($G$2,Int_Sample[Ore],Int_Sample[Inc])) = 0, "YES", "NO"),"")</f>
        <v/>
      </c>
      <c r="I137" s="32" t="str">
        <f>TEXT(HLG_06[[#This Row],[Batch]],"000")&amp; " / " &amp; TEXT(HLG_06[[#This Row],[Rit]],"000")</f>
        <v>N/A / 000</v>
      </c>
      <c r="J137" s="34"/>
      <c r="K137" s="38"/>
      <c r="L137" s="35"/>
      <c r="M137" s="66"/>
      <c r="N137" s="66"/>
      <c r="O137" s="66"/>
      <c r="P137" s="66"/>
      <c r="Q137" s="66"/>
      <c r="R137" s="67"/>
      <c r="S137" s="67"/>
      <c r="T137" s="67"/>
      <c r="U137" s="66"/>
      <c r="V137" s="66"/>
      <c r="W137" s="66"/>
      <c r="X137" s="85"/>
      <c r="AP137" t="str">
        <v/>
      </c>
    </row>
    <row r="138" spans="4:42" ht="15.75" x14ac:dyDescent="0.25">
      <c r="D138" s="3">
        <v>1</v>
      </c>
      <c r="F138" s="16" t="str" cm="1">
        <f t="array" ref="F1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8" s="31" cm="1">
        <f t="array" ref="G1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8" s="33" t="str">
        <f>_xlfn.IFNA(IF(MOD(HLG_06[[#This Row],[Rit]],
    _xlfn.XLOOKUP($G$2,Int_Sample[Ore],Int_Sample[Inc])) = 0, "YES", "NO"),"")</f>
        <v/>
      </c>
      <c r="I138" s="32" t="str">
        <f>TEXT(HLG_06[[#This Row],[Batch]],"000")&amp; " / " &amp; TEXT(HLG_06[[#This Row],[Rit]],"000")</f>
        <v>N/A / 000</v>
      </c>
      <c r="J138" s="34"/>
      <c r="K138" s="38"/>
      <c r="L138" s="35"/>
      <c r="M138" s="66"/>
      <c r="N138" s="66"/>
      <c r="O138" s="66"/>
      <c r="P138" s="66"/>
      <c r="Q138" s="66"/>
      <c r="R138" s="67"/>
      <c r="S138" s="67"/>
      <c r="T138" s="67"/>
      <c r="U138" s="66"/>
      <c r="V138" s="66"/>
      <c r="W138" s="66"/>
      <c r="X138" s="85"/>
      <c r="AP138" t="str">
        <v/>
      </c>
    </row>
    <row r="139" spans="4:42" ht="15.75" x14ac:dyDescent="0.25">
      <c r="D139" s="3">
        <v>1</v>
      </c>
      <c r="F139" s="16" t="str" cm="1">
        <f t="array" ref="F1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39" s="31" cm="1">
        <f t="array" ref="G1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39" s="33" t="str">
        <f>_xlfn.IFNA(IF(MOD(HLG_06[[#This Row],[Rit]],
    _xlfn.XLOOKUP($G$2,Int_Sample[Ore],Int_Sample[Inc])) = 0, "YES", "NO"),"")</f>
        <v/>
      </c>
      <c r="I139" s="32" t="str">
        <f>TEXT(HLG_06[[#This Row],[Batch]],"000")&amp; " / " &amp; TEXT(HLG_06[[#This Row],[Rit]],"000")</f>
        <v>N/A / 000</v>
      </c>
      <c r="J139" s="34"/>
      <c r="K139" s="38"/>
      <c r="L139" s="35"/>
      <c r="M139" s="66"/>
      <c r="N139" s="66"/>
      <c r="O139" s="66"/>
      <c r="P139" s="66"/>
      <c r="Q139" s="66"/>
      <c r="R139" s="67"/>
      <c r="S139" s="67"/>
      <c r="T139" s="67"/>
      <c r="U139" s="66"/>
      <c r="V139" s="66"/>
      <c r="W139" s="66"/>
      <c r="X139" s="85"/>
      <c r="AP139" t="str">
        <v/>
      </c>
    </row>
    <row r="140" spans="4:42" ht="15.75" x14ac:dyDescent="0.25">
      <c r="D140" s="3">
        <v>1</v>
      </c>
      <c r="F140" s="16" t="str" cm="1">
        <f t="array" ref="F1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0" s="31" cm="1">
        <f t="array" ref="G1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0" s="33" t="str">
        <f>_xlfn.IFNA(IF(MOD(HLG_06[[#This Row],[Rit]],
    _xlfn.XLOOKUP($G$2,Int_Sample[Ore],Int_Sample[Inc])) = 0, "YES", "NO"),"")</f>
        <v/>
      </c>
      <c r="I140" s="32" t="str">
        <f>TEXT(HLG_06[[#This Row],[Batch]],"000")&amp; " / " &amp; TEXT(HLG_06[[#This Row],[Rit]],"000")</f>
        <v>N/A / 000</v>
      </c>
      <c r="J140" s="34"/>
      <c r="K140" s="38"/>
      <c r="L140" s="35"/>
      <c r="M140" s="66"/>
      <c r="N140" s="66"/>
      <c r="O140" s="66"/>
      <c r="P140" s="66"/>
      <c r="Q140" s="66"/>
      <c r="R140" s="67"/>
      <c r="S140" s="67"/>
      <c r="T140" s="67"/>
      <c r="U140" s="66"/>
      <c r="V140" s="66"/>
      <c r="W140" s="66"/>
      <c r="X140" s="85"/>
      <c r="AP140" t="str">
        <v/>
      </c>
    </row>
    <row r="141" spans="4:42" ht="15.75" x14ac:dyDescent="0.25">
      <c r="D141" s="3">
        <v>1</v>
      </c>
      <c r="F141" s="16" t="str" cm="1">
        <f t="array" ref="F1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1" s="31" cm="1">
        <f t="array" ref="G1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1" s="33" t="str">
        <f>_xlfn.IFNA(IF(MOD(HLG_06[[#This Row],[Rit]],
    _xlfn.XLOOKUP($G$2,Int_Sample[Ore],Int_Sample[Inc])) = 0, "YES", "NO"),"")</f>
        <v/>
      </c>
      <c r="I141" s="32" t="str">
        <f>TEXT(HLG_06[[#This Row],[Batch]],"000")&amp; " / " &amp; TEXT(HLG_06[[#This Row],[Rit]],"000")</f>
        <v>N/A / 000</v>
      </c>
      <c r="J141" s="34"/>
      <c r="K141" s="38"/>
      <c r="L141" s="35"/>
      <c r="M141" s="66"/>
      <c r="N141" s="66"/>
      <c r="O141" s="66"/>
      <c r="P141" s="66"/>
      <c r="Q141" s="66"/>
      <c r="R141" s="67"/>
      <c r="S141" s="67"/>
      <c r="T141" s="67"/>
      <c r="U141" s="66"/>
      <c r="V141" s="66"/>
      <c r="W141" s="66"/>
      <c r="X141" s="85"/>
      <c r="AP141" t="str">
        <v/>
      </c>
    </row>
    <row r="142" spans="4:42" ht="15.75" x14ac:dyDescent="0.25">
      <c r="D142" s="3">
        <v>1</v>
      </c>
      <c r="F142" s="16" t="str" cm="1">
        <f t="array" ref="F1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2" s="31" cm="1">
        <f t="array" ref="G1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2" s="33" t="str">
        <f>_xlfn.IFNA(IF(MOD(HLG_06[[#This Row],[Rit]],
    _xlfn.XLOOKUP($G$2,Int_Sample[Ore],Int_Sample[Inc])) = 0, "YES", "NO"),"")</f>
        <v/>
      </c>
      <c r="I142" s="32" t="str">
        <f>TEXT(HLG_06[[#This Row],[Batch]],"000")&amp; " / " &amp; TEXT(HLG_06[[#This Row],[Rit]],"000")</f>
        <v>N/A / 000</v>
      </c>
      <c r="J142" s="34"/>
      <c r="K142" s="38"/>
      <c r="L142" s="35"/>
      <c r="M142" s="66"/>
      <c r="N142" s="66"/>
      <c r="O142" s="66"/>
      <c r="P142" s="66"/>
      <c r="Q142" s="66"/>
      <c r="R142" s="67"/>
      <c r="S142" s="67"/>
      <c r="T142" s="67"/>
      <c r="U142" s="66"/>
      <c r="V142" s="66"/>
      <c r="W142" s="66"/>
      <c r="X142" s="85"/>
      <c r="AP142" t="str">
        <v/>
      </c>
    </row>
    <row r="143" spans="4:42" ht="15.75" x14ac:dyDescent="0.25">
      <c r="D143" s="3">
        <v>1</v>
      </c>
      <c r="F143" s="16" t="str" cm="1">
        <f t="array" ref="F1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3" s="31" cm="1">
        <f t="array" ref="G1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3" s="33" t="str">
        <f>_xlfn.IFNA(IF(MOD(HLG_06[[#This Row],[Rit]],
    _xlfn.XLOOKUP($G$2,Int_Sample[Ore],Int_Sample[Inc])) = 0, "YES", "NO"),"")</f>
        <v/>
      </c>
      <c r="I143" s="32" t="str">
        <f>TEXT(HLG_06[[#This Row],[Batch]],"000")&amp; " / " &amp; TEXT(HLG_06[[#This Row],[Rit]],"000")</f>
        <v>N/A / 000</v>
      </c>
      <c r="J143" s="34"/>
      <c r="K143" s="38"/>
      <c r="L143" s="35"/>
      <c r="M143" s="66"/>
      <c r="N143" s="66"/>
      <c r="O143" s="66"/>
      <c r="P143" s="66"/>
      <c r="Q143" s="66"/>
      <c r="R143" s="67"/>
      <c r="S143" s="67"/>
      <c r="T143" s="67"/>
      <c r="U143" s="66"/>
      <c r="V143" s="66"/>
      <c r="W143" s="66"/>
      <c r="X143" s="85"/>
      <c r="AP143" t="str">
        <v/>
      </c>
    </row>
    <row r="144" spans="4:42" ht="15.75" x14ac:dyDescent="0.25">
      <c r="D144" s="3">
        <v>1</v>
      </c>
      <c r="F144" s="16" t="str" cm="1">
        <f t="array" ref="F1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4" s="31" cm="1">
        <f t="array" ref="G1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4" s="33" t="str">
        <f>_xlfn.IFNA(IF(MOD(HLG_06[[#This Row],[Rit]],
    _xlfn.XLOOKUP($G$2,Int_Sample[Ore],Int_Sample[Inc])) = 0, "YES", "NO"),"")</f>
        <v/>
      </c>
      <c r="I144" s="32" t="str">
        <f>TEXT(HLG_06[[#This Row],[Batch]],"000")&amp; " / " &amp; TEXT(HLG_06[[#This Row],[Rit]],"000")</f>
        <v>N/A / 000</v>
      </c>
      <c r="J144" s="34"/>
      <c r="K144" s="38"/>
      <c r="L144" s="35"/>
      <c r="M144" s="66"/>
      <c r="N144" s="66"/>
      <c r="O144" s="66"/>
      <c r="P144" s="66"/>
      <c r="Q144" s="66"/>
      <c r="R144" s="67"/>
      <c r="S144" s="67"/>
      <c r="T144" s="67"/>
      <c r="U144" s="66"/>
      <c r="V144" s="66"/>
      <c r="W144" s="66"/>
      <c r="X144" s="85"/>
      <c r="AP144" t="str">
        <v/>
      </c>
    </row>
    <row r="145" spans="4:42" ht="15.75" x14ac:dyDescent="0.25">
      <c r="D145" s="3">
        <v>1</v>
      </c>
      <c r="F145" s="16" t="str" cm="1">
        <f t="array" ref="F1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5" s="31" cm="1">
        <f t="array" ref="G1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5" s="33" t="str">
        <f>_xlfn.IFNA(IF(MOD(HLG_06[[#This Row],[Rit]],
    _xlfn.XLOOKUP($G$2,Int_Sample[Ore],Int_Sample[Inc])) = 0, "YES", "NO"),"")</f>
        <v/>
      </c>
      <c r="I145" s="32" t="str">
        <f>TEXT(HLG_06[[#This Row],[Batch]],"000")&amp; " / " &amp; TEXT(HLG_06[[#This Row],[Rit]],"000")</f>
        <v>N/A / 000</v>
      </c>
      <c r="J145" s="34"/>
      <c r="K145" s="38"/>
      <c r="L145" s="35"/>
      <c r="M145" s="66"/>
      <c r="N145" s="66"/>
      <c r="O145" s="66"/>
      <c r="P145" s="66"/>
      <c r="Q145" s="66"/>
      <c r="R145" s="67"/>
      <c r="S145" s="67"/>
      <c r="T145" s="67"/>
      <c r="U145" s="66"/>
      <c r="V145" s="66"/>
      <c r="W145" s="66"/>
      <c r="X145" s="85"/>
      <c r="AP145" t="str">
        <v/>
      </c>
    </row>
    <row r="146" spans="4:42" ht="15.75" x14ac:dyDescent="0.25">
      <c r="D146" s="3">
        <v>1</v>
      </c>
      <c r="F146" s="16" t="str" cm="1">
        <f t="array" ref="F1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6" s="31" cm="1">
        <f t="array" ref="G1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6" s="33" t="str">
        <f>_xlfn.IFNA(IF(MOD(HLG_06[[#This Row],[Rit]],
    _xlfn.XLOOKUP($G$2,Int_Sample[Ore],Int_Sample[Inc])) = 0, "YES", "NO"),"")</f>
        <v/>
      </c>
      <c r="I146" s="32" t="str">
        <f>TEXT(HLG_06[[#This Row],[Batch]],"000")&amp; " / " &amp; TEXT(HLG_06[[#This Row],[Rit]],"000")</f>
        <v>N/A / 000</v>
      </c>
      <c r="J146" s="34"/>
      <c r="K146" s="38"/>
      <c r="L146" s="35"/>
      <c r="M146" s="66"/>
      <c r="N146" s="66"/>
      <c r="O146" s="66"/>
      <c r="P146" s="66"/>
      <c r="Q146" s="66"/>
      <c r="R146" s="67"/>
      <c r="S146" s="67"/>
      <c r="T146" s="67"/>
      <c r="U146" s="66"/>
      <c r="V146" s="66"/>
      <c r="W146" s="66"/>
      <c r="X146" s="85"/>
      <c r="AP146" t="str">
        <v/>
      </c>
    </row>
    <row r="147" spans="4:42" ht="15.75" x14ac:dyDescent="0.25">
      <c r="D147" s="3">
        <v>1</v>
      </c>
      <c r="F147" s="16" t="str" cm="1">
        <f t="array" ref="F1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7" s="31" cm="1">
        <f t="array" ref="G1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7" s="33" t="str">
        <f>_xlfn.IFNA(IF(MOD(HLG_06[[#This Row],[Rit]],
    _xlfn.XLOOKUP($G$2,Int_Sample[Ore],Int_Sample[Inc])) = 0, "YES", "NO"),"")</f>
        <v/>
      </c>
      <c r="I147" s="32" t="str">
        <f>TEXT(HLG_06[[#This Row],[Batch]],"000")&amp; " / " &amp; TEXT(HLG_06[[#This Row],[Rit]],"000")</f>
        <v>N/A / 000</v>
      </c>
      <c r="J147" s="34"/>
      <c r="K147" s="38"/>
      <c r="L147" s="35"/>
      <c r="M147" s="66"/>
      <c r="N147" s="66"/>
      <c r="O147" s="66"/>
      <c r="P147" s="66"/>
      <c r="Q147" s="66"/>
      <c r="R147" s="67"/>
      <c r="S147" s="67"/>
      <c r="T147" s="67"/>
      <c r="U147" s="66"/>
      <c r="V147" s="66"/>
      <c r="W147" s="66"/>
      <c r="X147" s="85"/>
      <c r="AP147" t="str">
        <v/>
      </c>
    </row>
    <row r="148" spans="4:42" ht="15.75" x14ac:dyDescent="0.25">
      <c r="D148" s="3">
        <v>1</v>
      </c>
      <c r="F148" s="16" t="str" cm="1">
        <f t="array" ref="F1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8" s="31" cm="1">
        <f t="array" ref="G1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8" s="33" t="str">
        <f>_xlfn.IFNA(IF(MOD(HLG_06[[#This Row],[Rit]],
    _xlfn.XLOOKUP($G$2,Int_Sample[Ore],Int_Sample[Inc])) = 0, "YES", "NO"),"")</f>
        <v/>
      </c>
      <c r="I148" s="32" t="str">
        <f>TEXT(HLG_06[[#This Row],[Batch]],"000")&amp; " / " &amp; TEXT(HLG_06[[#This Row],[Rit]],"000")</f>
        <v>N/A / 000</v>
      </c>
      <c r="J148" s="34"/>
      <c r="K148" s="38"/>
      <c r="L148" s="35"/>
      <c r="M148" s="66"/>
      <c r="N148" s="66"/>
      <c r="O148" s="66"/>
      <c r="P148" s="66"/>
      <c r="Q148" s="66"/>
      <c r="R148" s="67"/>
      <c r="S148" s="67"/>
      <c r="T148" s="67"/>
      <c r="U148" s="66"/>
      <c r="V148" s="66"/>
      <c r="W148" s="66"/>
      <c r="X148" s="85"/>
      <c r="AP148" t="str">
        <v/>
      </c>
    </row>
    <row r="149" spans="4:42" ht="15.75" x14ac:dyDescent="0.25">
      <c r="D149" s="3">
        <v>1</v>
      </c>
      <c r="F149" s="16" t="str" cm="1">
        <f t="array" ref="F1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49" s="31" cm="1">
        <f t="array" ref="G1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49" s="33" t="str">
        <f>_xlfn.IFNA(IF(MOD(HLG_06[[#This Row],[Rit]],
    _xlfn.XLOOKUP($G$2,Int_Sample[Ore],Int_Sample[Inc])) = 0, "YES", "NO"),"")</f>
        <v/>
      </c>
      <c r="I149" s="32" t="str">
        <f>TEXT(HLG_06[[#This Row],[Batch]],"000")&amp; " / " &amp; TEXT(HLG_06[[#This Row],[Rit]],"000")</f>
        <v>N/A / 000</v>
      </c>
      <c r="J149" s="34"/>
      <c r="K149" s="38"/>
      <c r="L149" s="35"/>
      <c r="M149" s="66"/>
      <c r="N149" s="66"/>
      <c r="O149" s="66"/>
      <c r="P149" s="66"/>
      <c r="Q149" s="66"/>
      <c r="R149" s="67"/>
      <c r="S149" s="67"/>
      <c r="T149" s="67"/>
      <c r="U149" s="66"/>
      <c r="V149" s="66"/>
      <c r="W149" s="66"/>
      <c r="X149" s="85"/>
      <c r="AP149" t="str">
        <v/>
      </c>
    </row>
    <row r="150" spans="4:42" ht="15.75" x14ac:dyDescent="0.25">
      <c r="D150" s="3">
        <v>1</v>
      </c>
      <c r="F150" s="16" t="str" cm="1">
        <f t="array" ref="F1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0" s="31" cm="1">
        <f t="array" ref="G1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0" s="33" t="str">
        <f>_xlfn.IFNA(IF(MOD(HLG_06[[#This Row],[Rit]],
    _xlfn.XLOOKUP($G$2,Int_Sample[Ore],Int_Sample[Inc])) = 0, "YES", "NO"),"")</f>
        <v/>
      </c>
      <c r="I150" s="32" t="str">
        <f>TEXT(HLG_06[[#This Row],[Batch]],"000")&amp; " / " &amp; TEXT(HLG_06[[#This Row],[Rit]],"000")</f>
        <v>N/A / 000</v>
      </c>
      <c r="J150" s="34"/>
      <c r="K150" s="38"/>
      <c r="L150" s="35"/>
      <c r="M150" s="66"/>
      <c r="N150" s="66"/>
      <c r="O150" s="66"/>
      <c r="P150" s="66"/>
      <c r="Q150" s="66"/>
      <c r="R150" s="67"/>
      <c r="S150" s="67"/>
      <c r="T150" s="67"/>
      <c r="U150" s="66"/>
      <c r="V150" s="66"/>
      <c r="W150" s="66"/>
      <c r="X150" s="85"/>
      <c r="AP150" t="str">
        <v/>
      </c>
    </row>
    <row r="151" spans="4:42" ht="15.75" x14ac:dyDescent="0.25">
      <c r="D151" s="3">
        <v>1</v>
      </c>
      <c r="F151" s="16" t="str" cm="1">
        <f t="array" ref="F1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1" s="31" cm="1">
        <f t="array" ref="G1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1" s="33" t="str">
        <f>_xlfn.IFNA(IF(MOD(HLG_06[[#This Row],[Rit]],
    _xlfn.XLOOKUP($G$2,Int_Sample[Ore],Int_Sample[Inc])) = 0, "YES", "NO"),"")</f>
        <v/>
      </c>
      <c r="I151" s="32" t="str">
        <f>TEXT(HLG_06[[#This Row],[Batch]],"000")&amp; " / " &amp; TEXT(HLG_06[[#This Row],[Rit]],"000")</f>
        <v>N/A / 000</v>
      </c>
      <c r="J151" s="34"/>
      <c r="K151" s="38"/>
      <c r="L151" s="35"/>
      <c r="M151" s="66"/>
      <c r="N151" s="66"/>
      <c r="O151" s="66"/>
      <c r="P151" s="66"/>
      <c r="Q151" s="66"/>
      <c r="R151" s="67"/>
      <c r="S151" s="67"/>
      <c r="T151" s="67"/>
      <c r="U151" s="66"/>
      <c r="V151" s="66"/>
      <c r="W151" s="66"/>
      <c r="X151" s="85"/>
      <c r="AP151" t="str">
        <v/>
      </c>
    </row>
    <row r="152" spans="4:42" ht="15.75" x14ac:dyDescent="0.25">
      <c r="D152" s="3">
        <v>1</v>
      </c>
      <c r="F152" s="16" t="str" cm="1">
        <f t="array" ref="F1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2" s="31" cm="1">
        <f t="array" ref="G1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2" s="33" t="str">
        <f>_xlfn.IFNA(IF(MOD(HLG_06[[#This Row],[Rit]],
    _xlfn.XLOOKUP($G$2,Int_Sample[Ore],Int_Sample[Inc])) = 0, "YES", "NO"),"")</f>
        <v/>
      </c>
      <c r="I152" s="32" t="str">
        <f>TEXT(HLG_06[[#This Row],[Batch]],"000")&amp; " / " &amp; TEXT(HLG_06[[#This Row],[Rit]],"000")</f>
        <v>N/A / 000</v>
      </c>
      <c r="J152" s="34"/>
      <c r="K152" s="38"/>
      <c r="L152" s="35"/>
      <c r="M152" s="66"/>
      <c r="N152" s="66"/>
      <c r="O152" s="66"/>
      <c r="P152" s="66"/>
      <c r="Q152" s="66"/>
      <c r="R152" s="67"/>
      <c r="S152" s="67"/>
      <c r="T152" s="67"/>
      <c r="U152" s="66"/>
      <c r="V152" s="66"/>
      <c r="W152" s="66"/>
      <c r="X152" s="85"/>
      <c r="AP152" t="str">
        <v/>
      </c>
    </row>
    <row r="153" spans="4:42" ht="15.75" x14ac:dyDescent="0.25">
      <c r="D153" s="3">
        <v>1</v>
      </c>
      <c r="F153" s="16" t="str" cm="1">
        <f t="array" ref="F1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3" s="31" cm="1">
        <f t="array" ref="G1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3" s="33" t="str">
        <f>_xlfn.IFNA(IF(MOD(HLG_06[[#This Row],[Rit]],
    _xlfn.XLOOKUP($G$2,Int_Sample[Ore],Int_Sample[Inc])) = 0, "YES", "NO"),"")</f>
        <v/>
      </c>
      <c r="I153" s="32" t="str">
        <f>TEXT(HLG_06[[#This Row],[Batch]],"000")&amp; " / " &amp; TEXT(HLG_06[[#This Row],[Rit]],"000")</f>
        <v>N/A / 000</v>
      </c>
      <c r="J153" s="34"/>
      <c r="K153" s="38"/>
      <c r="L153" s="35"/>
      <c r="M153" s="66"/>
      <c r="N153" s="66"/>
      <c r="O153" s="66"/>
      <c r="P153" s="66"/>
      <c r="Q153" s="66"/>
      <c r="R153" s="67"/>
      <c r="S153" s="67"/>
      <c r="T153" s="67"/>
      <c r="U153" s="66"/>
      <c r="V153" s="66"/>
      <c r="W153" s="66"/>
      <c r="X153" s="85"/>
      <c r="AP153" t="str">
        <v/>
      </c>
    </row>
    <row r="154" spans="4:42" ht="15.75" x14ac:dyDescent="0.25">
      <c r="D154" s="3">
        <v>1</v>
      </c>
      <c r="F154" s="16" t="str" cm="1">
        <f t="array" ref="F1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4" s="31" cm="1">
        <f t="array" ref="G1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4" s="33" t="str">
        <f>_xlfn.IFNA(IF(MOD(HLG_06[[#This Row],[Rit]],
    _xlfn.XLOOKUP($G$2,Int_Sample[Ore],Int_Sample[Inc])) = 0, "YES", "NO"),"")</f>
        <v/>
      </c>
      <c r="I154" s="32" t="str">
        <f>TEXT(HLG_06[[#This Row],[Batch]],"000")&amp; " / " &amp; TEXT(HLG_06[[#This Row],[Rit]],"000")</f>
        <v>N/A / 000</v>
      </c>
      <c r="J154" s="34"/>
      <c r="K154" s="38"/>
      <c r="L154" s="35"/>
      <c r="M154" s="66"/>
      <c r="N154" s="66"/>
      <c r="O154" s="66"/>
      <c r="P154" s="66"/>
      <c r="Q154" s="66"/>
      <c r="R154" s="67"/>
      <c r="S154" s="67"/>
      <c r="T154" s="67"/>
      <c r="U154" s="66"/>
      <c r="V154" s="66"/>
      <c r="W154" s="66"/>
      <c r="X154" s="85"/>
      <c r="AP154" t="str">
        <v/>
      </c>
    </row>
    <row r="155" spans="4:42" ht="15.75" x14ac:dyDescent="0.25">
      <c r="D155" s="3">
        <v>1</v>
      </c>
      <c r="F155" s="16" t="str" cm="1">
        <f t="array" ref="F1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5" s="31" cm="1">
        <f t="array" ref="G1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5" s="33" t="str">
        <f>_xlfn.IFNA(IF(MOD(HLG_06[[#This Row],[Rit]],
    _xlfn.XLOOKUP($G$2,Int_Sample[Ore],Int_Sample[Inc])) = 0, "YES", "NO"),"")</f>
        <v/>
      </c>
      <c r="I155" s="32" t="str">
        <f>TEXT(HLG_06[[#This Row],[Batch]],"000")&amp; " / " &amp; TEXT(HLG_06[[#This Row],[Rit]],"000")</f>
        <v>N/A / 000</v>
      </c>
      <c r="J155" s="34"/>
      <c r="K155" s="38"/>
      <c r="L155" s="35"/>
      <c r="M155" s="66"/>
      <c r="N155" s="66"/>
      <c r="O155" s="66"/>
      <c r="P155" s="66"/>
      <c r="Q155" s="66"/>
      <c r="R155" s="67"/>
      <c r="S155" s="67"/>
      <c r="T155" s="67"/>
      <c r="U155" s="66"/>
      <c r="V155" s="66"/>
      <c r="W155" s="66"/>
      <c r="X155" s="85"/>
      <c r="AP155" t="str">
        <v/>
      </c>
    </row>
    <row r="156" spans="4:42" ht="15.75" x14ac:dyDescent="0.25">
      <c r="D156" s="3">
        <v>1</v>
      </c>
      <c r="F156" s="16" t="str" cm="1">
        <f t="array" ref="F1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6" s="31" cm="1">
        <f t="array" ref="G1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6" s="33" t="str">
        <f>_xlfn.IFNA(IF(MOD(HLG_06[[#This Row],[Rit]],
    _xlfn.XLOOKUP($G$2,Int_Sample[Ore],Int_Sample[Inc])) = 0, "YES", "NO"),"")</f>
        <v/>
      </c>
      <c r="I156" s="32" t="str">
        <f>TEXT(HLG_06[[#This Row],[Batch]],"000")&amp; " / " &amp; TEXT(HLG_06[[#This Row],[Rit]],"000")</f>
        <v>N/A / 000</v>
      </c>
      <c r="J156" s="34"/>
      <c r="K156" s="38"/>
      <c r="L156" s="35"/>
      <c r="M156" s="66"/>
      <c r="N156" s="66"/>
      <c r="O156" s="66"/>
      <c r="P156" s="66"/>
      <c r="Q156" s="66"/>
      <c r="R156" s="67"/>
      <c r="S156" s="67"/>
      <c r="T156" s="67"/>
      <c r="U156" s="66"/>
      <c r="V156" s="66"/>
      <c r="W156" s="66"/>
      <c r="X156" s="85"/>
      <c r="AP156" t="str">
        <v/>
      </c>
    </row>
    <row r="157" spans="4:42" ht="15.75" x14ac:dyDescent="0.25">
      <c r="D157" s="3">
        <v>1</v>
      </c>
      <c r="F157" s="16" t="str" cm="1">
        <f t="array" ref="F1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7" s="31" cm="1">
        <f t="array" ref="G1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7" s="33" t="str">
        <f>_xlfn.IFNA(IF(MOD(HLG_06[[#This Row],[Rit]],
    _xlfn.XLOOKUP($G$2,Int_Sample[Ore],Int_Sample[Inc])) = 0, "YES", "NO"),"")</f>
        <v/>
      </c>
      <c r="I157" s="32" t="str">
        <f>TEXT(HLG_06[[#This Row],[Batch]],"000")&amp; " / " &amp; TEXT(HLG_06[[#This Row],[Rit]],"000")</f>
        <v>N/A / 000</v>
      </c>
      <c r="J157" s="34"/>
      <c r="K157" s="38"/>
      <c r="L157" s="35"/>
      <c r="M157" s="66"/>
      <c r="N157" s="66"/>
      <c r="O157" s="66"/>
      <c r="P157" s="66"/>
      <c r="Q157" s="66"/>
      <c r="R157" s="67"/>
      <c r="S157" s="67"/>
      <c r="T157" s="67"/>
      <c r="U157" s="66"/>
      <c r="V157" s="66"/>
      <c r="W157" s="66"/>
      <c r="X157" s="85"/>
      <c r="AP157" t="str">
        <v/>
      </c>
    </row>
    <row r="158" spans="4:42" ht="15.75" x14ac:dyDescent="0.25">
      <c r="D158" s="3">
        <v>1</v>
      </c>
      <c r="F158" s="16" t="str" cm="1">
        <f t="array" ref="F1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8" s="31" cm="1">
        <f t="array" ref="G1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8" s="33" t="str">
        <f>_xlfn.IFNA(IF(MOD(HLG_06[[#This Row],[Rit]],
    _xlfn.XLOOKUP($G$2,Int_Sample[Ore],Int_Sample[Inc])) = 0, "YES", "NO"),"")</f>
        <v/>
      </c>
      <c r="I158" s="32" t="str">
        <f>TEXT(HLG_06[[#This Row],[Batch]],"000")&amp; " / " &amp; TEXT(HLG_06[[#This Row],[Rit]],"000")</f>
        <v>N/A / 000</v>
      </c>
      <c r="J158" s="34"/>
      <c r="K158" s="38"/>
      <c r="L158" s="35"/>
      <c r="M158" s="66"/>
      <c r="N158" s="66"/>
      <c r="O158" s="66"/>
      <c r="P158" s="66"/>
      <c r="Q158" s="66"/>
      <c r="R158" s="67"/>
      <c r="S158" s="67"/>
      <c r="T158" s="67"/>
      <c r="U158" s="66"/>
      <c r="V158" s="66"/>
      <c r="W158" s="66"/>
      <c r="X158" s="85"/>
      <c r="AP158" t="str">
        <v/>
      </c>
    </row>
    <row r="159" spans="4:42" ht="15.75" x14ac:dyDescent="0.25">
      <c r="D159" s="3">
        <v>1</v>
      </c>
      <c r="F159" s="16" t="str" cm="1">
        <f t="array" ref="F1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59" s="31" cm="1">
        <f t="array" ref="G1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59" s="33" t="str">
        <f>_xlfn.IFNA(IF(MOD(HLG_06[[#This Row],[Rit]],
    _xlfn.XLOOKUP($G$2,Int_Sample[Ore],Int_Sample[Inc])) = 0, "YES", "NO"),"")</f>
        <v/>
      </c>
      <c r="I159" s="32" t="str">
        <f>TEXT(HLG_06[[#This Row],[Batch]],"000")&amp; " / " &amp; TEXT(HLG_06[[#This Row],[Rit]],"000")</f>
        <v>N/A / 000</v>
      </c>
      <c r="J159" s="34"/>
      <c r="K159" s="38"/>
      <c r="L159" s="35"/>
      <c r="M159" s="66"/>
      <c r="N159" s="66"/>
      <c r="O159" s="66"/>
      <c r="P159" s="66"/>
      <c r="Q159" s="66"/>
      <c r="R159" s="67"/>
      <c r="S159" s="67"/>
      <c r="T159" s="67"/>
      <c r="U159" s="66"/>
      <c r="V159" s="66"/>
      <c r="W159" s="66"/>
      <c r="X159" s="85"/>
      <c r="AP159" t="str">
        <v/>
      </c>
    </row>
    <row r="160" spans="4:42" ht="15.75" x14ac:dyDescent="0.25">
      <c r="D160" s="3">
        <v>1</v>
      </c>
      <c r="F160" s="16" t="str" cm="1">
        <f t="array" ref="F1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0" s="31" cm="1">
        <f t="array" ref="G1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0" s="33" t="str">
        <f>_xlfn.IFNA(IF(MOD(HLG_06[[#This Row],[Rit]],
    _xlfn.XLOOKUP($G$2,Int_Sample[Ore],Int_Sample[Inc])) = 0, "YES", "NO"),"")</f>
        <v/>
      </c>
      <c r="I160" s="32" t="str">
        <f>TEXT(HLG_06[[#This Row],[Batch]],"000")&amp; " / " &amp; TEXT(HLG_06[[#This Row],[Rit]],"000")</f>
        <v>N/A / 000</v>
      </c>
      <c r="J160" s="34"/>
      <c r="K160" s="38"/>
      <c r="L160" s="35"/>
      <c r="M160" s="66"/>
      <c r="N160" s="66"/>
      <c r="O160" s="66"/>
      <c r="P160" s="66"/>
      <c r="Q160" s="66"/>
      <c r="R160" s="67"/>
      <c r="S160" s="67"/>
      <c r="T160" s="67"/>
      <c r="U160" s="66"/>
      <c r="V160" s="66"/>
      <c r="W160" s="66"/>
      <c r="X160" s="85"/>
      <c r="AP160" t="str">
        <v/>
      </c>
    </row>
    <row r="161" spans="4:42" ht="15.75" x14ac:dyDescent="0.25">
      <c r="D161" s="3">
        <v>1</v>
      </c>
      <c r="F161" s="16" t="str" cm="1">
        <f t="array" ref="F1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1" s="31" cm="1">
        <f t="array" ref="G1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1" s="33" t="str">
        <f>_xlfn.IFNA(IF(MOD(HLG_06[[#This Row],[Rit]],
    _xlfn.XLOOKUP($G$2,Int_Sample[Ore],Int_Sample[Inc])) = 0, "YES", "NO"),"")</f>
        <v/>
      </c>
      <c r="I161" s="32" t="str">
        <f>TEXT(HLG_06[[#This Row],[Batch]],"000")&amp; " / " &amp; TEXT(HLG_06[[#This Row],[Rit]],"000")</f>
        <v>N/A / 000</v>
      </c>
      <c r="J161" s="34"/>
      <c r="K161" s="38"/>
      <c r="L161" s="35"/>
      <c r="M161" s="66"/>
      <c r="N161" s="66"/>
      <c r="O161" s="66"/>
      <c r="P161" s="66"/>
      <c r="Q161" s="66"/>
      <c r="R161" s="67"/>
      <c r="S161" s="67"/>
      <c r="T161" s="67"/>
      <c r="U161" s="66"/>
      <c r="V161" s="66"/>
      <c r="W161" s="66"/>
      <c r="X161" s="85"/>
      <c r="AP161" t="str">
        <v/>
      </c>
    </row>
    <row r="162" spans="4:42" ht="15.75" x14ac:dyDescent="0.25">
      <c r="D162" s="3">
        <v>1</v>
      </c>
      <c r="F162" s="16" t="str" cm="1">
        <f t="array" ref="F1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2" s="31" cm="1">
        <f t="array" ref="G1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2" s="33" t="str">
        <f>_xlfn.IFNA(IF(MOD(HLG_06[[#This Row],[Rit]],
    _xlfn.XLOOKUP($G$2,Int_Sample[Ore],Int_Sample[Inc])) = 0, "YES", "NO"),"")</f>
        <v/>
      </c>
      <c r="I162" s="32" t="str">
        <f>TEXT(HLG_06[[#This Row],[Batch]],"000")&amp; " / " &amp; TEXT(HLG_06[[#This Row],[Rit]],"000")</f>
        <v>N/A / 000</v>
      </c>
      <c r="J162" s="34"/>
      <c r="K162" s="38"/>
      <c r="L162" s="35"/>
      <c r="M162" s="66"/>
      <c r="N162" s="66"/>
      <c r="O162" s="66"/>
      <c r="P162" s="66"/>
      <c r="Q162" s="66"/>
      <c r="R162" s="67"/>
      <c r="S162" s="67"/>
      <c r="T162" s="67"/>
      <c r="U162" s="66"/>
      <c r="V162" s="66"/>
      <c r="W162" s="66"/>
      <c r="X162" s="85"/>
      <c r="AP162" t="str">
        <v/>
      </c>
    </row>
    <row r="163" spans="4:42" ht="15.75" x14ac:dyDescent="0.25">
      <c r="D163" s="3">
        <v>1</v>
      </c>
      <c r="F163" s="16" t="str" cm="1">
        <f t="array" ref="F1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3" s="31" cm="1">
        <f t="array" ref="G1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3" s="33" t="str">
        <f>_xlfn.IFNA(IF(MOD(HLG_06[[#This Row],[Rit]],
    _xlfn.XLOOKUP($G$2,Int_Sample[Ore],Int_Sample[Inc])) = 0, "YES", "NO"),"")</f>
        <v/>
      </c>
      <c r="I163" s="32" t="str">
        <f>TEXT(HLG_06[[#This Row],[Batch]],"000")&amp; " / " &amp; TEXT(HLG_06[[#This Row],[Rit]],"000")</f>
        <v>N/A / 000</v>
      </c>
      <c r="J163" s="34"/>
      <c r="K163" s="38"/>
      <c r="L163" s="35"/>
      <c r="M163" s="66"/>
      <c r="N163" s="66"/>
      <c r="O163" s="66"/>
      <c r="P163" s="66"/>
      <c r="Q163" s="66"/>
      <c r="R163" s="67"/>
      <c r="S163" s="67"/>
      <c r="T163" s="67"/>
      <c r="U163" s="66"/>
      <c r="V163" s="66"/>
      <c r="W163" s="66"/>
      <c r="X163" s="85"/>
      <c r="AP163" t="str">
        <v/>
      </c>
    </row>
    <row r="164" spans="4:42" ht="15.75" x14ac:dyDescent="0.25">
      <c r="D164" s="3">
        <v>1</v>
      </c>
      <c r="F164" s="16" t="str" cm="1">
        <f t="array" ref="F1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4" s="31" cm="1">
        <f t="array" ref="G1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4" s="33" t="str">
        <f>_xlfn.IFNA(IF(MOD(HLG_06[[#This Row],[Rit]],
    _xlfn.XLOOKUP($G$2,Int_Sample[Ore],Int_Sample[Inc])) = 0, "YES", "NO"),"")</f>
        <v/>
      </c>
      <c r="I164" s="32" t="str">
        <f>TEXT(HLG_06[[#This Row],[Batch]],"000")&amp; " / " &amp; TEXT(HLG_06[[#This Row],[Rit]],"000")</f>
        <v>N/A / 000</v>
      </c>
      <c r="J164" s="34"/>
      <c r="K164" s="38"/>
      <c r="L164" s="35"/>
      <c r="M164" s="66"/>
      <c r="N164" s="66"/>
      <c r="O164" s="66"/>
      <c r="P164" s="66"/>
      <c r="Q164" s="66"/>
      <c r="R164" s="67"/>
      <c r="S164" s="67"/>
      <c r="T164" s="67"/>
      <c r="U164" s="66"/>
      <c r="V164" s="66"/>
      <c r="W164" s="66"/>
      <c r="X164" s="85"/>
      <c r="AP164" t="str">
        <v/>
      </c>
    </row>
    <row r="165" spans="4:42" ht="15.75" x14ac:dyDescent="0.25">
      <c r="D165" s="3">
        <v>1</v>
      </c>
      <c r="F165" s="16" t="str" cm="1">
        <f t="array" ref="F1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5" s="31" cm="1">
        <f t="array" ref="G1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5" s="33" t="str">
        <f>_xlfn.IFNA(IF(MOD(HLG_06[[#This Row],[Rit]],
    _xlfn.XLOOKUP($G$2,Int_Sample[Ore],Int_Sample[Inc])) = 0, "YES", "NO"),"")</f>
        <v/>
      </c>
      <c r="I165" s="32" t="str">
        <f>TEXT(HLG_06[[#This Row],[Batch]],"000")&amp; " / " &amp; TEXT(HLG_06[[#This Row],[Rit]],"000")</f>
        <v>N/A / 000</v>
      </c>
      <c r="J165" s="34"/>
      <c r="K165" s="38"/>
      <c r="L165" s="35"/>
      <c r="M165" s="66"/>
      <c r="N165" s="66"/>
      <c r="O165" s="66"/>
      <c r="P165" s="66"/>
      <c r="Q165" s="66"/>
      <c r="R165" s="67"/>
      <c r="S165" s="67"/>
      <c r="T165" s="67"/>
      <c r="U165" s="66"/>
      <c r="V165" s="66"/>
      <c r="W165" s="66"/>
      <c r="X165" s="85"/>
      <c r="AP165" t="str">
        <v/>
      </c>
    </row>
    <row r="166" spans="4:42" ht="15.75" x14ac:dyDescent="0.25">
      <c r="D166" s="3">
        <v>1</v>
      </c>
      <c r="F166" s="16" t="str" cm="1">
        <f t="array" ref="F1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6" s="31" cm="1">
        <f t="array" ref="G1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6" s="33" t="str">
        <f>_xlfn.IFNA(IF(MOD(HLG_06[[#This Row],[Rit]],
    _xlfn.XLOOKUP($G$2,Int_Sample[Ore],Int_Sample[Inc])) = 0, "YES", "NO"),"")</f>
        <v/>
      </c>
      <c r="I166" s="32" t="str">
        <f>TEXT(HLG_06[[#This Row],[Batch]],"000")&amp; " / " &amp; TEXT(HLG_06[[#This Row],[Rit]],"000")</f>
        <v>N/A / 000</v>
      </c>
      <c r="J166" s="34"/>
      <c r="K166" s="38"/>
      <c r="L166" s="35"/>
      <c r="M166" s="66"/>
      <c r="N166" s="66"/>
      <c r="O166" s="66"/>
      <c r="P166" s="66"/>
      <c r="Q166" s="66"/>
      <c r="R166" s="67"/>
      <c r="S166" s="67"/>
      <c r="T166" s="67"/>
      <c r="U166" s="66"/>
      <c r="V166" s="66"/>
      <c r="W166" s="66"/>
      <c r="X166" s="85"/>
      <c r="AP166" t="str">
        <v/>
      </c>
    </row>
    <row r="167" spans="4:42" ht="15.75" x14ac:dyDescent="0.25">
      <c r="D167" s="3">
        <v>1</v>
      </c>
      <c r="F167" s="16" t="str" cm="1">
        <f t="array" ref="F1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7" s="31" cm="1">
        <f t="array" ref="G1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7" s="33" t="str">
        <f>_xlfn.IFNA(IF(MOD(HLG_06[[#This Row],[Rit]],
    _xlfn.XLOOKUP($G$2,Int_Sample[Ore],Int_Sample[Inc])) = 0, "YES", "NO"),"")</f>
        <v/>
      </c>
      <c r="I167" s="32" t="str">
        <f>TEXT(HLG_06[[#This Row],[Batch]],"000")&amp; " / " &amp; TEXT(HLG_06[[#This Row],[Rit]],"000")</f>
        <v>N/A / 000</v>
      </c>
      <c r="J167" s="34"/>
      <c r="K167" s="38"/>
      <c r="L167" s="35"/>
      <c r="M167" s="66"/>
      <c r="N167" s="66"/>
      <c r="O167" s="66"/>
      <c r="P167" s="66"/>
      <c r="Q167" s="66"/>
      <c r="R167" s="67"/>
      <c r="S167" s="67"/>
      <c r="T167" s="67"/>
      <c r="U167" s="66"/>
      <c r="V167" s="66"/>
      <c r="W167" s="66"/>
      <c r="X167" s="85"/>
      <c r="AP167" t="str">
        <v/>
      </c>
    </row>
    <row r="168" spans="4:42" ht="15.75" x14ac:dyDescent="0.25">
      <c r="D168" s="3">
        <v>1</v>
      </c>
      <c r="F168" s="16" t="str" cm="1">
        <f t="array" ref="F1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8" s="31" cm="1">
        <f t="array" ref="G1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8" s="33" t="str">
        <f>_xlfn.IFNA(IF(MOD(HLG_06[[#This Row],[Rit]],
    _xlfn.XLOOKUP($G$2,Int_Sample[Ore],Int_Sample[Inc])) = 0, "YES", "NO"),"")</f>
        <v/>
      </c>
      <c r="I168" s="32" t="str">
        <f>TEXT(HLG_06[[#This Row],[Batch]],"000")&amp; " / " &amp; TEXT(HLG_06[[#This Row],[Rit]],"000")</f>
        <v>N/A / 000</v>
      </c>
      <c r="J168" s="34"/>
      <c r="K168" s="38"/>
      <c r="L168" s="35"/>
      <c r="M168" s="66"/>
      <c r="N168" s="66"/>
      <c r="O168" s="66"/>
      <c r="P168" s="66"/>
      <c r="Q168" s="66"/>
      <c r="R168" s="67"/>
      <c r="S168" s="67"/>
      <c r="T168" s="67"/>
      <c r="U168" s="66"/>
      <c r="V168" s="66"/>
      <c r="W168" s="66"/>
      <c r="X168" s="85"/>
      <c r="AP168" t="str">
        <v/>
      </c>
    </row>
    <row r="169" spans="4:42" ht="15.75" x14ac:dyDescent="0.25">
      <c r="D169" s="3">
        <v>1</v>
      </c>
      <c r="F169" s="16" t="str" cm="1">
        <f t="array" ref="F1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69" s="31" cm="1">
        <f t="array" ref="G1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69" s="33" t="str">
        <f>_xlfn.IFNA(IF(MOD(HLG_06[[#This Row],[Rit]],
    _xlfn.XLOOKUP($G$2,Int_Sample[Ore],Int_Sample[Inc])) = 0, "YES", "NO"),"")</f>
        <v/>
      </c>
      <c r="I169" s="32" t="str">
        <f>TEXT(HLG_06[[#This Row],[Batch]],"000")&amp; " / " &amp; TEXT(HLG_06[[#This Row],[Rit]],"000")</f>
        <v>N/A / 000</v>
      </c>
      <c r="J169" s="34"/>
      <c r="K169" s="38"/>
      <c r="L169" s="35"/>
      <c r="M169" s="66"/>
      <c r="N169" s="66"/>
      <c r="O169" s="66"/>
      <c r="P169" s="66"/>
      <c r="Q169" s="66"/>
      <c r="R169" s="67"/>
      <c r="S169" s="67"/>
      <c r="T169" s="67"/>
      <c r="U169" s="66"/>
      <c r="V169" s="66"/>
      <c r="W169" s="66"/>
      <c r="X169" s="85"/>
      <c r="AP169" t="str">
        <v/>
      </c>
    </row>
    <row r="170" spans="4:42" ht="15.75" x14ac:dyDescent="0.25">
      <c r="D170" s="3">
        <v>1</v>
      </c>
      <c r="F170" s="16" t="str" cm="1">
        <f t="array" ref="F1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0" s="31" cm="1">
        <f t="array" ref="G1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0" s="33" t="str">
        <f>_xlfn.IFNA(IF(MOD(HLG_06[[#This Row],[Rit]],
    _xlfn.XLOOKUP($G$2,Int_Sample[Ore],Int_Sample[Inc])) = 0, "YES", "NO"),"")</f>
        <v/>
      </c>
      <c r="I170" s="32" t="str">
        <f>TEXT(HLG_06[[#This Row],[Batch]],"000")&amp; " / " &amp; TEXT(HLG_06[[#This Row],[Rit]],"000")</f>
        <v>N/A / 000</v>
      </c>
      <c r="J170" s="34"/>
      <c r="K170" s="38"/>
      <c r="L170" s="35"/>
      <c r="M170" s="66"/>
      <c r="N170" s="66"/>
      <c r="O170" s="66"/>
      <c r="P170" s="66"/>
      <c r="Q170" s="66"/>
      <c r="R170" s="67"/>
      <c r="S170" s="67"/>
      <c r="T170" s="67"/>
      <c r="U170" s="66"/>
      <c r="V170" s="66"/>
      <c r="W170" s="66"/>
      <c r="X170" s="85"/>
      <c r="AP170" t="str">
        <v/>
      </c>
    </row>
    <row r="171" spans="4:42" ht="15.75" x14ac:dyDescent="0.25">
      <c r="D171" s="3">
        <v>1</v>
      </c>
      <c r="F171" s="16" t="str" cm="1">
        <f t="array" ref="F1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1" s="31" cm="1">
        <f t="array" ref="G1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1" s="33" t="str">
        <f>_xlfn.IFNA(IF(MOD(HLG_06[[#This Row],[Rit]],
    _xlfn.XLOOKUP($G$2,Int_Sample[Ore],Int_Sample[Inc])) = 0, "YES", "NO"),"")</f>
        <v/>
      </c>
      <c r="I171" s="32" t="str">
        <f>TEXT(HLG_06[[#This Row],[Batch]],"000")&amp; " / " &amp; TEXT(HLG_06[[#This Row],[Rit]],"000")</f>
        <v>N/A / 000</v>
      </c>
      <c r="J171" s="34"/>
      <c r="K171" s="38"/>
      <c r="L171" s="35"/>
      <c r="M171" s="66"/>
      <c r="N171" s="66"/>
      <c r="O171" s="66"/>
      <c r="P171" s="66"/>
      <c r="Q171" s="66"/>
      <c r="R171" s="67"/>
      <c r="S171" s="67"/>
      <c r="T171" s="67"/>
      <c r="U171" s="66"/>
      <c r="V171" s="66"/>
      <c r="W171" s="66"/>
      <c r="X171" s="85"/>
      <c r="AP171" t="str">
        <v/>
      </c>
    </row>
    <row r="172" spans="4:42" ht="15.75" x14ac:dyDescent="0.25">
      <c r="D172" s="3">
        <v>1</v>
      </c>
      <c r="F172" s="16" t="str" cm="1">
        <f t="array" ref="F1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2" s="31" cm="1">
        <f t="array" ref="G1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2" s="33" t="str">
        <f>_xlfn.IFNA(IF(MOD(HLG_06[[#This Row],[Rit]],
    _xlfn.XLOOKUP($G$2,Int_Sample[Ore],Int_Sample[Inc])) = 0, "YES", "NO"),"")</f>
        <v/>
      </c>
      <c r="I172" s="32" t="str">
        <f>TEXT(HLG_06[[#This Row],[Batch]],"000")&amp; " / " &amp; TEXT(HLG_06[[#This Row],[Rit]],"000")</f>
        <v>N/A / 000</v>
      </c>
      <c r="J172" s="34"/>
      <c r="K172" s="38"/>
      <c r="L172" s="35"/>
      <c r="M172" s="66"/>
      <c r="N172" s="66"/>
      <c r="O172" s="66"/>
      <c r="P172" s="66"/>
      <c r="Q172" s="66"/>
      <c r="R172" s="67"/>
      <c r="S172" s="67"/>
      <c r="T172" s="67"/>
      <c r="U172" s="66"/>
      <c r="V172" s="66"/>
      <c r="W172" s="66"/>
      <c r="X172" s="85"/>
      <c r="AP172" t="str">
        <v/>
      </c>
    </row>
    <row r="173" spans="4:42" ht="15.75" x14ac:dyDescent="0.25">
      <c r="D173" s="3">
        <v>1</v>
      </c>
      <c r="F173" s="16" t="str" cm="1">
        <f t="array" ref="F1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3" s="31" cm="1">
        <f t="array" ref="G1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3" s="33" t="str">
        <f>_xlfn.IFNA(IF(MOD(HLG_06[[#This Row],[Rit]],
    _xlfn.XLOOKUP($G$2,Int_Sample[Ore],Int_Sample[Inc])) = 0, "YES", "NO"),"")</f>
        <v/>
      </c>
      <c r="I173" s="32" t="str">
        <f>TEXT(HLG_06[[#This Row],[Batch]],"000")&amp; " / " &amp; TEXT(HLG_06[[#This Row],[Rit]],"000")</f>
        <v>N/A / 000</v>
      </c>
      <c r="J173" s="34"/>
      <c r="K173" s="38"/>
      <c r="L173" s="35"/>
      <c r="M173" s="66"/>
      <c r="N173" s="66"/>
      <c r="O173" s="66"/>
      <c r="P173" s="66"/>
      <c r="Q173" s="66"/>
      <c r="R173" s="67"/>
      <c r="S173" s="67"/>
      <c r="T173" s="67"/>
      <c r="U173" s="66"/>
      <c r="V173" s="66"/>
      <c r="W173" s="66"/>
      <c r="X173" s="85"/>
      <c r="AP173" t="str">
        <v/>
      </c>
    </row>
    <row r="174" spans="4:42" ht="15.75" x14ac:dyDescent="0.25">
      <c r="D174" s="3">
        <v>1</v>
      </c>
      <c r="F174" s="16" t="str" cm="1">
        <f t="array" ref="F1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4" s="31" cm="1">
        <f t="array" ref="G1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4" s="33" t="str">
        <f>_xlfn.IFNA(IF(MOD(HLG_06[[#This Row],[Rit]],
    _xlfn.XLOOKUP($G$2,Int_Sample[Ore],Int_Sample[Inc])) = 0, "YES", "NO"),"")</f>
        <v/>
      </c>
      <c r="I174" s="32" t="str">
        <f>TEXT(HLG_06[[#This Row],[Batch]],"000")&amp; " / " &amp; TEXT(HLG_06[[#This Row],[Rit]],"000")</f>
        <v>N/A / 000</v>
      </c>
      <c r="J174" s="34"/>
      <c r="K174" s="38"/>
      <c r="L174" s="35"/>
      <c r="M174" s="66"/>
      <c r="N174" s="66"/>
      <c r="O174" s="66"/>
      <c r="P174" s="66"/>
      <c r="Q174" s="66"/>
      <c r="R174" s="67"/>
      <c r="S174" s="67"/>
      <c r="T174" s="67"/>
      <c r="U174" s="66"/>
      <c r="V174" s="66"/>
      <c r="W174" s="66"/>
      <c r="X174" s="85"/>
      <c r="AP174" t="str">
        <v/>
      </c>
    </row>
    <row r="175" spans="4:42" ht="15.75" x14ac:dyDescent="0.25">
      <c r="D175" s="3">
        <v>1</v>
      </c>
      <c r="F175" s="16" t="str" cm="1">
        <f t="array" ref="F1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5" s="31" cm="1">
        <f t="array" ref="G1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5" s="33" t="str">
        <f>_xlfn.IFNA(IF(MOD(HLG_06[[#This Row],[Rit]],
    _xlfn.XLOOKUP($G$2,Int_Sample[Ore],Int_Sample[Inc])) = 0, "YES", "NO"),"")</f>
        <v/>
      </c>
      <c r="I175" s="32" t="str">
        <f>TEXT(HLG_06[[#This Row],[Batch]],"000")&amp; " / " &amp; TEXT(HLG_06[[#This Row],[Rit]],"000")</f>
        <v>N/A / 000</v>
      </c>
      <c r="J175" s="34"/>
      <c r="K175" s="38"/>
      <c r="L175" s="35"/>
      <c r="M175" s="66"/>
      <c r="N175" s="66"/>
      <c r="O175" s="66"/>
      <c r="P175" s="66"/>
      <c r="Q175" s="66"/>
      <c r="R175" s="67"/>
      <c r="S175" s="67"/>
      <c r="T175" s="67"/>
      <c r="U175" s="66"/>
      <c r="V175" s="66"/>
      <c r="W175" s="66"/>
      <c r="X175" s="85"/>
      <c r="AP175" t="str">
        <v/>
      </c>
    </row>
    <row r="176" spans="4:42" ht="15.75" x14ac:dyDescent="0.25">
      <c r="D176" s="3">
        <v>1</v>
      </c>
      <c r="F176" s="16" t="str" cm="1">
        <f t="array" ref="F1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6" s="31" cm="1">
        <f t="array" ref="G1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6" s="33" t="str">
        <f>_xlfn.IFNA(IF(MOD(HLG_06[[#This Row],[Rit]],
    _xlfn.XLOOKUP($G$2,Int_Sample[Ore],Int_Sample[Inc])) = 0, "YES", "NO"),"")</f>
        <v/>
      </c>
      <c r="I176" s="32" t="str">
        <f>TEXT(HLG_06[[#This Row],[Batch]],"000")&amp; " / " &amp; TEXT(HLG_06[[#This Row],[Rit]],"000")</f>
        <v>N/A / 000</v>
      </c>
      <c r="J176" s="34"/>
      <c r="K176" s="38"/>
      <c r="L176" s="35"/>
      <c r="M176" s="66"/>
      <c r="N176" s="66"/>
      <c r="O176" s="66"/>
      <c r="P176" s="66"/>
      <c r="Q176" s="66"/>
      <c r="R176" s="67"/>
      <c r="S176" s="67"/>
      <c r="T176" s="67"/>
      <c r="U176" s="66"/>
      <c r="V176" s="66"/>
      <c r="W176" s="66"/>
      <c r="X176" s="85"/>
      <c r="AP176" t="str">
        <v/>
      </c>
    </row>
    <row r="177" spans="4:42" ht="15.75" x14ac:dyDescent="0.25">
      <c r="D177" s="3">
        <v>1</v>
      </c>
      <c r="F177" s="16" t="str" cm="1">
        <f t="array" ref="F1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7" s="31" cm="1">
        <f t="array" ref="G1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7" s="33" t="str">
        <f>_xlfn.IFNA(IF(MOD(HLG_06[[#This Row],[Rit]],
    _xlfn.XLOOKUP($G$2,Int_Sample[Ore],Int_Sample[Inc])) = 0, "YES", "NO"),"")</f>
        <v/>
      </c>
      <c r="I177" s="32" t="str">
        <f>TEXT(HLG_06[[#This Row],[Batch]],"000")&amp; " / " &amp; TEXT(HLG_06[[#This Row],[Rit]],"000")</f>
        <v>N/A / 000</v>
      </c>
      <c r="J177" s="34"/>
      <c r="K177" s="38"/>
      <c r="L177" s="35"/>
      <c r="M177" s="66"/>
      <c r="N177" s="66"/>
      <c r="O177" s="66"/>
      <c r="P177" s="66"/>
      <c r="Q177" s="66"/>
      <c r="R177" s="67"/>
      <c r="S177" s="67"/>
      <c r="T177" s="67"/>
      <c r="U177" s="66"/>
      <c r="V177" s="66"/>
      <c r="W177" s="66"/>
      <c r="X177" s="85"/>
      <c r="AP177" t="str">
        <v/>
      </c>
    </row>
    <row r="178" spans="4:42" ht="15.75" x14ac:dyDescent="0.25">
      <c r="D178" s="3">
        <v>1</v>
      </c>
      <c r="F178" s="16" t="str" cm="1">
        <f t="array" ref="F1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8" s="31" cm="1">
        <f t="array" ref="G1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8" s="33" t="str">
        <f>_xlfn.IFNA(IF(MOD(HLG_06[[#This Row],[Rit]],
    _xlfn.XLOOKUP($G$2,Int_Sample[Ore],Int_Sample[Inc])) = 0, "YES", "NO"),"")</f>
        <v/>
      </c>
      <c r="I178" s="32" t="str">
        <f>TEXT(HLG_06[[#This Row],[Batch]],"000")&amp; " / " &amp; TEXT(HLG_06[[#This Row],[Rit]],"000")</f>
        <v>N/A / 000</v>
      </c>
      <c r="J178" s="34"/>
      <c r="K178" s="38"/>
      <c r="L178" s="35"/>
      <c r="M178" s="66"/>
      <c r="N178" s="66"/>
      <c r="O178" s="66"/>
      <c r="P178" s="66"/>
      <c r="Q178" s="66"/>
      <c r="R178" s="67"/>
      <c r="S178" s="67"/>
      <c r="T178" s="67"/>
      <c r="U178" s="66"/>
      <c r="V178" s="66"/>
      <c r="W178" s="66"/>
      <c r="X178" s="85"/>
      <c r="AP178" t="str">
        <v/>
      </c>
    </row>
    <row r="179" spans="4:42" ht="15.75" x14ac:dyDescent="0.25">
      <c r="D179" s="3">
        <v>1</v>
      </c>
      <c r="F179" s="16" t="str" cm="1">
        <f t="array" ref="F1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79" s="31" cm="1">
        <f t="array" ref="G1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79" s="33" t="str">
        <f>_xlfn.IFNA(IF(MOD(HLG_06[[#This Row],[Rit]],
    _xlfn.XLOOKUP($G$2,Int_Sample[Ore],Int_Sample[Inc])) = 0, "YES", "NO"),"")</f>
        <v/>
      </c>
      <c r="I179" s="32" t="str">
        <f>TEXT(HLG_06[[#This Row],[Batch]],"000")&amp; " / " &amp; TEXT(HLG_06[[#This Row],[Rit]],"000")</f>
        <v>N/A / 000</v>
      </c>
      <c r="J179" s="34"/>
      <c r="K179" s="38"/>
      <c r="L179" s="35"/>
      <c r="M179" s="66"/>
      <c r="N179" s="66"/>
      <c r="O179" s="66"/>
      <c r="P179" s="66"/>
      <c r="Q179" s="66"/>
      <c r="R179" s="67"/>
      <c r="S179" s="67"/>
      <c r="T179" s="67"/>
      <c r="U179" s="66"/>
      <c r="V179" s="66"/>
      <c r="W179" s="66"/>
      <c r="X179" s="85"/>
      <c r="AP179" t="str">
        <v/>
      </c>
    </row>
    <row r="180" spans="4:42" ht="15.75" x14ac:dyDescent="0.25">
      <c r="D180" s="3">
        <v>1</v>
      </c>
      <c r="F180" s="16" t="str" cm="1">
        <f t="array" ref="F1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0" s="31" cm="1">
        <f t="array" ref="G1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0" s="33" t="str">
        <f>_xlfn.IFNA(IF(MOD(HLG_06[[#This Row],[Rit]],
    _xlfn.XLOOKUP($G$2,Int_Sample[Ore],Int_Sample[Inc])) = 0, "YES", "NO"),"")</f>
        <v/>
      </c>
      <c r="I180" s="32" t="str">
        <f>TEXT(HLG_06[[#This Row],[Batch]],"000")&amp; " / " &amp; TEXT(HLG_06[[#This Row],[Rit]],"000")</f>
        <v>N/A / 000</v>
      </c>
      <c r="J180" s="34"/>
      <c r="K180" s="38"/>
      <c r="L180" s="35"/>
      <c r="M180" s="66"/>
      <c r="N180" s="66"/>
      <c r="O180" s="66"/>
      <c r="P180" s="66"/>
      <c r="Q180" s="66"/>
      <c r="R180" s="67"/>
      <c r="S180" s="67"/>
      <c r="T180" s="67"/>
      <c r="U180" s="66"/>
      <c r="V180" s="66"/>
      <c r="W180" s="66"/>
      <c r="X180" s="85"/>
      <c r="AP180" t="str">
        <v/>
      </c>
    </row>
    <row r="181" spans="4:42" ht="15.75" x14ac:dyDescent="0.25">
      <c r="D181" s="3">
        <v>1</v>
      </c>
      <c r="F181" s="16" t="str" cm="1">
        <f t="array" ref="F1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1" s="31" cm="1">
        <f t="array" ref="G1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1" s="33" t="str">
        <f>_xlfn.IFNA(IF(MOD(HLG_06[[#This Row],[Rit]],
    _xlfn.XLOOKUP($G$2,Int_Sample[Ore],Int_Sample[Inc])) = 0, "YES", "NO"),"")</f>
        <v/>
      </c>
      <c r="I181" s="32" t="str">
        <f>TEXT(HLG_06[[#This Row],[Batch]],"000")&amp; " / " &amp; TEXT(HLG_06[[#This Row],[Rit]],"000")</f>
        <v>N/A / 000</v>
      </c>
      <c r="J181" s="34"/>
      <c r="K181" s="38"/>
      <c r="L181" s="35"/>
      <c r="M181" s="66"/>
      <c r="N181" s="66"/>
      <c r="O181" s="66"/>
      <c r="P181" s="66"/>
      <c r="Q181" s="66"/>
      <c r="R181" s="67"/>
      <c r="S181" s="67"/>
      <c r="T181" s="67"/>
      <c r="U181" s="66"/>
      <c r="V181" s="66"/>
      <c r="W181" s="66"/>
      <c r="X181" s="85"/>
      <c r="AP181" t="str">
        <v/>
      </c>
    </row>
    <row r="182" spans="4:42" ht="15.75" x14ac:dyDescent="0.25">
      <c r="D182" s="3">
        <v>1</v>
      </c>
      <c r="F182" s="16" t="str" cm="1">
        <f t="array" ref="F1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2" s="31" cm="1">
        <f t="array" ref="G1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2" s="33" t="str">
        <f>_xlfn.IFNA(IF(MOD(HLG_06[[#This Row],[Rit]],
    _xlfn.XLOOKUP($G$2,Int_Sample[Ore],Int_Sample[Inc])) = 0, "YES", "NO"),"")</f>
        <v/>
      </c>
      <c r="I182" s="32" t="str">
        <f>TEXT(HLG_06[[#This Row],[Batch]],"000")&amp; " / " &amp; TEXT(HLG_06[[#This Row],[Rit]],"000")</f>
        <v>N/A / 000</v>
      </c>
      <c r="J182" s="34"/>
      <c r="K182" s="38"/>
      <c r="L182" s="35"/>
      <c r="M182" s="66"/>
      <c r="N182" s="66"/>
      <c r="O182" s="66"/>
      <c r="P182" s="66"/>
      <c r="Q182" s="66"/>
      <c r="R182" s="67"/>
      <c r="S182" s="67"/>
      <c r="T182" s="67"/>
      <c r="U182" s="66"/>
      <c r="V182" s="66"/>
      <c r="W182" s="66"/>
      <c r="X182" s="85"/>
      <c r="AP182" t="str">
        <v/>
      </c>
    </row>
    <row r="183" spans="4:42" ht="15.75" x14ac:dyDescent="0.25">
      <c r="D183" s="3">
        <v>1</v>
      </c>
      <c r="F183" s="16" t="str" cm="1">
        <f t="array" ref="F1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3" s="31" cm="1">
        <f t="array" ref="G1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3" s="33" t="str">
        <f>_xlfn.IFNA(IF(MOD(HLG_06[[#This Row],[Rit]],
    _xlfn.XLOOKUP($G$2,Int_Sample[Ore],Int_Sample[Inc])) = 0, "YES", "NO"),"")</f>
        <v/>
      </c>
      <c r="I183" s="32" t="str">
        <f>TEXT(HLG_06[[#This Row],[Batch]],"000")&amp; " / " &amp; TEXT(HLG_06[[#This Row],[Rit]],"000")</f>
        <v>N/A / 000</v>
      </c>
      <c r="J183" s="34"/>
      <c r="K183" s="38"/>
      <c r="L183" s="35"/>
      <c r="M183" s="66"/>
      <c r="N183" s="66"/>
      <c r="O183" s="66"/>
      <c r="P183" s="66"/>
      <c r="Q183" s="66"/>
      <c r="R183" s="67"/>
      <c r="S183" s="67"/>
      <c r="T183" s="67"/>
      <c r="U183" s="66"/>
      <c r="V183" s="66"/>
      <c r="W183" s="66"/>
      <c r="X183" s="85"/>
      <c r="AP183" t="str">
        <v/>
      </c>
    </row>
    <row r="184" spans="4:42" ht="15.75" x14ac:dyDescent="0.25">
      <c r="D184" s="3">
        <v>1</v>
      </c>
      <c r="F184" s="16" t="str" cm="1">
        <f t="array" ref="F1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4" s="31" cm="1">
        <f t="array" ref="G1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4" s="33" t="str">
        <f>_xlfn.IFNA(IF(MOD(HLG_06[[#This Row],[Rit]],
    _xlfn.XLOOKUP($G$2,Int_Sample[Ore],Int_Sample[Inc])) = 0, "YES", "NO"),"")</f>
        <v/>
      </c>
      <c r="I184" s="32" t="str">
        <f>TEXT(HLG_06[[#This Row],[Batch]],"000")&amp; " / " &amp; TEXT(HLG_06[[#This Row],[Rit]],"000")</f>
        <v>N/A / 000</v>
      </c>
      <c r="J184" s="34"/>
      <c r="K184" s="38"/>
      <c r="L184" s="35"/>
      <c r="M184" s="66"/>
      <c r="N184" s="66"/>
      <c r="O184" s="66"/>
      <c r="P184" s="66"/>
      <c r="Q184" s="66"/>
      <c r="R184" s="67"/>
      <c r="S184" s="67"/>
      <c r="T184" s="67"/>
      <c r="U184" s="66"/>
      <c r="V184" s="66"/>
      <c r="W184" s="66"/>
      <c r="X184" s="85"/>
      <c r="AP184" t="str">
        <v/>
      </c>
    </row>
    <row r="185" spans="4:42" ht="15.75" x14ac:dyDescent="0.25">
      <c r="D185" s="3">
        <v>1</v>
      </c>
      <c r="F185" s="16" t="str" cm="1">
        <f t="array" ref="F1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5" s="31" cm="1">
        <f t="array" ref="G1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5" s="33" t="str">
        <f>_xlfn.IFNA(IF(MOD(HLG_06[[#This Row],[Rit]],
    _xlfn.XLOOKUP($G$2,Int_Sample[Ore],Int_Sample[Inc])) = 0, "YES", "NO"),"")</f>
        <v/>
      </c>
      <c r="I185" s="32" t="str">
        <f>TEXT(HLG_06[[#This Row],[Batch]],"000")&amp; " / " &amp; TEXT(HLG_06[[#This Row],[Rit]],"000")</f>
        <v>N/A / 000</v>
      </c>
      <c r="J185" s="34"/>
      <c r="K185" s="38"/>
      <c r="L185" s="35"/>
      <c r="M185" s="66"/>
      <c r="N185" s="66"/>
      <c r="O185" s="66"/>
      <c r="P185" s="66"/>
      <c r="Q185" s="66"/>
      <c r="R185" s="67"/>
      <c r="S185" s="67"/>
      <c r="T185" s="67"/>
      <c r="U185" s="66"/>
      <c r="V185" s="66"/>
      <c r="W185" s="66"/>
      <c r="X185" s="85"/>
      <c r="AP185" t="str">
        <v/>
      </c>
    </row>
    <row r="186" spans="4:42" ht="15.75" x14ac:dyDescent="0.25">
      <c r="D186" s="3">
        <v>1</v>
      </c>
      <c r="F186" s="16" t="str" cm="1">
        <f t="array" ref="F1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6" s="31" cm="1">
        <f t="array" ref="G1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6" s="33" t="str">
        <f>_xlfn.IFNA(IF(MOD(HLG_06[[#This Row],[Rit]],
    _xlfn.XLOOKUP($G$2,Int_Sample[Ore],Int_Sample[Inc])) = 0, "YES", "NO"),"")</f>
        <v/>
      </c>
      <c r="I186" s="32" t="str">
        <f>TEXT(HLG_06[[#This Row],[Batch]],"000")&amp; " / " &amp; TEXT(HLG_06[[#This Row],[Rit]],"000")</f>
        <v>N/A / 000</v>
      </c>
      <c r="J186" s="34"/>
      <c r="K186" s="38"/>
      <c r="L186" s="35"/>
      <c r="M186" s="66"/>
      <c r="N186" s="66"/>
      <c r="O186" s="66"/>
      <c r="P186" s="66"/>
      <c r="Q186" s="66"/>
      <c r="R186" s="67"/>
      <c r="S186" s="67"/>
      <c r="T186" s="67"/>
      <c r="U186" s="66"/>
      <c r="V186" s="66"/>
      <c r="W186" s="66"/>
      <c r="X186" s="85"/>
      <c r="AP186" t="str">
        <v/>
      </c>
    </row>
    <row r="187" spans="4:42" ht="15.75" x14ac:dyDescent="0.25">
      <c r="D187" s="3">
        <v>1</v>
      </c>
      <c r="F187" s="16" t="str" cm="1">
        <f t="array" ref="F1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7" s="31" cm="1">
        <f t="array" ref="G1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7" s="33" t="str">
        <f>_xlfn.IFNA(IF(MOD(HLG_06[[#This Row],[Rit]],
    _xlfn.XLOOKUP($G$2,Int_Sample[Ore],Int_Sample[Inc])) = 0, "YES", "NO"),"")</f>
        <v/>
      </c>
      <c r="I187" s="32" t="str">
        <f>TEXT(HLG_06[[#This Row],[Batch]],"000")&amp; " / " &amp; TEXT(HLG_06[[#This Row],[Rit]],"000")</f>
        <v>N/A / 000</v>
      </c>
      <c r="J187" s="34"/>
      <c r="K187" s="38"/>
      <c r="L187" s="35"/>
      <c r="M187" s="66"/>
      <c r="N187" s="66"/>
      <c r="O187" s="66"/>
      <c r="P187" s="66"/>
      <c r="Q187" s="66"/>
      <c r="R187" s="67"/>
      <c r="S187" s="67"/>
      <c r="T187" s="67"/>
      <c r="U187" s="66"/>
      <c r="V187" s="66"/>
      <c r="W187" s="66"/>
      <c r="X187" s="85"/>
      <c r="AP187" t="str">
        <v/>
      </c>
    </row>
    <row r="188" spans="4:42" ht="15.75" x14ac:dyDescent="0.25">
      <c r="D188" s="3">
        <v>1</v>
      </c>
      <c r="F188" s="16" t="str" cm="1">
        <f t="array" ref="F1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8" s="31" cm="1">
        <f t="array" ref="G1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8" s="33" t="str">
        <f>_xlfn.IFNA(IF(MOD(HLG_06[[#This Row],[Rit]],
    _xlfn.XLOOKUP($G$2,Int_Sample[Ore],Int_Sample[Inc])) = 0, "YES", "NO"),"")</f>
        <v/>
      </c>
      <c r="I188" s="32" t="str">
        <f>TEXT(HLG_06[[#This Row],[Batch]],"000")&amp; " / " &amp; TEXT(HLG_06[[#This Row],[Rit]],"000")</f>
        <v>N/A / 000</v>
      </c>
      <c r="J188" s="34"/>
      <c r="K188" s="38"/>
      <c r="L188" s="35"/>
      <c r="M188" s="66"/>
      <c r="N188" s="66"/>
      <c r="O188" s="66"/>
      <c r="P188" s="66"/>
      <c r="Q188" s="66"/>
      <c r="R188" s="67"/>
      <c r="S188" s="67"/>
      <c r="T188" s="67"/>
      <c r="U188" s="66"/>
      <c r="V188" s="66"/>
      <c r="W188" s="66"/>
      <c r="X188" s="85"/>
      <c r="AP188" t="str">
        <v/>
      </c>
    </row>
    <row r="189" spans="4:42" ht="15.75" x14ac:dyDescent="0.25">
      <c r="D189" s="3">
        <v>1</v>
      </c>
      <c r="F189" s="16" t="str" cm="1">
        <f t="array" ref="F1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89" s="31" cm="1">
        <f t="array" ref="G1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89" s="33" t="str">
        <f>_xlfn.IFNA(IF(MOD(HLG_06[[#This Row],[Rit]],
    _xlfn.XLOOKUP($G$2,Int_Sample[Ore],Int_Sample[Inc])) = 0, "YES", "NO"),"")</f>
        <v/>
      </c>
      <c r="I189" s="32" t="str">
        <f>TEXT(HLG_06[[#This Row],[Batch]],"000")&amp; " / " &amp; TEXT(HLG_06[[#This Row],[Rit]],"000")</f>
        <v>N/A / 000</v>
      </c>
      <c r="J189" s="34"/>
      <c r="K189" s="38"/>
      <c r="L189" s="35"/>
      <c r="M189" s="66"/>
      <c r="N189" s="66"/>
      <c r="O189" s="66"/>
      <c r="P189" s="66"/>
      <c r="Q189" s="66"/>
      <c r="R189" s="67"/>
      <c r="S189" s="67"/>
      <c r="T189" s="67"/>
      <c r="U189" s="66"/>
      <c r="V189" s="66"/>
      <c r="W189" s="66"/>
      <c r="X189" s="85"/>
      <c r="AP189" t="str">
        <v/>
      </c>
    </row>
    <row r="190" spans="4:42" ht="15.75" x14ac:dyDescent="0.25">
      <c r="D190" s="3">
        <v>1</v>
      </c>
      <c r="F190" s="16" t="str" cm="1">
        <f t="array" ref="F1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0" s="31" cm="1">
        <f t="array" ref="G1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0" s="33" t="str">
        <f>_xlfn.IFNA(IF(MOD(HLG_06[[#This Row],[Rit]],
    _xlfn.XLOOKUP($G$2,Int_Sample[Ore],Int_Sample[Inc])) = 0, "YES", "NO"),"")</f>
        <v/>
      </c>
      <c r="I190" s="32" t="str">
        <f>TEXT(HLG_06[[#This Row],[Batch]],"000")&amp; " / " &amp; TEXT(HLG_06[[#This Row],[Rit]],"000")</f>
        <v>N/A / 000</v>
      </c>
      <c r="J190" s="34"/>
      <c r="K190" s="38"/>
      <c r="L190" s="35"/>
      <c r="M190" s="66"/>
      <c r="N190" s="66"/>
      <c r="O190" s="66"/>
      <c r="P190" s="66"/>
      <c r="Q190" s="66"/>
      <c r="R190" s="67"/>
      <c r="S190" s="67"/>
      <c r="T190" s="67"/>
      <c r="U190" s="66"/>
      <c r="V190" s="66"/>
      <c r="W190" s="66"/>
      <c r="X190" s="85"/>
      <c r="AP190" t="str">
        <v/>
      </c>
    </row>
    <row r="191" spans="4:42" ht="15.75" x14ac:dyDescent="0.25">
      <c r="D191" s="3">
        <v>1</v>
      </c>
      <c r="F191" s="16" t="str" cm="1">
        <f t="array" ref="F1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1" s="31" cm="1">
        <f t="array" ref="G1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1" s="33" t="str">
        <f>_xlfn.IFNA(IF(MOD(HLG_06[[#This Row],[Rit]],
    _xlfn.XLOOKUP($G$2,Int_Sample[Ore],Int_Sample[Inc])) = 0, "YES", "NO"),"")</f>
        <v/>
      </c>
      <c r="I191" s="32" t="str">
        <f>TEXT(HLG_06[[#This Row],[Batch]],"000")&amp; " / " &amp; TEXT(HLG_06[[#This Row],[Rit]],"000")</f>
        <v>N/A / 000</v>
      </c>
      <c r="J191" s="34"/>
      <c r="K191" s="38"/>
      <c r="L191" s="35"/>
      <c r="M191" s="66"/>
      <c r="N191" s="66"/>
      <c r="O191" s="66"/>
      <c r="P191" s="66"/>
      <c r="Q191" s="66"/>
      <c r="R191" s="67"/>
      <c r="S191" s="67"/>
      <c r="T191" s="67"/>
      <c r="U191" s="66"/>
      <c r="V191" s="66"/>
      <c r="W191" s="66"/>
      <c r="X191" s="85"/>
      <c r="AP191" t="str">
        <v/>
      </c>
    </row>
    <row r="192" spans="4:42" ht="15.75" x14ac:dyDescent="0.25">
      <c r="D192" s="3">
        <v>1</v>
      </c>
      <c r="F192" s="16" t="str" cm="1">
        <f t="array" ref="F1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2" s="31" cm="1">
        <f t="array" ref="G1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2" s="33" t="str">
        <f>_xlfn.IFNA(IF(MOD(HLG_06[[#This Row],[Rit]],
    _xlfn.XLOOKUP($G$2,Int_Sample[Ore],Int_Sample[Inc])) = 0, "YES", "NO"),"")</f>
        <v/>
      </c>
      <c r="I192" s="32" t="str">
        <f>TEXT(HLG_06[[#This Row],[Batch]],"000")&amp; " / " &amp; TEXT(HLG_06[[#This Row],[Rit]],"000")</f>
        <v>N/A / 000</v>
      </c>
      <c r="J192" s="34"/>
      <c r="K192" s="38"/>
      <c r="L192" s="35"/>
      <c r="M192" s="66"/>
      <c r="N192" s="66"/>
      <c r="O192" s="66"/>
      <c r="P192" s="66"/>
      <c r="Q192" s="66"/>
      <c r="R192" s="67"/>
      <c r="S192" s="67"/>
      <c r="T192" s="67"/>
      <c r="U192" s="66"/>
      <c r="V192" s="66"/>
      <c r="W192" s="66"/>
      <c r="X192" s="85"/>
      <c r="AP192" t="str">
        <v/>
      </c>
    </row>
    <row r="193" spans="4:42" ht="15.75" x14ac:dyDescent="0.25">
      <c r="D193" s="3">
        <v>1</v>
      </c>
      <c r="F193" s="16" t="str" cm="1">
        <f t="array" ref="F1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3" s="31" cm="1">
        <f t="array" ref="G1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3" s="33" t="str">
        <f>_xlfn.IFNA(IF(MOD(HLG_06[[#This Row],[Rit]],
    _xlfn.XLOOKUP($G$2,Int_Sample[Ore],Int_Sample[Inc])) = 0, "YES", "NO"),"")</f>
        <v/>
      </c>
      <c r="I193" s="32" t="str">
        <f>TEXT(HLG_06[[#This Row],[Batch]],"000")&amp; " / " &amp; TEXT(HLG_06[[#This Row],[Rit]],"000")</f>
        <v>N/A / 000</v>
      </c>
      <c r="J193" s="34"/>
      <c r="K193" s="38"/>
      <c r="L193" s="35"/>
      <c r="M193" s="66"/>
      <c r="N193" s="66"/>
      <c r="O193" s="66"/>
      <c r="P193" s="66"/>
      <c r="Q193" s="66"/>
      <c r="R193" s="67"/>
      <c r="S193" s="67"/>
      <c r="T193" s="67"/>
      <c r="U193" s="66"/>
      <c r="V193" s="66"/>
      <c r="W193" s="66"/>
      <c r="X193" s="85"/>
      <c r="AP193" t="str">
        <v/>
      </c>
    </row>
    <row r="194" spans="4:42" ht="15.75" x14ac:dyDescent="0.25">
      <c r="D194" s="3">
        <v>1</v>
      </c>
      <c r="F194" s="16" t="str" cm="1">
        <f t="array" ref="F1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4" s="31" cm="1">
        <f t="array" ref="G1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4" s="33" t="str">
        <f>_xlfn.IFNA(IF(MOD(HLG_06[[#This Row],[Rit]],
    _xlfn.XLOOKUP($G$2,Int_Sample[Ore],Int_Sample[Inc])) = 0, "YES", "NO"),"")</f>
        <v/>
      </c>
      <c r="I194" s="32" t="str">
        <f>TEXT(HLG_06[[#This Row],[Batch]],"000")&amp; " / " &amp; TEXT(HLG_06[[#This Row],[Rit]],"000")</f>
        <v>N/A / 000</v>
      </c>
      <c r="J194" s="34"/>
      <c r="K194" s="38"/>
      <c r="L194" s="35"/>
      <c r="M194" s="66"/>
      <c r="N194" s="66"/>
      <c r="O194" s="66"/>
      <c r="P194" s="66"/>
      <c r="Q194" s="66"/>
      <c r="R194" s="67"/>
      <c r="S194" s="67"/>
      <c r="T194" s="67"/>
      <c r="U194" s="66"/>
      <c r="V194" s="66"/>
      <c r="W194" s="66"/>
      <c r="X194" s="85"/>
      <c r="AP194" t="str">
        <v/>
      </c>
    </row>
    <row r="195" spans="4:42" ht="15.75" x14ac:dyDescent="0.25">
      <c r="D195" s="3">
        <v>1</v>
      </c>
      <c r="F195" s="16" t="str" cm="1">
        <f t="array" ref="F1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5" s="31" cm="1">
        <f t="array" ref="G1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5" s="33" t="str">
        <f>_xlfn.IFNA(IF(MOD(HLG_06[[#This Row],[Rit]],
    _xlfn.XLOOKUP($G$2,Int_Sample[Ore],Int_Sample[Inc])) = 0, "YES", "NO"),"")</f>
        <v/>
      </c>
      <c r="I195" s="32" t="str">
        <f>TEXT(HLG_06[[#This Row],[Batch]],"000")&amp; " / " &amp; TEXT(HLG_06[[#This Row],[Rit]],"000")</f>
        <v>N/A / 000</v>
      </c>
      <c r="J195" s="34"/>
      <c r="K195" s="38"/>
      <c r="L195" s="35"/>
      <c r="M195" s="66"/>
      <c r="N195" s="66"/>
      <c r="O195" s="66"/>
      <c r="P195" s="66"/>
      <c r="Q195" s="66"/>
      <c r="R195" s="67"/>
      <c r="S195" s="67"/>
      <c r="T195" s="67"/>
      <c r="U195" s="66"/>
      <c r="V195" s="66"/>
      <c r="W195" s="66"/>
      <c r="X195" s="85"/>
      <c r="AP195" t="str">
        <v/>
      </c>
    </row>
    <row r="196" spans="4:42" ht="15.75" x14ac:dyDescent="0.25">
      <c r="D196" s="3">
        <v>1</v>
      </c>
      <c r="F196" s="16" t="str" cm="1">
        <f t="array" ref="F1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6" s="31" cm="1">
        <f t="array" ref="G1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6" s="33" t="str">
        <f>_xlfn.IFNA(IF(MOD(HLG_06[[#This Row],[Rit]],
    _xlfn.XLOOKUP($G$2,Int_Sample[Ore],Int_Sample[Inc])) = 0, "YES", "NO"),"")</f>
        <v/>
      </c>
      <c r="I196" s="32" t="str">
        <f>TEXT(HLG_06[[#This Row],[Batch]],"000")&amp; " / " &amp; TEXT(HLG_06[[#This Row],[Rit]],"000")</f>
        <v>N/A / 000</v>
      </c>
      <c r="J196" s="34"/>
      <c r="K196" s="38"/>
      <c r="L196" s="35"/>
      <c r="M196" s="66"/>
      <c r="N196" s="66"/>
      <c r="O196" s="66"/>
      <c r="P196" s="66"/>
      <c r="Q196" s="66"/>
      <c r="R196" s="67"/>
      <c r="S196" s="67"/>
      <c r="T196" s="67"/>
      <c r="U196" s="66"/>
      <c r="V196" s="66"/>
      <c r="W196" s="66"/>
      <c r="X196" s="85"/>
      <c r="AP196" t="str">
        <v/>
      </c>
    </row>
    <row r="197" spans="4:42" ht="15.75" x14ac:dyDescent="0.25">
      <c r="D197" s="3">
        <v>1</v>
      </c>
      <c r="F197" s="16" t="str" cm="1">
        <f t="array" ref="F1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7" s="31" cm="1">
        <f t="array" ref="G1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7" s="33" t="str">
        <f>_xlfn.IFNA(IF(MOD(HLG_06[[#This Row],[Rit]],
    _xlfn.XLOOKUP($G$2,Int_Sample[Ore],Int_Sample[Inc])) = 0, "YES", "NO"),"")</f>
        <v/>
      </c>
      <c r="I197" s="32" t="str">
        <f>TEXT(HLG_06[[#This Row],[Batch]],"000")&amp; " / " &amp; TEXT(HLG_06[[#This Row],[Rit]],"000")</f>
        <v>N/A / 000</v>
      </c>
      <c r="J197" s="34"/>
      <c r="K197" s="38"/>
      <c r="L197" s="35"/>
      <c r="M197" s="66"/>
      <c r="N197" s="66"/>
      <c r="O197" s="66"/>
      <c r="P197" s="66"/>
      <c r="Q197" s="66"/>
      <c r="R197" s="67"/>
      <c r="S197" s="67"/>
      <c r="T197" s="67"/>
      <c r="U197" s="66"/>
      <c r="V197" s="66"/>
      <c r="W197" s="66"/>
      <c r="X197" s="85"/>
      <c r="AP197" t="str">
        <v/>
      </c>
    </row>
    <row r="198" spans="4:42" ht="15.75" x14ac:dyDescent="0.25">
      <c r="D198" s="3">
        <v>1</v>
      </c>
      <c r="F198" s="16" t="str" cm="1">
        <f t="array" ref="F1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8" s="31" cm="1">
        <f t="array" ref="G1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8" s="33" t="str">
        <f>_xlfn.IFNA(IF(MOD(HLG_06[[#This Row],[Rit]],
    _xlfn.XLOOKUP($G$2,Int_Sample[Ore],Int_Sample[Inc])) = 0, "YES", "NO"),"")</f>
        <v/>
      </c>
      <c r="I198" s="32" t="str">
        <f>TEXT(HLG_06[[#This Row],[Batch]],"000")&amp; " / " &amp; TEXT(HLG_06[[#This Row],[Rit]],"000")</f>
        <v>N/A / 000</v>
      </c>
      <c r="J198" s="34"/>
      <c r="K198" s="38"/>
      <c r="L198" s="35"/>
      <c r="M198" s="66"/>
      <c r="N198" s="66"/>
      <c r="O198" s="66"/>
      <c r="P198" s="66"/>
      <c r="Q198" s="66"/>
      <c r="R198" s="67"/>
      <c r="S198" s="67"/>
      <c r="T198" s="67"/>
      <c r="U198" s="66"/>
      <c r="V198" s="66"/>
      <c r="W198" s="66"/>
      <c r="X198" s="85"/>
      <c r="AP198" t="str">
        <v/>
      </c>
    </row>
    <row r="199" spans="4:42" ht="15.75" x14ac:dyDescent="0.25">
      <c r="D199" s="3">
        <v>1</v>
      </c>
      <c r="F199" s="16" t="str" cm="1">
        <f t="array" ref="F1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199" s="31" cm="1">
        <f t="array" ref="G1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199" s="33" t="str">
        <f>_xlfn.IFNA(IF(MOD(HLG_06[[#This Row],[Rit]],
    _xlfn.XLOOKUP($G$2,Int_Sample[Ore],Int_Sample[Inc])) = 0, "YES", "NO"),"")</f>
        <v/>
      </c>
      <c r="I199" s="32" t="str">
        <f>TEXT(HLG_06[[#This Row],[Batch]],"000")&amp; " / " &amp; TEXT(HLG_06[[#This Row],[Rit]],"000")</f>
        <v>N/A / 000</v>
      </c>
      <c r="J199" s="34"/>
      <c r="K199" s="38"/>
      <c r="L199" s="35"/>
      <c r="M199" s="66"/>
      <c r="N199" s="66"/>
      <c r="O199" s="66"/>
      <c r="P199" s="66"/>
      <c r="Q199" s="66"/>
      <c r="R199" s="67"/>
      <c r="S199" s="67"/>
      <c r="T199" s="67"/>
      <c r="U199" s="66"/>
      <c r="V199" s="66"/>
      <c r="W199" s="66"/>
      <c r="X199" s="85"/>
      <c r="AP199" t="str">
        <v/>
      </c>
    </row>
    <row r="200" spans="4:42" ht="15.75" x14ac:dyDescent="0.25">
      <c r="D200" s="3">
        <v>1</v>
      </c>
      <c r="F200" s="16" t="str" cm="1">
        <f t="array" ref="F2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0" s="31" cm="1">
        <f t="array" ref="G2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0" s="33" t="str">
        <f>_xlfn.IFNA(IF(MOD(HLG_06[[#This Row],[Rit]],
    _xlfn.XLOOKUP($G$2,Int_Sample[Ore],Int_Sample[Inc])) = 0, "YES", "NO"),"")</f>
        <v/>
      </c>
      <c r="I200" s="32" t="str">
        <f>TEXT(HLG_06[[#This Row],[Batch]],"000")&amp; " / " &amp; TEXT(HLG_06[[#This Row],[Rit]],"000")</f>
        <v>N/A / 000</v>
      </c>
      <c r="J200" s="34"/>
      <c r="K200" s="38"/>
      <c r="L200" s="35"/>
      <c r="M200" s="66"/>
      <c r="N200" s="66"/>
      <c r="O200" s="66"/>
      <c r="P200" s="66"/>
      <c r="Q200" s="66"/>
      <c r="R200" s="67"/>
      <c r="S200" s="67"/>
      <c r="T200" s="67"/>
      <c r="U200" s="66"/>
      <c r="V200" s="66"/>
      <c r="W200" s="66"/>
      <c r="X200" s="85"/>
      <c r="AP200" t="str">
        <v/>
      </c>
    </row>
    <row r="201" spans="4:42" ht="15.75" x14ac:dyDescent="0.25">
      <c r="D201" s="3">
        <v>1</v>
      </c>
      <c r="F201" s="16" t="str" cm="1">
        <f t="array" ref="F2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1" s="31" cm="1">
        <f t="array" ref="G2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1" s="33" t="str">
        <f>_xlfn.IFNA(IF(MOD(HLG_06[[#This Row],[Rit]],
    _xlfn.XLOOKUP($G$2,Int_Sample[Ore],Int_Sample[Inc])) = 0, "YES", "NO"),"")</f>
        <v/>
      </c>
      <c r="I201" s="32" t="str">
        <f>TEXT(HLG_06[[#This Row],[Batch]],"000")&amp; " / " &amp; TEXT(HLG_06[[#This Row],[Rit]],"000")</f>
        <v>N/A / 000</v>
      </c>
      <c r="J201" s="34"/>
      <c r="K201" s="38"/>
      <c r="L201" s="35"/>
      <c r="M201" s="66"/>
      <c r="N201" s="66"/>
      <c r="O201" s="66"/>
      <c r="P201" s="66"/>
      <c r="Q201" s="66"/>
      <c r="R201" s="67"/>
      <c r="S201" s="67"/>
      <c r="T201" s="67"/>
      <c r="U201" s="66"/>
      <c r="V201" s="66"/>
      <c r="W201" s="66"/>
      <c r="X201" s="85"/>
      <c r="AP201" t="str">
        <v/>
      </c>
    </row>
    <row r="202" spans="4:42" ht="15.75" x14ac:dyDescent="0.25">
      <c r="D202" s="3">
        <v>1</v>
      </c>
      <c r="F202" s="16" t="str" cm="1">
        <f t="array" ref="F2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2" s="31" cm="1">
        <f t="array" ref="G2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2" s="33" t="str">
        <f>_xlfn.IFNA(IF(MOD(HLG_06[[#This Row],[Rit]],
    _xlfn.XLOOKUP($G$2,Int_Sample[Ore],Int_Sample[Inc])) = 0, "YES", "NO"),"")</f>
        <v/>
      </c>
      <c r="I202" s="32" t="str">
        <f>TEXT(HLG_06[[#This Row],[Batch]],"000")&amp; " / " &amp; TEXT(HLG_06[[#This Row],[Rit]],"000")</f>
        <v>N/A / 000</v>
      </c>
      <c r="J202" s="34"/>
      <c r="K202" s="38"/>
      <c r="L202" s="35"/>
      <c r="M202" s="66"/>
      <c r="N202" s="66"/>
      <c r="O202" s="66"/>
      <c r="P202" s="66"/>
      <c r="Q202" s="66"/>
      <c r="R202" s="67"/>
      <c r="S202" s="67"/>
      <c r="T202" s="67"/>
      <c r="U202" s="66"/>
      <c r="V202" s="66"/>
      <c r="W202" s="66"/>
      <c r="X202" s="85"/>
      <c r="AP202" t="str">
        <v/>
      </c>
    </row>
    <row r="203" spans="4:42" ht="15.75" x14ac:dyDescent="0.25">
      <c r="D203" s="3">
        <v>1</v>
      </c>
      <c r="F203" s="16" t="str" cm="1">
        <f t="array" ref="F2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3" s="31" cm="1">
        <f t="array" ref="G2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3" s="33" t="str">
        <f>_xlfn.IFNA(IF(MOD(HLG_06[[#This Row],[Rit]],
    _xlfn.XLOOKUP($G$2,Int_Sample[Ore],Int_Sample[Inc])) = 0, "YES", "NO"),"")</f>
        <v/>
      </c>
      <c r="I203" s="32" t="str">
        <f>TEXT(HLG_06[[#This Row],[Batch]],"000")&amp; " / " &amp; TEXT(HLG_06[[#This Row],[Rit]],"000")</f>
        <v>N/A / 000</v>
      </c>
      <c r="J203" s="34"/>
      <c r="K203" s="38"/>
      <c r="L203" s="35"/>
      <c r="M203" s="66"/>
      <c r="N203" s="66"/>
      <c r="O203" s="66"/>
      <c r="P203" s="66"/>
      <c r="Q203" s="66"/>
      <c r="R203" s="67"/>
      <c r="S203" s="67"/>
      <c r="T203" s="67"/>
      <c r="U203" s="66"/>
      <c r="V203" s="66"/>
      <c r="W203" s="66"/>
      <c r="X203" s="85"/>
      <c r="AP203" t="str">
        <v/>
      </c>
    </row>
    <row r="204" spans="4:42" ht="15.75" x14ac:dyDescent="0.25">
      <c r="D204" s="3">
        <v>1</v>
      </c>
      <c r="F204" s="16" t="str" cm="1">
        <f t="array" ref="F2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4" s="31" cm="1">
        <f t="array" ref="G2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4" s="33" t="str">
        <f>_xlfn.IFNA(IF(MOD(HLG_06[[#This Row],[Rit]],
    _xlfn.XLOOKUP($G$2,Int_Sample[Ore],Int_Sample[Inc])) = 0, "YES", "NO"),"")</f>
        <v/>
      </c>
      <c r="I204" s="32" t="str">
        <f>TEXT(HLG_06[[#This Row],[Batch]],"000")&amp; " / " &amp; TEXT(HLG_06[[#This Row],[Rit]],"000")</f>
        <v>N/A / 000</v>
      </c>
      <c r="J204" s="34"/>
      <c r="K204" s="38"/>
      <c r="L204" s="35"/>
      <c r="M204" s="66"/>
      <c r="N204" s="66"/>
      <c r="O204" s="66"/>
      <c r="P204" s="66"/>
      <c r="Q204" s="66"/>
      <c r="R204" s="67"/>
      <c r="S204" s="67"/>
      <c r="T204" s="67"/>
      <c r="U204" s="66"/>
      <c r="V204" s="66"/>
      <c r="W204" s="66"/>
      <c r="X204" s="85"/>
      <c r="AP204" t="str">
        <v/>
      </c>
    </row>
    <row r="205" spans="4:42" ht="15.75" x14ac:dyDescent="0.25">
      <c r="D205" s="3">
        <v>1</v>
      </c>
      <c r="F205" s="16" t="str" cm="1">
        <f t="array" ref="F2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5" s="31" cm="1">
        <f t="array" ref="G2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5" s="33" t="str">
        <f>_xlfn.IFNA(IF(MOD(HLG_06[[#This Row],[Rit]],
    _xlfn.XLOOKUP($G$2,Int_Sample[Ore],Int_Sample[Inc])) = 0, "YES", "NO"),"")</f>
        <v/>
      </c>
      <c r="I205" s="32" t="str">
        <f>TEXT(HLG_06[[#This Row],[Batch]],"000")&amp; " / " &amp; TEXT(HLG_06[[#This Row],[Rit]],"000")</f>
        <v>N/A / 000</v>
      </c>
      <c r="J205" s="34"/>
      <c r="K205" s="38"/>
      <c r="L205" s="35"/>
      <c r="M205" s="66"/>
      <c r="N205" s="66"/>
      <c r="O205" s="66"/>
      <c r="P205" s="66"/>
      <c r="Q205" s="66"/>
      <c r="R205" s="67"/>
      <c r="S205" s="67"/>
      <c r="T205" s="67"/>
      <c r="U205" s="66"/>
      <c r="V205" s="66"/>
      <c r="W205" s="66"/>
      <c r="X205" s="85"/>
      <c r="AP205" t="str">
        <v/>
      </c>
    </row>
    <row r="206" spans="4:42" ht="15.75" x14ac:dyDescent="0.25">
      <c r="D206" s="3">
        <v>1</v>
      </c>
      <c r="F206" s="16" t="str" cm="1">
        <f t="array" ref="F2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6" s="31" cm="1">
        <f t="array" ref="G2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6" s="33" t="str">
        <f>_xlfn.IFNA(IF(MOD(HLG_06[[#This Row],[Rit]],
    _xlfn.XLOOKUP($G$2,Int_Sample[Ore],Int_Sample[Inc])) = 0, "YES", "NO"),"")</f>
        <v/>
      </c>
      <c r="I206" s="32" t="str">
        <f>TEXT(HLG_06[[#This Row],[Batch]],"000")&amp; " / " &amp; TEXT(HLG_06[[#This Row],[Rit]],"000")</f>
        <v>N/A / 000</v>
      </c>
      <c r="J206" s="34"/>
      <c r="K206" s="38"/>
      <c r="L206" s="35"/>
      <c r="M206" s="66"/>
      <c r="N206" s="66"/>
      <c r="O206" s="66"/>
      <c r="P206" s="66"/>
      <c r="Q206" s="66"/>
      <c r="R206" s="67"/>
      <c r="S206" s="67"/>
      <c r="T206" s="67"/>
      <c r="U206" s="66"/>
      <c r="V206" s="66"/>
      <c r="W206" s="66"/>
      <c r="X206" s="85"/>
      <c r="AP206" t="str">
        <v/>
      </c>
    </row>
    <row r="207" spans="4:42" ht="15.75" x14ac:dyDescent="0.25">
      <c r="D207" s="3">
        <v>1</v>
      </c>
      <c r="F207" s="16" t="str" cm="1">
        <f t="array" ref="F2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7" s="31" cm="1">
        <f t="array" ref="G2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7" s="33" t="str">
        <f>_xlfn.IFNA(IF(MOD(HLG_06[[#This Row],[Rit]],
    _xlfn.XLOOKUP($G$2,Int_Sample[Ore],Int_Sample[Inc])) = 0, "YES", "NO"),"")</f>
        <v/>
      </c>
      <c r="I207" s="32" t="str">
        <f>TEXT(HLG_06[[#This Row],[Batch]],"000")&amp; " / " &amp; TEXT(HLG_06[[#This Row],[Rit]],"000")</f>
        <v>N/A / 000</v>
      </c>
      <c r="J207" s="34"/>
      <c r="K207" s="38"/>
      <c r="L207" s="35"/>
      <c r="M207" s="66"/>
      <c r="N207" s="66"/>
      <c r="O207" s="66"/>
      <c r="P207" s="66"/>
      <c r="Q207" s="66"/>
      <c r="R207" s="67"/>
      <c r="S207" s="67"/>
      <c r="T207" s="67"/>
      <c r="U207" s="66"/>
      <c r="V207" s="66"/>
      <c r="W207" s="66"/>
      <c r="X207" s="85"/>
      <c r="AP207" t="str">
        <v/>
      </c>
    </row>
    <row r="208" spans="4:42" ht="15.75" x14ac:dyDescent="0.25">
      <c r="D208" s="3">
        <v>1</v>
      </c>
      <c r="F208" s="16" t="str" cm="1">
        <f t="array" ref="F2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8" s="31" cm="1">
        <f t="array" ref="G2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8" s="33" t="str">
        <f>_xlfn.IFNA(IF(MOD(HLG_06[[#This Row],[Rit]],
    _xlfn.XLOOKUP($G$2,Int_Sample[Ore],Int_Sample[Inc])) = 0, "YES", "NO"),"")</f>
        <v/>
      </c>
      <c r="I208" s="32" t="str">
        <f>TEXT(HLG_06[[#This Row],[Batch]],"000")&amp; " / " &amp; TEXT(HLG_06[[#This Row],[Rit]],"000")</f>
        <v>N/A / 000</v>
      </c>
      <c r="J208" s="34"/>
      <c r="K208" s="38"/>
      <c r="L208" s="35"/>
      <c r="M208" s="66"/>
      <c r="N208" s="66"/>
      <c r="O208" s="66"/>
      <c r="P208" s="66"/>
      <c r="Q208" s="66"/>
      <c r="R208" s="67"/>
      <c r="S208" s="67"/>
      <c r="T208" s="67"/>
      <c r="U208" s="66"/>
      <c r="V208" s="66"/>
      <c r="W208" s="66"/>
      <c r="X208" s="85"/>
      <c r="AP208" t="str">
        <v/>
      </c>
    </row>
    <row r="209" spans="4:42" ht="15.75" x14ac:dyDescent="0.25">
      <c r="D209" s="3">
        <v>1</v>
      </c>
      <c r="F209" s="16" t="str" cm="1">
        <f t="array" ref="F2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09" s="31" cm="1">
        <f t="array" ref="G2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09" s="33" t="str">
        <f>_xlfn.IFNA(IF(MOD(HLG_06[[#This Row],[Rit]],
    _xlfn.XLOOKUP($G$2,Int_Sample[Ore],Int_Sample[Inc])) = 0, "YES", "NO"),"")</f>
        <v/>
      </c>
      <c r="I209" s="32" t="str">
        <f>TEXT(HLG_06[[#This Row],[Batch]],"000")&amp; " / " &amp; TEXT(HLG_06[[#This Row],[Rit]],"000")</f>
        <v>N/A / 000</v>
      </c>
      <c r="J209" s="34"/>
      <c r="K209" s="38"/>
      <c r="L209" s="35"/>
      <c r="M209" s="66"/>
      <c r="N209" s="66"/>
      <c r="O209" s="66"/>
      <c r="P209" s="66"/>
      <c r="Q209" s="66"/>
      <c r="R209" s="67"/>
      <c r="S209" s="67"/>
      <c r="T209" s="67"/>
      <c r="U209" s="66"/>
      <c r="V209" s="66"/>
      <c r="W209" s="66"/>
      <c r="X209" s="85"/>
      <c r="AP209" t="str">
        <v/>
      </c>
    </row>
    <row r="210" spans="4:42" ht="15.75" x14ac:dyDescent="0.25">
      <c r="D210" s="3">
        <v>1</v>
      </c>
      <c r="F210" s="16" t="str" cm="1">
        <f t="array" ref="F2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0" s="31" cm="1">
        <f t="array" ref="G2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0" s="33" t="str">
        <f>_xlfn.IFNA(IF(MOD(HLG_06[[#This Row],[Rit]],
    _xlfn.XLOOKUP($G$2,Int_Sample[Ore],Int_Sample[Inc])) = 0, "YES", "NO"),"")</f>
        <v/>
      </c>
      <c r="I210" s="32" t="str">
        <f>TEXT(HLG_06[[#This Row],[Batch]],"000")&amp; " / " &amp; TEXT(HLG_06[[#This Row],[Rit]],"000")</f>
        <v>N/A / 000</v>
      </c>
      <c r="J210" s="34"/>
      <c r="K210" s="38"/>
      <c r="L210" s="35"/>
      <c r="M210" s="66"/>
      <c r="N210" s="66"/>
      <c r="O210" s="66"/>
      <c r="P210" s="66"/>
      <c r="Q210" s="66"/>
      <c r="R210" s="67"/>
      <c r="S210" s="67"/>
      <c r="T210" s="67"/>
      <c r="U210" s="66"/>
      <c r="V210" s="66"/>
      <c r="W210" s="66"/>
      <c r="X210" s="85"/>
      <c r="AP210" t="str">
        <v/>
      </c>
    </row>
    <row r="211" spans="4:42" ht="15.75" x14ac:dyDescent="0.25">
      <c r="D211" s="3">
        <v>1</v>
      </c>
      <c r="F211" s="16" t="str" cm="1">
        <f t="array" ref="F2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1" s="31" cm="1">
        <f t="array" ref="G2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1" s="33" t="str">
        <f>_xlfn.IFNA(IF(MOD(HLG_06[[#This Row],[Rit]],
    _xlfn.XLOOKUP($G$2,Int_Sample[Ore],Int_Sample[Inc])) = 0, "YES", "NO"),"")</f>
        <v/>
      </c>
      <c r="I211" s="32" t="str">
        <f>TEXT(HLG_06[[#This Row],[Batch]],"000")&amp; " / " &amp; TEXT(HLG_06[[#This Row],[Rit]],"000")</f>
        <v>N/A / 000</v>
      </c>
      <c r="J211" s="34"/>
      <c r="K211" s="38"/>
      <c r="L211" s="35"/>
      <c r="M211" s="66"/>
      <c r="N211" s="66"/>
      <c r="O211" s="66"/>
      <c r="P211" s="66"/>
      <c r="Q211" s="66"/>
      <c r="R211" s="67"/>
      <c r="S211" s="67"/>
      <c r="T211" s="67"/>
      <c r="U211" s="66"/>
      <c r="V211" s="66"/>
      <c r="W211" s="66"/>
      <c r="X211" s="85"/>
      <c r="AP211" t="str">
        <v/>
      </c>
    </row>
    <row r="212" spans="4:42" ht="15.75" x14ac:dyDescent="0.25">
      <c r="D212" s="3">
        <v>1</v>
      </c>
      <c r="F212" s="16" t="str" cm="1">
        <f t="array" ref="F2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2" s="31" cm="1">
        <f t="array" ref="G2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2" s="33" t="str">
        <f>_xlfn.IFNA(IF(MOD(HLG_06[[#This Row],[Rit]],
    _xlfn.XLOOKUP($G$2,Int_Sample[Ore],Int_Sample[Inc])) = 0, "YES", "NO"),"")</f>
        <v/>
      </c>
      <c r="I212" s="32" t="str">
        <f>TEXT(HLG_06[[#This Row],[Batch]],"000")&amp; " / " &amp; TEXT(HLG_06[[#This Row],[Rit]],"000")</f>
        <v>N/A / 000</v>
      </c>
      <c r="J212" s="34"/>
      <c r="K212" s="38"/>
      <c r="L212" s="35"/>
      <c r="M212" s="66"/>
      <c r="N212" s="66"/>
      <c r="O212" s="66"/>
      <c r="P212" s="66"/>
      <c r="Q212" s="66"/>
      <c r="R212" s="67"/>
      <c r="S212" s="67"/>
      <c r="T212" s="67"/>
      <c r="U212" s="66"/>
      <c r="V212" s="66"/>
      <c r="W212" s="66"/>
      <c r="X212" s="85"/>
      <c r="AP212" t="str">
        <v/>
      </c>
    </row>
    <row r="213" spans="4:42" ht="15.75" x14ac:dyDescent="0.25">
      <c r="D213" s="3">
        <v>1</v>
      </c>
      <c r="F213" s="16" t="str" cm="1">
        <f t="array" ref="F2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3" s="31" cm="1">
        <f t="array" ref="G2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3" s="33" t="str">
        <f>_xlfn.IFNA(IF(MOD(HLG_06[[#This Row],[Rit]],
    _xlfn.XLOOKUP($G$2,Int_Sample[Ore],Int_Sample[Inc])) = 0, "YES", "NO"),"")</f>
        <v/>
      </c>
      <c r="I213" s="32" t="str">
        <f>TEXT(HLG_06[[#This Row],[Batch]],"000")&amp; " / " &amp; TEXT(HLG_06[[#This Row],[Rit]],"000")</f>
        <v>N/A / 000</v>
      </c>
      <c r="J213" s="34"/>
      <c r="K213" s="38"/>
      <c r="L213" s="35"/>
      <c r="M213" s="66"/>
      <c r="N213" s="66"/>
      <c r="O213" s="66"/>
      <c r="P213" s="66"/>
      <c r="Q213" s="66"/>
      <c r="R213" s="67"/>
      <c r="S213" s="67"/>
      <c r="T213" s="67"/>
      <c r="U213" s="66"/>
      <c r="V213" s="66"/>
      <c r="W213" s="66"/>
      <c r="X213" s="85"/>
      <c r="AP213" t="str">
        <v/>
      </c>
    </row>
    <row r="214" spans="4:42" ht="15.75" x14ac:dyDescent="0.25">
      <c r="D214" s="3">
        <v>1</v>
      </c>
      <c r="F214" s="16" t="str" cm="1">
        <f t="array" ref="F2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4" s="31" cm="1">
        <f t="array" ref="G2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4" s="33" t="str">
        <f>_xlfn.IFNA(IF(MOD(HLG_06[[#This Row],[Rit]],
    _xlfn.XLOOKUP($G$2,Int_Sample[Ore],Int_Sample[Inc])) = 0, "YES", "NO"),"")</f>
        <v/>
      </c>
      <c r="I214" s="32" t="str">
        <f>TEXT(HLG_06[[#This Row],[Batch]],"000")&amp; " / " &amp; TEXT(HLG_06[[#This Row],[Rit]],"000")</f>
        <v>N/A / 000</v>
      </c>
      <c r="J214" s="34"/>
      <c r="K214" s="38"/>
      <c r="L214" s="35"/>
      <c r="M214" s="66"/>
      <c r="N214" s="66"/>
      <c r="O214" s="66"/>
      <c r="P214" s="66"/>
      <c r="Q214" s="66"/>
      <c r="R214" s="67"/>
      <c r="S214" s="67"/>
      <c r="T214" s="67"/>
      <c r="U214" s="66"/>
      <c r="V214" s="66"/>
      <c r="W214" s="66"/>
      <c r="X214" s="85"/>
      <c r="AP214" t="str">
        <v/>
      </c>
    </row>
    <row r="215" spans="4:42" ht="15.75" x14ac:dyDescent="0.25">
      <c r="D215" s="3">
        <v>1</v>
      </c>
      <c r="F215" s="16" t="str" cm="1">
        <f t="array" ref="F2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5" s="31" cm="1">
        <f t="array" ref="G2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5" s="33" t="str">
        <f>_xlfn.IFNA(IF(MOD(HLG_06[[#This Row],[Rit]],
    _xlfn.XLOOKUP($G$2,Int_Sample[Ore],Int_Sample[Inc])) = 0, "YES", "NO"),"")</f>
        <v/>
      </c>
      <c r="I215" s="32" t="str">
        <f>TEXT(HLG_06[[#This Row],[Batch]],"000")&amp; " / " &amp; TEXT(HLG_06[[#This Row],[Rit]],"000")</f>
        <v>N/A / 000</v>
      </c>
      <c r="J215" s="34"/>
      <c r="K215" s="38"/>
      <c r="L215" s="35"/>
      <c r="M215" s="66"/>
      <c r="N215" s="66"/>
      <c r="O215" s="66"/>
      <c r="P215" s="66"/>
      <c r="Q215" s="66"/>
      <c r="R215" s="67"/>
      <c r="S215" s="67"/>
      <c r="T215" s="67"/>
      <c r="U215" s="66"/>
      <c r="V215" s="66"/>
      <c r="W215" s="66"/>
      <c r="X215" s="85"/>
      <c r="AP215" t="str">
        <v/>
      </c>
    </row>
    <row r="216" spans="4:42" ht="15.75" x14ac:dyDescent="0.25">
      <c r="D216" s="3">
        <v>1</v>
      </c>
      <c r="F216" s="16" t="str" cm="1">
        <f t="array" ref="F2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6" s="31" cm="1">
        <f t="array" ref="G2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6" s="33" t="str">
        <f>_xlfn.IFNA(IF(MOD(HLG_06[[#This Row],[Rit]],
    _xlfn.XLOOKUP($G$2,Int_Sample[Ore],Int_Sample[Inc])) = 0, "YES", "NO"),"")</f>
        <v/>
      </c>
      <c r="I216" s="32" t="str">
        <f>TEXT(HLG_06[[#This Row],[Batch]],"000")&amp; " / " &amp; TEXT(HLG_06[[#This Row],[Rit]],"000")</f>
        <v>N/A / 000</v>
      </c>
      <c r="J216" s="34"/>
      <c r="K216" s="38"/>
      <c r="L216" s="35"/>
      <c r="M216" s="66"/>
      <c r="N216" s="66"/>
      <c r="O216" s="66"/>
      <c r="P216" s="66"/>
      <c r="Q216" s="66"/>
      <c r="R216" s="67"/>
      <c r="S216" s="67"/>
      <c r="T216" s="67"/>
      <c r="U216" s="66"/>
      <c r="V216" s="66"/>
      <c r="W216" s="66"/>
      <c r="X216" s="85"/>
      <c r="AP216" t="str">
        <v/>
      </c>
    </row>
    <row r="217" spans="4:42" ht="15.75" x14ac:dyDescent="0.25">
      <c r="D217" s="3">
        <v>1</v>
      </c>
      <c r="F217" s="16" t="str" cm="1">
        <f t="array" ref="F2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7" s="31" cm="1">
        <f t="array" ref="G2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7" s="33" t="str">
        <f>_xlfn.IFNA(IF(MOD(HLG_06[[#This Row],[Rit]],
    _xlfn.XLOOKUP($G$2,Int_Sample[Ore],Int_Sample[Inc])) = 0, "YES", "NO"),"")</f>
        <v/>
      </c>
      <c r="I217" s="32" t="str">
        <f>TEXT(HLG_06[[#This Row],[Batch]],"000")&amp; " / " &amp; TEXT(HLG_06[[#This Row],[Rit]],"000")</f>
        <v>N/A / 000</v>
      </c>
      <c r="J217" s="34"/>
      <c r="K217" s="38"/>
      <c r="L217" s="35"/>
      <c r="M217" s="66"/>
      <c r="N217" s="66"/>
      <c r="O217" s="66"/>
      <c r="P217" s="66"/>
      <c r="Q217" s="66"/>
      <c r="R217" s="67"/>
      <c r="S217" s="67"/>
      <c r="T217" s="67"/>
      <c r="U217" s="66"/>
      <c r="V217" s="66"/>
      <c r="W217" s="66"/>
      <c r="X217" s="85"/>
      <c r="AP217" t="str">
        <v/>
      </c>
    </row>
    <row r="218" spans="4:42" ht="15.75" x14ac:dyDescent="0.25">
      <c r="D218" s="3">
        <v>1</v>
      </c>
      <c r="F218" s="16" t="str" cm="1">
        <f t="array" ref="F2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8" s="31" cm="1">
        <f t="array" ref="G2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8" s="33" t="str">
        <f>_xlfn.IFNA(IF(MOD(HLG_06[[#This Row],[Rit]],
    _xlfn.XLOOKUP($G$2,Int_Sample[Ore],Int_Sample[Inc])) = 0, "YES", "NO"),"")</f>
        <v/>
      </c>
      <c r="I218" s="32" t="str">
        <f>TEXT(HLG_06[[#This Row],[Batch]],"000")&amp; " / " &amp; TEXT(HLG_06[[#This Row],[Rit]],"000")</f>
        <v>N/A / 000</v>
      </c>
      <c r="J218" s="34"/>
      <c r="K218" s="38"/>
      <c r="L218" s="35"/>
      <c r="M218" s="66"/>
      <c r="N218" s="66"/>
      <c r="O218" s="66"/>
      <c r="P218" s="66"/>
      <c r="Q218" s="66"/>
      <c r="R218" s="67"/>
      <c r="S218" s="67"/>
      <c r="T218" s="67"/>
      <c r="U218" s="66"/>
      <c r="V218" s="66"/>
      <c r="W218" s="66"/>
      <c r="X218" s="85"/>
      <c r="AP218" t="str">
        <v/>
      </c>
    </row>
    <row r="219" spans="4:42" ht="15.75" x14ac:dyDescent="0.25">
      <c r="D219" s="3">
        <v>1</v>
      </c>
      <c r="F219" s="16" t="str" cm="1">
        <f t="array" ref="F2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19" s="31" cm="1">
        <f t="array" ref="G2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19" s="33" t="str">
        <f>_xlfn.IFNA(IF(MOD(HLG_06[[#This Row],[Rit]],
    _xlfn.XLOOKUP($G$2,Int_Sample[Ore],Int_Sample[Inc])) = 0, "YES", "NO"),"")</f>
        <v/>
      </c>
      <c r="I219" s="32" t="str">
        <f>TEXT(HLG_06[[#This Row],[Batch]],"000")&amp; " / " &amp; TEXT(HLG_06[[#This Row],[Rit]],"000")</f>
        <v>N/A / 000</v>
      </c>
      <c r="J219" s="34"/>
      <c r="K219" s="38"/>
      <c r="L219" s="35"/>
      <c r="M219" s="66"/>
      <c r="N219" s="66"/>
      <c r="O219" s="66"/>
      <c r="P219" s="66"/>
      <c r="Q219" s="66"/>
      <c r="R219" s="67"/>
      <c r="S219" s="67"/>
      <c r="T219" s="67"/>
      <c r="U219" s="66"/>
      <c r="V219" s="66"/>
      <c r="W219" s="66"/>
      <c r="X219" s="85"/>
      <c r="AP219" t="str">
        <v/>
      </c>
    </row>
    <row r="220" spans="4:42" ht="15.75" x14ac:dyDescent="0.25">
      <c r="D220" s="3">
        <v>1</v>
      </c>
      <c r="F220" s="16" t="str" cm="1">
        <f t="array" ref="F2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0" s="31" cm="1">
        <f t="array" ref="G2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0" s="33" t="str">
        <f>_xlfn.IFNA(IF(MOD(HLG_06[[#This Row],[Rit]],
    _xlfn.XLOOKUP($G$2,Int_Sample[Ore],Int_Sample[Inc])) = 0, "YES", "NO"),"")</f>
        <v/>
      </c>
      <c r="I220" s="32" t="str">
        <f>TEXT(HLG_06[[#This Row],[Batch]],"000")&amp; " / " &amp; TEXT(HLG_06[[#This Row],[Rit]],"000")</f>
        <v>N/A / 000</v>
      </c>
      <c r="J220" s="34"/>
      <c r="K220" s="38"/>
      <c r="L220" s="35"/>
      <c r="M220" s="66"/>
      <c r="N220" s="66"/>
      <c r="O220" s="66"/>
      <c r="P220" s="66"/>
      <c r="Q220" s="66"/>
      <c r="R220" s="67"/>
      <c r="S220" s="67"/>
      <c r="T220" s="67"/>
      <c r="U220" s="66"/>
      <c r="V220" s="66"/>
      <c r="W220" s="66"/>
      <c r="X220" s="85"/>
      <c r="AP220" t="str">
        <v/>
      </c>
    </row>
    <row r="221" spans="4:42" ht="15.75" x14ac:dyDescent="0.25">
      <c r="D221" s="3">
        <v>1</v>
      </c>
      <c r="F221" s="16" t="str" cm="1">
        <f t="array" ref="F2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1" s="31" cm="1">
        <f t="array" ref="G2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1" s="33" t="str">
        <f>_xlfn.IFNA(IF(MOD(HLG_06[[#This Row],[Rit]],
    _xlfn.XLOOKUP($G$2,Int_Sample[Ore],Int_Sample[Inc])) = 0, "YES", "NO"),"")</f>
        <v/>
      </c>
      <c r="I221" s="32" t="str">
        <f>TEXT(HLG_06[[#This Row],[Batch]],"000")&amp; " / " &amp; TEXT(HLG_06[[#This Row],[Rit]],"000")</f>
        <v>N/A / 000</v>
      </c>
      <c r="J221" s="34"/>
      <c r="K221" s="38"/>
      <c r="L221" s="35"/>
      <c r="M221" s="66"/>
      <c r="N221" s="66"/>
      <c r="O221" s="66"/>
      <c r="P221" s="66"/>
      <c r="Q221" s="66"/>
      <c r="R221" s="67"/>
      <c r="S221" s="67"/>
      <c r="T221" s="67"/>
      <c r="U221" s="66"/>
      <c r="V221" s="66"/>
      <c r="W221" s="66"/>
      <c r="X221" s="85"/>
      <c r="AP221" t="str">
        <v/>
      </c>
    </row>
    <row r="222" spans="4:42" ht="15.75" x14ac:dyDescent="0.25">
      <c r="D222" s="3">
        <v>1</v>
      </c>
      <c r="F222" s="16" t="str" cm="1">
        <f t="array" ref="F2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2" s="31" cm="1">
        <f t="array" ref="G2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2" s="33" t="str">
        <f>_xlfn.IFNA(IF(MOD(HLG_06[[#This Row],[Rit]],
    _xlfn.XLOOKUP($G$2,Int_Sample[Ore],Int_Sample[Inc])) = 0, "YES", "NO"),"")</f>
        <v/>
      </c>
      <c r="I222" s="32" t="str">
        <f>TEXT(HLG_06[[#This Row],[Batch]],"000")&amp; " / " &amp; TEXT(HLG_06[[#This Row],[Rit]],"000")</f>
        <v>N/A / 000</v>
      </c>
      <c r="J222" s="34"/>
      <c r="K222" s="38"/>
      <c r="L222" s="35"/>
      <c r="M222" s="66"/>
      <c r="N222" s="66"/>
      <c r="O222" s="66"/>
      <c r="P222" s="66"/>
      <c r="Q222" s="66"/>
      <c r="R222" s="67"/>
      <c r="S222" s="67"/>
      <c r="T222" s="67"/>
      <c r="U222" s="66"/>
      <c r="V222" s="66"/>
      <c r="W222" s="66"/>
      <c r="X222" s="85"/>
      <c r="AP222" t="str">
        <v/>
      </c>
    </row>
    <row r="223" spans="4:42" ht="15.75" x14ac:dyDescent="0.25">
      <c r="D223" s="3">
        <v>1</v>
      </c>
      <c r="F223" s="16" t="str" cm="1">
        <f t="array" ref="F2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3" s="31" cm="1">
        <f t="array" ref="G2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3" s="33" t="str">
        <f>_xlfn.IFNA(IF(MOD(HLG_06[[#This Row],[Rit]],
    _xlfn.XLOOKUP($G$2,Int_Sample[Ore],Int_Sample[Inc])) = 0, "YES", "NO"),"")</f>
        <v/>
      </c>
      <c r="I223" s="32" t="str">
        <f>TEXT(HLG_06[[#This Row],[Batch]],"000")&amp; " / " &amp; TEXT(HLG_06[[#This Row],[Rit]],"000")</f>
        <v>N/A / 000</v>
      </c>
      <c r="J223" s="34"/>
      <c r="K223" s="38"/>
      <c r="L223" s="35"/>
      <c r="M223" s="66"/>
      <c r="N223" s="66"/>
      <c r="O223" s="66"/>
      <c r="P223" s="66"/>
      <c r="Q223" s="66"/>
      <c r="R223" s="67"/>
      <c r="S223" s="67"/>
      <c r="T223" s="67"/>
      <c r="U223" s="66"/>
      <c r="V223" s="66"/>
      <c r="W223" s="66"/>
      <c r="X223" s="85"/>
      <c r="AP223" t="str">
        <v/>
      </c>
    </row>
    <row r="224" spans="4:42" ht="15.75" x14ac:dyDescent="0.25">
      <c r="D224" s="3">
        <v>1</v>
      </c>
      <c r="F224" s="16" t="str" cm="1">
        <f t="array" ref="F2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4" s="31" cm="1">
        <f t="array" ref="G2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4" s="33" t="str">
        <f>_xlfn.IFNA(IF(MOD(HLG_06[[#This Row],[Rit]],
    _xlfn.XLOOKUP($G$2,Int_Sample[Ore],Int_Sample[Inc])) = 0, "YES", "NO"),"")</f>
        <v/>
      </c>
      <c r="I224" s="32" t="str">
        <f>TEXT(HLG_06[[#This Row],[Batch]],"000")&amp; " / " &amp; TEXT(HLG_06[[#This Row],[Rit]],"000")</f>
        <v>N/A / 000</v>
      </c>
      <c r="J224" s="34"/>
      <c r="K224" s="38"/>
      <c r="L224" s="35"/>
      <c r="M224" s="66"/>
      <c r="N224" s="66"/>
      <c r="O224" s="66"/>
      <c r="P224" s="66"/>
      <c r="Q224" s="66"/>
      <c r="R224" s="67"/>
      <c r="S224" s="67"/>
      <c r="T224" s="67"/>
      <c r="U224" s="66"/>
      <c r="V224" s="66"/>
      <c r="W224" s="66"/>
      <c r="X224" s="85"/>
      <c r="AP224" t="str">
        <v/>
      </c>
    </row>
    <row r="225" spans="4:42" ht="15.75" x14ac:dyDescent="0.25">
      <c r="D225" s="3">
        <v>1</v>
      </c>
      <c r="F225" s="16" t="str" cm="1">
        <f t="array" ref="F2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5" s="31" cm="1">
        <f t="array" ref="G2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5" s="33" t="str">
        <f>_xlfn.IFNA(IF(MOD(HLG_06[[#This Row],[Rit]],
    _xlfn.XLOOKUP($G$2,Int_Sample[Ore],Int_Sample[Inc])) = 0, "YES", "NO"),"")</f>
        <v/>
      </c>
      <c r="I225" s="32" t="str">
        <f>TEXT(HLG_06[[#This Row],[Batch]],"000")&amp; " / " &amp; TEXT(HLG_06[[#This Row],[Rit]],"000")</f>
        <v>N/A / 000</v>
      </c>
      <c r="J225" s="34"/>
      <c r="K225" s="38"/>
      <c r="L225" s="35"/>
      <c r="M225" s="66"/>
      <c r="N225" s="66"/>
      <c r="O225" s="66"/>
      <c r="P225" s="66"/>
      <c r="Q225" s="66"/>
      <c r="R225" s="67"/>
      <c r="S225" s="67"/>
      <c r="T225" s="67"/>
      <c r="U225" s="66"/>
      <c r="V225" s="66"/>
      <c r="W225" s="66"/>
      <c r="X225" s="85"/>
      <c r="AP225" t="str">
        <v/>
      </c>
    </row>
    <row r="226" spans="4:42" ht="15.75" x14ac:dyDescent="0.25">
      <c r="D226" s="3">
        <v>1</v>
      </c>
      <c r="F226" s="16" t="str" cm="1">
        <f t="array" ref="F2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6" s="31" cm="1">
        <f t="array" ref="G2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6" s="33" t="str">
        <f>_xlfn.IFNA(IF(MOD(HLG_06[[#This Row],[Rit]],
    _xlfn.XLOOKUP($G$2,Int_Sample[Ore],Int_Sample[Inc])) = 0, "YES", "NO"),"")</f>
        <v/>
      </c>
      <c r="I226" s="32" t="str">
        <f>TEXT(HLG_06[[#This Row],[Batch]],"000")&amp; " / " &amp; TEXT(HLG_06[[#This Row],[Rit]],"000")</f>
        <v>N/A / 000</v>
      </c>
      <c r="J226" s="34"/>
      <c r="K226" s="38"/>
      <c r="L226" s="35"/>
      <c r="M226" s="66"/>
      <c r="N226" s="66"/>
      <c r="O226" s="66"/>
      <c r="P226" s="66"/>
      <c r="Q226" s="66"/>
      <c r="R226" s="67"/>
      <c r="S226" s="67"/>
      <c r="T226" s="67"/>
      <c r="U226" s="66"/>
      <c r="V226" s="66"/>
      <c r="W226" s="66"/>
      <c r="X226" s="85"/>
      <c r="AP226" t="str">
        <v/>
      </c>
    </row>
    <row r="227" spans="4:42" ht="15.75" x14ac:dyDescent="0.25">
      <c r="D227" s="3">
        <v>1</v>
      </c>
      <c r="F227" s="16" t="str" cm="1">
        <f t="array" ref="F2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7" s="31" cm="1">
        <f t="array" ref="G2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7" s="33" t="str">
        <f>_xlfn.IFNA(IF(MOD(HLG_06[[#This Row],[Rit]],
    _xlfn.XLOOKUP($G$2,Int_Sample[Ore],Int_Sample[Inc])) = 0, "YES", "NO"),"")</f>
        <v/>
      </c>
      <c r="I227" s="32" t="str">
        <f>TEXT(HLG_06[[#This Row],[Batch]],"000")&amp; " / " &amp; TEXT(HLG_06[[#This Row],[Rit]],"000")</f>
        <v>N/A / 000</v>
      </c>
      <c r="J227" s="34"/>
      <c r="K227" s="38"/>
      <c r="L227" s="35"/>
      <c r="M227" s="66"/>
      <c r="N227" s="66"/>
      <c r="O227" s="66"/>
      <c r="P227" s="66"/>
      <c r="Q227" s="66"/>
      <c r="R227" s="67"/>
      <c r="S227" s="67"/>
      <c r="T227" s="67"/>
      <c r="U227" s="66"/>
      <c r="V227" s="66"/>
      <c r="W227" s="66"/>
      <c r="X227" s="85"/>
      <c r="AP227" t="str">
        <v/>
      </c>
    </row>
    <row r="228" spans="4:42" ht="15.75" x14ac:dyDescent="0.25">
      <c r="D228" s="3">
        <v>1</v>
      </c>
      <c r="F228" s="16" t="str" cm="1">
        <f t="array" ref="F2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8" s="31" cm="1">
        <f t="array" ref="G2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8" s="33" t="str">
        <f>_xlfn.IFNA(IF(MOD(HLG_06[[#This Row],[Rit]],
    _xlfn.XLOOKUP($G$2,Int_Sample[Ore],Int_Sample[Inc])) = 0, "YES", "NO"),"")</f>
        <v/>
      </c>
      <c r="I228" s="32" t="str">
        <f>TEXT(HLG_06[[#This Row],[Batch]],"000")&amp; " / " &amp; TEXT(HLG_06[[#This Row],[Rit]],"000")</f>
        <v>N/A / 000</v>
      </c>
      <c r="J228" s="34"/>
      <c r="K228" s="38"/>
      <c r="L228" s="35"/>
      <c r="M228" s="66"/>
      <c r="N228" s="66"/>
      <c r="O228" s="66"/>
      <c r="P228" s="66"/>
      <c r="Q228" s="66"/>
      <c r="R228" s="67"/>
      <c r="S228" s="67"/>
      <c r="T228" s="67"/>
      <c r="U228" s="66"/>
      <c r="V228" s="66"/>
      <c r="W228" s="66"/>
      <c r="X228" s="85"/>
      <c r="AP228" t="str">
        <v/>
      </c>
    </row>
    <row r="229" spans="4:42" ht="15.75" x14ac:dyDescent="0.25">
      <c r="D229" s="3">
        <v>1</v>
      </c>
      <c r="F229" s="16" t="str" cm="1">
        <f t="array" ref="F2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29" s="31" cm="1">
        <f t="array" ref="G2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29" s="33" t="str">
        <f>_xlfn.IFNA(IF(MOD(HLG_06[[#This Row],[Rit]],
    _xlfn.XLOOKUP($G$2,Int_Sample[Ore],Int_Sample[Inc])) = 0, "YES", "NO"),"")</f>
        <v/>
      </c>
      <c r="I229" s="32" t="str">
        <f>TEXT(HLG_06[[#This Row],[Batch]],"000")&amp; " / " &amp; TEXT(HLG_06[[#This Row],[Rit]],"000")</f>
        <v>N/A / 000</v>
      </c>
      <c r="J229" s="34"/>
      <c r="K229" s="38"/>
      <c r="L229" s="35"/>
      <c r="M229" s="66"/>
      <c r="N229" s="66"/>
      <c r="O229" s="66"/>
      <c r="P229" s="66"/>
      <c r="Q229" s="66"/>
      <c r="R229" s="67"/>
      <c r="S229" s="67"/>
      <c r="T229" s="67"/>
      <c r="U229" s="66"/>
      <c r="V229" s="66"/>
      <c r="W229" s="66"/>
      <c r="X229" s="85"/>
      <c r="AP229" t="str">
        <v/>
      </c>
    </row>
    <row r="230" spans="4:42" ht="15.75" x14ac:dyDescent="0.25">
      <c r="D230" s="3">
        <v>1</v>
      </c>
      <c r="F230" s="16" t="str" cm="1">
        <f t="array" ref="F2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0" s="31" cm="1">
        <f t="array" ref="G2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0" s="33" t="str">
        <f>_xlfn.IFNA(IF(MOD(HLG_06[[#This Row],[Rit]],
    _xlfn.XLOOKUP($G$2,Int_Sample[Ore],Int_Sample[Inc])) = 0, "YES", "NO"),"")</f>
        <v/>
      </c>
      <c r="I230" s="32" t="str">
        <f>TEXT(HLG_06[[#This Row],[Batch]],"000")&amp; " / " &amp; TEXT(HLG_06[[#This Row],[Rit]],"000")</f>
        <v>N/A / 000</v>
      </c>
      <c r="J230" s="34"/>
      <c r="K230" s="38"/>
      <c r="L230" s="35"/>
      <c r="M230" s="66"/>
      <c r="N230" s="66"/>
      <c r="O230" s="66"/>
      <c r="P230" s="66"/>
      <c r="Q230" s="66"/>
      <c r="R230" s="67"/>
      <c r="S230" s="67"/>
      <c r="T230" s="67"/>
      <c r="U230" s="66"/>
      <c r="V230" s="66"/>
      <c r="W230" s="66"/>
      <c r="X230" s="85"/>
      <c r="AP230" t="str">
        <v/>
      </c>
    </row>
    <row r="231" spans="4:42" ht="15.75" x14ac:dyDescent="0.25">
      <c r="D231" s="3">
        <v>1</v>
      </c>
      <c r="F231" s="16" t="str" cm="1">
        <f t="array" ref="F2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1" s="31" cm="1">
        <f t="array" ref="G2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1" s="33" t="str">
        <f>_xlfn.IFNA(IF(MOD(HLG_06[[#This Row],[Rit]],
    _xlfn.XLOOKUP($G$2,Int_Sample[Ore],Int_Sample[Inc])) = 0, "YES", "NO"),"")</f>
        <v/>
      </c>
      <c r="I231" s="32" t="str">
        <f>TEXT(HLG_06[[#This Row],[Batch]],"000")&amp; " / " &amp; TEXT(HLG_06[[#This Row],[Rit]],"000")</f>
        <v>N/A / 000</v>
      </c>
      <c r="J231" s="34"/>
      <c r="K231" s="38"/>
      <c r="L231" s="35"/>
      <c r="M231" s="66"/>
      <c r="N231" s="66"/>
      <c r="O231" s="66"/>
      <c r="P231" s="66"/>
      <c r="Q231" s="66"/>
      <c r="R231" s="67"/>
      <c r="S231" s="67"/>
      <c r="T231" s="67"/>
      <c r="U231" s="66"/>
      <c r="V231" s="66"/>
      <c r="W231" s="66"/>
      <c r="X231" s="85"/>
      <c r="AP231" t="str">
        <v/>
      </c>
    </row>
    <row r="232" spans="4:42" ht="15.75" x14ac:dyDescent="0.25">
      <c r="D232" s="3">
        <v>1</v>
      </c>
      <c r="F232" s="16" t="str" cm="1">
        <f t="array" ref="F2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2" s="31" cm="1">
        <f t="array" ref="G2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2" s="33" t="str">
        <f>_xlfn.IFNA(IF(MOD(HLG_06[[#This Row],[Rit]],
    _xlfn.XLOOKUP($G$2,Int_Sample[Ore],Int_Sample[Inc])) = 0, "YES", "NO"),"")</f>
        <v/>
      </c>
      <c r="I232" s="32" t="str">
        <f>TEXT(HLG_06[[#This Row],[Batch]],"000")&amp; " / " &amp; TEXT(HLG_06[[#This Row],[Rit]],"000")</f>
        <v>N/A / 000</v>
      </c>
      <c r="J232" s="34"/>
      <c r="K232" s="38"/>
      <c r="L232" s="35"/>
      <c r="M232" s="66"/>
      <c r="N232" s="66"/>
      <c r="O232" s="66"/>
      <c r="P232" s="66"/>
      <c r="Q232" s="66"/>
      <c r="R232" s="67"/>
      <c r="S232" s="67"/>
      <c r="T232" s="67"/>
      <c r="U232" s="66"/>
      <c r="V232" s="66"/>
      <c r="W232" s="66"/>
      <c r="X232" s="85"/>
      <c r="AP232" t="str">
        <v/>
      </c>
    </row>
    <row r="233" spans="4:42" ht="15.75" x14ac:dyDescent="0.25">
      <c r="D233" s="3">
        <v>1</v>
      </c>
      <c r="F233" s="16" t="str" cm="1">
        <f t="array" ref="F2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3" s="31" cm="1">
        <f t="array" ref="G2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3" s="33" t="str">
        <f>_xlfn.IFNA(IF(MOD(HLG_06[[#This Row],[Rit]],
    _xlfn.XLOOKUP($G$2,Int_Sample[Ore],Int_Sample[Inc])) = 0, "YES", "NO"),"")</f>
        <v/>
      </c>
      <c r="I233" s="32" t="str">
        <f>TEXT(HLG_06[[#This Row],[Batch]],"000")&amp; " / " &amp; TEXT(HLG_06[[#This Row],[Rit]],"000")</f>
        <v>N/A / 000</v>
      </c>
      <c r="J233" s="34"/>
      <c r="K233" s="38"/>
      <c r="L233" s="35"/>
      <c r="M233" s="66"/>
      <c r="N233" s="66"/>
      <c r="O233" s="66"/>
      <c r="P233" s="66"/>
      <c r="Q233" s="66"/>
      <c r="R233" s="67"/>
      <c r="S233" s="67"/>
      <c r="T233" s="67"/>
      <c r="U233" s="66"/>
      <c r="V233" s="66"/>
      <c r="W233" s="66"/>
      <c r="X233" s="85"/>
      <c r="AP233" t="str">
        <v/>
      </c>
    </row>
    <row r="234" spans="4:42" ht="15.75" x14ac:dyDescent="0.25">
      <c r="D234" s="3">
        <v>1</v>
      </c>
      <c r="F234" s="16" t="str" cm="1">
        <f t="array" ref="F2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4" s="31" cm="1">
        <f t="array" ref="G2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4" s="33" t="str">
        <f>_xlfn.IFNA(IF(MOD(HLG_06[[#This Row],[Rit]],
    _xlfn.XLOOKUP($G$2,Int_Sample[Ore],Int_Sample[Inc])) = 0, "YES", "NO"),"")</f>
        <v/>
      </c>
      <c r="I234" s="32" t="str">
        <f>TEXT(HLG_06[[#This Row],[Batch]],"000")&amp; " / " &amp; TEXT(HLG_06[[#This Row],[Rit]],"000")</f>
        <v>N/A / 000</v>
      </c>
      <c r="J234" s="34"/>
      <c r="K234" s="38"/>
      <c r="L234" s="35"/>
      <c r="M234" s="66"/>
      <c r="N234" s="66"/>
      <c r="O234" s="66"/>
      <c r="P234" s="66"/>
      <c r="Q234" s="66"/>
      <c r="R234" s="67"/>
      <c r="S234" s="67"/>
      <c r="T234" s="67"/>
      <c r="U234" s="66"/>
      <c r="V234" s="66"/>
      <c r="W234" s="66"/>
      <c r="X234" s="85"/>
      <c r="AP234" t="str">
        <v/>
      </c>
    </row>
    <row r="235" spans="4:42" ht="15.75" x14ac:dyDescent="0.25">
      <c r="D235" s="3">
        <v>1</v>
      </c>
      <c r="F235" s="16" t="str" cm="1">
        <f t="array" ref="F2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5" s="31" cm="1">
        <f t="array" ref="G2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5" s="33" t="str">
        <f>_xlfn.IFNA(IF(MOD(HLG_06[[#This Row],[Rit]],
    _xlfn.XLOOKUP($G$2,Int_Sample[Ore],Int_Sample[Inc])) = 0, "YES", "NO"),"")</f>
        <v/>
      </c>
      <c r="I235" s="32" t="str">
        <f>TEXT(HLG_06[[#This Row],[Batch]],"000")&amp; " / " &amp; TEXT(HLG_06[[#This Row],[Rit]],"000")</f>
        <v>N/A / 000</v>
      </c>
      <c r="J235" s="34"/>
      <c r="K235" s="38"/>
      <c r="L235" s="35"/>
      <c r="M235" s="66"/>
      <c r="N235" s="66"/>
      <c r="O235" s="66"/>
      <c r="P235" s="66"/>
      <c r="Q235" s="66"/>
      <c r="R235" s="67"/>
      <c r="S235" s="67"/>
      <c r="T235" s="67"/>
      <c r="U235" s="66"/>
      <c r="V235" s="66"/>
      <c r="W235" s="66"/>
      <c r="X235" s="85"/>
      <c r="AP235" t="str">
        <v/>
      </c>
    </row>
    <row r="236" spans="4:42" ht="15.75" x14ac:dyDescent="0.25">
      <c r="D236" s="3">
        <v>1</v>
      </c>
      <c r="F236" s="16" t="str" cm="1">
        <f t="array" ref="F2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6" s="31" cm="1">
        <f t="array" ref="G2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6" s="33" t="str">
        <f>_xlfn.IFNA(IF(MOD(HLG_06[[#This Row],[Rit]],
    _xlfn.XLOOKUP($G$2,Int_Sample[Ore],Int_Sample[Inc])) = 0, "YES", "NO"),"")</f>
        <v/>
      </c>
      <c r="I236" s="32" t="str">
        <f>TEXT(HLG_06[[#This Row],[Batch]],"000")&amp; " / " &amp; TEXT(HLG_06[[#This Row],[Rit]],"000")</f>
        <v>N/A / 000</v>
      </c>
      <c r="J236" s="34"/>
      <c r="K236" s="38"/>
      <c r="L236" s="35"/>
      <c r="M236" s="66"/>
      <c r="N236" s="66"/>
      <c r="O236" s="66"/>
      <c r="P236" s="66"/>
      <c r="Q236" s="66"/>
      <c r="R236" s="67"/>
      <c r="S236" s="67"/>
      <c r="T236" s="67"/>
      <c r="U236" s="66"/>
      <c r="V236" s="66"/>
      <c r="W236" s="66"/>
      <c r="X236" s="85"/>
      <c r="AP236" t="str">
        <v/>
      </c>
    </row>
    <row r="237" spans="4:42" ht="15.75" x14ac:dyDescent="0.25">
      <c r="D237" s="3">
        <v>1</v>
      </c>
      <c r="F237" s="16" t="str" cm="1">
        <f t="array" ref="F2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7" s="31" cm="1">
        <f t="array" ref="G2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7" s="33" t="str">
        <f>_xlfn.IFNA(IF(MOD(HLG_06[[#This Row],[Rit]],
    _xlfn.XLOOKUP($G$2,Int_Sample[Ore],Int_Sample[Inc])) = 0, "YES", "NO"),"")</f>
        <v/>
      </c>
      <c r="I237" s="32" t="str">
        <f>TEXT(HLG_06[[#This Row],[Batch]],"000")&amp; " / " &amp; TEXT(HLG_06[[#This Row],[Rit]],"000")</f>
        <v>N/A / 000</v>
      </c>
      <c r="J237" s="34"/>
      <c r="K237" s="38"/>
      <c r="L237" s="35"/>
      <c r="M237" s="66"/>
      <c r="N237" s="66"/>
      <c r="O237" s="66"/>
      <c r="P237" s="66"/>
      <c r="Q237" s="66"/>
      <c r="R237" s="67"/>
      <c r="S237" s="67"/>
      <c r="T237" s="67"/>
      <c r="U237" s="66"/>
      <c r="V237" s="66"/>
      <c r="W237" s="66"/>
      <c r="X237" s="85"/>
      <c r="AP237" t="str">
        <v/>
      </c>
    </row>
    <row r="238" spans="4:42" ht="15.75" x14ac:dyDescent="0.25">
      <c r="D238" s="3">
        <v>1</v>
      </c>
      <c r="F238" s="16" t="str" cm="1">
        <f t="array" ref="F2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8" s="31" cm="1">
        <f t="array" ref="G2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8" s="33" t="str">
        <f>_xlfn.IFNA(IF(MOD(HLG_06[[#This Row],[Rit]],
    _xlfn.XLOOKUP($G$2,Int_Sample[Ore],Int_Sample[Inc])) = 0, "YES", "NO"),"")</f>
        <v/>
      </c>
      <c r="I238" s="32" t="str">
        <f>TEXT(HLG_06[[#This Row],[Batch]],"000")&amp; " / " &amp; TEXT(HLG_06[[#This Row],[Rit]],"000")</f>
        <v>N/A / 000</v>
      </c>
      <c r="J238" s="34"/>
      <c r="K238" s="38"/>
      <c r="L238" s="35"/>
      <c r="M238" s="66"/>
      <c r="N238" s="66"/>
      <c r="O238" s="66"/>
      <c r="P238" s="66"/>
      <c r="Q238" s="66"/>
      <c r="R238" s="67"/>
      <c r="S238" s="67"/>
      <c r="T238" s="67"/>
      <c r="U238" s="66"/>
      <c r="V238" s="66"/>
      <c r="W238" s="66"/>
      <c r="X238" s="85"/>
      <c r="AP238" t="str">
        <v/>
      </c>
    </row>
    <row r="239" spans="4:42" ht="15.75" x14ac:dyDescent="0.25">
      <c r="D239" s="3">
        <v>1</v>
      </c>
      <c r="F239" s="16" t="str" cm="1">
        <f t="array" ref="F2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39" s="31" cm="1">
        <f t="array" ref="G2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39" s="33" t="str">
        <f>_xlfn.IFNA(IF(MOD(HLG_06[[#This Row],[Rit]],
    _xlfn.XLOOKUP($G$2,Int_Sample[Ore],Int_Sample[Inc])) = 0, "YES", "NO"),"")</f>
        <v/>
      </c>
      <c r="I239" s="32" t="str">
        <f>TEXT(HLG_06[[#This Row],[Batch]],"000")&amp; " / " &amp; TEXT(HLG_06[[#This Row],[Rit]],"000")</f>
        <v>N/A / 000</v>
      </c>
      <c r="J239" s="34"/>
      <c r="K239" s="38"/>
      <c r="L239" s="35"/>
      <c r="M239" s="66"/>
      <c r="N239" s="66"/>
      <c r="O239" s="66"/>
      <c r="P239" s="66"/>
      <c r="Q239" s="66"/>
      <c r="R239" s="67"/>
      <c r="S239" s="67"/>
      <c r="T239" s="67"/>
      <c r="U239" s="66"/>
      <c r="V239" s="66"/>
      <c r="W239" s="66"/>
      <c r="X239" s="85"/>
      <c r="AP239" t="str">
        <v/>
      </c>
    </row>
    <row r="240" spans="4:42" ht="15.75" x14ac:dyDescent="0.25">
      <c r="D240" s="3">
        <v>1</v>
      </c>
      <c r="F240" s="16" t="str" cm="1">
        <f t="array" ref="F2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0" s="31" cm="1">
        <f t="array" ref="G2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0" s="33" t="str">
        <f>_xlfn.IFNA(IF(MOD(HLG_06[[#This Row],[Rit]],
    _xlfn.XLOOKUP($G$2,Int_Sample[Ore],Int_Sample[Inc])) = 0, "YES", "NO"),"")</f>
        <v/>
      </c>
      <c r="I240" s="32" t="str">
        <f>TEXT(HLG_06[[#This Row],[Batch]],"000")&amp; " / " &amp; TEXT(HLG_06[[#This Row],[Rit]],"000")</f>
        <v>N/A / 000</v>
      </c>
      <c r="J240" s="34"/>
      <c r="K240" s="38"/>
      <c r="L240" s="35"/>
      <c r="M240" s="66"/>
      <c r="N240" s="66"/>
      <c r="O240" s="66"/>
      <c r="P240" s="66"/>
      <c r="Q240" s="66"/>
      <c r="R240" s="67"/>
      <c r="S240" s="67"/>
      <c r="T240" s="67"/>
      <c r="U240" s="66"/>
      <c r="V240" s="66"/>
      <c r="W240" s="66"/>
      <c r="X240" s="85"/>
      <c r="AP240" t="str">
        <v/>
      </c>
    </row>
    <row r="241" spans="4:42" ht="15.75" x14ac:dyDescent="0.25">
      <c r="D241" s="3">
        <v>1</v>
      </c>
      <c r="F241" s="16" t="str" cm="1">
        <f t="array" ref="F2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1" s="31" cm="1">
        <f t="array" ref="G2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1" s="33" t="str">
        <f>_xlfn.IFNA(IF(MOD(HLG_06[[#This Row],[Rit]],
    _xlfn.XLOOKUP($G$2,Int_Sample[Ore],Int_Sample[Inc])) = 0, "YES", "NO"),"")</f>
        <v/>
      </c>
      <c r="I241" s="32" t="str">
        <f>TEXT(HLG_06[[#This Row],[Batch]],"000")&amp; " / " &amp; TEXT(HLG_06[[#This Row],[Rit]],"000")</f>
        <v>N/A / 000</v>
      </c>
      <c r="J241" s="34"/>
      <c r="K241" s="38"/>
      <c r="L241" s="35"/>
      <c r="M241" s="66"/>
      <c r="N241" s="66"/>
      <c r="O241" s="66"/>
      <c r="P241" s="66"/>
      <c r="Q241" s="66"/>
      <c r="R241" s="67"/>
      <c r="S241" s="67"/>
      <c r="T241" s="67"/>
      <c r="U241" s="66"/>
      <c r="V241" s="66"/>
      <c r="W241" s="66"/>
      <c r="X241" s="85"/>
      <c r="AP241" t="str">
        <v/>
      </c>
    </row>
    <row r="242" spans="4:42" ht="15.75" x14ac:dyDescent="0.25">
      <c r="D242" s="3">
        <v>1</v>
      </c>
      <c r="F242" s="16" t="str" cm="1">
        <f t="array" ref="F2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2" s="31" cm="1">
        <f t="array" ref="G2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2" s="33" t="str">
        <f>_xlfn.IFNA(IF(MOD(HLG_06[[#This Row],[Rit]],
    _xlfn.XLOOKUP($G$2,Int_Sample[Ore],Int_Sample[Inc])) = 0, "YES", "NO"),"")</f>
        <v/>
      </c>
      <c r="I242" s="32" t="str">
        <f>TEXT(HLG_06[[#This Row],[Batch]],"000")&amp; " / " &amp; TEXT(HLG_06[[#This Row],[Rit]],"000")</f>
        <v>N/A / 000</v>
      </c>
      <c r="J242" s="34"/>
      <c r="K242" s="38"/>
      <c r="L242" s="35"/>
      <c r="M242" s="66"/>
      <c r="N242" s="66"/>
      <c r="O242" s="66"/>
      <c r="P242" s="66"/>
      <c r="Q242" s="66"/>
      <c r="R242" s="67"/>
      <c r="S242" s="67"/>
      <c r="T242" s="67"/>
      <c r="U242" s="66"/>
      <c r="V242" s="66"/>
      <c r="W242" s="66"/>
      <c r="X242" s="85"/>
      <c r="AP242" t="str">
        <v/>
      </c>
    </row>
    <row r="243" spans="4:42" ht="15.75" x14ac:dyDescent="0.25">
      <c r="D243" s="3">
        <v>1</v>
      </c>
      <c r="F243" s="16" t="str" cm="1">
        <f t="array" ref="F2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3" s="31" cm="1">
        <f t="array" ref="G2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3" s="33" t="str">
        <f>_xlfn.IFNA(IF(MOD(HLG_06[[#This Row],[Rit]],
    _xlfn.XLOOKUP($G$2,Int_Sample[Ore],Int_Sample[Inc])) = 0, "YES", "NO"),"")</f>
        <v/>
      </c>
      <c r="I243" s="32" t="str">
        <f>TEXT(HLG_06[[#This Row],[Batch]],"000")&amp; " / " &amp; TEXT(HLG_06[[#This Row],[Rit]],"000")</f>
        <v>N/A / 000</v>
      </c>
      <c r="J243" s="34"/>
      <c r="K243" s="38"/>
      <c r="L243" s="35"/>
      <c r="M243" s="66"/>
      <c r="N243" s="66"/>
      <c r="O243" s="66"/>
      <c r="P243" s="66"/>
      <c r="Q243" s="66"/>
      <c r="R243" s="67"/>
      <c r="S243" s="67"/>
      <c r="T243" s="67"/>
      <c r="U243" s="66"/>
      <c r="V243" s="66"/>
      <c r="W243" s="66"/>
      <c r="X243" s="85"/>
      <c r="AP243" t="str">
        <v/>
      </c>
    </row>
    <row r="244" spans="4:42" ht="15.75" x14ac:dyDescent="0.25">
      <c r="D244" s="3">
        <v>1</v>
      </c>
      <c r="F244" s="16" t="str" cm="1">
        <f t="array" ref="F2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4" s="31" cm="1">
        <f t="array" ref="G2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4" s="33" t="str">
        <f>_xlfn.IFNA(IF(MOD(HLG_06[[#This Row],[Rit]],
    _xlfn.XLOOKUP($G$2,Int_Sample[Ore],Int_Sample[Inc])) = 0, "YES", "NO"),"")</f>
        <v/>
      </c>
      <c r="I244" s="32" t="str">
        <f>TEXT(HLG_06[[#This Row],[Batch]],"000")&amp; " / " &amp; TEXT(HLG_06[[#This Row],[Rit]],"000")</f>
        <v>N/A / 000</v>
      </c>
      <c r="J244" s="34"/>
      <c r="K244" s="38"/>
      <c r="L244" s="35"/>
      <c r="M244" s="66"/>
      <c r="N244" s="66"/>
      <c r="O244" s="66"/>
      <c r="P244" s="66"/>
      <c r="Q244" s="66"/>
      <c r="R244" s="67"/>
      <c r="S244" s="67"/>
      <c r="T244" s="67"/>
      <c r="U244" s="66"/>
      <c r="V244" s="66"/>
      <c r="W244" s="66"/>
      <c r="X244" s="85"/>
      <c r="AP244" t="str">
        <v/>
      </c>
    </row>
    <row r="245" spans="4:42" ht="15.75" x14ac:dyDescent="0.25">
      <c r="D245" s="3">
        <v>1</v>
      </c>
      <c r="F245" s="16" t="str" cm="1">
        <f t="array" ref="F2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5" s="31" cm="1">
        <f t="array" ref="G2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5" s="33" t="str">
        <f>_xlfn.IFNA(IF(MOD(HLG_06[[#This Row],[Rit]],
    _xlfn.XLOOKUP($G$2,Int_Sample[Ore],Int_Sample[Inc])) = 0, "YES", "NO"),"")</f>
        <v/>
      </c>
      <c r="I245" s="32" t="str">
        <f>TEXT(HLG_06[[#This Row],[Batch]],"000")&amp; " / " &amp; TEXT(HLG_06[[#This Row],[Rit]],"000")</f>
        <v>N/A / 000</v>
      </c>
      <c r="J245" s="34"/>
      <c r="K245" s="38"/>
      <c r="L245" s="35"/>
      <c r="M245" s="66"/>
      <c r="N245" s="66"/>
      <c r="O245" s="66"/>
      <c r="P245" s="66"/>
      <c r="Q245" s="66"/>
      <c r="R245" s="67"/>
      <c r="S245" s="67"/>
      <c r="T245" s="67"/>
      <c r="U245" s="66"/>
      <c r="V245" s="66"/>
      <c r="W245" s="66"/>
      <c r="X245" s="85"/>
      <c r="AP245" t="str">
        <v/>
      </c>
    </row>
    <row r="246" spans="4:42" ht="15.75" x14ac:dyDescent="0.25">
      <c r="D246" s="3">
        <v>1</v>
      </c>
      <c r="F246" s="16" t="str" cm="1">
        <f t="array" ref="F2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6" s="31" cm="1">
        <f t="array" ref="G2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6" s="33" t="str">
        <f>_xlfn.IFNA(IF(MOD(HLG_06[[#This Row],[Rit]],
    _xlfn.XLOOKUP($G$2,Int_Sample[Ore],Int_Sample[Inc])) = 0, "YES", "NO"),"")</f>
        <v/>
      </c>
      <c r="I246" s="32" t="str">
        <f>TEXT(HLG_06[[#This Row],[Batch]],"000")&amp; " / " &amp; TEXT(HLG_06[[#This Row],[Rit]],"000")</f>
        <v>N/A / 000</v>
      </c>
      <c r="J246" s="34"/>
      <c r="K246" s="38"/>
      <c r="L246" s="35"/>
      <c r="M246" s="66"/>
      <c r="N246" s="66"/>
      <c r="O246" s="66"/>
      <c r="P246" s="66"/>
      <c r="Q246" s="66"/>
      <c r="R246" s="67"/>
      <c r="S246" s="67"/>
      <c r="T246" s="67"/>
      <c r="U246" s="66"/>
      <c r="V246" s="66"/>
      <c r="W246" s="66"/>
      <c r="X246" s="85"/>
      <c r="AP246" t="str">
        <v/>
      </c>
    </row>
    <row r="247" spans="4:42" ht="15.75" x14ac:dyDescent="0.25">
      <c r="D247" s="3">
        <v>1</v>
      </c>
      <c r="F247" s="16" t="str" cm="1">
        <f t="array" ref="F2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7" s="31" cm="1">
        <f t="array" ref="G2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7" s="33" t="str">
        <f>_xlfn.IFNA(IF(MOD(HLG_06[[#This Row],[Rit]],
    _xlfn.XLOOKUP($G$2,Int_Sample[Ore],Int_Sample[Inc])) = 0, "YES", "NO"),"")</f>
        <v/>
      </c>
      <c r="I247" s="32" t="str">
        <f>TEXT(HLG_06[[#This Row],[Batch]],"000")&amp; " / " &amp; TEXT(HLG_06[[#This Row],[Rit]],"000")</f>
        <v>N/A / 000</v>
      </c>
      <c r="J247" s="34"/>
      <c r="K247" s="38"/>
      <c r="L247" s="35"/>
      <c r="M247" s="66"/>
      <c r="N247" s="66"/>
      <c r="O247" s="66"/>
      <c r="P247" s="66"/>
      <c r="Q247" s="66"/>
      <c r="R247" s="67"/>
      <c r="S247" s="67"/>
      <c r="T247" s="67"/>
      <c r="U247" s="66"/>
      <c r="V247" s="66"/>
      <c r="W247" s="66"/>
      <c r="X247" s="85"/>
      <c r="AP247" t="str">
        <v/>
      </c>
    </row>
    <row r="248" spans="4:42" ht="15.75" x14ac:dyDescent="0.25">
      <c r="D248" s="3">
        <v>1</v>
      </c>
      <c r="F248" s="16" t="str" cm="1">
        <f t="array" ref="F2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8" s="31" cm="1">
        <f t="array" ref="G2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8" s="33" t="str">
        <f>_xlfn.IFNA(IF(MOD(HLG_06[[#This Row],[Rit]],
    _xlfn.XLOOKUP($G$2,Int_Sample[Ore],Int_Sample[Inc])) = 0, "YES", "NO"),"")</f>
        <v/>
      </c>
      <c r="I248" s="32" t="str">
        <f>TEXT(HLG_06[[#This Row],[Batch]],"000")&amp; " / " &amp; TEXT(HLG_06[[#This Row],[Rit]],"000")</f>
        <v>N/A / 000</v>
      </c>
      <c r="J248" s="34"/>
      <c r="K248" s="38"/>
      <c r="L248" s="35"/>
      <c r="M248" s="66"/>
      <c r="N248" s="66"/>
      <c r="O248" s="66"/>
      <c r="P248" s="66"/>
      <c r="Q248" s="66"/>
      <c r="R248" s="67"/>
      <c r="S248" s="67"/>
      <c r="T248" s="67"/>
      <c r="U248" s="66"/>
      <c r="V248" s="66"/>
      <c r="W248" s="66"/>
      <c r="X248" s="85"/>
      <c r="AP248" t="str">
        <v/>
      </c>
    </row>
    <row r="249" spans="4:42" ht="15.75" x14ac:dyDescent="0.25">
      <c r="D249" s="3">
        <v>1</v>
      </c>
      <c r="F249" s="16" t="str" cm="1">
        <f t="array" ref="F2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49" s="31" cm="1">
        <f t="array" ref="G2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49" s="33" t="str">
        <f>_xlfn.IFNA(IF(MOD(HLG_06[[#This Row],[Rit]],
    _xlfn.XLOOKUP($G$2,Int_Sample[Ore],Int_Sample[Inc])) = 0, "YES", "NO"),"")</f>
        <v/>
      </c>
      <c r="I249" s="32" t="str">
        <f>TEXT(HLG_06[[#This Row],[Batch]],"000")&amp; " / " &amp; TEXT(HLG_06[[#This Row],[Rit]],"000")</f>
        <v>N/A / 000</v>
      </c>
      <c r="J249" s="34"/>
      <c r="K249" s="38"/>
      <c r="L249" s="35"/>
      <c r="M249" s="66"/>
      <c r="N249" s="66"/>
      <c r="O249" s="66"/>
      <c r="P249" s="66"/>
      <c r="Q249" s="66"/>
      <c r="R249" s="67"/>
      <c r="S249" s="67"/>
      <c r="T249" s="67"/>
      <c r="U249" s="66"/>
      <c r="V249" s="66"/>
      <c r="W249" s="66"/>
      <c r="X249" s="85"/>
      <c r="AP249" t="str">
        <v/>
      </c>
    </row>
    <row r="250" spans="4:42" ht="15.75" x14ac:dyDescent="0.25">
      <c r="D250" s="3">
        <v>1</v>
      </c>
      <c r="F250" s="16" t="str" cm="1">
        <f t="array" ref="F2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0" s="31" cm="1">
        <f t="array" ref="G2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0" s="33" t="str">
        <f>_xlfn.IFNA(IF(MOD(HLG_06[[#This Row],[Rit]],
    _xlfn.XLOOKUP($G$2,Int_Sample[Ore],Int_Sample[Inc])) = 0, "YES", "NO"),"")</f>
        <v/>
      </c>
      <c r="I250" s="32" t="str">
        <f>TEXT(HLG_06[[#This Row],[Batch]],"000")&amp; " / " &amp; TEXT(HLG_06[[#This Row],[Rit]],"000")</f>
        <v>N/A / 000</v>
      </c>
      <c r="J250" s="34"/>
      <c r="K250" s="38"/>
      <c r="L250" s="35"/>
      <c r="M250" s="66"/>
      <c r="N250" s="66"/>
      <c r="O250" s="66"/>
      <c r="P250" s="66"/>
      <c r="Q250" s="66"/>
      <c r="R250" s="67"/>
      <c r="S250" s="67"/>
      <c r="T250" s="67"/>
      <c r="U250" s="66"/>
      <c r="V250" s="66"/>
      <c r="W250" s="66"/>
      <c r="X250" s="85"/>
      <c r="AP250" t="str">
        <v/>
      </c>
    </row>
    <row r="251" spans="4:42" ht="15.75" x14ac:dyDescent="0.25">
      <c r="D251" s="3">
        <v>1</v>
      </c>
      <c r="F251" s="16" t="str" cm="1">
        <f t="array" ref="F2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1" s="31" cm="1">
        <f t="array" ref="G2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1" s="33" t="str">
        <f>_xlfn.IFNA(IF(MOD(HLG_06[[#This Row],[Rit]],
    _xlfn.XLOOKUP($G$2,Int_Sample[Ore],Int_Sample[Inc])) = 0, "YES", "NO"),"")</f>
        <v/>
      </c>
      <c r="I251" s="32" t="str">
        <f>TEXT(HLG_06[[#This Row],[Batch]],"000")&amp; " / " &amp; TEXT(HLG_06[[#This Row],[Rit]],"000")</f>
        <v>N/A / 000</v>
      </c>
      <c r="J251" s="34"/>
      <c r="K251" s="38"/>
      <c r="L251" s="35"/>
      <c r="M251" s="66"/>
      <c r="N251" s="66"/>
      <c r="O251" s="66"/>
      <c r="P251" s="66"/>
      <c r="Q251" s="66"/>
      <c r="R251" s="67"/>
      <c r="S251" s="67"/>
      <c r="T251" s="67"/>
      <c r="U251" s="66"/>
      <c r="V251" s="66"/>
      <c r="W251" s="66"/>
      <c r="X251" s="85"/>
      <c r="AP251" t="str">
        <v/>
      </c>
    </row>
    <row r="252" spans="4:42" ht="15.75" x14ac:dyDescent="0.25">
      <c r="D252" s="3">
        <v>1</v>
      </c>
      <c r="F252" s="16" t="str" cm="1">
        <f t="array" ref="F2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2" s="31" cm="1">
        <f t="array" ref="G2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2" s="33" t="str">
        <f>_xlfn.IFNA(IF(MOD(HLG_06[[#This Row],[Rit]],
    _xlfn.XLOOKUP($G$2,Int_Sample[Ore],Int_Sample[Inc])) = 0, "YES", "NO"),"")</f>
        <v/>
      </c>
      <c r="I252" s="32" t="str">
        <f>TEXT(HLG_06[[#This Row],[Batch]],"000")&amp; " / " &amp; TEXT(HLG_06[[#This Row],[Rit]],"000")</f>
        <v>N/A / 000</v>
      </c>
      <c r="J252" s="34"/>
      <c r="K252" s="38"/>
      <c r="L252" s="35"/>
      <c r="M252" s="66"/>
      <c r="N252" s="66"/>
      <c r="O252" s="66"/>
      <c r="P252" s="66"/>
      <c r="Q252" s="66"/>
      <c r="R252" s="67"/>
      <c r="S252" s="67"/>
      <c r="T252" s="67"/>
      <c r="U252" s="66"/>
      <c r="V252" s="66"/>
      <c r="W252" s="66"/>
      <c r="X252" s="85"/>
      <c r="AP252" t="str">
        <v/>
      </c>
    </row>
    <row r="253" spans="4:42" ht="15.75" x14ac:dyDescent="0.25">
      <c r="D253" s="3">
        <v>1</v>
      </c>
      <c r="F253" s="16" t="str" cm="1">
        <f t="array" ref="F2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3" s="31" cm="1">
        <f t="array" ref="G2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3" s="33" t="str">
        <f>_xlfn.IFNA(IF(MOD(HLG_06[[#This Row],[Rit]],
    _xlfn.XLOOKUP($G$2,Int_Sample[Ore],Int_Sample[Inc])) = 0, "YES", "NO"),"")</f>
        <v/>
      </c>
      <c r="I253" s="32" t="str">
        <f>TEXT(HLG_06[[#This Row],[Batch]],"000")&amp; " / " &amp; TEXT(HLG_06[[#This Row],[Rit]],"000")</f>
        <v>N/A / 000</v>
      </c>
      <c r="J253" s="34"/>
      <c r="K253" s="38"/>
      <c r="L253" s="35"/>
      <c r="M253" s="66"/>
      <c r="N253" s="66"/>
      <c r="O253" s="66"/>
      <c r="P253" s="66"/>
      <c r="Q253" s="66"/>
      <c r="R253" s="67"/>
      <c r="S253" s="67"/>
      <c r="T253" s="67"/>
      <c r="U253" s="66"/>
      <c r="V253" s="66"/>
      <c r="W253" s="66"/>
      <c r="X253" s="85"/>
      <c r="AP253" t="str">
        <v/>
      </c>
    </row>
    <row r="254" spans="4:42" ht="15.75" x14ac:dyDescent="0.25">
      <c r="D254" s="3">
        <v>1</v>
      </c>
      <c r="F254" s="16" t="str" cm="1">
        <f t="array" ref="F2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4" s="31" cm="1">
        <f t="array" ref="G2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4" s="33" t="str">
        <f>_xlfn.IFNA(IF(MOD(HLG_06[[#This Row],[Rit]],
    _xlfn.XLOOKUP($G$2,Int_Sample[Ore],Int_Sample[Inc])) = 0, "YES", "NO"),"")</f>
        <v/>
      </c>
      <c r="I254" s="32" t="str">
        <f>TEXT(HLG_06[[#This Row],[Batch]],"000")&amp; " / " &amp; TEXT(HLG_06[[#This Row],[Rit]],"000")</f>
        <v>N/A / 000</v>
      </c>
      <c r="J254" s="34"/>
      <c r="K254" s="38"/>
      <c r="L254" s="35"/>
      <c r="M254" s="66"/>
      <c r="N254" s="66"/>
      <c r="O254" s="66"/>
      <c r="P254" s="66"/>
      <c r="Q254" s="66"/>
      <c r="R254" s="67"/>
      <c r="S254" s="67"/>
      <c r="T254" s="67"/>
      <c r="U254" s="66"/>
      <c r="V254" s="66"/>
      <c r="W254" s="66"/>
      <c r="X254" s="85"/>
      <c r="AP254" t="str">
        <v/>
      </c>
    </row>
    <row r="255" spans="4:42" ht="15.75" x14ac:dyDescent="0.25">
      <c r="D255" s="3">
        <v>1</v>
      </c>
      <c r="F255" s="16" t="str" cm="1">
        <f t="array" ref="F2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5" s="31" cm="1">
        <f t="array" ref="G2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5" s="33" t="str">
        <f>_xlfn.IFNA(IF(MOD(HLG_06[[#This Row],[Rit]],
    _xlfn.XLOOKUP($G$2,Int_Sample[Ore],Int_Sample[Inc])) = 0, "YES", "NO"),"")</f>
        <v/>
      </c>
      <c r="I255" s="32" t="str">
        <f>TEXT(HLG_06[[#This Row],[Batch]],"000")&amp; " / " &amp; TEXT(HLG_06[[#This Row],[Rit]],"000")</f>
        <v>N/A / 000</v>
      </c>
      <c r="J255" s="34"/>
      <c r="K255" s="38"/>
      <c r="L255" s="35"/>
      <c r="M255" s="66"/>
      <c r="N255" s="66"/>
      <c r="O255" s="66"/>
      <c r="P255" s="66"/>
      <c r="Q255" s="66"/>
      <c r="R255" s="67"/>
      <c r="S255" s="67"/>
      <c r="T255" s="67"/>
      <c r="U255" s="66"/>
      <c r="V255" s="66"/>
      <c r="W255" s="66"/>
      <c r="X255" s="85"/>
      <c r="AP255" t="str">
        <v/>
      </c>
    </row>
    <row r="256" spans="4:42" ht="15.75" x14ac:dyDescent="0.25">
      <c r="D256" s="3">
        <v>1</v>
      </c>
      <c r="F256" s="16" t="str" cm="1">
        <f t="array" ref="F2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6" s="31" cm="1">
        <f t="array" ref="G2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6" s="33" t="str">
        <f>_xlfn.IFNA(IF(MOD(HLG_06[[#This Row],[Rit]],
    _xlfn.XLOOKUP($G$2,Int_Sample[Ore],Int_Sample[Inc])) = 0, "YES", "NO"),"")</f>
        <v/>
      </c>
      <c r="I256" s="32" t="str">
        <f>TEXT(HLG_06[[#This Row],[Batch]],"000")&amp; " / " &amp; TEXT(HLG_06[[#This Row],[Rit]],"000")</f>
        <v>N/A / 000</v>
      </c>
      <c r="J256" s="34"/>
      <c r="K256" s="38"/>
      <c r="L256" s="35"/>
      <c r="M256" s="66"/>
      <c r="N256" s="66"/>
      <c r="O256" s="66"/>
      <c r="P256" s="66"/>
      <c r="Q256" s="66"/>
      <c r="R256" s="67"/>
      <c r="S256" s="67"/>
      <c r="T256" s="67"/>
      <c r="U256" s="66"/>
      <c r="V256" s="66"/>
      <c r="W256" s="66"/>
      <c r="X256" s="85"/>
      <c r="AP256" t="str">
        <v/>
      </c>
    </row>
    <row r="257" spans="4:42" ht="15.75" x14ac:dyDescent="0.25">
      <c r="D257" s="3">
        <v>1</v>
      </c>
      <c r="F257" s="16" t="str" cm="1">
        <f t="array" ref="F2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7" s="31" cm="1">
        <f t="array" ref="G2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7" s="33" t="str">
        <f>_xlfn.IFNA(IF(MOD(HLG_06[[#This Row],[Rit]],
    _xlfn.XLOOKUP($G$2,Int_Sample[Ore],Int_Sample[Inc])) = 0, "YES", "NO"),"")</f>
        <v/>
      </c>
      <c r="I257" s="32" t="str">
        <f>TEXT(HLG_06[[#This Row],[Batch]],"000")&amp; " / " &amp; TEXT(HLG_06[[#This Row],[Rit]],"000")</f>
        <v>N/A / 000</v>
      </c>
      <c r="J257" s="34"/>
      <c r="K257" s="38"/>
      <c r="L257" s="35"/>
      <c r="M257" s="66"/>
      <c r="N257" s="66"/>
      <c r="O257" s="66"/>
      <c r="P257" s="66"/>
      <c r="Q257" s="66"/>
      <c r="R257" s="67"/>
      <c r="S257" s="67"/>
      <c r="T257" s="67"/>
      <c r="U257" s="66"/>
      <c r="V257" s="66"/>
      <c r="W257" s="66"/>
      <c r="X257" s="85"/>
      <c r="AP257" t="str">
        <v/>
      </c>
    </row>
    <row r="258" spans="4:42" ht="15.75" x14ac:dyDescent="0.25">
      <c r="D258" s="3">
        <v>1</v>
      </c>
      <c r="F258" s="16" t="str" cm="1">
        <f t="array" ref="F2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8" s="31" cm="1">
        <f t="array" ref="G2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8" s="33" t="str">
        <f>_xlfn.IFNA(IF(MOD(HLG_06[[#This Row],[Rit]],
    _xlfn.XLOOKUP($G$2,Int_Sample[Ore],Int_Sample[Inc])) = 0, "YES", "NO"),"")</f>
        <v/>
      </c>
      <c r="I258" s="32" t="str">
        <f>TEXT(HLG_06[[#This Row],[Batch]],"000")&amp; " / " &amp; TEXT(HLG_06[[#This Row],[Rit]],"000")</f>
        <v>N/A / 000</v>
      </c>
      <c r="J258" s="34"/>
      <c r="K258" s="38"/>
      <c r="L258" s="35"/>
      <c r="M258" s="66"/>
      <c r="N258" s="66"/>
      <c r="O258" s="66"/>
      <c r="P258" s="66"/>
      <c r="Q258" s="66"/>
      <c r="R258" s="67"/>
      <c r="S258" s="67"/>
      <c r="T258" s="67"/>
      <c r="U258" s="66"/>
      <c r="V258" s="66"/>
      <c r="W258" s="66"/>
      <c r="X258" s="85"/>
      <c r="AP258" t="str">
        <v/>
      </c>
    </row>
    <row r="259" spans="4:42" ht="15.75" x14ac:dyDescent="0.25">
      <c r="D259" s="3">
        <v>1</v>
      </c>
      <c r="F259" s="16" t="str" cm="1">
        <f t="array" ref="F2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59" s="31" cm="1">
        <f t="array" ref="G2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59" s="33" t="str">
        <f>_xlfn.IFNA(IF(MOD(HLG_06[[#This Row],[Rit]],
    _xlfn.XLOOKUP($G$2,Int_Sample[Ore],Int_Sample[Inc])) = 0, "YES", "NO"),"")</f>
        <v/>
      </c>
      <c r="I259" s="32" t="str">
        <f>TEXT(HLG_06[[#This Row],[Batch]],"000")&amp; " / " &amp; TEXT(HLG_06[[#This Row],[Rit]],"000")</f>
        <v>N/A / 000</v>
      </c>
      <c r="J259" s="34"/>
      <c r="K259" s="38"/>
      <c r="L259" s="35"/>
      <c r="M259" s="66"/>
      <c r="N259" s="66"/>
      <c r="O259" s="66"/>
      <c r="P259" s="66"/>
      <c r="Q259" s="66"/>
      <c r="R259" s="67"/>
      <c r="S259" s="67"/>
      <c r="T259" s="67"/>
      <c r="U259" s="66"/>
      <c r="V259" s="66"/>
      <c r="W259" s="66"/>
      <c r="X259" s="85"/>
      <c r="AP259" t="str">
        <v/>
      </c>
    </row>
    <row r="260" spans="4:42" ht="15.75" x14ac:dyDescent="0.25">
      <c r="D260" s="3">
        <v>1</v>
      </c>
      <c r="F260" s="16" t="str" cm="1">
        <f t="array" ref="F2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0" s="31" cm="1">
        <f t="array" ref="G2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0" s="33" t="str">
        <f>_xlfn.IFNA(IF(MOD(HLG_06[[#This Row],[Rit]],
    _xlfn.XLOOKUP($G$2,Int_Sample[Ore],Int_Sample[Inc])) = 0, "YES", "NO"),"")</f>
        <v/>
      </c>
      <c r="I260" s="32" t="str">
        <f>TEXT(HLG_06[[#This Row],[Batch]],"000")&amp; " / " &amp; TEXT(HLG_06[[#This Row],[Rit]],"000")</f>
        <v>N/A / 000</v>
      </c>
      <c r="J260" s="34"/>
      <c r="K260" s="38"/>
      <c r="L260" s="35"/>
      <c r="M260" s="66"/>
      <c r="N260" s="66"/>
      <c r="O260" s="66"/>
      <c r="P260" s="66"/>
      <c r="Q260" s="66"/>
      <c r="R260" s="67"/>
      <c r="S260" s="67"/>
      <c r="T260" s="67"/>
      <c r="U260" s="66"/>
      <c r="V260" s="66"/>
      <c r="W260" s="66"/>
      <c r="X260" s="85"/>
      <c r="AP260" t="str">
        <v/>
      </c>
    </row>
    <row r="261" spans="4:42" ht="15.75" x14ac:dyDescent="0.25">
      <c r="D261" s="3">
        <v>1</v>
      </c>
      <c r="F261" s="16" t="str" cm="1">
        <f t="array" ref="F2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1" s="31" cm="1">
        <f t="array" ref="G2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1" s="33" t="str">
        <f>_xlfn.IFNA(IF(MOD(HLG_06[[#This Row],[Rit]],
    _xlfn.XLOOKUP($G$2,Int_Sample[Ore],Int_Sample[Inc])) = 0, "YES", "NO"),"")</f>
        <v/>
      </c>
      <c r="I261" s="32" t="str">
        <f>TEXT(HLG_06[[#This Row],[Batch]],"000")&amp; " / " &amp; TEXT(HLG_06[[#This Row],[Rit]],"000")</f>
        <v>N/A / 000</v>
      </c>
      <c r="J261" s="34"/>
      <c r="K261" s="38"/>
      <c r="L261" s="35"/>
      <c r="M261" s="66"/>
      <c r="N261" s="66"/>
      <c r="O261" s="66"/>
      <c r="P261" s="66"/>
      <c r="Q261" s="66"/>
      <c r="R261" s="67"/>
      <c r="S261" s="67"/>
      <c r="T261" s="67"/>
      <c r="U261" s="66"/>
      <c r="V261" s="66"/>
      <c r="W261" s="66"/>
      <c r="X261" s="85"/>
      <c r="AP261" t="str">
        <v/>
      </c>
    </row>
    <row r="262" spans="4:42" ht="15.75" x14ac:dyDescent="0.25">
      <c r="D262" s="3">
        <v>1</v>
      </c>
      <c r="F262" s="16" t="str" cm="1">
        <f t="array" ref="F2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2" s="31" cm="1">
        <f t="array" ref="G2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2" s="33" t="str">
        <f>_xlfn.IFNA(IF(MOD(HLG_06[[#This Row],[Rit]],
    _xlfn.XLOOKUP($G$2,Int_Sample[Ore],Int_Sample[Inc])) = 0, "YES", "NO"),"")</f>
        <v/>
      </c>
      <c r="I262" s="32" t="str">
        <f>TEXT(HLG_06[[#This Row],[Batch]],"000")&amp; " / " &amp; TEXT(HLG_06[[#This Row],[Rit]],"000")</f>
        <v>N/A / 000</v>
      </c>
      <c r="J262" s="34"/>
      <c r="K262" s="38"/>
      <c r="L262" s="35"/>
      <c r="M262" s="66"/>
      <c r="N262" s="66"/>
      <c r="O262" s="66"/>
      <c r="P262" s="66"/>
      <c r="Q262" s="66"/>
      <c r="R262" s="67"/>
      <c r="S262" s="67"/>
      <c r="T262" s="67"/>
      <c r="U262" s="66"/>
      <c r="V262" s="66"/>
      <c r="W262" s="66"/>
      <c r="X262" s="85"/>
      <c r="AP262" t="str">
        <v/>
      </c>
    </row>
    <row r="263" spans="4:42" ht="15.75" x14ac:dyDescent="0.25">
      <c r="D263" s="3">
        <v>1</v>
      </c>
      <c r="F263" s="16" t="str" cm="1">
        <f t="array" ref="F2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3" s="31" cm="1">
        <f t="array" ref="G2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3" s="33" t="str">
        <f>_xlfn.IFNA(IF(MOD(HLG_06[[#This Row],[Rit]],
    _xlfn.XLOOKUP($G$2,Int_Sample[Ore],Int_Sample[Inc])) = 0, "YES", "NO"),"")</f>
        <v/>
      </c>
      <c r="I263" s="32" t="str">
        <f>TEXT(HLG_06[[#This Row],[Batch]],"000")&amp; " / " &amp; TEXT(HLG_06[[#This Row],[Rit]],"000")</f>
        <v>N/A / 000</v>
      </c>
      <c r="J263" s="34"/>
      <c r="K263" s="38"/>
      <c r="L263" s="35"/>
      <c r="M263" s="66"/>
      <c r="N263" s="66"/>
      <c r="O263" s="66"/>
      <c r="P263" s="66"/>
      <c r="Q263" s="66"/>
      <c r="R263" s="67"/>
      <c r="S263" s="67"/>
      <c r="T263" s="67"/>
      <c r="U263" s="66"/>
      <c r="V263" s="66"/>
      <c r="W263" s="66"/>
      <c r="X263" s="85"/>
      <c r="AP263" t="str">
        <v/>
      </c>
    </row>
    <row r="264" spans="4:42" ht="15.75" x14ac:dyDescent="0.25">
      <c r="D264" s="3">
        <v>1</v>
      </c>
      <c r="F264" s="16" t="str" cm="1">
        <f t="array" ref="F2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4" s="31" cm="1">
        <f t="array" ref="G2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4" s="33" t="str">
        <f>_xlfn.IFNA(IF(MOD(HLG_06[[#This Row],[Rit]],
    _xlfn.XLOOKUP($G$2,Int_Sample[Ore],Int_Sample[Inc])) = 0, "YES", "NO"),"")</f>
        <v/>
      </c>
      <c r="I264" s="32" t="str">
        <f>TEXT(HLG_06[[#This Row],[Batch]],"000")&amp; " / " &amp; TEXT(HLG_06[[#This Row],[Rit]],"000")</f>
        <v>N/A / 000</v>
      </c>
      <c r="J264" s="34"/>
      <c r="K264" s="38"/>
      <c r="L264" s="35"/>
      <c r="M264" s="66"/>
      <c r="N264" s="66"/>
      <c r="O264" s="66"/>
      <c r="P264" s="66"/>
      <c r="Q264" s="66"/>
      <c r="R264" s="67"/>
      <c r="S264" s="67"/>
      <c r="T264" s="67"/>
      <c r="U264" s="66"/>
      <c r="V264" s="66"/>
      <c r="W264" s="66"/>
      <c r="X264" s="85"/>
      <c r="AP264" t="str">
        <v/>
      </c>
    </row>
    <row r="265" spans="4:42" ht="15.75" x14ac:dyDescent="0.25">
      <c r="D265" s="3">
        <v>1</v>
      </c>
      <c r="F265" s="16" t="str" cm="1">
        <f t="array" ref="F2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5" s="31" cm="1">
        <f t="array" ref="G2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5" s="33" t="str">
        <f>_xlfn.IFNA(IF(MOD(HLG_06[[#This Row],[Rit]],
    _xlfn.XLOOKUP($G$2,Int_Sample[Ore],Int_Sample[Inc])) = 0, "YES", "NO"),"")</f>
        <v/>
      </c>
      <c r="I265" s="32" t="str">
        <f>TEXT(HLG_06[[#This Row],[Batch]],"000")&amp; " / " &amp; TEXT(HLG_06[[#This Row],[Rit]],"000")</f>
        <v>N/A / 000</v>
      </c>
      <c r="J265" s="34"/>
      <c r="K265" s="38"/>
      <c r="L265" s="35"/>
      <c r="M265" s="66"/>
      <c r="N265" s="66"/>
      <c r="O265" s="66"/>
      <c r="P265" s="66"/>
      <c r="Q265" s="66"/>
      <c r="R265" s="67"/>
      <c r="S265" s="67"/>
      <c r="T265" s="67"/>
      <c r="U265" s="66"/>
      <c r="V265" s="66"/>
      <c r="W265" s="66"/>
      <c r="X265" s="85"/>
      <c r="AP265" t="str">
        <v/>
      </c>
    </row>
    <row r="266" spans="4:42" ht="15.75" x14ac:dyDescent="0.25">
      <c r="D266" s="3">
        <v>1</v>
      </c>
      <c r="F266" s="16" t="str" cm="1">
        <f t="array" ref="F2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6" s="31" cm="1">
        <f t="array" ref="G2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6" s="33" t="str">
        <f>_xlfn.IFNA(IF(MOD(HLG_06[[#This Row],[Rit]],
    _xlfn.XLOOKUP($G$2,Int_Sample[Ore],Int_Sample[Inc])) = 0, "YES", "NO"),"")</f>
        <v/>
      </c>
      <c r="I266" s="32" t="str">
        <f>TEXT(HLG_06[[#This Row],[Batch]],"000")&amp; " / " &amp; TEXT(HLG_06[[#This Row],[Rit]],"000")</f>
        <v>N/A / 000</v>
      </c>
      <c r="J266" s="34"/>
      <c r="K266" s="38"/>
      <c r="L266" s="35"/>
      <c r="M266" s="66"/>
      <c r="N266" s="66"/>
      <c r="O266" s="66"/>
      <c r="P266" s="66"/>
      <c r="Q266" s="66"/>
      <c r="R266" s="67"/>
      <c r="S266" s="67"/>
      <c r="T266" s="67"/>
      <c r="U266" s="66"/>
      <c r="V266" s="66"/>
      <c r="W266" s="66"/>
      <c r="X266" s="85"/>
      <c r="AP266" t="str">
        <v/>
      </c>
    </row>
    <row r="267" spans="4:42" ht="15.75" x14ac:dyDescent="0.25">
      <c r="D267" s="3">
        <v>1</v>
      </c>
      <c r="F267" s="16" t="str" cm="1">
        <f t="array" ref="F2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7" s="31" cm="1">
        <f t="array" ref="G2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7" s="33" t="str">
        <f>_xlfn.IFNA(IF(MOD(HLG_06[[#This Row],[Rit]],
    _xlfn.XLOOKUP($G$2,Int_Sample[Ore],Int_Sample[Inc])) = 0, "YES", "NO"),"")</f>
        <v/>
      </c>
      <c r="I267" s="32" t="str">
        <f>TEXT(HLG_06[[#This Row],[Batch]],"000")&amp; " / " &amp; TEXT(HLG_06[[#This Row],[Rit]],"000")</f>
        <v>N/A / 000</v>
      </c>
      <c r="J267" s="34"/>
      <c r="K267" s="38"/>
      <c r="L267" s="35"/>
      <c r="M267" s="66"/>
      <c r="N267" s="66"/>
      <c r="O267" s="66"/>
      <c r="P267" s="66"/>
      <c r="Q267" s="66"/>
      <c r="R267" s="67"/>
      <c r="S267" s="67"/>
      <c r="T267" s="67"/>
      <c r="U267" s="66"/>
      <c r="V267" s="66"/>
      <c r="W267" s="66"/>
      <c r="X267" s="85"/>
      <c r="AP267" t="str">
        <v/>
      </c>
    </row>
    <row r="268" spans="4:42" ht="15.75" x14ac:dyDescent="0.25">
      <c r="D268" s="3">
        <v>1</v>
      </c>
      <c r="F268" s="16" t="str" cm="1">
        <f t="array" ref="F2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8" s="31" cm="1">
        <f t="array" ref="G2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8" s="33" t="str">
        <f>_xlfn.IFNA(IF(MOD(HLG_06[[#This Row],[Rit]],
    _xlfn.XLOOKUP($G$2,Int_Sample[Ore],Int_Sample[Inc])) = 0, "YES", "NO"),"")</f>
        <v/>
      </c>
      <c r="I268" s="32" t="str">
        <f>TEXT(HLG_06[[#This Row],[Batch]],"000")&amp; " / " &amp; TEXT(HLG_06[[#This Row],[Rit]],"000")</f>
        <v>N/A / 000</v>
      </c>
      <c r="J268" s="34"/>
      <c r="K268" s="38"/>
      <c r="L268" s="35"/>
      <c r="M268" s="66"/>
      <c r="N268" s="66"/>
      <c r="O268" s="66"/>
      <c r="P268" s="66"/>
      <c r="Q268" s="66"/>
      <c r="R268" s="67"/>
      <c r="S268" s="67"/>
      <c r="T268" s="67"/>
      <c r="U268" s="66"/>
      <c r="V268" s="66"/>
      <c r="W268" s="66"/>
      <c r="X268" s="85"/>
      <c r="AP268" t="str">
        <v/>
      </c>
    </row>
    <row r="269" spans="4:42" ht="15.75" x14ac:dyDescent="0.25">
      <c r="D269" s="3">
        <v>1</v>
      </c>
      <c r="F269" s="16" t="str" cm="1">
        <f t="array" ref="F2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69" s="31" cm="1">
        <f t="array" ref="G2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69" s="33" t="str">
        <f>_xlfn.IFNA(IF(MOD(HLG_06[[#This Row],[Rit]],
    _xlfn.XLOOKUP($G$2,Int_Sample[Ore],Int_Sample[Inc])) = 0, "YES", "NO"),"")</f>
        <v/>
      </c>
      <c r="I269" s="32" t="str">
        <f>TEXT(HLG_06[[#This Row],[Batch]],"000")&amp; " / " &amp; TEXT(HLG_06[[#This Row],[Rit]],"000")</f>
        <v>N/A / 000</v>
      </c>
      <c r="J269" s="34"/>
      <c r="K269" s="38"/>
      <c r="L269" s="35"/>
      <c r="M269" s="66"/>
      <c r="N269" s="66"/>
      <c r="O269" s="66"/>
      <c r="P269" s="66"/>
      <c r="Q269" s="66"/>
      <c r="R269" s="67"/>
      <c r="S269" s="67"/>
      <c r="T269" s="67"/>
      <c r="U269" s="66"/>
      <c r="V269" s="66"/>
      <c r="W269" s="66"/>
      <c r="X269" s="85"/>
      <c r="AP269" t="str">
        <v/>
      </c>
    </row>
    <row r="270" spans="4:42" ht="15.75" x14ac:dyDescent="0.25">
      <c r="D270" s="3">
        <v>1</v>
      </c>
      <c r="F270" s="16" t="str" cm="1">
        <f t="array" ref="F2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0" s="31" cm="1">
        <f t="array" ref="G2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0" s="33" t="str">
        <f>_xlfn.IFNA(IF(MOD(HLG_06[[#This Row],[Rit]],
    _xlfn.XLOOKUP($G$2,Int_Sample[Ore],Int_Sample[Inc])) = 0, "YES", "NO"),"")</f>
        <v/>
      </c>
      <c r="I270" s="32" t="str">
        <f>TEXT(HLG_06[[#This Row],[Batch]],"000")&amp; " / " &amp; TEXT(HLG_06[[#This Row],[Rit]],"000")</f>
        <v>N/A / 000</v>
      </c>
      <c r="J270" s="34"/>
      <c r="K270" s="38"/>
      <c r="L270" s="35"/>
      <c r="M270" s="66"/>
      <c r="N270" s="66"/>
      <c r="O270" s="66"/>
      <c r="P270" s="66"/>
      <c r="Q270" s="66"/>
      <c r="R270" s="67"/>
      <c r="S270" s="67"/>
      <c r="T270" s="67"/>
      <c r="U270" s="66"/>
      <c r="V270" s="66"/>
      <c r="W270" s="66"/>
      <c r="X270" s="85"/>
      <c r="AP270" t="str">
        <v/>
      </c>
    </row>
    <row r="271" spans="4:42" ht="15.75" x14ac:dyDescent="0.25">
      <c r="D271" s="3">
        <v>1</v>
      </c>
      <c r="F271" s="16" t="str" cm="1">
        <f t="array" ref="F2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1" s="31" cm="1">
        <f t="array" ref="G2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1" s="33" t="str">
        <f>_xlfn.IFNA(IF(MOD(HLG_06[[#This Row],[Rit]],
    _xlfn.XLOOKUP($G$2,Int_Sample[Ore],Int_Sample[Inc])) = 0, "YES", "NO"),"")</f>
        <v/>
      </c>
      <c r="I271" s="32" t="str">
        <f>TEXT(HLG_06[[#This Row],[Batch]],"000")&amp; " / " &amp; TEXT(HLG_06[[#This Row],[Rit]],"000")</f>
        <v>N/A / 000</v>
      </c>
      <c r="J271" s="34"/>
      <c r="K271" s="38"/>
      <c r="L271" s="35"/>
      <c r="M271" s="66"/>
      <c r="N271" s="66"/>
      <c r="O271" s="66"/>
      <c r="P271" s="66"/>
      <c r="Q271" s="66"/>
      <c r="R271" s="67"/>
      <c r="S271" s="67"/>
      <c r="T271" s="67"/>
      <c r="U271" s="66"/>
      <c r="V271" s="66"/>
      <c r="W271" s="66"/>
      <c r="X271" s="85"/>
      <c r="AP271" t="str">
        <v/>
      </c>
    </row>
    <row r="272" spans="4:42" ht="15.75" x14ac:dyDescent="0.25">
      <c r="D272" s="3">
        <v>1</v>
      </c>
      <c r="F272" s="16" t="str" cm="1">
        <f t="array" ref="F2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2" s="31" cm="1">
        <f t="array" ref="G2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2" s="33" t="str">
        <f>_xlfn.IFNA(IF(MOD(HLG_06[[#This Row],[Rit]],
    _xlfn.XLOOKUP($G$2,Int_Sample[Ore],Int_Sample[Inc])) = 0, "YES", "NO"),"")</f>
        <v/>
      </c>
      <c r="I272" s="32" t="str">
        <f>TEXT(HLG_06[[#This Row],[Batch]],"000")&amp; " / " &amp; TEXT(HLG_06[[#This Row],[Rit]],"000")</f>
        <v>N/A / 000</v>
      </c>
      <c r="J272" s="34"/>
      <c r="K272" s="38"/>
      <c r="L272" s="35"/>
      <c r="M272" s="66"/>
      <c r="N272" s="66"/>
      <c r="O272" s="66"/>
      <c r="P272" s="66"/>
      <c r="Q272" s="66"/>
      <c r="R272" s="67"/>
      <c r="S272" s="67"/>
      <c r="T272" s="67"/>
      <c r="U272" s="66"/>
      <c r="V272" s="66"/>
      <c r="W272" s="66"/>
      <c r="X272" s="85"/>
      <c r="AP272" t="str">
        <v/>
      </c>
    </row>
    <row r="273" spans="4:42" ht="15.75" x14ac:dyDescent="0.25">
      <c r="D273" s="3">
        <v>1</v>
      </c>
      <c r="F273" s="16" t="str" cm="1">
        <f t="array" ref="F2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3" s="31" cm="1">
        <f t="array" ref="G2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3" s="33" t="str">
        <f>_xlfn.IFNA(IF(MOD(HLG_06[[#This Row],[Rit]],
    _xlfn.XLOOKUP($G$2,Int_Sample[Ore],Int_Sample[Inc])) = 0, "YES", "NO"),"")</f>
        <v/>
      </c>
      <c r="I273" s="32" t="str">
        <f>TEXT(HLG_06[[#This Row],[Batch]],"000")&amp; " / " &amp; TEXT(HLG_06[[#This Row],[Rit]],"000")</f>
        <v>N/A / 000</v>
      </c>
      <c r="J273" s="34"/>
      <c r="K273" s="38"/>
      <c r="L273" s="35"/>
      <c r="M273" s="66"/>
      <c r="N273" s="66"/>
      <c r="O273" s="66"/>
      <c r="P273" s="66"/>
      <c r="Q273" s="66"/>
      <c r="R273" s="67"/>
      <c r="S273" s="67"/>
      <c r="T273" s="67"/>
      <c r="U273" s="66"/>
      <c r="V273" s="66"/>
      <c r="W273" s="66"/>
      <c r="X273" s="85"/>
      <c r="AP273" t="str">
        <v/>
      </c>
    </row>
    <row r="274" spans="4:42" ht="15.75" x14ac:dyDescent="0.25">
      <c r="D274" s="3">
        <v>1</v>
      </c>
      <c r="F274" s="16" t="str" cm="1">
        <f t="array" ref="F2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4" s="31" cm="1">
        <f t="array" ref="G2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4" s="33" t="str">
        <f>_xlfn.IFNA(IF(MOD(HLG_06[[#This Row],[Rit]],
    _xlfn.XLOOKUP($G$2,Int_Sample[Ore],Int_Sample[Inc])) = 0, "YES", "NO"),"")</f>
        <v/>
      </c>
      <c r="I274" s="32" t="str">
        <f>TEXT(HLG_06[[#This Row],[Batch]],"000")&amp; " / " &amp; TEXT(HLG_06[[#This Row],[Rit]],"000")</f>
        <v>N/A / 000</v>
      </c>
      <c r="J274" s="34"/>
      <c r="K274" s="38"/>
      <c r="L274" s="35"/>
      <c r="M274" s="66"/>
      <c r="N274" s="66"/>
      <c r="O274" s="66"/>
      <c r="P274" s="66"/>
      <c r="Q274" s="66"/>
      <c r="R274" s="67"/>
      <c r="S274" s="67"/>
      <c r="T274" s="67"/>
      <c r="U274" s="66"/>
      <c r="V274" s="66"/>
      <c r="W274" s="66"/>
      <c r="X274" s="85"/>
      <c r="AP274" t="str">
        <v/>
      </c>
    </row>
    <row r="275" spans="4:42" ht="15.75" x14ac:dyDescent="0.25">
      <c r="D275" s="3">
        <v>1</v>
      </c>
      <c r="F275" s="16" t="str" cm="1">
        <f t="array" ref="F2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5" s="31" cm="1">
        <f t="array" ref="G2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5" s="33" t="str">
        <f>_xlfn.IFNA(IF(MOD(HLG_06[[#This Row],[Rit]],
    _xlfn.XLOOKUP($G$2,Int_Sample[Ore],Int_Sample[Inc])) = 0, "YES", "NO"),"")</f>
        <v/>
      </c>
      <c r="I275" s="32" t="str">
        <f>TEXT(HLG_06[[#This Row],[Batch]],"000")&amp; " / " &amp; TEXT(HLG_06[[#This Row],[Rit]],"000")</f>
        <v>N/A / 000</v>
      </c>
      <c r="J275" s="34"/>
      <c r="K275" s="38"/>
      <c r="L275" s="35"/>
      <c r="M275" s="66"/>
      <c r="N275" s="66"/>
      <c r="O275" s="66"/>
      <c r="P275" s="66"/>
      <c r="Q275" s="66"/>
      <c r="R275" s="67"/>
      <c r="S275" s="67"/>
      <c r="T275" s="67"/>
      <c r="U275" s="66"/>
      <c r="V275" s="66"/>
      <c r="W275" s="66"/>
      <c r="X275" s="85"/>
      <c r="AP275" t="str">
        <v/>
      </c>
    </row>
    <row r="276" spans="4:42" ht="15.75" x14ac:dyDescent="0.25">
      <c r="D276" s="3">
        <v>1</v>
      </c>
      <c r="F276" s="16" t="str" cm="1">
        <f t="array" ref="F2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6" s="31" cm="1">
        <f t="array" ref="G2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6" s="33" t="str">
        <f>_xlfn.IFNA(IF(MOD(HLG_06[[#This Row],[Rit]],
    _xlfn.XLOOKUP($G$2,Int_Sample[Ore],Int_Sample[Inc])) = 0, "YES", "NO"),"")</f>
        <v/>
      </c>
      <c r="I276" s="32" t="str">
        <f>TEXT(HLG_06[[#This Row],[Batch]],"000")&amp; " / " &amp; TEXT(HLG_06[[#This Row],[Rit]],"000")</f>
        <v>N/A / 000</v>
      </c>
      <c r="J276" s="34"/>
      <c r="K276" s="38"/>
      <c r="L276" s="35"/>
      <c r="M276" s="66"/>
      <c r="N276" s="66"/>
      <c r="O276" s="66"/>
      <c r="P276" s="66"/>
      <c r="Q276" s="66"/>
      <c r="R276" s="67"/>
      <c r="S276" s="67"/>
      <c r="T276" s="67"/>
      <c r="U276" s="66"/>
      <c r="V276" s="66"/>
      <c r="W276" s="66"/>
      <c r="X276" s="85"/>
      <c r="AP276" t="str">
        <v/>
      </c>
    </row>
    <row r="277" spans="4:42" ht="15.75" x14ac:dyDescent="0.25">
      <c r="D277" s="3">
        <v>1</v>
      </c>
      <c r="F277" s="16" t="str" cm="1">
        <f t="array" ref="F2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7" s="31" cm="1">
        <f t="array" ref="G2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7" s="33" t="str">
        <f>_xlfn.IFNA(IF(MOD(HLG_06[[#This Row],[Rit]],
    _xlfn.XLOOKUP($G$2,Int_Sample[Ore],Int_Sample[Inc])) = 0, "YES", "NO"),"")</f>
        <v/>
      </c>
      <c r="I277" s="32" t="str">
        <f>TEXT(HLG_06[[#This Row],[Batch]],"000")&amp; " / " &amp; TEXT(HLG_06[[#This Row],[Rit]],"000")</f>
        <v>N/A / 000</v>
      </c>
      <c r="J277" s="34"/>
      <c r="K277" s="38"/>
      <c r="L277" s="35"/>
      <c r="M277" s="66"/>
      <c r="N277" s="66"/>
      <c r="O277" s="66"/>
      <c r="P277" s="66"/>
      <c r="Q277" s="66"/>
      <c r="R277" s="67"/>
      <c r="S277" s="67"/>
      <c r="T277" s="67"/>
      <c r="U277" s="66"/>
      <c r="V277" s="66"/>
      <c r="W277" s="66"/>
      <c r="X277" s="85"/>
      <c r="AP277" t="str">
        <v/>
      </c>
    </row>
    <row r="278" spans="4:42" ht="15.75" x14ac:dyDescent="0.25">
      <c r="D278" s="3">
        <v>1</v>
      </c>
      <c r="F278" s="16" t="str" cm="1">
        <f t="array" ref="F2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8" s="31" cm="1">
        <f t="array" ref="G2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8" s="33" t="str">
        <f>_xlfn.IFNA(IF(MOD(HLG_06[[#This Row],[Rit]],
    _xlfn.XLOOKUP($G$2,Int_Sample[Ore],Int_Sample[Inc])) = 0, "YES", "NO"),"")</f>
        <v/>
      </c>
      <c r="I278" s="32" t="str">
        <f>TEXT(HLG_06[[#This Row],[Batch]],"000")&amp; " / " &amp; TEXT(HLG_06[[#This Row],[Rit]],"000")</f>
        <v>N/A / 000</v>
      </c>
      <c r="J278" s="34"/>
      <c r="K278" s="38"/>
      <c r="L278" s="35"/>
      <c r="M278" s="66"/>
      <c r="N278" s="66"/>
      <c r="O278" s="66"/>
      <c r="P278" s="66"/>
      <c r="Q278" s="66"/>
      <c r="R278" s="67"/>
      <c r="S278" s="67"/>
      <c r="T278" s="67"/>
      <c r="U278" s="66"/>
      <c r="V278" s="66"/>
      <c r="W278" s="66"/>
      <c r="X278" s="85"/>
      <c r="AP278" t="str">
        <v/>
      </c>
    </row>
    <row r="279" spans="4:42" ht="15.75" x14ac:dyDescent="0.25">
      <c r="D279" s="3">
        <v>1</v>
      </c>
      <c r="F279" s="16" t="str" cm="1">
        <f t="array" ref="F2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79" s="31" cm="1">
        <f t="array" ref="G2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79" s="33" t="str">
        <f>_xlfn.IFNA(IF(MOD(HLG_06[[#This Row],[Rit]],
    _xlfn.XLOOKUP($G$2,Int_Sample[Ore],Int_Sample[Inc])) = 0, "YES", "NO"),"")</f>
        <v/>
      </c>
      <c r="I279" s="32" t="str">
        <f>TEXT(HLG_06[[#This Row],[Batch]],"000")&amp; " / " &amp; TEXT(HLG_06[[#This Row],[Rit]],"000")</f>
        <v>N/A / 000</v>
      </c>
      <c r="J279" s="34"/>
      <c r="K279" s="38"/>
      <c r="L279" s="35"/>
      <c r="M279" s="66"/>
      <c r="N279" s="66"/>
      <c r="O279" s="66"/>
      <c r="P279" s="66"/>
      <c r="Q279" s="66"/>
      <c r="R279" s="67"/>
      <c r="S279" s="67"/>
      <c r="T279" s="67"/>
      <c r="U279" s="66"/>
      <c r="V279" s="66"/>
      <c r="W279" s="66"/>
      <c r="X279" s="85"/>
      <c r="AP279" t="str">
        <v/>
      </c>
    </row>
    <row r="280" spans="4:42" ht="15.75" x14ac:dyDescent="0.25">
      <c r="D280" s="3">
        <v>1</v>
      </c>
      <c r="F280" s="16" t="str" cm="1">
        <f t="array" ref="F2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0" s="31" cm="1">
        <f t="array" ref="G2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0" s="33" t="str">
        <f>_xlfn.IFNA(IF(MOD(HLG_06[[#This Row],[Rit]],
    _xlfn.XLOOKUP($G$2,Int_Sample[Ore],Int_Sample[Inc])) = 0, "YES", "NO"),"")</f>
        <v/>
      </c>
      <c r="I280" s="32" t="str">
        <f>TEXT(HLG_06[[#This Row],[Batch]],"000")&amp; " / " &amp; TEXT(HLG_06[[#This Row],[Rit]],"000")</f>
        <v>N/A / 000</v>
      </c>
      <c r="J280" s="34"/>
      <c r="K280" s="38"/>
      <c r="L280" s="35"/>
      <c r="M280" s="66"/>
      <c r="N280" s="66"/>
      <c r="O280" s="66"/>
      <c r="P280" s="66"/>
      <c r="Q280" s="66"/>
      <c r="R280" s="67"/>
      <c r="S280" s="67"/>
      <c r="T280" s="67"/>
      <c r="U280" s="66"/>
      <c r="V280" s="66"/>
      <c r="W280" s="66"/>
      <c r="X280" s="85"/>
      <c r="AP280" t="str">
        <v/>
      </c>
    </row>
    <row r="281" spans="4:42" ht="15.75" x14ac:dyDescent="0.25">
      <c r="D281" s="3">
        <v>1</v>
      </c>
      <c r="F281" s="16" t="str" cm="1">
        <f t="array" ref="F2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1" s="31" cm="1">
        <f t="array" ref="G2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1" s="33" t="str">
        <f>_xlfn.IFNA(IF(MOD(HLG_06[[#This Row],[Rit]],
    _xlfn.XLOOKUP($G$2,Int_Sample[Ore],Int_Sample[Inc])) = 0, "YES", "NO"),"")</f>
        <v/>
      </c>
      <c r="I281" s="32" t="str">
        <f>TEXT(HLG_06[[#This Row],[Batch]],"000")&amp; " / " &amp; TEXT(HLG_06[[#This Row],[Rit]],"000")</f>
        <v>N/A / 000</v>
      </c>
      <c r="J281" s="34"/>
      <c r="K281" s="38"/>
      <c r="L281" s="35"/>
      <c r="M281" s="66"/>
      <c r="N281" s="66"/>
      <c r="O281" s="66"/>
      <c r="P281" s="66"/>
      <c r="Q281" s="66"/>
      <c r="R281" s="67"/>
      <c r="S281" s="67"/>
      <c r="T281" s="67"/>
      <c r="U281" s="66"/>
      <c r="V281" s="66"/>
      <c r="W281" s="66"/>
      <c r="X281" s="85"/>
      <c r="AP281" t="str">
        <v/>
      </c>
    </row>
    <row r="282" spans="4:42" ht="15.75" x14ac:dyDescent="0.25">
      <c r="D282" s="3">
        <v>1</v>
      </c>
      <c r="F282" s="16" t="str" cm="1">
        <f t="array" ref="F2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2" s="31" cm="1">
        <f t="array" ref="G2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2" s="33" t="str">
        <f>_xlfn.IFNA(IF(MOD(HLG_06[[#This Row],[Rit]],
    _xlfn.XLOOKUP($G$2,Int_Sample[Ore],Int_Sample[Inc])) = 0, "YES", "NO"),"")</f>
        <v/>
      </c>
      <c r="I282" s="32" t="str">
        <f>TEXT(HLG_06[[#This Row],[Batch]],"000")&amp; " / " &amp; TEXT(HLG_06[[#This Row],[Rit]],"000")</f>
        <v>N/A / 000</v>
      </c>
      <c r="J282" s="34"/>
      <c r="K282" s="38"/>
      <c r="L282" s="35"/>
      <c r="M282" s="66"/>
      <c r="N282" s="66"/>
      <c r="O282" s="66"/>
      <c r="P282" s="66"/>
      <c r="Q282" s="66"/>
      <c r="R282" s="67"/>
      <c r="S282" s="67"/>
      <c r="T282" s="67"/>
      <c r="U282" s="66"/>
      <c r="V282" s="66"/>
      <c r="W282" s="66"/>
      <c r="X282" s="85"/>
      <c r="AP282" t="str">
        <v/>
      </c>
    </row>
    <row r="283" spans="4:42" ht="15.75" x14ac:dyDescent="0.25">
      <c r="D283" s="3">
        <v>1</v>
      </c>
      <c r="F283" s="16" t="str" cm="1">
        <f t="array" ref="F2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3" s="31" cm="1">
        <f t="array" ref="G2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3" s="33" t="str">
        <f>_xlfn.IFNA(IF(MOD(HLG_06[[#This Row],[Rit]],
    _xlfn.XLOOKUP($G$2,Int_Sample[Ore],Int_Sample[Inc])) = 0, "YES", "NO"),"")</f>
        <v/>
      </c>
      <c r="I283" s="32" t="str">
        <f>TEXT(HLG_06[[#This Row],[Batch]],"000")&amp; " / " &amp; TEXT(HLG_06[[#This Row],[Rit]],"000")</f>
        <v>N/A / 000</v>
      </c>
      <c r="J283" s="34"/>
      <c r="K283" s="38"/>
      <c r="L283" s="35"/>
      <c r="M283" s="66"/>
      <c r="N283" s="66"/>
      <c r="O283" s="66"/>
      <c r="P283" s="66"/>
      <c r="Q283" s="66"/>
      <c r="R283" s="67"/>
      <c r="S283" s="67"/>
      <c r="T283" s="67"/>
      <c r="U283" s="66"/>
      <c r="V283" s="66"/>
      <c r="W283" s="66"/>
      <c r="X283" s="85"/>
      <c r="AP283" t="str">
        <v/>
      </c>
    </row>
    <row r="284" spans="4:42" ht="15.75" x14ac:dyDescent="0.25">
      <c r="D284" s="3">
        <v>1</v>
      </c>
      <c r="F284" s="16" t="str" cm="1">
        <f t="array" ref="F2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4" s="31" cm="1">
        <f t="array" ref="G2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4" s="33" t="str">
        <f>_xlfn.IFNA(IF(MOD(HLG_06[[#This Row],[Rit]],
    _xlfn.XLOOKUP($G$2,Int_Sample[Ore],Int_Sample[Inc])) = 0, "YES", "NO"),"")</f>
        <v/>
      </c>
      <c r="I284" s="32" t="str">
        <f>TEXT(HLG_06[[#This Row],[Batch]],"000")&amp; " / " &amp; TEXT(HLG_06[[#This Row],[Rit]],"000")</f>
        <v>N/A / 000</v>
      </c>
      <c r="J284" s="34"/>
      <c r="K284" s="38"/>
      <c r="L284" s="35"/>
      <c r="M284" s="66"/>
      <c r="N284" s="66"/>
      <c r="O284" s="66"/>
      <c r="P284" s="66"/>
      <c r="Q284" s="66"/>
      <c r="R284" s="67"/>
      <c r="S284" s="67"/>
      <c r="T284" s="67"/>
      <c r="U284" s="66"/>
      <c r="V284" s="66"/>
      <c r="W284" s="66"/>
      <c r="X284" s="85"/>
      <c r="AP284" t="str">
        <v/>
      </c>
    </row>
    <row r="285" spans="4:42" ht="15.75" x14ac:dyDescent="0.25">
      <c r="D285" s="3">
        <v>1</v>
      </c>
      <c r="F285" s="16" t="str" cm="1">
        <f t="array" ref="F2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5" s="31" cm="1">
        <f t="array" ref="G2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5" s="33" t="str">
        <f>_xlfn.IFNA(IF(MOD(HLG_06[[#This Row],[Rit]],
    _xlfn.XLOOKUP($G$2,Int_Sample[Ore],Int_Sample[Inc])) = 0, "YES", "NO"),"")</f>
        <v/>
      </c>
      <c r="I285" s="32" t="str">
        <f>TEXT(HLG_06[[#This Row],[Batch]],"000")&amp; " / " &amp; TEXT(HLG_06[[#This Row],[Rit]],"000")</f>
        <v>N/A / 000</v>
      </c>
      <c r="J285" s="34"/>
      <c r="K285" s="38"/>
      <c r="L285" s="35"/>
      <c r="M285" s="66"/>
      <c r="N285" s="66"/>
      <c r="O285" s="66"/>
      <c r="P285" s="66"/>
      <c r="Q285" s="66"/>
      <c r="R285" s="67"/>
      <c r="S285" s="67"/>
      <c r="T285" s="67"/>
      <c r="U285" s="66"/>
      <c r="V285" s="66"/>
      <c r="W285" s="66"/>
      <c r="X285" s="85"/>
      <c r="AP285" t="str">
        <v/>
      </c>
    </row>
    <row r="286" spans="4:42" ht="15.75" x14ac:dyDescent="0.25">
      <c r="D286" s="3">
        <v>1</v>
      </c>
      <c r="F286" s="16" t="str" cm="1">
        <f t="array" ref="F2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6" s="31" cm="1">
        <f t="array" ref="G2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6" s="33" t="str">
        <f>_xlfn.IFNA(IF(MOD(HLG_06[[#This Row],[Rit]],
    _xlfn.XLOOKUP($G$2,Int_Sample[Ore],Int_Sample[Inc])) = 0, "YES", "NO"),"")</f>
        <v/>
      </c>
      <c r="I286" s="32" t="str">
        <f>TEXT(HLG_06[[#This Row],[Batch]],"000")&amp; " / " &amp; TEXT(HLG_06[[#This Row],[Rit]],"000")</f>
        <v>N/A / 000</v>
      </c>
      <c r="J286" s="34"/>
      <c r="K286" s="38"/>
      <c r="L286" s="35"/>
      <c r="M286" s="66"/>
      <c r="N286" s="66"/>
      <c r="O286" s="66"/>
      <c r="P286" s="66"/>
      <c r="Q286" s="66"/>
      <c r="R286" s="67"/>
      <c r="S286" s="67"/>
      <c r="T286" s="67"/>
      <c r="U286" s="66"/>
      <c r="V286" s="66"/>
      <c r="W286" s="66"/>
      <c r="X286" s="85"/>
      <c r="AP286" t="str">
        <v/>
      </c>
    </row>
    <row r="287" spans="4:42" ht="15.75" x14ac:dyDescent="0.25">
      <c r="D287" s="3">
        <v>1</v>
      </c>
      <c r="F287" s="16" t="str" cm="1">
        <f t="array" ref="F2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7" s="31" cm="1">
        <f t="array" ref="G2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7" s="33" t="str">
        <f>_xlfn.IFNA(IF(MOD(HLG_06[[#This Row],[Rit]],
    _xlfn.XLOOKUP($G$2,Int_Sample[Ore],Int_Sample[Inc])) = 0, "YES", "NO"),"")</f>
        <v/>
      </c>
      <c r="I287" s="32" t="str">
        <f>TEXT(HLG_06[[#This Row],[Batch]],"000")&amp; " / " &amp; TEXT(HLG_06[[#This Row],[Rit]],"000")</f>
        <v>N/A / 000</v>
      </c>
      <c r="J287" s="34"/>
      <c r="K287" s="38"/>
      <c r="L287" s="35"/>
      <c r="M287" s="66"/>
      <c r="N287" s="66"/>
      <c r="O287" s="66"/>
      <c r="P287" s="66"/>
      <c r="Q287" s="66"/>
      <c r="R287" s="67"/>
      <c r="S287" s="67"/>
      <c r="T287" s="67"/>
      <c r="U287" s="66"/>
      <c r="V287" s="66"/>
      <c r="W287" s="66"/>
      <c r="X287" s="85"/>
      <c r="AP287" t="str">
        <v/>
      </c>
    </row>
    <row r="288" spans="4:42" ht="15.75" x14ac:dyDescent="0.25">
      <c r="D288" s="3">
        <v>1</v>
      </c>
      <c r="F288" s="16" t="str" cm="1">
        <f t="array" ref="F2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8" s="31" cm="1">
        <f t="array" ref="G2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8" s="33" t="str">
        <f>_xlfn.IFNA(IF(MOD(HLG_06[[#This Row],[Rit]],
    _xlfn.XLOOKUP($G$2,Int_Sample[Ore],Int_Sample[Inc])) = 0, "YES", "NO"),"")</f>
        <v/>
      </c>
      <c r="I288" s="32" t="str">
        <f>TEXT(HLG_06[[#This Row],[Batch]],"000")&amp; " / " &amp; TEXT(HLG_06[[#This Row],[Rit]],"000")</f>
        <v>N/A / 000</v>
      </c>
      <c r="J288" s="34"/>
      <c r="K288" s="38"/>
      <c r="L288" s="35"/>
      <c r="M288" s="66"/>
      <c r="N288" s="66"/>
      <c r="O288" s="66"/>
      <c r="P288" s="66"/>
      <c r="Q288" s="66"/>
      <c r="R288" s="67"/>
      <c r="S288" s="67"/>
      <c r="T288" s="67"/>
      <c r="U288" s="66"/>
      <c r="V288" s="66"/>
      <c r="W288" s="66"/>
      <c r="X288" s="85"/>
      <c r="AP288" t="str">
        <v/>
      </c>
    </row>
    <row r="289" spans="4:42" ht="15.75" x14ac:dyDescent="0.25">
      <c r="D289" s="3">
        <v>1</v>
      </c>
      <c r="F289" s="16" t="str" cm="1">
        <f t="array" ref="F2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89" s="31" cm="1">
        <f t="array" ref="G2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89" s="33" t="str">
        <f>_xlfn.IFNA(IF(MOD(HLG_06[[#This Row],[Rit]],
    _xlfn.XLOOKUP($G$2,Int_Sample[Ore],Int_Sample[Inc])) = 0, "YES", "NO"),"")</f>
        <v/>
      </c>
      <c r="I289" s="32" t="str">
        <f>TEXT(HLG_06[[#This Row],[Batch]],"000")&amp; " / " &amp; TEXT(HLG_06[[#This Row],[Rit]],"000")</f>
        <v>N/A / 000</v>
      </c>
      <c r="J289" s="34"/>
      <c r="K289" s="38"/>
      <c r="L289" s="35"/>
      <c r="M289" s="66"/>
      <c r="N289" s="66"/>
      <c r="O289" s="66"/>
      <c r="P289" s="66"/>
      <c r="Q289" s="66"/>
      <c r="R289" s="67"/>
      <c r="S289" s="67"/>
      <c r="T289" s="67"/>
      <c r="U289" s="66"/>
      <c r="V289" s="66"/>
      <c r="W289" s="66"/>
      <c r="X289" s="85"/>
      <c r="AP289" t="str">
        <v/>
      </c>
    </row>
    <row r="290" spans="4:42" ht="15.75" x14ac:dyDescent="0.25">
      <c r="D290" s="3">
        <v>1</v>
      </c>
      <c r="F290" s="16" t="str" cm="1">
        <f t="array" ref="F2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0" s="31" cm="1">
        <f t="array" ref="G2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0" s="33" t="str">
        <f>_xlfn.IFNA(IF(MOD(HLG_06[[#This Row],[Rit]],
    _xlfn.XLOOKUP($G$2,Int_Sample[Ore],Int_Sample[Inc])) = 0, "YES", "NO"),"")</f>
        <v/>
      </c>
      <c r="I290" s="32" t="str">
        <f>TEXT(HLG_06[[#This Row],[Batch]],"000")&amp; " / " &amp; TEXT(HLG_06[[#This Row],[Rit]],"000")</f>
        <v>N/A / 000</v>
      </c>
      <c r="J290" s="34"/>
      <c r="K290" s="38"/>
      <c r="L290" s="35"/>
      <c r="M290" s="66"/>
      <c r="N290" s="66"/>
      <c r="O290" s="66"/>
      <c r="P290" s="66"/>
      <c r="Q290" s="66"/>
      <c r="R290" s="67"/>
      <c r="S290" s="67"/>
      <c r="T290" s="67"/>
      <c r="U290" s="66"/>
      <c r="V290" s="66"/>
      <c r="W290" s="66"/>
      <c r="X290" s="85"/>
      <c r="AP290" t="str">
        <v/>
      </c>
    </row>
    <row r="291" spans="4:42" ht="15.75" x14ac:dyDescent="0.25">
      <c r="D291" s="3">
        <v>1</v>
      </c>
      <c r="F291" s="16" t="str" cm="1">
        <f t="array" ref="F2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1" s="31" cm="1">
        <f t="array" ref="G2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1" s="33" t="str">
        <f>_xlfn.IFNA(IF(MOD(HLG_06[[#This Row],[Rit]],
    _xlfn.XLOOKUP($G$2,Int_Sample[Ore],Int_Sample[Inc])) = 0, "YES", "NO"),"")</f>
        <v/>
      </c>
      <c r="I291" s="32" t="str">
        <f>TEXT(HLG_06[[#This Row],[Batch]],"000")&amp; " / " &amp; TEXT(HLG_06[[#This Row],[Rit]],"000")</f>
        <v>N/A / 000</v>
      </c>
      <c r="J291" s="34"/>
      <c r="K291" s="38"/>
      <c r="L291" s="35"/>
      <c r="M291" s="66"/>
      <c r="N291" s="66"/>
      <c r="O291" s="66"/>
      <c r="P291" s="66"/>
      <c r="Q291" s="66"/>
      <c r="R291" s="67"/>
      <c r="S291" s="67"/>
      <c r="T291" s="67"/>
      <c r="U291" s="66"/>
      <c r="V291" s="66"/>
      <c r="W291" s="66"/>
      <c r="X291" s="85"/>
      <c r="AP291" t="str">
        <v/>
      </c>
    </row>
    <row r="292" spans="4:42" ht="15.75" x14ac:dyDescent="0.25">
      <c r="D292" s="3">
        <v>1</v>
      </c>
      <c r="F292" s="16" t="str" cm="1">
        <f t="array" ref="F2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2" s="31" cm="1">
        <f t="array" ref="G2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2" s="33" t="str">
        <f>_xlfn.IFNA(IF(MOD(HLG_06[[#This Row],[Rit]],
    _xlfn.XLOOKUP($G$2,Int_Sample[Ore],Int_Sample[Inc])) = 0, "YES", "NO"),"")</f>
        <v/>
      </c>
      <c r="I292" s="32" t="str">
        <f>TEXT(HLG_06[[#This Row],[Batch]],"000")&amp; " / " &amp; TEXT(HLG_06[[#This Row],[Rit]],"000")</f>
        <v>N/A / 000</v>
      </c>
      <c r="J292" s="34"/>
      <c r="K292" s="38"/>
      <c r="L292" s="35"/>
      <c r="M292" s="66"/>
      <c r="N292" s="66"/>
      <c r="O292" s="66"/>
      <c r="P292" s="66"/>
      <c r="Q292" s="66"/>
      <c r="R292" s="67"/>
      <c r="S292" s="67"/>
      <c r="T292" s="67"/>
      <c r="U292" s="66"/>
      <c r="V292" s="66"/>
      <c r="W292" s="66"/>
      <c r="X292" s="85"/>
      <c r="AP292" t="str">
        <v/>
      </c>
    </row>
    <row r="293" spans="4:42" ht="15.75" x14ac:dyDescent="0.25">
      <c r="D293" s="3">
        <v>1</v>
      </c>
      <c r="F293" s="16" t="str" cm="1">
        <f t="array" ref="F2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3" s="31" cm="1">
        <f t="array" ref="G2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3" s="33" t="str">
        <f>_xlfn.IFNA(IF(MOD(HLG_06[[#This Row],[Rit]],
    _xlfn.XLOOKUP($G$2,Int_Sample[Ore],Int_Sample[Inc])) = 0, "YES", "NO"),"")</f>
        <v/>
      </c>
      <c r="I293" s="32" t="str">
        <f>TEXT(HLG_06[[#This Row],[Batch]],"000")&amp; " / " &amp; TEXT(HLG_06[[#This Row],[Rit]],"000")</f>
        <v>N/A / 000</v>
      </c>
      <c r="J293" s="34"/>
      <c r="K293" s="38"/>
      <c r="L293" s="35"/>
      <c r="M293" s="66"/>
      <c r="N293" s="66"/>
      <c r="O293" s="66"/>
      <c r="P293" s="66"/>
      <c r="Q293" s="66"/>
      <c r="R293" s="67"/>
      <c r="S293" s="67"/>
      <c r="T293" s="67"/>
      <c r="U293" s="66"/>
      <c r="V293" s="66"/>
      <c r="W293" s="66"/>
      <c r="X293" s="85"/>
      <c r="AP293" t="str">
        <v/>
      </c>
    </row>
    <row r="294" spans="4:42" ht="15.75" x14ac:dyDescent="0.25">
      <c r="D294" s="3">
        <v>1</v>
      </c>
      <c r="F294" s="16" t="str" cm="1">
        <f t="array" ref="F2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4" s="31" cm="1">
        <f t="array" ref="G2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4" s="33" t="str">
        <f>_xlfn.IFNA(IF(MOD(HLG_06[[#This Row],[Rit]],
    _xlfn.XLOOKUP($G$2,Int_Sample[Ore],Int_Sample[Inc])) = 0, "YES", "NO"),"")</f>
        <v/>
      </c>
      <c r="I294" s="32" t="str">
        <f>TEXT(HLG_06[[#This Row],[Batch]],"000")&amp; " / " &amp; TEXT(HLG_06[[#This Row],[Rit]],"000")</f>
        <v>N/A / 000</v>
      </c>
      <c r="J294" s="34"/>
      <c r="K294" s="38"/>
      <c r="L294" s="35"/>
      <c r="M294" s="66"/>
      <c r="N294" s="66"/>
      <c r="O294" s="66"/>
      <c r="P294" s="66"/>
      <c r="Q294" s="66"/>
      <c r="R294" s="67"/>
      <c r="S294" s="67"/>
      <c r="T294" s="67"/>
      <c r="U294" s="66"/>
      <c r="V294" s="66"/>
      <c r="W294" s="66"/>
      <c r="X294" s="85"/>
      <c r="AP294" t="str">
        <v/>
      </c>
    </row>
    <row r="295" spans="4:42" ht="15.75" x14ac:dyDescent="0.25">
      <c r="D295" s="3">
        <v>1</v>
      </c>
      <c r="F295" s="16" t="str" cm="1">
        <f t="array" ref="F2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5" s="31" cm="1">
        <f t="array" ref="G2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5" s="33" t="str">
        <f>_xlfn.IFNA(IF(MOD(HLG_06[[#This Row],[Rit]],
    _xlfn.XLOOKUP($G$2,Int_Sample[Ore],Int_Sample[Inc])) = 0, "YES", "NO"),"")</f>
        <v/>
      </c>
      <c r="I295" s="32" t="str">
        <f>TEXT(HLG_06[[#This Row],[Batch]],"000")&amp; " / " &amp; TEXT(HLG_06[[#This Row],[Rit]],"000")</f>
        <v>N/A / 000</v>
      </c>
      <c r="J295" s="34"/>
      <c r="K295" s="38"/>
      <c r="L295" s="35"/>
      <c r="M295" s="66"/>
      <c r="N295" s="66"/>
      <c r="O295" s="66"/>
      <c r="P295" s="66"/>
      <c r="Q295" s="66"/>
      <c r="R295" s="67"/>
      <c r="S295" s="67"/>
      <c r="T295" s="67"/>
      <c r="U295" s="66"/>
      <c r="V295" s="66"/>
      <c r="W295" s="66"/>
      <c r="X295" s="85"/>
      <c r="AP295" t="str">
        <v/>
      </c>
    </row>
    <row r="296" spans="4:42" ht="15.75" x14ac:dyDescent="0.25">
      <c r="D296" s="3">
        <v>1</v>
      </c>
      <c r="F296" s="16" t="str" cm="1">
        <f t="array" ref="F2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6" s="31" cm="1">
        <f t="array" ref="G2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6" s="33" t="str">
        <f>_xlfn.IFNA(IF(MOD(HLG_06[[#This Row],[Rit]],
    _xlfn.XLOOKUP($G$2,Int_Sample[Ore],Int_Sample[Inc])) = 0, "YES", "NO"),"")</f>
        <v/>
      </c>
      <c r="I296" s="32" t="str">
        <f>TEXT(HLG_06[[#This Row],[Batch]],"000")&amp; " / " &amp; TEXT(HLG_06[[#This Row],[Rit]],"000")</f>
        <v>N/A / 000</v>
      </c>
      <c r="J296" s="34"/>
      <c r="K296" s="38"/>
      <c r="L296" s="35"/>
      <c r="M296" s="66"/>
      <c r="N296" s="66"/>
      <c r="O296" s="66"/>
      <c r="P296" s="66"/>
      <c r="Q296" s="66"/>
      <c r="R296" s="67"/>
      <c r="S296" s="67"/>
      <c r="T296" s="67"/>
      <c r="U296" s="66"/>
      <c r="V296" s="66"/>
      <c r="W296" s="66"/>
      <c r="X296" s="85"/>
      <c r="AP296" t="str">
        <v/>
      </c>
    </row>
    <row r="297" spans="4:42" ht="15.75" x14ac:dyDescent="0.25">
      <c r="D297" s="3">
        <v>1</v>
      </c>
      <c r="F297" s="16" t="str" cm="1">
        <f t="array" ref="F2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7" s="31" cm="1">
        <f t="array" ref="G2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7" s="33" t="str">
        <f>_xlfn.IFNA(IF(MOD(HLG_06[[#This Row],[Rit]],
    _xlfn.XLOOKUP($G$2,Int_Sample[Ore],Int_Sample[Inc])) = 0, "YES", "NO"),"")</f>
        <v/>
      </c>
      <c r="I297" s="32" t="str">
        <f>TEXT(HLG_06[[#This Row],[Batch]],"000")&amp; " / " &amp; TEXT(HLG_06[[#This Row],[Rit]],"000")</f>
        <v>N/A / 000</v>
      </c>
      <c r="J297" s="34"/>
      <c r="K297" s="38"/>
      <c r="L297" s="35"/>
      <c r="M297" s="66"/>
      <c r="N297" s="66"/>
      <c r="O297" s="66"/>
      <c r="P297" s="66"/>
      <c r="Q297" s="66"/>
      <c r="R297" s="67"/>
      <c r="S297" s="67"/>
      <c r="T297" s="67"/>
      <c r="U297" s="66"/>
      <c r="V297" s="66"/>
      <c r="W297" s="66"/>
      <c r="X297" s="85"/>
      <c r="AP297" t="str">
        <v/>
      </c>
    </row>
    <row r="298" spans="4:42" ht="15.75" x14ac:dyDescent="0.25">
      <c r="D298" s="3">
        <v>1</v>
      </c>
      <c r="F298" s="16" t="str" cm="1">
        <f t="array" ref="F2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8" s="31" cm="1">
        <f t="array" ref="G2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8" s="33" t="str">
        <f>_xlfn.IFNA(IF(MOD(HLG_06[[#This Row],[Rit]],
    _xlfn.XLOOKUP($G$2,Int_Sample[Ore],Int_Sample[Inc])) = 0, "YES", "NO"),"")</f>
        <v/>
      </c>
      <c r="I298" s="32" t="str">
        <f>TEXT(HLG_06[[#This Row],[Batch]],"000")&amp; " / " &amp; TEXT(HLG_06[[#This Row],[Rit]],"000")</f>
        <v>N/A / 000</v>
      </c>
      <c r="J298" s="34"/>
      <c r="K298" s="38"/>
      <c r="L298" s="35"/>
      <c r="M298" s="66"/>
      <c r="N298" s="66"/>
      <c r="O298" s="66"/>
      <c r="P298" s="66"/>
      <c r="Q298" s="66"/>
      <c r="R298" s="67"/>
      <c r="S298" s="67"/>
      <c r="T298" s="67"/>
      <c r="U298" s="66"/>
      <c r="V298" s="66"/>
      <c r="W298" s="66"/>
      <c r="X298" s="85"/>
      <c r="AP298" t="str">
        <v/>
      </c>
    </row>
    <row r="299" spans="4:42" ht="15.75" x14ac:dyDescent="0.25">
      <c r="D299" s="3">
        <v>1</v>
      </c>
      <c r="F299" s="16" t="str" cm="1">
        <f t="array" ref="F2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299" s="31" cm="1">
        <f t="array" ref="G2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299" s="33" t="str">
        <f>_xlfn.IFNA(IF(MOD(HLG_06[[#This Row],[Rit]],
    _xlfn.XLOOKUP($G$2,Int_Sample[Ore],Int_Sample[Inc])) = 0, "YES", "NO"),"")</f>
        <v/>
      </c>
      <c r="I299" s="32" t="str">
        <f>TEXT(HLG_06[[#This Row],[Batch]],"000")&amp; " / " &amp; TEXT(HLG_06[[#This Row],[Rit]],"000")</f>
        <v>N/A / 000</v>
      </c>
      <c r="J299" s="34"/>
      <c r="K299" s="38"/>
      <c r="L299" s="35"/>
      <c r="M299" s="66"/>
      <c r="N299" s="66"/>
      <c r="O299" s="66"/>
      <c r="P299" s="66"/>
      <c r="Q299" s="66"/>
      <c r="R299" s="67"/>
      <c r="S299" s="67"/>
      <c r="T299" s="67"/>
      <c r="U299" s="66"/>
      <c r="V299" s="66"/>
      <c r="W299" s="66"/>
      <c r="X299" s="85"/>
      <c r="AP299" t="str">
        <v/>
      </c>
    </row>
    <row r="300" spans="4:42" ht="15.75" x14ac:dyDescent="0.25">
      <c r="D300" s="3">
        <v>1</v>
      </c>
      <c r="F300" s="16" t="str" cm="1">
        <f t="array" ref="F3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0" s="31" cm="1">
        <f t="array" ref="G3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0" s="33" t="str">
        <f>_xlfn.IFNA(IF(MOD(HLG_06[[#This Row],[Rit]],
    _xlfn.XLOOKUP($G$2,Int_Sample[Ore],Int_Sample[Inc])) = 0, "YES", "NO"),"")</f>
        <v/>
      </c>
      <c r="I300" s="32" t="str">
        <f>TEXT(HLG_06[[#This Row],[Batch]],"000")&amp; " / " &amp; TEXT(HLG_06[[#This Row],[Rit]],"000")</f>
        <v>N/A / 000</v>
      </c>
      <c r="J300" s="34"/>
      <c r="K300" s="38"/>
      <c r="L300" s="35"/>
      <c r="M300" s="66"/>
      <c r="N300" s="66"/>
      <c r="O300" s="66"/>
      <c r="P300" s="66"/>
      <c r="Q300" s="66"/>
      <c r="R300" s="67"/>
      <c r="S300" s="67"/>
      <c r="T300" s="67"/>
      <c r="U300" s="66"/>
      <c r="V300" s="66"/>
      <c r="W300" s="66"/>
      <c r="X300" s="85"/>
      <c r="AP300" t="str">
        <v/>
      </c>
    </row>
    <row r="301" spans="4:42" ht="15.75" x14ac:dyDescent="0.25">
      <c r="D301" s="3">
        <v>1</v>
      </c>
      <c r="F301" s="16" t="str" cm="1">
        <f t="array" ref="F3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1" s="31" cm="1">
        <f t="array" ref="G3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1" s="33" t="str">
        <f>_xlfn.IFNA(IF(MOD(HLG_06[[#This Row],[Rit]],
    _xlfn.XLOOKUP($G$2,Int_Sample[Ore],Int_Sample[Inc])) = 0, "YES", "NO"),"")</f>
        <v/>
      </c>
      <c r="I301" s="32" t="str">
        <f>TEXT(HLG_06[[#This Row],[Batch]],"000")&amp; " / " &amp; TEXT(HLG_06[[#This Row],[Rit]],"000")</f>
        <v>N/A / 000</v>
      </c>
      <c r="J301" s="34"/>
      <c r="K301" s="38"/>
      <c r="L301" s="35"/>
      <c r="M301" s="66"/>
      <c r="N301" s="66"/>
      <c r="O301" s="66"/>
      <c r="P301" s="66"/>
      <c r="Q301" s="66"/>
      <c r="R301" s="67"/>
      <c r="S301" s="67"/>
      <c r="T301" s="67"/>
      <c r="U301" s="66"/>
      <c r="V301" s="66"/>
      <c r="W301" s="66"/>
      <c r="X301" s="85"/>
      <c r="AP301" t="str">
        <v/>
      </c>
    </row>
    <row r="302" spans="4:42" ht="15.75" x14ac:dyDescent="0.25">
      <c r="D302" s="3">
        <v>1</v>
      </c>
      <c r="F302" s="16" t="str" cm="1">
        <f t="array" ref="F3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2" s="31" cm="1">
        <f t="array" ref="G3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2" s="33" t="str">
        <f>_xlfn.IFNA(IF(MOD(HLG_06[[#This Row],[Rit]],
    _xlfn.XLOOKUP($G$2,Int_Sample[Ore],Int_Sample[Inc])) = 0, "YES", "NO"),"")</f>
        <v/>
      </c>
      <c r="I302" s="32" t="str">
        <f>TEXT(HLG_06[[#This Row],[Batch]],"000")&amp; " / " &amp; TEXT(HLG_06[[#This Row],[Rit]],"000")</f>
        <v>N/A / 000</v>
      </c>
      <c r="J302" s="34"/>
      <c r="K302" s="38"/>
      <c r="L302" s="35"/>
      <c r="M302" s="66"/>
      <c r="N302" s="66"/>
      <c r="O302" s="66"/>
      <c r="P302" s="66"/>
      <c r="Q302" s="66"/>
      <c r="R302" s="67"/>
      <c r="S302" s="67"/>
      <c r="T302" s="67"/>
      <c r="U302" s="66"/>
      <c r="V302" s="66"/>
      <c r="W302" s="66"/>
      <c r="X302" s="85"/>
      <c r="AP302" t="str">
        <v/>
      </c>
    </row>
    <row r="303" spans="4:42" ht="15.75" x14ac:dyDescent="0.25">
      <c r="D303" s="3">
        <v>1</v>
      </c>
      <c r="F303" s="16" t="str" cm="1">
        <f t="array" ref="F3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3" s="31" cm="1">
        <f t="array" ref="G3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3" s="33" t="str">
        <f>_xlfn.IFNA(IF(MOD(HLG_06[[#This Row],[Rit]],
    _xlfn.XLOOKUP($G$2,Int_Sample[Ore],Int_Sample[Inc])) = 0, "YES", "NO"),"")</f>
        <v/>
      </c>
      <c r="I303" s="32" t="str">
        <f>TEXT(HLG_06[[#This Row],[Batch]],"000")&amp; " / " &amp; TEXT(HLG_06[[#This Row],[Rit]],"000")</f>
        <v>N/A / 000</v>
      </c>
      <c r="J303" s="34"/>
      <c r="K303" s="38"/>
      <c r="L303" s="35"/>
      <c r="M303" s="66"/>
      <c r="N303" s="66"/>
      <c r="O303" s="66"/>
      <c r="P303" s="66"/>
      <c r="Q303" s="66"/>
      <c r="R303" s="67"/>
      <c r="S303" s="67"/>
      <c r="T303" s="67"/>
      <c r="U303" s="66"/>
      <c r="V303" s="66"/>
      <c r="W303" s="66"/>
      <c r="X303" s="85"/>
      <c r="AP303" t="str">
        <v/>
      </c>
    </row>
    <row r="304" spans="4:42" ht="15.75" x14ac:dyDescent="0.25">
      <c r="D304" s="3">
        <v>1</v>
      </c>
      <c r="F304" s="16" t="str" cm="1">
        <f t="array" ref="F3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4" s="31" cm="1">
        <f t="array" ref="G3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4" s="33" t="str">
        <f>_xlfn.IFNA(IF(MOD(HLG_06[[#This Row],[Rit]],
    _xlfn.XLOOKUP($G$2,Int_Sample[Ore],Int_Sample[Inc])) = 0, "YES", "NO"),"")</f>
        <v/>
      </c>
      <c r="I304" s="32" t="str">
        <f>TEXT(HLG_06[[#This Row],[Batch]],"000")&amp; " / " &amp; TEXT(HLG_06[[#This Row],[Rit]],"000")</f>
        <v>N/A / 000</v>
      </c>
      <c r="J304" s="34"/>
      <c r="K304" s="38"/>
      <c r="L304" s="35"/>
      <c r="M304" s="66"/>
      <c r="N304" s="66"/>
      <c r="O304" s="66"/>
      <c r="P304" s="66"/>
      <c r="Q304" s="66"/>
      <c r="R304" s="67"/>
      <c r="S304" s="67"/>
      <c r="T304" s="67"/>
      <c r="U304" s="66"/>
      <c r="V304" s="66"/>
      <c r="W304" s="66"/>
      <c r="X304" s="85"/>
      <c r="AP304" t="str">
        <v/>
      </c>
    </row>
    <row r="305" spans="4:42" ht="15.75" x14ac:dyDescent="0.25">
      <c r="D305" s="3">
        <v>1</v>
      </c>
      <c r="F305" s="16" t="str" cm="1">
        <f t="array" ref="F3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5" s="31" cm="1">
        <f t="array" ref="G3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5" s="33" t="str">
        <f>_xlfn.IFNA(IF(MOD(HLG_06[[#This Row],[Rit]],
    _xlfn.XLOOKUP($G$2,Int_Sample[Ore],Int_Sample[Inc])) = 0, "YES", "NO"),"")</f>
        <v/>
      </c>
      <c r="I305" s="32" t="str">
        <f>TEXT(HLG_06[[#This Row],[Batch]],"000")&amp; " / " &amp; TEXT(HLG_06[[#This Row],[Rit]],"000")</f>
        <v>N/A / 000</v>
      </c>
      <c r="J305" s="34"/>
      <c r="K305" s="38"/>
      <c r="L305" s="35"/>
      <c r="M305" s="66"/>
      <c r="N305" s="66"/>
      <c r="O305" s="66"/>
      <c r="P305" s="66"/>
      <c r="Q305" s="66"/>
      <c r="R305" s="67"/>
      <c r="S305" s="67"/>
      <c r="T305" s="67"/>
      <c r="U305" s="66"/>
      <c r="V305" s="66"/>
      <c r="W305" s="66"/>
      <c r="X305" s="85"/>
      <c r="AP305" t="str">
        <v/>
      </c>
    </row>
    <row r="306" spans="4:42" ht="15.75" x14ac:dyDescent="0.25">
      <c r="D306" s="3">
        <v>1</v>
      </c>
      <c r="F306" s="16" t="str" cm="1">
        <f t="array" ref="F3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6" s="31" cm="1">
        <f t="array" ref="G3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6" s="33" t="str">
        <f>_xlfn.IFNA(IF(MOD(HLG_06[[#This Row],[Rit]],
    _xlfn.XLOOKUP($G$2,Int_Sample[Ore],Int_Sample[Inc])) = 0, "YES", "NO"),"")</f>
        <v/>
      </c>
      <c r="I306" s="32" t="str">
        <f>TEXT(HLG_06[[#This Row],[Batch]],"000")&amp; " / " &amp; TEXT(HLG_06[[#This Row],[Rit]],"000")</f>
        <v>N/A / 000</v>
      </c>
      <c r="J306" s="34"/>
      <c r="K306" s="38"/>
      <c r="L306" s="35"/>
      <c r="M306" s="66"/>
      <c r="N306" s="66"/>
      <c r="O306" s="66"/>
      <c r="P306" s="66"/>
      <c r="Q306" s="66"/>
      <c r="R306" s="67"/>
      <c r="S306" s="67"/>
      <c r="T306" s="67"/>
      <c r="U306" s="66"/>
      <c r="V306" s="66"/>
      <c r="W306" s="66"/>
      <c r="X306" s="85"/>
      <c r="AP306" t="str">
        <v/>
      </c>
    </row>
    <row r="307" spans="4:42" ht="15.75" x14ac:dyDescent="0.25">
      <c r="D307" s="3">
        <v>1</v>
      </c>
      <c r="F307" s="16" t="str" cm="1">
        <f t="array" ref="F3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7" s="31" cm="1">
        <f t="array" ref="G3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7" s="33" t="str">
        <f>_xlfn.IFNA(IF(MOD(HLG_06[[#This Row],[Rit]],
    _xlfn.XLOOKUP($G$2,Int_Sample[Ore],Int_Sample[Inc])) = 0, "YES", "NO"),"")</f>
        <v/>
      </c>
      <c r="I307" s="32" t="str">
        <f>TEXT(HLG_06[[#This Row],[Batch]],"000")&amp; " / " &amp; TEXT(HLG_06[[#This Row],[Rit]],"000")</f>
        <v>N/A / 000</v>
      </c>
      <c r="J307" s="34"/>
      <c r="K307" s="38"/>
      <c r="L307" s="35"/>
      <c r="M307" s="66"/>
      <c r="N307" s="66"/>
      <c r="O307" s="66"/>
      <c r="P307" s="66"/>
      <c r="Q307" s="66"/>
      <c r="R307" s="67"/>
      <c r="S307" s="67"/>
      <c r="T307" s="67"/>
      <c r="U307" s="66"/>
      <c r="V307" s="66"/>
      <c r="W307" s="66"/>
      <c r="X307" s="85"/>
      <c r="AP307" t="str">
        <v/>
      </c>
    </row>
    <row r="308" spans="4:42" ht="15.75" x14ac:dyDescent="0.25">
      <c r="D308" s="3">
        <v>1</v>
      </c>
      <c r="F308" s="16" t="str" cm="1">
        <f t="array" ref="F3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8" s="31" cm="1">
        <f t="array" ref="G3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8" s="33" t="str">
        <f>_xlfn.IFNA(IF(MOD(HLG_06[[#This Row],[Rit]],
    _xlfn.XLOOKUP($G$2,Int_Sample[Ore],Int_Sample[Inc])) = 0, "YES", "NO"),"")</f>
        <v/>
      </c>
      <c r="I308" s="32" t="str">
        <f>TEXT(HLG_06[[#This Row],[Batch]],"000")&amp; " / " &amp; TEXT(HLG_06[[#This Row],[Rit]],"000")</f>
        <v>N/A / 000</v>
      </c>
      <c r="J308" s="34"/>
      <c r="K308" s="38"/>
      <c r="L308" s="35"/>
      <c r="M308" s="66"/>
      <c r="N308" s="66"/>
      <c r="O308" s="66"/>
      <c r="P308" s="66"/>
      <c r="Q308" s="66"/>
      <c r="R308" s="67"/>
      <c r="S308" s="67"/>
      <c r="T308" s="67"/>
      <c r="U308" s="66"/>
      <c r="V308" s="66"/>
      <c r="W308" s="66"/>
      <c r="X308" s="85"/>
      <c r="AP308" t="str">
        <v/>
      </c>
    </row>
    <row r="309" spans="4:42" ht="15.75" x14ac:dyDescent="0.25">
      <c r="D309" s="3">
        <v>1</v>
      </c>
      <c r="F309" s="16" t="str" cm="1">
        <f t="array" ref="F3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09" s="31" cm="1">
        <f t="array" ref="G3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09" s="33" t="str">
        <f>_xlfn.IFNA(IF(MOD(HLG_06[[#This Row],[Rit]],
    _xlfn.XLOOKUP($G$2,Int_Sample[Ore],Int_Sample[Inc])) = 0, "YES", "NO"),"")</f>
        <v/>
      </c>
      <c r="I309" s="32" t="str">
        <f>TEXT(HLG_06[[#This Row],[Batch]],"000")&amp; " / " &amp; TEXT(HLG_06[[#This Row],[Rit]],"000")</f>
        <v>N/A / 000</v>
      </c>
      <c r="J309" s="34"/>
      <c r="K309" s="38"/>
      <c r="L309" s="35"/>
      <c r="M309" s="66"/>
      <c r="N309" s="66"/>
      <c r="O309" s="66"/>
      <c r="P309" s="66"/>
      <c r="Q309" s="66"/>
      <c r="R309" s="67"/>
      <c r="S309" s="67"/>
      <c r="T309" s="67"/>
      <c r="U309" s="66"/>
      <c r="V309" s="66"/>
      <c r="W309" s="66"/>
      <c r="X309" s="85"/>
      <c r="AP309" t="str">
        <v/>
      </c>
    </row>
    <row r="310" spans="4:42" ht="15.75" x14ac:dyDescent="0.25">
      <c r="D310" s="3">
        <v>1</v>
      </c>
      <c r="F310" s="16" t="str" cm="1">
        <f t="array" ref="F3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0" s="31" cm="1">
        <f t="array" ref="G3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0" s="33" t="str">
        <f>_xlfn.IFNA(IF(MOD(HLG_06[[#This Row],[Rit]],
    _xlfn.XLOOKUP($G$2,Int_Sample[Ore],Int_Sample[Inc])) = 0, "YES", "NO"),"")</f>
        <v/>
      </c>
      <c r="I310" s="32" t="str">
        <f>TEXT(HLG_06[[#This Row],[Batch]],"000")&amp; " / " &amp; TEXT(HLG_06[[#This Row],[Rit]],"000")</f>
        <v>N/A / 000</v>
      </c>
      <c r="J310" s="34"/>
      <c r="K310" s="38"/>
      <c r="L310" s="35"/>
      <c r="M310" s="66"/>
      <c r="N310" s="66"/>
      <c r="O310" s="66"/>
      <c r="P310" s="66"/>
      <c r="Q310" s="66"/>
      <c r="R310" s="67"/>
      <c r="S310" s="67"/>
      <c r="T310" s="67"/>
      <c r="U310" s="66"/>
      <c r="V310" s="66"/>
      <c r="W310" s="66"/>
      <c r="X310" s="85"/>
      <c r="AP310" t="str">
        <v/>
      </c>
    </row>
    <row r="311" spans="4:42" ht="15.75" x14ac:dyDescent="0.25">
      <c r="D311" s="3">
        <v>1</v>
      </c>
      <c r="F311" s="16" t="str" cm="1">
        <f t="array" ref="F3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1" s="31" cm="1">
        <f t="array" ref="G3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1" s="33" t="str">
        <f>_xlfn.IFNA(IF(MOD(HLG_06[[#This Row],[Rit]],
    _xlfn.XLOOKUP($G$2,Int_Sample[Ore],Int_Sample[Inc])) = 0, "YES", "NO"),"")</f>
        <v/>
      </c>
      <c r="I311" s="32" t="str">
        <f>TEXT(HLG_06[[#This Row],[Batch]],"000")&amp; " / " &amp; TEXT(HLG_06[[#This Row],[Rit]],"000")</f>
        <v>N/A / 000</v>
      </c>
      <c r="J311" s="34"/>
      <c r="K311" s="38"/>
      <c r="L311" s="35"/>
      <c r="M311" s="66"/>
      <c r="N311" s="66"/>
      <c r="O311" s="66"/>
      <c r="P311" s="66"/>
      <c r="Q311" s="66"/>
      <c r="R311" s="67"/>
      <c r="S311" s="67"/>
      <c r="T311" s="67"/>
      <c r="U311" s="66"/>
      <c r="V311" s="66"/>
      <c r="W311" s="66"/>
      <c r="X311" s="85"/>
      <c r="AP311" t="str">
        <v/>
      </c>
    </row>
    <row r="312" spans="4:42" ht="15.75" x14ac:dyDescent="0.25">
      <c r="D312" s="3">
        <v>1</v>
      </c>
      <c r="F312" s="16" t="str" cm="1">
        <f t="array" ref="F3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2" s="31" cm="1">
        <f t="array" ref="G3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2" s="33" t="str">
        <f>_xlfn.IFNA(IF(MOD(HLG_06[[#This Row],[Rit]],
    _xlfn.XLOOKUP($G$2,Int_Sample[Ore],Int_Sample[Inc])) = 0, "YES", "NO"),"")</f>
        <v/>
      </c>
      <c r="I312" s="32" t="str">
        <f>TEXT(HLG_06[[#This Row],[Batch]],"000")&amp; " / " &amp; TEXT(HLG_06[[#This Row],[Rit]],"000")</f>
        <v>N/A / 000</v>
      </c>
      <c r="J312" s="34"/>
      <c r="K312" s="38"/>
      <c r="L312" s="35"/>
      <c r="M312" s="66"/>
      <c r="N312" s="66"/>
      <c r="O312" s="66"/>
      <c r="P312" s="66"/>
      <c r="Q312" s="66"/>
      <c r="R312" s="67"/>
      <c r="S312" s="67"/>
      <c r="T312" s="67"/>
      <c r="U312" s="66"/>
      <c r="V312" s="66"/>
      <c r="W312" s="66"/>
      <c r="X312" s="85"/>
      <c r="AP312" t="str">
        <v/>
      </c>
    </row>
    <row r="313" spans="4:42" ht="15.75" x14ac:dyDescent="0.25">
      <c r="D313" s="3">
        <v>1</v>
      </c>
      <c r="F313" s="16" t="str" cm="1">
        <f t="array" ref="F3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3" s="31" cm="1">
        <f t="array" ref="G3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3" s="33" t="str">
        <f>_xlfn.IFNA(IF(MOD(HLG_06[[#This Row],[Rit]],
    _xlfn.XLOOKUP($G$2,Int_Sample[Ore],Int_Sample[Inc])) = 0, "YES", "NO"),"")</f>
        <v/>
      </c>
      <c r="I313" s="32" t="str">
        <f>TEXT(HLG_06[[#This Row],[Batch]],"000")&amp; " / " &amp; TEXT(HLG_06[[#This Row],[Rit]],"000")</f>
        <v>N/A / 000</v>
      </c>
      <c r="J313" s="34"/>
      <c r="K313" s="38"/>
      <c r="L313" s="35"/>
      <c r="M313" s="66"/>
      <c r="N313" s="66"/>
      <c r="O313" s="66"/>
      <c r="P313" s="66"/>
      <c r="Q313" s="66"/>
      <c r="R313" s="67"/>
      <c r="S313" s="67"/>
      <c r="T313" s="67"/>
      <c r="U313" s="66"/>
      <c r="V313" s="66"/>
      <c r="W313" s="66"/>
      <c r="X313" s="85"/>
      <c r="AP313" t="str">
        <v/>
      </c>
    </row>
    <row r="314" spans="4:42" ht="15.75" x14ac:dyDescent="0.25">
      <c r="D314" s="3">
        <v>1</v>
      </c>
      <c r="F314" s="16" t="str" cm="1">
        <f t="array" ref="F3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4" s="31" cm="1">
        <f t="array" ref="G3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4" s="33" t="str">
        <f>_xlfn.IFNA(IF(MOD(HLG_06[[#This Row],[Rit]],
    _xlfn.XLOOKUP($G$2,Int_Sample[Ore],Int_Sample[Inc])) = 0, "YES", "NO"),"")</f>
        <v/>
      </c>
      <c r="I314" s="32" t="str">
        <f>TEXT(HLG_06[[#This Row],[Batch]],"000")&amp; " / " &amp; TEXT(HLG_06[[#This Row],[Rit]],"000")</f>
        <v>N/A / 000</v>
      </c>
      <c r="J314" s="34"/>
      <c r="K314" s="38"/>
      <c r="L314" s="35"/>
      <c r="M314" s="66"/>
      <c r="N314" s="66"/>
      <c r="O314" s="66"/>
      <c r="P314" s="66"/>
      <c r="Q314" s="66"/>
      <c r="R314" s="67"/>
      <c r="S314" s="67"/>
      <c r="T314" s="67"/>
      <c r="U314" s="66"/>
      <c r="V314" s="66"/>
      <c r="W314" s="66"/>
      <c r="X314" s="85"/>
      <c r="AP314" t="str">
        <v/>
      </c>
    </row>
    <row r="315" spans="4:42" ht="15.75" x14ac:dyDescent="0.25">
      <c r="D315" s="3">
        <v>1</v>
      </c>
      <c r="F315" s="16" t="str" cm="1">
        <f t="array" ref="F3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5" s="31" cm="1">
        <f t="array" ref="G3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5" s="33" t="str">
        <f>_xlfn.IFNA(IF(MOD(HLG_06[[#This Row],[Rit]],
    _xlfn.XLOOKUP($G$2,Int_Sample[Ore],Int_Sample[Inc])) = 0, "YES", "NO"),"")</f>
        <v/>
      </c>
      <c r="I315" s="32" t="str">
        <f>TEXT(HLG_06[[#This Row],[Batch]],"000")&amp; " / " &amp; TEXT(HLG_06[[#This Row],[Rit]],"000")</f>
        <v>N/A / 000</v>
      </c>
      <c r="J315" s="34"/>
      <c r="K315" s="38"/>
      <c r="L315" s="35"/>
      <c r="M315" s="66"/>
      <c r="N315" s="66"/>
      <c r="O315" s="66"/>
      <c r="P315" s="66"/>
      <c r="Q315" s="66"/>
      <c r="R315" s="67"/>
      <c r="S315" s="67"/>
      <c r="T315" s="67"/>
      <c r="U315" s="66"/>
      <c r="V315" s="66"/>
      <c r="W315" s="66"/>
      <c r="X315" s="85"/>
      <c r="AP315" t="str">
        <v/>
      </c>
    </row>
    <row r="316" spans="4:42" ht="15.75" x14ac:dyDescent="0.25">
      <c r="D316" s="3">
        <v>1</v>
      </c>
      <c r="F316" s="16" t="str" cm="1">
        <f t="array" ref="F3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6" s="31" cm="1">
        <f t="array" ref="G3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6" s="33" t="str">
        <f>_xlfn.IFNA(IF(MOD(HLG_06[[#This Row],[Rit]],
    _xlfn.XLOOKUP($G$2,Int_Sample[Ore],Int_Sample[Inc])) = 0, "YES", "NO"),"")</f>
        <v/>
      </c>
      <c r="I316" s="32" t="str">
        <f>TEXT(HLG_06[[#This Row],[Batch]],"000")&amp; " / " &amp; TEXT(HLG_06[[#This Row],[Rit]],"000")</f>
        <v>N/A / 000</v>
      </c>
      <c r="J316" s="34"/>
      <c r="K316" s="38"/>
      <c r="L316" s="35"/>
      <c r="M316" s="66"/>
      <c r="N316" s="66"/>
      <c r="O316" s="66"/>
      <c r="P316" s="66"/>
      <c r="Q316" s="66"/>
      <c r="R316" s="67"/>
      <c r="S316" s="67"/>
      <c r="T316" s="67"/>
      <c r="U316" s="66"/>
      <c r="V316" s="66"/>
      <c r="W316" s="66"/>
      <c r="X316" s="85"/>
      <c r="AP316" t="str">
        <v/>
      </c>
    </row>
    <row r="317" spans="4:42" ht="15.75" x14ac:dyDescent="0.25">
      <c r="D317" s="3">
        <v>1</v>
      </c>
      <c r="F317" s="16" t="str" cm="1">
        <f t="array" ref="F3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7" s="31" cm="1">
        <f t="array" ref="G3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7" s="33" t="str">
        <f>_xlfn.IFNA(IF(MOD(HLG_06[[#This Row],[Rit]],
    _xlfn.XLOOKUP($G$2,Int_Sample[Ore],Int_Sample[Inc])) = 0, "YES", "NO"),"")</f>
        <v/>
      </c>
      <c r="I317" s="32" t="str">
        <f>TEXT(HLG_06[[#This Row],[Batch]],"000")&amp; " / " &amp; TEXT(HLG_06[[#This Row],[Rit]],"000")</f>
        <v>N/A / 000</v>
      </c>
      <c r="J317" s="34"/>
      <c r="K317" s="38"/>
      <c r="L317" s="35"/>
      <c r="M317" s="66"/>
      <c r="N317" s="66"/>
      <c r="O317" s="66"/>
      <c r="P317" s="66"/>
      <c r="Q317" s="66"/>
      <c r="R317" s="67"/>
      <c r="S317" s="67"/>
      <c r="T317" s="67"/>
      <c r="U317" s="66"/>
      <c r="V317" s="66"/>
      <c r="W317" s="66"/>
      <c r="X317" s="85"/>
      <c r="AP317" t="str">
        <v/>
      </c>
    </row>
    <row r="318" spans="4:42" ht="15.75" x14ac:dyDescent="0.25">
      <c r="D318" s="3">
        <v>1</v>
      </c>
      <c r="F318" s="16" t="str" cm="1">
        <f t="array" ref="F3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8" s="31" cm="1">
        <f t="array" ref="G3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8" s="33" t="str">
        <f>_xlfn.IFNA(IF(MOD(HLG_06[[#This Row],[Rit]],
    _xlfn.XLOOKUP($G$2,Int_Sample[Ore],Int_Sample[Inc])) = 0, "YES", "NO"),"")</f>
        <v/>
      </c>
      <c r="I318" s="32" t="str">
        <f>TEXT(HLG_06[[#This Row],[Batch]],"000")&amp; " / " &amp; TEXT(HLG_06[[#This Row],[Rit]],"000")</f>
        <v>N/A / 000</v>
      </c>
      <c r="J318" s="34"/>
      <c r="K318" s="38"/>
      <c r="L318" s="35"/>
      <c r="M318" s="66"/>
      <c r="N318" s="66"/>
      <c r="O318" s="66"/>
      <c r="P318" s="66"/>
      <c r="Q318" s="66"/>
      <c r="R318" s="67"/>
      <c r="S318" s="67"/>
      <c r="T318" s="67"/>
      <c r="U318" s="66"/>
      <c r="V318" s="66"/>
      <c r="W318" s="66"/>
      <c r="X318" s="85"/>
      <c r="AP318" t="str">
        <v/>
      </c>
    </row>
    <row r="319" spans="4:42" ht="15.75" x14ac:dyDescent="0.25">
      <c r="D319" s="3">
        <v>1</v>
      </c>
      <c r="F319" s="16" t="str" cm="1">
        <f t="array" ref="F3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19" s="31" cm="1">
        <f t="array" ref="G3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19" s="33" t="str">
        <f>_xlfn.IFNA(IF(MOD(HLG_06[[#This Row],[Rit]],
    _xlfn.XLOOKUP($G$2,Int_Sample[Ore],Int_Sample[Inc])) = 0, "YES", "NO"),"")</f>
        <v/>
      </c>
      <c r="I319" s="32" t="str">
        <f>TEXT(HLG_06[[#This Row],[Batch]],"000")&amp; " / " &amp; TEXT(HLG_06[[#This Row],[Rit]],"000")</f>
        <v>N/A / 000</v>
      </c>
      <c r="J319" s="34"/>
      <c r="K319" s="38"/>
      <c r="L319" s="35"/>
      <c r="M319" s="66"/>
      <c r="N319" s="66"/>
      <c r="O319" s="66"/>
      <c r="P319" s="66"/>
      <c r="Q319" s="66"/>
      <c r="R319" s="67"/>
      <c r="S319" s="67"/>
      <c r="T319" s="67"/>
      <c r="U319" s="66"/>
      <c r="V319" s="66"/>
      <c r="W319" s="66"/>
      <c r="X319" s="85"/>
      <c r="AP319" t="str">
        <v/>
      </c>
    </row>
    <row r="320" spans="4:42" ht="15.75" x14ac:dyDescent="0.25">
      <c r="D320" s="3">
        <v>1</v>
      </c>
      <c r="F320" s="16" t="str" cm="1">
        <f t="array" ref="F3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0" s="31" cm="1">
        <f t="array" ref="G3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0" s="33" t="str">
        <f>_xlfn.IFNA(IF(MOD(HLG_06[[#This Row],[Rit]],
    _xlfn.XLOOKUP($G$2,Int_Sample[Ore],Int_Sample[Inc])) = 0, "YES", "NO"),"")</f>
        <v/>
      </c>
      <c r="I320" s="32" t="str">
        <f>TEXT(HLG_06[[#This Row],[Batch]],"000")&amp; " / " &amp; TEXT(HLG_06[[#This Row],[Rit]],"000")</f>
        <v>N/A / 000</v>
      </c>
      <c r="J320" s="34"/>
      <c r="K320" s="38"/>
      <c r="L320" s="35"/>
      <c r="M320" s="66"/>
      <c r="N320" s="66"/>
      <c r="O320" s="66"/>
      <c r="P320" s="66"/>
      <c r="Q320" s="66"/>
      <c r="R320" s="67"/>
      <c r="S320" s="67"/>
      <c r="T320" s="67"/>
      <c r="U320" s="66"/>
      <c r="V320" s="66"/>
      <c r="W320" s="66"/>
      <c r="X320" s="85"/>
      <c r="AP320" t="str">
        <v/>
      </c>
    </row>
    <row r="321" spans="4:42" ht="15.75" x14ac:dyDescent="0.25">
      <c r="D321" s="3">
        <v>1</v>
      </c>
      <c r="F321" s="16" t="str" cm="1">
        <f t="array" ref="F3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1" s="31" cm="1">
        <f t="array" ref="G3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1" s="33" t="str">
        <f>_xlfn.IFNA(IF(MOD(HLG_06[[#This Row],[Rit]],
    _xlfn.XLOOKUP($G$2,Int_Sample[Ore],Int_Sample[Inc])) = 0, "YES", "NO"),"")</f>
        <v/>
      </c>
      <c r="I321" s="32" t="str">
        <f>TEXT(HLG_06[[#This Row],[Batch]],"000")&amp; " / " &amp; TEXT(HLG_06[[#This Row],[Rit]],"000")</f>
        <v>N/A / 000</v>
      </c>
      <c r="J321" s="34"/>
      <c r="K321" s="38"/>
      <c r="L321" s="35"/>
      <c r="M321" s="66"/>
      <c r="N321" s="66"/>
      <c r="O321" s="66"/>
      <c r="P321" s="66"/>
      <c r="Q321" s="66"/>
      <c r="R321" s="67"/>
      <c r="S321" s="67"/>
      <c r="T321" s="67"/>
      <c r="U321" s="66"/>
      <c r="V321" s="66"/>
      <c r="W321" s="66"/>
      <c r="X321" s="85"/>
      <c r="AP321" t="str">
        <v/>
      </c>
    </row>
    <row r="322" spans="4:42" ht="15.75" x14ac:dyDescent="0.25">
      <c r="D322" s="3">
        <v>1</v>
      </c>
      <c r="F322" s="16" t="str" cm="1">
        <f t="array" ref="F3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2" s="31" cm="1">
        <f t="array" ref="G3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2" s="33" t="str">
        <f>_xlfn.IFNA(IF(MOD(HLG_06[[#This Row],[Rit]],
    _xlfn.XLOOKUP($G$2,Int_Sample[Ore],Int_Sample[Inc])) = 0, "YES", "NO"),"")</f>
        <v/>
      </c>
      <c r="I322" s="32" t="str">
        <f>TEXT(HLG_06[[#This Row],[Batch]],"000")&amp; " / " &amp; TEXT(HLG_06[[#This Row],[Rit]],"000")</f>
        <v>N/A / 000</v>
      </c>
      <c r="J322" s="34"/>
      <c r="K322" s="38"/>
      <c r="L322" s="35"/>
      <c r="M322" s="66"/>
      <c r="N322" s="66"/>
      <c r="O322" s="66"/>
      <c r="P322" s="66"/>
      <c r="Q322" s="66"/>
      <c r="R322" s="67"/>
      <c r="S322" s="67"/>
      <c r="T322" s="67"/>
      <c r="U322" s="66"/>
      <c r="V322" s="66"/>
      <c r="W322" s="66"/>
      <c r="X322" s="85"/>
      <c r="AP322" t="str">
        <v/>
      </c>
    </row>
    <row r="323" spans="4:42" ht="15.75" x14ac:dyDescent="0.25">
      <c r="D323" s="3">
        <v>1</v>
      </c>
      <c r="F323" s="16" t="str" cm="1">
        <f t="array" ref="F3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3" s="31" cm="1">
        <f t="array" ref="G3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3" s="33" t="str">
        <f>_xlfn.IFNA(IF(MOD(HLG_06[[#This Row],[Rit]],
    _xlfn.XLOOKUP($G$2,Int_Sample[Ore],Int_Sample[Inc])) = 0, "YES", "NO"),"")</f>
        <v/>
      </c>
      <c r="I323" s="32" t="str">
        <f>TEXT(HLG_06[[#This Row],[Batch]],"000")&amp; " / " &amp; TEXT(HLG_06[[#This Row],[Rit]],"000")</f>
        <v>N/A / 000</v>
      </c>
      <c r="J323" s="34"/>
      <c r="K323" s="38"/>
      <c r="L323" s="35"/>
      <c r="M323" s="66"/>
      <c r="N323" s="66"/>
      <c r="O323" s="66"/>
      <c r="P323" s="66"/>
      <c r="Q323" s="66"/>
      <c r="R323" s="67"/>
      <c r="S323" s="67"/>
      <c r="T323" s="67"/>
      <c r="U323" s="66"/>
      <c r="V323" s="66"/>
      <c r="W323" s="66"/>
      <c r="X323" s="85"/>
      <c r="AP323" t="str">
        <v/>
      </c>
    </row>
    <row r="324" spans="4:42" ht="15.75" x14ac:dyDescent="0.25">
      <c r="D324" s="3">
        <v>1</v>
      </c>
      <c r="F324" s="16" t="str" cm="1">
        <f t="array" ref="F3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4" s="31" cm="1">
        <f t="array" ref="G3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4" s="33" t="str">
        <f>_xlfn.IFNA(IF(MOD(HLG_06[[#This Row],[Rit]],
    _xlfn.XLOOKUP($G$2,Int_Sample[Ore],Int_Sample[Inc])) = 0, "YES", "NO"),"")</f>
        <v/>
      </c>
      <c r="I324" s="32" t="str">
        <f>TEXT(HLG_06[[#This Row],[Batch]],"000")&amp; " / " &amp; TEXT(HLG_06[[#This Row],[Rit]],"000")</f>
        <v>N/A / 000</v>
      </c>
      <c r="J324" s="34"/>
      <c r="K324" s="38"/>
      <c r="L324" s="35"/>
      <c r="M324" s="66"/>
      <c r="N324" s="66"/>
      <c r="O324" s="66"/>
      <c r="P324" s="66"/>
      <c r="Q324" s="66"/>
      <c r="R324" s="67"/>
      <c r="S324" s="67"/>
      <c r="T324" s="67"/>
      <c r="U324" s="66"/>
      <c r="V324" s="66"/>
      <c r="W324" s="66"/>
      <c r="X324" s="85"/>
      <c r="AP324" t="str">
        <v/>
      </c>
    </row>
    <row r="325" spans="4:42" ht="15.75" x14ac:dyDescent="0.25">
      <c r="D325" s="3">
        <v>1</v>
      </c>
      <c r="F325" s="16" t="str" cm="1">
        <f t="array" ref="F3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5" s="31" cm="1">
        <f t="array" ref="G3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5" s="33" t="str">
        <f>_xlfn.IFNA(IF(MOD(HLG_06[[#This Row],[Rit]],
    _xlfn.XLOOKUP($G$2,Int_Sample[Ore],Int_Sample[Inc])) = 0, "YES", "NO"),"")</f>
        <v/>
      </c>
      <c r="I325" s="32" t="str">
        <f>TEXT(HLG_06[[#This Row],[Batch]],"000")&amp; " / " &amp; TEXT(HLG_06[[#This Row],[Rit]],"000")</f>
        <v>N/A / 000</v>
      </c>
      <c r="J325" s="34"/>
      <c r="K325" s="38"/>
      <c r="L325" s="35"/>
      <c r="M325" s="66"/>
      <c r="N325" s="66"/>
      <c r="O325" s="66"/>
      <c r="P325" s="66"/>
      <c r="Q325" s="66"/>
      <c r="R325" s="67"/>
      <c r="S325" s="67"/>
      <c r="T325" s="67"/>
      <c r="U325" s="66"/>
      <c r="V325" s="66"/>
      <c r="W325" s="66"/>
      <c r="X325" s="85"/>
      <c r="AP325" t="str">
        <v/>
      </c>
    </row>
    <row r="326" spans="4:42" ht="15.75" x14ac:dyDescent="0.25">
      <c r="D326" s="3">
        <v>1</v>
      </c>
      <c r="F326" s="16" t="str" cm="1">
        <f t="array" ref="F3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6" s="31" cm="1">
        <f t="array" ref="G3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6" s="33" t="str">
        <f>_xlfn.IFNA(IF(MOD(HLG_06[[#This Row],[Rit]],
    _xlfn.XLOOKUP($G$2,Int_Sample[Ore],Int_Sample[Inc])) = 0, "YES", "NO"),"")</f>
        <v/>
      </c>
      <c r="I326" s="32" t="str">
        <f>TEXT(HLG_06[[#This Row],[Batch]],"000")&amp; " / " &amp; TEXT(HLG_06[[#This Row],[Rit]],"000")</f>
        <v>N/A / 000</v>
      </c>
      <c r="J326" s="34"/>
      <c r="K326" s="38"/>
      <c r="L326" s="35"/>
      <c r="M326" s="66"/>
      <c r="N326" s="66"/>
      <c r="O326" s="66"/>
      <c r="P326" s="66"/>
      <c r="Q326" s="66"/>
      <c r="R326" s="67"/>
      <c r="S326" s="67"/>
      <c r="T326" s="67"/>
      <c r="U326" s="66"/>
      <c r="V326" s="66"/>
      <c r="W326" s="66"/>
      <c r="X326" s="85"/>
      <c r="AP326" t="str">
        <v/>
      </c>
    </row>
    <row r="327" spans="4:42" ht="15.75" x14ac:dyDescent="0.25">
      <c r="D327" s="3">
        <v>1</v>
      </c>
      <c r="F327" s="16" t="str" cm="1">
        <f t="array" ref="F3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7" s="31" cm="1">
        <f t="array" ref="G3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7" s="33" t="str">
        <f>_xlfn.IFNA(IF(MOD(HLG_06[[#This Row],[Rit]],
    _xlfn.XLOOKUP($G$2,Int_Sample[Ore],Int_Sample[Inc])) = 0, "YES", "NO"),"")</f>
        <v/>
      </c>
      <c r="I327" s="32" t="str">
        <f>TEXT(HLG_06[[#This Row],[Batch]],"000")&amp; " / " &amp; TEXT(HLG_06[[#This Row],[Rit]],"000")</f>
        <v>N/A / 000</v>
      </c>
      <c r="J327" s="34"/>
      <c r="K327" s="38"/>
      <c r="L327" s="35"/>
      <c r="M327" s="66"/>
      <c r="N327" s="66"/>
      <c r="O327" s="66"/>
      <c r="P327" s="66"/>
      <c r="Q327" s="66"/>
      <c r="R327" s="67"/>
      <c r="S327" s="67"/>
      <c r="T327" s="67"/>
      <c r="U327" s="66"/>
      <c r="V327" s="66"/>
      <c r="W327" s="66"/>
      <c r="X327" s="85"/>
      <c r="AP327" t="str">
        <v/>
      </c>
    </row>
    <row r="328" spans="4:42" ht="15.75" x14ac:dyDescent="0.25">
      <c r="D328" s="3">
        <v>1</v>
      </c>
      <c r="F328" s="16" t="str" cm="1">
        <f t="array" ref="F3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8" s="31" cm="1">
        <f t="array" ref="G3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8" s="33" t="str">
        <f>_xlfn.IFNA(IF(MOD(HLG_06[[#This Row],[Rit]],
    _xlfn.XLOOKUP($G$2,Int_Sample[Ore],Int_Sample[Inc])) = 0, "YES", "NO"),"")</f>
        <v/>
      </c>
      <c r="I328" s="32" t="str">
        <f>TEXT(HLG_06[[#This Row],[Batch]],"000")&amp; " / " &amp; TEXT(HLG_06[[#This Row],[Rit]],"000")</f>
        <v>N/A / 000</v>
      </c>
      <c r="J328" s="34"/>
      <c r="K328" s="38"/>
      <c r="L328" s="35"/>
      <c r="M328" s="66"/>
      <c r="N328" s="66"/>
      <c r="O328" s="66"/>
      <c r="P328" s="66"/>
      <c r="Q328" s="66"/>
      <c r="R328" s="67"/>
      <c r="S328" s="67"/>
      <c r="T328" s="67"/>
      <c r="U328" s="66"/>
      <c r="V328" s="66"/>
      <c r="W328" s="66"/>
      <c r="X328" s="85"/>
      <c r="AP328" t="str">
        <v/>
      </c>
    </row>
    <row r="329" spans="4:42" ht="15.75" x14ac:dyDescent="0.25">
      <c r="D329" s="3">
        <v>1</v>
      </c>
      <c r="F329" s="16" t="str" cm="1">
        <f t="array" ref="F3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29" s="31" cm="1">
        <f t="array" ref="G3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29" s="33" t="str">
        <f>_xlfn.IFNA(IF(MOD(HLG_06[[#This Row],[Rit]],
    _xlfn.XLOOKUP($G$2,Int_Sample[Ore],Int_Sample[Inc])) = 0, "YES", "NO"),"")</f>
        <v/>
      </c>
      <c r="I329" s="32" t="str">
        <f>TEXT(HLG_06[[#This Row],[Batch]],"000")&amp; " / " &amp; TEXT(HLG_06[[#This Row],[Rit]],"000")</f>
        <v>N/A / 000</v>
      </c>
      <c r="J329" s="34"/>
      <c r="K329" s="38"/>
      <c r="L329" s="35"/>
      <c r="M329" s="66"/>
      <c r="N329" s="66"/>
      <c r="O329" s="66"/>
      <c r="P329" s="66"/>
      <c r="Q329" s="66"/>
      <c r="R329" s="67"/>
      <c r="S329" s="67"/>
      <c r="T329" s="67"/>
      <c r="U329" s="66"/>
      <c r="V329" s="66"/>
      <c r="W329" s="66"/>
      <c r="X329" s="85"/>
      <c r="AP329" t="str">
        <v/>
      </c>
    </row>
    <row r="330" spans="4:42" ht="15.75" x14ac:dyDescent="0.25">
      <c r="D330" s="3">
        <v>1</v>
      </c>
      <c r="F330" s="16" t="str" cm="1">
        <f t="array" ref="F3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0" s="31" cm="1">
        <f t="array" ref="G3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0" s="33" t="str">
        <f>_xlfn.IFNA(IF(MOD(HLG_06[[#This Row],[Rit]],
    _xlfn.XLOOKUP($G$2,Int_Sample[Ore],Int_Sample[Inc])) = 0, "YES", "NO"),"")</f>
        <v/>
      </c>
      <c r="I330" s="32" t="str">
        <f>TEXT(HLG_06[[#This Row],[Batch]],"000")&amp; " / " &amp; TEXT(HLG_06[[#This Row],[Rit]],"000")</f>
        <v>N/A / 000</v>
      </c>
      <c r="J330" s="34"/>
      <c r="K330" s="38"/>
      <c r="L330" s="35"/>
      <c r="M330" s="66"/>
      <c r="N330" s="66"/>
      <c r="O330" s="66"/>
      <c r="P330" s="66"/>
      <c r="Q330" s="66"/>
      <c r="R330" s="67"/>
      <c r="S330" s="67"/>
      <c r="T330" s="67"/>
      <c r="U330" s="66"/>
      <c r="V330" s="66"/>
      <c r="W330" s="66"/>
      <c r="X330" s="85"/>
      <c r="AP330" t="str">
        <v/>
      </c>
    </row>
    <row r="331" spans="4:42" ht="15.75" x14ac:dyDescent="0.25">
      <c r="D331" s="3">
        <v>1</v>
      </c>
      <c r="F331" s="16" t="str" cm="1">
        <f t="array" ref="F3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1" s="31" cm="1">
        <f t="array" ref="G3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1" s="33" t="str">
        <f>_xlfn.IFNA(IF(MOD(HLG_06[[#This Row],[Rit]],
    _xlfn.XLOOKUP($G$2,Int_Sample[Ore],Int_Sample[Inc])) = 0, "YES", "NO"),"")</f>
        <v/>
      </c>
      <c r="I331" s="32" t="str">
        <f>TEXT(HLG_06[[#This Row],[Batch]],"000")&amp; " / " &amp; TEXT(HLG_06[[#This Row],[Rit]],"000")</f>
        <v>N/A / 000</v>
      </c>
      <c r="J331" s="34"/>
      <c r="K331" s="38"/>
      <c r="L331" s="35"/>
      <c r="M331" s="66"/>
      <c r="N331" s="66"/>
      <c r="O331" s="66"/>
      <c r="P331" s="66"/>
      <c r="Q331" s="66"/>
      <c r="R331" s="67"/>
      <c r="S331" s="67"/>
      <c r="T331" s="67"/>
      <c r="U331" s="66"/>
      <c r="V331" s="66"/>
      <c r="W331" s="66"/>
      <c r="X331" s="85"/>
      <c r="AP331" t="str">
        <v/>
      </c>
    </row>
    <row r="332" spans="4:42" ht="15.75" x14ac:dyDescent="0.25">
      <c r="D332" s="3">
        <v>1</v>
      </c>
      <c r="F332" s="16" t="str" cm="1">
        <f t="array" ref="F3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2" s="31" cm="1">
        <f t="array" ref="G3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2" s="33" t="str">
        <f>_xlfn.IFNA(IF(MOD(HLG_06[[#This Row],[Rit]],
    _xlfn.XLOOKUP($G$2,Int_Sample[Ore],Int_Sample[Inc])) = 0, "YES", "NO"),"")</f>
        <v/>
      </c>
      <c r="I332" s="32" t="str">
        <f>TEXT(HLG_06[[#This Row],[Batch]],"000")&amp; " / " &amp; TEXT(HLG_06[[#This Row],[Rit]],"000")</f>
        <v>N/A / 000</v>
      </c>
      <c r="J332" s="34"/>
      <c r="K332" s="38"/>
      <c r="L332" s="35"/>
      <c r="M332" s="66"/>
      <c r="N332" s="66"/>
      <c r="O332" s="66"/>
      <c r="P332" s="66"/>
      <c r="Q332" s="66"/>
      <c r="R332" s="67"/>
      <c r="S332" s="67"/>
      <c r="T332" s="67"/>
      <c r="U332" s="66"/>
      <c r="V332" s="66"/>
      <c r="W332" s="66"/>
      <c r="X332" s="85"/>
      <c r="AP332" t="str">
        <v/>
      </c>
    </row>
    <row r="333" spans="4:42" ht="15.75" x14ac:dyDescent="0.25">
      <c r="D333" s="3">
        <v>1</v>
      </c>
      <c r="F333" s="16" t="str" cm="1">
        <f t="array" ref="F3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3" s="31" cm="1">
        <f t="array" ref="G3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3" s="33" t="str">
        <f>_xlfn.IFNA(IF(MOD(HLG_06[[#This Row],[Rit]],
    _xlfn.XLOOKUP($G$2,Int_Sample[Ore],Int_Sample[Inc])) = 0, "YES", "NO"),"")</f>
        <v/>
      </c>
      <c r="I333" s="32" t="str">
        <f>TEXT(HLG_06[[#This Row],[Batch]],"000")&amp; " / " &amp; TEXT(HLG_06[[#This Row],[Rit]],"000")</f>
        <v>N/A / 000</v>
      </c>
      <c r="J333" s="34"/>
      <c r="K333" s="38"/>
      <c r="L333" s="35"/>
      <c r="M333" s="66"/>
      <c r="N333" s="66"/>
      <c r="O333" s="66"/>
      <c r="P333" s="66"/>
      <c r="Q333" s="66"/>
      <c r="R333" s="67"/>
      <c r="S333" s="67"/>
      <c r="T333" s="67"/>
      <c r="U333" s="66"/>
      <c r="V333" s="66"/>
      <c r="W333" s="66"/>
      <c r="X333" s="85"/>
      <c r="AP333" t="str">
        <v/>
      </c>
    </row>
    <row r="334" spans="4:42" ht="15.75" x14ac:dyDescent="0.25">
      <c r="D334" s="3">
        <v>1</v>
      </c>
      <c r="F334" s="16" t="str" cm="1">
        <f t="array" ref="F3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4" s="31" cm="1">
        <f t="array" ref="G3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4" s="33" t="str">
        <f>_xlfn.IFNA(IF(MOD(HLG_06[[#This Row],[Rit]],
    _xlfn.XLOOKUP($G$2,Int_Sample[Ore],Int_Sample[Inc])) = 0, "YES", "NO"),"")</f>
        <v/>
      </c>
      <c r="I334" s="32" t="str">
        <f>TEXT(HLG_06[[#This Row],[Batch]],"000")&amp; " / " &amp; TEXT(HLG_06[[#This Row],[Rit]],"000")</f>
        <v>N/A / 000</v>
      </c>
      <c r="J334" s="34"/>
      <c r="K334" s="38"/>
      <c r="L334" s="35"/>
      <c r="M334" s="66"/>
      <c r="N334" s="66"/>
      <c r="O334" s="66"/>
      <c r="P334" s="66"/>
      <c r="Q334" s="66"/>
      <c r="R334" s="67"/>
      <c r="S334" s="67"/>
      <c r="T334" s="67"/>
      <c r="U334" s="66"/>
      <c r="V334" s="66"/>
      <c r="W334" s="66"/>
      <c r="X334" s="85"/>
      <c r="AP334" t="str">
        <v/>
      </c>
    </row>
    <row r="335" spans="4:42" ht="15.75" x14ac:dyDescent="0.25">
      <c r="D335" s="3">
        <v>1</v>
      </c>
      <c r="F335" s="16" t="str" cm="1">
        <f t="array" ref="F3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5" s="31" cm="1">
        <f t="array" ref="G3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5" s="33" t="str">
        <f>_xlfn.IFNA(IF(MOD(HLG_06[[#This Row],[Rit]],
    _xlfn.XLOOKUP($G$2,Int_Sample[Ore],Int_Sample[Inc])) = 0, "YES", "NO"),"")</f>
        <v/>
      </c>
      <c r="I335" s="32" t="str">
        <f>TEXT(HLG_06[[#This Row],[Batch]],"000")&amp; " / " &amp; TEXT(HLG_06[[#This Row],[Rit]],"000")</f>
        <v>N/A / 000</v>
      </c>
      <c r="J335" s="34"/>
      <c r="K335" s="38"/>
      <c r="L335" s="35"/>
      <c r="M335" s="66"/>
      <c r="N335" s="66"/>
      <c r="O335" s="66"/>
      <c r="P335" s="66"/>
      <c r="Q335" s="66"/>
      <c r="R335" s="67"/>
      <c r="S335" s="67"/>
      <c r="T335" s="67"/>
      <c r="U335" s="66"/>
      <c r="V335" s="66"/>
      <c r="W335" s="66"/>
      <c r="X335" s="85"/>
      <c r="AP335" t="str">
        <v/>
      </c>
    </row>
    <row r="336" spans="4:42" ht="15.75" x14ac:dyDescent="0.25">
      <c r="D336" s="3">
        <v>1</v>
      </c>
      <c r="F336" s="16" t="str" cm="1">
        <f t="array" ref="F3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6" s="31" cm="1">
        <f t="array" ref="G3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6" s="33" t="str">
        <f>_xlfn.IFNA(IF(MOD(HLG_06[[#This Row],[Rit]],
    _xlfn.XLOOKUP($G$2,Int_Sample[Ore],Int_Sample[Inc])) = 0, "YES", "NO"),"")</f>
        <v/>
      </c>
      <c r="I336" s="32" t="str">
        <f>TEXT(HLG_06[[#This Row],[Batch]],"000")&amp; " / " &amp; TEXT(HLG_06[[#This Row],[Rit]],"000")</f>
        <v>N/A / 000</v>
      </c>
      <c r="J336" s="34"/>
      <c r="K336" s="38"/>
      <c r="L336" s="35"/>
      <c r="M336" s="66"/>
      <c r="N336" s="66"/>
      <c r="O336" s="66"/>
      <c r="P336" s="66"/>
      <c r="Q336" s="66"/>
      <c r="R336" s="67"/>
      <c r="S336" s="67"/>
      <c r="T336" s="67"/>
      <c r="U336" s="66"/>
      <c r="V336" s="66"/>
      <c r="W336" s="66"/>
      <c r="X336" s="85"/>
      <c r="AP336" t="str">
        <v/>
      </c>
    </row>
    <row r="337" spans="4:42" ht="15.75" x14ac:dyDescent="0.25">
      <c r="D337" s="3">
        <v>1</v>
      </c>
      <c r="F337" s="16" t="str" cm="1">
        <f t="array" ref="F3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7" s="31" cm="1">
        <f t="array" ref="G3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7" s="33" t="str">
        <f>_xlfn.IFNA(IF(MOD(HLG_06[[#This Row],[Rit]],
    _xlfn.XLOOKUP($G$2,Int_Sample[Ore],Int_Sample[Inc])) = 0, "YES", "NO"),"")</f>
        <v/>
      </c>
      <c r="I337" s="32" t="str">
        <f>TEXT(HLG_06[[#This Row],[Batch]],"000")&amp; " / " &amp; TEXT(HLG_06[[#This Row],[Rit]],"000")</f>
        <v>N/A / 000</v>
      </c>
      <c r="J337" s="34"/>
      <c r="K337" s="38"/>
      <c r="L337" s="35"/>
      <c r="M337" s="66"/>
      <c r="N337" s="66"/>
      <c r="O337" s="66"/>
      <c r="P337" s="66"/>
      <c r="Q337" s="66"/>
      <c r="R337" s="67"/>
      <c r="S337" s="67"/>
      <c r="T337" s="67"/>
      <c r="U337" s="66"/>
      <c r="V337" s="66"/>
      <c r="W337" s="66"/>
      <c r="X337" s="85"/>
      <c r="AP337" t="str">
        <v/>
      </c>
    </row>
    <row r="338" spans="4:42" ht="15.75" x14ac:dyDescent="0.25">
      <c r="D338" s="3">
        <v>1</v>
      </c>
      <c r="F338" s="16" t="str" cm="1">
        <f t="array" ref="F3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8" s="31" cm="1">
        <f t="array" ref="G3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8" s="33" t="str">
        <f>_xlfn.IFNA(IF(MOD(HLG_06[[#This Row],[Rit]],
    _xlfn.XLOOKUP($G$2,Int_Sample[Ore],Int_Sample[Inc])) = 0, "YES", "NO"),"")</f>
        <v/>
      </c>
      <c r="I338" s="32" t="str">
        <f>TEXT(HLG_06[[#This Row],[Batch]],"000")&amp; " / " &amp; TEXT(HLG_06[[#This Row],[Rit]],"000")</f>
        <v>N/A / 000</v>
      </c>
      <c r="J338" s="34"/>
      <c r="K338" s="38"/>
      <c r="L338" s="35"/>
      <c r="M338" s="66"/>
      <c r="N338" s="66"/>
      <c r="O338" s="66"/>
      <c r="P338" s="66"/>
      <c r="Q338" s="66"/>
      <c r="R338" s="67"/>
      <c r="S338" s="67"/>
      <c r="T338" s="67"/>
      <c r="U338" s="66"/>
      <c r="V338" s="66"/>
      <c r="W338" s="66"/>
      <c r="X338" s="85"/>
      <c r="AP338" t="str">
        <v/>
      </c>
    </row>
    <row r="339" spans="4:42" ht="15.75" x14ac:dyDescent="0.25">
      <c r="D339" s="3">
        <v>1</v>
      </c>
      <c r="F339" s="16" t="str" cm="1">
        <f t="array" ref="F3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39" s="31" cm="1">
        <f t="array" ref="G3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39" s="33" t="str">
        <f>_xlfn.IFNA(IF(MOD(HLG_06[[#This Row],[Rit]],
    _xlfn.XLOOKUP($G$2,Int_Sample[Ore],Int_Sample[Inc])) = 0, "YES", "NO"),"")</f>
        <v/>
      </c>
      <c r="I339" s="32" t="str">
        <f>TEXT(HLG_06[[#This Row],[Batch]],"000")&amp; " / " &amp; TEXT(HLG_06[[#This Row],[Rit]],"000")</f>
        <v>N/A / 000</v>
      </c>
      <c r="J339" s="34"/>
      <c r="K339" s="38"/>
      <c r="L339" s="35"/>
      <c r="M339" s="66"/>
      <c r="N339" s="66"/>
      <c r="O339" s="66"/>
      <c r="P339" s="66"/>
      <c r="Q339" s="66"/>
      <c r="R339" s="67"/>
      <c r="S339" s="67"/>
      <c r="T339" s="67"/>
      <c r="U339" s="66"/>
      <c r="V339" s="66"/>
      <c r="W339" s="66"/>
      <c r="X339" s="85"/>
      <c r="AP339" t="str">
        <v/>
      </c>
    </row>
    <row r="340" spans="4:42" ht="15.75" x14ac:dyDescent="0.25">
      <c r="D340" s="3">
        <v>1</v>
      </c>
      <c r="F340" s="16" t="str" cm="1">
        <f t="array" ref="F3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0" s="31" cm="1">
        <f t="array" ref="G3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0" s="33" t="str">
        <f>_xlfn.IFNA(IF(MOD(HLG_06[[#This Row],[Rit]],
    _xlfn.XLOOKUP($G$2,Int_Sample[Ore],Int_Sample[Inc])) = 0, "YES", "NO"),"")</f>
        <v/>
      </c>
      <c r="I340" s="32" t="str">
        <f>TEXT(HLG_06[[#This Row],[Batch]],"000")&amp; " / " &amp; TEXT(HLG_06[[#This Row],[Rit]],"000")</f>
        <v>N/A / 000</v>
      </c>
      <c r="J340" s="34"/>
      <c r="K340" s="38"/>
      <c r="L340" s="35"/>
      <c r="M340" s="66"/>
      <c r="N340" s="66"/>
      <c r="O340" s="66"/>
      <c r="P340" s="66"/>
      <c r="Q340" s="66"/>
      <c r="R340" s="67"/>
      <c r="S340" s="67"/>
      <c r="T340" s="67"/>
      <c r="U340" s="66"/>
      <c r="V340" s="66"/>
      <c r="W340" s="66"/>
      <c r="X340" s="85"/>
      <c r="AP340" t="str">
        <v/>
      </c>
    </row>
    <row r="341" spans="4:42" ht="15.75" x14ac:dyDescent="0.25">
      <c r="D341" s="3">
        <v>1</v>
      </c>
      <c r="F341" s="16" t="str" cm="1">
        <f t="array" ref="F3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1" s="31" cm="1">
        <f t="array" ref="G3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1" s="33" t="str">
        <f>_xlfn.IFNA(IF(MOD(HLG_06[[#This Row],[Rit]],
    _xlfn.XLOOKUP($G$2,Int_Sample[Ore],Int_Sample[Inc])) = 0, "YES", "NO"),"")</f>
        <v/>
      </c>
      <c r="I341" s="32" t="str">
        <f>TEXT(HLG_06[[#This Row],[Batch]],"000")&amp; " / " &amp; TEXT(HLG_06[[#This Row],[Rit]],"000")</f>
        <v>N/A / 000</v>
      </c>
      <c r="J341" s="34"/>
      <c r="K341" s="38"/>
      <c r="L341" s="35"/>
      <c r="M341" s="66"/>
      <c r="N341" s="66"/>
      <c r="O341" s="66"/>
      <c r="P341" s="66"/>
      <c r="Q341" s="66"/>
      <c r="R341" s="67"/>
      <c r="S341" s="67"/>
      <c r="T341" s="67"/>
      <c r="U341" s="66"/>
      <c r="V341" s="66"/>
      <c r="W341" s="66"/>
      <c r="X341" s="85"/>
      <c r="AP341" t="str">
        <v/>
      </c>
    </row>
    <row r="342" spans="4:42" ht="15.75" x14ac:dyDescent="0.25">
      <c r="D342" s="3">
        <v>1</v>
      </c>
      <c r="F342" s="16" t="str" cm="1">
        <f t="array" ref="F3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2" s="31" cm="1">
        <f t="array" ref="G3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2" s="33" t="str">
        <f>_xlfn.IFNA(IF(MOD(HLG_06[[#This Row],[Rit]],
    _xlfn.XLOOKUP($G$2,Int_Sample[Ore],Int_Sample[Inc])) = 0, "YES", "NO"),"")</f>
        <v/>
      </c>
      <c r="I342" s="32" t="str">
        <f>TEXT(HLG_06[[#This Row],[Batch]],"000")&amp; " / " &amp; TEXT(HLG_06[[#This Row],[Rit]],"000")</f>
        <v>N/A / 000</v>
      </c>
      <c r="J342" s="34"/>
      <c r="K342" s="38"/>
      <c r="L342" s="35"/>
      <c r="M342" s="66"/>
      <c r="N342" s="66"/>
      <c r="O342" s="66"/>
      <c r="P342" s="66"/>
      <c r="Q342" s="66"/>
      <c r="R342" s="67"/>
      <c r="S342" s="67"/>
      <c r="T342" s="67"/>
      <c r="U342" s="66"/>
      <c r="V342" s="66"/>
      <c r="W342" s="66"/>
      <c r="X342" s="85"/>
      <c r="AP342" t="str">
        <v/>
      </c>
    </row>
    <row r="343" spans="4:42" ht="15.75" x14ac:dyDescent="0.25">
      <c r="D343" s="3">
        <v>1</v>
      </c>
      <c r="F343" s="16" t="str" cm="1">
        <f t="array" ref="F3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3" s="31" cm="1">
        <f t="array" ref="G3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3" s="33" t="str">
        <f>_xlfn.IFNA(IF(MOD(HLG_06[[#This Row],[Rit]],
    _xlfn.XLOOKUP($G$2,Int_Sample[Ore],Int_Sample[Inc])) = 0, "YES", "NO"),"")</f>
        <v/>
      </c>
      <c r="I343" s="32" t="str">
        <f>TEXT(HLG_06[[#This Row],[Batch]],"000")&amp; " / " &amp; TEXT(HLG_06[[#This Row],[Rit]],"000")</f>
        <v>N/A / 000</v>
      </c>
      <c r="J343" s="34"/>
      <c r="K343" s="38"/>
      <c r="L343" s="35"/>
      <c r="M343" s="66"/>
      <c r="N343" s="66"/>
      <c r="O343" s="66"/>
      <c r="P343" s="66"/>
      <c r="Q343" s="66"/>
      <c r="R343" s="67"/>
      <c r="S343" s="67"/>
      <c r="T343" s="67"/>
      <c r="U343" s="66"/>
      <c r="V343" s="66"/>
      <c r="W343" s="66"/>
      <c r="X343" s="85"/>
      <c r="AP343" t="str">
        <v/>
      </c>
    </row>
    <row r="344" spans="4:42" ht="15.75" x14ac:dyDescent="0.25">
      <c r="D344" s="3">
        <v>1</v>
      </c>
      <c r="F344" s="16" t="str" cm="1">
        <f t="array" ref="F3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4" s="31" cm="1">
        <f t="array" ref="G3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4" s="33" t="str">
        <f>_xlfn.IFNA(IF(MOD(HLG_06[[#This Row],[Rit]],
    _xlfn.XLOOKUP($G$2,Int_Sample[Ore],Int_Sample[Inc])) = 0, "YES", "NO"),"")</f>
        <v/>
      </c>
      <c r="I344" s="32" t="str">
        <f>TEXT(HLG_06[[#This Row],[Batch]],"000")&amp; " / " &amp; TEXT(HLG_06[[#This Row],[Rit]],"000")</f>
        <v>N/A / 000</v>
      </c>
      <c r="J344" s="34"/>
      <c r="K344" s="38"/>
      <c r="L344" s="35"/>
      <c r="M344" s="66"/>
      <c r="N344" s="66"/>
      <c r="O344" s="66"/>
      <c r="P344" s="66"/>
      <c r="Q344" s="66"/>
      <c r="R344" s="67"/>
      <c r="S344" s="67"/>
      <c r="T344" s="67"/>
      <c r="U344" s="66"/>
      <c r="V344" s="66"/>
      <c r="W344" s="66"/>
      <c r="X344" s="85"/>
      <c r="AP344" t="str">
        <v/>
      </c>
    </row>
    <row r="345" spans="4:42" ht="15.75" x14ac:dyDescent="0.25">
      <c r="D345" s="3">
        <v>1</v>
      </c>
      <c r="F345" s="16" t="str" cm="1">
        <f t="array" ref="F3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5" s="31" cm="1">
        <f t="array" ref="G3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5" s="33" t="str">
        <f>_xlfn.IFNA(IF(MOD(HLG_06[[#This Row],[Rit]],
    _xlfn.XLOOKUP($G$2,Int_Sample[Ore],Int_Sample[Inc])) = 0, "YES", "NO"),"")</f>
        <v/>
      </c>
      <c r="I345" s="32" t="str">
        <f>TEXT(HLG_06[[#This Row],[Batch]],"000")&amp; " / " &amp; TEXT(HLG_06[[#This Row],[Rit]],"000")</f>
        <v>N/A / 000</v>
      </c>
      <c r="J345" s="34"/>
      <c r="K345" s="38"/>
      <c r="L345" s="35"/>
      <c r="M345" s="66"/>
      <c r="N345" s="66"/>
      <c r="O345" s="66"/>
      <c r="P345" s="66"/>
      <c r="Q345" s="66"/>
      <c r="R345" s="67"/>
      <c r="S345" s="67"/>
      <c r="T345" s="67"/>
      <c r="U345" s="66"/>
      <c r="V345" s="66"/>
      <c r="W345" s="66"/>
      <c r="X345" s="85"/>
      <c r="AP345" t="str">
        <v/>
      </c>
    </row>
    <row r="346" spans="4:42" ht="15.75" x14ac:dyDescent="0.25">
      <c r="D346" s="3">
        <v>1</v>
      </c>
      <c r="F346" s="16" t="str" cm="1">
        <f t="array" ref="F3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6" s="31" cm="1">
        <f t="array" ref="G3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6" s="33" t="str">
        <f>_xlfn.IFNA(IF(MOD(HLG_06[[#This Row],[Rit]],
    _xlfn.XLOOKUP($G$2,Int_Sample[Ore],Int_Sample[Inc])) = 0, "YES", "NO"),"")</f>
        <v/>
      </c>
      <c r="I346" s="32" t="str">
        <f>TEXT(HLG_06[[#This Row],[Batch]],"000")&amp; " / " &amp; TEXT(HLG_06[[#This Row],[Rit]],"000")</f>
        <v>N/A / 000</v>
      </c>
      <c r="J346" s="34"/>
      <c r="K346" s="38"/>
      <c r="L346" s="35"/>
      <c r="M346" s="66"/>
      <c r="N346" s="66"/>
      <c r="O346" s="66"/>
      <c r="P346" s="66"/>
      <c r="Q346" s="66"/>
      <c r="R346" s="67"/>
      <c r="S346" s="67"/>
      <c r="T346" s="67"/>
      <c r="U346" s="66"/>
      <c r="V346" s="66"/>
      <c r="W346" s="66"/>
      <c r="X346" s="85"/>
      <c r="AP346" t="str">
        <v/>
      </c>
    </row>
    <row r="347" spans="4:42" ht="15.75" x14ac:dyDescent="0.25">
      <c r="D347" s="3">
        <v>1</v>
      </c>
      <c r="F347" s="16" t="str" cm="1">
        <f t="array" ref="F3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7" s="31" cm="1">
        <f t="array" ref="G3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7" s="33" t="str">
        <f>_xlfn.IFNA(IF(MOD(HLG_06[[#This Row],[Rit]],
    _xlfn.XLOOKUP($G$2,Int_Sample[Ore],Int_Sample[Inc])) = 0, "YES", "NO"),"")</f>
        <v/>
      </c>
      <c r="I347" s="32" t="str">
        <f>TEXT(HLG_06[[#This Row],[Batch]],"000")&amp; " / " &amp; TEXT(HLG_06[[#This Row],[Rit]],"000")</f>
        <v>N/A / 000</v>
      </c>
      <c r="J347" s="34"/>
      <c r="K347" s="38"/>
      <c r="L347" s="35"/>
      <c r="M347" s="66"/>
      <c r="N347" s="66"/>
      <c r="O347" s="66"/>
      <c r="P347" s="66"/>
      <c r="Q347" s="66"/>
      <c r="R347" s="67"/>
      <c r="S347" s="67"/>
      <c r="T347" s="67"/>
      <c r="U347" s="66"/>
      <c r="V347" s="66"/>
      <c r="W347" s="66"/>
      <c r="X347" s="85"/>
      <c r="AP347" t="str">
        <v/>
      </c>
    </row>
    <row r="348" spans="4:42" ht="15.75" x14ac:dyDescent="0.25">
      <c r="D348" s="3">
        <v>1</v>
      </c>
      <c r="F348" s="16" t="str" cm="1">
        <f t="array" ref="F3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8" s="31" cm="1">
        <f t="array" ref="G3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8" s="33" t="str">
        <f>_xlfn.IFNA(IF(MOD(HLG_06[[#This Row],[Rit]],
    _xlfn.XLOOKUP($G$2,Int_Sample[Ore],Int_Sample[Inc])) = 0, "YES", "NO"),"")</f>
        <v/>
      </c>
      <c r="I348" s="32" t="str">
        <f>TEXT(HLG_06[[#This Row],[Batch]],"000")&amp; " / " &amp; TEXT(HLG_06[[#This Row],[Rit]],"000")</f>
        <v>N/A / 000</v>
      </c>
      <c r="J348" s="34"/>
      <c r="K348" s="38"/>
      <c r="L348" s="35"/>
      <c r="M348" s="66"/>
      <c r="N348" s="66"/>
      <c r="O348" s="66"/>
      <c r="P348" s="66"/>
      <c r="Q348" s="66"/>
      <c r="R348" s="67"/>
      <c r="S348" s="67"/>
      <c r="T348" s="67"/>
      <c r="U348" s="66"/>
      <c r="V348" s="66"/>
      <c r="W348" s="66"/>
      <c r="X348" s="85"/>
      <c r="AP348" t="str">
        <v/>
      </c>
    </row>
    <row r="349" spans="4:42" ht="15.75" x14ac:dyDescent="0.25">
      <c r="D349" s="3">
        <v>1</v>
      </c>
      <c r="F349" s="16" t="str" cm="1">
        <f t="array" ref="F3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49" s="31" cm="1">
        <f t="array" ref="G3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49" s="33" t="str">
        <f>_xlfn.IFNA(IF(MOD(HLG_06[[#This Row],[Rit]],
    _xlfn.XLOOKUP($G$2,Int_Sample[Ore],Int_Sample[Inc])) = 0, "YES", "NO"),"")</f>
        <v/>
      </c>
      <c r="I349" s="32" t="str">
        <f>TEXT(HLG_06[[#This Row],[Batch]],"000")&amp; " / " &amp; TEXT(HLG_06[[#This Row],[Rit]],"000")</f>
        <v>N/A / 000</v>
      </c>
      <c r="J349" s="34"/>
      <c r="K349" s="38"/>
      <c r="L349" s="35"/>
      <c r="M349" s="66"/>
      <c r="N349" s="66"/>
      <c r="O349" s="66"/>
      <c r="P349" s="66"/>
      <c r="Q349" s="66"/>
      <c r="R349" s="67"/>
      <c r="S349" s="67"/>
      <c r="T349" s="67"/>
      <c r="U349" s="66"/>
      <c r="V349" s="66"/>
      <c r="W349" s="66"/>
      <c r="X349" s="85"/>
      <c r="AP349" t="str">
        <v/>
      </c>
    </row>
    <row r="350" spans="4:42" ht="15.75" x14ac:dyDescent="0.25">
      <c r="D350" s="3">
        <v>1</v>
      </c>
      <c r="F350" s="16" t="str" cm="1">
        <f t="array" ref="F3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0" s="31" cm="1">
        <f t="array" ref="G3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0" s="33" t="str">
        <f>_xlfn.IFNA(IF(MOD(HLG_06[[#This Row],[Rit]],
    _xlfn.XLOOKUP($G$2,Int_Sample[Ore],Int_Sample[Inc])) = 0, "YES", "NO"),"")</f>
        <v/>
      </c>
      <c r="I350" s="32" t="str">
        <f>TEXT(HLG_06[[#This Row],[Batch]],"000")&amp; " / " &amp; TEXT(HLG_06[[#This Row],[Rit]],"000")</f>
        <v>N/A / 000</v>
      </c>
      <c r="J350" s="34"/>
      <c r="K350" s="38"/>
      <c r="L350" s="35"/>
      <c r="M350" s="66"/>
      <c r="N350" s="66"/>
      <c r="O350" s="66"/>
      <c r="P350" s="66"/>
      <c r="Q350" s="66"/>
      <c r="R350" s="67"/>
      <c r="S350" s="67"/>
      <c r="T350" s="67"/>
      <c r="U350" s="66"/>
      <c r="V350" s="66"/>
      <c r="W350" s="66"/>
      <c r="X350" s="85"/>
      <c r="AP350" t="str">
        <v/>
      </c>
    </row>
    <row r="351" spans="4:42" ht="15.75" x14ac:dyDescent="0.25">
      <c r="D351" s="3">
        <v>1</v>
      </c>
      <c r="F351" s="16" t="str" cm="1">
        <f t="array" ref="F3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1" s="31" cm="1">
        <f t="array" ref="G3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1" s="33" t="str">
        <f>_xlfn.IFNA(IF(MOD(HLG_06[[#This Row],[Rit]],
    _xlfn.XLOOKUP($G$2,Int_Sample[Ore],Int_Sample[Inc])) = 0, "YES", "NO"),"")</f>
        <v/>
      </c>
      <c r="I351" s="32" t="str">
        <f>TEXT(HLG_06[[#This Row],[Batch]],"000")&amp; " / " &amp; TEXT(HLG_06[[#This Row],[Rit]],"000")</f>
        <v>N/A / 000</v>
      </c>
      <c r="J351" s="34"/>
      <c r="K351" s="38"/>
      <c r="L351" s="35"/>
      <c r="M351" s="66"/>
      <c r="N351" s="66"/>
      <c r="O351" s="66"/>
      <c r="P351" s="66"/>
      <c r="Q351" s="66"/>
      <c r="R351" s="67"/>
      <c r="S351" s="67"/>
      <c r="T351" s="67"/>
      <c r="U351" s="66"/>
      <c r="V351" s="66"/>
      <c r="W351" s="66"/>
      <c r="X351" s="85"/>
      <c r="AP351" t="str">
        <v/>
      </c>
    </row>
    <row r="352" spans="4:42" ht="15.75" x14ac:dyDescent="0.25">
      <c r="D352" s="3">
        <v>1</v>
      </c>
      <c r="F352" s="16" t="str" cm="1">
        <f t="array" ref="F3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2" s="31" cm="1">
        <f t="array" ref="G3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2" s="33" t="str">
        <f>_xlfn.IFNA(IF(MOD(HLG_06[[#This Row],[Rit]],
    _xlfn.XLOOKUP($G$2,Int_Sample[Ore],Int_Sample[Inc])) = 0, "YES", "NO"),"")</f>
        <v/>
      </c>
      <c r="I352" s="32" t="str">
        <f>TEXT(HLG_06[[#This Row],[Batch]],"000")&amp; " / " &amp; TEXT(HLG_06[[#This Row],[Rit]],"000")</f>
        <v>N/A / 000</v>
      </c>
      <c r="J352" s="34"/>
      <c r="K352" s="38"/>
      <c r="L352" s="35"/>
      <c r="M352" s="66"/>
      <c r="N352" s="66"/>
      <c r="O352" s="66"/>
      <c r="P352" s="66"/>
      <c r="Q352" s="66"/>
      <c r="R352" s="67"/>
      <c r="S352" s="67"/>
      <c r="T352" s="67"/>
      <c r="U352" s="66"/>
      <c r="V352" s="66"/>
      <c r="W352" s="66"/>
      <c r="X352" s="85"/>
      <c r="AP352" t="str">
        <v/>
      </c>
    </row>
    <row r="353" spans="4:42" ht="15.75" x14ac:dyDescent="0.25">
      <c r="D353" s="3">
        <v>1</v>
      </c>
      <c r="F353" s="16" t="str" cm="1">
        <f t="array" ref="F3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3" s="31" cm="1">
        <f t="array" ref="G3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3" s="33" t="str">
        <f>_xlfn.IFNA(IF(MOD(HLG_06[[#This Row],[Rit]],
    _xlfn.XLOOKUP($G$2,Int_Sample[Ore],Int_Sample[Inc])) = 0, "YES", "NO"),"")</f>
        <v/>
      </c>
      <c r="I353" s="32" t="str">
        <f>TEXT(HLG_06[[#This Row],[Batch]],"000")&amp; " / " &amp; TEXT(HLG_06[[#This Row],[Rit]],"000")</f>
        <v>N/A / 000</v>
      </c>
      <c r="J353" s="34"/>
      <c r="K353" s="38"/>
      <c r="L353" s="35"/>
      <c r="M353" s="66"/>
      <c r="N353" s="66"/>
      <c r="O353" s="66"/>
      <c r="P353" s="66"/>
      <c r="Q353" s="66"/>
      <c r="R353" s="67"/>
      <c r="S353" s="67"/>
      <c r="T353" s="67"/>
      <c r="U353" s="66"/>
      <c r="V353" s="66"/>
      <c r="W353" s="66"/>
      <c r="X353" s="85"/>
      <c r="AP353" t="str">
        <v/>
      </c>
    </row>
    <row r="354" spans="4:42" ht="15.75" x14ac:dyDescent="0.25">
      <c r="D354" s="3">
        <v>1</v>
      </c>
      <c r="F354" s="16" t="str" cm="1">
        <f t="array" ref="F3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4" s="31" cm="1">
        <f t="array" ref="G3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4" s="33" t="str">
        <f>_xlfn.IFNA(IF(MOD(HLG_06[[#This Row],[Rit]],
    _xlfn.XLOOKUP($G$2,Int_Sample[Ore],Int_Sample[Inc])) = 0, "YES", "NO"),"")</f>
        <v/>
      </c>
      <c r="I354" s="32" t="str">
        <f>TEXT(HLG_06[[#This Row],[Batch]],"000")&amp; " / " &amp; TEXT(HLG_06[[#This Row],[Rit]],"000")</f>
        <v>N/A / 000</v>
      </c>
      <c r="J354" s="34"/>
      <c r="K354" s="38"/>
      <c r="L354" s="35"/>
      <c r="M354" s="66"/>
      <c r="N354" s="66"/>
      <c r="O354" s="66"/>
      <c r="P354" s="66"/>
      <c r="Q354" s="66"/>
      <c r="R354" s="67"/>
      <c r="S354" s="67"/>
      <c r="T354" s="67"/>
      <c r="U354" s="66"/>
      <c r="V354" s="66"/>
      <c r="W354" s="66"/>
      <c r="X354" s="85"/>
      <c r="AP354" t="str">
        <v/>
      </c>
    </row>
    <row r="355" spans="4:42" ht="15.75" x14ac:dyDescent="0.25">
      <c r="D355" s="3">
        <v>1</v>
      </c>
      <c r="F355" s="16" t="str" cm="1">
        <f t="array" ref="F3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5" s="31" cm="1">
        <f t="array" ref="G3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5" s="33" t="str">
        <f>_xlfn.IFNA(IF(MOD(HLG_06[[#This Row],[Rit]],
    _xlfn.XLOOKUP($G$2,Int_Sample[Ore],Int_Sample[Inc])) = 0, "YES", "NO"),"")</f>
        <v/>
      </c>
      <c r="I355" s="32" t="str">
        <f>TEXT(HLG_06[[#This Row],[Batch]],"000")&amp; " / " &amp; TEXT(HLG_06[[#This Row],[Rit]],"000")</f>
        <v>N/A / 000</v>
      </c>
      <c r="J355" s="34"/>
      <c r="K355" s="38"/>
      <c r="L355" s="35"/>
      <c r="M355" s="66"/>
      <c r="N355" s="66"/>
      <c r="O355" s="66"/>
      <c r="P355" s="66"/>
      <c r="Q355" s="66"/>
      <c r="R355" s="67"/>
      <c r="S355" s="67"/>
      <c r="T355" s="67"/>
      <c r="U355" s="66"/>
      <c r="V355" s="66"/>
      <c r="W355" s="66"/>
      <c r="X355" s="85"/>
      <c r="AP355" t="str">
        <v/>
      </c>
    </row>
    <row r="356" spans="4:42" ht="15.75" x14ac:dyDescent="0.25">
      <c r="D356" s="3">
        <v>1</v>
      </c>
      <c r="F356" s="16" t="str" cm="1">
        <f t="array" ref="F3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6" s="31" cm="1">
        <f t="array" ref="G3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6" s="33" t="str">
        <f>_xlfn.IFNA(IF(MOD(HLG_06[[#This Row],[Rit]],
    _xlfn.XLOOKUP($G$2,Int_Sample[Ore],Int_Sample[Inc])) = 0, "YES", "NO"),"")</f>
        <v/>
      </c>
      <c r="I356" s="32" t="str">
        <f>TEXT(HLG_06[[#This Row],[Batch]],"000")&amp; " / " &amp; TEXT(HLG_06[[#This Row],[Rit]],"000")</f>
        <v>N/A / 000</v>
      </c>
      <c r="J356" s="34"/>
      <c r="K356" s="38"/>
      <c r="L356" s="35"/>
      <c r="M356" s="66"/>
      <c r="N356" s="66"/>
      <c r="O356" s="66"/>
      <c r="P356" s="66"/>
      <c r="Q356" s="66"/>
      <c r="R356" s="67"/>
      <c r="S356" s="67"/>
      <c r="T356" s="67"/>
      <c r="U356" s="66"/>
      <c r="V356" s="66"/>
      <c r="W356" s="66"/>
      <c r="X356" s="85"/>
      <c r="AP356" t="str">
        <v/>
      </c>
    </row>
    <row r="357" spans="4:42" ht="15.75" x14ac:dyDescent="0.25">
      <c r="D357" s="3">
        <v>1</v>
      </c>
      <c r="F357" s="16" t="str" cm="1">
        <f t="array" ref="F3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7" s="31" cm="1">
        <f t="array" ref="G3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7" s="33" t="str">
        <f>_xlfn.IFNA(IF(MOD(HLG_06[[#This Row],[Rit]],
    _xlfn.XLOOKUP($G$2,Int_Sample[Ore],Int_Sample[Inc])) = 0, "YES", "NO"),"")</f>
        <v/>
      </c>
      <c r="I357" s="32" t="str">
        <f>TEXT(HLG_06[[#This Row],[Batch]],"000")&amp; " / " &amp; TEXT(HLG_06[[#This Row],[Rit]],"000")</f>
        <v>N/A / 000</v>
      </c>
      <c r="J357" s="34"/>
      <c r="K357" s="38"/>
      <c r="L357" s="35"/>
      <c r="M357" s="66"/>
      <c r="N357" s="66"/>
      <c r="O357" s="66"/>
      <c r="P357" s="66"/>
      <c r="Q357" s="66"/>
      <c r="R357" s="67"/>
      <c r="S357" s="67"/>
      <c r="T357" s="67"/>
      <c r="U357" s="66"/>
      <c r="V357" s="66"/>
      <c r="W357" s="66"/>
      <c r="X357" s="85"/>
      <c r="AP357" t="str">
        <v/>
      </c>
    </row>
    <row r="358" spans="4:42" ht="15.75" x14ac:dyDescent="0.25">
      <c r="D358" s="3">
        <v>1</v>
      </c>
      <c r="F358" s="16" t="str" cm="1">
        <f t="array" ref="F3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8" s="31" cm="1">
        <f t="array" ref="G3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8" s="33" t="str">
        <f>_xlfn.IFNA(IF(MOD(HLG_06[[#This Row],[Rit]],
    _xlfn.XLOOKUP($G$2,Int_Sample[Ore],Int_Sample[Inc])) = 0, "YES", "NO"),"")</f>
        <v/>
      </c>
      <c r="I358" s="32" t="str">
        <f>TEXT(HLG_06[[#This Row],[Batch]],"000")&amp; " / " &amp; TEXT(HLG_06[[#This Row],[Rit]],"000")</f>
        <v>N/A / 000</v>
      </c>
      <c r="J358" s="34"/>
      <c r="K358" s="38"/>
      <c r="L358" s="35"/>
      <c r="M358" s="66"/>
      <c r="N358" s="66"/>
      <c r="O358" s="66"/>
      <c r="P358" s="66"/>
      <c r="Q358" s="66"/>
      <c r="R358" s="67"/>
      <c r="S358" s="67"/>
      <c r="T358" s="67"/>
      <c r="U358" s="66"/>
      <c r="V358" s="66"/>
      <c r="W358" s="66"/>
      <c r="X358" s="85"/>
      <c r="AP358" t="str">
        <v/>
      </c>
    </row>
    <row r="359" spans="4:42" ht="15.75" x14ac:dyDescent="0.25">
      <c r="D359" s="3">
        <v>1</v>
      </c>
      <c r="F359" s="16" t="str" cm="1">
        <f t="array" ref="F3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59" s="31" cm="1">
        <f t="array" ref="G3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59" s="33" t="str">
        <f>_xlfn.IFNA(IF(MOD(HLG_06[[#This Row],[Rit]],
    _xlfn.XLOOKUP($G$2,Int_Sample[Ore],Int_Sample[Inc])) = 0, "YES", "NO"),"")</f>
        <v/>
      </c>
      <c r="I359" s="32" t="str">
        <f>TEXT(HLG_06[[#This Row],[Batch]],"000")&amp; " / " &amp; TEXT(HLG_06[[#This Row],[Rit]],"000")</f>
        <v>N/A / 000</v>
      </c>
      <c r="J359" s="34"/>
      <c r="K359" s="38"/>
      <c r="L359" s="35"/>
      <c r="M359" s="66"/>
      <c r="N359" s="66"/>
      <c r="O359" s="66"/>
      <c r="P359" s="66"/>
      <c r="Q359" s="66"/>
      <c r="R359" s="67"/>
      <c r="S359" s="67"/>
      <c r="T359" s="67"/>
      <c r="U359" s="66"/>
      <c r="V359" s="66"/>
      <c r="W359" s="66"/>
      <c r="X359" s="85"/>
      <c r="AP359" t="str">
        <v/>
      </c>
    </row>
    <row r="360" spans="4:42" ht="15.75" x14ac:dyDescent="0.25">
      <c r="D360" s="3">
        <v>1</v>
      </c>
      <c r="F360" s="16" t="str" cm="1">
        <f t="array" ref="F3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0" s="31" cm="1">
        <f t="array" ref="G3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0" s="33" t="str">
        <f>_xlfn.IFNA(IF(MOD(HLG_06[[#This Row],[Rit]],
    _xlfn.XLOOKUP($G$2,Int_Sample[Ore],Int_Sample[Inc])) = 0, "YES", "NO"),"")</f>
        <v/>
      </c>
      <c r="I360" s="32" t="str">
        <f>TEXT(HLG_06[[#This Row],[Batch]],"000")&amp; " / " &amp; TEXT(HLG_06[[#This Row],[Rit]],"000")</f>
        <v>N/A / 000</v>
      </c>
      <c r="J360" s="34"/>
      <c r="K360" s="38"/>
      <c r="L360" s="35"/>
      <c r="M360" s="66"/>
      <c r="N360" s="66"/>
      <c r="O360" s="66"/>
      <c r="P360" s="66"/>
      <c r="Q360" s="66"/>
      <c r="R360" s="67"/>
      <c r="S360" s="67"/>
      <c r="T360" s="67"/>
      <c r="U360" s="66"/>
      <c r="V360" s="66"/>
      <c r="W360" s="66"/>
      <c r="X360" s="85"/>
      <c r="AP360" t="str">
        <v/>
      </c>
    </row>
    <row r="361" spans="4:42" ht="15.75" x14ac:dyDescent="0.25">
      <c r="D361" s="3">
        <v>1</v>
      </c>
      <c r="F361" s="16" t="str" cm="1">
        <f t="array" ref="F3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1" s="31" cm="1">
        <f t="array" ref="G3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1" s="33" t="str">
        <f>_xlfn.IFNA(IF(MOD(HLG_06[[#This Row],[Rit]],
    _xlfn.XLOOKUP($G$2,Int_Sample[Ore],Int_Sample[Inc])) = 0, "YES", "NO"),"")</f>
        <v/>
      </c>
      <c r="I361" s="32" t="str">
        <f>TEXT(HLG_06[[#This Row],[Batch]],"000")&amp; " / " &amp; TEXT(HLG_06[[#This Row],[Rit]],"000")</f>
        <v>N/A / 000</v>
      </c>
      <c r="J361" s="34"/>
      <c r="K361" s="38"/>
      <c r="L361" s="35"/>
      <c r="M361" s="66"/>
      <c r="N361" s="66"/>
      <c r="O361" s="66"/>
      <c r="P361" s="66"/>
      <c r="Q361" s="66"/>
      <c r="R361" s="67"/>
      <c r="S361" s="67"/>
      <c r="T361" s="67"/>
      <c r="U361" s="66"/>
      <c r="V361" s="66"/>
      <c r="W361" s="66"/>
      <c r="X361" s="85"/>
      <c r="AP361" t="str">
        <v/>
      </c>
    </row>
    <row r="362" spans="4:42" ht="15.75" x14ac:dyDescent="0.25">
      <c r="D362" s="3">
        <v>1</v>
      </c>
      <c r="F362" s="16" t="str" cm="1">
        <f t="array" ref="F3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2" s="31" cm="1">
        <f t="array" ref="G3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2" s="33" t="str">
        <f>_xlfn.IFNA(IF(MOD(HLG_06[[#This Row],[Rit]],
    _xlfn.XLOOKUP($G$2,Int_Sample[Ore],Int_Sample[Inc])) = 0, "YES", "NO"),"")</f>
        <v/>
      </c>
      <c r="I362" s="32" t="str">
        <f>TEXT(HLG_06[[#This Row],[Batch]],"000")&amp; " / " &amp; TEXT(HLG_06[[#This Row],[Rit]],"000")</f>
        <v>N/A / 000</v>
      </c>
      <c r="J362" s="34"/>
      <c r="K362" s="38"/>
      <c r="L362" s="35"/>
      <c r="M362" s="66"/>
      <c r="N362" s="66"/>
      <c r="O362" s="66"/>
      <c r="P362" s="66"/>
      <c r="Q362" s="66"/>
      <c r="R362" s="67"/>
      <c r="S362" s="67"/>
      <c r="T362" s="67"/>
      <c r="U362" s="66"/>
      <c r="V362" s="66"/>
      <c r="W362" s="66"/>
      <c r="X362" s="85"/>
      <c r="AP362" t="str">
        <v/>
      </c>
    </row>
    <row r="363" spans="4:42" ht="15.75" x14ac:dyDescent="0.25">
      <c r="D363" s="3">
        <v>1</v>
      </c>
      <c r="F363" s="16" t="str" cm="1">
        <f t="array" ref="F3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3" s="31" cm="1">
        <f t="array" ref="G3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3" s="33" t="str">
        <f>_xlfn.IFNA(IF(MOD(HLG_06[[#This Row],[Rit]],
    _xlfn.XLOOKUP($G$2,Int_Sample[Ore],Int_Sample[Inc])) = 0, "YES", "NO"),"")</f>
        <v/>
      </c>
      <c r="I363" s="32" t="str">
        <f>TEXT(HLG_06[[#This Row],[Batch]],"000")&amp; " / " &amp; TEXT(HLG_06[[#This Row],[Rit]],"000")</f>
        <v>N/A / 000</v>
      </c>
      <c r="J363" s="34"/>
      <c r="K363" s="38"/>
      <c r="L363" s="35"/>
      <c r="M363" s="66"/>
      <c r="N363" s="66"/>
      <c r="O363" s="66"/>
      <c r="P363" s="66"/>
      <c r="Q363" s="66"/>
      <c r="R363" s="67"/>
      <c r="S363" s="67"/>
      <c r="T363" s="67"/>
      <c r="U363" s="66"/>
      <c r="V363" s="66"/>
      <c r="W363" s="66"/>
      <c r="X363" s="85"/>
      <c r="AP363" t="str">
        <v/>
      </c>
    </row>
    <row r="364" spans="4:42" ht="15.75" x14ac:dyDescent="0.25">
      <c r="D364" s="3">
        <v>1</v>
      </c>
      <c r="F364" s="16" t="str" cm="1">
        <f t="array" ref="F3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4" s="31" cm="1">
        <f t="array" ref="G3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4" s="33" t="str">
        <f>_xlfn.IFNA(IF(MOD(HLG_06[[#This Row],[Rit]],
    _xlfn.XLOOKUP($G$2,Int_Sample[Ore],Int_Sample[Inc])) = 0, "YES", "NO"),"")</f>
        <v/>
      </c>
      <c r="I364" s="32" t="str">
        <f>TEXT(HLG_06[[#This Row],[Batch]],"000")&amp; " / " &amp; TEXT(HLG_06[[#This Row],[Rit]],"000")</f>
        <v>N/A / 000</v>
      </c>
      <c r="J364" s="34"/>
      <c r="K364" s="38"/>
      <c r="L364" s="35"/>
      <c r="M364" s="66"/>
      <c r="N364" s="66"/>
      <c r="O364" s="66"/>
      <c r="P364" s="66"/>
      <c r="Q364" s="66"/>
      <c r="R364" s="67"/>
      <c r="S364" s="67"/>
      <c r="T364" s="67"/>
      <c r="U364" s="66"/>
      <c r="V364" s="66"/>
      <c r="W364" s="66"/>
      <c r="X364" s="85"/>
      <c r="AP364" t="str">
        <v/>
      </c>
    </row>
    <row r="365" spans="4:42" ht="15.75" x14ac:dyDescent="0.25">
      <c r="D365" s="3">
        <v>1</v>
      </c>
      <c r="F365" s="16" t="str" cm="1">
        <f t="array" ref="F3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5" s="31" cm="1">
        <f t="array" ref="G3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5" s="33" t="str">
        <f>_xlfn.IFNA(IF(MOD(HLG_06[[#This Row],[Rit]],
    _xlfn.XLOOKUP($G$2,Int_Sample[Ore],Int_Sample[Inc])) = 0, "YES", "NO"),"")</f>
        <v/>
      </c>
      <c r="I365" s="32" t="str">
        <f>TEXT(HLG_06[[#This Row],[Batch]],"000")&amp; " / " &amp; TEXT(HLG_06[[#This Row],[Rit]],"000")</f>
        <v>N/A / 000</v>
      </c>
      <c r="J365" s="34"/>
      <c r="K365" s="38"/>
      <c r="L365" s="35"/>
      <c r="M365" s="66"/>
      <c r="N365" s="66"/>
      <c r="O365" s="66"/>
      <c r="P365" s="66"/>
      <c r="Q365" s="66"/>
      <c r="R365" s="67"/>
      <c r="S365" s="67"/>
      <c r="T365" s="67"/>
      <c r="U365" s="66"/>
      <c r="V365" s="66"/>
      <c r="W365" s="66"/>
      <c r="X365" s="85"/>
      <c r="AP365" t="str">
        <v/>
      </c>
    </row>
    <row r="366" spans="4:42" ht="15.75" x14ac:dyDescent="0.25">
      <c r="D366" s="3">
        <v>1</v>
      </c>
      <c r="F366" s="16" t="str" cm="1">
        <f t="array" ref="F3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6" s="31" cm="1">
        <f t="array" ref="G3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6" s="33" t="str">
        <f>_xlfn.IFNA(IF(MOD(HLG_06[[#This Row],[Rit]],
    _xlfn.XLOOKUP($G$2,Int_Sample[Ore],Int_Sample[Inc])) = 0, "YES", "NO"),"")</f>
        <v/>
      </c>
      <c r="I366" s="32" t="str">
        <f>TEXT(HLG_06[[#This Row],[Batch]],"000")&amp; " / " &amp; TEXT(HLG_06[[#This Row],[Rit]],"000")</f>
        <v>N/A / 000</v>
      </c>
      <c r="J366" s="34"/>
      <c r="K366" s="38"/>
      <c r="L366" s="35"/>
      <c r="M366" s="66"/>
      <c r="N366" s="66"/>
      <c r="O366" s="66"/>
      <c r="P366" s="66"/>
      <c r="Q366" s="66"/>
      <c r="R366" s="67"/>
      <c r="S366" s="67"/>
      <c r="T366" s="67"/>
      <c r="U366" s="66"/>
      <c r="V366" s="66"/>
      <c r="W366" s="66"/>
      <c r="X366" s="85"/>
      <c r="AP366" t="str">
        <v/>
      </c>
    </row>
    <row r="367" spans="4:42" ht="15.75" x14ac:dyDescent="0.25">
      <c r="D367" s="3">
        <v>1</v>
      </c>
      <c r="F367" s="16" t="str" cm="1">
        <f t="array" ref="F3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7" s="31" cm="1">
        <f t="array" ref="G3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7" s="33" t="str">
        <f>_xlfn.IFNA(IF(MOD(HLG_06[[#This Row],[Rit]],
    _xlfn.XLOOKUP($G$2,Int_Sample[Ore],Int_Sample[Inc])) = 0, "YES", "NO"),"")</f>
        <v/>
      </c>
      <c r="I367" s="32" t="str">
        <f>TEXT(HLG_06[[#This Row],[Batch]],"000")&amp; " / " &amp; TEXT(HLG_06[[#This Row],[Rit]],"000")</f>
        <v>N/A / 000</v>
      </c>
      <c r="J367" s="34"/>
      <c r="K367" s="38"/>
      <c r="L367" s="35"/>
      <c r="M367" s="66"/>
      <c r="N367" s="66"/>
      <c r="O367" s="66"/>
      <c r="P367" s="66"/>
      <c r="Q367" s="66"/>
      <c r="R367" s="67"/>
      <c r="S367" s="67"/>
      <c r="T367" s="67"/>
      <c r="U367" s="66"/>
      <c r="V367" s="66"/>
      <c r="W367" s="66"/>
      <c r="X367" s="85"/>
      <c r="AP367" t="str">
        <v/>
      </c>
    </row>
    <row r="368" spans="4:42" ht="15.75" x14ac:dyDescent="0.25">
      <c r="D368" s="3">
        <v>1</v>
      </c>
      <c r="F368" s="16" t="str" cm="1">
        <f t="array" ref="F3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8" s="31" cm="1">
        <f t="array" ref="G3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8" s="33" t="str">
        <f>_xlfn.IFNA(IF(MOD(HLG_06[[#This Row],[Rit]],
    _xlfn.XLOOKUP($G$2,Int_Sample[Ore],Int_Sample[Inc])) = 0, "YES", "NO"),"")</f>
        <v/>
      </c>
      <c r="I368" s="32" t="str">
        <f>TEXT(HLG_06[[#This Row],[Batch]],"000")&amp; " / " &amp; TEXT(HLG_06[[#This Row],[Rit]],"000")</f>
        <v>N/A / 000</v>
      </c>
      <c r="J368" s="34"/>
      <c r="K368" s="38"/>
      <c r="L368" s="35"/>
      <c r="M368" s="66"/>
      <c r="N368" s="66"/>
      <c r="O368" s="66"/>
      <c r="P368" s="66"/>
      <c r="Q368" s="66"/>
      <c r="R368" s="67"/>
      <c r="S368" s="67"/>
      <c r="T368" s="67"/>
      <c r="U368" s="66"/>
      <c r="V368" s="66"/>
      <c r="W368" s="66"/>
      <c r="X368" s="85"/>
      <c r="AP368" t="str">
        <v/>
      </c>
    </row>
    <row r="369" spans="4:42" ht="15.75" x14ac:dyDescent="0.25">
      <c r="D369" s="3">
        <v>1</v>
      </c>
      <c r="F369" s="16" t="str" cm="1">
        <f t="array" ref="F3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69" s="31" cm="1">
        <f t="array" ref="G3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69" s="33" t="str">
        <f>_xlfn.IFNA(IF(MOD(HLG_06[[#This Row],[Rit]],
    _xlfn.XLOOKUP($G$2,Int_Sample[Ore],Int_Sample[Inc])) = 0, "YES", "NO"),"")</f>
        <v/>
      </c>
      <c r="I369" s="32" t="str">
        <f>TEXT(HLG_06[[#This Row],[Batch]],"000")&amp; " / " &amp; TEXT(HLG_06[[#This Row],[Rit]],"000")</f>
        <v>N/A / 000</v>
      </c>
      <c r="J369" s="34"/>
      <c r="K369" s="38"/>
      <c r="L369" s="35"/>
      <c r="M369" s="66"/>
      <c r="N369" s="66"/>
      <c r="O369" s="66"/>
      <c r="P369" s="66"/>
      <c r="Q369" s="66"/>
      <c r="R369" s="67"/>
      <c r="S369" s="67"/>
      <c r="T369" s="67"/>
      <c r="U369" s="66"/>
      <c r="V369" s="66"/>
      <c r="W369" s="66"/>
      <c r="X369" s="85"/>
      <c r="AP369" t="str">
        <v/>
      </c>
    </row>
    <row r="370" spans="4:42" ht="15.75" x14ac:dyDescent="0.25">
      <c r="D370" s="3">
        <v>1</v>
      </c>
      <c r="F370" s="16" t="str" cm="1">
        <f t="array" ref="F3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0" s="31" cm="1">
        <f t="array" ref="G3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0" s="33" t="str">
        <f>_xlfn.IFNA(IF(MOD(HLG_06[[#This Row],[Rit]],
    _xlfn.XLOOKUP($G$2,Int_Sample[Ore],Int_Sample[Inc])) = 0, "YES", "NO"),"")</f>
        <v/>
      </c>
      <c r="I370" s="32" t="str">
        <f>TEXT(HLG_06[[#This Row],[Batch]],"000")&amp; " / " &amp; TEXT(HLG_06[[#This Row],[Rit]],"000")</f>
        <v>N/A / 000</v>
      </c>
      <c r="J370" s="34"/>
      <c r="K370" s="38"/>
      <c r="L370" s="35"/>
      <c r="M370" s="66"/>
      <c r="N370" s="66"/>
      <c r="O370" s="66"/>
      <c r="P370" s="66"/>
      <c r="Q370" s="66"/>
      <c r="R370" s="67"/>
      <c r="S370" s="67"/>
      <c r="T370" s="67"/>
      <c r="U370" s="66"/>
      <c r="V370" s="66"/>
      <c r="W370" s="66"/>
      <c r="X370" s="85"/>
      <c r="AP370" t="str">
        <v/>
      </c>
    </row>
    <row r="371" spans="4:42" ht="15.75" x14ac:dyDescent="0.25">
      <c r="D371" s="3">
        <v>1</v>
      </c>
      <c r="F371" s="16" t="str" cm="1">
        <f t="array" ref="F3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1" s="31" cm="1">
        <f t="array" ref="G3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1" s="33" t="str">
        <f>_xlfn.IFNA(IF(MOD(HLG_06[[#This Row],[Rit]],
    _xlfn.XLOOKUP($G$2,Int_Sample[Ore],Int_Sample[Inc])) = 0, "YES", "NO"),"")</f>
        <v/>
      </c>
      <c r="I371" s="32" t="str">
        <f>TEXT(HLG_06[[#This Row],[Batch]],"000")&amp; " / " &amp; TEXT(HLG_06[[#This Row],[Rit]],"000")</f>
        <v>N/A / 000</v>
      </c>
      <c r="J371" s="34"/>
      <c r="K371" s="38"/>
      <c r="L371" s="35"/>
      <c r="M371" s="66"/>
      <c r="N371" s="66"/>
      <c r="O371" s="66"/>
      <c r="P371" s="66"/>
      <c r="Q371" s="66"/>
      <c r="R371" s="67"/>
      <c r="S371" s="67"/>
      <c r="T371" s="67"/>
      <c r="U371" s="66"/>
      <c r="V371" s="66"/>
      <c r="W371" s="66"/>
      <c r="X371" s="85"/>
      <c r="AP371" t="str">
        <v/>
      </c>
    </row>
    <row r="372" spans="4:42" ht="15.75" x14ac:dyDescent="0.25">
      <c r="D372" s="3">
        <v>1</v>
      </c>
      <c r="F372" s="16" t="str" cm="1">
        <f t="array" ref="F3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2" s="31" cm="1">
        <f t="array" ref="G3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2" s="33" t="str">
        <f>_xlfn.IFNA(IF(MOD(HLG_06[[#This Row],[Rit]],
    _xlfn.XLOOKUP($G$2,Int_Sample[Ore],Int_Sample[Inc])) = 0, "YES", "NO"),"")</f>
        <v/>
      </c>
      <c r="I372" s="32" t="str">
        <f>TEXT(HLG_06[[#This Row],[Batch]],"000")&amp; " / " &amp; TEXT(HLG_06[[#This Row],[Rit]],"000")</f>
        <v>N/A / 000</v>
      </c>
      <c r="J372" s="34"/>
      <c r="K372" s="38"/>
      <c r="L372" s="35"/>
      <c r="M372" s="66"/>
      <c r="N372" s="66"/>
      <c r="O372" s="66"/>
      <c r="P372" s="66"/>
      <c r="Q372" s="66"/>
      <c r="R372" s="67"/>
      <c r="S372" s="67"/>
      <c r="T372" s="67"/>
      <c r="U372" s="66"/>
      <c r="V372" s="66"/>
      <c r="W372" s="66"/>
      <c r="X372" s="85"/>
      <c r="AP372" t="str">
        <v/>
      </c>
    </row>
    <row r="373" spans="4:42" ht="15.75" x14ac:dyDescent="0.25">
      <c r="D373" s="3">
        <v>1</v>
      </c>
      <c r="F373" s="16" t="str" cm="1">
        <f t="array" ref="F3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3" s="31" cm="1">
        <f t="array" ref="G3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3" s="33" t="str">
        <f>_xlfn.IFNA(IF(MOD(HLG_06[[#This Row],[Rit]],
    _xlfn.XLOOKUP($G$2,Int_Sample[Ore],Int_Sample[Inc])) = 0, "YES", "NO"),"")</f>
        <v/>
      </c>
      <c r="I373" s="32" t="str">
        <f>TEXT(HLG_06[[#This Row],[Batch]],"000")&amp; " / " &amp; TEXT(HLG_06[[#This Row],[Rit]],"000")</f>
        <v>N/A / 000</v>
      </c>
      <c r="J373" s="34"/>
      <c r="K373" s="38"/>
      <c r="L373" s="35"/>
      <c r="M373" s="66"/>
      <c r="N373" s="66"/>
      <c r="O373" s="66"/>
      <c r="P373" s="66"/>
      <c r="Q373" s="66"/>
      <c r="R373" s="67"/>
      <c r="S373" s="67"/>
      <c r="T373" s="67"/>
      <c r="U373" s="66"/>
      <c r="V373" s="66"/>
      <c r="W373" s="66"/>
      <c r="X373" s="85"/>
      <c r="AP373" t="str">
        <v/>
      </c>
    </row>
    <row r="374" spans="4:42" ht="15.75" x14ac:dyDescent="0.25">
      <c r="D374" s="3">
        <v>1</v>
      </c>
      <c r="F374" s="16" t="str" cm="1">
        <f t="array" ref="F3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4" s="31" cm="1">
        <f t="array" ref="G3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4" s="33" t="str">
        <f>_xlfn.IFNA(IF(MOD(HLG_06[[#This Row],[Rit]],
    _xlfn.XLOOKUP($G$2,Int_Sample[Ore],Int_Sample[Inc])) = 0, "YES", "NO"),"")</f>
        <v/>
      </c>
      <c r="I374" s="32" t="str">
        <f>TEXT(HLG_06[[#This Row],[Batch]],"000")&amp; " / " &amp; TEXT(HLG_06[[#This Row],[Rit]],"000")</f>
        <v>N/A / 000</v>
      </c>
      <c r="J374" s="34"/>
      <c r="K374" s="38"/>
      <c r="L374" s="35"/>
      <c r="M374" s="66"/>
      <c r="N374" s="66"/>
      <c r="O374" s="66"/>
      <c r="P374" s="66"/>
      <c r="Q374" s="66"/>
      <c r="R374" s="67"/>
      <c r="S374" s="67"/>
      <c r="T374" s="67"/>
      <c r="U374" s="66"/>
      <c r="V374" s="66"/>
      <c r="W374" s="66"/>
      <c r="X374" s="85"/>
      <c r="AP374" t="str">
        <v/>
      </c>
    </row>
    <row r="375" spans="4:42" ht="15.75" x14ac:dyDescent="0.25">
      <c r="D375" s="3">
        <v>1</v>
      </c>
      <c r="F375" s="16" t="str" cm="1">
        <f t="array" ref="F3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5" s="31" cm="1">
        <f t="array" ref="G3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5" s="33" t="str">
        <f>_xlfn.IFNA(IF(MOD(HLG_06[[#This Row],[Rit]],
    _xlfn.XLOOKUP($G$2,Int_Sample[Ore],Int_Sample[Inc])) = 0, "YES", "NO"),"")</f>
        <v/>
      </c>
      <c r="I375" s="32" t="str">
        <f>TEXT(HLG_06[[#This Row],[Batch]],"000")&amp; " / " &amp; TEXT(HLG_06[[#This Row],[Rit]],"000")</f>
        <v>N/A / 000</v>
      </c>
      <c r="J375" s="34"/>
      <c r="K375" s="38"/>
      <c r="L375" s="35"/>
      <c r="M375" s="66"/>
      <c r="N375" s="66"/>
      <c r="O375" s="66"/>
      <c r="P375" s="66"/>
      <c r="Q375" s="66"/>
      <c r="R375" s="67"/>
      <c r="S375" s="67"/>
      <c r="T375" s="67"/>
      <c r="U375" s="66"/>
      <c r="V375" s="66"/>
      <c r="W375" s="66"/>
      <c r="X375" s="85"/>
      <c r="AP375" t="str">
        <v/>
      </c>
    </row>
    <row r="376" spans="4:42" ht="15.75" x14ac:dyDescent="0.25">
      <c r="D376" s="3">
        <v>1</v>
      </c>
      <c r="F376" s="16" t="str" cm="1">
        <f t="array" ref="F3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6" s="31" cm="1">
        <f t="array" ref="G3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6" s="33" t="str">
        <f>_xlfn.IFNA(IF(MOD(HLG_06[[#This Row],[Rit]],
    _xlfn.XLOOKUP($G$2,Int_Sample[Ore],Int_Sample[Inc])) = 0, "YES", "NO"),"")</f>
        <v/>
      </c>
      <c r="I376" s="32" t="str">
        <f>TEXT(HLG_06[[#This Row],[Batch]],"000")&amp; " / " &amp; TEXT(HLG_06[[#This Row],[Rit]],"000")</f>
        <v>N/A / 000</v>
      </c>
      <c r="J376" s="34"/>
      <c r="K376" s="38"/>
      <c r="L376" s="35"/>
      <c r="M376" s="66"/>
      <c r="N376" s="66"/>
      <c r="O376" s="66"/>
      <c r="P376" s="66"/>
      <c r="Q376" s="66"/>
      <c r="R376" s="67"/>
      <c r="S376" s="67"/>
      <c r="T376" s="67"/>
      <c r="U376" s="66"/>
      <c r="V376" s="66"/>
      <c r="W376" s="66"/>
      <c r="X376" s="85"/>
      <c r="AP376" t="str">
        <v/>
      </c>
    </row>
    <row r="377" spans="4:42" ht="15.75" x14ac:dyDescent="0.25">
      <c r="D377" s="3">
        <v>1</v>
      </c>
      <c r="F377" s="16" t="str" cm="1">
        <f t="array" ref="F3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7" s="31" cm="1">
        <f t="array" ref="G3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7" s="33" t="str">
        <f>_xlfn.IFNA(IF(MOD(HLG_06[[#This Row],[Rit]],
    _xlfn.XLOOKUP($G$2,Int_Sample[Ore],Int_Sample[Inc])) = 0, "YES", "NO"),"")</f>
        <v/>
      </c>
      <c r="I377" s="32" t="str">
        <f>TEXT(HLG_06[[#This Row],[Batch]],"000")&amp; " / " &amp; TEXT(HLG_06[[#This Row],[Rit]],"000")</f>
        <v>N/A / 000</v>
      </c>
      <c r="J377" s="34"/>
      <c r="K377" s="38"/>
      <c r="L377" s="35"/>
      <c r="M377" s="66"/>
      <c r="N377" s="66"/>
      <c r="O377" s="66"/>
      <c r="P377" s="66"/>
      <c r="Q377" s="66"/>
      <c r="R377" s="67"/>
      <c r="S377" s="67"/>
      <c r="T377" s="67"/>
      <c r="U377" s="66"/>
      <c r="V377" s="66"/>
      <c r="W377" s="66"/>
      <c r="X377" s="85"/>
      <c r="AP377" t="str">
        <v/>
      </c>
    </row>
    <row r="378" spans="4:42" ht="15.75" x14ac:dyDescent="0.25">
      <c r="D378" s="3">
        <v>1</v>
      </c>
      <c r="F378" s="16" t="str" cm="1">
        <f t="array" ref="F3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8" s="31" cm="1">
        <f t="array" ref="G3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8" s="33" t="str">
        <f>_xlfn.IFNA(IF(MOD(HLG_06[[#This Row],[Rit]],
    _xlfn.XLOOKUP($G$2,Int_Sample[Ore],Int_Sample[Inc])) = 0, "YES", "NO"),"")</f>
        <v/>
      </c>
      <c r="I378" s="32" t="str">
        <f>TEXT(HLG_06[[#This Row],[Batch]],"000")&amp; " / " &amp; TEXT(HLG_06[[#This Row],[Rit]],"000")</f>
        <v>N/A / 000</v>
      </c>
      <c r="J378" s="34"/>
      <c r="K378" s="38"/>
      <c r="L378" s="35"/>
      <c r="M378" s="66"/>
      <c r="N378" s="66"/>
      <c r="O378" s="66"/>
      <c r="P378" s="66"/>
      <c r="Q378" s="66"/>
      <c r="R378" s="67"/>
      <c r="S378" s="67"/>
      <c r="T378" s="67"/>
      <c r="U378" s="66"/>
      <c r="V378" s="66"/>
      <c r="W378" s="66"/>
      <c r="X378" s="85"/>
      <c r="AP378" t="str">
        <v/>
      </c>
    </row>
    <row r="379" spans="4:42" ht="15.75" x14ac:dyDescent="0.25">
      <c r="D379" s="3">
        <v>1</v>
      </c>
      <c r="F379" s="16" t="str" cm="1">
        <f t="array" ref="F3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79" s="31" cm="1">
        <f t="array" ref="G3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79" s="33" t="str">
        <f>_xlfn.IFNA(IF(MOD(HLG_06[[#This Row],[Rit]],
    _xlfn.XLOOKUP($G$2,Int_Sample[Ore],Int_Sample[Inc])) = 0, "YES", "NO"),"")</f>
        <v/>
      </c>
      <c r="I379" s="32" t="str">
        <f>TEXT(HLG_06[[#This Row],[Batch]],"000")&amp; " / " &amp; TEXT(HLG_06[[#This Row],[Rit]],"000")</f>
        <v>N/A / 000</v>
      </c>
      <c r="J379" s="34"/>
      <c r="K379" s="38"/>
      <c r="L379" s="35"/>
      <c r="M379" s="66"/>
      <c r="N379" s="66"/>
      <c r="O379" s="66"/>
      <c r="P379" s="66"/>
      <c r="Q379" s="66"/>
      <c r="R379" s="67"/>
      <c r="S379" s="67"/>
      <c r="T379" s="67"/>
      <c r="U379" s="66"/>
      <c r="V379" s="66"/>
      <c r="W379" s="66"/>
      <c r="X379" s="85"/>
      <c r="AP379" t="str">
        <v/>
      </c>
    </row>
    <row r="380" spans="4:42" ht="15.75" x14ac:dyDescent="0.25">
      <c r="D380" s="3">
        <v>1</v>
      </c>
      <c r="F380" s="16" t="str" cm="1">
        <f t="array" ref="F3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0" s="31" cm="1">
        <f t="array" ref="G3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0" s="33" t="str">
        <f>_xlfn.IFNA(IF(MOD(HLG_06[[#This Row],[Rit]],
    _xlfn.XLOOKUP($G$2,Int_Sample[Ore],Int_Sample[Inc])) = 0, "YES", "NO"),"")</f>
        <v/>
      </c>
      <c r="I380" s="32" t="str">
        <f>TEXT(HLG_06[[#This Row],[Batch]],"000")&amp; " / " &amp; TEXT(HLG_06[[#This Row],[Rit]],"000")</f>
        <v>N/A / 000</v>
      </c>
      <c r="J380" s="34"/>
      <c r="K380" s="38"/>
      <c r="L380" s="35"/>
      <c r="M380" s="66"/>
      <c r="N380" s="66"/>
      <c r="O380" s="66"/>
      <c r="P380" s="66"/>
      <c r="Q380" s="66"/>
      <c r="R380" s="67"/>
      <c r="S380" s="67"/>
      <c r="T380" s="67"/>
      <c r="U380" s="66"/>
      <c r="V380" s="66"/>
      <c r="W380" s="66"/>
      <c r="X380" s="85"/>
      <c r="AP380" t="str">
        <v/>
      </c>
    </row>
    <row r="381" spans="4:42" ht="15.75" x14ac:dyDescent="0.25">
      <c r="D381" s="3">
        <v>1</v>
      </c>
      <c r="F381" s="16" t="str" cm="1">
        <f t="array" ref="F3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1" s="31" cm="1">
        <f t="array" ref="G3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1" s="33" t="str">
        <f>_xlfn.IFNA(IF(MOD(HLG_06[[#This Row],[Rit]],
    _xlfn.XLOOKUP($G$2,Int_Sample[Ore],Int_Sample[Inc])) = 0, "YES", "NO"),"")</f>
        <v/>
      </c>
      <c r="I381" s="32" t="str">
        <f>TEXT(HLG_06[[#This Row],[Batch]],"000")&amp; " / " &amp; TEXT(HLG_06[[#This Row],[Rit]],"000")</f>
        <v>N/A / 000</v>
      </c>
      <c r="J381" s="34"/>
      <c r="K381" s="38"/>
      <c r="L381" s="35"/>
      <c r="M381" s="66"/>
      <c r="N381" s="66"/>
      <c r="O381" s="66"/>
      <c r="P381" s="66"/>
      <c r="Q381" s="66"/>
      <c r="R381" s="67"/>
      <c r="S381" s="67"/>
      <c r="T381" s="67"/>
      <c r="U381" s="66"/>
      <c r="V381" s="66"/>
      <c r="W381" s="66"/>
      <c r="X381" s="85"/>
      <c r="AP381" t="str">
        <v/>
      </c>
    </row>
    <row r="382" spans="4:42" ht="15.75" x14ac:dyDescent="0.25">
      <c r="D382" s="3">
        <v>1</v>
      </c>
      <c r="F382" s="16" t="str" cm="1">
        <f t="array" ref="F3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2" s="31" cm="1">
        <f t="array" ref="G3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2" s="33" t="str">
        <f>_xlfn.IFNA(IF(MOD(HLG_06[[#This Row],[Rit]],
    _xlfn.XLOOKUP($G$2,Int_Sample[Ore],Int_Sample[Inc])) = 0, "YES", "NO"),"")</f>
        <v/>
      </c>
      <c r="I382" s="32" t="str">
        <f>TEXT(HLG_06[[#This Row],[Batch]],"000")&amp; " / " &amp; TEXT(HLG_06[[#This Row],[Rit]],"000")</f>
        <v>N/A / 000</v>
      </c>
      <c r="J382" s="34"/>
      <c r="K382" s="38"/>
      <c r="L382" s="35"/>
      <c r="M382" s="66"/>
      <c r="N382" s="66"/>
      <c r="O382" s="66"/>
      <c r="P382" s="66"/>
      <c r="Q382" s="66"/>
      <c r="R382" s="67"/>
      <c r="S382" s="67"/>
      <c r="T382" s="67"/>
      <c r="U382" s="66"/>
      <c r="V382" s="66"/>
      <c r="W382" s="66"/>
      <c r="X382" s="85"/>
      <c r="AP382" t="str">
        <v/>
      </c>
    </row>
    <row r="383" spans="4:42" ht="15.75" x14ac:dyDescent="0.25">
      <c r="D383" s="3">
        <v>1</v>
      </c>
      <c r="F383" s="16" t="str" cm="1">
        <f t="array" ref="F3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3" s="31" cm="1">
        <f t="array" ref="G3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3" s="33" t="str">
        <f>_xlfn.IFNA(IF(MOD(HLG_06[[#This Row],[Rit]],
    _xlfn.XLOOKUP($G$2,Int_Sample[Ore],Int_Sample[Inc])) = 0, "YES", "NO"),"")</f>
        <v/>
      </c>
      <c r="I383" s="32" t="str">
        <f>TEXT(HLG_06[[#This Row],[Batch]],"000")&amp; " / " &amp; TEXT(HLG_06[[#This Row],[Rit]],"000")</f>
        <v>N/A / 000</v>
      </c>
      <c r="J383" s="34"/>
      <c r="K383" s="38"/>
      <c r="L383" s="35"/>
      <c r="M383" s="66"/>
      <c r="N383" s="66"/>
      <c r="O383" s="66"/>
      <c r="P383" s="66"/>
      <c r="Q383" s="66"/>
      <c r="R383" s="67"/>
      <c r="S383" s="67"/>
      <c r="T383" s="67"/>
      <c r="U383" s="66"/>
      <c r="V383" s="66"/>
      <c r="W383" s="66"/>
      <c r="X383" s="85"/>
      <c r="AP383" t="str">
        <v/>
      </c>
    </row>
    <row r="384" spans="4:42" ht="15.75" x14ac:dyDescent="0.25">
      <c r="D384" s="3">
        <v>1</v>
      </c>
      <c r="F384" s="16" t="str" cm="1">
        <f t="array" ref="F3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4" s="31" cm="1">
        <f t="array" ref="G3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4" s="33" t="str">
        <f>_xlfn.IFNA(IF(MOD(HLG_06[[#This Row],[Rit]],
    _xlfn.XLOOKUP($G$2,Int_Sample[Ore],Int_Sample[Inc])) = 0, "YES", "NO"),"")</f>
        <v/>
      </c>
      <c r="I384" s="32" t="str">
        <f>TEXT(HLG_06[[#This Row],[Batch]],"000")&amp; " / " &amp; TEXT(HLG_06[[#This Row],[Rit]],"000")</f>
        <v>N/A / 000</v>
      </c>
      <c r="J384" s="34"/>
      <c r="K384" s="38"/>
      <c r="L384" s="35"/>
      <c r="M384" s="66"/>
      <c r="N384" s="66"/>
      <c r="O384" s="66"/>
      <c r="P384" s="66"/>
      <c r="Q384" s="66"/>
      <c r="R384" s="67"/>
      <c r="S384" s="67"/>
      <c r="T384" s="67"/>
      <c r="U384" s="66"/>
      <c r="V384" s="66"/>
      <c r="W384" s="66"/>
      <c r="X384" s="85"/>
      <c r="AP384" t="str">
        <v/>
      </c>
    </row>
    <row r="385" spans="4:42" ht="15.75" x14ac:dyDescent="0.25">
      <c r="D385" s="3">
        <v>1</v>
      </c>
      <c r="F385" s="16" t="str" cm="1">
        <f t="array" ref="F3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5" s="31" cm="1">
        <f t="array" ref="G3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5" s="33" t="str">
        <f>_xlfn.IFNA(IF(MOD(HLG_06[[#This Row],[Rit]],
    _xlfn.XLOOKUP($G$2,Int_Sample[Ore],Int_Sample[Inc])) = 0, "YES", "NO"),"")</f>
        <v/>
      </c>
      <c r="I385" s="32" t="str">
        <f>TEXT(HLG_06[[#This Row],[Batch]],"000")&amp; " / " &amp; TEXT(HLG_06[[#This Row],[Rit]],"000")</f>
        <v>N/A / 000</v>
      </c>
      <c r="J385" s="34"/>
      <c r="K385" s="38"/>
      <c r="L385" s="35"/>
      <c r="M385" s="66"/>
      <c r="N385" s="66"/>
      <c r="O385" s="66"/>
      <c r="P385" s="66"/>
      <c r="Q385" s="66"/>
      <c r="R385" s="67"/>
      <c r="S385" s="67"/>
      <c r="T385" s="67"/>
      <c r="U385" s="66"/>
      <c r="V385" s="66"/>
      <c r="W385" s="66"/>
      <c r="X385" s="85"/>
      <c r="AP385" t="str">
        <v/>
      </c>
    </row>
    <row r="386" spans="4:42" ht="15.75" x14ac:dyDescent="0.25">
      <c r="D386" s="3">
        <v>1</v>
      </c>
      <c r="F386" s="16" t="str" cm="1">
        <f t="array" ref="F3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6" s="31" cm="1">
        <f t="array" ref="G3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6" s="33" t="str">
        <f>_xlfn.IFNA(IF(MOD(HLG_06[[#This Row],[Rit]],
    _xlfn.XLOOKUP($G$2,Int_Sample[Ore],Int_Sample[Inc])) = 0, "YES", "NO"),"")</f>
        <v/>
      </c>
      <c r="I386" s="32" t="str">
        <f>TEXT(HLG_06[[#This Row],[Batch]],"000")&amp; " / " &amp; TEXT(HLG_06[[#This Row],[Rit]],"000")</f>
        <v>N/A / 000</v>
      </c>
      <c r="J386" s="34"/>
      <c r="K386" s="38"/>
      <c r="L386" s="35"/>
      <c r="M386" s="66"/>
      <c r="N386" s="66"/>
      <c r="O386" s="66"/>
      <c r="P386" s="66"/>
      <c r="Q386" s="66"/>
      <c r="R386" s="67"/>
      <c r="S386" s="67"/>
      <c r="T386" s="67"/>
      <c r="U386" s="66"/>
      <c r="V386" s="66"/>
      <c r="W386" s="66"/>
      <c r="X386" s="85"/>
      <c r="AP386" t="str">
        <v/>
      </c>
    </row>
    <row r="387" spans="4:42" ht="15.75" x14ac:dyDescent="0.25">
      <c r="D387" s="3">
        <v>1</v>
      </c>
      <c r="F387" s="16" t="str" cm="1">
        <f t="array" ref="F3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7" s="31" cm="1">
        <f t="array" ref="G3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7" s="33" t="str">
        <f>_xlfn.IFNA(IF(MOD(HLG_06[[#This Row],[Rit]],
    _xlfn.XLOOKUP($G$2,Int_Sample[Ore],Int_Sample[Inc])) = 0, "YES", "NO"),"")</f>
        <v/>
      </c>
      <c r="I387" s="32" t="str">
        <f>TEXT(HLG_06[[#This Row],[Batch]],"000")&amp; " / " &amp; TEXT(HLG_06[[#This Row],[Rit]],"000")</f>
        <v>N/A / 000</v>
      </c>
      <c r="J387" s="34"/>
      <c r="K387" s="38"/>
      <c r="L387" s="35"/>
      <c r="M387" s="66"/>
      <c r="N387" s="66"/>
      <c r="O387" s="66"/>
      <c r="P387" s="66"/>
      <c r="Q387" s="66"/>
      <c r="R387" s="67"/>
      <c r="S387" s="67"/>
      <c r="T387" s="67"/>
      <c r="U387" s="66"/>
      <c r="V387" s="66"/>
      <c r="W387" s="66"/>
      <c r="X387" s="85"/>
      <c r="AP387" t="str">
        <v/>
      </c>
    </row>
    <row r="388" spans="4:42" ht="15.75" x14ac:dyDescent="0.25">
      <c r="D388" s="3">
        <v>1</v>
      </c>
      <c r="F388" s="16" t="str" cm="1">
        <f t="array" ref="F3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8" s="31" cm="1">
        <f t="array" ref="G3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8" s="33" t="str">
        <f>_xlfn.IFNA(IF(MOD(HLG_06[[#This Row],[Rit]],
    _xlfn.XLOOKUP($G$2,Int_Sample[Ore],Int_Sample[Inc])) = 0, "YES", "NO"),"")</f>
        <v/>
      </c>
      <c r="I388" s="32" t="str">
        <f>TEXT(HLG_06[[#This Row],[Batch]],"000")&amp; " / " &amp; TEXT(HLG_06[[#This Row],[Rit]],"000")</f>
        <v>N/A / 000</v>
      </c>
      <c r="J388" s="34"/>
      <c r="K388" s="38"/>
      <c r="L388" s="35"/>
      <c r="M388" s="66"/>
      <c r="N388" s="66"/>
      <c r="O388" s="66"/>
      <c r="P388" s="66"/>
      <c r="Q388" s="66"/>
      <c r="R388" s="67"/>
      <c r="S388" s="67"/>
      <c r="T388" s="67"/>
      <c r="U388" s="66"/>
      <c r="V388" s="66"/>
      <c r="W388" s="66"/>
      <c r="X388" s="85"/>
      <c r="AP388" t="str">
        <v/>
      </c>
    </row>
    <row r="389" spans="4:42" ht="15.75" x14ac:dyDescent="0.25">
      <c r="D389" s="3">
        <v>1</v>
      </c>
      <c r="F389" s="16" t="str" cm="1">
        <f t="array" ref="F3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89" s="31" cm="1">
        <f t="array" ref="G3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89" s="33" t="str">
        <f>_xlfn.IFNA(IF(MOD(HLG_06[[#This Row],[Rit]],
    _xlfn.XLOOKUP($G$2,Int_Sample[Ore],Int_Sample[Inc])) = 0, "YES", "NO"),"")</f>
        <v/>
      </c>
      <c r="I389" s="32" t="str">
        <f>TEXT(HLG_06[[#This Row],[Batch]],"000")&amp; " / " &amp; TEXT(HLG_06[[#This Row],[Rit]],"000")</f>
        <v>N/A / 000</v>
      </c>
      <c r="J389" s="34"/>
      <c r="K389" s="38"/>
      <c r="L389" s="35"/>
      <c r="M389" s="66"/>
      <c r="N389" s="66"/>
      <c r="O389" s="66"/>
      <c r="P389" s="66"/>
      <c r="Q389" s="66"/>
      <c r="R389" s="67"/>
      <c r="S389" s="67"/>
      <c r="T389" s="67"/>
      <c r="U389" s="66"/>
      <c r="V389" s="66"/>
      <c r="W389" s="66"/>
      <c r="X389" s="85"/>
      <c r="AP389" t="str">
        <v/>
      </c>
    </row>
    <row r="390" spans="4:42" ht="15.75" x14ac:dyDescent="0.25">
      <c r="D390" s="3">
        <v>1</v>
      </c>
      <c r="F390" s="16" t="str" cm="1">
        <f t="array" ref="F3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0" s="31" cm="1">
        <f t="array" ref="G3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0" s="33" t="str">
        <f>_xlfn.IFNA(IF(MOD(HLG_06[[#This Row],[Rit]],
    _xlfn.XLOOKUP($G$2,Int_Sample[Ore],Int_Sample[Inc])) = 0, "YES", "NO"),"")</f>
        <v/>
      </c>
      <c r="I390" s="32" t="str">
        <f>TEXT(HLG_06[[#This Row],[Batch]],"000")&amp; " / " &amp; TEXT(HLG_06[[#This Row],[Rit]],"000")</f>
        <v>N/A / 000</v>
      </c>
      <c r="J390" s="34"/>
      <c r="K390" s="38"/>
      <c r="L390" s="35"/>
      <c r="M390" s="66"/>
      <c r="N390" s="66"/>
      <c r="O390" s="66"/>
      <c r="P390" s="66"/>
      <c r="Q390" s="66"/>
      <c r="R390" s="67"/>
      <c r="S390" s="67"/>
      <c r="T390" s="67"/>
      <c r="U390" s="66"/>
      <c r="V390" s="66"/>
      <c r="W390" s="66"/>
      <c r="X390" s="85"/>
      <c r="AP390" t="str">
        <v/>
      </c>
    </row>
    <row r="391" spans="4:42" ht="15.75" x14ac:dyDescent="0.25">
      <c r="D391" s="3">
        <v>1</v>
      </c>
      <c r="F391" s="16" t="str" cm="1">
        <f t="array" ref="F3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1" s="31" cm="1">
        <f t="array" ref="G3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1" s="33" t="str">
        <f>_xlfn.IFNA(IF(MOD(HLG_06[[#This Row],[Rit]],
    _xlfn.XLOOKUP($G$2,Int_Sample[Ore],Int_Sample[Inc])) = 0, "YES", "NO"),"")</f>
        <v/>
      </c>
      <c r="I391" s="32" t="str">
        <f>TEXT(HLG_06[[#This Row],[Batch]],"000")&amp; " / " &amp; TEXT(HLG_06[[#This Row],[Rit]],"000")</f>
        <v>N/A / 000</v>
      </c>
      <c r="J391" s="34"/>
      <c r="K391" s="38"/>
      <c r="L391" s="35"/>
      <c r="M391" s="66"/>
      <c r="N391" s="66"/>
      <c r="O391" s="66"/>
      <c r="P391" s="66"/>
      <c r="Q391" s="66"/>
      <c r="R391" s="67"/>
      <c r="S391" s="67"/>
      <c r="T391" s="67"/>
      <c r="U391" s="66"/>
      <c r="V391" s="66"/>
      <c r="W391" s="66"/>
      <c r="X391" s="85"/>
      <c r="AP391" t="str">
        <v/>
      </c>
    </row>
    <row r="392" spans="4:42" ht="15.75" x14ac:dyDescent="0.25">
      <c r="D392" s="3">
        <v>1</v>
      </c>
      <c r="F392" s="16" t="str" cm="1">
        <f t="array" ref="F3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2" s="31" cm="1">
        <f t="array" ref="G3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2" s="33" t="str">
        <f>_xlfn.IFNA(IF(MOD(HLG_06[[#This Row],[Rit]],
    _xlfn.XLOOKUP($G$2,Int_Sample[Ore],Int_Sample[Inc])) = 0, "YES", "NO"),"")</f>
        <v/>
      </c>
      <c r="I392" s="32" t="str">
        <f>TEXT(HLG_06[[#This Row],[Batch]],"000")&amp; " / " &amp; TEXT(HLG_06[[#This Row],[Rit]],"000")</f>
        <v>N/A / 000</v>
      </c>
      <c r="J392" s="34"/>
      <c r="K392" s="38"/>
      <c r="L392" s="35"/>
      <c r="M392" s="66"/>
      <c r="N392" s="66"/>
      <c r="O392" s="66"/>
      <c r="P392" s="66"/>
      <c r="Q392" s="66"/>
      <c r="R392" s="67"/>
      <c r="S392" s="67"/>
      <c r="T392" s="67"/>
      <c r="U392" s="66"/>
      <c r="V392" s="66"/>
      <c r="W392" s="66"/>
      <c r="X392" s="85"/>
      <c r="AP392" t="str">
        <v/>
      </c>
    </row>
    <row r="393" spans="4:42" ht="15.75" x14ac:dyDescent="0.25">
      <c r="D393" s="3">
        <v>1</v>
      </c>
      <c r="F393" s="16" t="str" cm="1">
        <f t="array" ref="F3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3" s="31" cm="1">
        <f t="array" ref="G3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3" s="33" t="str">
        <f>_xlfn.IFNA(IF(MOD(HLG_06[[#This Row],[Rit]],
    _xlfn.XLOOKUP($G$2,Int_Sample[Ore],Int_Sample[Inc])) = 0, "YES", "NO"),"")</f>
        <v/>
      </c>
      <c r="I393" s="32" t="str">
        <f>TEXT(HLG_06[[#This Row],[Batch]],"000")&amp; " / " &amp; TEXT(HLG_06[[#This Row],[Rit]],"000")</f>
        <v>N/A / 000</v>
      </c>
      <c r="J393" s="34"/>
      <c r="K393" s="38"/>
      <c r="L393" s="35"/>
      <c r="M393" s="66"/>
      <c r="N393" s="66"/>
      <c r="O393" s="66"/>
      <c r="P393" s="66"/>
      <c r="Q393" s="66"/>
      <c r="R393" s="67"/>
      <c r="S393" s="67"/>
      <c r="T393" s="67"/>
      <c r="U393" s="66"/>
      <c r="V393" s="66"/>
      <c r="W393" s="66"/>
      <c r="X393" s="85"/>
      <c r="AP393" t="str">
        <v/>
      </c>
    </row>
    <row r="394" spans="4:42" ht="15.75" x14ac:dyDescent="0.25">
      <c r="D394" s="3">
        <v>1</v>
      </c>
      <c r="F394" s="16" t="str" cm="1">
        <f t="array" ref="F3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4" s="31" cm="1">
        <f t="array" ref="G3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4" s="33" t="str">
        <f>_xlfn.IFNA(IF(MOD(HLG_06[[#This Row],[Rit]],
    _xlfn.XLOOKUP($G$2,Int_Sample[Ore],Int_Sample[Inc])) = 0, "YES", "NO"),"")</f>
        <v/>
      </c>
      <c r="I394" s="32" t="str">
        <f>TEXT(HLG_06[[#This Row],[Batch]],"000")&amp; " / " &amp; TEXT(HLG_06[[#This Row],[Rit]],"000")</f>
        <v>N/A / 000</v>
      </c>
      <c r="J394" s="34"/>
      <c r="K394" s="38"/>
      <c r="L394" s="35"/>
      <c r="M394" s="66"/>
      <c r="N394" s="66"/>
      <c r="O394" s="66"/>
      <c r="P394" s="66"/>
      <c r="Q394" s="66"/>
      <c r="R394" s="67"/>
      <c r="S394" s="67"/>
      <c r="T394" s="67"/>
      <c r="U394" s="66"/>
      <c r="V394" s="66"/>
      <c r="W394" s="66"/>
      <c r="X394" s="85"/>
      <c r="AP394" t="str">
        <v/>
      </c>
    </row>
    <row r="395" spans="4:42" ht="15.75" x14ac:dyDescent="0.25">
      <c r="D395" s="3">
        <v>1</v>
      </c>
      <c r="F395" s="16" t="str" cm="1">
        <f t="array" ref="F3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5" s="31" cm="1">
        <f t="array" ref="G3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5" s="33" t="str">
        <f>_xlfn.IFNA(IF(MOD(HLG_06[[#This Row],[Rit]],
    _xlfn.XLOOKUP($G$2,Int_Sample[Ore],Int_Sample[Inc])) = 0, "YES", "NO"),"")</f>
        <v/>
      </c>
      <c r="I395" s="32" t="str">
        <f>TEXT(HLG_06[[#This Row],[Batch]],"000")&amp; " / " &amp; TEXT(HLG_06[[#This Row],[Rit]],"000")</f>
        <v>N/A / 000</v>
      </c>
      <c r="J395" s="34"/>
      <c r="K395" s="38"/>
      <c r="L395" s="35"/>
      <c r="M395" s="66"/>
      <c r="N395" s="66"/>
      <c r="O395" s="66"/>
      <c r="P395" s="66"/>
      <c r="Q395" s="66"/>
      <c r="R395" s="67"/>
      <c r="S395" s="67"/>
      <c r="T395" s="67"/>
      <c r="U395" s="66"/>
      <c r="V395" s="66"/>
      <c r="W395" s="66"/>
      <c r="X395" s="85"/>
      <c r="AP395" t="str">
        <v/>
      </c>
    </row>
    <row r="396" spans="4:42" ht="15.75" x14ac:dyDescent="0.25">
      <c r="D396" s="3">
        <v>1</v>
      </c>
      <c r="F396" s="16" t="str" cm="1">
        <f t="array" ref="F3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6" s="31" cm="1">
        <f t="array" ref="G3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6" s="33" t="str">
        <f>_xlfn.IFNA(IF(MOD(HLG_06[[#This Row],[Rit]],
    _xlfn.XLOOKUP($G$2,Int_Sample[Ore],Int_Sample[Inc])) = 0, "YES", "NO"),"")</f>
        <v/>
      </c>
      <c r="I396" s="32" t="str">
        <f>TEXT(HLG_06[[#This Row],[Batch]],"000")&amp; " / " &amp; TEXT(HLG_06[[#This Row],[Rit]],"000")</f>
        <v>N/A / 000</v>
      </c>
      <c r="J396" s="34"/>
      <c r="K396" s="38"/>
      <c r="L396" s="35"/>
      <c r="M396" s="66"/>
      <c r="N396" s="66"/>
      <c r="O396" s="66"/>
      <c r="P396" s="66"/>
      <c r="Q396" s="66"/>
      <c r="R396" s="67"/>
      <c r="S396" s="67"/>
      <c r="T396" s="67"/>
      <c r="U396" s="66"/>
      <c r="V396" s="66"/>
      <c r="W396" s="66"/>
      <c r="X396" s="85"/>
      <c r="AP396" t="str">
        <v/>
      </c>
    </row>
    <row r="397" spans="4:42" ht="15.75" x14ac:dyDescent="0.25">
      <c r="D397" s="3">
        <v>1</v>
      </c>
      <c r="F397" s="16" t="str" cm="1">
        <f t="array" ref="F3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7" s="31" cm="1">
        <f t="array" ref="G3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7" s="33" t="str">
        <f>_xlfn.IFNA(IF(MOD(HLG_06[[#This Row],[Rit]],
    _xlfn.XLOOKUP($G$2,Int_Sample[Ore],Int_Sample[Inc])) = 0, "YES", "NO"),"")</f>
        <v/>
      </c>
      <c r="I397" s="32" t="str">
        <f>TEXT(HLG_06[[#This Row],[Batch]],"000")&amp; " / " &amp; TEXT(HLG_06[[#This Row],[Rit]],"000")</f>
        <v>N/A / 000</v>
      </c>
      <c r="J397" s="34"/>
      <c r="K397" s="38"/>
      <c r="L397" s="35"/>
      <c r="M397" s="66"/>
      <c r="N397" s="66"/>
      <c r="O397" s="66"/>
      <c r="P397" s="66"/>
      <c r="Q397" s="66"/>
      <c r="R397" s="67"/>
      <c r="S397" s="67"/>
      <c r="T397" s="67"/>
      <c r="U397" s="66"/>
      <c r="V397" s="66"/>
      <c r="W397" s="66"/>
      <c r="X397" s="85"/>
      <c r="AP397" t="str">
        <v/>
      </c>
    </row>
    <row r="398" spans="4:42" ht="15.75" x14ac:dyDescent="0.25">
      <c r="D398" s="3">
        <v>1</v>
      </c>
      <c r="F398" s="16" t="str" cm="1">
        <f t="array" ref="F3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8" s="31" cm="1">
        <f t="array" ref="G3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8" s="33" t="str">
        <f>_xlfn.IFNA(IF(MOD(HLG_06[[#This Row],[Rit]],
    _xlfn.XLOOKUP($G$2,Int_Sample[Ore],Int_Sample[Inc])) = 0, "YES", "NO"),"")</f>
        <v/>
      </c>
      <c r="I398" s="32" t="str">
        <f>TEXT(HLG_06[[#This Row],[Batch]],"000")&amp; " / " &amp; TEXT(HLG_06[[#This Row],[Rit]],"000")</f>
        <v>N/A / 000</v>
      </c>
      <c r="J398" s="34"/>
      <c r="K398" s="38"/>
      <c r="L398" s="35"/>
      <c r="M398" s="66"/>
      <c r="N398" s="66"/>
      <c r="O398" s="66"/>
      <c r="P398" s="66"/>
      <c r="Q398" s="66"/>
      <c r="R398" s="67"/>
      <c r="S398" s="67"/>
      <c r="T398" s="67"/>
      <c r="U398" s="66"/>
      <c r="V398" s="66"/>
      <c r="W398" s="66"/>
      <c r="X398" s="85"/>
      <c r="AP398" t="str">
        <v/>
      </c>
    </row>
    <row r="399" spans="4:42" ht="15.75" x14ac:dyDescent="0.25">
      <c r="D399" s="3">
        <v>1</v>
      </c>
      <c r="F399" s="16" t="str" cm="1">
        <f t="array" ref="F3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399" s="31" cm="1">
        <f t="array" ref="G3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399" s="33" t="str">
        <f>_xlfn.IFNA(IF(MOD(HLG_06[[#This Row],[Rit]],
    _xlfn.XLOOKUP($G$2,Int_Sample[Ore],Int_Sample[Inc])) = 0, "YES", "NO"),"")</f>
        <v/>
      </c>
      <c r="I399" s="32" t="str">
        <f>TEXT(HLG_06[[#This Row],[Batch]],"000")&amp; " / " &amp; TEXT(HLG_06[[#This Row],[Rit]],"000")</f>
        <v>N/A / 000</v>
      </c>
      <c r="J399" s="34"/>
      <c r="K399" s="38"/>
      <c r="L399" s="35"/>
      <c r="M399" s="66"/>
      <c r="N399" s="66"/>
      <c r="O399" s="66"/>
      <c r="P399" s="66"/>
      <c r="Q399" s="66"/>
      <c r="R399" s="67"/>
      <c r="S399" s="67"/>
      <c r="T399" s="67"/>
      <c r="U399" s="66"/>
      <c r="V399" s="66"/>
      <c r="W399" s="66"/>
      <c r="X399" s="85"/>
      <c r="AP399" t="str">
        <v/>
      </c>
    </row>
    <row r="400" spans="4:42" ht="15.75" x14ac:dyDescent="0.25">
      <c r="D400" s="3">
        <v>1</v>
      </c>
      <c r="F400" s="16" t="str" cm="1">
        <f t="array" ref="F4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0" s="31" cm="1">
        <f t="array" ref="G4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0" s="33" t="str">
        <f>_xlfn.IFNA(IF(MOD(HLG_06[[#This Row],[Rit]],
    _xlfn.XLOOKUP($G$2,Int_Sample[Ore],Int_Sample[Inc])) = 0, "YES", "NO"),"")</f>
        <v/>
      </c>
      <c r="I400" s="32" t="str">
        <f>TEXT(HLG_06[[#This Row],[Batch]],"000")&amp; " / " &amp; TEXT(HLG_06[[#This Row],[Rit]],"000")</f>
        <v>N/A / 000</v>
      </c>
      <c r="J400" s="34"/>
      <c r="K400" s="38"/>
      <c r="L400" s="35"/>
      <c r="M400" s="66"/>
      <c r="N400" s="66"/>
      <c r="O400" s="66"/>
      <c r="P400" s="66"/>
      <c r="Q400" s="66"/>
      <c r="R400" s="67"/>
      <c r="S400" s="67"/>
      <c r="T400" s="67"/>
      <c r="U400" s="66"/>
      <c r="V400" s="66"/>
      <c r="W400" s="66"/>
      <c r="X400" s="85"/>
      <c r="AP400" t="str">
        <v/>
      </c>
    </row>
    <row r="401" spans="4:42" ht="15.75" x14ac:dyDescent="0.25">
      <c r="D401" s="3">
        <v>1</v>
      </c>
      <c r="F401" s="16" t="str" cm="1">
        <f t="array" ref="F4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1" s="31" cm="1">
        <f t="array" ref="G4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1" s="33" t="str">
        <f>_xlfn.IFNA(IF(MOD(HLG_06[[#This Row],[Rit]],
    _xlfn.XLOOKUP($G$2,Int_Sample[Ore],Int_Sample[Inc])) = 0, "YES", "NO"),"")</f>
        <v/>
      </c>
      <c r="I401" s="32" t="str">
        <f>TEXT(HLG_06[[#This Row],[Batch]],"000")&amp; " / " &amp; TEXT(HLG_06[[#This Row],[Rit]],"000")</f>
        <v>N/A / 000</v>
      </c>
      <c r="J401" s="34"/>
      <c r="K401" s="38"/>
      <c r="L401" s="35"/>
      <c r="M401" s="66"/>
      <c r="N401" s="66"/>
      <c r="O401" s="66"/>
      <c r="P401" s="66"/>
      <c r="Q401" s="66"/>
      <c r="R401" s="67"/>
      <c r="S401" s="67"/>
      <c r="T401" s="67"/>
      <c r="U401" s="66"/>
      <c r="V401" s="66"/>
      <c r="W401" s="66"/>
      <c r="X401" s="85"/>
      <c r="AP401" t="str">
        <v/>
      </c>
    </row>
    <row r="402" spans="4:42" ht="15.75" x14ac:dyDescent="0.25">
      <c r="D402" s="3">
        <v>1</v>
      </c>
      <c r="F402" s="16" t="str" cm="1">
        <f t="array" ref="F4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2" s="31" cm="1">
        <f t="array" ref="G4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2" s="33" t="str">
        <f>_xlfn.IFNA(IF(MOD(HLG_06[[#This Row],[Rit]],
    _xlfn.XLOOKUP($G$2,Int_Sample[Ore],Int_Sample[Inc])) = 0, "YES", "NO"),"")</f>
        <v/>
      </c>
      <c r="I402" s="32" t="str">
        <f>TEXT(HLG_06[[#This Row],[Batch]],"000")&amp; " / " &amp; TEXT(HLG_06[[#This Row],[Rit]],"000")</f>
        <v>N/A / 000</v>
      </c>
      <c r="J402" s="34"/>
      <c r="K402" s="38"/>
      <c r="L402" s="35"/>
      <c r="M402" s="66"/>
      <c r="N402" s="66"/>
      <c r="O402" s="66"/>
      <c r="P402" s="66"/>
      <c r="Q402" s="66"/>
      <c r="R402" s="67"/>
      <c r="S402" s="67"/>
      <c r="T402" s="67"/>
      <c r="U402" s="66"/>
      <c r="V402" s="66"/>
      <c r="W402" s="66"/>
      <c r="X402" s="85"/>
      <c r="AP402" t="str">
        <v/>
      </c>
    </row>
    <row r="403" spans="4:42" ht="15.75" x14ac:dyDescent="0.25">
      <c r="D403" s="3">
        <v>1</v>
      </c>
      <c r="F403" s="16" t="str" cm="1">
        <f t="array" ref="F4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3" s="31" cm="1">
        <f t="array" ref="G4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3" s="33" t="str">
        <f>_xlfn.IFNA(IF(MOD(HLG_06[[#This Row],[Rit]],
    _xlfn.XLOOKUP($G$2,Int_Sample[Ore],Int_Sample[Inc])) = 0, "YES", "NO"),"")</f>
        <v/>
      </c>
      <c r="I403" s="32" t="str">
        <f>TEXT(HLG_06[[#This Row],[Batch]],"000")&amp; " / " &amp; TEXT(HLG_06[[#This Row],[Rit]],"000")</f>
        <v>N/A / 000</v>
      </c>
      <c r="J403" s="34"/>
      <c r="K403" s="38"/>
      <c r="L403" s="35"/>
      <c r="M403" s="66"/>
      <c r="N403" s="66"/>
      <c r="O403" s="66"/>
      <c r="P403" s="66"/>
      <c r="Q403" s="66"/>
      <c r="R403" s="67"/>
      <c r="S403" s="67"/>
      <c r="T403" s="67"/>
      <c r="U403" s="66"/>
      <c r="V403" s="66"/>
      <c r="W403" s="66"/>
      <c r="X403" s="85"/>
      <c r="AP403" t="str">
        <v/>
      </c>
    </row>
    <row r="404" spans="4:42" ht="15.75" x14ac:dyDescent="0.25">
      <c r="D404" s="3">
        <v>1</v>
      </c>
      <c r="F404" s="16" t="str" cm="1">
        <f t="array" ref="F4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4" s="31" cm="1">
        <f t="array" ref="G4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4" s="33" t="str">
        <f>_xlfn.IFNA(IF(MOD(HLG_06[[#This Row],[Rit]],
    _xlfn.XLOOKUP($G$2,Int_Sample[Ore],Int_Sample[Inc])) = 0, "YES", "NO"),"")</f>
        <v/>
      </c>
      <c r="I404" s="32" t="str">
        <f>TEXT(HLG_06[[#This Row],[Batch]],"000")&amp; " / " &amp; TEXT(HLG_06[[#This Row],[Rit]],"000")</f>
        <v>N/A / 000</v>
      </c>
      <c r="J404" s="34"/>
      <c r="K404" s="38"/>
      <c r="L404" s="35"/>
      <c r="M404" s="66"/>
      <c r="N404" s="66"/>
      <c r="O404" s="66"/>
      <c r="P404" s="66"/>
      <c r="Q404" s="66"/>
      <c r="R404" s="67"/>
      <c r="S404" s="67"/>
      <c r="T404" s="67"/>
      <c r="U404" s="66"/>
      <c r="V404" s="66"/>
      <c r="W404" s="66"/>
      <c r="X404" s="85"/>
      <c r="AP404" t="str">
        <v/>
      </c>
    </row>
    <row r="405" spans="4:42" ht="15.75" x14ac:dyDescent="0.25">
      <c r="D405" s="3">
        <v>1</v>
      </c>
      <c r="F405" s="16" t="str" cm="1">
        <f t="array" ref="F4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5" s="31" cm="1">
        <f t="array" ref="G4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5" s="33" t="str">
        <f>_xlfn.IFNA(IF(MOD(HLG_06[[#This Row],[Rit]],
    _xlfn.XLOOKUP($G$2,Int_Sample[Ore],Int_Sample[Inc])) = 0, "YES", "NO"),"")</f>
        <v/>
      </c>
      <c r="I405" s="32" t="str">
        <f>TEXT(HLG_06[[#This Row],[Batch]],"000")&amp; " / " &amp; TEXT(HLG_06[[#This Row],[Rit]],"000")</f>
        <v>N/A / 000</v>
      </c>
      <c r="J405" s="34"/>
      <c r="K405" s="38"/>
      <c r="L405" s="35"/>
      <c r="M405" s="66"/>
      <c r="N405" s="66"/>
      <c r="O405" s="66"/>
      <c r="P405" s="66"/>
      <c r="Q405" s="66"/>
      <c r="R405" s="67"/>
      <c r="S405" s="67"/>
      <c r="T405" s="67"/>
      <c r="U405" s="66"/>
      <c r="V405" s="66"/>
      <c r="W405" s="66"/>
      <c r="X405" s="85"/>
      <c r="AP405" t="str">
        <v/>
      </c>
    </row>
    <row r="406" spans="4:42" ht="15.75" x14ac:dyDescent="0.25">
      <c r="D406" s="3">
        <v>1</v>
      </c>
      <c r="F406" s="16" t="str" cm="1">
        <f t="array" ref="F4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6" s="31" cm="1">
        <f t="array" ref="G4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6" s="33" t="str">
        <f>_xlfn.IFNA(IF(MOD(HLG_06[[#This Row],[Rit]],
    _xlfn.XLOOKUP($G$2,Int_Sample[Ore],Int_Sample[Inc])) = 0, "YES", "NO"),"")</f>
        <v/>
      </c>
      <c r="I406" s="32" t="str">
        <f>TEXT(HLG_06[[#This Row],[Batch]],"000")&amp; " / " &amp; TEXT(HLG_06[[#This Row],[Rit]],"000")</f>
        <v>N/A / 000</v>
      </c>
      <c r="J406" s="34"/>
      <c r="K406" s="38"/>
      <c r="L406" s="35"/>
      <c r="M406" s="66"/>
      <c r="N406" s="66"/>
      <c r="O406" s="66"/>
      <c r="P406" s="66"/>
      <c r="Q406" s="66"/>
      <c r="R406" s="67"/>
      <c r="S406" s="67"/>
      <c r="T406" s="67"/>
      <c r="U406" s="66"/>
      <c r="V406" s="66"/>
      <c r="W406" s="66"/>
      <c r="X406" s="85"/>
      <c r="AP406" t="str">
        <v/>
      </c>
    </row>
    <row r="407" spans="4:42" ht="15.75" x14ac:dyDescent="0.25">
      <c r="D407" s="3">
        <v>1</v>
      </c>
      <c r="F407" s="16" t="str" cm="1">
        <f t="array" ref="F4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7" s="31" cm="1">
        <f t="array" ref="G4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7" s="33" t="str">
        <f>_xlfn.IFNA(IF(MOD(HLG_06[[#This Row],[Rit]],
    _xlfn.XLOOKUP($G$2,Int_Sample[Ore],Int_Sample[Inc])) = 0, "YES", "NO"),"")</f>
        <v/>
      </c>
      <c r="I407" s="32" t="str">
        <f>TEXT(HLG_06[[#This Row],[Batch]],"000")&amp; " / " &amp; TEXT(HLG_06[[#This Row],[Rit]],"000")</f>
        <v>N/A / 000</v>
      </c>
      <c r="J407" s="34"/>
      <c r="K407" s="38"/>
      <c r="L407" s="35"/>
      <c r="M407" s="66"/>
      <c r="N407" s="66"/>
      <c r="O407" s="66"/>
      <c r="P407" s="66"/>
      <c r="Q407" s="66"/>
      <c r="R407" s="67"/>
      <c r="S407" s="67"/>
      <c r="T407" s="67"/>
      <c r="U407" s="66"/>
      <c r="V407" s="66"/>
      <c r="W407" s="66"/>
      <c r="X407" s="85"/>
      <c r="AP407" t="str">
        <v/>
      </c>
    </row>
    <row r="408" spans="4:42" ht="15.75" x14ac:dyDescent="0.25">
      <c r="D408" s="3">
        <v>1</v>
      </c>
      <c r="F408" s="16" t="str" cm="1">
        <f t="array" ref="F4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8" s="31" cm="1">
        <f t="array" ref="G4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8" s="33" t="str">
        <f>_xlfn.IFNA(IF(MOD(HLG_06[[#This Row],[Rit]],
    _xlfn.XLOOKUP($G$2,Int_Sample[Ore],Int_Sample[Inc])) = 0, "YES", "NO"),"")</f>
        <v/>
      </c>
      <c r="I408" s="32" t="str">
        <f>TEXT(HLG_06[[#This Row],[Batch]],"000")&amp; " / " &amp; TEXT(HLG_06[[#This Row],[Rit]],"000")</f>
        <v>N/A / 000</v>
      </c>
      <c r="J408" s="34"/>
      <c r="K408" s="38"/>
      <c r="L408" s="35"/>
      <c r="M408" s="66"/>
      <c r="N408" s="66"/>
      <c r="O408" s="66"/>
      <c r="P408" s="66"/>
      <c r="Q408" s="66"/>
      <c r="R408" s="67"/>
      <c r="S408" s="67"/>
      <c r="T408" s="67"/>
      <c r="U408" s="66"/>
      <c r="V408" s="66"/>
      <c r="W408" s="66"/>
      <c r="X408" s="85"/>
      <c r="AP408" t="str">
        <v/>
      </c>
    </row>
    <row r="409" spans="4:42" ht="15.75" x14ac:dyDescent="0.25">
      <c r="D409" s="3">
        <v>1</v>
      </c>
      <c r="F409" s="16" t="str" cm="1">
        <f t="array" ref="F4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09" s="31" cm="1">
        <f t="array" ref="G4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09" s="33" t="str">
        <f>_xlfn.IFNA(IF(MOD(HLG_06[[#This Row],[Rit]],
    _xlfn.XLOOKUP($G$2,Int_Sample[Ore],Int_Sample[Inc])) = 0, "YES", "NO"),"")</f>
        <v/>
      </c>
      <c r="I409" s="32" t="str">
        <f>TEXT(HLG_06[[#This Row],[Batch]],"000")&amp; " / " &amp; TEXT(HLG_06[[#This Row],[Rit]],"000")</f>
        <v>N/A / 000</v>
      </c>
      <c r="J409" s="34"/>
      <c r="K409" s="38"/>
      <c r="L409" s="35"/>
      <c r="M409" s="66"/>
      <c r="N409" s="66"/>
      <c r="O409" s="66"/>
      <c r="P409" s="66"/>
      <c r="Q409" s="66"/>
      <c r="R409" s="67"/>
      <c r="S409" s="67"/>
      <c r="T409" s="67"/>
      <c r="U409" s="66"/>
      <c r="V409" s="66"/>
      <c r="W409" s="66"/>
      <c r="X409" s="85"/>
      <c r="AP409" t="str">
        <v/>
      </c>
    </row>
    <row r="410" spans="4:42" ht="15.75" x14ac:dyDescent="0.25">
      <c r="D410" s="3">
        <v>1</v>
      </c>
      <c r="F410" s="16" t="str" cm="1">
        <f t="array" ref="F4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0" s="31" cm="1">
        <f t="array" ref="G4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0" s="33" t="str">
        <f>_xlfn.IFNA(IF(MOD(HLG_06[[#This Row],[Rit]],
    _xlfn.XLOOKUP($G$2,Int_Sample[Ore],Int_Sample[Inc])) = 0, "YES", "NO"),"")</f>
        <v/>
      </c>
      <c r="I410" s="32" t="str">
        <f>TEXT(HLG_06[[#This Row],[Batch]],"000")&amp; " / " &amp; TEXT(HLG_06[[#This Row],[Rit]],"000")</f>
        <v>N/A / 000</v>
      </c>
      <c r="J410" s="34"/>
      <c r="K410" s="38"/>
      <c r="L410" s="35"/>
      <c r="M410" s="66"/>
      <c r="N410" s="66"/>
      <c r="O410" s="66"/>
      <c r="P410" s="66"/>
      <c r="Q410" s="66"/>
      <c r="R410" s="67"/>
      <c r="S410" s="67"/>
      <c r="T410" s="67"/>
      <c r="U410" s="66"/>
      <c r="V410" s="66"/>
      <c r="W410" s="66"/>
      <c r="X410" s="85"/>
      <c r="AP410" t="str">
        <v/>
      </c>
    </row>
    <row r="411" spans="4:42" ht="15.75" x14ac:dyDescent="0.25">
      <c r="D411" s="3">
        <v>1</v>
      </c>
      <c r="F411" s="16" t="str" cm="1">
        <f t="array" ref="F4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1" s="31" cm="1">
        <f t="array" ref="G4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1" s="33" t="str">
        <f>_xlfn.IFNA(IF(MOD(HLG_06[[#This Row],[Rit]],
    _xlfn.XLOOKUP($G$2,Int_Sample[Ore],Int_Sample[Inc])) = 0, "YES", "NO"),"")</f>
        <v/>
      </c>
      <c r="I411" s="32" t="str">
        <f>TEXT(HLG_06[[#This Row],[Batch]],"000")&amp; " / " &amp; TEXT(HLG_06[[#This Row],[Rit]],"000")</f>
        <v>N/A / 000</v>
      </c>
      <c r="J411" s="34"/>
      <c r="K411" s="38"/>
      <c r="L411" s="35"/>
      <c r="M411" s="66"/>
      <c r="N411" s="66"/>
      <c r="O411" s="66"/>
      <c r="P411" s="66"/>
      <c r="Q411" s="66"/>
      <c r="R411" s="67"/>
      <c r="S411" s="67"/>
      <c r="T411" s="67"/>
      <c r="U411" s="66"/>
      <c r="V411" s="66"/>
      <c r="W411" s="66"/>
      <c r="X411" s="85"/>
      <c r="AP411" t="str">
        <v/>
      </c>
    </row>
    <row r="412" spans="4:42" ht="15.75" x14ac:dyDescent="0.25">
      <c r="D412" s="3">
        <v>1</v>
      </c>
      <c r="F412" s="16" t="str" cm="1">
        <f t="array" ref="F4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2" s="31" cm="1">
        <f t="array" ref="G4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2" s="33" t="str">
        <f>_xlfn.IFNA(IF(MOD(HLG_06[[#This Row],[Rit]],
    _xlfn.XLOOKUP($G$2,Int_Sample[Ore],Int_Sample[Inc])) = 0, "YES", "NO"),"")</f>
        <v/>
      </c>
      <c r="I412" s="32" t="str">
        <f>TEXT(HLG_06[[#This Row],[Batch]],"000")&amp; " / " &amp; TEXT(HLG_06[[#This Row],[Rit]],"000")</f>
        <v>N/A / 000</v>
      </c>
      <c r="J412" s="34"/>
      <c r="K412" s="38"/>
      <c r="L412" s="35"/>
      <c r="M412" s="66"/>
      <c r="N412" s="66"/>
      <c r="O412" s="66"/>
      <c r="P412" s="66"/>
      <c r="Q412" s="66"/>
      <c r="R412" s="67"/>
      <c r="S412" s="67"/>
      <c r="T412" s="67"/>
      <c r="U412" s="66"/>
      <c r="V412" s="66"/>
      <c r="W412" s="66"/>
      <c r="X412" s="85"/>
      <c r="AP412" t="str">
        <v/>
      </c>
    </row>
    <row r="413" spans="4:42" ht="15.75" x14ac:dyDescent="0.25">
      <c r="D413" s="3">
        <v>1</v>
      </c>
      <c r="F413" s="16" t="str" cm="1">
        <f t="array" ref="F4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3" s="31" cm="1">
        <f t="array" ref="G4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3" s="33" t="str">
        <f>_xlfn.IFNA(IF(MOD(HLG_06[[#This Row],[Rit]],
    _xlfn.XLOOKUP($G$2,Int_Sample[Ore],Int_Sample[Inc])) = 0, "YES", "NO"),"")</f>
        <v/>
      </c>
      <c r="I413" s="32" t="str">
        <f>TEXT(HLG_06[[#This Row],[Batch]],"000")&amp; " / " &amp; TEXT(HLG_06[[#This Row],[Rit]],"000")</f>
        <v>N/A / 000</v>
      </c>
      <c r="J413" s="34"/>
      <c r="K413" s="38"/>
      <c r="L413" s="35"/>
      <c r="M413" s="66"/>
      <c r="N413" s="66"/>
      <c r="O413" s="66"/>
      <c r="P413" s="66"/>
      <c r="Q413" s="66"/>
      <c r="R413" s="67"/>
      <c r="S413" s="67"/>
      <c r="T413" s="67"/>
      <c r="U413" s="66"/>
      <c r="V413" s="66"/>
      <c r="W413" s="66"/>
      <c r="X413" s="85"/>
      <c r="AP413" t="str">
        <v/>
      </c>
    </row>
    <row r="414" spans="4:42" ht="15.75" x14ac:dyDescent="0.25">
      <c r="D414" s="3">
        <v>1</v>
      </c>
      <c r="F414" s="16" t="str" cm="1">
        <f t="array" ref="F4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4" s="31" cm="1">
        <f t="array" ref="G4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4" s="33" t="str">
        <f>_xlfn.IFNA(IF(MOD(HLG_06[[#This Row],[Rit]],
    _xlfn.XLOOKUP($G$2,Int_Sample[Ore],Int_Sample[Inc])) = 0, "YES", "NO"),"")</f>
        <v/>
      </c>
      <c r="I414" s="32" t="str">
        <f>TEXT(HLG_06[[#This Row],[Batch]],"000")&amp; " / " &amp; TEXT(HLG_06[[#This Row],[Rit]],"000")</f>
        <v>N/A / 000</v>
      </c>
      <c r="J414" s="34"/>
      <c r="K414" s="38"/>
      <c r="L414" s="35"/>
      <c r="M414" s="66"/>
      <c r="N414" s="66"/>
      <c r="O414" s="66"/>
      <c r="P414" s="66"/>
      <c r="Q414" s="66"/>
      <c r="R414" s="67"/>
      <c r="S414" s="67"/>
      <c r="T414" s="67"/>
      <c r="U414" s="66"/>
      <c r="V414" s="66"/>
      <c r="W414" s="66"/>
      <c r="X414" s="85"/>
      <c r="AP414" t="str">
        <v/>
      </c>
    </row>
    <row r="415" spans="4:42" ht="15.75" x14ac:dyDescent="0.25">
      <c r="D415" s="3">
        <v>1</v>
      </c>
      <c r="F415" s="16" t="str" cm="1">
        <f t="array" ref="F4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5" s="31" cm="1">
        <f t="array" ref="G4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5" s="33" t="str">
        <f>_xlfn.IFNA(IF(MOD(HLG_06[[#This Row],[Rit]],
    _xlfn.XLOOKUP($G$2,Int_Sample[Ore],Int_Sample[Inc])) = 0, "YES", "NO"),"")</f>
        <v/>
      </c>
      <c r="I415" s="32" t="str">
        <f>TEXT(HLG_06[[#This Row],[Batch]],"000")&amp; " / " &amp; TEXT(HLG_06[[#This Row],[Rit]],"000")</f>
        <v>N/A / 000</v>
      </c>
      <c r="J415" s="34"/>
      <c r="K415" s="38"/>
      <c r="L415" s="35"/>
      <c r="M415" s="66"/>
      <c r="N415" s="66"/>
      <c r="O415" s="66"/>
      <c r="P415" s="66"/>
      <c r="Q415" s="66"/>
      <c r="R415" s="67"/>
      <c r="S415" s="67"/>
      <c r="T415" s="67"/>
      <c r="U415" s="66"/>
      <c r="V415" s="66"/>
      <c r="W415" s="66"/>
      <c r="X415" s="85"/>
      <c r="AP415" t="str">
        <v/>
      </c>
    </row>
    <row r="416" spans="4:42" ht="15.75" x14ac:dyDescent="0.25">
      <c r="D416" s="3">
        <v>1</v>
      </c>
      <c r="F416" s="16" t="str" cm="1">
        <f t="array" ref="F4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6" s="31" cm="1">
        <f t="array" ref="G4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6" s="33" t="str">
        <f>_xlfn.IFNA(IF(MOD(HLG_06[[#This Row],[Rit]],
    _xlfn.XLOOKUP($G$2,Int_Sample[Ore],Int_Sample[Inc])) = 0, "YES", "NO"),"")</f>
        <v/>
      </c>
      <c r="I416" s="32" t="str">
        <f>TEXT(HLG_06[[#This Row],[Batch]],"000")&amp; " / " &amp; TEXT(HLG_06[[#This Row],[Rit]],"000")</f>
        <v>N/A / 000</v>
      </c>
      <c r="J416" s="34"/>
      <c r="K416" s="38"/>
      <c r="L416" s="35"/>
      <c r="M416" s="66"/>
      <c r="N416" s="66"/>
      <c r="O416" s="66"/>
      <c r="P416" s="66"/>
      <c r="Q416" s="66"/>
      <c r="R416" s="67"/>
      <c r="S416" s="67"/>
      <c r="T416" s="67"/>
      <c r="U416" s="66"/>
      <c r="V416" s="66"/>
      <c r="W416" s="66"/>
      <c r="X416" s="85"/>
      <c r="AP416" t="str">
        <v/>
      </c>
    </row>
    <row r="417" spans="4:42" ht="15.75" x14ac:dyDescent="0.25">
      <c r="D417" s="3">
        <v>1</v>
      </c>
      <c r="F417" s="16" t="str" cm="1">
        <f t="array" ref="F4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7" s="31" cm="1">
        <f t="array" ref="G4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7" s="33" t="str">
        <f>_xlfn.IFNA(IF(MOD(HLG_06[[#This Row],[Rit]],
    _xlfn.XLOOKUP($G$2,Int_Sample[Ore],Int_Sample[Inc])) = 0, "YES", "NO"),"")</f>
        <v/>
      </c>
      <c r="I417" s="32" t="str">
        <f>TEXT(HLG_06[[#This Row],[Batch]],"000")&amp; " / " &amp; TEXT(HLG_06[[#This Row],[Rit]],"000")</f>
        <v>N/A / 000</v>
      </c>
      <c r="J417" s="34"/>
      <c r="K417" s="38"/>
      <c r="L417" s="35"/>
      <c r="M417" s="66"/>
      <c r="N417" s="66"/>
      <c r="O417" s="66"/>
      <c r="P417" s="66"/>
      <c r="Q417" s="66"/>
      <c r="R417" s="67"/>
      <c r="S417" s="67"/>
      <c r="T417" s="67"/>
      <c r="U417" s="66"/>
      <c r="V417" s="66"/>
      <c r="W417" s="66"/>
      <c r="X417" s="85"/>
      <c r="AP417" t="str">
        <v/>
      </c>
    </row>
    <row r="418" spans="4:42" ht="15.75" x14ac:dyDescent="0.25">
      <c r="D418" s="3">
        <v>1</v>
      </c>
      <c r="F418" s="16" t="str" cm="1">
        <f t="array" ref="F4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8" s="31" cm="1">
        <f t="array" ref="G4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8" s="33" t="str">
        <f>_xlfn.IFNA(IF(MOD(HLG_06[[#This Row],[Rit]],
    _xlfn.XLOOKUP($G$2,Int_Sample[Ore],Int_Sample[Inc])) = 0, "YES", "NO"),"")</f>
        <v/>
      </c>
      <c r="I418" s="32" t="str">
        <f>TEXT(HLG_06[[#This Row],[Batch]],"000")&amp; " / " &amp; TEXT(HLG_06[[#This Row],[Rit]],"000")</f>
        <v>N/A / 000</v>
      </c>
      <c r="J418" s="34"/>
      <c r="K418" s="38"/>
      <c r="L418" s="35"/>
      <c r="M418" s="66"/>
      <c r="N418" s="66"/>
      <c r="O418" s="66"/>
      <c r="P418" s="66"/>
      <c r="Q418" s="66"/>
      <c r="R418" s="67"/>
      <c r="S418" s="67"/>
      <c r="T418" s="67"/>
      <c r="U418" s="66"/>
      <c r="V418" s="66"/>
      <c r="W418" s="66"/>
      <c r="X418" s="85"/>
      <c r="AP418" t="str">
        <v/>
      </c>
    </row>
    <row r="419" spans="4:42" ht="15.75" x14ac:dyDescent="0.25">
      <c r="D419" s="3">
        <v>1</v>
      </c>
      <c r="F419" s="16" t="str" cm="1">
        <f t="array" ref="F4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19" s="31" cm="1">
        <f t="array" ref="G4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19" s="33" t="str">
        <f>_xlfn.IFNA(IF(MOD(HLG_06[[#This Row],[Rit]],
    _xlfn.XLOOKUP($G$2,Int_Sample[Ore],Int_Sample[Inc])) = 0, "YES", "NO"),"")</f>
        <v/>
      </c>
      <c r="I419" s="32" t="str">
        <f>TEXT(HLG_06[[#This Row],[Batch]],"000")&amp; " / " &amp; TEXT(HLG_06[[#This Row],[Rit]],"000")</f>
        <v>N/A / 000</v>
      </c>
      <c r="J419" s="34"/>
      <c r="K419" s="38"/>
      <c r="L419" s="35"/>
      <c r="M419" s="66"/>
      <c r="N419" s="66"/>
      <c r="O419" s="66"/>
      <c r="P419" s="66"/>
      <c r="Q419" s="66"/>
      <c r="R419" s="67"/>
      <c r="S419" s="67"/>
      <c r="T419" s="67"/>
      <c r="U419" s="66"/>
      <c r="V419" s="66"/>
      <c r="W419" s="66"/>
      <c r="X419" s="85"/>
      <c r="AP419" t="str">
        <v/>
      </c>
    </row>
    <row r="420" spans="4:42" ht="15.75" x14ac:dyDescent="0.25">
      <c r="D420" s="3">
        <v>1</v>
      </c>
      <c r="F420" s="16" t="str" cm="1">
        <f t="array" ref="F4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0" s="31" cm="1">
        <f t="array" ref="G4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0" s="33" t="str">
        <f>_xlfn.IFNA(IF(MOD(HLG_06[[#This Row],[Rit]],
    _xlfn.XLOOKUP($G$2,Int_Sample[Ore],Int_Sample[Inc])) = 0, "YES", "NO"),"")</f>
        <v/>
      </c>
      <c r="I420" s="32" t="str">
        <f>TEXT(HLG_06[[#This Row],[Batch]],"000")&amp; " / " &amp; TEXT(HLG_06[[#This Row],[Rit]],"000")</f>
        <v>N/A / 000</v>
      </c>
      <c r="J420" s="34"/>
      <c r="K420" s="38"/>
      <c r="L420" s="35"/>
      <c r="M420" s="66"/>
      <c r="N420" s="66"/>
      <c r="O420" s="66"/>
      <c r="P420" s="66"/>
      <c r="Q420" s="66"/>
      <c r="R420" s="67"/>
      <c r="S420" s="67"/>
      <c r="T420" s="67"/>
      <c r="U420" s="66"/>
      <c r="V420" s="66"/>
      <c r="W420" s="66"/>
      <c r="X420" s="85"/>
      <c r="AP420" t="str">
        <v/>
      </c>
    </row>
    <row r="421" spans="4:42" ht="15.75" x14ac:dyDescent="0.25">
      <c r="D421" s="3">
        <v>1</v>
      </c>
      <c r="F421" s="16" t="str" cm="1">
        <f t="array" ref="F4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1" s="31" cm="1">
        <f t="array" ref="G4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1" s="33" t="str">
        <f>_xlfn.IFNA(IF(MOD(HLG_06[[#This Row],[Rit]],
    _xlfn.XLOOKUP($G$2,Int_Sample[Ore],Int_Sample[Inc])) = 0, "YES", "NO"),"")</f>
        <v/>
      </c>
      <c r="I421" s="32" t="str">
        <f>TEXT(HLG_06[[#This Row],[Batch]],"000")&amp; " / " &amp; TEXT(HLG_06[[#This Row],[Rit]],"000")</f>
        <v>N/A / 000</v>
      </c>
      <c r="J421" s="34"/>
      <c r="K421" s="38"/>
      <c r="L421" s="35"/>
      <c r="M421" s="66"/>
      <c r="N421" s="66"/>
      <c r="O421" s="66"/>
      <c r="P421" s="66"/>
      <c r="Q421" s="66"/>
      <c r="R421" s="67"/>
      <c r="S421" s="67"/>
      <c r="T421" s="67"/>
      <c r="U421" s="66"/>
      <c r="V421" s="66"/>
      <c r="W421" s="66"/>
      <c r="X421" s="85"/>
      <c r="AP421" t="str">
        <v/>
      </c>
    </row>
    <row r="422" spans="4:42" ht="15.75" x14ac:dyDescent="0.25">
      <c r="D422" s="3">
        <v>1</v>
      </c>
      <c r="F422" s="16" t="str" cm="1">
        <f t="array" ref="F4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2" s="31" cm="1">
        <f t="array" ref="G4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2" s="33" t="str">
        <f>_xlfn.IFNA(IF(MOD(HLG_06[[#This Row],[Rit]],
    _xlfn.XLOOKUP($G$2,Int_Sample[Ore],Int_Sample[Inc])) = 0, "YES", "NO"),"")</f>
        <v/>
      </c>
      <c r="I422" s="32" t="str">
        <f>TEXT(HLG_06[[#This Row],[Batch]],"000")&amp; " / " &amp; TEXT(HLG_06[[#This Row],[Rit]],"000")</f>
        <v>N/A / 000</v>
      </c>
      <c r="J422" s="34"/>
      <c r="K422" s="38"/>
      <c r="L422" s="35"/>
      <c r="M422" s="66"/>
      <c r="N422" s="66"/>
      <c r="O422" s="66"/>
      <c r="P422" s="66"/>
      <c r="Q422" s="66"/>
      <c r="R422" s="67"/>
      <c r="S422" s="67"/>
      <c r="T422" s="67"/>
      <c r="U422" s="66"/>
      <c r="V422" s="66"/>
      <c r="W422" s="66"/>
      <c r="X422" s="85"/>
      <c r="AP422" t="str">
        <v/>
      </c>
    </row>
    <row r="423" spans="4:42" ht="15.75" x14ac:dyDescent="0.25">
      <c r="D423" s="3">
        <v>1</v>
      </c>
      <c r="F423" s="16" t="str" cm="1">
        <f t="array" ref="F4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3" s="31" cm="1">
        <f t="array" ref="G4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3" s="33" t="str">
        <f>_xlfn.IFNA(IF(MOD(HLG_06[[#This Row],[Rit]],
    _xlfn.XLOOKUP($G$2,Int_Sample[Ore],Int_Sample[Inc])) = 0, "YES", "NO"),"")</f>
        <v/>
      </c>
      <c r="I423" s="32" t="str">
        <f>TEXT(HLG_06[[#This Row],[Batch]],"000")&amp; " / " &amp; TEXT(HLG_06[[#This Row],[Rit]],"000")</f>
        <v>N/A / 000</v>
      </c>
      <c r="J423" s="34"/>
      <c r="K423" s="38"/>
      <c r="L423" s="35"/>
      <c r="M423" s="66"/>
      <c r="N423" s="66"/>
      <c r="O423" s="66"/>
      <c r="P423" s="66"/>
      <c r="Q423" s="66"/>
      <c r="R423" s="67"/>
      <c r="S423" s="67"/>
      <c r="T423" s="67"/>
      <c r="U423" s="66"/>
      <c r="V423" s="66"/>
      <c r="W423" s="66"/>
      <c r="X423" s="85"/>
      <c r="AP423" t="str">
        <v/>
      </c>
    </row>
    <row r="424" spans="4:42" ht="15.75" x14ac:dyDescent="0.25">
      <c r="D424" s="3">
        <v>1</v>
      </c>
      <c r="F424" s="16" t="str" cm="1">
        <f t="array" ref="F4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4" s="31" cm="1">
        <f t="array" ref="G4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4" s="33" t="str">
        <f>_xlfn.IFNA(IF(MOD(HLG_06[[#This Row],[Rit]],
    _xlfn.XLOOKUP($G$2,Int_Sample[Ore],Int_Sample[Inc])) = 0, "YES", "NO"),"")</f>
        <v/>
      </c>
      <c r="I424" s="32" t="str">
        <f>TEXT(HLG_06[[#This Row],[Batch]],"000")&amp; " / " &amp; TEXT(HLG_06[[#This Row],[Rit]],"000")</f>
        <v>N/A / 000</v>
      </c>
      <c r="J424" s="34"/>
      <c r="K424" s="38"/>
      <c r="L424" s="35"/>
      <c r="M424" s="66"/>
      <c r="N424" s="66"/>
      <c r="O424" s="66"/>
      <c r="P424" s="66"/>
      <c r="Q424" s="66"/>
      <c r="R424" s="67"/>
      <c r="S424" s="67"/>
      <c r="T424" s="67"/>
      <c r="U424" s="66"/>
      <c r="V424" s="66"/>
      <c r="W424" s="66"/>
      <c r="X424" s="85"/>
      <c r="AP424" t="str">
        <v/>
      </c>
    </row>
    <row r="425" spans="4:42" ht="15.75" x14ac:dyDescent="0.25">
      <c r="D425" s="3">
        <v>1</v>
      </c>
      <c r="F425" s="16" t="str" cm="1">
        <f t="array" ref="F4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5" s="31" cm="1">
        <f t="array" ref="G4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5" s="33" t="str">
        <f>_xlfn.IFNA(IF(MOD(HLG_06[[#This Row],[Rit]],
    _xlfn.XLOOKUP($G$2,Int_Sample[Ore],Int_Sample[Inc])) = 0, "YES", "NO"),"")</f>
        <v/>
      </c>
      <c r="I425" s="32" t="str">
        <f>TEXT(HLG_06[[#This Row],[Batch]],"000")&amp; " / " &amp; TEXT(HLG_06[[#This Row],[Rit]],"000")</f>
        <v>N/A / 000</v>
      </c>
      <c r="J425" s="34"/>
      <c r="K425" s="38"/>
      <c r="L425" s="35"/>
      <c r="M425" s="66"/>
      <c r="N425" s="66"/>
      <c r="O425" s="66"/>
      <c r="P425" s="66"/>
      <c r="Q425" s="66"/>
      <c r="R425" s="67"/>
      <c r="S425" s="67"/>
      <c r="T425" s="67"/>
      <c r="U425" s="66"/>
      <c r="V425" s="66"/>
      <c r="W425" s="66"/>
      <c r="X425" s="85"/>
      <c r="AP425" t="str">
        <v/>
      </c>
    </row>
    <row r="426" spans="4:42" ht="15.75" x14ac:dyDescent="0.25">
      <c r="D426" s="3">
        <v>1</v>
      </c>
      <c r="F426" s="16" t="str" cm="1">
        <f t="array" ref="F4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6" s="31" cm="1">
        <f t="array" ref="G4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6" s="33" t="str">
        <f>_xlfn.IFNA(IF(MOD(HLG_06[[#This Row],[Rit]],
    _xlfn.XLOOKUP($G$2,Int_Sample[Ore],Int_Sample[Inc])) = 0, "YES", "NO"),"")</f>
        <v/>
      </c>
      <c r="I426" s="32" t="str">
        <f>TEXT(HLG_06[[#This Row],[Batch]],"000")&amp; " / " &amp; TEXT(HLG_06[[#This Row],[Rit]],"000")</f>
        <v>N/A / 000</v>
      </c>
      <c r="J426" s="34"/>
      <c r="K426" s="38"/>
      <c r="L426" s="35"/>
      <c r="M426" s="66"/>
      <c r="N426" s="66"/>
      <c r="O426" s="66"/>
      <c r="P426" s="66"/>
      <c r="Q426" s="66"/>
      <c r="R426" s="67"/>
      <c r="S426" s="67"/>
      <c r="T426" s="67"/>
      <c r="U426" s="66"/>
      <c r="V426" s="66"/>
      <c r="W426" s="66"/>
      <c r="X426" s="85"/>
      <c r="AP426" t="str">
        <v/>
      </c>
    </row>
    <row r="427" spans="4:42" ht="15.75" x14ac:dyDescent="0.25">
      <c r="D427" s="3">
        <v>1</v>
      </c>
      <c r="F427" s="16" t="str" cm="1">
        <f t="array" ref="F4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7" s="31" cm="1">
        <f t="array" ref="G4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7" s="33" t="str">
        <f>_xlfn.IFNA(IF(MOD(HLG_06[[#This Row],[Rit]],
    _xlfn.XLOOKUP($G$2,Int_Sample[Ore],Int_Sample[Inc])) = 0, "YES", "NO"),"")</f>
        <v/>
      </c>
      <c r="I427" s="32" t="str">
        <f>TEXT(HLG_06[[#This Row],[Batch]],"000")&amp; " / " &amp; TEXT(HLG_06[[#This Row],[Rit]],"000")</f>
        <v>N/A / 000</v>
      </c>
      <c r="J427" s="34"/>
      <c r="K427" s="38"/>
      <c r="L427" s="35"/>
      <c r="M427" s="66"/>
      <c r="N427" s="66"/>
      <c r="O427" s="66"/>
      <c r="P427" s="66"/>
      <c r="Q427" s="66"/>
      <c r="R427" s="67"/>
      <c r="S427" s="67"/>
      <c r="T427" s="67"/>
      <c r="U427" s="66"/>
      <c r="V427" s="66"/>
      <c r="W427" s="66"/>
      <c r="X427" s="85"/>
      <c r="AP427" t="str">
        <v/>
      </c>
    </row>
    <row r="428" spans="4:42" ht="15.75" x14ac:dyDescent="0.25">
      <c r="D428" s="3">
        <v>1</v>
      </c>
      <c r="F428" s="16" t="str" cm="1">
        <f t="array" ref="F4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8" s="31" cm="1">
        <f t="array" ref="G4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8" s="33" t="str">
        <f>_xlfn.IFNA(IF(MOD(HLG_06[[#This Row],[Rit]],
    _xlfn.XLOOKUP($G$2,Int_Sample[Ore],Int_Sample[Inc])) = 0, "YES", "NO"),"")</f>
        <v/>
      </c>
      <c r="I428" s="32" t="str">
        <f>TEXT(HLG_06[[#This Row],[Batch]],"000")&amp; " / " &amp; TEXT(HLG_06[[#This Row],[Rit]],"000")</f>
        <v>N/A / 000</v>
      </c>
      <c r="J428" s="34"/>
      <c r="K428" s="38"/>
      <c r="L428" s="35"/>
      <c r="M428" s="66"/>
      <c r="N428" s="66"/>
      <c r="O428" s="66"/>
      <c r="P428" s="66"/>
      <c r="Q428" s="66"/>
      <c r="R428" s="67"/>
      <c r="S428" s="67"/>
      <c r="T428" s="67"/>
      <c r="U428" s="66"/>
      <c r="V428" s="66"/>
      <c r="W428" s="66"/>
      <c r="X428" s="85"/>
      <c r="AP428" t="str">
        <v/>
      </c>
    </row>
    <row r="429" spans="4:42" ht="15.75" x14ac:dyDescent="0.25">
      <c r="D429" s="3">
        <v>1</v>
      </c>
      <c r="F429" s="16" t="str" cm="1">
        <f t="array" ref="F4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29" s="31" cm="1">
        <f t="array" ref="G4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29" s="33" t="str">
        <f>_xlfn.IFNA(IF(MOD(HLG_06[[#This Row],[Rit]],
    _xlfn.XLOOKUP($G$2,Int_Sample[Ore],Int_Sample[Inc])) = 0, "YES", "NO"),"")</f>
        <v/>
      </c>
      <c r="I429" s="32" t="str">
        <f>TEXT(HLG_06[[#This Row],[Batch]],"000")&amp; " / " &amp; TEXT(HLG_06[[#This Row],[Rit]],"000")</f>
        <v>N/A / 000</v>
      </c>
      <c r="J429" s="34"/>
      <c r="K429" s="38"/>
      <c r="L429" s="35"/>
      <c r="M429" s="66"/>
      <c r="N429" s="66"/>
      <c r="O429" s="66"/>
      <c r="P429" s="66"/>
      <c r="Q429" s="66"/>
      <c r="R429" s="67"/>
      <c r="S429" s="67"/>
      <c r="T429" s="67"/>
      <c r="U429" s="66"/>
      <c r="V429" s="66"/>
      <c r="W429" s="66"/>
      <c r="X429" s="85"/>
      <c r="AP429" t="str">
        <v/>
      </c>
    </row>
    <row r="430" spans="4:42" ht="15.75" x14ac:dyDescent="0.25">
      <c r="D430" s="3">
        <v>1</v>
      </c>
      <c r="F430" s="16" t="str" cm="1">
        <f t="array" ref="F4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0" s="31" cm="1">
        <f t="array" ref="G4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0" s="33" t="str">
        <f>_xlfn.IFNA(IF(MOD(HLG_06[[#This Row],[Rit]],
    _xlfn.XLOOKUP($G$2,Int_Sample[Ore],Int_Sample[Inc])) = 0, "YES", "NO"),"")</f>
        <v/>
      </c>
      <c r="I430" s="32" t="str">
        <f>TEXT(HLG_06[[#This Row],[Batch]],"000")&amp; " / " &amp; TEXT(HLG_06[[#This Row],[Rit]],"000")</f>
        <v>N/A / 000</v>
      </c>
      <c r="J430" s="34"/>
      <c r="K430" s="38"/>
      <c r="L430" s="35"/>
      <c r="M430" s="66"/>
      <c r="N430" s="66"/>
      <c r="O430" s="66"/>
      <c r="P430" s="66"/>
      <c r="Q430" s="66"/>
      <c r="R430" s="67"/>
      <c r="S430" s="67"/>
      <c r="T430" s="67"/>
      <c r="U430" s="66"/>
      <c r="V430" s="66"/>
      <c r="W430" s="66"/>
      <c r="X430" s="85"/>
      <c r="AP430" t="str">
        <v/>
      </c>
    </row>
    <row r="431" spans="4:42" ht="15.75" x14ac:dyDescent="0.25">
      <c r="D431" s="3">
        <v>1</v>
      </c>
      <c r="F431" s="16" t="str" cm="1">
        <f t="array" ref="F4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1" s="31" cm="1">
        <f t="array" ref="G4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1" s="33" t="str">
        <f>_xlfn.IFNA(IF(MOD(HLG_06[[#This Row],[Rit]],
    _xlfn.XLOOKUP($G$2,Int_Sample[Ore],Int_Sample[Inc])) = 0, "YES", "NO"),"")</f>
        <v/>
      </c>
      <c r="I431" s="32" t="str">
        <f>TEXT(HLG_06[[#This Row],[Batch]],"000")&amp; " / " &amp; TEXT(HLG_06[[#This Row],[Rit]],"000")</f>
        <v>N/A / 000</v>
      </c>
      <c r="J431" s="34"/>
      <c r="K431" s="38"/>
      <c r="L431" s="35"/>
      <c r="M431" s="66"/>
      <c r="N431" s="66"/>
      <c r="O431" s="66"/>
      <c r="P431" s="66"/>
      <c r="Q431" s="66"/>
      <c r="R431" s="67"/>
      <c r="S431" s="67"/>
      <c r="T431" s="67"/>
      <c r="U431" s="66"/>
      <c r="V431" s="66"/>
      <c r="W431" s="66"/>
      <c r="X431" s="85"/>
      <c r="AP431" t="str">
        <v/>
      </c>
    </row>
    <row r="432" spans="4:42" ht="15.75" x14ac:dyDescent="0.25">
      <c r="D432" s="3">
        <v>1</v>
      </c>
      <c r="F432" s="16" t="str" cm="1">
        <f t="array" ref="F4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2" s="31" cm="1">
        <f t="array" ref="G4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2" s="33" t="str">
        <f>_xlfn.IFNA(IF(MOD(HLG_06[[#This Row],[Rit]],
    _xlfn.XLOOKUP($G$2,Int_Sample[Ore],Int_Sample[Inc])) = 0, "YES", "NO"),"")</f>
        <v/>
      </c>
      <c r="I432" s="32" t="str">
        <f>TEXT(HLG_06[[#This Row],[Batch]],"000")&amp; " / " &amp; TEXT(HLG_06[[#This Row],[Rit]],"000")</f>
        <v>N/A / 000</v>
      </c>
      <c r="J432" s="34"/>
      <c r="K432" s="38"/>
      <c r="L432" s="35"/>
      <c r="M432" s="66"/>
      <c r="N432" s="66"/>
      <c r="O432" s="66"/>
      <c r="P432" s="66"/>
      <c r="Q432" s="66"/>
      <c r="R432" s="67"/>
      <c r="S432" s="67"/>
      <c r="T432" s="67"/>
      <c r="U432" s="66"/>
      <c r="V432" s="66"/>
      <c r="W432" s="66"/>
      <c r="X432" s="85"/>
      <c r="AP432" t="str">
        <v/>
      </c>
    </row>
    <row r="433" spans="4:42" ht="15.75" x14ac:dyDescent="0.25">
      <c r="D433" s="3">
        <v>1</v>
      </c>
      <c r="F433" s="16" t="str" cm="1">
        <f t="array" ref="F4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3" s="31" cm="1">
        <f t="array" ref="G4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3" s="33" t="str">
        <f>_xlfn.IFNA(IF(MOD(HLG_06[[#This Row],[Rit]],
    _xlfn.XLOOKUP($G$2,Int_Sample[Ore],Int_Sample[Inc])) = 0, "YES", "NO"),"")</f>
        <v/>
      </c>
      <c r="I433" s="32" t="str">
        <f>TEXT(HLG_06[[#This Row],[Batch]],"000")&amp; " / " &amp; TEXT(HLG_06[[#This Row],[Rit]],"000")</f>
        <v>N/A / 000</v>
      </c>
      <c r="J433" s="34"/>
      <c r="K433" s="38"/>
      <c r="L433" s="35"/>
      <c r="M433" s="66"/>
      <c r="N433" s="66"/>
      <c r="O433" s="66"/>
      <c r="P433" s="66"/>
      <c r="Q433" s="66"/>
      <c r="R433" s="67"/>
      <c r="S433" s="67"/>
      <c r="T433" s="67"/>
      <c r="U433" s="66"/>
      <c r="V433" s="66"/>
      <c r="W433" s="66"/>
      <c r="X433" s="85"/>
      <c r="AP433" t="str">
        <v/>
      </c>
    </row>
    <row r="434" spans="4:42" ht="15.75" x14ac:dyDescent="0.25">
      <c r="D434" s="3">
        <v>1</v>
      </c>
      <c r="F434" s="16" t="str" cm="1">
        <f t="array" ref="F4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4" s="31" cm="1">
        <f t="array" ref="G4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4" s="33" t="str">
        <f>_xlfn.IFNA(IF(MOD(HLG_06[[#This Row],[Rit]],
    _xlfn.XLOOKUP($G$2,Int_Sample[Ore],Int_Sample[Inc])) = 0, "YES", "NO"),"")</f>
        <v/>
      </c>
      <c r="I434" s="32" t="str">
        <f>TEXT(HLG_06[[#This Row],[Batch]],"000")&amp; " / " &amp; TEXT(HLG_06[[#This Row],[Rit]],"000")</f>
        <v>N/A / 000</v>
      </c>
      <c r="J434" s="34"/>
      <c r="K434" s="38"/>
      <c r="L434" s="35"/>
      <c r="M434" s="66"/>
      <c r="N434" s="66"/>
      <c r="O434" s="66"/>
      <c r="P434" s="66"/>
      <c r="Q434" s="66"/>
      <c r="R434" s="67"/>
      <c r="S434" s="67"/>
      <c r="T434" s="67"/>
      <c r="U434" s="66"/>
      <c r="V434" s="66"/>
      <c r="W434" s="66"/>
      <c r="X434" s="85"/>
      <c r="AP434" t="str">
        <v/>
      </c>
    </row>
    <row r="435" spans="4:42" ht="15.75" x14ac:dyDescent="0.25">
      <c r="D435" s="3">
        <v>1</v>
      </c>
      <c r="F435" s="16" t="str" cm="1">
        <f t="array" ref="F4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5" s="31" cm="1">
        <f t="array" ref="G4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5" s="33" t="str">
        <f>_xlfn.IFNA(IF(MOD(HLG_06[[#This Row],[Rit]],
    _xlfn.XLOOKUP($G$2,Int_Sample[Ore],Int_Sample[Inc])) = 0, "YES", "NO"),"")</f>
        <v/>
      </c>
      <c r="I435" s="32" t="str">
        <f>TEXT(HLG_06[[#This Row],[Batch]],"000")&amp; " / " &amp; TEXT(HLG_06[[#This Row],[Rit]],"000")</f>
        <v>N/A / 000</v>
      </c>
      <c r="J435" s="34"/>
      <c r="K435" s="38"/>
      <c r="L435" s="35"/>
      <c r="M435" s="66"/>
      <c r="N435" s="66"/>
      <c r="O435" s="66"/>
      <c r="P435" s="66"/>
      <c r="Q435" s="66"/>
      <c r="R435" s="67"/>
      <c r="S435" s="67"/>
      <c r="T435" s="67"/>
      <c r="U435" s="66"/>
      <c r="V435" s="66"/>
      <c r="W435" s="66"/>
      <c r="X435" s="85"/>
      <c r="AP435" t="str">
        <v/>
      </c>
    </row>
    <row r="436" spans="4:42" ht="15.75" x14ac:dyDescent="0.25">
      <c r="D436" s="3">
        <v>1</v>
      </c>
      <c r="F436" s="16" t="str" cm="1">
        <f t="array" ref="F4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6" s="31" cm="1">
        <f t="array" ref="G4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6" s="33" t="str">
        <f>_xlfn.IFNA(IF(MOD(HLG_06[[#This Row],[Rit]],
    _xlfn.XLOOKUP($G$2,Int_Sample[Ore],Int_Sample[Inc])) = 0, "YES", "NO"),"")</f>
        <v/>
      </c>
      <c r="I436" s="32" t="str">
        <f>TEXT(HLG_06[[#This Row],[Batch]],"000")&amp; " / " &amp; TEXT(HLG_06[[#This Row],[Rit]],"000")</f>
        <v>N/A / 000</v>
      </c>
      <c r="J436" s="34"/>
      <c r="K436" s="38"/>
      <c r="L436" s="35"/>
      <c r="M436" s="66"/>
      <c r="N436" s="66"/>
      <c r="O436" s="66"/>
      <c r="P436" s="66"/>
      <c r="Q436" s="66"/>
      <c r="R436" s="67"/>
      <c r="S436" s="67"/>
      <c r="T436" s="67"/>
      <c r="U436" s="66"/>
      <c r="V436" s="66"/>
      <c r="W436" s="66"/>
      <c r="X436" s="85"/>
      <c r="AP436" t="str">
        <v/>
      </c>
    </row>
    <row r="437" spans="4:42" ht="15.75" x14ac:dyDescent="0.25">
      <c r="D437" s="3">
        <v>1</v>
      </c>
      <c r="F437" s="16" t="str" cm="1">
        <f t="array" ref="F4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7" s="31" cm="1">
        <f t="array" ref="G4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7" s="33" t="str">
        <f>_xlfn.IFNA(IF(MOD(HLG_06[[#This Row],[Rit]],
    _xlfn.XLOOKUP($G$2,Int_Sample[Ore],Int_Sample[Inc])) = 0, "YES", "NO"),"")</f>
        <v/>
      </c>
      <c r="I437" s="32" t="str">
        <f>TEXT(HLG_06[[#This Row],[Batch]],"000")&amp; " / " &amp; TEXT(HLG_06[[#This Row],[Rit]],"000")</f>
        <v>N/A / 000</v>
      </c>
      <c r="J437" s="34"/>
      <c r="K437" s="38"/>
      <c r="L437" s="35"/>
      <c r="M437" s="66"/>
      <c r="N437" s="66"/>
      <c r="O437" s="66"/>
      <c r="P437" s="66"/>
      <c r="Q437" s="66"/>
      <c r="R437" s="67"/>
      <c r="S437" s="67"/>
      <c r="T437" s="67"/>
      <c r="U437" s="66"/>
      <c r="V437" s="66"/>
      <c r="W437" s="66"/>
      <c r="X437" s="85"/>
      <c r="AP437" t="str">
        <v/>
      </c>
    </row>
    <row r="438" spans="4:42" ht="15.75" x14ac:dyDescent="0.25">
      <c r="D438" s="3">
        <v>1</v>
      </c>
      <c r="F438" s="16" t="str" cm="1">
        <f t="array" ref="F4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8" s="31" cm="1">
        <f t="array" ref="G4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8" s="33" t="str">
        <f>_xlfn.IFNA(IF(MOD(HLG_06[[#This Row],[Rit]],
    _xlfn.XLOOKUP($G$2,Int_Sample[Ore],Int_Sample[Inc])) = 0, "YES", "NO"),"")</f>
        <v/>
      </c>
      <c r="I438" s="32" t="str">
        <f>TEXT(HLG_06[[#This Row],[Batch]],"000")&amp; " / " &amp; TEXT(HLG_06[[#This Row],[Rit]],"000")</f>
        <v>N/A / 000</v>
      </c>
      <c r="J438" s="34"/>
      <c r="K438" s="38"/>
      <c r="L438" s="35"/>
      <c r="M438" s="66"/>
      <c r="N438" s="66"/>
      <c r="O438" s="66"/>
      <c r="P438" s="66"/>
      <c r="Q438" s="66"/>
      <c r="R438" s="67"/>
      <c r="S438" s="67"/>
      <c r="T438" s="67"/>
      <c r="U438" s="66"/>
      <c r="V438" s="66"/>
      <c r="W438" s="66"/>
      <c r="X438" s="85"/>
      <c r="AP438" t="str">
        <v/>
      </c>
    </row>
    <row r="439" spans="4:42" ht="15.75" x14ac:dyDescent="0.25">
      <c r="D439" s="3">
        <v>1</v>
      </c>
      <c r="F439" s="16" t="str" cm="1">
        <f t="array" ref="F4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39" s="31" cm="1">
        <f t="array" ref="G4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39" s="33" t="str">
        <f>_xlfn.IFNA(IF(MOD(HLG_06[[#This Row],[Rit]],
    _xlfn.XLOOKUP($G$2,Int_Sample[Ore],Int_Sample[Inc])) = 0, "YES", "NO"),"")</f>
        <v/>
      </c>
      <c r="I439" s="32" t="str">
        <f>TEXT(HLG_06[[#This Row],[Batch]],"000")&amp; " / " &amp; TEXT(HLG_06[[#This Row],[Rit]],"000")</f>
        <v>N/A / 000</v>
      </c>
      <c r="J439" s="34"/>
      <c r="K439" s="38"/>
      <c r="L439" s="35"/>
      <c r="M439" s="66"/>
      <c r="N439" s="66"/>
      <c r="O439" s="66"/>
      <c r="P439" s="66"/>
      <c r="Q439" s="66"/>
      <c r="R439" s="67"/>
      <c r="S439" s="67"/>
      <c r="T439" s="67"/>
      <c r="U439" s="66"/>
      <c r="V439" s="66"/>
      <c r="W439" s="66"/>
      <c r="X439" s="85"/>
      <c r="AP439" t="str">
        <v/>
      </c>
    </row>
    <row r="440" spans="4:42" ht="15.75" x14ac:dyDescent="0.25">
      <c r="D440" s="3">
        <v>1</v>
      </c>
      <c r="F440" s="16" t="str" cm="1">
        <f t="array" ref="F4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0" s="31" cm="1">
        <f t="array" ref="G4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0" s="33" t="str">
        <f>_xlfn.IFNA(IF(MOD(HLG_06[[#This Row],[Rit]],
    _xlfn.XLOOKUP($G$2,Int_Sample[Ore],Int_Sample[Inc])) = 0, "YES", "NO"),"")</f>
        <v/>
      </c>
      <c r="I440" s="32" t="str">
        <f>TEXT(HLG_06[[#This Row],[Batch]],"000")&amp; " / " &amp; TEXT(HLG_06[[#This Row],[Rit]],"000")</f>
        <v>N/A / 000</v>
      </c>
      <c r="J440" s="34"/>
      <c r="K440" s="38"/>
      <c r="L440" s="35"/>
      <c r="M440" s="66"/>
      <c r="N440" s="66"/>
      <c r="O440" s="66"/>
      <c r="P440" s="66"/>
      <c r="Q440" s="66"/>
      <c r="R440" s="67"/>
      <c r="S440" s="67"/>
      <c r="T440" s="67"/>
      <c r="U440" s="66"/>
      <c r="V440" s="66"/>
      <c r="W440" s="66"/>
      <c r="X440" s="85"/>
      <c r="AP440" t="str">
        <v/>
      </c>
    </row>
    <row r="441" spans="4:42" ht="15.75" x14ac:dyDescent="0.25">
      <c r="D441" s="3">
        <v>1</v>
      </c>
      <c r="F441" s="16" t="str" cm="1">
        <f t="array" ref="F4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1" s="31" cm="1">
        <f t="array" ref="G4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1" s="33" t="str">
        <f>_xlfn.IFNA(IF(MOD(HLG_06[[#This Row],[Rit]],
    _xlfn.XLOOKUP($G$2,Int_Sample[Ore],Int_Sample[Inc])) = 0, "YES", "NO"),"")</f>
        <v/>
      </c>
      <c r="I441" s="32" t="str">
        <f>TEXT(HLG_06[[#This Row],[Batch]],"000")&amp; " / " &amp; TEXT(HLG_06[[#This Row],[Rit]],"000")</f>
        <v>N/A / 000</v>
      </c>
      <c r="J441" s="34"/>
      <c r="K441" s="38"/>
      <c r="L441" s="35"/>
      <c r="M441" s="66"/>
      <c r="N441" s="66"/>
      <c r="O441" s="66"/>
      <c r="P441" s="66"/>
      <c r="Q441" s="66"/>
      <c r="R441" s="67"/>
      <c r="S441" s="67"/>
      <c r="T441" s="67"/>
      <c r="U441" s="66"/>
      <c r="V441" s="66"/>
      <c r="W441" s="66"/>
      <c r="X441" s="85"/>
      <c r="AP441" t="str">
        <v/>
      </c>
    </row>
    <row r="442" spans="4:42" ht="15.75" x14ac:dyDescent="0.25">
      <c r="D442" s="3">
        <v>1</v>
      </c>
      <c r="F442" s="16" t="str" cm="1">
        <f t="array" ref="F4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2" s="31" cm="1">
        <f t="array" ref="G4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2" s="33" t="str">
        <f>_xlfn.IFNA(IF(MOD(HLG_06[[#This Row],[Rit]],
    _xlfn.XLOOKUP($G$2,Int_Sample[Ore],Int_Sample[Inc])) = 0, "YES", "NO"),"")</f>
        <v/>
      </c>
      <c r="I442" s="32" t="str">
        <f>TEXT(HLG_06[[#This Row],[Batch]],"000")&amp; " / " &amp; TEXT(HLG_06[[#This Row],[Rit]],"000")</f>
        <v>N/A / 000</v>
      </c>
      <c r="J442" s="34"/>
      <c r="K442" s="38"/>
      <c r="L442" s="35"/>
      <c r="M442" s="66"/>
      <c r="N442" s="66"/>
      <c r="O442" s="66"/>
      <c r="P442" s="66"/>
      <c r="Q442" s="66"/>
      <c r="R442" s="67"/>
      <c r="S442" s="67"/>
      <c r="T442" s="67"/>
      <c r="U442" s="66"/>
      <c r="V442" s="66"/>
      <c r="W442" s="66"/>
      <c r="X442" s="85"/>
      <c r="AP442" t="str">
        <v/>
      </c>
    </row>
    <row r="443" spans="4:42" ht="15.75" x14ac:dyDescent="0.25">
      <c r="D443" s="3">
        <v>1</v>
      </c>
      <c r="F443" s="16" t="str" cm="1">
        <f t="array" ref="F4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3" s="31" cm="1">
        <f t="array" ref="G4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3" s="33" t="str">
        <f>_xlfn.IFNA(IF(MOD(HLG_06[[#This Row],[Rit]],
    _xlfn.XLOOKUP($G$2,Int_Sample[Ore],Int_Sample[Inc])) = 0, "YES", "NO"),"")</f>
        <v/>
      </c>
      <c r="I443" s="32" t="str">
        <f>TEXT(HLG_06[[#This Row],[Batch]],"000")&amp; " / " &amp; TEXT(HLG_06[[#This Row],[Rit]],"000")</f>
        <v>N/A / 000</v>
      </c>
      <c r="J443" s="34"/>
      <c r="K443" s="38"/>
      <c r="L443" s="35"/>
      <c r="M443" s="66"/>
      <c r="N443" s="66"/>
      <c r="O443" s="66"/>
      <c r="P443" s="66"/>
      <c r="Q443" s="66"/>
      <c r="R443" s="67"/>
      <c r="S443" s="67"/>
      <c r="T443" s="67"/>
      <c r="U443" s="66"/>
      <c r="V443" s="66"/>
      <c r="W443" s="66"/>
      <c r="X443" s="85"/>
      <c r="AP443" t="str">
        <v/>
      </c>
    </row>
    <row r="444" spans="4:42" ht="15.75" x14ac:dyDescent="0.25">
      <c r="D444" s="3">
        <v>1</v>
      </c>
      <c r="F444" s="16" t="str" cm="1">
        <f t="array" ref="F4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4" s="31" cm="1">
        <f t="array" ref="G4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4" s="33" t="str">
        <f>_xlfn.IFNA(IF(MOD(HLG_06[[#This Row],[Rit]],
    _xlfn.XLOOKUP($G$2,Int_Sample[Ore],Int_Sample[Inc])) = 0, "YES", "NO"),"")</f>
        <v/>
      </c>
      <c r="I444" s="32" t="str">
        <f>TEXT(HLG_06[[#This Row],[Batch]],"000")&amp; " / " &amp; TEXT(HLG_06[[#This Row],[Rit]],"000")</f>
        <v>N/A / 000</v>
      </c>
      <c r="J444" s="34"/>
      <c r="K444" s="38"/>
      <c r="L444" s="35"/>
      <c r="M444" s="66"/>
      <c r="N444" s="66"/>
      <c r="O444" s="66"/>
      <c r="P444" s="66"/>
      <c r="Q444" s="66"/>
      <c r="R444" s="67"/>
      <c r="S444" s="67"/>
      <c r="T444" s="67"/>
      <c r="U444" s="66"/>
      <c r="V444" s="66"/>
      <c r="W444" s="66"/>
      <c r="X444" s="85"/>
      <c r="AP444" t="str">
        <v/>
      </c>
    </row>
    <row r="445" spans="4:42" ht="15.75" x14ac:dyDescent="0.25">
      <c r="D445" s="3">
        <v>1</v>
      </c>
      <c r="F445" s="16" t="str" cm="1">
        <f t="array" ref="F4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5" s="31" cm="1">
        <f t="array" ref="G4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5" s="33" t="str">
        <f>_xlfn.IFNA(IF(MOD(HLG_06[[#This Row],[Rit]],
    _xlfn.XLOOKUP($G$2,Int_Sample[Ore],Int_Sample[Inc])) = 0, "YES", "NO"),"")</f>
        <v/>
      </c>
      <c r="I445" s="32" t="str">
        <f>TEXT(HLG_06[[#This Row],[Batch]],"000")&amp; " / " &amp; TEXT(HLG_06[[#This Row],[Rit]],"000")</f>
        <v>N/A / 000</v>
      </c>
      <c r="J445" s="34"/>
      <c r="K445" s="38"/>
      <c r="L445" s="35"/>
      <c r="M445" s="66"/>
      <c r="N445" s="66"/>
      <c r="O445" s="66"/>
      <c r="P445" s="66"/>
      <c r="Q445" s="66"/>
      <c r="R445" s="67"/>
      <c r="S445" s="67"/>
      <c r="T445" s="67"/>
      <c r="U445" s="66"/>
      <c r="V445" s="66"/>
      <c r="W445" s="66"/>
      <c r="X445" s="85"/>
      <c r="AP445" t="str">
        <v/>
      </c>
    </row>
    <row r="446" spans="4:42" ht="15.75" x14ac:dyDescent="0.25">
      <c r="D446" s="3">
        <v>1</v>
      </c>
      <c r="F446" s="16" t="str" cm="1">
        <f t="array" ref="F4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6" s="31" cm="1">
        <f t="array" ref="G4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6" s="33" t="str">
        <f>_xlfn.IFNA(IF(MOD(HLG_06[[#This Row],[Rit]],
    _xlfn.XLOOKUP($G$2,Int_Sample[Ore],Int_Sample[Inc])) = 0, "YES", "NO"),"")</f>
        <v/>
      </c>
      <c r="I446" s="32" t="str">
        <f>TEXT(HLG_06[[#This Row],[Batch]],"000")&amp; " / " &amp; TEXT(HLG_06[[#This Row],[Rit]],"000")</f>
        <v>N/A / 000</v>
      </c>
      <c r="J446" s="34"/>
      <c r="K446" s="38"/>
      <c r="L446" s="35"/>
      <c r="M446" s="66"/>
      <c r="N446" s="66"/>
      <c r="O446" s="66"/>
      <c r="P446" s="66"/>
      <c r="Q446" s="66"/>
      <c r="R446" s="67"/>
      <c r="S446" s="67"/>
      <c r="T446" s="67"/>
      <c r="U446" s="66"/>
      <c r="V446" s="66"/>
      <c r="W446" s="66"/>
      <c r="X446" s="85"/>
      <c r="AP446" t="str">
        <v/>
      </c>
    </row>
    <row r="447" spans="4:42" ht="15.75" x14ac:dyDescent="0.25">
      <c r="D447" s="3">
        <v>1</v>
      </c>
      <c r="F447" s="16" t="str" cm="1">
        <f t="array" ref="F4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7" s="31" cm="1">
        <f t="array" ref="G4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7" s="33" t="str">
        <f>_xlfn.IFNA(IF(MOD(HLG_06[[#This Row],[Rit]],
    _xlfn.XLOOKUP($G$2,Int_Sample[Ore],Int_Sample[Inc])) = 0, "YES", "NO"),"")</f>
        <v/>
      </c>
      <c r="I447" s="32" t="str">
        <f>TEXT(HLG_06[[#This Row],[Batch]],"000")&amp; " / " &amp; TEXT(HLG_06[[#This Row],[Rit]],"000")</f>
        <v>N/A / 000</v>
      </c>
      <c r="J447" s="34"/>
      <c r="K447" s="38"/>
      <c r="L447" s="35"/>
      <c r="M447" s="66"/>
      <c r="N447" s="66"/>
      <c r="O447" s="66"/>
      <c r="P447" s="66"/>
      <c r="Q447" s="66"/>
      <c r="R447" s="67"/>
      <c r="S447" s="67"/>
      <c r="T447" s="67"/>
      <c r="U447" s="66"/>
      <c r="V447" s="66"/>
      <c r="W447" s="66"/>
      <c r="X447" s="85"/>
      <c r="AP447" t="str">
        <v/>
      </c>
    </row>
    <row r="448" spans="4:42" ht="15.75" x14ac:dyDescent="0.25">
      <c r="D448" s="3">
        <v>1</v>
      </c>
      <c r="F448" s="16" t="str" cm="1">
        <f t="array" ref="F4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8" s="31" cm="1">
        <f t="array" ref="G4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8" s="33" t="str">
        <f>_xlfn.IFNA(IF(MOD(HLG_06[[#This Row],[Rit]],
    _xlfn.XLOOKUP($G$2,Int_Sample[Ore],Int_Sample[Inc])) = 0, "YES", "NO"),"")</f>
        <v/>
      </c>
      <c r="I448" s="32" t="str">
        <f>TEXT(HLG_06[[#This Row],[Batch]],"000")&amp; " / " &amp; TEXT(HLG_06[[#This Row],[Rit]],"000")</f>
        <v>N/A / 000</v>
      </c>
      <c r="J448" s="34"/>
      <c r="K448" s="38"/>
      <c r="L448" s="35"/>
      <c r="M448" s="66"/>
      <c r="N448" s="66"/>
      <c r="O448" s="66"/>
      <c r="P448" s="66"/>
      <c r="Q448" s="66"/>
      <c r="R448" s="67"/>
      <c r="S448" s="67"/>
      <c r="T448" s="67"/>
      <c r="U448" s="66"/>
      <c r="V448" s="66"/>
      <c r="W448" s="66"/>
      <c r="X448" s="85"/>
      <c r="AP448" t="str">
        <v/>
      </c>
    </row>
    <row r="449" spans="4:42" ht="15.75" x14ac:dyDescent="0.25">
      <c r="D449" s="3">
        <v>1</v>
      </c>
      <c r="F449" s="16" t="str" cm="1">
        <f t="array" ref="F4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49" s="31" cm="1">
        <f t="array" ref="G4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49" s="33" t="str">
        <f>_xlfn.IFNA(IF(MOD(HLG_06[[#This Row],[Rit]],
    _xlfn.XLOOKUP($G$2,Int_Sample[Ore],Int_Sample[Inc])) = 0, "YES", "NO"),"")</f>
        <v/>
      </c>
      <c r="I449" s="32" t="str">
        <f>TEXT(HLG_06[[#This Row],[Batch]],"000")&amp; " / " &amp; TEXT(HLG_06[[#This Row],[Rit]],"000")</f>
        <v>N/A / 000</v>
      </c>
      <c r="J449" s="34"/>
      <c r="K449" s="38"/>
      <c r="L449" s="35"/>
      <c r="M449" s="66"/>
      <c r="N449" s="66"/>
      <c r="O449" s="66"/>
      <c r="P449" s="66"/>
      <c r="Q449" s="66"/>
      <c r="R449" s="67"/>
      <c r="S449" s="67"/>
      <c r="T449" s="67"/>
      <c r="U449" s="66"/>
      <c r="V449" s="66"/>
      <c r="W449" s="66"/>
      <c r="X449" s="85"/>
      <c r="AP449" t="str">
        <v/>
      </c>
    </row>
    <row r="450" spans="4:42" ht="15.75" x14ac:dyDescent="0.25">
      <c r="D450" s="3">
        <v>1</v>
      </c>
      <c r="F450" s="16" t="str" cm="1">
        <f t="array" ref="F4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0" s="31" cm="1">
        <f t="array" ref="G4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0" s="33" t="str">
        <f>_xlfn.IFNA(IF(MOD(HLG_06[[#This Row],[Rit]],
    _xlfn.XLOOKUP($G$2,Int_Sample[Ore],Int_Sample[Inc])) = 0, "YES", "NO"),"")</f>
        <v/>
      </c>
      <c r="I450" s="32" t="str">
        <f>TEXT(HLG_06[[#This Row],[Batch]],"000")&amp; " / " &amp; TEXT(HLG_06[[#This Row],[Rit]],"000")</f>
        <v>N/A / 000</v>
      </c>
      <c r="J450" s="34"/>
      <c r="K450" s="38"/>
      <c r="L450" s="35"/>
      <c r="M450" s="66"/>
      <c r="N450" s="66"/>
      <c r="O450" s="66"/>
      <c r="P450" s="66"/>
      <c r="Q450" s="66"/>
      <c r="R450" s="67"/>
      <c r="S450" s="67"/>
      <c r="T450" s="67"/>
      <c r="U450" s="66"/>
      <c r="V450" s="66"/>
      <c r="W450" s="66"/>
      <c r="X450" s="85"/>
      <c r="AP450" t="str">
        <v/>
      </c>
    </row>
    <row r="451" spans="4:42" ht="15.75" x14ac:dyDescent="0.25">
      <c r="D451" s="3">
        <v>1</v>
      </c>
      <c r="F451" s="16" t="str" cm="1">
        <f t="array" ref="F4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1" s="31" cm="1">
        <f t="array" ref="G4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1" s="33" t="str">
        <f>_xlfn.IFNA(IF(MOD(HLG_06[[#This Row],[Rit]],
    _xlfn.XLOOKUP($G$2,Int_Sample[Ore],Int_Sample[Inc])) = 0, "YES", "NO"),"")</f>
        <v/>
      </c>
      <c r="I451" s="32" t="str">
        <f>TEXT(HLG_06[[#This Row],[Batch]],"000")&amp; " / " &amp; TEXT(HLG_06[[#This Row],[Rit]],"000")</f>
        <v>N/A / 000</v>
      </c>
      <c r="J451" s="34"/>
      <c r="K451" s="38"/>
      <c r="L451" s="35"/>
      <c r="M451" s="66"/>
      <c r="N451" s="66"/>
      <c r="O451" s="66"/>
      <c r="P451" s="66"/>
      <c r="Q451" s="66"/>
      <c r="R451" s="67"/>
      <c r="S451" s="67"/>
      <c r="T451" s="67"/>
      <c r="U451" s="66"/>
      <c r="V451" s="66"/>
      <c r="W451" s="66"/>
      <c r="X451" s="85"/>
      <c r="AP451" t="str">
        <v/>
      </c>
    </row>
    <row r="452" spans="4:42" ht="15.75" x14ac:dyDescent="0.25">
      <c r="D452" s="3">
        <v>1</v>
      </c>
      <c r="F452" s="16" t="str" cm="1">
        <f t="array" ref="F4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2" s="31" cm="1">
        <f t="array" ref="G4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2" s="33" t="str">
        <f>_xlfn.IFNA(IF(MOD(HLG_06[[#This Row],[Rit]],
    _xlfn.XLOOKUP($G$2,Int_Sample[Ore],Int_Sample[Inc])) = 0, "YES", "NO"),"")</f>
        <v/>
      </c>
      <c r="I452" s="32" t="str">
        <f>TEXT(HLG_06[[#This Row],[Batch]],"000")&amp; " / " &amp; TEXT(HLG_06[[#This Row],[Rit]],"000")</f>
        <v>N/A / 000</v>
      </c>
      <c r="J452" s="34"/>
      <c r="K452" s="38"/>
      <c r="L452" s="35"/>
      <c r="M452" s="66"/>
      <c r="N452" s="66"/>
      <c r="O452" s="66"/>
      <c r="P452" s="66"/>
      <c r="Q452" s="66"/>
      <c r="R452" s="67"/>
      <c r="S452" s="67"/>
      <c r="T452" s="67"/>
      <c r="U452" s="66"/>
      <c r="V452" s="66"/>
      <c r="W452" s="66"/>
      <c r="X452" s="85"/>
      <c r="AP452" t="str">
        <v/>
      </c>
    </row>
    <row r="453" spans="4:42" ht="15.75" x14ac:dyDescent="0.25">
      <c r="D453" s="3">
        <v>1</v>
      </c>
      <c r="F453" s="16" t="str" cm="1">
        <f t="array" ref="F4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3" s="31" cm="1">
        <f t="array" ref="G4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3" s="33" t="str">
        <f>_xlfn.IFNA(IF(MOD(HLG_06[[#This Row],[Rit]],
    _xlfn.XLOOKUP($G$2,Int_Sample[Ore],Int_Sample[Inc])) = 0, "YES", "NO"),"")</f>
        <v/>
      </c>
      <c r="I453" s="32" t="str">
        <f>TEXT(HLG_06[[#This Row],[Batch]],"000")&amp; " / " &amp; TEXT(HLG_06[[#This Row],[Rit]],"000")</f>
        <v>N/A / 000</v>
      </c>
      <c r="J453" s="34"/>
      <c r="K453" s="38"/>
      <c r="L453" s="35"/>
      <c r="M453" s="66"/>
      <c r="N453" s="66"/>
      <c r="O453" s="66"/>
      <c r="P453" s="66"/>
      <c r="Q453" s="66"/>
      <c r="R453" s="67"/>
      <c r="S453" s="67"/>
      <c r="T453" s="67"/>
      <c r="U453" s="66"/>
      <c r="V453" s="66"/>
      <c r="W453" s="66"/>
      <c r="X453" s="85"/>
      <c r="AP453" t="str">
        <v/>
      </c>
    </row>
    <row r="454" spans="4:42" ht="15.75" x14ac:dyDescent="0.25">
      <c r="D454" s="3">
        <v>1</v>
      </c>
      <c r="F454" s="16" t="str" cm="1">
        <f t="array" ref="F4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4" s="31" cm="1">
        <f t="array" ref="G4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4" s="33" t="str">
        <f>_xlfn.IFNA(IF(MOD(HLG_06[[#This Row],[Rit]],
    _xlfn.XLOOKUP($G$2,Int_Sample[Ore],Int_Sample[Inc])) = 0, "YES", "NO"),"")</f>
        <v/>
      </c>
      <c r="I454" s="32" t="str">
        <f>TEXT(HLG_06[[#This Row],[Batch]],"000")&amp; " / " &amp; TEXT(HLG_06[[#This Row],[Rit]],"000")</f>
        <v>N/A / 000</v>
      </c>
      <c r="J454" s="34"/>
      <c r="K454" s="38"/>
      <c r="L454" s="35"/>
      <c r="M454" s="66"/>
      <c r="N454" s="66"/>
      <c r="O454" s="66"/>
      <c r="P454" s="66"/>
      <c r="Q454" s="66"/>
      <c r="R454" s="67"/>
      <c r="S454" s="67"/>
      <c r="T454" s="67"/>
      <c r="U454" s="66"/>
      <c r="V454" s="66"/>
      <c r="W454" s="66"/>
      <c r="X454" s="85"/>
      <c r="AP454" t="str">
        <v/>
      </c>
    </row>
    <row r="455" spans="4:42" ht="15.75" x14ac:dyDescent="0.25">
      <c r="D455" s="3">
        <v>1</v>
      </c>
      <c r="F455" s="16" t="str" cm="1">
        <f t="array" ref="F4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5" s="31" cm="1">
        <f t="array" ref="G4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5" s="33" t="str">
        <f>_xlfn.IFNA(IF(MOD(HLG_06[[#This Row],[Rit]],
    _xlfn.XLOOKUP($G$2,Int_Sample[Ore],Int_Sample[Inc])) = 0, "YES", "NO"),"")</f>
        <v/>
      </c>
      <c r="I455" s="32" t="str">
        <f>TEXT(HLG_06[[#This Row],[Batch]],"000")&amp; " / " &amp; TEXT(HLG_06[[#This Row],[Rit]],"000")</f>
        <v>N/A / 000</v>
      </c>
      <c r="J455" s="34"/>
      <c r="K455" s="38"/>
      <c r="L455" s="35"/>
      <c r="M455" s="66"/>
      <c r="N455" s="66"/>
      <c r="O455" s="66"/>
      <c r="P455" s="66"/>
      <c r="Q455" s="66"/>
      <c r="R455" s="67"/>
      <c r="S455" s="67"/>
      <c r="T455" s="67"/>
      <c r="U455" s="66"/>
      <c r="V455" s="66"/>
      <c r="W455" s="66"/>
      <c r="X455" s="85"/>
      <c r="AP455" t="str">
        <v/>
      </c>
    </row>
    <row r="456" spans="4:42" ht="15.75" x14ac:dyDescent="0.25">
      <c r="D456" s="3">
        <v>1</v>
      </c>
      <c r="F456" s="16" t="str" cm="1">
        <f t="array" ref="F4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6" s="31" cm="1">
        <f t="array" ref="G4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6" s="33" t="str">
        <f>_xlfn.IFNA(IF(MOD(HLG_06[[#This Row],[Rit]],
    _xlfn.XLOOKUP($G$2,Int_Sample[Ore],Int_Sample[Inc])) = 0, "YES", "NO"),"")</f>
        <v/>
      </c>
      <c r="I456" s="32" t="str">
        <f>TEXT(HLG_06[[#This Row],[Batch]],"000")&amp; " / " &amp; TEXT(HLG_06[[#This Row],[Rit]],"000")</f>
        <v>N/A / 000</v>
      </c>
      <c r="J456" s="34"/>
      <c r="K456" s="38"/>
      <c r="L456" s="35"/>
      <c r="M456" s="66"/>
      <c r="N456" s="66"/>
      <c r="O456" s="66"/>
      <c r="P456" s="66"/>
      <c r="Q456" s="66"/>
      <c r="R456" s="67"/>
      <c r="S456" s="67"/>
      <c r="T456" s="67"/>
      <c r="U456" s="66"/>
      <c r="V456" s="66"/>
      <c r="W456" s="66"/>
      <c r="X456" s="85"/>
      <c r="AP456" t="str">
        <v/>
      </c>
    </row>
    <row r="457" spans="4:42" ht="15.75" x14ac:dyDescent="0.25">
      <c r="D457" s="3">
        <v>1</v>
      </c>
      <c r="F457" s="16" t="str" cm="1">
        <f t="array" ref="F4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7" s="31" cm="1">
        <f t="array" ref="G4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7" s="33" t="str">
        <f>_xlfn.IFNA(IF(MOD(HLG_06[[#This Row],[Rit]],
    _xlfn.XLOOKUP($G$2,Int_Sample[Ore],Int_Sample[Inc])) = 0, "YES", "NO"),"")</f>
        <v/>
      </c>
      <c r="I457" s="32" t="str">
        <f>TEXT(HLG_06[[#This Row],[Batch]],"000")&amp; " / " &amp; TEXT(HLG_06[[#This Row],[Rit]],"000")</f>
        <v>N/A / 000</v>
      </c>
      <c r="J457" s="34"/>
      <c r="K457" s="38"/>
      <c r="L457" s="35"/>
      <c r="M457" s="66"/>
      <c r="N457" s="66"/>
      <c r="O457" s="66"/>
      <c r="P457" s="66"/>
      <c r="Q457" s="66"/>
      <c r="R457" s="67"/>
      <c r="S457" s="67"/>
      <c r="T457" s="67"/>
      <c r="U457" s="66"/>
      <c r="V457" s="66"/>
      <c r="W457" s="66"/>
      <c r="X457" s="85"/>
      <c r="AP457" t="str">
        <v/>
      </c>
    </row>
    <row r="458" spans="4:42" ht="15.75" x14ac:dyDescent="0.25">
      <c r="D458" s="3">
        <v>1</v>
      </c>
      <c r="F458" s="16" t="str" cm="1">
        <f t="array" ref="F4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8" s="31" cm="1">
        <f t="array" ref="G4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8" s="33" t="str">
        <f>_xlfn.IFNA(IF(MOD(HLG_06[[#This Row],[Rit]],
    _xlfn.XLOOKUP($G$2,Int_Sample[Ore],Int_Sample[Inc])) = 0, "YES", "NO"),"")</f>
        <v/>
      </c>
      <c r="I458" s="32" t="str">
        <f>TEXT(HLG_06[[#This Row],[Batch]],"000")&amp; " / " &amp; TEXT(HLG_06[[#This Row],[Rit]],"000")</f>
        <v>N/A / 000</v>
      </c>
      <c r="J458" s="34"/>
      <c r="K458" s="38"/>
      <c r="L458" s="35"/>
      <c r="M458" s="66"/>
      <c r="N458" s="66"/>
      <c r="O458" s="66"/>
      <c r="P458" s="66"/>
      <c r="Q458" s="66"/>
      <c r="R458" s="67"/>
      <c r="S458" s="67"/>
      <c r="T458" s="67"/>
      <c r="U458" s="66"/>
      <c r="V458" s="66"/>
      <c r="W458" s="66"/>
      <c r="X458" s="85"/>
      <c r="AP458" t="str">
        <v/>
      </c>
    </row>
    <row r="459" spans="4:42" ht="15.75" x14ac:dyDescent="0.25">
      <c r="D459" s="3">
        <v>1</v>
      </c>
      <c r="F459" s="16" t="str" cm="1">
        <f t="array" ref="F4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59" s="31" cm="1">
        <f t="array" ref="G4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59" s="33" t="str">
        <f>_xlfn.IFNA(IF(MOD(HLG_06[[#This Row],[Rit]],
    _xlfn.XLOOKUP($G$2,Int_Sample[Ore],Int_Sample[Inc])) = 0, "YES", "NO"),"")</f>
        <v/>
      </c>
      <c r="I459" s="32" t="str">
        <f>TEXT(HLG_06[[#This Row],[Batch]],"000")&amp; " / " &amp; TEXT(HLG_06[[#This Row],[Rit]],"000")</f>
        <v>N/A / 000</v>
      </c>
      <c r="J459" s="34"/>
      <c r="K459" s="38"/>
      <c r="L459" s="35"/>
      <c r="M459" s="66"/>
      <c r="N459" s="66"/>
      <c r="O459" s="66"/>
      <c r="P459" s="66"/>
      <c r="Q459" s="66"/>
      <c r="R459" s="67"/>
      <c r="S459" s="67"/>
      <c r="T459" s="67"/>
      <c r="U459" s="66"/>
      <c r="V459" s="66"/>
      <c r="W459" s="66"/>
      <c r="X459" s="85"/>
      <c r="AP459" t="str">
        <v/>
      </c>
    </row>
    <row r="460" spans="4:42" ht="15.75" x14ac:dyDescent="0.25">
      <c r="D460" s="3">
        <v>1</v>
      </c>
      <c r="F460" s="16" t="str" cm="1">
        <f t="array" ref="F4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0" s="31" cm="1">
        <f t="array" ref="G4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0" s="33" t="str">
        <f>_xlfn.IFNA(IF(MOD(HLG_06[[#This Row],[Rit]],
    _xlfn.XLOOKUP($G$2,Int_Sample[Ore],Int_Sample[Inc])) = 0, "YES", "NO"),"")</f>
        <v/>
      </c>
      <c r="I460" s="32" t="str">
        <f>TEXT(HLG_06[[#This Row],[Batch]],"000")&amp; " / " &amp; TEXT(HLG_06[[#This Row],[Rit]],"000")</f>
        <v>N/A / 000</v>
      </c>
      <c r="J460" s="34"/>
      <c r="K460" s="38"/>
      <c r="L460" s="35"/>
      <c r="M460" s="66"/>
      <c r="N460" s="66"/>
      <c r="O460" s="66"/>
      <c r="P460" s="66"/>
      <c r="Q460" s="66"/>
      <c r="R460" s="67"/>
      <c r="S460" s="67"/>
      <c r="T460" s="67"/>
      <c r="U460" s="66"/>
      <c r="V460" s="66"/>
      <c r="W460" s="66"/>
      <c r="X460" s="85"/>
      <c r="AP460" t="str">
        <v/>
      </c>
    </row>
    <row r="461" spans="4:42" ht="15.75" x14ac:dyDescent="0.25">
      <c r="D461" s="3">
        <v>1</v>
      </c>
      <c r="F461" s="16" t="str" cm="1">
        <f t="array" ref="F4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1" s="31" cm="1">
        <f t="array" ref="G4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1" s="33" t="str">
        <f>_xlfn.IFNA(IF(MOD(HLG_06[[#This Row],[Rit]],
    _xlfn.XLOOKUP($G$2,Int_Sample[Ore],Int_Sample[Inc])) = 0, "YES", "NO"),"")</f>
        <v/>
      </c>
      <c r="I461" s="32" t="str">
        <f>TEXT(HLG_06[[#This Row],[Batch]],"000")&amp; " / " &amp; TEXT(HLG_06[[#This Row],[Rit]],"000")</f>
        <v>N/A / 000</v>
      </c>
      <c r="J461" s="34"/>
      <c r="K461" s="38"/>
      <c r="L461" s="35"/>
      <c r="M461" s="66"/>
      <c r="N461" s="66"/>
      <c r="O461" s="66"/>
      <c r="P461" s="66"/>
      <c r="Q461" s="66"/>
      <c r="R461" s="67"/>
      <c r="S461" s="67"/>
      <c r="T461" s="67"/>
      <c r="U461" s="66"/>
      <c r="V461" s="66"/>
      <c r="W461" s="66"/>
      <c r="X461" s="85"/>
      <c r="AP461" t="str">
        <v/>
      </c>
    </row>
    <row r="462" spans="4:42" ht="15.75" x14ac:dyDescent="0.25">
      <c r="D462" s="3">
        <v>1</v>
      </c>
      <c r="F462" s="16" t="str" cm="1">
        <f t="array" ref="F4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2" s="31" cm="1">
        <f t="array" ref="G4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2" s="33" t="str">
        <f>_xlfn.IFNA(IF(MOD(HLG_06[[#This Row],[Rit]],
    _xlfn.XLOOKUP($G$2,Int_Sample[Ore],Int_Sample[Inc])) = 0, "YES", "NO"),"")</f>
        <v/>
      </c>
      <c r="I462" s="32" t="str">
        <f>TEXT(HLG_06[[#This Row],[Batch]],"000")&amp; " / " &amp; TEXT(HLG_06[[#This Row],[Rit]],"000")</f>
        <v>N/A / 000</v>
      </c>
      <c r="J462" s="34"/>
      <c r="K462" s="38"/>
      <c r="L462" s="35"/>
      <c r="M462" s="66"/>
      <c r="N462" s="66"/>
      <c r="O462" s="66"/>
      <c r="P462" s="66"/>
      <c r="Q462" s="66"/>
      <c r="R462" s="67"/>
      <c r="S462" s="67"/>
      <c r="T462" s="67"/>
      <c r="U462" s="66"/>
      <c r="V462" s="66"/>
      <c r="W462" s="66"/>
      <c r="X462" s="85"/>
      <c r="AP462" t="str">
        <v/>
      </c>
    </row>
    <row r="463" spans="4:42" ht="15.75" x14ac:dyDescent="0.25">
      <c r="D463" s="3">
        <v>1</v>
      </c>
      <c r="F463" s="16" t="str" cm="1">
        <f t="array" ref="F4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3" s="31" cm="1">
        <f t="array" ref="G4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3" s="33" t="str">
        <f>_xlfn.IFNA(IF(MOD(HLG_06[[#This Row],[Rit]],
    _xlfn.XLOOKUP($G$2,Int_Sample[Ore],Int_Sample[Inc])) = 0, "YES", "NO"),"")</f>
        <v/>
      </c>
      <c r="I463" s="32" t="str">
        <f>TEXT(HLG_06[[#This Row],[Batch]],"000")&amp; " / " &amp; TEXT(HLG_06[[#This Row],[Rit]],"000")</f>
        <v>N/A / 000</v>
      </c>
      <c r="J463" s="34"/>
      <c r="K463" s="38"/>
      <c r="L463" s="35"/>
      <c r="M463" s="66"/>
      <c r="N463" s="66"/>
      <c r="O463" s="66"/>
      <c r="P463" s="66"/>
      <c r="Q463" s="66"/>
      <c r="R463" s="67"/>
      <c r="S463" s="67"/>
      <c r="T463" s="67"/>
      <c r="U463" s="66"/>
      <c r="V463" s="66"/>
      <c r="W463" s="66"/>
      <c r="X463" s="85"/>
      <c r="AP463" t="str">
        <v/>
      </c>
    </row>
    <row r="464" spans="4:42" ht="15.75" x14ac:dyDescent="0.25">
      <c r="D464" s="3">
        <v>1</v>
      </c>
      <c r="F464" s="16" t="str" cm="1">
        <f t="array" ref="F4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4" s="31" cm="1">
        <f t="array" ref="G4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4" s="33" t="str">
        <f>_xlfn.IFNA(IF(MOD(HLG_06[[#This Row],[Rit]],
    _xlfn.XLOOKUP($G$2,Int_Sample[Ore],Int_Sample[Inc])) = 0, "YES", "NO"),"")</f>
        <v/>
      </c>
      <c r="I464" s="32" t="str">
        <f>TEXT(HLG_06[[#This Row],[Batch]],"000")&amp; " / " &amp; TEXT(HLG_06[[#This Row],[Rit]],"000")</f>
        <v>N/A / 000</v>
      </c>
      <c r="J464" s="34"/>
      <c r="K464" s="38"/>
      <c r="L464" s="35"/>
      <c r="M464" s="66"/>
      <c r="N464" s="66"/>
      <c r="O464" s="66"/>
      <c r="P464" s="66"/>
      <c r="Q464" s="66"/>
      <c r="R464" s="67"/>
      <c r="S464" s="67"/>
      <c r="T464" s="67"/>
      <c r="U464" s="66"/>
      <c r="V464" s="66"/>
      <c r="W464" s="66"/>
      <c r="X464" s="85"/>
      <c r="AP464" t="str">
        <v/>
      </c>
    </row>
    <row r="465" spans="4:42" ht="15.75" x14ac:dyDescent="0.25">
      <c r="D465" s="3">
        <v>1</v>
      </c>
      <c r="F465" s="16" t="str" cm="1">
        <f t="array" ref="F4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5" s="31" cm="1">
        <f t="array" ref="G4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5" s="33" t="str">
        <f>_xlfn.IFNA(IF(MOD(HLG_06[[#This Row],[Rit]],
    _xlfn.XLOOKUP($G$2,Int_Sample[Ore],Int_Sample[Inc])) = 0, "YES", "NO"),"")</f>
        <v/>
      </c>
      <c r="I465" s="32" t="str">
        <f>TEXT(HLG_06[[#This Row],[Batch]],"000")&amp; " / " &amp; TEXT(HLG_06[[#This Row],[Rit]],"000")</f>
        <v>N/A / 000</v>
      </c>
      <c r="J465" s="34"/>
      <c r="K465" s="38"/>
      <c r="L465" s="35"/>
      <c r="M465" s="66"/>
      <c r="N465" s="66"/>
      <c r="O465" s="66"/>
      <c r="P465" s="66"/>
      <c r="Q465" s="66"/>
      <c r="R465" s="67"/>
      <c r="S465" s="67"/>
      <c r="T465" s="67"/>
      <c r="U465" s="66"/>
      <c r="V465" s="66"/>
      <c r="W465" s="66"/>
      <c r="X465" s="85"/>
      <c r="AP465" t="str">
        <v/>
      </c>
    </row>
    <row r="466" spans="4:42" ht="15.75" x14ac:dyDescent="0.25">
      <c r="D466" s="3">
        <v>1</v>
      </c>
      <c r="F466" s="16" t="str" cm="1">
        <f t="array" ref="F4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6" s="31" cm="1">
        <f t="array" ref="G4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6" s="33" t="str">
        <f>_xlfn.IFNA(IF(MOD(HLG_06[[#This Row],[Rit]],
    _xlfn.XLOOKUP($G$2,Int_Sample[Ore],Int_Sample[Inc])) = 0, "YES", "NO"),"")</f>
        <v/>
      </c>
      <c r="I466" s="32" t="str">
        <f>TEXT(HLG_06[[#This Row],[Batch]],"000")&amp; " / " &amp; TEXT(HLG_06[[#This Row],[Rit]],"000")</f>
        <v>N/A / 000</v>
      </c>
      <c r="J466" s="34"/>
      <c r="K466" s="38"/>
      <c r="L466" s="35"/>
      <c r="M466" s="66"/>
      <c r="N466" s="66"/>
      <c r="O466" s="66"/>
      <c r="P466" s="66"/>
      <c r="Q466" s="66"/>
      <c r="R466" s="67"/>
      <c r="S466" s="67"/>
      <c r="T466" s="67"/>
      <c r="U466" s="66"/>
      <c r="V466" s="66"/>
      <c r="W466" s="66"/>
      <c r="X466" s="85"/>
      <c r="AP466" t="str">
        <v/>
      </c>
    </row>
    <row r="467" spans="4:42" ht="15.75" x14ac:dyDescent="0.25">
      <c r="D467" s="3">
        <v>1</v>
      </c>
      <c r="F467" s="16" t="str" cm="1">
        <f t="array" ref="F4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7" s="31" cm="1">
        <f t="array" ref="G4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7" s="33" t="str">
        <f>_xlfn.IFNA(IF(MOD(HLG_06[[#This Row],[Rit]],
    _xlfn.XLOOKUP($G$2,Int_Sample[Ore],Int_Sample[Inc])) = 0, "YES", "NO"),"")</f>
        <v/>
      </c>
      <c r="I467" s="32" t="str">
        <f>TEXT(HLG_06[[#This Row],[Batch]],"000")&amp; " / " &amp; TEXT(HLG_06[[#This Row],[Rit]],"000")</f>
        <v>N/A / 000</v>
      </c>
      <c r="J467" s="34"/>
      <c r="K467" s="38"/>
      <c r="L467" s="35"/>
      <c r="M467" s="66"/>
      <c r="N467" s="66"/>
      <c r="O467" s="66"/>
      <c r="P467" s="66"/>
      <c r="Q467" s="66"/>
      <c r="R467" s="67"/>
      <c r="S467" s="67"/>
      <c r="T467" s="67"/>
      <c r="U467" s="66"/>
      <c r="V467" s="66"/>
      <c r="W467" s="66"/>
      <c r="X467" s="85"/>
      <c r="AP467" t="str">
        <v/>
      </c>
    </row>
    <row r="468" spans="4:42" ht="15.75" x14ac:dyDescent="0.25">
      <c r="D468" s="3">
        <v>1</v>
      </c>
      <c r="F468" s="16" t="str" cm="1">
        <f t="array" ref="F4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8" s="31" cm="1">
        <f t="array" ref="G4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8" s="33" t="str">
        <f>_xlfn.IFNA(IF(MOD(HLG_06[[#This Row],[Rit]],
    _xlfn.XLOOKUP($G$2,Int_Sample[Ore],Int_Sample[Inc])) = 0, "YES", "NO"),"")</f>
        <v/>
      </c>
      <c r="I468" s="32" t="str">
        <f>TEXT(HLG_06[[#This Row],[Batch]],"000")&amp; " / " &amp; TEXT(HLG_06[[#This Row],[Rit]],"000")</f>
        <v>N/A / 000</v>
      </c>
      <c r="J468" s="34"/>
      <c r="K468" s="38"/>
      <c r="L468" s="35"/>
      <c r="M468" s="66"/>
      <c r="N468" s="66"/>
      <c r="O468" s="66"/>
      <c r="P468" s="66"/>
      <c r="Q468" s="66"/>
      <c r="R468" s="67"/>
      <c r="S468" s="67"/>
      <c r="T468" s="67"/>
      <c r="U468" s="66"/>
      <c r="V468" s="66"/>
      <c r="W468" s="66"/>
      <c r="X468" s="85"/>
      <c r="AP468" t="str">
        <v/>
      </c>
    </row>
    <row r="469" spans="4:42" ht="15.75" x14ac:dyDescent="0.25">
      <c r="D469" s="3">
        <v>1</v>
      </c>
      <c r="F469" s="16" t="str" cm="1">
        <f t="array" ref="F4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69" s="31" cm="1">
        <f t="array" ref="G4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69" s="33" t="str">
        <f>_xlfn.IFNA(IF(MOD(HLG_06[[#This Row],[Rit]],
    _xlfn.XLOOKUP($G$2,Int_Sample[Ore],Int_Sample[Inc])) = 0, "YES", "NO"),"")</f>
        <v/>
      </c>
      <c r="I469" s="32" t="str">
        <f>TEXT(HLG_06[[#This Row],[Batch]],"000")&amp; " / " &amp; TEXT(HLG_06[[#This Row],[Rit]],"000")</f>
        <v>N/A / 000</v>
      </c>
      <c r="J469" s="34"/>
      <c r="K469" s="38"/>
      <c r="L469" s="35"/>
      <c r="M469" s="66"/>
      <c r="N469" s="66"/>
      <c r="O469" s="66"/>
      <c r="P469" s="66"/>
      <c r="Q469" s="66"/>
      <c r="R469" s="67"/>
      <c r="S469" s="67"/>
      <c r="T469" s="67"/>
      <c r="U469" s="66"/>
      <c r="V469" s="66"/>
      <c r="W469" s="66"/>
      <c r="X469" s="85"/>
      <c r="AP469" t="str">
        <v/>
      </c>
    </row>
    <row r="470" spans="4:42" ht="15.75" x14ac:dyDescent="0.25">
      <c r="D470" s="3">
        <v>1</v>
      </c>
      <c r="F470" s="16" t="str" cm="1">
        <f t="array" ref="F4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0" s="31" cm="1">
        <f t="array" ref="G4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0" s="33" t="str">
        <f>_xlfn.IFNA(IF(MOD(HLG_06[[#This Row],[Rit]],
    _xlfn.XLOOKUP($G$2,Int_Sample[Ore],Int_Sample[Inc])) = 0, "YES", "NO"),"")</f>
        <v/>
      </c>
      <c r="I470" s="32" t="str">
        <f>TEXT(HLG_06[[#This Row],[Batch]],"000")&amp; " / " &amp; TEXT(HLG_06[[#This Row],[Rit]],"000")</f>
        <v>N/A / 000</v>
      </c>
      <c r="J470" s="34"/>
      <c r="K470" s="38"/>
      <c r="L470" s="35"/>
      <c r="M470" s="66"/>
      <c r="N470" s="66"/>
      <c r="O470" s="66"/>
      <c r="P470" s="66"/>
      <c r="Q470" s="66"/>
      <c r="R470" s="67"/>
      <c r="S470" s="67"/>
      <c r="T470" s="67"/>
      <c r="U470" s="66"/>
      <c r="V470" s="66"/>
      <c r="W470" s="66"/>
      <c r="X470" s="85"/>
      <c r="AP470" t="str">
        <v/>
      </c>
    </row>
    <row r="471" spans="4:42" ht="15.75" x14ac:dyDescent="0.25">
      <c r="D471" s="3">
        <v>1</v>
      </c>
      <c r="F471" s="16" t="str" cm="1">
        <f t="array" ref="F4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1" s="31" cm="1">
        <f t="array" ref="G4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1" s="33" t="str">
        <f>_xlfn.IFNA(IF(MOD(HLG_06[[#This Row],[Rit]],
    _xlfn.XLOOKUP($G$2,Int_Sample[Ore],Int_Sample[Inc])) = 0, "YES", "NO"),"")</f>
        <v/>
      </c>
      <c r="I471" s="32" t="str">
        <f>TEXT(HLG_06[[#This Row],[Batch]],"000")&amp; " / " &amp; TEXT(HLG_06[[#This Row],[Rit]],"000")</f>
        <v>N/A / 000</v>
      </c>
      <c r="J471" s="34"/>
      <c r="K471" s="38"/>
      <c r="L471" s="35"/>
      <c r="M471" s="66"/>
      <c r="N471" s="66"/>
      <c r="O471" s="66"/>
      <c r="P471" s="66"/>
      <c r="Q471" s="66"/>
      <c r="R471" s="67"/>
      <c r="S471" s="67"/>
      <c r="T471" s="67"/>
      <c r="U471" s="66"/>
      <c r="V471" s="66"/>
      <c r="W471" s="66"/>
      <c r="X471" s="85"/>
      <c r="AP471" t="str">
        <v/>
      </c>
    </row>
    <row r="472" spans="4:42" ht="15.75" x14ac:dyDescent="0.25">
      <c r="D472" s="3">
        <v>1</v>
      </c>
      <c r="F472" s="16" t="str" cm="1">
        <f t="array" ref="F4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2" s="31" cm="1">
        <f t="array" ref="G4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2" s="33" t="str">
        <f>_xlfn.IFNA(IF(MOD(HLG_06[[#This Row],[Rit]],
    _xlfn.XLOOKUP($G$2,Int_Sample[Ore],Int_Sample[Inc])) = 0, "YES", "NO"),"")</f>
        <v/>
      </c>
      <c r="I472" s="32" t="str">
        <f>TEXT(HLG_06[[#This Row],[Batch]],"000")&amp; " / " &amp; TEXT(HLG_06[[#This Row],[Rit]],"000")</f>
        <v>N/A / 000</v>
      </c>
      <c r="J472" s="34"/>
      <c r="K472" s="38"/>
      <c r="L472" s="35"/>
      <c r="M472" s="66"/>
      <c r="N472" s="66"/>
      <c r="O472" s="66"/>
      <c r="P472" s="66"/>
      <c r="Q472" s="66"/>
      <c r="R472" s="67"/>
      <c r="S472" s="67"/>
      <c r="T472" s="67"/>
      <c r="U472" s="66"/>
      <c r="V472" s="66"/>
      <c r="W472" s="66"/>
      <c r="X472" s="85"/>
      <c r="AP472" t="str">
        <v/>
      </c>
    </row>
    <row r="473" spans="4:42" ht="15.75" x14ac:dyDescent="0.25">
      <c r="D473" s="3">
        <v>1</v>
      </c>
      <c r="F473" s="16" t="str" cm="1">
        <f t="array" ref="F4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3" s="31" cm="1">
        <f t="array" ref="G4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3" s="33" t="str">
        <f>_xlfn.IFNA(IF(MOD(HLG_06[[#This Row],[Rit]],
    _xlfn.XLOOKUP($G$2,Int_Sample[Ore],Int_Sample[Inc])) = 0, "YES", "NO"),"")</f>
        <v/>
      </c>
      <c r="I473" s="32" t="str">
        <f>TEXT(HLG_06[[#This Row],[Batch]],"000")&amp; " / " &amp; TEXT(HLG_06[[#This Row],[Rit]],"000")</f>
        <v>N/A / 000</v>
      </c>
      <c r="J473" s="34"/>
      <c r="K473" s="38"/>
      <c r="L473" s="35"/>
      <c r="M473" s="66"/>
      <c r="N473" s="66"/>
      <c r="O473" s="66"/>
      <c r="P473" s="66"/>
      <c r="Q473" s="66"/>
      <c r="R473" s="67"/>
      <c r="S473" s="67"/>
      <c r="T473" s="67"/>
      <c r="U473" s="66"/>
      <c r="V473" s="66"/>
      <c r="W473" s="66"/>
      <c r="X473" s="85"/>
      <c r="AP473" t="str">
        <v/>
      </c>
    </row>
    <row r="474" spans="4:42" ht="15.75" x14ac:dyDescent="0.25">
      <c r="D474" s="3">
        <v>1</v>
      </c>
      <c r="F474" s="16" t="str" cm="1">
        <f t="array" ref="F4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4" s="31" cm="1">
        <f t="array" ref="G4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4" s="33" t="str">
        <f>_xlfn.IFNA(IF(MOD(HLG_06[[#This Row],[Rit]],
    _xlfn.XLOOKUP($G$2,Int_Sample[Ore],Int_Sample[Inc])) = 0, "YES", "NO"),"")</f>
        <v/>
      </c>
      <c r="I474" s="32" t="str">
        <f>TEXT(HLG_06[[#This Row],[Batch]],"000")&amp; " / " &amp; TEXT(HLG_06[[#This Row],[Rit]],"000")</f>
        <v>N/A / 000</v>
      </c>
      <c r="J474" s="34"/>
      <c r="K474" s="38"/>
      <c r="L474" s="35"/>
      <c r="M474" s="66"/>
      <c r="N474" s="66"/>
      <c r="O474" s="66"/>
      <c r="P474" s="66"/>
      <c r="Q474" s="66"/>
      <c r="R474" s="67"/>
      <c r="S474" s="67"/>
      <c r="T474" s="67"/>
      <c r="U474" s="66"/>
      <c r="V474" s="66"/>
      <c r="W474" s="66"/>
      <c r="X474" s="85"/>
      <c r="AP474" t="str">
        <v/>
      </c>
    </row>
    <row r="475" spans="4:42" ht="15.75" x14ac:dyDescent="0.25">
      <c r="D475" s="3">
        <v>1</v>
      </c>
      <c r="F475" s="16" t="str" cm="1">
        <f t="array" ref="F4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5" s="31" cm="1">
        <f t="array" ref="G4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5" s="33" t="str">
        <f>_xlfn.IFNA(IF(MOD(HLG_06[[#This Row],[Rit]],
    _xlfn.XLOOKUP($G$2,Int_Sample[Ore],Int_Sample[Inc])) = 0, "YES", "NO"),"")</f>
        <v/>
      </c>
      <c r="I475" s="32" t="str">
        <f>TEXT(HLG_06[[#This Row],[Batch]],"000")&amp; " / " &amp; TEXT(HLG_06[[#This Row],[Rit]],"000")</f>
        <v>N/A / 000</v>
      </c>
      <c r="J475" s="34"/>
      <c r="K475" s="38"/>
      <c r="L475" s="35"/>
      <c r="M475" s="66"/>
      <c r="N475" s="66"/>
      <c r="O475" s="66"/>
      <c r="P475" s="66"/>
      <c r="Q475" s="66"/>
      <c r="R475" s="67"/>
      <c r="S475" s="67"/>
      <c r="T475" s="67"/>
      <c r="U475" s="66"/>
      <c r="V475" s="66"/>
      <c r="W475" s="66"/>
      <c r="X475" s="85"/>
      <c r="AP475" t="str">
        <v/>
      </c>
    </row>
    <row r="476" spans="4:42" ht="15.75" x14ac:dyDescent="0.25">
      <c r="D476" s="3">
        <v>1</v>
      </c>
      <c r="F476" s="16" t="str" cm="1">
        <f t="array" ref="F4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6" s="31" cm="1">
        <f t="array" ref="G4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6" s="33" t="str">
        <f>_xlfn.IFNA(IF(MOD(HLG_06[[#This Row],[Rit]],
    _xlfn.XLOOKUP($G$2,Int_Sample[Ore],Int_Sample[Inc])) = 0, "YES", "NO"),"")</f>
        <v/>
      </c>
      <c r="I476" s="32" t="str">
        <f>TEXT(HLG_06[[#This Row],[Batch]],"000")&amp; " / " &amp; TEXT(HLG_06[[#This Row],[Rit]],"000")</f>
        <v>N/A / 000</v>
      </c>
      <c r="J476" s="34"/>
      <c r="K476" s="38"/>
      <c r="L476" s="35"/>
      <c r="M476" s="66"/>
      <c r="N476" s="66"/>
      <c r="O476" s="66"/>
      <c r="P476" s="66"/>
      <c r="Q476" s="66"/>
      <c r="R476" s="67"/>
      <c r="S476" s="67"/>
      <c r="T476" s="67"/>
      <c r="U476" s="66"/>
      <c r="V476" s="66"/>
      <c r="W476" s="66"/>
      <c r="X476" s="85"/>
      <c r="AP476" t="str">
        <v/>
      </c>
    </row>
    <row r="477" spans="4:42" ht="15.75" x14ac:dyDescent="0.25">
      <c r="D477" s="3">
        <v>1</v>
      </c>
      <c r="F477" s="16" t="str" cm="1">
        <f t="array" ref="F4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7" s="31" cm="1">
        <f t="array" ref="G4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7" s="33" t="str">
        <f>_xlfn.IFNA(IF(MOD(HLG_06[[#This Row],[Rit]],
    _xlfn.XLOOKUP($G$2,Int_Sample[Ore],Int_Sample[Inc])) = 0, "YES", "NO"),"")</f>
        <v/>
      </c>
      <c r="I477" s="32" t="str">
        <f>TEXT(HLG_06[[#This Row],[Batch]],"000")&amp; " / " &amp; TEXT(HLG_06[[#This Row],[Rit]],"000")</f>
        <v>N/A / 000</v>
      </c>
      <c r="J477" s="34"/>
      <c r="K477" s="38"/>
      <c r="L477" s="35"/>
      <c r="M477" s="66"/>
      <c r="N477" s="66"/>
      <c r="O477" s="66"/>
      <c r="P477" s="66"/>
      <c r="Q477" s="66"/>
      <c r="R477" s="67"/>
      <c r="S477" s="67"/>
      <c r="T477" s="67"/>
      <c r="U477" s="66"/>
      <c r="V477" s="66"/>
      <c r="W477" s="66"/>
      <c r="X477" s="85"/>
      <c r="AP477" t="str">
        <v/>
      </c>
    </row>
    <row r="478" spans="4:42" ht="15.75" x14ac:dyDescent="0.25">
      <c r="D478" s="3">
        <v>1</v>
      </c>
      <c r="F478" s="16" t="str" cm="1">
        <f t="array" ref="F4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8" s="31" cm="1">
        <f t="array" ref="G4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8" s="33" t="str">
        <f>_xlfn.IFNA(IF(MOD(HLG_06[[#This Row],[Rit]],
    _xlfn.XLOOKUP($G$2,Int_Sample[Ore],Int_Sample[Inc])) = 0, "YES", "NO"),"")</f>
        <v/>
      </c>
      <c r="I478" s="32" t="str">
        <f>TEXT(HLG_06[[#This Row],[Batch]],"000")&amp; " / " &amp; TEXT(HLG_06[[#This Row],[Rit]],"000")</f>
        <v>N/A / 000</v>
      </c>
      <c r="J478" s="34"/>
      <c r="K478" s="38"/>
      <c r="L478" s="35"/>
      <c r="M478" s="66"/>
      <c r="N478" s="66"/>
      <c r="O478" s="66"/>
      <c r="P478" s="66"/>
      <c r="Q478" s="66"/>
      <c r="R478" s="67"/>
      <c r="S478" s="67"/>
      <c r="T478" s="67"/>
      <c r="U478" s="66"/>
      <c r="V478" s="66"/>
      <c r="W478" s="66"/>
      <c r="X478" s="85"/>
      <c r="AP478" t="str">
        <v/>
      </c>
    </row>
    <row r="479" spans="4:42" ht="15.75" x14ac:dyDescent="0.25">
      <c r="D479" s="3">
        <v>1</v>
      </c>
      <c r="F479" s="16" t="str" cm="1">
        <f t="array" ref="F4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79" s="31" cm="1">
        <f t="array" ref="G4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79" s="33" t="str">
        <f>_xlfn.IFNA(IF(MOD(HLG_06[[#This Row],[Rit]],
    _xlfn.XLOOKUP($G$2,Int_Sample[Ore],Int_Sample[Inc])) = 0, "YES", "NO"),"")</f>
        <v/>
      </c>
      <c r="I479" s="32" t="str">
        <f>TEXT(HLG_06[[#This Row],[Batch]],"000")&amp; " / " &amp; TEXT(HLG_06[[#This Row],[Rit]],"000")</f>
        <v>N/A / 000</v>
      </c>
      <c r="J479" s="34"/>
      <c r="K479" s="38"/>
      <c r="L479" s="35"/>
      <c r="M479" s="66"/>
      <c r="N479" s="66"/>
      <c r="O479" s="66"/>
      <c r="P479" s="66"/>
      <c r="Q479" s="66"/>
      <c r="R479" s="67"/>
      <c r="S479" s="67"/>
      <c r="T479" s="67"/>
      <c r="U479" s="66"/>
      <c r="V479" s="66"/>
      <c r="W479" s="66"/>
      <c r="X479" s="85"/>
      <c r="AP479" t="str">
        <v/>
      </c>
    </row>
    <row r="480" spans="4:42" ht="15.75" x14ac:dyDescent="0.25">
      <c r="D480" s="3">
        <v>1</v>
      </c>
      <c r="F480" s="16" t="str" cm="1">
        <f t="array" ref="F4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0" s="31" cm="1">
        <f t="array" ref="G4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0" s="33" t="str">
        <f>_xlfn.IFNA(IF(MOD(HLG_06[[#This Row],[Rit]],
    _xlfn.XLOOKUP($G$2,Int_Sample[Ore],Int_Sample[Inc])) = 0, "YES", "NO"),"")</f>
        <v/>
      </c>
      <c r="I480" s="32" t="str">
        <f>TEXT(HLG_06[[#This Row],[Batch]],"000")&amp; " / " &amp; TEXT(HLG_06[[#This Row],[Rit]],"000")</f>
        <v>N/A / 000</v>
      </c>
      <c r="J480" s="34"/>
      <c r="K480" s="38"/>
      <c r="L480" s="35"/>
      <c r="M480" s="66"/>
      <c r="N480" s="66"/>
      <c r="O480" s="66"/>
      <c r="P480" s="66"/>
      <c r="Q480" s="66"/>
      <c r="R480" s="67"/>
      <c r="S480" s="67"/>
      <c r="T480" s="67"/>
      <c r="U480" s="66"/>
      <c r="V480" s="66"/>
      <c r="W480" s="66"/>
      <c r="X480" s="85"/>
      <c r="AP480" t="str">
        <v/>
      </c>
    </row>
    <row r="481" spans="4:42" ht="15.75" x14ac:dyDescent="0.25">
      <c r="D481" s="3">
        <v>1</v>
      </c>
      <c r="F481" s="16" t="str" cm="1">
        <f t="array" ref="F4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1" s="31" cm="1">
        <f t="array" ref="G4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1" s="33" t="str">
        <f>_xlfn.IFNA(IF(MOD(HLG_06[[#This Row],[Rit]],
    _xlfn.XLOOKUP($G$2,Int_Sample[Ore],Int_Sample[Inc])) = 0, "YES", "NO"),"")</f>
        <v/>
      </c>
      <c r="I481" s="32" t="str">
        <f>TEXT(HLG_06[[#This Row],[Batch]],"000")&amp; " / " &amp; TEXT(HLG_06[[#This Row],[Rit]],"000")</f>
        <v>N/A / 000</v>
      </c>
      <c r="J481" s="34"/>
      <c r="K481" s="38"/>
      <c r="L481" s="35"/>
      <c r="M481" s="66"/>
      <c r="N481" s="66"/>
      <c r="O481" s="66"/>
      <c r="P481" s="66"/>
      <c r="Q481" s="66"/>
      <c r="R481" s="67"/>
      <c r="S481" s="67"/>
      <c r="T481" s="67"/>
      <c r="U481" s="66"/>
      <c r="V481" s="66"/>
      <c r="W481" s="66"/>
      <c r="X481" s="85"/>
      <c r="AP481" t="str">
        <v/>
      </c>
    </row>
    <row r="482" spans="4:42" ht="15.75" x14ac:dyDescent="0.25">
      <c r="D482" s="3">
        <v>1</v>
      </c>
      <c r="F482" s="16" t="str" cm="1">
        <f t="array" ref="F4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2" s="31" cm="1">
        <f t="array" ref="G4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2" s="33" t="str">
        <f>_xlfn.IFNA(IF(MOD(HLG_06[[#This Row],[Rit]],
    _xlfn.XLOOKUP($G$2,Int_Sample[Ore],Int_Sample[Inc])) = 0, "YES", "NO"),"")</f>
        <v/>
      </c>
      <c r="I482" s="32" t="str">
        <f>TEXT(HLG_06[[#This Row],[Batch]],"000")&amp; " / " &amp; TEXT(HLG_06[[#This Row],[Rit]],"000")</f>
        <v>N/A / 000</v>
      </c>
      <c r="J482" s="34"/>
      <c r="K482" s="38"/>
      <c r="L482" s="35"/>
      <c r="M482" s="66"/>
      <c r="N482" s="66"/>
      <c r="O482" s="66"/>
      <c r="P482" s="66"/>
      <c r="Q482" s="66"/>
      <c r="R482" s="67"/>
      <c r="S482" s="67"/>
      <c r="T482" s="67"/>
      <c r="U482" s="66"/>
      <c r="V482" s="66"/>
      <c r="W482" s="66"/>
      <c r="X482" s="85"/>
      <c r="AP482" t="str">
        <v/>
      </c>
    </row>
    <row r="483" spans="4:42" ht="15.75" x14ac:dyDescent="0.25">
      <c r="D483" s="3">
        <v>1</v>
      </c>
      <c r="F483" s="16" t="str" cm="1">
        <f t="array" ref="F4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3" s="31" cm="1">
        <f t="array" ref="G4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3" s="33" t="str">
        <f>_xlfn.IFNA(IF(MOD(HLG_06[[#This Row],[Rit]],
    _xlfn.XLOOKUP($G$2,Int_Sample[Ore],Int_Sample[Inc])) = 0, "YES", "NO"),"")</f>
        <v/>
      </c>
      <c r="I483" s="32" t="str">
        <f>TEXT(HLG_06[[#This Row],[Batch]],"000")&amp; " / " &amp; TEXT(HLG_06[[#This Row],[Rit]],"000")</f>
        <v>N/A / 000</v>
      </c>
      <c r="J483" s="34"/>
      <c r="K483" s="38"/>
      <c r="L483" s="35"/>
      <c r="M483" s="66"/>
      <c r="N483" s="66"/>
      <c r="O483" s="66"/>
      <c r="P483" s="66"/>
      <c r="Q483" s="66"/>
      <c r="R483" s="67"/>
      <c r="S483" s="67"/>
      <c r="T483" s="67"/>
      <c r="U483" s="66"/>
      <c r="V483" s="66"/>
      <c r="W483" s="66"/>
      <c r="X483" s="85"/>
      <c r="AP483" t="str">
        <v/>
      </c>
    </row>
    <row r="484" spans="4:42" ht="15.75" x14ac:dyDescent="0.25">
      <c r="D484" s="3">
        <v>1</v>
      </c>
      <c r="F484" s="16" t="str" cm="1">
        <f t="array" ref="F4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4" s="31" cm="1">
        <f t="array" ref="G4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4" s="33" t="str">
        <f>_xlfn.IFNA(IF(MOD(HLG_06[[#This Row],[Rit]],
    _xlfn.XLOOKUP($G$2,Int_Sample[Ore],Int_Sample[Inc])) = 0, "YES", "NO"),"")</f>
        <v/>
      </c>
      <c r="I484" s="32" t="str">
        <f>TEXT(HLG_06[[#This Row],[Batch]],"000")&amp; " / " &amp; TEXT(HLG_06[[#This Row],[Rit]],"000")</f>
        <v>N/A / 000</v>
      </c>
      <c r="J484" s="34"/>
      <c r="K484" s="38"/>
      <c r="L484" s="35"/>
      <c r="M484" s="66"/>
      <c r="N484" s="66"/>
      <c r="O484" s="66"/>
      <c r="P484" s="66"/>
      <c r="Q484" s="66"/>
      <c r="R484" s="67"/>
      <c r="S484" s="67"/>
      <c r="T484" s="67"/>
      <c r="U484" s="66"/>
      <c r="V484" s="66"/>
      <c r="W484" s="66"/>
      <c r="X484" s="85"/>
      <c r="AP484" t="str">
        <v/>
      </c>
    </row>
    <row r="485" spans="4:42" ht="15.75" x14ac:dyDescent="0.25">
      <c r="D485" s="3">
        <v>1</v>
      </c>
      <c r="F485" s="16" t="str" cm="1">
        <f t="array" ref="F4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5" s="31" cm="1">
        <f t="array" ref="G4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5" s="33" t="str">
        <f>_xlfn.IFNA(IF(MOD(HLG_06[[#This Row],[Rit]],
    _xlfn.XLOOKUP($G$2,Int_Sample[Ore],Int_Sample[Inc])) = 0, "YES", "NO"),"")</f>
        <v/>
      </c>
      <c r="I485" s="32" t="str">
        <f>TEXT(HLG_06[[#This Row],[Batch]],"000")&amp; " / " &amp; TEXT(HLG_06[[#This Row],[Rit]],"000")</f>
        <v>N/A / 000</v>
      </c>
      <c r="J485" s="34"/>
      <c r="K485" s="38"/>
      <c r="L485" s="35"/>
      <c r="M485" s="66"/>
      <c r="N485" s="66"/>
      <c r="O485" s="66"/>
      <c r="P485" s="66"/>
      <c r="Q485" s="66"/>
      <c r="R485" s="67"/>
      <c r="S485" s="67"/>
      <c r="T485" s="67"/>
      <c r="U485" s="66"/>
      <c r="V485" s="66"/>
      <c r="W485" s="66"/>
      <c r="X485" s="85"/>
      <c r="AP485" t="str">
        <v/>
      </c>
    </row>
    <row r="486" spans="4:42" ht="15.75" x14ac:dyDescent="0.25">
      <c r="D486" s="3">
        <v>1</v>
      </c>
      <c r="F486" s="16" t="str" cm="1">
        <f t="array" ref="F4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6" s="31" cm="1">
        <f t="array" ref="G4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6" s="33" t="str">
        <f>_xlfn.IFNA(IF(MOD(HLG_06[[#This Row],[Rit]],
    _xlfn.XLOOKUP($G$2,Int_Sample[Ore],Int_Sample[Inc])) = 0, "YES", "NO"),"")</f>
        <v/>
      </c>
      <c r="I486" s="32" t="str">
        <f>TEXT(HLG_06[[#This Row],[Batch]],"000")&amp; " / " &amp; TEXT(HLG_06[[#This Row],[Rit]],"000")</f>
        <v>N/A / 000</v>
      </c>
      <c r="J486" s="34"/>
      <c r="K486" s="38"/>
      <c r="L486" s="35"/>
      <c r="M486" s="66"/>
      <c r="N486" s="66"/>
      <c r="O486" s="66"/>
      <c r="P486" s="66"/>
      <c r="Q486" s="66"/>
      <c r="R486" s="67"/>
      <c r="S486" s="67"/>
      <c r="T486" s="67"/>
      <c r="U486" s="66"/>
      <c r="V486" s="66"/>
      <c r="W486" s="66"/>
      <c r="X486" s="85"/>
      <c r="AP486" t="str">
        <v/>
      </c>
    </row>
    <row r="487" spans="4:42" ht="15.75" x14ac:dyDescent="0.25">
      <c r="D487" s="3">
        <v>1</v>
      </c>
      <c r="F487" s="16" t="str" cm="1">
        <f t="array" ref="F4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7" s="31" cm="1">
        <f t="array" ref="G4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7" s="33" t="str">
        <f>_xlfn.IFNA(IF(MOD(HLG_06[[#This Row],[Rit]],
    _xlfn.XLOOKUP($G$2,Int_Sample[Ore],Int_Sample[Inc])) = 0, "YES", "NO"),"")</f>
        <v/>
      </c>
      <c r="I487" s="32" t="str">
        <f>TEXT(HLG_06[[#This Row],[Batch]],"000")&amp; " / " &amp; TEXT(HLG_06[[#This Row],[Rit]],"000")</f>
        <v>N/A / 000</v>
      </c>
      <c r="J487" s="34"/>
      <c r="K487" s="38"/>
      <c r="L487" s="35"/>
      <c r="M487" s="66"/>
      <c r="N487" s="66"/>
      <c r="O487" s="66"/>
      <c r="P487" s="66"/>
      <c r="Q487" s="66"/>
      <c r="R487" s="67"/>
      <c r="S487" s="67"/>
      <c r="T487" s="67"/>
      <c r="U487" s="66"/>
      <c r="V487" s="66"/>
      <c r="W487" s="66"/>
      <c r="X487" s="85"/>
      <c r="AP487" t="str">
        <v/>
      </c>
    </row>
    <row r="488" spans="4:42" ht="15.75" x14ac:dyDescent="0.25">
      <c r="D488" s="3">
        <v>1</v>
      </c>
      <c r="F488" s="16" t="str" cm="1">
        <f t="array" ref="F4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8" s="31" cm="1">
        <f t="array" ref="G4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8" s="33" t="str">
        <f>_xlfn.IFNA(IF(MOD(HLG_06[[#This Row],[Rit]],
    _xlfn.XLOOKUP($G$2,Int_Sample[Ore],Int_Sample[Inc])) = 0, "YES", "NO"),"")</f>
        <v/>
      </c>
      <c r="I488" s="32" t="str">
        <f>TEXT(HLG_06[[#This Row],[Batch]],"000")&amp; " / " &amp; TEXT(HLG_06[[#This Row],[Rit]],"000")</f>
        <v>N/A / 000</v>
      </c>
      <c r="J488" s="34"/>
      <c r="K488" s="38"/>
      <c r="L488" s="35"/>
      <c r="M488" s="66"/>
      <c r="N488" s="66"/>
      <c r="O488" s="66"/>
      <c r="P488" s="66"/>
      <c r="Q488" s="66"/>
      <c r="R488" s="67"/>
      <c r="S488" s="67"/>
      <c r="T488" s="67"/>
      <c r="U488" s="66"/>
      <c r="V488" s="66"/>
      <c r="W488" s="66"/>
      <c r="X488" s="85"/>
      <c r="AP488" t="str">
        <v/>
      </c>
    </row>
    <row r="489" spans="4:42" ht="15.75" x14ac:dyDescent="0.25">
      <c r="D489" s="3">
        <v>1</v>
      </c>
      <c r="F489" s="16" t="str" cm="1">
        <f t="array" ref="F4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89" s="31" cm="1">
        <f t="array" ref="G4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89" s="33" t="str">
        <f>_xlfn.IFNA(IF(MOD(HLG_06[[#This Row],[Rit]],
    _xlfn.XLOOKUP($G$2,Int_Sample[Ore],Int_Sample[Inc])) = 0, "YES", "NO"),"")</f>
        <v/>
      </c>
      <c r="I489" s="32" t="str">
        <f>TEXT(HLG_06[[#This Row],[Batch]],"000")&amp; " / " &amp; TEXT(HLG_06[[#This Row],[Rit]],"000")</f>
        <v>N/A / 000</v>
      </c>
      <c r="J489" s="34"/>
      <c r="K489" s="38"/>
      <c r="L489" s="35"/>
      <c r="M489" s="66"/>
      <c r="N489" s="66"/>
      <c r="O489" s="66"/>
      <c r="P489" s="66"/>
      <c r="Q489" s="66"/>
      <c r="R489" s="67"/>
      <c r="S489" s="67"/>
      <c r="T489" s="67"/>
      <c r="U489" s="66"/>
      <c r="V489" s="66"/>
      <c r="W489" s="66"/>
      <c r="X489" s="85"/>
      <c r="AP489" t="str">
        <v/>
      </c>
    </row>
    <row r="490" spans="4:42" ht="15.75" x14ac:dyDescent="0.25">
      <c r="D490" s="3">
        <v>1</v>
      </c>
      <c r="F490" s="16" t="str" cm="1">
        <f t="array" ref="F4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0" s="31" cm="1">
        <f t="array" ref="G4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0" s="33" t="str">
        <f>_xlfn.IFNA(IF(MOD(HLG_06[[#This Row],[Rit]],
    _xlfn.XLOOKUP($G$2,Int_Sample[Ore],Int_Sample[Inc])) = 0, "YES", "NO"),"")</f>
        <v/>
      </c>
      <c r="I490" s="32" t="str">
        <f>TEXT(HLG_06[[#This Row],[Batch]],"000")&amp; " / " &amp; TEXT(HLG_06[[#This Row],[Rit]],"000")</f>
        <v>N/A / 000</v>
      </c>
      <c r="J490" s="34"/>
      <c r="K490" s="38"/>
      <c r="L490" s="35"/>
      <c r="M490" s="66"/>
      <c r="N490" s="66"/>
      <c r="O490" s="66"/>
      <c r="P490" s="66"/>
      <c r="Q490" s="66"/>
      <c r="R490" s="67"/>
      <c r="S490" s="67"/>
      <c r="T490" s="67"/>
      <c r="U490" s="66"/>
      <c r="V490" s="66"/>
      <c r="W490" s="66"/>
      <c r="X490" s="85"/>
      <c r="AP490" t="str">
        <v/>
      </c>
    </row>
    <row r="491" spans="4:42" ht="15.75" x14ac:dyDescent="0.25">
      <c r="D491" s="3">
        <v>1</v>
      </c>
      <c r="F491" s="16" t="str" cm="1">
        <f t="array" ref="F4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1" s="31" cm="1">
        <f t="array" ref="G4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1" s="33" t="str">
        <f>_xlfn.IFNA(IF(MOD(HLG_06[[#This Row],[Rit]],
    _xlfn.XLOOKUP($G$2,Int_Sample[Ore],Int_Sample[Inc])) = 0, "YES", "NO"),"")</f>
        <v/>
      </c>
      <c r="I491" s="32" t="str">
        <f>TEXT(HLG_06[[#This Row],[Batch]],"000")&amp; " / " &amp; TEXT(HLG_06[[#This Row],[Rit]],"000")</f>
        <v>N/A / 000</v>
      </c>
      <c r="J491" s="34"/>
      <c r="K491" s="38"/>
      <c r="L491" s="35"/>
      <c r="M491" s="66"/>
      <c r="N491" s="66"/>
      <c r="O491" s="66"/>
      <c r="P491" s="66"/>
      <c r="Q491" s="66"/>
      <c r="R491" s="67"/>
      <c r="S491" s="67"/>
      <c r="T491" s="67"/>
      <c r="U491" s="66"/>
      <c r="V491" s="66"/>
      <c r="W491" s="66"/>
      <c r="X491" s="85"/>
      <c r="AP491" t="str">
        <v/>
      </c>
    </row>
    <row r="492" spans="4:42" ht="15.75" x14ac:dyDescent="0.25">
      <c r="D492" s="3">
        <v>1</v>
      </c>
      <c r="F492" s="16" t="str" cm="1">
        <f t="array" ref="F4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2" s="31" cm="1">
        <f t="array" ref="G4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2" s="33" t="str">
        <f>_xlfn.IFNA(IF(MOD(HLG_06[[#This Row],[Rit]],
    _xlfn.XLOOKUP($G$2,Int_Sample[Ore],Int_Sample[Inc])) = 0, "YES", "NO"),"")</f>
        <v/>
      </c>
      <c r="I492" s="32" t="str">
        <f>TEXT(HLG_06[[#This Row],[Batch]],"000")&amp; " / " &amp; TEXT(HLG_06[[#This Row],[Rit]],"000")</f>
        <v>N/A / 000</v>
      </c>
      <c r="J492" s="34"/>
      <c r="K492" s="38"/>
      <c r="L492" s="35"/>
      <c r="M492" s="66"/>
      <c r="N492" s="66"/>
      <c r="O492" s="66"/>
      <c r="P492" s="66"/>
      <c r="Q492" s="66"/>
      <c r="R492" s="67"/>
      <c r="S492" s="67"/>
      <c r="T492" s="67"/>
      <c r="U492" s="66"/>
      <c r="V492" s="66"/>
      <c r="W492" s="66"/>
      <c r="X492" s="85"/>
      <c r="AP492" t="str">
        <v/>
      </c>
    </row>
    <row r="493" spans="4:42" ht="15.75" x14ac:dyDescent="0.25">
      <c r="D493" s="3">
        <v>1</v>
      </c>
      <c r="F493" s="16" t="str" cm="1">
        <f t="array" ref="F4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3" s="31" cm="1">
        <f t="array" ref="G4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3" s="33" t="str">
        <f>_xlfn.IFNA(IF(MOD(HLG_06[[#This Row],[Rit]],
    _xlfn.XLOOKUP($G$2,Int_Sample[Ore],Int_Sample[Inc])) = 0, "YES", "NO"),"")</f>
        <v/>
      </c>
      <c r="I493" s="32" t="str">
        <f>TEXT(HLG_06[[#This Row],[Batch]],"000")&amp; " / " &amp; TEXT(HLG_06[[#This Row],[Rit]],"000")</f>
        <v>N/A / 000</v>
      </c>
      <c r="J493" s="34"/>
      <c r="K493" s="38"/>
      <c r="L493" s="35"/>
      <c r="M493" s="66"/>
      <c r="N493" s="66"/>
      <c r="O493" s="66"/>
      <c r="P493" s="66"/>
      <c r="Q493" s="66"/>
      <c r="R493" s="67"/>
      <c r="S493" s="67"/>
      <c r="T493" s="67"/>
      <c r="U493" s="66"/>
      <c r="V493" s="66"/>
      <c r="W493" s="66"/>
      <c r="X493" s="85"/>
      <c r="AP493" t="str">
        <v/>
      </c>
    </row>
    <row r="494" spans="4:42" ht="15.75" x14ac:dyDescent="0.25">
      <c r="D494" s="3">
        <v>1</v>
      </c>
      <c r="F494" s="16" t="str" cm="1">
        <f t="array" ref="F4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4" s="31" cm="1">
        <f t="array" ref="G4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4" s="33" t="str">
        <f>_xlfn.IFNA(IF(MOD(HLG_06[[#This Row],[Rit]],
    _xlfn.XLOOKUP($G$2,Int_Sample[Ore],Int_Sample[Inc])) = 0, "YES", "NO"),"")</f>
        <v/>
      </c>
      <c r="I494" s="32" t="str">
        <f>TEXT(HLG_06[[#This Row],[Batch]],"000")&amp; " / " &amp; TEXT(HLG_06[[#This Row],[Rit]],"000")</f>
        <v>N/A / 000</v>
      </c>
      <c r="J494" s="34"/>
      <c r="K494" s="38"/>
      <c r="L494" s="35"/>
      <c r="M494" s="66"/>
      <c r="N494" s="66"/>
      <c r="O494" s="66"/>
      <c r="P494" s="66"/>
      <c r="Q494" s="66"/>
      <c r="R494" s="67"/>
      <c r="S494" s="67"/>
      <c r="T494" s="67"/>
      <c r="U494" s="66"/>
      <c r="V494" s="66"/>
      <c r="W494" s="66"/>
      <c r="X494" s="85"/>
      <c r="AP494" t="str">
        <v/>
      </c>
    </row>
    <row r="495" spans="4:42" ht="15.75" x14ac:dyDescent="0.25">
      <c r="D495" s="3">
        <v>1</v>
      </c>
      <c r="F495" s="16" t="str" cm="1">
        <f t="array" ref="F4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5" s="31" cm="1">
        <f t="array" ref="G4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5" s="33" t="str">
        <f>_xlfn.IFNA(IF(MOD(HLG_06[[#This Row],[Rit]],
    _xlfn.XLOOKUP($G$2,Int_Sample[Ore],Int_Sample[Inc])) = 0, "YES", "NO"),"")</f>
        <v/>
      </c>
      <c r="I495" s="32" t="str">
        <f>TEXT(HLG_06[[#This Row],[Batch]],"000")&amp; " / " &amp; TEXT(HLG_06[[#This Row],[Rit]],"000")</f>
        <v>N/A / 000</v>
      </c>
      <c r="J495" s="34"/>
      <c r="K495" s="38"/>
      <c r="L495" s="35"/>
      <c r="M495" s="66"/>
      <c r="N495" s="66"/>
      <c r="O495" s="66"/>
      <c r="P495" s="66"/>
      <c r="Q495" s="66"/>
      <c r="R495" s="67"/>
      <c r="S495" s="67"/>
      <c r="T495" s="67"/>
      <c r="U495" s="66"/>
      <c r="V495" s="66"/>
      <c r="W495" s="66"/>
      <c r="X495" s="85"/>
      <c r="AP495" t="str">
        <v/>
      </c>
    </row>
    <row r="496" spans="4:42" ht="15.75" x14ac:dyDescent="0.25">
      <c r="D496" s="3">
        <v>1</v>
      </c>
      <c r="F496" s="16" t="str" cm="1">
        <f t="array" ref="F4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6" s="31" cm="1">
        <f t="array" ref="G4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6" s="33" t="str">
        <f>_xlfn.IFNA(IF(MOD(HLG_06[[#This Row],[Rit]],
    _xlfn.XLOOKUP($G$2,Int_Sample[Ore],Int_Sample[Inc])) = 0, "YES", "NO"),"")</f>
        <v/>
      </c>
      <c r="I496" s="32" t="str">
        <f>TEXT(HLG_06[[#This Row],[Batch]],"000")&amp; " / " &amp; TEXT(HLG_06[[#This Row],[Rit]],"000")</f>
        <v>N/A / 000</v>
      </c>
      <c r="J496" s="34"/>
      <c r="K496" s="38"/>
      <c r="L496" s="35"/>
      <c r="M496" s="66"/>
      <c r="N496" s="66"/>
      <c r="O496" s="66"/>
      <c r="P496" s="66"/>
      <c r="Q496" s="66"/>
      <c r="R496" s="67"/>
      <c r="S496" s="67"/>
      <c r="T496" s="67"/>
      <c r="U496" s="66"/>
      <c r="V496" s="66"/>
      <c r="W496" s="66"/>
      <c r="X496" s="85"/>
      <c r="AP496" t="str">
        <v/>
      </c>
    </row>
    <row r="497" spans="4:42" ht="15.75" x14ac:dyDescent="0.25">
      <c r="D497" s="3">
        <v>1</v>
      </c>
      <c r="F497" s="16" t="str" cm="1">
        <f t="array" ref="F4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7" s="31" cm="1">
        <f t="array" ref="G4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7" s="33" t="str">
        <f>_xlfn.IFNA(IF(MOD(HLG_06[[#This Row],[Rit]],
    _xlfn.XLOOKUP($G$2,Int_Sample[Ore],Int_Sample[Inc])) = 0, "YES", "NO"),"")</f>
        <v/>
      </c>
      <c r="I497" s="32" t="str">
        <f>TEXT(HLG_06[[#This Row],[Batch]],"000")&amp; " / " &amp; TEXT(HLG_06[[#This Row],[Rit]],"000")</f>
        <v>N/A / 000</v>
      </c>
      <c r="J497" s="34"/>
      <c r="K497" s="38"/>
      <c r="L497" s="35"/>
      <c r="M497" s="66"/>
      <c r="N497" s="66"/>
      <c r="O497" s="66"/>
      <c r="P497" s="66"/>
      <c r="Q497" s="66"/>
      <c r="R497" s="67"/>
      <c r="S497" s="67"/>
      <c r="T497" s="67"/>
      <c r="U497" s="66"/>
      <c r="V497" s="66"/>
      <c r="W497" s="66"/>
      <c r="X497" s="85"/>
      <c r="AP497" t="str">
        <v/>
      </c>
    </row>
    <row r="498" spans="4:42" ht="15.75" x14ac:dyDescent="0.25">
      <c r="D498" s="3">
        <v>1</v>
      </c>
      <c r="F498" s="16" t="str" cm="1">
        <f t="array" ref="F4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8" s="31" cm="1">
        <f t="array" ref="G4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8" s="33" t="str">
        <f>_xlfn.IFNA(IF(MOD(HLG_06[[#This Row],[Rit]],
    _xlfn.XLOOKUP($G$2,Int_Sample[Ore],Int_Sample[Inc])) = 0, "YES", "NO"),"")</f>
        <v/>
      </c>
      <c r="I498" s="32" t="str">
        <f>TEXT(HLG_06[[#This Row],[Batch]],"000")&amp; " / " &amp; TEXT(HLG_06[[#This Row],[Rit]],"000")</f>
        <v>N/A / 000</v>
      </c>
      <c r="J498" s="34"/>
      <c r="K498" s="38"/>
      <c r="L498" s="35"/>
      <c r="M498" s="66"/>
      <c r="N498" s="66"/>
      <c r="O498" s="66"/>
      <c r="P498" s="66"/>
      <c r="Q498" s="66"/>
      <c r="R498" s="67"/>
      <c r="S498" s="67"/>
      <c r="T498" s="67"/>
      <c r="U498" s="66"/>
      <c r="V498" s="66"/>
      <c r="W498" s="66"/>
      <c r="X498" s="85"/>
      <c r="AP498" t="str">
        <v/>
      </c>
    </row>
    <row r="499" spans="4:42" ht="15.75" x14ac:dyDescent="0.25">
      <c r="D499" s="3">
        <v>1</v>
      </c>
      <c r="F499" s="16" t="str" cm="1">
        <f t="array" ref="F4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499" s="31" cm="1">
        <f t="array" ref="G4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499" s="33" t="str">
        <f>_xlfn.IFNA(IF(MOD(HLG_06[[#This Row],[Rit]],
    _xlfn.XLOOKUP($G$2,Int_Sample[Ore],Int_Sample[Inc])) = 0, "YES", "NO"),"")</f>
        <v/>
      </c>
      <c r="I499" s="32" t="str">
        <f>TEXT(HLG_06[[#This Row],[Batch]],"000")&amp; " / " &amp; TEXT(HLG_06[[#This Row],[Rit]],"000")</f>
        <v>N/A / 000</v>
      </c>
      <c r="J499" s="34"/>
      <c r="K499" s="38"/>
      <c r="L499" s="35"/>
      <c r="M499" s="66"/>
      <c r="N499" s="66"/>
      <c r="O499" s="66"/>
      <c r="P499" s="66"/>
      <c r="Q499" s="66"/>
      <c r="R499" s="67"/>
      <c r="S499" s="67"/>
      <c r="T499" s="67"/>
      <c r="U499" s="66"/>
      <c r="V499" s="66"/>
      <c r="W499" s="66"/>
      <c r="X499" s="85"/>
      <c r="AP499" t="str">
        <v/>
      </c>
    </row>
    <row r="500" spans="4:42" ht="15.75" x14ac:dyDescent="0.25">
      <c r="D500" s="3">
        <v>1</v>
      </c>
      <c r="F500" s="16" t="str" cm="1">
        <f t="array" ref="F5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0" s="31" cm="1">
        <f t="array" ref="G5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0" s="33" t="str">
        <f>_xlfn.IFNA(IF(MOD(HLG_06[[#This Row],[Rit]],
    _xlfn.XLOOKUP($G$2,Int_Sample[Ore],Int_Sample[Inc])) = 0, "YES", "NO"),"")</f>
        <v/>
      </c>
      <c r="I500" s="32" t="str">
        <f>TEXT(HLG_06[[#This Row],[Batch]],"000")&amp; " / " &amp; TEXT(HLG_06[[#This Row],[Rit]],"000")</f>
        <v>N/A / 000</v>
      </c>
      <c r="J500" s="34"/>
      <c r="K500" s="38"/>
      <c r="L500" s="35"/>
      <c r="M500" s="66"/>
      <c r="N500" s="66"/>
      <c r="O500" s="66"/>
      <c r="P500" s="66"/>
      <c r="Q500" s="66"/>
      <c r="R500" s="67"/>
      <c r="S500" s="67"/>
      <c r="T500" s="67"/>
      <c r="U500" s="66"/>
      <c r="V500" s="66"/>
      <c r="W500" s="66"/>
      <c r="X500" s="85"/>
      <c r="AP500" t="str">
        <v/>
      </c>
    </row>
    <row r="501" spans="4:42" ht="15.75" x14ac:dyDescent="0.25">
      <c r="D501" s="3">
        <v>1</v>
      </c>
      <c r="F501" s="16" t="str" cm="1">
        <f t="array" ref="F5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1" s="31" cm="1">
        <f t="array" ref="G5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1" s="33" t="str">
        <f>_xlfn.IFNA(IF(MOD(HLG_06[[#This Row],[Rit]],
    _xlfn.XLOOKUP($G$2,Int_Sample[Ore],Int_Sample[Inc])) = 0, "YES", "NO"),"")</f>
        <v/>
      </c>
      <c r="I501" s="32" t="str">
        <f>TEXT(HLG_06[[#This Row],[Batch]],"000")&amp; " / " &amp; TEXT(HLG_06[[#This Row],[Rit]],"000")</f>
        <v>N/A / 000</v>
      </c>
      <c r="J501" s="34"/>
      <c r="K501" s="38"/>
      <c r="L501" s="35"/>
      <c r="M501" s="66"/>
      <c r="N501" s="66"/>
      <c r="O501" s="66"/>
      <c r="P501" s="66"/>
      <c r="Q501" s="66"/>
      <c r="R501" s="67"/>
      <c r="S501" s="67"/>
      <c r="T501" s="67"/>
      <c r="U501" s="66"/>
      <c r="V501" s="66"/>
      <c r="W501" s="66"/>
      <c r="X501" s="85"/>
      <c r="AP501" t="str">
        <v/>
      </c>
    </row>
    <row r="502" spans="4:42" ht="15.75" x14ac:dyDescent="0.25">
      <c r="D502" s="3">
        <v>1</v>
      </c>
      <c r="F502" s="16" t="str" cm="1">
        <f t="array" ref="F5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2" s="31" cm="1">
        <f t="array" ref="G5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2" s="33" t="str">
        <f>_xlfn.IFNA(IF(MOD(HLG_06[[#This Row],[Rit]],
    _xlfn.XLOOKUP($G$2,Int_Sample[Ore],Int_Sample[Inc])) = 0, "YES", "NO"),"")</f>
        <v/>
      </c>
      <c r="I502" s="32" t="str">
        <f>TEXT(HLG_06[[#This Row],[Batch]],"000")&amp; " / " &amp; TEXT(HLG_06[[#This Row],[Rit]],"000")</f>
        <v>N/A / 000</v>
      </c>
      <c r="J502" s="34"/>
      <c r="K502" s="38"/>
      <c r="L502" s="35"/>
      <c r="M502" s="66"/>
      <c r="N502" s="66"/>
      <c r="O502" s="66"/>
      <c r="P502" s="66"/>
      <c r="Q502" s="66"/>
      <c r="R502" s="67"/>
      <c r="S502" s="67"/>
      <c r="T502" s="67"/>
      <c r="U502" s="66"/>
      <c r="V502" s="66"/>
      <c r="W502" s="66"/>
      <c r="X502" s="85"/>
      <c r="AP502" t="str">
        <v/>
      </c>
    </row>
    <row r="503" spans="4:42" ht="15.75" x14ac:dyDescent="0.25">
      <c r="D503" s="3">
        <v>1</v>
      </c>
      <c r="F503" s="16" t="str" cm="1">
        <f t="array" ref="F5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3" s="31" cm="1">
        <f t="array" ref="G5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3" s="33" t="str">
        <f>_xlfn.IFNA(IF(MOD(HLG_06[[#This Row],[Rit]],
    _xlfn.XLOOKUP($G$2,Int_Sample[Ore],Int_Sample[Inc])) = 0, "YES", "NO"),"")</f>
        <v/>
      </c>
      <c r="I503" s="32" t="str">
        <f>TEXT(HLG_06[[#This Row],[Batch]],"000")&amp; " / " &amp; TEXT(HLG_06[[#This Row],[Rit]],"000")</f>
        <v>N/A / 000</v>
      </c>
      <c r="J503" s="34"/>
      <c r="K503" s="38"/>
      <c r="L503" s="35"/>
      <c r="M503" s="66"/>
      <c r="N503" s="66"/>
      <c r="O503" s="66"/>
      <c r="P503" s="66"/>
      <c r="Q503" s="66"/>
      <c r="R503" s="67"/>
      <c r="S503" s="67"/>
      <c r="T503" s="67"/>
      <c r="U503" s="66"/>
      <c r="V503" s="66"/>
      <c r="W503" s="66"/>
      <c r="X503" s="85"/>
      <c r="AP503" t="str">
        <v/>
      </c>
    </row>
    <row r="504" spans="4:42" ht="15.75" x14ac:dyDescent="0.25">
      <c r="D504" s="3">
        <v>1</v>
      </c>
      <c r="F504" s="16" t="str" cm="1">
        <f t="array" ref="F5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4" s="31" cm="1">
        <f t="array" ref="G5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4" s="33" t="str">
        <f>_xlfn.IFNA(IF(MOD(HLG_06[[#This Row],[Rit]],
    _xlfn.XLOOKUP($G$2,Int_Sample[Ore],Int_Sample[Inc])) = 0, "YES", "NO"),"")</f>
        <v/>
      </c>
      <c r="I504" s="32" t="str">
        <f>TEXT(HLG_06[[#This Row],[Batch]],"000")&amp; " / " &amp; TEXT(HLG_06[[#This Row],[Rit]],"000")</f>
        <v>N/A / 000</v>
      </c>
      <c r="J504" s="34"/>
      <c r="K504" s="38"/>
      <c r="L504" s="35"/>
      <c r="M504" s="66"/>
      <c r="N504" s="66"/>
      <c r="O504" s="66"/>
      <c r="P504" s="66"/>
      <c r="Q504" s="66"/>
      <c r="R504" s="67"/>
      <c r="S504" s="67"/>
      <c r="T504" s="67"/>
      <c r="U504" s="66"/>
      <c r="V504" s="66"/>
      <c r="W504" s="66"/>
      <c r="X504" s="85"/>
      <c r="AP504" t="str">
        <v/>
      </c>
    </row>
    <row r="505" spans="4:42" ht="15.75" x14ac:dyDescent="0.25">
      <c r="D505" s="3">
        <v>1</v>
      </c>
      <c r="F505" s="16" t="str" cm="1">
        <f t="array" ref="F5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5" s="31" cm="1">
        <f t="array" ref="G5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5" s="33" t="str">
        <f>_xlfn.IFNA(IF(MOD(HLG_06[[#This Row],[Rit]],
    _xlfn.XLOOKUP($G$2,Int_Sample[Ore],Int_Sample[Inc])) = 0, "YES", "NO"),"")</f>
        <v/>
      </c>
      <c r="I505" s="32" t="str">
        <f>TEXT(HLG_06[[#This Row],[Batch]],"000")&amp; " / " &amp; TEXT(HLG_06[[#This Row],[Rit]],"000")</f>
        <v>N/A / 000</v>
      </c>
      <c r="J505" s="34"/>
      <c r="K505" s="38"/>
      <c r="L505" s="35"/>
      <c r="M505" s="66"/>
      <c r="N505" s="66"/>
      <c r="O505" s="66"/>
      <c r="P505" s="66"/>
      <c r="Q505" s="66"/>
      <c r="R505" s="67"/>
      <c r="S505" s="67"/>
      <c r="T505" s="67"/>
      <c r="U505" s="66"/>
      <c r="V505" s="66"/>
      <c r="W505" s="66"/>
      <c r="X505" s="85"/>
      <c r="AP505" t="str">
        <v/>
      </c>
    </row>
    <row r="506" spans="4:42" ht="15.75" x14ac:dyDescent="0.25">
      <c r="D506" s="3">
        <v>1</v>
      </c>
      <c r="F506" s="16" t="str" cm="1">
        <f t="array" ref="F5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6" s="31" cm="1">
        <f t="array" ref="G5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6" s="33" t="str">
        <f>_xlfn.IFNA(IF(MOD(HLG_06[[#This Row],[Rit]],
    _xlfn.XLOOKUP($G$2,Int_Sample[Ore],Int_Sample[Inc])) = 0, "YES", "NO"),"")</f>
        <v/>
      </c>
      <c r="I506" s="32" t="str">
        <f>TEXT(HLG_06[[#This Row],[Batch]],"000")&amp; " / " &amp; TEXT(HLG_06[[#This Row],[Rit]],"000")</f>
        <v>N/A / 000</v>
      </c>
      <c r="J506" s="34"/>
      <c r="K506" s="38"/>
      <c r="L506" s="35"/>
      <c r="M506" s="66"/>
      <c r="N506" s="66"/>
      <c r="O506" s="66"/>
      <c r="P506" s="66"/>
      <c r="Q506" s="66"/>
      <c r="R506" s="67"/>
      <c r="S506" s="67"/>
      <c r="T506" s="67"/>
      <c r="U506" s="66"/>
      <c r="V506" s="66"/>
      <c r="W506" s="66"/>
      <c r="X506" s="85"/>
      <c r="AP506" t="str">
        <v/>
      </c>
    </row>
    <row r="507" spans="4:42" ht="15.75" x14ac:dyDescent="0.25">
      <c r="D507" s="3">
        <v>1</v>
      </c>
      <c r="F507" s="16" t="str" cm="1">
        <f t="array" ref="F5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7" s="31" cm="1">
        <f t="array" ref="G5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7" s="33" t="str">
        <f>_xlfn.IFNA(IF(MOD(HLG_06[[#This Row],[Rit]],
    _xlfn.XLOOKUP($G$2,Int_Sample[Ore],Int_Sample[Inc])) = 0, "YES", "NO"),"")</f>
        <v/>
      </c>
      <c r="I507" s="32" t="str">
        <f>TEXT(HLG_06[[#This Row],[Batch]],"000")&amp; " / " &amp; TEXT(HLG_06[[#This Row],[Rit]],"000")</f>
        <v>N/A / 000</v>
      </c>
      <c r="J507" s="34"/>
      <c r="K507" s="38"/>
      <c r="L507" s="35"/>
      <c r="M507" s="66"/>
      <c r="N507" s="66"/>
      <c r="O507" s="66"/>
      <c r="P507" s="66"/>
      <c r="Q507" s="66"/>
      <c r="R507" s="67"/>
      <c r="S507" s="67"/>
      <c r="T507" s="67"/>
      <c r="U507" s="66"/>
      <c r="V507" s="66"/>
      <c r="W507" s="66"/>
      <c r="X507" s="85"/>
      <c r="AP507" t="str">
        <v/>
      </c>
    </row>
    <row r="508" spans="4:42" ht="15.75" x14ac:dyDescent="0.25">
      <c r="D508" s="3">
        <v>1</v>
      </c>
      <c r="F508" s="16" t="str" cm="1">
        <f t="array" ref="F5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8" s="31" cm="1">
        <f t="array" ref="G5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8" s="33" t="str">
        <f>_xlfn.IFNA(IF(MOD(HLG_06[[#This Row],[Rit]],
    _xlfn.XLOOKUP($G$2,Int_Sample[Ore],Int_Sample[Inc])) = 0, "YES", "NO"),"")</f>
        <v/>
      </c>
      <c r="I508" s="32" t="str">
        <f>TEXT(HLG_06[[#This Row],[Batch]],"000")&amp; " / " &amp; TEXT(HLG_06[[#This Row],[Rit]],"000")</f>
        <v>N/A / 000</v>
      </c>
      <c r="J508" s="34"/>
      <c r="K508" s="38"/>
      <c r="L508" s="35"/>
      <c r="M508" s="66"/>
      <c r="N508" s="66"/>
      <c r="O508" s="66"/>
      <c r="P508" s="66"/>
      <c r="Q508" s="66"/>
      <c r="R508" s="67"/>
      <c r="S508" s="67"/>
      <c r="T508" s="67"/>
      <c r="U508" s="66"/>
      <c r="V508" s="66"/>
      <c r="W508" s="66"/>
      <c r="X508" s="85"/>
      <c r="AP508" t="str">
        <v/>
      </c>
    </row>
    <row r="509" spans="4:42" ht="15.75" x14ac:dyDescent="0.25">
      <c r="D509" s="3">
        <v>1</v>
      </c>
      <c r="F509" s="16" t="str" cm="1">
        <f t="array" ref="F5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09" s="31" cm="1">
        <f t="array" ref="G5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09" s="33" t="str">
        <f>_xlfn.IFNA(IF(MOD(HLG_06[[#This Row],[Rit]],
    _xlfn.XLOOKUP($G$2,Int_Sample[Ore],Int_Sample[Inc])) = 0, "YES", "NO"),"")</f>
        <v/>
      </c>
      <c r="I509" s="32" t="str">
        <f>TEXT(HLG_06[[#This Row],[Batch]],"000")&amp; " / " &amp; TEXT(HLG_06[[#This Row],[Rit]],"000")</f>
        <v>N/A / 000</v>
      </c>
      <c r="J509" s="34"/>
      <c r="K509" s="38"/>
      <c r="L509" s="35"/>
      <c r="M509" s="66"/>
      <c r="N509" s="66"/>
      <c r="O509" s="66"/>
      <c r="P509" s="66"/>
      <c r="Q509" s="66"/>
      <c r="R509" s="67"/>
      <c r="S509" s="67"/>
      <c r="T509" s="67"/>
      <c r="U509" s="66"/>
      <c r="V509" s="66"/>
      <c r="W509" s="66"/>
      <c r="X509" s="85"/>
      <c r="AP509" t="str">
        <v/>
      </c>
    </row>
    <row r="510" spans="4:42" ht="15.75" x14ac:dyDescent="0.25">
      <c r="D510" s="3">
        <v>1</v>
      </c>
      <c r="F510" s="16" t="str" cm="1">
        <f t="array" ref="F5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0" s="31" cm="1">
        <f t="array" ref="G5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0" s="33" t="str">
        <f>_xlfn.IFNA(IF(MOD(HLG_06[[#This Row],[Rit]],
    _xlfn.XLOOKUP($G$2,Int_Sample[Ore],Int_Sample[Inc])) = 0, "YES", "NO"),"")</f>
        <v/>
      </c>
      <c r="I510" s="32" t="str">
        <f>TEXT(HLG_06[[#This Row],[Batch]],"000")&amp; " / " &amp; TEXT(HLG_06[[#This Row],[Rit]],"000")</f>
        <v>N/A / 000</v>
      </c>
      <c r="J510" s="34"/>
      <c r="K510" s="38"/>
      <c r="L510" s="35"/>
      <c r="M510" s="66"/>
      <c r="N510" s="66"/>
      <c r="O510" s="66"/>
      <c r="P510" s="66"/>
      <c r="Q510" s="66"/>
      <c r="R510" s="67"/>
      <c r="S510" s="67"/>
      <c r="T510" s="67"/>
      <c r="U510" s="66"/>
      <c r="V510" s="66"/>
      <c r="W510" s="66"/>
      <c r="X510" s="85"/>
      <c r="AP510" t="str">
        <v/>
      </c>
    </row>
    <row r="511" spans="4:42" ht="15.75" x14ac:dyDescent="0.25">
      <c r="D511" s="3">
        <v>1</v>
      </c>
      <c r="F511" s="16" t="str" cm="1">
        <f t="array" ref="F5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1" s="31" cm="1">
        <f t="array" ref="G5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1" s="33" t="str">
        <f>_xlfn.IFNA(IF(MOD(HLG_06[[#This Row],[Rit]],
    _xlfn.XLOOKUP($G$2,Int_Sample[Ore],Int_Sample[Inc])) = 0, "YES", "NO"),"")</f>
        <v/>
      </c>
      <c r="I511" s="32" t="str">
        <f>TEXT(HLG_06[[#This Row],[Batch]],"000")&amp; " / " &amp; TEXT(HLG_06[[#This Row],[Rit]],"000")</f>
        <v>N/A / 000</v>
      </c>
      <c r="J511" s="34"/>
      <c r="K511" s="38"/>
      <c r="L511" s="35"/>
      <c r="M511" s="66"/>
      <c r="N511" s="66"/>
      <c r="O511" s="66"/>
      <c r="P511" s="66"/>
      <c r="Q511" s="66"/>
      <c r="R511" s="67"/>
      <c r="S511" s="67"/>
      <c r="T511" s="67"/>
      <c r="U511" s="66"/>
      <c r="V511" s="66"/>
      <c r="W511" s="66"/>
      <c r="X511" s="85"/>
      <c r="AP511" t="str">
        <v/>
      </c>
    </row>
    <row r="512" spans="4:42" ht="15.75" x14ac:dyDescent="0.25">
      <c r="D512" s="3">
        <v>1</v>
      </c>
      <c r="F512" s="16" t="str" cm="1">
        <f t="array" ref="F5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2" s="31" cm="1">
        <f t="array" ref="G5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2" s="33" t="str">
        <f>_xlfn.IFNA(IF(MOD(HLG_06[[#This Row],[Rit]],
    _xlfn.XLOOKUP($G$2,Int_Sample[Ore],Int_Sample[Inc])) = 0, "YES", "NO"),"")</f>
        <v/>
      </c>
      <c r="I512" s="32" t="str">
        <f>TEXT(HLG_06[[#This Row],[Batch]],"000")&amp; " / " &amp; TEXT(HLG_06[[#This Row],[Rit]],"000")</f>
        <v>N/A / 000</v>
      </c>
      <c r="J512" s="34"/>
      <c r="K512" s="38"/>
      <c r="L512" s="35"/>
      <c r="M512" s="66"/>
      <c r="N512" s="66"/>
      <c r="O512" s="66"/>
      <c r="P512" s="66"/>
      <c r="Q512" s="66"/>
      <c r="R512" s="67"/>
      <c r="S512" s="67"/>
      <c r="T512" s="67"/>
      <c r="U512" s="66"/>
      <c r="V512" s="66"/>
      <c r="W512" s="66"/>
      <c r="X512" s="85"/>
      <c r="AP512" t="str">
        <v/>
      </c>
    </row>
    <row r="513" spans="4:42" ht="15.75" x14ac:dyDescent="0.25">
      <c r="D513" s="3">
        <v>1</v>
      </c>
      <c r="F513" s="16" t="str" cm="1">
        <f t="array" ref="F5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3" s="31" cm="1">
        <f t="array" ref="G5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3" s="33" t="str">
        <f>_xlfn.IFNA(IF(MOD(HLG_06[[#This Row],[Rit]],
    _xlfn.XLOOKUP($G$2,Int_Sample[Ore],Int_Sample[Inc])) = 0, "YES", "NO"),"")</f>
        <v/>
      </c>
      <c r="I513" s="32" t="str">
        <f>TEXT(HLG_06[[#This Row],[Batch]],"000")&amp; " / " &amp; TEXT(HLG_06[[#This Row],[Rit]],"000")</f>
        <v>N/A / 000</v>
      </c>
      <c r="J513" s="34"/>
      <c r="K513" s="38"/>
      <c r="L513" s="35"/>
      <c r="M513" s="66"/>
      <c r="N513" s="66"/>
      <c r="O513" s="66"/>
      <c r="P513" s="66"/>
      <c r="Q513" s="66"/>
      <c r="R513" s="67"/>
      <c r="S513" s="67"/>
      <c r="T513" s="67"/>
      <c r="U513" s="66"/>
      <c r="V513" s="66"/>
      <c r="W513" s="66"/>
      <c r="X513" s="85"/>
      <c r="AP513" t="str">
        <v/>
      </c>
    </row>
    <row r="514" spans="4:42" ht="15.75" x14ac:dyDescent="0.25">
      <c r="D514" s="3">
        <v>1</v>
      </c>
      <c r="F514" s="16" t="str" cm="1">
        <f t="array" ref="F5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4" s="31" cm="1">
        <f t="array" ref="G5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4" s="33" t="str">
        <f>_xlfn.IFNA(IF(MOD(HLG_06[[#This Row],[Rit]],
    _xlfn.XLOOKUP($G$2,Int_Sample[Ore],Int_Sample[Inc])) = 0, "YES", "NO"),"")</f>
        <v/>
      </c>
      <c r="I514" s="32" t="str">
        <f>TEXT(HLG_06[[#This Row],[Batch]],"000")&amp; " / " &amp; TEXT(HLG_06[[#This Row],[Rit]],"000")</f>
        <v>N/A / 000</v>
      </c>
      <c r="J514" s="34"/>
      <c r="K514" s="38"/>
      <c r="L514" s="35"/>
      <c r="M514" s="66"/>
      <c r="N514" s="66"/>
      <c r="O514" s="66"/>
      <c r="P514" s="66"/>
      <c r="Q514" s="66"/>
      <c r="R514" s="67"/>
      <c r="S514" s="67"/>
      <c r="T514" s="67"/>
      <c r="U514" s="66"/>
      <c r="V514" s="66"/>
      <c r="W514" s="66"/>
      <c r="X514" s="85"/>
      <c r="AP514" t="str">
        <v/>
      </c>
    </row>
    <row r="515" spans="4:42" ht="15.75" x14ac:dyDescent="0.25">
      <c r="D515" s="3">
        <v>1</v>
      </c>
      <c r="F515" s="16" t="str" cm="1">
        <f t="array" ref="F5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5" s="31" cm="1">
        <f t="array" ref="G5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5" s="33" t="str">
        <f>_xlfn.IFNA(IF(MOD(HLG_06[[#This Row],[Rit]],
    _xlfn.XLOOKUP($G$2,Int_Sample[Ore],Int_Sample[Inc])) = 0, "YES", "NO"),"")</f>
        <v/>
      </c>
      <c r="I515" s="32" t="str">
        <f>TEXT(HLG_06[[#This Row],[Batch]],"000")&amp; " / " &amp; TEXT(HLG_06[[#This Row],[Rit]],"000")</f>
        <v>N/A / 000</v>
      </c>
      <c r="J515" s="34"/>
      <c r="K515" s="38"/>
      <c r="L515" s="35"/>
      <c r="M515" s="66"/>
      <c r="N515" s="66"/>
      <c r="O515" s="66"/>
      <c r="P515" s="66"/>
      <c r="Q515" s="66"/>
      <c r="R515" s="67"/>
      <c r="S515" s="67"/>
      <c r="T515" s="67"/>
      <c r="U515" s="66"/>
      <c r="V515" s="66"/>
      <c r="W515" s="66"/>
      <c r="X515" s="85"/>
      <c r="AP515" t="str">
        <v/>
      </c>
    </row>
    <row r="516" spans="4:42" ht="15.75" x14ac:dyDescent="0.25">
      <c r="D516" s="3">
        <v>1</v>
      </c>
      <c r="F516" s="16" t="str" cm="1">
        <f t="array" ref="F5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6" s="31" cm="1">
        <f t="array" ref="G5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6" s="33" t="str">
        <f>_xlfn.IFNA(IF(MOD(HLG_06[[#This Row],[Rit]],
    _xlfn.XLOOKUP($G$2,Int_Sample[Ore],Int_Sample[Inc])) = 0, "YES", "NO"),"")</f>
        <v/>
      </c>
      <c r="I516" s="32" t="str">
        <f>TEXT(HLG_06[[#This Row],[Batch]],"000")&amp; " / " &amp; TEXT(HLG_06[[#This Row],[Rit]],"000")</f>
        <v>N/A / 000</v>
      </c>
      <c r="J516" s="34"/>
      <c r="K516" s="38"/>
      <c r="L516" s="35"/>
      <c r="M516" s="66"/>
      <c r="N516" s="66"/>
      <c r="O516" s="66"/>
      <c r="P516" s="66"/>
      <c r="Q516" s="66"/>
      <c r="R516" s="67"/>
      <c r="S516" s="67"/>
      <c r="T516" s="67"/>
      <c r="U516" s="66"/>
      <c r="V516" s="66"/>
      <c r="W516" s="66"/>
      <c r="X516" s="85"/>
      <c r="AP516" t="str">
        <v/>
      </c>
    </row>
    <row r="517" spans="4:42" ht="15.75" x14ac:dyDescent="0.25">
      <c r="D517" s="3">
        <v>1</v>
      </c>
      <c r="F517" s="16" t="str" cm="1">
        <f t="array" ref="F5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7" s="31" cm="1">
        <f t="array" ref="G5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7" s="33" t="str">
        <f>_xlfn.IFNA(IF(MOD(HLG_06[[#This Row],[Rit]],
    _xlfn.XLOOKUP($G$2,Int_Sample[Ore],Int_Sample[Inc])) = 0, "YES", "NO"),"")</f>
        <v/>
      </c>
      <c r="I517" s="32" t="str">
        <f>TEXT(HLG_06[[#This Row],[Batch]],"000")&amp; " / " &amp; TEXT(HLG_06[[#This Row],[Rit]],"000")</f>
        <v>N/A / 000</v>
      </c>
      <c r="J517" s="34"/>
      <c r="K517" s="38"/>
      <c r="L517" s="35"/>
      <c r="M517" s="66"/>
      <c r="N517" s="66"/>
      <c r="O517" s="66"/>
      <c r="P517" s="66"/>
      <c r="Q517" s="66"/>
      <c r="R517" s="67"/>
      <c r="S517" s="67"/>
      <c r="T517" s="67"/>
      <c r="U517" s="66"/>
      <c r="V517" s="66"/>
      <c r="W517" s="66"/>
      <c r="X517" s="85"/>
      <c r="AP517" t="str">
        <v/>
      </c>
    </row>
    <row r="518" spans="4:42" ht="15.75" x14ac:dyDescent="0.25">
      <c r="D518" s="3">
        <v>1</v>
      </c>
      <c r="F518" s="16" t="str" cm="1">
        <f t="array" ref="F5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8" s="31" cm="1">
        <f t="array" ref="G5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8" s="33" t="str">
        <f>_xlfn.IFNA(IF(MOD(HLG_06[[#This Row],[Rit]],
    _xlfn.XLOOKUP($G$2,Int_Sample[Ore],Int_Sample[Inc])) = 0, "YES", "NO"),"")</f>
        <v/>
      </c>
      <c r="I518" s="32" t="str">
        <f>TEXT(HLG_06[[#This Row],[Batch]],"000")&amp; " / " &amp; TEXT(HLG_06[[#This Row],[Rit]],"000")</f>
        <v>N/A / 000</v>
      </c>
      <c r="J518" s="34"/>
      <c r="K518" s="38"/>
      <c r="L518" s="35"/>
      <c r="M518" s="66"/>
      <c r="N518" s="66"/>
      <c r="O518" s="66"/>
      <c r="P518" s="66"/>
      <c r="Q518" s="66"/>
      <c r="R518" s="67"/>
      <c r="S518" s="67"/>
      <c r="T518" s="67"/>
      <c r="U518" s="66"/>
      <c r="V518" s="66"/>
      <c r="W518" s="66"/>
      <c r="X518" s="85"/>
      <c r="AP518" t="str">
        <v/>
      </c>
    </row>
    <row r="519" spans="4:42" ht="15.75" x14ac:dyDescent="0.25">
      <c r="D519" s="3">
        <v>1</v>
      </c>
      <c r="F519" s="16" t="str" cm="1">
        <f t="array" ref="F5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19" s="31" cm="1">
        <f t="array" ref="G5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19" s="33" t="str">
        <f>_xlfn.IFNA(IF(MOD(HLG_06[[#This Row],[Rit]],
    _xlfn.XLOOKUP($G$2,Int_Sample[Ore],Int_Sample[Inc])) = 0, "YES", "NO"),"")</f>
        <v/>
      </c>
      <c r="I519" s="32" t="str">
        <f>TEXT(HLG_06[[#This Row],[Batch]],"000")&amp; " / " &amp; TEXT(HLG_06[[#This Row],[Rit]],"000")</f>
        <v>N/A / 000</v>
      </c>
      <c r="J519" s="34"/>
      <c r="K519" s="38"/>
      <c r="L519" s="35"/>
      <c r="M519" s="66"/>
      <c r="N519" s="66"/>
      <c r="O519" s="66"/>
      <c r="P519" s="66"/>
      <c r="Q519" s="66"/>
      <c r="R519" s="67"/>
      <c r="S519" s="67"/>
      <c r="T519" s="67"/>
      <c r="U519" s="66"/>
      <c r="V519" s="66"/>
      <c r="W519" s="66"/>
      <c r="X519" s="85"/>
      <c r="AP519" t="str">
        <v/>
      </c>
    </row>
    <row r="520" spans="4:42" ht="15.75" x14ac:dyDescent="0.25">
      <c r="D520" s="3">
        <v>1</v>
      </c>
      <c r="F520" s="16" t="str" cm="1">
        <f t="array" ref="F5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0" s="31" cm="1">
        <f t="array" ref="G5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0" s="33" t="str">
        <f>_xlfn.IFNA(IF(MOD(HLG_06[[#This Row],[Rit]],
    _xlfn.XLOOKUP($G$2,Int_Sample[Ore],Int_Sample[Inc])) = 0, "YES", "NO"),"")</f>
        <v/>
      </c>
      <c r="I520" s="32" t="str">
        <f>TEXT(HLG_06[[#This Row],[Batch]],"000")&amp; " / " &amp; TEXT(HLG_06[[#This Row],[Rit]],"000")</f>
        <v>N/A / 000</v>
      </c>
      <c r="J520" s="34"/>
      <c r="K520" s="38"/>
      <c r="L520" s="35"/>
      <c r="M520" s="66"/>
      <c r="N520" s="66"/>
      <c r="O520" s="66"/>
      <c r="P520" s="66"/>
      <c r="Q520" s="66"/>
      <c r="R520" s="67"/>
      <c r="S520" s="67"/>
      <c r="T520" s="67"/>
      <c r="U520" s="66"/>
      <c r="V520" s="66"/>
      <c r="W520" s="66"/>
      <c r="X520" s="85"/>
      <c r="AP520" t="str">
        <v/>
      </c>
    </row>
    <row r="521" spans="4:42" ht="15.75" x14ac:dyDescent="0.25">
      <c r="D521" s="3">
        <v>1</v>
      </c>
      <c r="F521" s="16" t="str" cm="1">
        <f t="array" ref="F5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1" s="31" cm="1">
        <f t="array" ref="G5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1" s="33" t="str">
        <f>_xlfn.IFNA(IF(MOD(HLG_06[[#This Row],[Rit]],
    _xlfn.XLOOKUP($G$2,Int_Sample[Ore],Int_Sample[Inc])) = 0, "YES", "NO"),"")</f>
        <v/>
      </c>
      <c r="I521" s="32" t="str">
        <f>TEXT(HLG_06[[#This Row],[Batch]],"000")&amp; " / " &amp; TEXT(HLG_06[[#This Row],[Rit]],"000")</f>
        <v>N/A / 000</v>
      </c>
      <c r="J521" s="34"/>
      <c r="K521" s="38"/>
      <c r="L521" s="35"/>
      <c r="M521" s="66"/>
      <c r="N521" s="66"/>
      <c r="O521" s="66"/>
      <c r="P521" s="66"/>
      <c r="Q521" s="66"/>
      <c r="R521" s="67"/>
      <c r="S521" s="67"/>
      <c r="T521" s="67"/>
      <c r="U521" s="66"/>
      <c r="V521" s="66"/>
      <c r="W521" s="66"/>
      <c r="X521" s="85"/>
      <c r="AP521" t="str">
        <v/>
      </c>
    </row>
    <row r="522" spans="4:42" ht="15.75" x14ac:dyDescent="0.25">
      <c r="D522" s="3">
        <v>1</v>
      </c>
      <c r="F522" s="16" t="str" cm="1">
        <f t="array" ref="F5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2" s="31" cm="1">
        <f t="array" ref="G5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2" s="33" t="str">
        <f>_xlfn.IFNA(IF(MOD(HLG_06[[#This Row],[Rit]],
    _xlfn.XLOOKUP($G$2,Int_Sample[Ore],Int_Sample[Inc])) = 0, "YES", "NO"),"")</f>
        <v/>
      </c>
      <c r="I522" s="32" t="str">
        <f>TEXT(HLG_06[[#This Row],[Batch]],"000")&amp; " / " &amp; TEXT(HLG_06[[#This Row],[Rit]],"000")</f>
        <v>N/A / 000</v>
      </c>
      <c r="J522" s="34"/>
      <c r="K522" s="38"/>
      <c r="L522" s="35"/>
      <c r="M522" s="66"/>
      <c r="N522" s="66"/>
      <c r="O522" s="66"/>
      <c r="P522" s="66"/>
      <c r="Q522" s="66"/>
      <c r="R522" s="67"/>
      <c r="S522" s="67"/>
      <c r="T522" s="67"/>
      <c r="U522" s="66"/>
      <c r="V522" s="66"/>
      <c r="W522" s="66"/>
      <c r="X522" s="85"/>
      <c r="AP522" t="str">
        <v/>
      </c>
    </row>
    <row r="523" spans="4:42" ht="15.75" x14ac:dyDescent="0.25">
      <c r="D523" s="3">
        <v>1</v>
      </c>
      <c r="F523" s="16" t="str" cm="1">
        <f t="array" ref="F5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3" s="31" cm="1">
        <f t="array" ref="G5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3" s="33" t="str">
        <f>_xlfn.IFNA(IF(MOD(HLG_06[[#This Row],[Rit]],
    _xlfn.XLOOKUP($G$2,Int_Sample[Ore],Int_Sample[Inc])) = 0, "YES", "NO"),"")</f>
        <v/>
      </c>
      <c r="I523" s="32" t="str">
        <f>TEXT(HLG_06[[#This Row],[Batch]],"000")&amp; " / " &amp; TEXT(HLG_06[[#This Row],[Rit]],"000")</f>
        <v>N/A / 000</v>
      </c>
      <c r="J523" s="34"/>
      <c r="K523" s="38"/>
      <c r="L523" s="35"/>
      <c r="M523" s="66"/>
      <c r="N523" s="66"/>
      <c r="O523" s="66"/>
      <c r="P523" s="66"/>
      <c r="Q523" s="66"/>
      <c r="R523" s="67"/>
      <c r="S523" s="67"/>
      <c r="T523" s="67"/>
      <c r="U523" s="66"/>
      <c r="V523" s="66"/>
      <c r="W523" s="66"/>
      <c r="X523" s="85"/>
      <c r="AP523" t="str">
        <v/>
      </c>
    </row>
    <row r="524" spans="4:42" ht="15.75" x14ac:dyDescent="0.25">
      <c r="D524" s="3">
        <v>1</v>
      </c>
      <c r="F524" s="16" t="str" cm="1">
        <f t="array" ref="F5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4" s="31" cm="1">
        <f t="array" ref="G5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4" s="33" t="str">
        <f>_xlfn.IFNA(IF(MOD(HLG_06[[#This Row],[Rit]],
    _xlfn.XLOOKUP($G$2,Int_Sample[Ore],Int_Sample[Inc])) = 0, "YES", "NO"),"")</f>
        <v/>
      </c>
      <c r="I524" s="32" t="str">
        <f>TEXT(HLG_06[[#This Row],[Batch]],"000")&amp; " / " &amp; TEXT(HLG_06[[#This Row],[Rit]],"000")</f>
        <v>N/A / 000</v>
      </c>
      <c r="J524" s="34"/>
      <c r="K524" s="38"/>
      <c r="L524" s="35"/>
      <c r="M524" s="66"/>
      <c r="N524" s="66"/>
      <c r="O524" s="66"/>
      <c r="P524" s="66"/>
      <c r="Q524" s="66"/>
      <c r="R524" s="67"/>
      <c r="S524" s="67"/>
      <c r="T524" s="67"/>
      <c r="U524" s="66"/>
      <c r="V524" s="66"/>
      <c r="W524" s="66"/>
      <c r="X524" s="85"/>
      <c r="AP524" t="str">
        <v/>
      </c>
    </row>
    <row r="525" spans="4:42" ht="15.75" x14ac:dyDescent="0.25">
      <c r="D525" s="3">
        <v>1</v>
      </c>
      <c r="F525" s="16" t="str" cm="1">
        <f t="array" ref="F5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5" s="31" cm="1">
        <f t="array" ref="G5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5" s="33" t="str">
        <f>_xlfn.IFNA(IF(MOD(HLG_06[[#This Row],[Rit]],
    _xlfn.XLOOKUP($G$2,Int_Sample[Ore],Int_Sample[Inc])) = 0, "YES", "NO"),"")</f>
        <v/>
      </c>
      <c r="I525" s="32" t="str">
        <f>TEXT(HLG_06[[#This Row],[Batch]],"000")&amp; " / " &amp; TEXT(HLG_06[[#This Row],[Rit]],"000")</f>
        <v>N/A / 000</v>
      </c>
      <c r="J525" s="34"/>
      <c r="K525" s="38"/>
      <c r="L525" s="35"/>
      <c r="M525" s="66"/>
      <c r="N525" s="66"/>
      <c r="O525" s="66"/>
      <c r="P525" s="66"/>
      <c r="Q525" s="66"/>
      <c r="R525" s="67"/>
      <c r="S525" s="67"/>
      <c r="T525" s="67"/>
      <c r="U525" s="66"/>
      <c r="V525" s="66"/>
      <c r="W525" s="66"/>
      <c r="X525" s="85"/>
      <c r="AP525" t="str">
        <v/>
      </c>
    </row>
    <row r="526" spans="4:42" ht="15.75" x14ac:dyDescent="0.25">
      <c r="D526" s="3">
        <v>1</v>
      </c>
      <c r="F526" s="16" t="str" cm="1">
        <f t="array" ref="F5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6" s="31" cm="1">
        <f t="array" ref="G5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6" s="33" t="str">
        <f>_xlfn.IFNA(IF(MOD(HLG_06[[#This Row],[Rit]],
    _xlfn.XLOOKUP($G$2,Int_Sample[Ore],Int_Sample[Inc])) = 0, "YES", "NO"),"")</f>
        <v/>
      </c>
      <c r="I526" s="32" t="str">
        <f>TEXT(HLG_06[[#This Row],[Batch]],"000")&amp; " / " &amp; TEXT(HLG_06[[#This Row],[Rit]],"000")</f>
        <v>N/A / 000</v>
      </c>
      <c r="J526" s="34"/>
      <c r="K526" s="38"/>
      <c r="L526" s="35"/>
      <c r="M526" s="66"/>
      <c r="N526" s="66"/>
      <c r="O526" s="66"/>
      <c r="P526" s="66"/>
      <c r="Q526" s="66"/>
      <c r="R526" s="67"/>
      <c r="S526" s="67"/>
      <c r="T526" s="67"/>
      <c r="U526" s="66"/>
      <c r="V526" s="66"/>
      <c r="W526" s="66"/>
      <c r="X526" s="85"/>
      <c r="AP526" t="str">
        <v/>
      </c>
    </row>
    <row r="527" spans="4:42" ht="15.75" x14ac:dyDescent="0.25">
      <c r="D527" s="3">
        <v>1</v>
      </c>
      <c r="F527" s="16" t="str" cm="1">
        <f t="array" ref="F5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7" s="31" cm="1">
        <f t="array" ref="G5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7" s="33" t="str">
        <f>_xlfn.IFNA(IF(MOD(HLG_06[[#This Row],[Rit]],
    _xlfn.XLOOKUP($G$2,Int_Sample[Ore],Int_Sample[Inc])) = 0, "YES", "NO"),"")</f>
        <v/>
      </c>
      <c r="I527" s="32" t="str">
        <f>TEXT(HLG_06[[#This Row],[Batch]],"000")&amp; " / " &amp; TEXT(HLG_06[[#This Row],[Rit]],"000")</f>
        <v>N/A / 000</v>
      </c>
      <c r="J527" s="34"/>
      <c r="K527" s="38"/>
      <c r="L527" s="35"/>
      <c r="M527" s="66"/>
      <c r="N527" s="66"/>
      <c r="O527" s="66"/>
      <c r="P527" s="66"/>
      <c r="Q527" s="66"/>
      <c r="R527" s="67"/>
      <c r="S527" s="67"/>
      <c r="T527" s="67"/>
      <c r="U527" s="66"/>
      <c r="V527" s="66"/>
      <c r="W527" s="66"/>
      <c r="X527" s="85"/>
      <c r="AP527" t="str">
        <v/>
      </c>
    </row>
    <row r="528" spans="4:42" ht="15.75" x14ac:dyDescent="0.25">
      <c r="D528" s="3">
        <v>1</v>
      </c>
      <c r="F528" s="16" t="str" cm="1">
        <f t="array" ref="F5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8" s="31" cm="1">
        <f t="array" ref="G5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8" s="33" t="str">
        <f>_xlfn.IFNA(IF(MOD(HLG_06[[#This Row],[Rit]],
    _xlfn.XLOOKUP($G$2,Int_Sample[Ore],Int_Sample[Inc])) = 0, "YES", "NO"),"")</f>
        <v/>
      </c>
      <c r="I528" s="32" t="str">
        <f>TEXT(HLG_06[[#This Row],[Batch]],"000")&amp; " / " &amp; TEXT(HLG_06[[#This Row],[Rit]],"000")</f>
        <v>N/A / 000</v>
      </c>
      <c r="J528" s="34"/>
      <c r="K528" s="38"/>
      <c r="L528" s="35"/>
      <c r="M528" s="66"/>
      <c r="N528" s="66"/>
      <c r="O528" s="66"/>
      <c r="P528" s="66"/>
      <c r="Q528" s="66"/>
      <c r="R528" s="67"/>
      <c r="S528" s="67"/>
      <c r="T528" s="67"/>
      <c r="U528" s="66"/>
      <c r="V528" s="66"/>
      <c r="W528" s="66"/>
      <c r="X528" s="85"/>
      <c r="AP528" t="str">
        <v/>
      </c>
    </row>
    <row r="529" spans="4:42" ht="15.75" x14ac:dyDescent="0.25">
      <c r="D529" s="3">
        <v>1</v>
      </c>
      <c r="F529" s="16" t="str" cm="1">
        <f t="array" ref="F5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29" s="31" cm="1">
        <f t="array" ref="G5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29" s="33" t="str">
        <f>_xlfn.IFNA(IF(MOD(HLG_06[[#This Row],[Rit]],
    _xlfn.XLOOKUP($G$2,Int_Sample[Ore],Int_Sample[Inc])) = 0, "YES", "NO"),"")</f>
        <v/>
      </c>
      <c r="I529" s="32" t="str">
        <f>TEXT(HLG_06[[#This Row],[Batch]],"000")&amp; " / " &amp; TEXT(HLG_06[[#This Row],[Rit]],"000")</f>
        <v>N/A / 000</v>
      </c>
      <c r="J529" s="34"/>
      <c r="K529" s="38"/>
      <c r="L529" s="35"/>
      <c r="M529" s="66"/>
      <c r="N529" s="66"/>
      <c r="O529" s="66"/>
      <c r="P529" s="66"/>
      <c r="Q529" s="66"/>
      <c r="R529" s="67"/>
      <c r="S529" s="67"/>
      <c r="T529" s="67"/>
      <c r="U529" s="66"/>
      <c r="V529" s="66"/>
      <c r="W529" s="66"/>
      <c r="X529" s="85"/>
      <c r="AP529" t="str">
        <v/>
      </c>
    </row>
    <row r="530" spans="4:42" ht="15.75" x14ac:dyDescent="0.25">
      <c r="D530" s="3">
        <v>1</v>
      </c>
      <c r="F530" s="16" t="str" cm="1">
        <f t="array" ref="F5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0" s="31" cm="1">
        <f t="array" ref="G5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0" s="33" t="str">
        <f>_xlfn.IFNA(IF(MOD(HLG_06[[#This Row],[Rit]],
    _xlfn.XLOOKUP($G$2,Int_Sample[Ore],Int_Sample[Inc])) = 0, "YES", "NO"),"")</f>
        <v/>
      </c>
      <c r="I530" s="32" t="str">
        <f>TEXT(HLG_06[[#This Row],[Batch]],"000")&amp; " / " &amp; TEXT(HLG_06[[#This Row],[Rit]],"000")</f>
        <v>N/A / 000</v>
      </c>
      <c r="J530" s="34"/>
      <c r="K530" s="38"/>
      <c r="L530" s="35"/>
      <c r="M530" s="66"/>
      <c r="N530" s="66"/>
      <c r="O530" s="66"/>
      <c r="P530" s="66"/>
      <c r="Q530" s="66"/>
      <c r="R530" s="67"/>
      <c r="S530" s="67"/>
      <c r="T530" s="67"/>
      <c r="U530" s="66"/>
      <c r="V530" s="66"/>
      <c r="W530" s="66"/>
      <c r="X530" s="85"/>
      <c r="AP530" t="str">
        <v/>
      </c>
    </row>
    <row r="531" spans="4:42" ht="15.75" x14ac:dyDescent="0.25">
      <c r="D531" s="3">
        <v>1</v>
      </c>
      <c r="F531" s="16" t="str" cm="1">
        <f t="array" ref="F5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1" s="31" cm="1">
        <f t="array" ref="G5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1" s="33" t="str">
        <f>_xlfn.IFNA(IF(MOD(HLG_06[[#This Row],[Rit]],
    _xlfn.XLOOKUP($G$2,Int_Sample[Ore],Int_Sample[Inc])) = 0, "YES", "NO"),"")</f>
        <v/>
      </c>
      <c r="I531" s="32" t="str">
        <f>TEXT(HLG_06[[#This Row],[Batch]],"000")&amp; " / " &amp; TEXT(HLG_06[[#This Row],[Rit]],"000")</f>
        <v>N/A / 000</v>
      </c>
      <c r="J531" s="34"/>
      <c r="K531" s="38"/>
      <c r="L531" s="35"/>
      <c r="M531" s="66"/>
      <c r="N531" s="66"/>
      <c r="O531" s="66"/>
      <c r="P531" s="66"/>
      <c r="Q531" s="66"/>
      <c r="R531" s="67"/>
      <c r="S531" s="67"/>
      <c r="T531" s="67"/>
      <c r="U531" s="66"/>
      <c r="V531" s="66"/>
      <c r="W531" s="66"/>
      <c r="X531" s="85"/>
      <c r="AP531" t="str">
        <v/>
      </c>
    </row>
    <row r="532" spans="4:42" ht="15.75" x14ac:dyDescent="0.25">
      <c r="D532" s="3">
        <v>1</v>
      </c>
      <c r="F532" s="16" t="str" cm="1">
        <f t="array" ref="F5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2" s="31" cm="1">
        <f t="array" ref="G5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2" s="33" t="str">
        <f>_xlfn.IFNA(IF(MOD(HLG_06[[#This Row],[Rit]],
    _xlfn.XLOOKUP($G$2,Int_Sample[Ore],Int_Sample[Inc])) = 0, "YES", "NO"),"")</f>
        <v/>
      </c>
      <c r="I532" s="32" t="str">
        <f>TEXT(HLG_06[[#This Row],[Batch]],"000")&amp; " / " &amp; TEXT(HLG_06[[#This Row],[Rit]],"000")</f>
        <v>N/A / 000</v>
      </c>
      <c r="J532" s="34"/>
      <c r="K532" s="38"/>
      <c r="L532" s="35"/>
      <c r="M532" s="66"/>
      <c r="N532" s="66"/>
      <c r="O532" s="66"/>
      <c r="P532" s="66"/>
      <c r="Q532" s="66"/>
      <c r="R532" s="67"/>
      <c r="S532" s="67"/>
      <c r="T532" s="67"/>
      <c r="U532" s="66"/>
      <c r="V532" s="66"/>
      <c r="W532" s="66"/>
      <c r="X532" s="85"/>
      <c r="AP532" t="str">
        <v/>
      </c>
    </row>
    <row r="533" spans="4:42" ht="15.75" x14ac:dyDescent="0.25">
      <c r="D533" s="3">
        <v>1</v>
      </c>
      <c r="F533" s="16" t="str" cm="1">
        <f t="array" ref="F5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3" s="31" cm="1">
        <f t="array" ref="G5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3" s="33" t="str">
        <f>_xlfn.IFNA(IF(MOD(HLG_06[[#This Row],[Rit]],
    _xlfn.XLOOKUP($G$2,Int_Sample[Ore],Int_Sample[Inc])) = 0, "YES", "NO"),"")</f>
        <v/>
      </c>
      <c r="I533" s="32" t="str">
        <f>TEXT(HLG_06[[#This Row],[Batch]],"000")&amp; " / " &amp; TEXT(HLG_06[[#This Row],[Rit]],"000")</f>
        <v>N/A / 000</v>
      </c>
      <c r="J533" s="34"/>
      <c r="K533" s="38"/>
      <c r="L533" s="35"/>
      <c r="M533" s="66"/>
      <c r="N533" s="66"/>
      <c r="O533" s="66"/>
      <c r="P533" s="66"/>
      <c r="Q533" s="66"/>
      <c r="R533" s="67"/>
      <c r="S533" s="67"/>
      <c r="T533" s="67"/>
      <c r="U533" s="66"/>
      <c r="V533" s="66"/>
      <c r="W533" s="66"/>
      <c r="X533" s="85"/>
      <c r="AP533" t="str">
        <v/>
      </c>
    </row>
    <row r="534" spans="4:42" ht="15.75" x14ac:dyDescent="0.25">
      <c r="D534" s="3">
        <v>1</v>
      </c>
      <c r="F534" s="16" t="str" cm="1">
        <f t="array" ref="F5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4" s="31" cm="1">
        <f t="array" ref="G5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4" s="33" t="str">
        <f>_xlfn.IFNA(IF(MOD(HLG_06[[#This Row],[Rit]],
    _xlfn.XLOOKUP($G$2,Int_Sample[Ore],Int_Sample[Inc])) = 0, "YES", "NO"),"")</f>
        <v/>
      </c>
      <c r="I534" s="32" t="str">
        <f>TEXT(HLG_06[[#This Row],[Batch]],"000")&amp; " / " &amp; TEXT(HLG_06[[#This Row],[Rit]],"000")</f>
        <v>N/A / 000</v>
      </c>
      <c r="J534" s="34"/>
      <c r="K534" s="38"/>
      <c r="L534" s="35"/>
      <c r="M534" s="66"/>
      <c r="N534" s="66"/>
      <c r="O534" s="66"/>
      <c r="P534" s="66"/>
      <c r="Q534" s="66"/>
      <c r="R534" s="67"/>
      <c r="S534" s="67"/>
      <c r="T534" s="67"/>
      <c r="U534" s="66"/>
      <c r="V534" s="66"/>
      <c r="W534" s="66"/>
      <c r="X534" s="85"/>
      <c r="AP534" t="str">
        <v/>
      </c>
    </row>
    <row r="535" spans="4:42" ht="15.75" x14ac:dyDescent="0.25">
      <c r="D535" s="3">
        <v>1</v>
      </c>
      <c r="F535" s="16" t="str" cm="1">
        <f t="array" ref="F5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5" s="31" cm="1">
        <f t="array" ref="G5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5" s="33" t="str">
        <f>_xlfn.IFNA(IF(MOD(HLG_06[[#This Row],[Rit]],
    _xlfn.XLOOKUP($G$2,Int_Sample[Ore],Int_Sample[Inc])) = 0, "YES", "NO"),"")</f>
        <v/>
      </c>
      <c r="I535" s="32" t="str">
        <f>TEXT(HLG_06[[#This Row],[Batch]],"000")&amp; " / " &amp; TEXT(HLG_06[[#This Row],[Rit]],"000")</f>
        <v>N/A / 000</v>
      </c>
      <c r="J535" s="34"/>
      <c r="K535" s="38"/>
      <c r="L535" s="35"/>
      <c r="M535" s="66"/>
      <c r="N535" s="66"/>
      <c r="O535" s="66"/>
      <c r="P535" s="66"/>
      <c r="Q535" s="66"/>
      <c r="R535" s="67"/>
      <c r="S535" s="67"/>
      <c r="T535" s="67"/>
      <c r="U535" s="66"/>
      <c r="V535" s="66"/>
      <c r="W535" s="66"/>
      <c r="X535" s="85"/>
      <c r="AP535" t="str">
        <v/>
      </c>
    </row>
    <row r="536" spans="4:42" ht="15.75" x14ac:dyDescent="0.25">
      <c r="D536" s="3">
        <v>1</v>
      </c>
      <c r="F536" s="16" t="str" cm="1">
        <f t="array" ref="F5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6" s="31" cm="1">
        <f t="array" ref="G5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6" s="33" t="str">
        <f>_xlfn.IFNA(IF(MOD(HLG_06[[#This Row],[Rit]],
    _xlfn.XLOOKUP($G$2,Int_Sample[Ore],Int_Sample[Inc])) = 0, "YES", "NO"),"")</f>
        <v/>
      </c>
      <c r="I536" s="32" t="str">
        <f>TEXT(HLG_06[[#This Row],[Batch]],"000")&amp; " / " &amp; TEXT(HLG_06[[#This Row],[Rit]],"000")</f>
        <v>N/A / 000</v>
      </c>
      <c r="J536" s="34"/>
      <c r="K536" s="38"/>
      <c r="L536" s="35"/>
      <c r="M536" s="66"/>
      <c r="N536" s="66"/>
      <c r="O536" s="66"/>
      <c r="P536" s="66"/>
      <c r="Q536" s="66"/>
      <c r="R536" s="67"/>
      <c r="S536" s="67"/>
      <c r="T536" s="67"/>
      <c r="U536" s="66"/>
      <c r="V536" s="66"/>
      <c r="W536" s="66"/>
      <c r="X536" s="85"/>
      <c r="AP536" t="str">
        <v/>
      </c>
    </row>
    <row r="537" spans="4:42" ht="15.75" x14ac:dyDescent="0.25">
      <c r="D537" s="3">
        <v>1</v>
      </c>
      <c r="F537" s="16" t="str" cm="1">
        <f t="array" ref="F5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7" s="31" cm="1">
        <f t="array" ref="G5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7" s="33" t="str">
        <f>_xlfn.IFNA(IF(MOD(HLG_06[[#This Row],[Rit]],
    _xlfn.XLOOKUP($G$2,Int_Sample[Ore],Int_Sample[Inc])) = 0, "YES", "NO"),"")</f>
        <v/>
      </c>
      <c r="I537" s="32" t="str">
        <f>TEXT(HLG_06[[#This Row],[Batch]],"000")&amp; " / " &amp; TEXT(HLG_06[[#This Row],[Rit]],"000")</f>
        <v>N/A / 000</v>
      </c>
      <c r="J537" s="34"/>
      <c r="K537" s="38"/>
      <c r="L537" s="35"/>
      <c r="M537" s="66"/>
      <c r="N537" s="66"/>
      <c r="O537" s="66"/>
      <c r="P537" s="66"/>
      <c r="Q537" s="66"/>
      <c r="R537" s="67"/>
      <c r="S537" s="67"/>
      <c r="T537" s="67"/>
      <c r="U537" s="66"/>
      <c r="V537" s="66"/>
      <c r="W537" s="66"/>
      <c r="X537" s="85"/>
      <c r="AP537" t="str">
        <v/>
      </c>
    </row>
    <row r="538" spans="4:42" ht="15.75" x14ac:dyDescent="0.25">
      <c r="D538" s="3">
        <v>1</v>
      </c>
      <c r="F538" s="16" t="str" cm="1">
        <f t="array" ref="F5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8" s="31" cm="1">
        <f t="array" ref="G5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8" s="33" t="str">
        <f>_xlfn.IFNA(IF(MOD(HLG_06[[#This Row],[Rit]],
    _xlfn.XLOOKUP($G$2,Int_Sample[Ore],Int_Sample[Inc])) = 0, "YES", "NO"),"")</f>
        <v/>
      </c>
      <c r="I538" s="32" t="str">
        <f>TEXT(HLG_06[[#This Row],[Batch]],"000")&amp; " / " &amp; TEXT(HLG_06[[#This Row],[Rit]],"000")</f>
        <v>N/A / 000</v>
      </c>
      <c r="J538" s="34"/>
      <c r="K538" s="38"/>
      <c r="L538" s="35"/>
      <c r="M538" s="66"/>
      <c r="N538" s="66"/>
      <c r="O538" s="66"/>
      <c r="P538" s="66"/>
      <c r="Q538" s="66"/>
      <c r="R538" s="67"/>
      <c r="S538" s="67"/>
      <c r="T538" s="67"/>
      <c r="U538" s="66"/>
      <c r="V538" s="66"/>
      <c r="W538" s="66"/>
      <c r="X538" s="85"/>
      <c r="AP538" t="str">
        <v/>
      </c>
    </row>
    <row r="539" spans="4:42" ht="15.75" x14ac:dyDescent="0.25">
      <c r="D539" s="3">
        <v>1</v>
      </c>
      <c r="F539" s="16" t="str" cm="1">
        <f t="array" ref="F5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39" s="31" cm="1">
        <f t="array" ref="G53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39" s="33" t="str">
        <f>_xlfn.IFNA(IF(MOD(HLG_06[[#This Row],[Rit]],
    _xlfn.XLOOKUP($G$2,Int_Sample[Ore],Int_Sample[Inc])) = 0, "YES", "NO"),"")</f>
        <v/>
      </c>
      <c r="I539" s="32" t="str">
        <f>TEXT(HLG_06[[#This Row],[Batch]],"000")&amp; " / " &amp; TEXT(HLG_06[[#This Row],[Rit]],"000")</f>
        <v>N/A / 000</v>
      </c>
      <c r="J539" s="34"/>
      <c r="K539" s="38"/>
      <c r="L539" s="35"/>
      <c r="M539" s="66"/>
      <c r="N539" s="66"/>
      <c r="O539" s="66"/>
      <c r="P539" s="66"/>
      <c r="Q539" s="66"/>
      <c r="R539" s="67"/>
      <c r="S539" s="67"/>
      <c r="T539" s="67"/>
      <c r="U539" s="66"/>
      <c r="V539" s="66"/>
      <c r="W539" s="66"/>
      <c r="X539" s="85"/>
      <c r="AP539" t="str">
        <v/>
      </c>
    </row>
    <row r="540" spans="4:42" ht="15.75" x14ac:dyDescent="0.25">
      <c r="D540" s="3">
        <v>1</v>
      </c>
      <c r="F540" s="16" t="str" cm="1">
        <f t="array" ref="F5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0" s="31" cm="1">
        <f t="array" ref="G54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0" s="33" t="str">
        <f>_xlfn.IFNA(IF(MOD(HLG_06[[#This Row],[Rit]],
    _xlfn.XLOOKUP($G$2,Int_Sample[Ore],Int_Sample[Inc])) = 0, "YES", "NO"),"")</f>
        <v/>
      </c>
      <c r="I540" s="32" t="str">
        <f>TEXT(HLG_06[[#This Row],[Batch]],"000")&amp; " / " &amp; TEXT(HLG_06[[#This Row],[Rit]],"000")</f>
        <v>N/A / 000</v>
      </c>
      <c r="J540" s="34"/>
      <c r="K540" s="38"/>
      <c r="L540" s="35"/>
      <c r="M540" s="66"/>
      <c r="N540" s="66"/>
      <c r="O540" s="66"/>
      <c r="P540" s="66"/>
      <c r="Q540" s="66"/>
      <c r="R540" s="67"/>
      <c r="S540" s="67"/>
      <c r="T540" s="67"/>
      <c r="U540" s="66"/>
      <c r="V540" s="66"/>
      <c r="W540" s="66"/>
      <c r="X540" s="85"/>
      <c r="AP540" t="str">
        <v/>
      </c>
    </row>
    <row r="541" spans="4:42" ht="15.75" x14ac:dyDescent="0.25">
      <c r="D541" s="3">
        <v>1</v>
      </c>
      <c r="F541" s="16" t="str" cm="1">
        <f t="array" ref="F5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1" s="31" cm="1">
        <f t="array" ref="G54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1" s="33" t="str">
        <f>_xlfn.IFNA(IF(MOD(HLG_06[[#This Row],[Rit]],
    _xlfn.XLOOKUP($G$2,Int_Sample[Ore],Int_Sample[Inc])) = 0, "YES", "NO"),"")</f>
        <v/>
      </c>
      <c r="I541" s="32" t="str">
        <f>TEXT(HLG_06[[#This Row],[Batch]],"000")&amp; " / " &amp; TEXT(HLG_06[[#This Row],[Rit]],"000")</f>
        <v>N/A / 000</v>
      </c>
      <c r="J541" s="34"/>
      <c r="K541" s="38"/>
      <c r="L541" s="35"/>
      <c r="M541" s="66"/>
      <c r="N541" s="66"/>
      <c r="O541" s="66"/>
      <c r="P541" s="66"/>
      <c r="Q541" s="66"/>
      <c r="R541" s="67"/>
      <c r="S541" s="67"/>
      <c r="T541" s="67"/>
      <c r="U541" s="66"/>
      <c r="V541" s="66"/>
      <c r="W541" s="66"/>
      <c r="X541" s="85"/>
      <c r="AP541" t="str">
        <v/>
      </c>
    </row>
    <row r="542" spans="4:42" ht="15.75" x14ac:dyDescent="0.25">
      <c r="D542" s="3">
        <v>1</v>
      </c>
      <c r="F542" s="16" t="str" cm="1">
        <f t="array" ref="F5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2" s="31" cm="1">
        <f t="array" ref="G54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2" s="33" t="str">
        <f>_xlfn.IFNA(IF(MOD(HLG_06[[#This Row],[Rit]],
    _xlfn.XLOOKUP($G$2,Int_Sample[Ore],Int_Sample[Inc])) = 0, "YES", "NO"),"")</f>
        <v/>
      </c>
      <c r="I542" s="32" t="str">
        <f>TEXT(HLG_06[[#This Row],[Batch]],"000")&amp; " / " &amp; TEXT(HLG_06[[#This Row],[Rit]],"000")</f>
        <v>N/A / 000</v>
      </c>
      <c r="J542" s="34"/>
      <c r="K542" s="38"/>
      <c r="L542" s="35"/>
      <c r="M542" s="66"/>
      <c r="N542" s="66"/>
      <c r="O542" s="66"/>
      <c r="P542" s="66"/>
      <c r="Q542" s="66"/>
      <c r="R542" s="67"/>
      <c r="S542" s="67"/>
      <c r="T542" s="67"/>
      <c r="U542" s="66"/>
      <c r="V542" s="66"/>
      <c r="W542" s="66"/>
      <c r="X542" s="85"/>
      <c r="AP542" t="str">
        <v/>
      </c>
    </row>
    <row r="543" spans="4:42" ht="15.75" x14ac:dyDescent="0.25">
      <c r="D543" s="3">
        <v>1</v>
      </c>
      <c r="F543" s="16" t="str" cm="1">
        <f t="array" ref="F5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3" s="31" cm="1">
        <f t="array" ref="G54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3" s="33" t="str">
        <f>_xlfn.IFNA(IF(MOD(HLG_06[[#This Row],[Rit]],
    _xlfn.XLOOKUP($G$2,Int_Sample[Ore],Int_Sample[Inc])) = 0, "YES", "NO"),"")</f>
        <v/>
      </c>
      <c r="I543" s="32" t="str">
        <f>TEXT(HLG_06[[#This Row],[Batch]],"000")&amp; " / " &amp; TEXT(HLG_06[[#This Row],[Rit]],"000")</f>
        <v>N/A / 000</v>
      </c>
      <c r="J543" s="34"/>
      <c r="K543" s="38"/>
      <c r="L543" s="35"/>
      <c r="M543" s="66"/>
      <c r="N543" s="66"/>
      <c r="O543" s="66"/>
      <c r="P543" s="66"/>
      <c r="Q543" s="66"/>
      <c r="R543" s="67"/>
      <c r="S543" s="67"/>
      <c r="T543" s="67"/>
      <c r="U543" s="66"/>
      <c r="V543" s="66"/>
      <c r="W543" s="66"/>
      <c r="X543" s="85"/>
      <c r="AP543" t="str">
        <v/>
      </c>
    </row>
    <row r="544" spans="4:42" ht="15.75" x14ac:dyDescent="0.25">
      <c r="D544" s="3">
        <v>1</v>
      </c>
      <c r="F544" s="16" t="str" cm="1">
        <f t="array" ref="F5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4" s="31" cm="1">
        <f t="array" ref="G54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4" s="33" t="str">
        <f>_xlfn.IFNA(IF(MOD(HLG_06[[#This Row],[Rit]],
    _xlfn.XLOOKUP($G$2,Int_Sample[Ore],Int_Sample[Inc])) = 0, "YES", "NO"),"")</f>
        <v/>
      </c>
      <c r="I544" s="32" t="str">
        <f>TEXT(HLG_06[[#This Row],[Batch]],"000")&amp; " / " &amp; TEXT(HLG_06[[#This Row],[Rit]],"000")</f>
        <v>N/A / 000</v>
      </c>
      <c r="J544" s="34"/>
      <c r="K544" s="38"/>
      <c r="L544" s="35"/>
      <c r="M544" s="66"/>
      <c r="N544" s="66"/>
      <c r="O544" s="66"/>
      <c r="P544" s="66"/>
      <c r="Q544" s="66"/>
      <c r="R544" s="67"/>
      <c r="S544" s="67"/>
      <c r="T544" s="67"/>
      <c r="U544" s="66"/>
      <c r="V544" s="66"/>
      <c r="W544" s="66"/>
      <c r="X544" s="85"/>
      <c r="AP544" t="str">
        <v/>
      </c>
    </row>
    <row r="545" spans="4:42" ht="15.75" x14ac:dyDescent="0.25">
      <c r="D545" s="3">
        <v>1</v>
      </c>
      <c r="F545" s="16" t="str" cm="1">
        <f t="array" ref="F5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5" s="31" cm="1">
        <f t="array" ref="G54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5" s="33" t="str">
        <f>_xlfn.IFNA(IF(MOD(HLG_06[[#This Row],[Rit]],
    _xlfn.XLOOKUP($G$2,Int_Sample[Ore],Int_Sample[Inc])) = 0, "YES", "NO"),"")</f>
        <v/>
      </c>
      <c r="I545" s="32" t="str">
        <f>TEXT(HLG_06[[#This Row],[Batch]],"000")&amp; " / " &amp; TEXT(HLG_06[[#This Row],[Rit]],"000")</f>
        <v>N/A / 000</v>
      </c>
      <c r="J545" s="34"/>
      <c r="K545" s="38"/>
      <c r="L545" s="35"/>
      <c r="M545" s="66"/>
      <c r="N545" s="66"/>
      <c r="O545" s="66"/>
      <c r="P545" s="66"/>
      <c r="Q545" s="66"/>
      <c r="R545" s="67"/>
      <c r="S545" s="67"/>
      <c r="T545" s="67"/>
      <c r="U545" s="66"/>
      <c r="V545" s="66"/>
      <c r="W545" s="66"/>
      <c r="X545" s="85"/>
      <c r="AP545" t="str">
        <v/>
      </c>
    </row>
    <row r="546" spans="4:42" ht="15.75" x14ac:dyDescent="0.25">
      <c r="D546" s="3">
        <v>1</v>
      </c>
      <c r="F546" s="16" t="str" cm="1">
        <f t="array" ref="F5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6" s="31" cm="1">
        <f t="array" ref="G54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6" s="33" t="str">
        <f>_xlfn.IFNA(IF(MOD(HLG_06[[#This Row],[Rit]],
    _xlfn.XLOOKUP($G$2,Int_Sample[Ore],Int_Sample[Inc])) = 0, "YES", "NO"),"")</f>
        <v/>
      </c>
      <c r="I546" s="32" t="str">
        <f>TEXT(HLG_06[[#This Row],[Batch]],"000")&amp; " / " &amp; TEXT(HLG_06[[#This Row],[Rit]],"000")</f>
        <v>N/A / 000</v>
      </c>
      <c r="J546" s="34"/>
      <c r="K546" s="38"/>
      <c r="L546" s="35"/>
      <c r="M546" s="66"/>
      <c r="N546" s="66"/>
      <c r="O546" s="66"/>
      <c r="P546" s="66"/>
      <c r="Q546" s="66"/>
      <c r="R546" s="67"/>
      <c r="S546" s="67"/>
      <c r="T546" s="67"/>
      <c r="U546" s="66"/>
      <c r="V546" s="66"/>
      <c r="W546" s="66"/>
      <c r="X546" s="85"/>
      <c r="AP546" t="str">
        <v/>
      </c>
    </row>
    <row r="547" spans="4:42" ht="15.75" x14ac:dyDescent="0.25">
      <c r="D547" s="3">
        <v>1</v>
      </c>
      <c r="F547" s="16" t="str" cm="1">
        <f t="array" ref="F5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7" s="31" cm="1">
        <f t="array" ref="G54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7" s="33" t="str">
        <f>_xlfn.IFNA(IF(MOD(HLG_06[[#This Row],[Rit]],
    _xlfn.XLOOKUP($G$2,Int_Sample[Ore],Int_Sample[Inc])) = 0, "YES", "NO"),"")</f>
        <v/>
      </c>
      <c r="I547" s="32" t="str">
        <f>TEXT(HLG_06[[#This Row],[Batch]],"000")&amp; " / " &amp; TEXT(HLG_06[[#This Row],[Rit]],"000")</f>
        <v>N/A / 000</v>
      </c>
      <c r="J547" s="34"/>
      <c r="K547" s="38"/>
      <c r="L547" s="35"/>
      <c r="M547" s="66"/>
      <c r="N547" s="66"/>
      <c r="O547" s="66"/>
      <c r="P547" s="66"/>
      <c r="Q547" s="66"/>
      <c r="R547" s="67"/>
      <c r="S547" s="67"/>
      <c r="T547" s="67"/>
      <c r="U547" s="66"/>
      <c r="V547" s="66"/>
      <c r="W547" s="66"/>
      <c r="X547" s="85"/>
      <c r="AP547" t="str">
        <v/>
      </c>
    </row>
    <row r="548" spans="4:42" ht="15.75" x14ac:dyDescent="0.25">
      <c r="D548" s="3">
        <v>1</v>
      </c>
      <c r="F548" s="16" t="str" cm="1">
        <f t="array" ref="F5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8" s="31" cm="1">
        <f t="array" ref="G54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8" s="33" t="str">
        <f>_xlfn.IFNA(IF(MOD(HLG_06[[#This Row],[Rit]],
    _xlfn.XLOOKUP($G$2,Int_Sample[Ore],Int_Sample[Inc])) = 0, "YES", "NO"),"")</f>
        <v/>
      </c>
      <c r="I548" s="32" t="str">
        <f>TEXT(HLG_06[[#This Row],[Batch]],"000")&amp; " / " &amp; TEXT(HLG_06[[#This Row],[Rit]],"000")</f>
        <v>N/A / 000</v>
      </c>
      <c r="J548" s="34"/>
      <c r="K548" s="38"/>
      <c r="L548" s="35"/>
      <c r="M548" s="66"/>
      <c r="N548" s="66"/>
      <c r="O548" s="66"/>
      <c r="P548" s="66"/>
      <c r="Q548" s="66"/>
      <c r="R548" s="67"/>
      <c r="S548" s="67"/>
      <c r="T548" s="67"/>
      <c r="U548" s="66"/>
      <c r="V548" s="66"/>
      <c r="W548" s="66"/>
      <c r="X548" s="85"/>
      <c r="AP548" t="str">
        <v/>
      </c>
    </row>
    <row r="549" spans="4:42" ht="15.75" x14ac:dyDescent="0.25">
      <c r="D549" s="3">
        <v>1</v>
      </c>
      <c r="F549" s="16" t="str" cm="1">
        <f t="array" ref="F5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49" s="31" cm="1">
        <f t="array" ref="G54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49" s="33" t="str">
        <f>_xlfn.IFNA(IF(MOD(HLG_06[[#This Row],[Rit]],
    _xlfn.XLOOKUP($G$2,Int_Sample[Ore],Int_Sample[Inc])) = 0, "YES", "NO"),"")</f>
        <v/>
      </c>
      <c r="I549" s="32" t="str">
        <f>TEXT(HLG_06[[#This Row],[Batch]],"000")&amp; " / " &amp; TEXT(HLG_06[[#This Row],[Rit]],"000")</f>
        <v>N/A / 000</v>
      </c>
      <c r="J549" s="34"/>
      <c r="K549" s="38"/>
      <c r="L549" s="35"/>
      <c r="M549" s="66"/>
      <c r="N549" s="66"/>
      <c r="O549" s="66"/>
      <c r="P549" s="66"/>
      <c r="Q549" s="66"/>
      <c r="R549" s="67"/>
      <c r="S549" s="67"/>
      <c r="T549" s="67"/>
      <c r="U549" s="66"/>
      <c r="V549" s="66"/>
      <c r="W549" s="66"/>
      <c r="X549" s="85"/>
      <c r="AP549" t="str">
        <v/>
      </c>
    </row>
    <row r="550" spans="4:42" ht="15.75" x14ac:dyDescent="0.25">
      <c r="D550" s="3">
        <v>1</v>
      </c>
      <c r="F550" s="16" t="str" cm="1">
        <f t="array" ref="F5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0" s="31" cm="1">
        <f t="array" ref="G55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0" s="33" t="str">
        <f>_xlfn.IFNA(IF(MOD(HLG_06[[#This Row],[Rit]],
    _xlfn.XLOOKUP($G$2,Int_Sample[Ore],Int_Sample[Inc])) = 0, "YES", "NO"),"")</f>
        <v/>
      </c>
      <c r="I550" s="32" t="str">
        <f>TEXT(HLG_06[[#This Row],[Batch]],"000")&amp; " / " &amp; TEXT(HLG_06[[#This Row],[Rit]],"000")</f>
        <v>N/A / 000</v>
      </c>
      <c r="J550" s="34"/>
      <c r="K550" s="38"/>
      <c r="L550" s="35"/>
      <c r="M550" s="66"/>
      <c r="N550" s="66"/>
      <c r="O550" s="66"/>
      <c r="P550" s="66"/>
      <c r="Q550" s="66"/>
      <c r="R550" s="67"/>
      <c r="S550" s="67"/>
      <c r="T550" s="67"/>
      <c r="U550" s="66"/>
      <c r="V550" s="66"/>
      <c r="W550" s="66"/>
      <c r="X550" s="85"/>
      <c r="AP550" t="str">
        <v/>
      </c>
    </row>
    <row r="551" spans="4:42" ht="15.75" x14ac:dyDescent="0.25">
      <c r="D551" s="3">
        <v>1</v>
      </c>
      <c r="F551" s="16" t="str" cm="1">
        <f t="array" ref="F5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1" s="31" cm="1">
        <f t="array" ref="G55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1" s="33" t="str">
        <f>_xlfn.IFNA(IF(MOD(HLG_06[[#This Row],[Rit]],
    _xlfn.XLOOKUP($G$2,Int_Sample[Ore],Int_Sample[Inc])) = 0, "YES", "NO"),"")</f>
        <v/>
      </c>
      <c r="I551" s="32" t="str">
        <f>TEXT(HLG_06[[#This Row],[Batch]],"000")&amp; " / " &amp; TEXT(HLG_06[[#This Row],[Rit]],"000")</f>
        <v>N/A / 000</v>
      </c>
      <c r="J551" s="34"/>
      <c r="K551" s="38"/>
      <c r="L551" s="35"/>
      <c r="M551" s="66"/>
      <c r="N551" s="66"/>
      <c r="O551" s="66"/>
      <c r="P551" s="66"/>
      <c r="Q551" s="66"/>
      <c r="R551" s="67"/>
      <c r="S551" s="67"/>
      <c r="T551" s="67"/>
      <c r="U551" s="66"/>
      <c r="V551" s="66"/>
      <c r="W551" s="66"/>
      <c r="X551" s="85"/>
      <c r="AP551" t="str">
        <v/>
      </c>
    </row>
    <row r="552" spans="4:42" ht="15.75" x14ac:dyDescent="0.25">
      <c r="D552" s="3">
        <v>1</v>
      </c>
      <c r="F552" s="16" t="str" cm="1">
        <f t="array" ref="F5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2" s="31" cm="1">
        <f t="array" ref="G55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2" s="33" t="str">
        <f>_xlfn.IFNA(IF(MOD(HLG_06[[#This Row],[Rit]],
    _xlfn.XLOOKUP($G$2,Int_Sample[Ore],Int_Sample[Inc])) = 0, "YES", "NO"),"")</f>
        <v/>
      </c>
      <c r="I552" s="32" t="str">
        <f>TEXT(HLG_06[[#This Row],[Batch]],"000")&amp; " / " &amp; TEXT(HLG_06[[#This Row],[Rit]],"000")</f>
        <v>N/A / 000</v>
      </c>
      <c r="J552" s="34"/>
      <c r="K552" s="38"/>
      <c r="L552" s="35"/>
      <c r="M552" s="66"/>
      <c r="N552" s="66"/>
      <c r="O552" s="66"/>
      <c r="P552" s="66"/>
      <c r="Q552" s="66"/>
      <c r="R552" s="67"/>
      <c r="S552" s="67"/>
      <c r="T552" s="67"/>
      <c r="U552" s="66"/>
      <c r="V552" s="66"/>
      <c r="W552" s="66"/>
      <c r="X552" s="85"/>
      <c r="AP552" t="str">
        <v/>
      </c>
    </row>
    <row r="553" spans="4:42" ht="15.75" x14ac:dyDescent="0.25">
      <c r="D553" s="3">
        <v>1</v>
      </c>
      <c r="F553" s="16" t="str" cm="1">
        <f t="array" ref="F5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3" s="31" cm="1">
        <f t="array" ref="G55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3" s="33" t="str">
        <f>_xlfn.IFNA(IF(MOD(HLG_06[[#This Row],[Rit]],
    _xlfn.XLOOKUP($G$2,Int_Sample[Ore],Int_Sample[Inc])) = 0, "YES", "NO"),"")</f>
        <v/>
      </c>
      <c r="I553" s="32" t="str">
        <f>TEXT(HLG_06[[#This Row],[Batch]],"000")&amp; " / " &amp; TEXT(HLG_06[[#This Row],[Rit]],"000")</f>
        <v>N/A / 000</v>
      </c>
      <c r="J553" s="34"/>
      <c r="K553" s="38"/>
      <c r="L553" s="35"/>
      <c r="M553" s="66"/>
      <c r="N553" s="66"/>
      <c r="O553" s="66"/>
      <c r="P553" s="66"/>
      <c r="Q553" s="66"/>
      <c r="R553" s="67"/>
      <c r="S553" s="67"/>
      <c r="T553" s="67"/>
      <c r="U553" s="66"/>
      <c r="V553" s="66"/>
      <c r="W553" s="66"/>
      <c r="X553" s="85"/>
      <c r="AP553" t="str">
        <v/>
      </c>
    </row>
    <row r="554" spans="4:42" ht="15.75" x14ac:dyDescent="0.25">
      <c r="D554" s="3">
        <v>1</v>
      </c>
      <c r="F554" s="16" t="str" cm="1">
        <f t="array" ref="F5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4" s="31" cm="1">
        <f t="array" ref="G55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4" s="33" t="str">
        <f>_xlfn.IFNA(IF(MOD(HLG_06[[#This Row],[Rit]],
    _xlfn.XLOOKUP($G$2,Int_Sample[Ore],Int_Sample[Inc])) = 0, "YES", "NO"),"")</f>
        <v/>
      </c>
      <c r="I554" s="32" t="str">
        <f>TEXT(HLG_06[[#This Row],[Batch]],"000")&amp; " / " &amp; TEXT(HLG_06[[#This Row],[Rit]],"000")</f>
        <v>N/A / 000</v>
      </c>
      <c r="J554" s="34"/>
      <c r="K554" s="38"/>
      <c r="L554" s="35"/>
      <c r="M554" s="66"/>
      <c r="N554" s="66"/>
      <c r="O554" s="66"/>
      <c r="P554" s="66"/>
      <c r="Q554" s="66"/>
      <c r="R554" s="67"/>
      <c r="S554" s="67"/>
      <c r="T554" s="67"/>
      <c r="U554" s="66"/>
      <c r="V554" s="66"/>
      <c r="W554" s="66"/>
      <c r="X554" s="85"/>
      <c r="AP554" t="str">
        <v/>
      </c>
    </row>
    <row r="555" spans="4:42" ht="15.75" x14ac:dyDescent="0.25">
      <c r="D555" s="3">
        <v>1</v>
      </c>
      <c r="F555" s="16" t="str" cm="1">
        <f t="array" ref="F5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5" s="31" cm="1">
        <f t="array" ref="G55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5" s="33" t="str">
        <f>_xlfn.IFNA(IF(MOD(HLG_06[[#This Row],[Rit]],
    _xlfn.XLOOKUP($G$2,Int_Sample[Ore],Int_Sample[Inc])) = 0, "YES", "NO"),"")</f>
        <v/>
      </c>
      <c r="I555" s="32" t="str">
        <f>TEXT(HLG_06[[#This Row],[Batch]],"000")&amp; " / " &amp; TEXT(HLG_06[[#This Row],[Rit]],"000")</f>
        <v>N/A / 000</v>
      </c>
      <c r="J555" s="34"/>
      <c r="K555" s="38"/>
      <c r="L555" s="35"/>
      <c r="M555" s="66"/>
      <c r="N555" s="66"/>
      <c r="O555" s="66"/>
      <c r="P555" s="66"/>
      <c r="Q555" s="66"/>
      <c r="R555" s="67"/>
      <c r="S555" s="67"/>
      <c r="T555" s="67"/>
      <c r="U555" s="66"/>
      <c r="V555" s="66"/>
      <c r="W555" s="66"/>
      <c r="X555" s="85"/>
      <c r="AP555" t="str">
        <v/>
      </c>
    </row>
    <row r="556" spans="4:42" ht="15.75" x14ac:dyDescent="0.25">
      <c r="D556" s="3">
        <v>1</v>
      </c>
      <c r="F556" s="16" t="str" cm="1">
        <f t="array" ref="F5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6" s="31" cm="1">
        <f t="array" ref="G55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6" s="33" t="str">
        <f>_xlfn.IFNA(IF(MOD(HLG_06[[#This Row],[Rit]],
    _xlfn.XLOOKUP($G$2,Int_Sample[Ore],Int_Sample[Inc])) = 0, "YES", "NO"),"")</f>
        <v/>
      </c>
      <c r="I556" s="32" t="str">
        <f>TEXT(HLG_06[[#This Row],[Batch]],"000")&amp; " / " &amp; TEXT(HLG_06[[#This Row],[Rit]],"000")</f>
        <v>N/A / 000</v>
      </c>
      <c r="J556" s="34"/>
      <c r="K556" s="38"/>
      <c r="L556" s="35"/>
      <c r="M556" s="66"/>
      <c r="N556" s="66"/>
      <c r="O556" s="66"/>
      <c r="P556" s="66"/>
      <c r="Q556" s="66"/>
      <c r="R556" s="67"/>
      <c r="S556" s="67"/>
      <c r="T556" s="67"/>
      <c r="U556" s="66"/>
      <c r="V556" s="66"/>
      <c r="W556" s="66"/>
      <c r="X556" s="85"/>
      <c r="AP556" t="str">
        <v/>
      </c>
    </row>
    <row r="557" spans="4:42" ht="15.75" x14ac:dyDescent="0.25">
      <c r="D557" s="3">
        <v>1</v>
      </c>
      <c r="F557" s="16" t="str" cm="1">
        <f t="array" ref="F5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7" s="31" cm="1">
        <f t="array" ref="G55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7" s="33" t="str">
        <f>_xlfn.IFNA(IF(MOD(HLG_06[[#This Row],[Rit]],
    _xlfn.XLOOKUP($G$2,Int_Sample[Ore],Int_Sample[Inc])) = 0, "YES", "NO"),"")</f>
        <v/>
      </c>
      <c r="I557" s="32" t="str">
        <f>TEXT(HLG_06[[#This Row],[Batch]],"000")&amp; " / " &amp; TEXT(HLG_06[[#This Row],[Rit]],"000")</f>
        <v>N/A / 000</v>
      </c>
      <c r="J557" s="34"/>
      <c r="K557" s="38"/>
      <c r="L557" s="35"/>
      <c r="M557" s="66"/>
      <c r="N557" s="66"/>
      <c r="O557" s="66"/>
      <c r="P557" s="66"/>
      <c r="Q557" s="66"/>
      <c r="R557" s="67"/>
      <c r="S557" s="67"/>
      <c r="T557" s="67"/>
      <c r="U557" s="66"/>
      <c r="V557" s="66"/>
      <c r="W557" s="66"/>
      <c r="X557" s="85"/>
      <c r="AP557" t="str">
        <v/>
      </c>
    </row>
    <row r="558" spans="4:42" ht="15.75" x14ac:dyDescent="0.25">
      <c r="D558" s="3">
        <v>1</v>
      </c>
      <c r="F558" s="16" t="str" cm="1">
        <f t="array" ref="F5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8" s="31" cm="1">
        <f t="array" ref="G55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8" s="33" t="str">
        <f>_xlfn.IFNA(IF(MOD(HLG_06[[#This Row],[Rit]],
    _xlfn.XLOOKUP($G$2,Int_Sample[Ore],Int_Sample[Inc])) = 0, "YES", "NO"),"")</f>
        <v/>
      </c>
      <c r="I558" s="32" t="str">
        <f>TEXT(HLG_06[[#This Row],[Batch]],"000")&amp; " / " &amp; TEXT(HLG_06[[#This Row],[Rit]],"000")</f>
        <v>N/A / 000</v>
      </c>
      <c r="J558" s="34"/>
      <c r="K558" s="38"/>
      <c r="L558" s="35"/>
      <c r="M558" s="66"/>
      <c r="N558" s="66"/>
      <c r="O558" s="66"/>
      <c r="P558" s="66"/>
      <c r="Q558" s="66"/>
      <c r="R558" s="67"/>
      <c r="S558" s="67"/>
      <c r="T558" s="67"/>
      <c r="U558" s="66"/>
      <c r="V558" s="66"/>
      <c r="W558" s="66"/>
      <c r="X558" s="85"/>
      <c r="AP558" t="str">
        <v/>
      </c>
    </row>
    <row r="559" spans="4:42" ht="15.75" x14ac:dyDescent="0.25">
      <c r="D559" s="3">
        <v>1</v>
      </c>
      <c r="F559" s="16" t="str" cm="1">
        <f t="array" ref="F5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59" s="31" cm="1">
        <f t="array" ref="G55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59" s="33" t="str">
        <f>_xlfn.IFNA(IF(MOD(HLG_06[[#This Row],[Rit]],
    _xlfn.XLOOKUP($G$2,Int_Sample[Ore],Int_Sample[Inc])) = 0, "YES", "NO"),"")</f>
        <v/>
      </c>
      <c r="I559" s="32" t="str">
        <f>TEXT(HLG_06[[#This Row],[Batch]],"000")&amp; " / " &amp; TEXT(HLG_06[[#This Row],[Rit]],"000")</f>
        <v>N/A / 000</v>
      </c>
      <c r="J559" s="34"/>
      <c r="K559" s="38"/>
      <c r="L559" s="35"/>
      <c r="M559" s="66"/>
      <c r="N559" s="66"/>
      <c r="O559" s="66"/>
      <c r="P559" s="66"/>
      <c r="Q559" s="66"/>
      <c r="R559" s="67"/>
      <c r="S559" s="67"/>
      <c r="T559" s="67"/>
      <c r="U559" s="66"/>
      <c r="V559" s="66"/>
      <c r="W559" s="66"/>
      <c r="X559" s="85"/>
      <c r="AP559" t="str">
        <v/>
      </c>
    </row>
    <row r="560" spans="4:42" ht="15.75" x14ac:dyDescent="0.25">
      <c r="D560" s="3">
        <v>1</v>
      </c>
      <c r="F560" s="16" t="str" cm="1">
        <f t="array" ref="F5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0" s="31" cm="1">
        <f t="array" ref="G56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0" s="33" t="str">
        <f>_xlfn.IFNA(IF(MOD(HLG_06[[#This Row],[Rit]],
    _xlfn.XLOOKUP($G$2,Int_Sample[Ore],Int_Sample[Inc])) = 0, "YES", "NO"),"")</f>
        <v/>
      </c>
      <c r="I560" s="32" t="str">
        <f>TEXT(HLG_06[[#This Row],[Batch]],"000")&amp; " / " &amp; TEXT(HLG_06[[#This Row],[Rit]],"000")</f>
        <v>N/A / 000</v>
      </c>
      <c r="J560" s="34"/>
      <c r="K560" s="38"/>
      <c r="L560" s="35"/>
      <c r="M560" s="66"/>
      <c r="N560" s="66"/>
      <c r="O560" s="66"/>
      <c r="P560" s="66"/>
      <c r="Q560" s="66"/>
      <c r="R560" s="67"/>
      <c r="S560" s="67"/>
      <c r="T560" s="67"/>
      <c r="U560" s="66"/>
      <c r="V560" s="66"/>
      <c r="W560" s="66"/>
      <c r="X560" s="85"/>
      <c r="AP560" t="str">
        <v/>
      </c>
    </row>
    <row r="561" spans="4:42" ht="15.75" x14ac:dyDescent="0.25">
      <c r="D561" s="3">
        <v>1</v>
      </c>
      <c r="F561" s="16" t="str" cm="1">
        <f t="array" ref="F5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1" s="31" cm="1">
        <f t="array" ref="G56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1" s="33" t="str">
        <f>_xlfn.IFNA(IF(MOD(HLG_06[[#This Row],[Rit]],
    _xlfn.XLOOKUP($G$2,Int_Sample[Ore],Int_Sample[Inc])) = 0, "YES", "NO"),"")</f>
        <v/>
      </c>
      <c r="I561" s="32" t="str">
        <f>TEXT(HLG_06[[#This Row],[Batch]],"000")&amp; " / " &amp; TEXT(HLG_06[[#This Row],[Rit]],"000")</f>
        <v>N/A / 000</v>
      </c>
      <c r="J561" s="34"/>
      <c r="K561" s="38"/>
      <c r="L561" s="35"/>
      <c r="M561" s="66"/>
      <c r="N561" s="66"/>
      <c r="O561" s="66"/>
      <c r="P561" s="66"/>
      <c r="Q561" s="66"/>
      <c r="R561" s="67"/>
      <c r="S561" s="67"/>
      <c r="T561" s="67"/>
      <c r="U561" s="66"/>
      <c r="V561" s="66"/>
      <c r="W561" s="66"/>
      <c r="X561" s="85"/>
      <c r="AP561" t="str">
        <v/>
      </c>
    </row>
    <row r="562" spans="4:42" ht="15.75" x14ac:dyDescent="0.25">
      <c r="D562" s="3">
        <v>1</v>
      </c>
      <c r="F562" s="16" t="str" cm="1">
        <f t="array" ref="F5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2" s="31" cm="1">
        <f t="array" ref="G56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2" s="33" t="str">
        <f>_xlfn.IFNA(IF(MOD(HLG_06[[#This Row],[Rit]],
    _xlfn.XLOOKUP($G$2,Int_Sample[Ore],Int_Sample[Inc])) = 0, "YES", "NO"),"")</f>
        <v/>
      </c>
      <c r="I562" s="32" t="str">
        <f>TEXT(HLG_06[[#This Row],[Batch]],"000")&amp; " / " &amp; TEXT(HLG_06[[#This Row],[Rit]],"000")</f>
        <v>N/A / 000</v>
      </c>
      <c r="J562" s="34"/>
      <c r="K562" s="38"/>
      <c r="L562" s="35"/>
      <c r="M562" s="66"/>
      <c r="N562" s="66"/>
      <c r="O562" s="66"/>
      <c r="P562" s="66"/>
      <c r="Q562" s="66"/>
      <c r="R562" s="67"/>
      <c r="S562" s="67"/>
      <c r="T562" s="67"/>
      <c r="U562" s="66"/>
      <c r="V562" s="66"/>
      <c r="W562" s="66"/>
      <c r="X562" s="85"/>
      <c r="AP562" t="str">
        <v/>
      </c>
    </row>
    <row r="563" spans="4:42" ht="15.75" x14ac:dyDescent="0.25">
      <c r="D563" s="3">
        <v>1</v>
      </c>
      <c r="F563" s="16" t="str" cm="1">
        <f t="array" ref="F5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3" s="31" cm="1">
        <f t="array" ref="G56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3" s="33" t="str">
        <f>_xlfn.IFNA(IF(MOD(HLG_06[[#This Row],[Rit]],
    _xlfn.XLOOKUP($G$2,Int_Sample[Ore],Int_Sample[Inc])) = 0, "YES", "NO"),"")</f>
        <v/>
      </c>
      <c r="I563" s="32" t="str">
        <f>TEXT(HLG_06[[#This Row],[Batch]],"000")&amp; " / " &amp; TEXT(HLG_06[[#This Row],[Rit]],"000")</f>
        <v>N/A / 000</v>
      </c>
      <c r="J563" s="34"/>
      <c r="K563" s="38"/>
      <c r="L563" s="35"/>
      <c r="M563" s="66"/>
      <c r="N563" s="66"/>
      <c r="O563" s="66"/>
      <c r="P563" s="66"/>
      <c r="Q563" s="66"/>
      <c r="R563" s="67"/>
      <c r="S563" s="67"/>
      <c r="T563" s="67"/>
      <c r="U563" s="66"/>
      <c r="V563" s="66"/>
      <c r="W563" s="66"/>
      <c r="X563" s="85"/>
      <c r="AP563" t="str">
        <v/>
      </c>
    </row>
    <row r="564" spans="4:42" ht="15.75" x14ac:dyDescent="0.25">
      <c r="D564" s="3">
        <v>1</v>
      </c>
      <c r="F564" s="16" t="str" cm="1">
        <f t="array" ref="F5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4" s="31" cm="1">
        <f t="array" ref="G56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4" s="33" t="str">
        <f>_xlfn.IFNA(IF(MOD(HLG_06[[#This Row],[Rit]],
    _xlfn.XLOOKUP($G$2,Int_Sample[Ore],Int_Sample[Inc])) = 0, "YES", "NO"),"")</f>
        <v/>
      </c>
      <c r="I564" s="32" t="str">
        <f>TEXT(HLG_06[[#This Row],[Batch]],"000")&amp; " / " &amp; TEXT(HLG_06[[#This Row],[Rit]],"000")</f>
        <v>N/A / 000</v>
      </c>
      <c r="J564" s="34"/>
      <c r="K564" s="38"/>
      <c r="L564" s="35"/>
      <c r="M564" s="66"/>
      <c r="N564" s="66"/>
      <c r="O564" s="66"/>
      <c r="P564" s="66"/>
      <c r="Q564" s="66"/>
      <c r="R564" s="67"/>
      <c r="S564" s="67"/>
      <c r="T564" s="67"/>
      <c r="U564" s="66"/>
      <c r="V564" s="66"/>
      <c r="W564" s="66"/>
      <c r="X564" s="85"/>
      <c r="AP564" t="str">
        <v/>
      </c>
    </row>
    <row r="565" spans="4:42" ht="15.75" x14ac:dyDescent="0.25">
      <c r="D565" s="3">
        <v>1</v>
      </c>
      <c r="F565" s="16" t="str" cm="1">
        <f t="array" ref="F5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5" s="31" cm="1">
        <f t="array" ref="G56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5" s="33" t="str">
        <f>_xlfn.IFNA(IF(MOD(HLG_06[[#This Row],[Rit]],
    _xlfn.XLOOKUP($G$2,Int_Sample[Ore],Int_Sample[Inc])) = 0, "YES", "NO"),"")</f>
        <v/>
      </c>
      <c r="I565" s="32" t="str">
        <f>TEXT(HLG_06[[#This Row],[Batch]],"000")&amp; " / " &amp; TEXT(HLG_06[[#This Row],[Rit]],"000")</f>
        <v>N/A / 000</v>
      </c>
      <c r="J565" s="34"/>
      <c r="K565" s="38"/>
      <c r="L565" s="35"/>
      <c r="M565" s="66"/>
      <c r="N565" s="66"/>
      <c r="O565" s="66"/>
      <c r="P565" s="66"/>
      <c r="Q565" s="66"/>
      <c r="R565" s="67"/>
      <c r="S565" s="67"/>
      <c r="T565" s="67"/>
      <c r="U565" s="66"/>
      <c r="V565" s="66"/>
      <c r="W565" s="66"/>
      <c r="X565" s="85"/>
      <c r="AP565" t="str">
        <v/>
      </c>
    </row>
    <row r="566" spans="4:42" ht="15.75" x14ac:dyDescent="0.25">
      <c r="D566" s="3">
        <v>1</v>
      </c>
      <c r="F566" s="16" t="str" cm="1">
        <f t="array" ref="F5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6" s="31" cm="1">
        <f t="array" ref="G56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6" s="33" t="str">
        <f>_xlfn.IFNA(IF(MOD(HLG_06[[#This Row],[Rit]],
    _xlfn.XLOOKUP($G$2,Int_Sample[Ore],Int_Sample[Inc])) = 0, "YES", "NO"),"")</f>
        <v/>
      </c>
      <c r="I566" s="32" t="str">
        <f>TEXT(HLG_06[[#This Row],[Batch]],"000")&amp; " / " &amp; TEXT(HLG_06[[#This Row],[Rit]],"000")</f>
        <v>N/A / 000</v>
      </c>
      <c r="J566" s="34"/>
      <c r="K566" s="38"/>
      <c r="L566" s="35"/>
      <c r="M566" s="66"/>
      <c r="N566" s="66"/>
      <c r="O566" s="66"/>
      <c r="P566" s="66"/>
      <c r="Q566" s="66"/>
      <c r="R566" s="67"/>
      <c r="S566" s="67"/>
      <c r="T566" s="67"/>
      <c r="U566" s="66"/>
      <c r="V566" s="66"/>
      <c r="W566" s="66"/>
      <c r="X566" s="85"/>
      <c r="AP566" t="str">
        <v/>
      </c>
    </row>
    <row r="567" spans="4:42" ht="15.75" x14ac:dyDescent="0.25">
      <c r="D567" s="3">
        <v>1</v>
      </c>
      <c r="F567" s="16" t="str" cm="1">
        <f t="array" ref="F5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7" s="31" cm="1">
        <f t="array" ref="G56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7" s="33" t="str">
        <f>_xlfn.IFNA(IF(MOD(HLG_06[[#This Row],[Rit]],
    _xlfn.XLOOKUP($G$2,Int_Sample[Ore],Int_Sample[Inc])) = 0, "YES", "NO"),"")</f>
        <v/>
      </c>
      <c r="I567" s="32" t="str">
        <f>TEXT(HLG_06[[#This Row],[Batch]],"000")&amp; " / " &amp; TEXT(HLG_06[[#This Row],[Rit]],"000")</f>
        <v>N/A / 000</v>
      </c>
      <c r="J567" s="34"/>
      <c r="K567" s="38"/>
      <c r="L567" s="35"/>
      <c r="M567" s="66"/>
      <c r="N567" s="66"/>
      <c r="O567" s="66"/>
      <c r="P567" s="66"/>
      <c r="Q567" s="66"/>
      <c r="R567" s="67"/>
      <c r="S567" s="67"/>
      <c r="T567" s="67"/>
      <c r="U567" s="66"/>
      <c r="V567" s="66"/>
      <c r="W567" s="66"/>
      <c r="X567" s="85"/>
      <c r="AP567" t="str">
        <v/>
      </c>
    </row>
    <row r="568" spans="4:42" ht="15.75" x14ac:dyDescent="0.25">
      <c r="D568" s="3">
        <v>1</v>
      </c>
      <c r="F568" s="16" t="str" cm="1">
        <f t="array" ref="F5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8" s="31" cm="1">
        <f t="array" ref="G56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8" s="33" t="str">
        <f>_xlfn.IFNA(IF(MOD(HLG_06[[#This Row],[Rit]],
    _xlfn.XLOOKUP($G$2,Int_Sample[Ore],Int_Sample[Inc])) = 0, "YES", "NO"),"")</f>
        <v/>
      </c>
      <c r="I568" s="32" t="str">
        <f>TEXT(HLG_06[[#This Row],[Batch]],"000")&amp; " / " &amp; TEXT(HLG_06[[#This Row],[Rit]],"000")</f>
        <v>N/A / 000</v>
      </c>
      <c r="J568" s="34"/>
      <c r="K568" s="38"/>
      <c r="L568" s="35"/>
      <c r="M568" s="66"/>
      <c r="N568" s="66"/>
      <c r="O568" s="66"/>
      <c r="P568" s="66"/>
      <c r="Q568" s="66"/>
      <c r="R568" s="67"/>
      <c r="S568" s="67"/>
      <c r="T568" s="67"/>
      <c r="U568" s="66"/>
      <c r="V568" s="66"/>
      <c r="W568" s="66"/>
      <c r="X568" s="85"/>
      <c r="AP568" t="str">
        <v/>
      </c>
    </row>
    <row r="569" spans="4:42" ht="15.75" x14ac:dyDescent="0.25">
      <c r="D569" s="3">
        <v>1</v>
      </c>
      <c r="F569" s="16" t="str" cm="1">
        <f t="array" ref="F5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69" s="31" cm="1">
        <f t="array" ref="G56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69" s="33" t="str">
        <f>_xlfn.IFNA(IF(MOD(HLG_06[[#This Row],[Rit]],
    _xlfn.XLOOKUP($G$2,Int_Sample[Ore],Int_Sample[Inc])) = 0, "YES", "NO"),"")</f>
        <v/>
      </c>
      <c r="I569" s="32" t="str">
        <f>TEXT(HLG_06[[#This Row],[Batch]],"000")&amp; " / " &amp; TEXT(HLG_06[[#This Row],[Rit]],"000")</f>
        <v>N/A / 000</v>
      </c>
      <c r="J569" s="34"/>
      <c r="K569" s="38"/>
      <c r="L569" s="35"/>
      <c r="M569" s="66"/>
      <c r="N569" s="66"/>
      <c r="O569" s="66"/>
      <c r="P569" s="66"/>
      <c r="Q569" s="66"/>
      <c r="R569" s="67"/>
      <c r="S569" s="67"/>
      <c r="T569" s="67"/>
      <c r="U569" s="66"/>
      <c r="V569" s="66"/>
      <c r="W569" s="66"/>
      <c r="X569" s="85"/>
      <c r="AP569" t="str">
        <v/>
      </c>
    </row>
    <row r="570" spans="4:42" ht="15.75" x14ac:dyDescent="0.25">
      <c r="D570" s="3">
        <v>1</v>
      </c>
      <c r="F570" s="16" t="str" cm="1">
        <f t="array" ref="F5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0" s="31" cm="1">
        <f t="array" ref="G57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0" s="33" t="str">
        <f>_xlfn.IFNA(IF(MOD(HLG_06[[#This Row],[Rit]],
    _xlfn.XLOOKUP($G$2,Int_Sample[Ore],Int_Sample[Inc])) = 0, "YES", "NO"),"")</f>
        <v/>
      </c>
      <c r="I570" s="32" t="str">
        <f>TEXT(HLG_06[[#This Row],[Batch]],"000")&amp; " / " &amp; TEXT(HLG_06[[#This Row],[Rit]],"000")</f>
        <v>N/A / 000</v>
      </c>
      <c r="J570" s="34"/>
      <c r="K570" s="38"/>
      <c r="L570" s="35"/>
      <c r="M570" s="66"/>
      <c r="N570" s="66"/>
      <c r="O570" s="66"/>
      <c r="P570" s="66"/>
      <c r="Q570" s="66"/>
      <c r="R570" s="67"/>
      <c r="S570" s="67"/>
      <c r="T570" s="67"/>
      <c r="U570" s="66"/>
      <c r="V570" s="66"/>
      <c r="W570" s="66"/>
      <c r="X570" s="85"/>
      <c r="AP570" t="str">
        <v/>
      </c>
    </row>
    <row r="571" spans="4:42" ht="15.75" x14ac:dyDescent="0.25">
      <c r="D571" s="3">
        <v>1</v>
      </c>
      <c r="F571" s="16" t="str" cm="1">
        <f t="array" ref="F5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1" s="31" cm="1">
        <f t="array" ref="G57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1" s="33" t="str">
        <f>_xlfn.IFNA(IF(MOD(HLG_06[[#This Row],[Rit]],
    _xlfn.XLOOKUP($G$2,Int_Sample[Ore],Int_Sample[Inc])) = 0, "YES", "NO"),"")</f>
        <v/>
      </c>
      <c r="I571" s="32" t="str">
        <f>TEXT(HLG_06[[#This Row],[Batch]],"000")&amp; " / " &amp; TEXT(HLG_06[[#This Row],[Rit]],"000")</f>
        <v>N/A / 000</v>
      </c>
      <c r="J571" s="34"/>
      <c r="K571" s="38"/>
      <c r="L571" s="35"/>
      <c r="M571" s="66"/>
      <c r="N571" s="66"/>
      <c r="O571" s="66"/>
      <c r="P571" s="66"/>
      <c r="Q571" s="66"/>
      <c r="R571" s="67"/>
      <c r="S571" s="67"/>
      <c r="T571" s="67"/>
      <c r="U571" s="66"/>
      <c r="V571" s="66"/>
      <c r="W571" s="66"/>
      <c r="X571" s="85"/>
      <c r="AP571" t="str">
        <v/>
      </c>
    </row>
    <row r="572" spans="4:42" ht="15.75" x14ac:dyDescent="0.25">
      <c r="D572" s="3">
        <v>1</v>
      </c>
      <c r="F572" s="16" t="str" cm="1">
        <f t="array" ref="F5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2" s="31" cm="1">
        <f t="array" ref="G57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2" s="33" t="str">
        <f>_xlfn.IFNA(IF(MOD(HLG_06[[#This Row],[Rit]],
    _xlfn.XLOOKUP($G$2,Int_Sample[Ore],Int_Sample[Inc])) = 0, "YES", "NO"),"")</f>
        <v/>
      </c>
      <c r="I572" s="32" t="str">
        <f>TEXT(HLG_06[[#This Row],[Batch]],"000")&amp; " / " &amp; TEXT(HLG_06[[#This Row],[Rit]],"000")</f>
        <v>N/A / 000</v>
      </c>
      <c r="J572" s="34"/>
      <c r="K572" s="38"/>
      <c r="L572" s="35"/>
      <c r="M572" s="66"/>
      <c r="N572" s="66"/>
      <c r="O572" s="66"/>
      <c r="P572" s="66"/>
      <c r="Q572" s="66"/>
      <c r="R572" s="67"/>
      <c r="S572" s="67"/>
      <c r="T572" s="67"/>
      <c r="U572" s="66"/>
      <c r="V572" s="66"/>
      <c r="W572" s="66"/>
      <c r="X572" s="85"/>
      <c r="AP572" t="str">
        <v/>
      </c>
    </row>
    <row r="573" spans="4:42" ht="15.75" x14ac:dyDescent="0.25">
      <c r="D573" s="3">
        <v>1</v>
      </c>
      <c r="F573" s="16" t="str" cm="1">
        <f t="array" ref="F5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3" s="31" cm="1">
        <f t="array" ref="G57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3" s="33" t="str">
        <f>_xlfn.IFNA(IF(MOD(HLG_06[[#This Row],[Rit]],
    _xlfn.XLOOKUP($G$2,Int_Sample[Ore],Int_Sample[Inc])) = 0, "YES", "NO"),"")</f>
        <v/>
      </c>
      <c r="I573" s="32" t="str">
        <f>TEXT(HLG_06[[#This Row],[Batch]],"000")&amp; " / " &amp; TEXT(HLG_06[[#This Row],[Rit]],"000")</f>
        <v>N/A / 000</v>
      </c>
      <c r="J573" s="34"/>
      <c r="K573" s="38"/>
      <c r="L573" s="35"/>
      <c r="M573" s="66"/>
      <c r="N573" s="66"/>
      <c r="O573" s="66"/>
      <c r="P573" s="66"/>
      <c r="Q573" s="66"/>
      <c r="R573" s="67"/>
      <c r="S573" s="67"/>
      <c r="T573" s="67"/>
      <c r="U573" s="66"/>
      <c r="V573" s="66"/>
      <c r="W573" s="66"/>
      <c r="X573" s="85"/>
      <c r="AP573" t="str">
        <v/>
      </c>
    </row>
    <row r="574" spans="4:42" ht="15.75" x14ac:dyDescent="0.25">
      <c r="D574" s="3">
        <v>1</v>
      </c>
      <c r="F574" s="16" t="str" cm="1">
        <f t="array" ref="F5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4" s="31" cm="1">
        <f t="array" ref="G57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4" s="33" t="str">
        <f>_xlfn.IFNA(IF(MOD(HLG_06[[#This Row],[Rit]],
    _xlfn.XLOOKUP($G$2,Int_Sample[Ore],Int_Sample[Inc])) = 0, "YES", "NO"),"")</f>
        <v/>
      </c>
      <c r="I574" s="32" t="str">
        <f>TEXT(HLG_06[[#This Row],[Batch]],"000")&amp; " / " &amp; TEXT(HLG_06[[#This Row],[Rit]],"000")</f>
        <v>N/A / 000</v>
      </c>
      <c r="J574" s="34"/>
      <c r="K574" s="38"/>
      <c r="L574" s="35"/>
      <c r="M574" s="66"/>
      <c r="N574" s="66"/>
      <c r="O574" s="66"/>
      <c r="P574" s="66"/>
      <c r="Q574" s="66"/>
      <c r="R574" s="67"/>
      <c r="S574" s="67"/>
      <c r="T574" s="67"/>
      <c r="U574" s="66"/>
      <c r="V574" s="66"/>
      <c r="W574" s="66"/>
      <c r="X574" s="85"/>
      <c r="AP574" t="str">
        <v/>
      </c>
    </row>
    <row r="575" spans="4:42" ht="15.75" x14ac:dyDescent="0.25">
      <c r="D575" s="3">
        <v>1</v>
      </c>
      <c r="F575" s="16" t="str" cm="1">
        <f t="array" ref="F5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5" s="31" cm="1">
        <f t="array" ref="G57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5" s="33" t="str">
        <f>_xlfn.IFNA(IF(MOD(HLG_06[[#This Row],[Rit]],
    _xlfn.XLOOKUP($G$2,Int_Sample[Ore],Int_Sample[Inc])) = 0, "YES", "NO"),"")</f>
        <v/>
      </c>
      <c r="I575" s="32" t="str">
        <f>TEXT(HLG_06[[#This Row],[Batch]],"000")&amp; " / " &amp; TEXT(HLG_06[[#This Row],[Rit]],"000")</f>
        <v>N/A / 000</v>
      </c>
      <c r="J575" s="34"/>
      <c r="K575" s="38"/>
      <c r="L575" s="35"/>
      <c r="M575" s="66"/>
      <c r="N575" s="66"/>
      <c r="O575" s="66"/>
      <c r="P575" s="66"/>
      <c r="Q575" s="66"/>
      <c r="R575" s="67"/>
      <c r="S575" s="67"/>
      <c r="T575" s="67"/>
      <c r="U575" s="66"/>
      <c r="V575" s="66"/>
      <c r="W575" s="66"/>
      <c r="X575" s="85"/>
      <c r="AP575" t="str">
        <v/>
      </c>
    </row>
    <row r="576" spans="4:42" ht="15.75" x14ac:dyDescent="0.25">
      <c r="D576" s="3">
        <v>1</v>
      </c>
      <c r="F576" s="16" t="str" cm="1">
        <f t="array" ref="F5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6" s="31" cm="1">
        <f t="array" ref="G57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6" s="33" t="str">
        <f>_xlfn.IFNA(IF(MOD(HLG_06[[#This Row],[Rit]],
    _xlfn.XLOOKUP($G$2,Int_Sample[Ore],Int_Sample[Inc])) = 0, "YES", "NO"),"")</f>
        <v/>
      </c>
      <c r="I576" s="32" t="str">
        <f>TEXT(HLG_06[[#This Row],[Batch]],"000")&amp; " / " &amp; TEXT(HLG_06[[#This Row],[Rit]],"000")</f>
        <v>N/A / 000</v>
      </c>
      <c r="J576" s="34"/>
      <c r="K576" s="38"/>
      <c r="L576" s="35"/>
      <c r="M576" s="66"/>
      <c r="N576" s="66"/>
      <c r="O576" s="66"/>
      <c r="P576" s="66"/>
      <c r="Q576" s="66"/>
      <c r="R576" s="67"/>
      <c r="S576" s="67"/>
      <c r="T576" s="67"/>
      <c r="U576" s="66"/>
      <c r="V576" s="66"/>
      <c r="W576" s="66"/>
      <c r="X576" s="85"/>
      <c r="AP576" t="str">
        <v/>
      </c>
    </row>
    <row r="577" spans="4:42" ht="15.75" x14ac:dyDescent="0.25">
      <c r="D577" s="3">
        <v>1</v>
      </c>
      <c r="F577" s="16" t="str" cm="1">
        <f t="array" ref="F5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7" s="31" cm="1">
        <f t="array" ref="G57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7" s="33" t="str">
        <f>_xlfn.IFNA(IF(MOD(HLG_06[[#This Row],[Rit]],
    _xlfn.XLOOKUP($G$2,Int_Sample[Ore],Int_Sample[Inc])) = 0, "YES", "NO"),"")</f>
        <v/>
      </c>
      <c r="I577" s="32" t="str">
        <f>TEXT(HLG_06[[#This Row],[Batch]],"000")&amp; " / " &amp; TEXT(HLG_06[[#This Row],[Rit]],"000")</f>
        <v>N/A / 000</v>
      </c>
      <c r="J577" s="34"/>
      <c r="K577" s="38"/>
      <c r="L577" s="35"/>
      <c r="M577" s="66"/>
      <c r="N577" s="66"/>
      <c r="O577" s="66"/>
      <c r="P577" s="66"/>
      <c r="Q577" s="66"/>
      <c r="R577" s="67"/>
      <c r="S577" s="67"/>
      <c r="T577" s="67"/>
      <c r="U577" s="66"/>
      <c r="V577" s="66"/>
      <c r="W577" s="66"/>
      <c r="X577" s="85"/>
      <c r="AP577" t="str">
        <v/>
      </c>
    </row>
    <row r="578" spans="4:42" ht="15.75" x14ac:dyDescent="0.25">
      <c r="D578" s="3">
        <v>1</v>
      </c>
      <c r="F578" s="16" t="str" cm="1">
        <f t="array" ref="F5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8" s="31" cm="1">
        <f t="array" ref="G57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8" s="33" t="str">
        <f>_xlfn.IFNA(IF(MOD(HLG_06[[#This Row],[Rit]],
    _xlfn.XLOOKUP($G$2,Int_Sample[Ore],Int_Sample[Inc])) = 0, "YES", "NO"),"")</f>
        <v/>
      </c>
      <c r="I578" s="32" t="str">
        <f>TEXT(HLG_06[[#This Row],[Batch]],"000")&amp; " / " &amp; TEXT(HLG_06[[#This Row],[Rit]],"000")</f>
        <v>N/A / 000</v>
      </c>
      <c r="J578" s="34"/>
      <c r="K578" s="38"/>
      <c r="L578" s="35"/>
      <c r="M578" s="66"/>
      <c r="N578" s="66"/>
      <c r="O578" s="66"/>
      <c r="P578" s="66"/>
      <c r="Q578" s="66"/>
      <c r="R578" s="67"/>
      <c r="S578" s="67"/>
      <c r="T578" s="67"/>
      <c r="U578" s="66"/>
      <c r="V578" s="66"/>
      <c r="W578" s="66"/>
      <c r="X578" s="85"/>
      <c r="AP578" t="str">
        <v/>
      </c>
    </row>
    <row r="579" spans="4:42" ht="15.75" x14ac:dyDescent="0.25">
      <c r="D579" s="3">
        <v>1</v>
      </c>
      <c r="F579" s="16" t="str" cm="1">
        <f t="array" ref="F5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79" s="31" cm="1">
        <f t="array" ref="G57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79" s="33" t="str">
        <f>_xlfn.IFNA(IF(MOD(HLG_06[[#This Row],[Rit]],
    _xlfn.XLOOKUP($G$2,Int_Sample[Ore],Int_Sample[Inc])) = 0, "YES", "NO"),"")</f>
        <v/>
      </c>
      <c r="I579" s="32" t="str">
        <f>TEXT(HLG_06[[#This Row],[Batch]],"000")&amp; " / " &amp; TEXT(HLG_06[[#This Row],[Rit]],"000")</f>
        <v>N/A / 000</v>
      </c>
      <c r="J579" s="34"/>
      <c r="K579" s="38"/>
      <c r="L579" s="35"/>
      <c r="M579" s="66"/>
      <c r="N579" s="66"/>
      <c r="O579" s="66"/>
      <c r="P579" s="66"/>
      <c r="Q579" s="66"/>
      <c r="R579" s="67"/>
      <c r="S579" s="67"/>
      <c r="T579" s="67"/>
      <c r="U579" s="66"/>
      <c r="V579" s="66"/>
      <c r="W579" s="66"/>
      <c r="X579" s="85"/>
      <c r="AP579" t="str">
        <v/>
      </c>
    </row>
    <row r="580" spans="4:42" ht="15.75" x14ac:dyDescent="0.25">
      <c r="D580" s="3">
        <v>1</v>
      </c>
      <c r="F580" s="16" t="str" cm="1">
        <f t="array" ref="F5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0" s="31" cm="1">
        <f t="array" ref="G58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0" s="33" t="str">
        <f>_xlfn.IFNA(IF(MOD(HLG_06[[#This Row],[Rit]],
    _xlfn.XLOOKUP($G$2,Int_Sample[Ore],Int_Sample[Inc])) = 0, "YES", "NO"),"")</f>
        <v/>
      </c>
      <c r="I580" s="32" t="str">
        <f>TEXT(HLG_06[[#This Row],[Batch]],"000")&amp; " / " &amp; TEXT(HLG_06[[#This Row],[Rit]],"000")</f>
        <v>N/A / 000</v>
      </c>
      <c r="J580" s="34"/>
      <c r="K580" s="38"/>
      <c r="L580" s="35"/>
      <c r="M580" s="66"/>
      <c r="N580" s="66"/>
      <c r="O580" s="66"/>
      <c r="P580" s="66"/>
      <c r="Q580" s="66"/>
      <c r="R580" s="67"/>
      <c r="S580" s="67"/>
      <c r="T580" s="67"/>
      <c r="U580" s="66"/>
      <c r="V580" s="66"/>
      <c r="W580" s="66"/>
      <c r="X580" s="85"/>
      <c r="AP580" t="str">
        <v/>
      </c>
    </row>
    <row r="581" spans="4:42" ht="15.75" x14ac:dyDescent="0.25">
      <c r="D581" s="3">
        <v>1</v>
      </c>
      <c r="F581" s="16" t="str" cm="1">
        <f t="array" ref="F5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1" s="31" cm="1">
        <f t="array" ref="G58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1" s="33" t="str">
        <f>_xlfn.IFNA(IF(MOD(HLG_06[[#This Row],[Rit]],
    _xlfn.XLOOKUP($G$2,Int_Sample[Ore],Int_Sample[Inc])) = 0, "YES", "NO"),"")</f>
        <v/>
      </c>
      <c r="I581" s="32" t="str">
        <f>TEXT(HLG_06[[#This Row],[Batch]],"000")&amp; " / " &amp; TEXT(HLG_06[[#This Row],[Rit]],"000")</f>
        <v>N/A / 000</v>
      </c>
      <c r="J581" s="34"/>
      <c r="K581" s="38"/>
      <c r="L581" s="35"/>
      <c r="M581" s="66"/>
      <c r="N581" s="66"/>
      <c r="O581" s="66"/>
      <c r="P581" s="66"/>
      <c r="Q581" s="66"/>
      <c r="R581" s="67"/>
      <c r="S581" s="67"/>
      <c r="T581" s="67"/>
      <c r="U581" s="66"/>
      <c r="V581" s="66"/>
      <c r="W581" s="66"/>
      <c r="X581" s="85"/>
      <c r="AP581" t="str">
        <v/>
      </c>
    </row>
    <row r="582" spans="4:42" ht="15.75" x14ac:dyDescent="0.25">
      <c r="D582" s="3">
        <v>1</v>
      </c>
      <c r="F582" s="16" t="str" cm="1">
        <f t="array" ref="F5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2" s="31" cm="1">
        <f t="array" ref="G58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2" s="33" t="str">
        <f>_xlfn.IFNA(IF(MOD(HLG_06[[#This Row],[Rit]],
    _xlfn.XLOOKUP($G$2,Int_Sample[Ore],Int_Sample[Inc])) = 0, "YES", "NO"),"")</f>
        <v/>
      </c>
      <c r="I582" s="32" t="str">
        <f>TEXT(HLG_06[[#This Row],[Batch]],"000")&amp; " / " &amp; TEXT(HLG_06[[#This Row],[Rit]],"000")</f>
        <v>N/A / 000</v>
      </c>
      <c r="J582" s="34"/>
      <c r="K582" s="38"/>
      <c r="L582" s="35"/>
      <c r="M582" s="66"/>
      <c r="N582" s="66"/>
      <c r="O582" s="66"/>
      <c r="P582" s="66"/>
      <c r="Q582" s="66"/>
      <c r="R582" s="67"/>
      <c r="S582" s="67"/>
      <c r="T582" s="67"/>
      <c r="U582" s="66"/>
      <c r="V582" s="66"/>
      <c r="W582" s="66"/>
      <c r="X582" s="85"/>
      <c r="AP582" t="str">
        <v/>
      </c>
    </row>
    <row r="583" spans="4:42" ht="15.75" x14ac:dyDescent="0.25">
      <c r="D583" s="3">
        <v>1</v>
      </c>
      <c r="F583" s="16" t="str" cm="1">
        <f t="array" ref="F5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3" s="31" cm="1">
        <f t="array" ref="G58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3" s="33" t="str">
        <f>_xlfn.IFNA(IF(MOD(HLG_06[[#This Row],[Rit]],
    _xlfn.XLOOKUP($G$2,Int_Sample[Ore],Int_Sample[Inc])) = 0, "YES", "NO"),"")</f>
        <v/>
      </c>
      <c r="I583" s="32" t="str">
        <f>TEXT(HLG_06[[#This Row],[Batch]],"000")&amp; " / " &amp; TEXT(HLG_06[[#This Row],[Rit]],"000")</f>
        <v>N/A / 000</v>
      </c>
      <c r="J583" s="34"/>
      <c r="K583" s="38"/>
      <c r="L583" s="35"/>
      <c r="M583" s="66"/>
      <c r="N583" s="66"/>
      <c r="O583" s="66"/>
      <c r="P583" s="66"/>
      <c r="Q583" s="66"/>
      <c r="R583" s="67"/>
      <c r="S583" s="67"/>
      <c r="T583" s="67"/>
      <c r="U583" s="66"/>
      <c r="V583" s="66"/>
      <c r="W583" s="66"/>
      <c r="X583" s="85"/>
      <c r="AP583" t="str">
        <v/>
      </c>
    </row>
    <row r="584" spans="4:42" ht="15.75" x14ac:dyDescent="0.25">
      <c r="D584" s="3">
        <v>1</v>
      </c>
      <c r="F584" s="16" t="str" cm="1">
        <f t="array" ref="F5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4" s="31" cm="1">
        <f t="array" ref="G58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4" s="33" t="str">
        <f>_xlfn.IFNA(IF(MOD(HLG_06[[#This Row],[Rit]],
    _xlfn.XLOOKUP($G$2,Int_Sample[Ore],Int_Sample[Inc])) = 0, "YES", "NO"),"")</f>
        <v/>
      </c>
      <c r="I584" s="32" t="str">
        <f>TEXT(HLG_06[[#This Row],[Batch]],"000")&amp; " / " &amp; TEXT(HLG_06[[#This Row],[Rit]],"000")</f>
        <v>N/A / 000</v>
      </c>
      <c r="J584" s="34"/>
      <c r="K584" s="38"/>
      <c r="L584" s="35"/>
      <c r="M584" s="66"/>
      <c r="N584" s="66"/>
      <c r="O584" s="66"/>
      <c r="P584" s="66"/>
      <c r="Q584" s="66"/>
      <c r="R584" s="67"/>
      <c r="S584" s="67"/>
      <c r="T584" s="67"/>
      <c r="U584" s="66"/>
      <c r="V584" s="66"/>
      <c r="W584" s="66"/>
      <c r="X584" s="85"/>
      <c r="AP584" t="str">
        <v/>
      </c>
    </row>
    <row r="585" spans="4:42" ht="15.75" x14ac:dyDescent="0.25">
      <c r="D585" s="3">
        <v>1</v>
      </c>
      <c r="F585" s="16" t="str" cm="1">
        <f t="array" ref="F5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5" s="31" cm="1">
        <f t="array" ref="G58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5" s="33" t="str">
        <f>_xlfn.IFNA(IF(MOD(HLG_06[[#This Row],[Rit]],
    _xlfn.XLOOKUP($G$2,Int_Sample[Ore],Int_Sample[Inc])) = 0, "YES", "NO"),"")</f>
        <v/>
      </c>
      <c r="I585" s="32" t="str">
        <f>TEXT(HLG_06[[#This Row],[Batch]],"000")&amp; " / " &amp; TEXT(HLG_06[[#This Row],[Rit]],"000")</f>
        <v>N/A / 000</v>
      </c>
      <c r="J585" s="34"/>
      <c r="K585" s="38"/>
      <c r="L585" s="35"/>
      <c r="M585" s="66"/>
      <c r="N585" s="66"/>
      <c r="O585" s="66"/>
      <c r="P585" s="66"/>
      <c r="Q585" s="66"/>
      <c r="R585" s="67"/>
      <c r="S585" s="67"/>
      <c r="T585" s="67"/>
      <c r="U585" s="66"/>
      <c r="V585" s="66"/>
      <c r="W585" s="66"/>
      <c r="X585" s="85"/>
      <c r="AP585" t="str">
        <v/>
      </c>
    </row>
    <row r="586" spans="4:42" ht="15.75" x14ac:dyDescent="0.25">
      <c r="D586" s="3">
        <v>1</v>
      </c>
      <c r="F586" s="16" t="str" cm="1">
        <f t="array" ref="F5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6" s="31" cm="1">
        <f t="array" ref="G58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6" s="33" t="str">
        <f>_xlfn.IFNA(IF(MOD(HLG_06[[#This Row],[Rit]],
    _xlfn.XLOOKUP($G$2,Int_Sample[Ore],Int_Sample[Inc])) = 0, "YES", "NO"),"")</f>
        <v/>
      </c>
      <c r="I586" s="32" t="str">
        <f>TEXT(HLG_06[[#This Row],[Batch]],"000")&amp; " / " &amp; TEXT(HLG_06[[#This Row],[Rit]],"000")</f>
        <v>N/A / 000</v>
      </c>
      <c r="J586" s="34"/>
      <c r="K586" s="38"/>
      <c r="L586" s="35"/>
      <c r="M586" s="66"/>
      <c r="N586" s="66"/>
      <c r="O586" s="66"/>
      <c r="P586" s="66"/>
      <c r="Q586" s="66"/>
      <c r="R586" s="67"/>
      <c r="S586" s="67"/>
      <c r="T586" s="67"/>
      <c r="U586" s="66"/>
      <c r="V586" s="66"/>
      <c r="W586" s="66"/>
      <c r="X586" s="85"/>
      <c r="AP586" t="str">
        <v/>
      </c>
    </row>
    <row r="587" spans="4:42" ht="15.75" x14ac:dyDescent="0.25">
      <c r="D587" s="3">
        <v>1</v>
      </c>
      <c r="F587" s="16" t="str" cm="1">
        <f t="array" ref="F5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7" s="31" cm="1">
        <f t="array" ref="G58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7" s="33" t="str">
        <f>_xlfn.IFNA(IF(MOD(HLG_06[[#This Row],[Rit]],
    _xlfn.XLOOKUP($G$2,Int_Sample[Ore],Int_Sample[Inc])) = 0, "YES", "NO"),"")</f>
        <v/>
      </c>
      <c r="I587" s="32" t="str">
        <f>TEXT(HLG_06[[#This Row],[Batch]],"000")&amp; " / " &amp; TEXT(HLG_06[[#This Row],[Rit]],"000")</f>
        <v>N/A / 000</v>
      </c>
      <c r="J587" s="34"/>
      <c r="K587" s="38"/>
      <c r="L587" s="35"/>
      <c r="M587" s="66"/>
      <c r="N587" s="66"/>
      <c r="O587" s="66"/>
      <c r="P587" s="66"/>
      <c r="Q587" s="66"/>
      <c r="R587" s="67"/>
      <c r="S587" s="67"/>
      <c r="T587" s="67"/>
      <c r="U587" s="66"/>
      <c r="V587" s="66"/>
      <c r="W587" s="66"/>
      <c r="X587" s="85"/>
      <c r="AP587" t="str">
        <v/>
      </c>
    </row>
    <row r="588" spans="4:42" ht="15.75" x14ac:dyDescent="0.25">
      <c r="D588" s="3">
        <v>1</v>
      </c>
      <c r="F588" s="16" t="str" cm="1">
        <f t="array" ref="F5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8" s="31" cm="1">
        <f t="array" ref="G58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8" s="33" t="str">
        <f>_xlfn.IFNA(IF(MOD(HLG_06[[#This Row],[Rit]],
    _xlfn.XLOOKUP($G$2,Int_Sample[Ore],Int_Sample[Inc])) = 0, "YES", "NO"),"")</f>
        <v/>
      </c>
      <c r="I588" s="32" t="str">
        <f>TEXT(HLG_06[[#This Row],[Batch]],"000")&amp; " / " &amp; TEXT(HLG_06[[#This Row],[Rit]],"000")</f>
        <v>N/A / 000</v>
      </c>
      <c r="J588" s="34"/>
      <c r="K588" s="38"/>
      <c r="L588" s="35"/>
      <c r="M588" s="66"/>
      <c r="N588" s="66"/>
      <c r="O588" s="66"/>
      <c r="P588" s="66"/>
      <c r="Q588" s="66"/>
      <c r="R588" s="67"/>
      <c r="S588" s="67"/>
      <c r="T588" s="67"/>
      <c r="U588" s="66"/>
      <c r="V588" s="66"/>
      <c r="W588" s="66"/>
      <c r="X588" s="85"/>
      <c r="AP588" t="str">
        <v/>
      </c>
    </row>
    <row r="589" spans="4:42" ht="15.75" x14ac:dyDescent="0.25">
      <c r="D589" s="3">
        <v>1</v>
      </c>
      <c r="F589" s="16" t="str" cm="1">
        <f t="array" ref="F5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89" s="31" cm="1">
        <f t="array" ref="G58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89" s="33" t="str">
        <f>_xlfn.IFNA(IF(MOD(HLG_06[[#This Row],[Rit]],
    _xlfn.XLOOKUP($G$2,Int_Sample[Ore],Int_Sample[Inc])) = 0, "YES", "NO"),"")</f>
        <v/>
      </c>
      <c r="I589" s="32" t="str">
        <f>TEXT(HLG_06[[#This Row],[Batch]],"000")&amp; " / " &amp; TEXT(HLG_06[[#This Row],[Rit]],"000")</f>
        <v>N/A / 000</v>
      </c>
      <c r="J589" s="34"/>
      <c r="K589" s="38"/>
      <c r="L589" s="35"/>
      <c r="M589" s="66"/>
      <c r="N589" s="66"/>
      <c r="O589" s="66"/>
      <c r="P589" s="66"/>
      <c r="Q589" s="66"/>
      <c r="R589" s="67"/>
      <c r="S589" s="67"/>
      <c r="T589" s="67"/>
      <c r="U589" s="66"/>
      <c r="V589" s="66"/>
      <c r="W589" s="66"/>
      <c r="X589" s="85"/>
      <c r="AP589" t="str">
        <v/>
      </c>
    </row>
    <row r="590" spans="4:42" ht="15.75" x14ac:dyDescent="0.25">
      <c r="D590" s="3">
        <v>1</v>
      </c>
      <c r="F590" s="16" t="str" cm="1">
        <f t="array" ref="F5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0" s="31" cm="1">
        <f t="array" ref="G59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0" s="33" t="str">
        <f>_xlfn.IFNA(IF(MOD(HLG_06[[#This Row],[Rit]],
    _xlfn.XLOOKUP($G$2,Int_Sample[Ore],Int_Sample[Inc])) = 0, "YES", "NO"),"")</f>
        <v/>
      </c>
      <c r="I590" s="32" t="str">
        <f>TEXT(HLG_06[[#This Row],[Batch]],"000")&amp; " / " &amp; TEXT(HLG_06[[#This Row],[Rit]],"000")</f>
        <v>N/A / 000</v>
      </c>
      <c r="J590" s="34"/>
      <c r="K590" s="38"/>
      <c r="L590" s="35"/>
      <c r="M590" s="66"/>
      <c r="N590" s="66"/>
      <c r="O590" s="66"/>
      <c r="P590" s="66"/>
      <c r="Q590" s="66"/>
      <c r="R590" s="67"/>
      <c r="S590" s="67"/>
      <c r="T590" s="67"/>
      <c r="U590" s="66"/>
      <c r="V590" s="66"/>
      <c r="W590" s="66"/>
      <c r="X590" s="85"/>
      <c r="AP590" t="str">
        <v/>
      </c>
    </row>
    <row r="591" spans="4:42" ht="15.75" x14ac:dyDescent="0.25">
      <c r="D591" s="3">
        <v>1</v>
      </c>
      <c r="F591" s="16" t="str" cm="1">
        <f t="array" ref="F5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1" s="31" cm="1">
        <f t="array" ref="G59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1" s="33" t="str">
        <f>_xlfn.IFNA(IF(MOD(HLG_06[[#This Row],[Rit]],
    _xlfn.XLOOKUP($G$2,Int_Sample[Ore],Int_Sample[Inc])) = 0, "YES", "NO"),"")</f>
        <v/>
      </c>
      <c r="I591" s="32" t="str">
        <f>TEXT(HLG_06[[#This Row],[Batch]],"000")&amp; " / " &amp; TEXT(HLG_06[[#This Row],[Rit]],"000")</f>
        <v>N/A / 000</v>
      </c>
      <c r="J591" s="34"/>
      <c r="K591" s="38"/>
      <c r="L591" s="35"/>
      <c r="M591" s="66"/>
      <c r="N591" s="66"/>
      <c r="O591" s="66"/>
      <c r="P591" s="66"/>
      <c r="Q591" s="66"/>
      <c r="R591" s="67"/>
      <c r="S591" s="67"/>
      <c r="T591" s="67"/>
      <c r="U591" s="66"/>
      <c r="V591" s="66"/>
      <c r="W591" s="66"/>
      <c r="X591" s="85"/>
      <c r="AP591" t="str">
        <v/>
      </c>
    </row>
    <row r="592" spans="4:42" ht="15.75" x14ac:dyDescent="0.25">
      <c r="D592" s="3">
        <v>1</v>
      </c>
      <c r="F592" s="16" t="str" cm="1">
        <f t="array" ref="F5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2" s="31" cm="1">
        <f t="array" ref="G59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2" s="33" t="str">
        <f>_xlfn.IFNA(IF(MOD(HLG_06[[#This Row],[Rit]],
    _xlfn.XLOOKUP($G$2,Int_Sample[Ore],Int_Sample[Inc])) = 0, "YES", "NO"),"")</f>
        <v/>
      </c>
      <c r="I592" s="32" t="str">
        <f>TEXT(HLG_06[[#This Row],[Batch]],"000")&amp; " / " &amp; TEXT(HLG_06[[#This Row],[Rit]],"000")</f>
        <v>N/A / 000</v>
      </c>
      <c r="J592" s="34"/>
      <c r="K592" s="38"/>
      <c r="L592" s="35"/>
      <c r="M592" s="66"/>
      <c r="N592" s="66"/>
      <c r="O592" s="66"/>
      <c r="P592" s="66"/>
      <c r="Q592" s="66"/>
      <c r="R592" s="67"/>
      <c r="S592" s="67"/>
      <c r="T592" s="67"/>
      <c r="U592" s="66"/>
      <c r="V592" s="66"/>
      <c r="W592" s="66"/>
      <c r="X592" s="85"/>
      <c r="AP592" t="str">
        <v/>
      </c>
    </row>
    <row r="593" spans="4:42" ht="15.75" x14ac:dyDescent="0.25">
      <c r="D593" s="3">
        <v>1</v>
      </c>
      <c r="F593" s="16" t="str" cm="1">
        <f t="array" ref="F5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3" s="31" cm="1">
        <f t="array" ref="G59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3" s="33" t="str">
        <f>_xlfn.IFNA(IF(MOD(HLG_06[[#This Row],[Rit]],
    _xlfn.XLOOKUP($G$2,Int_Sample[Ore],Int_Sample[Inc])) = 0, "YES", "NO"),"")</f>
        <v/>
      </c>
      <c r="I593" s="32" t="str">
        <f>TEXT(HLG_06[[#This Row],[Batch]],"000")&amp; " / " &amp; TEXT(HLG_06[[#This Row],[Rit]],"000")</f>
        <v>N/A / 000</v>
      </c>
      <c r="J593" s="34"/>
      <c r="K593" s="38"/>
      <c r="L593" s="35"/>
      <c r="M593" s="66"/>
      <c r="N593" s="66"/>
      <c r="O593" s="66"/>
      <c r="P593" s="66"/>
      <c r="Q593" s="66"/>
      <c r="R593" s="67"/>
      <c r="S593" s="67"/>
      <c r="T593" s="67"/>
      <c r="U593" s="66"/>
      <c r="V593" s="66"/>
      <c r="W593" s="66"/>
      <c r="X593" s="85"/>
      <c r="AP593" t="str">
        <v/>
      </c>
    </row>
    <row r="594" spans="4:42" ht="15.75" x14ac:dyDescent="0.25">
      <c r="D594" s="3">
        <v>1</v>
      </c>
      <c r="F594" s="16" t="str" cm="1">
        <f t="array" ref="F5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4" s="31" cm="1">
        <f t="array" ref="G59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4" s="33" t="str">
        <f>_xlfn.IFNA(IF(MOD(HLG_06[[#This Row],[Rit]],
    _xlfn.XLOOKUP($G$2,Int_Sample[Ore],Int_Sample[Inc])) = 0, "YES", "NO"),"")</f>
        <v/>
      </c>
      <c r="I594" s="32" t="str">
        <f>TEXT(HLG_06[[#This Row],[Batch]],"000")&amp; " / " &amp; TEXT(HLG_06[[#This Row],[Rit]],"000")</f>
        <v>N/A / 000</v>
      </c>
      <c r="J594" s="34"/>
      <c r="K594" s="38"/>
      <c r="L594" s="35"/>
      <c r="M594" s="66"/>
      <c r="N594" s="66"/>
      <c r="O594" s="66"/>
      <c r="P594" s="66"/>
      <c r="Q594" s="66"/>
      <c r="R594" s="67"/>
      <c r="S594" s="67"/>
      <c r="T594" s="67"/>
      <c r="U594" s="66"/>
      <c r="V594" s="66"/>
      <c r="W594" s="66"/>
      <c r="X594" s="85"/>
      <c r="AP594" t="str">
        <v/>
      </c>
    </row>
    <row r="595" spans="4:42" ht="15.75" x14ac:dyDescent="0.25">
      <c r="D595" s="3">
        <v>1</v>
      </c>
      <c r="F595" s="16" t="str" cm="1">
        <f t="array" ref="F5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5" s="31" cm="1">
        <f t="array" ref="G59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5" s="33" t="str">
        <f>_xlfn.IFNA(IF(MOD(HLG_06[[#This Row],[Rit]],
    _xlfn.XLOOKUP($G$2,Int_Sample[Ore],Int_Sample[Inc])) = 0, "YES", "NO"),"")</f>
        <v/>
      </c>
      <c r="I595" s="32" t="str">
        <f>TEXT(HLG_06[[#This Row],[Batch]],"000")&amp; " / " &amp; TEXT(HLG_06[[#This Row],[Rit]],"000")</f>
        <v>N/A / 000</v>
      </c>
      <c r="J595" s="34"/>
      <c r="K595" s="38"/>
      <c r="L595" s="35"/>
      <c r="M595" s="66"/>
      <c r="N595" s="66"/>
      <c r="O595" s="66"/>
      <c r="P595" s="66"/>
      <c r="Q595" s="66"/>
      <c r="R595" s="67"/>
      <c r="S595" s="67"/>
      <c r="T595" s="67"/>
      <c r="U595" s="66"/>
      <c r="V595" s="66"/>
      <c r="W595" s="66"/>
      <c r="X595" s="85"/>
      <c r="AP595" t="str">
        <v/>
      </c>
    </row>
    <row r="596" spans="4:42" ht="15.75" x14ac:dyDescent="0.25">
      <c r="D596" s="3">
        <v>1</v>
      </c>
      <c r="F596" s="16" t="str" cm="1">
        <f t="array" ref="F5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6" s="31" cm="1">
        <f t="array" ref="G59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6" s="33" t="str">
        <f>_xlfn.IFNA(IF(MOD(HLG_06[[#This Row],[Rit]],
    _xlfn.XLOOKUP($G$2,Int_Sample[Ore],Int_Sample[Inc])) = 0, "YES", "NO"),"")</f>
        <v/>
      </c>
      <c r="I596" s="32" t="str">
        <f>TEXT(HLG_06[[#This Row],[Batch]],"000")&amp; " / " &amp; TEXT(HLG_06[[#This Row],[Rit]],"000")</f>
        <v>N/A / 000</v>
      </c>
      <c r="J596" s="34"/>
      <c r="K596" s="38"/>
      <c r="L596" s="35"/>
      <c r="M596" s="66"/>
      <c r="N596" s="66"/>
      <c r="O596" s="66"/>
      <c r="P596" s="66"/>
      <c r="Q596" s="66"/>
      <c r="R596" s="67"/>
      <c r="S596" s="67"/>
      <c r="T596" s="67"/>
      <c r="U596" s="66"/>
      <c r="V596" s="66"/>
      <c r="W596" s="66"/>
      <c r="X596" s="85"/>
      <c r="AP596" t="str">
        <v/>
      </c>
    </row>
    <row r="597" spans="4:42" ht="15.75" x14ac:dyDescent="0.25">
      <c r="D597" s="3">
        <v>1</v>
      </c>
      <c r="F597" s="16" t="str" cm="1">
        <f t="array" ref="F5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7" s="31" cm="1">
        <f t="array" ref="G59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7" s="33" t="str">
        <f>_xlfn.IFNA(IF(MOD(HLG_06[[#This Row],[Rit]],
    _xlfn.XLOOKUP($G$2,Int_Sample[Ore],Int_Sample[Inc])) = 0, "YES", "NO"),"")</f>
        <v/>
      </c>
      <c r="I597" s="32" t="str">
        <f>TEXT(HLG_06[[#This Row],[Batch]],"000")&amp; " / " &amp; TEXT(HLG_06[[#This Row],[Rit]],"000")</f>
        <v>N/A / 000</v>
      </c>
      <c r="J597" s="34"/>
      <c r="K597" s="38"/>
      <c r="L597" s="35"/>
      <c r="M597" s="66"/>
      <c r="N597" s="66"/>
      <c r="O597" s="66"/>
      <c r="P597" s="66"/>
      <c r="Q597" s="66"/>
      <c r="R597" s="67"/>
      <c r="S597" s="67"/>
      <c r="T597" s="67"/>
      <c r="U597" s="66"/>
      <c r="V597" s="66"/>
      <c r="W597" s="66"/>
      <c r="X597" s="85"/>
      <c r="AP597" t="str">
        <v/>
      </c>
    </row>
    <row r="598" spans="4:42" ht="15.75" x14ac:dyDescent="0.25">
      <c r="D598" s="3">
        <v>1</v>
      </c>
      <c r="F598" s="16" t="str" cm="1">
        <f t="array" ref="F5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8" s="31" cm="1">
        <f t="array" ref="G59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8" s="33" t="str">
        <f>_xlfn.IFNA(IF(MOD(HLG_06[[#This Row],[Rit]],
    _xlfn.XLOOKUP($G$2,Int_Sample[Ore],Int_Sample[Inc])) = 0, "YES", "NO"),"")</f>
        <v/>
      </c>
      <c r="I598" s="32" t="str">
        <f>TEXT(HLG_06[[#This Row],[Batch]],"000")&amp; " / " &amp; TEXT(HLG_06[[#This Row],[Rit]],"000")</f>
        <v>N/A / 000</v>
      </c>
      <c r="J598" s="34"/>
      <c r="K598" s="38"/>
      <c r="L598" s="35"/>
      <c r="M598" s="66"/>
      <c r="N598" s="66"/>
      <c r="O598" s="66"/>
      <c r="P598" s="66"/>
      <c r="Q598" s="66"/>
      <c r="R598" s="67"/>
      <c r="S598" s="67"/>
      <c r="T598" s="67"/>
      <c r="U598" s="66"/>
      <c r="V598" s="66"/>
      <c r="W598" s="66"/>
      <c r="X598" s="85"/>
      <c r="AP598" t="str">
        <v/>
      </c>
    </row>
    <row r="599" spans="4:42" ht="15.75" x14ac:dyDescent="0.25">
      <c r="D599" s="3">
        <v>1</v>
      </c>
      <c r="F599" s="16" t="str" cm="1">
        <f t="array" ref="F5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599" s="31" cm="1">
        <f t="array" ref="G59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599" s="33" t="str">
        <f>_xlfn.IFNA(IF(MOD(HLG_06[[#This Row],[Rit]],
    _xlfn.XLOOKUP($G$2,Int_Sample[Ore],Int_Sample[Inc])) = 0, "YES", "NO"),"")</f>
        <v/>
      </c>
      <c r="I599" s="32" t="str">
        <f>TEXT(HLG_06[[#This Row],[Batch]],"000")&amp; " / " &amp; TEXT(HLG_06[[#This Row],[Rit]],"000")</f>
        <v>N/A / 000</v>
      </c>
      <c r="J599" s="34"/>
      <c r="K599" s="38"/>
      <c r="L599" s="35"/>
      <c r="M599" s="66"/>
      <c r="N599" s="66"/>
      <c r="O599" s="66"/>
      <c r="P599" s="66"/>
      <c r="Q599" s="66"/>
      <c r="R599" s="67"/>
      <c r="S599" s="67"/>
      <c r="T599" s="67"/>
      <c r="U599" s="66"/>
      <c r="V599" s="66"/>
      <c r="W599" s="66"/>
      <c r="X599" s="85"/>
      <c r="AP599" t="str">
        <v/>
      </c>
    </row>
    <row r="600" spans="4:42" ht="15.75" x14ac:dyDescent="0.25">
      <c r="D600" s="3">
        <v>1</v>
      </c>
      <c r="F600" s="16" t="str" cm="1">
        <f t="array" ref="F6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0" s="31" cm="1">
        <f t="array" ref="G60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0" s="33" t="str">
        <f>_xlfn.IFNA(IF(MOD(HLG_06[[#This Row],[Rit]],
    _xlfn.XLOOKUP($G$2,Int_Sample[Ore],Int_Sample[Inc])) = 0, "YES", "NO"),"")</f>
        <v/>
      </c>
      <c r="I600" s="32" t="str">
        <f>TEXT(HLG_06[[#This Row],[Batch]],"000")&amp; " / " &amp; TEXT(HLG_06[[#This Row],[Rit]],"000")</f>
        <v>N/A / 000</v>
      </c>
      <c r="J600" s="34"/>
      <c r="K600" s="38"/>
      <c r="L600" s="35"/>
      <c r="M600" s="66"/>
      <c r="N600" s="66"/>
      <c r="O600" s="66"/>
      <c r="P600" s="66"/>
      <c r="Q600" s="66"/>
      <c r="R600" s="67"/>
      <c r="S600" s="67"/>
      <c r="T600" s="67"/>
      <c r="U600" s="66"/>
      <c r="V600" s="66"/>
      <c r="W600" s="66"/>
      <c r="X600" s="85"/>
      <c r="AP600" t="str">
        <v/>
      </c>
    </row>
    <row r="601" spans="4:42" ht="15.75" x14ac:dyDescent="0.25">
      <c r="D601" s="3">
        <v>1</v>
      </c>
      <c r="F601" s="16" t="str" cm="1">
        <f t="array" ref="F6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1" s="31" cm="1">
        <f t="array" ref="G60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1" s="33" t="str">
        <f>_xlfn.IFNA(IF(MOD(HLG_06[[#This Row],[Rit]],
    _xlfn.XLOOKUP($G$2,Int_Sample[Ore],Int_Sample[Inc])) = 0, "YES", "NO"),"")</f>
        <v/>
      </c>
      <c r="I601" s="32" t="str">
        <f>TEXT(HLG_06[[#This Row],[Batch]],"000")&amp; " / " &amp; TEXT(HLG_06[[#This Row],[Rit]],"000")</f>
        <v>N/A / 000</v>
      </c>
      <c r="J601" s="34"/>
      <c r="K601" s="38"/>
      <c r="L601" s="35"/>
      <c r="M601" s="66"/>
      <c r="N601" s="66"/>
      <c r="O601" s="66"/>
      <c r="P601" s="66"/>
      <c r="Q601" s="66"/>
      <c r="R601" s="67"/>
      <c r="S601" s="67"/>
      <c r="T601" s="67"/>
      <c r="U601" s="66"/>
      <c r="V601" s="66"/>
      <c r="W601" s="66"/>
      <c r="X601" s="85"/>
      <c r="AP601" t="str">
        <v/>
      </c>
    </row>
    <row r="602" spans="4:42" ht="15.75" x14ac:dyDescent="0.25">
      <c r="D602" s="3">
        <v>1</v>
      </c>
      <c r="F602" s="16" t="str" cm="1">
        <f t="array" ref="F6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2" s="31" cm="1">
        <f t="array" ref="G60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2" s="33" t="str">
        <f>_xlfn.IFNA(IF(MOD(HLG_06[[#This Row],[Rit]],
    _xlfn.XLOOKUP($G$2,Int_Sample[Ore],Int_Sample[Inc])) = 0, "YES", "NO"),"")</f>
        <v/>
      </c>
      <c r="I602" s="32" t="str">
        <f>TEXT(HLG_06[[#This Row],[Batch]],"000")&amp; " / " &amp; TEXT(HLG_06[[#This Row],[Rit]],"000")</f>
        <v>N/A / 000</v>
      </c>
      <c r="J602" s="34"/>
      <c r="K602" s="38"/>
      <c r="L602" s="35"/>
      <c r="M602" s="66"/>
      <c r="N602" s="66"/>
      <c r="O602" s="66"/>
      <c r="P602" s="66"/>
      <c r="Q602" s="66"/>
      <c r="R602" s="67"/>
      <c r="S602" s="67"/>
      <c r="T602" s="67"/>
      <c r="U602" s="66"/>
      <c r="V602" s="66"/>
      <c r="W602" s="66"/>
      <c r="X602" s="85"/>
      <c r="AP602" t="str">
        <v/>
      </c>
    </row>
    <row r="603" spans="4:42" ht="15.75" x14ac:dyDescent="0.25">
      <c r="D603" s="3">
        <v>1</v>
      </c>
      <c r="F603" s="16" t="str" cm="1">
        <f t="array" ref="F6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3" s="31" cm="1">
        <f t="array" ref="G60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3" s="33" t="str">
        <f>_xlfn.IFNA(IF(MOD(HLG_06[[#This Row],[Rit]],
    _xlfn.XLOOKUP($G$2,Int_Sample[Ore],Int_Sample[Inc])) = 0, "YES", "NO"),"")</f>
        <v/>
      </c>
      <c r="I603" s="32" t="str">
        <f>TEXT(HLG_06[[#This Row],[Batch]],"000")&amp; " / " &amp; TEXT(HLG_06[[#This Row],[Rit]],"000")</f>
        <v>N/A / 000</v>
      </c>
      <c r="J603" s="34"/>
      <c r="K603" s="38"/>
      <c r="L603" s="35"/>
      <c r="M603" s="66"/>
      <c r="N603" s="66"/>
      <c r="O603" s="66"/>
      <c r="P603" s="66"/>
      <c r="Q603" s="66"/>
      <c r="R603" s="67"/>
      <c r="S603" s="67"/>
      <c r="T603" s="67"/>
      <c r="U603" s="66"/>
      <c r="V603" s="66"/>
      <c r="W603" s="66"/>
      <c r="X603" s="85"/>
      <c r="AP603" t="str">
        <v/>
      </c>
    </row>
    <row r="604" spans="4:42" ht="15.75" x14ac:dyDescent="0.25">
      <c r="D604" s="3">
        <v>1</v>
      </c>
      <c r="F604" s="16" t="str" cm="1">
        <f t="array" ref="F6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4" s="31" cm="1">
        <f t="array" ref="G60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4" s="33" t="str">
        <f>_xlfn.IFNA(IF(MOD(HLG_06[[#This Row],[Rit]],
    _xlfn.XLOOKUP($G$2,Int_Sample[Ore],Int_Sample[Inc])) = 0, "YES", "NO"),"")</f>
        <v/>
      </c>
      <c r="I604" s="32" t="str">
        <f>TEXT(HLG_06[[#This Row],[Batch]],"000")&amp; " / " &amp; TEXT(HLG_06[[#This Row],[Rit]],"000")</f>
        <v>N/A / 000</v>
      </c>
      <c r="J604" s="34"/>
      <c r="K604" s="38"/>
      <c r="L604" s="35"/>
      <c r="M604" s="66"/>
      <c r="N604" s="66"/>
      <c r="O604" s="66"/>
      <c r="P604" s="66"/>
      <c r="Q604" s="66"/>
      <c r="R604" s="67"/>
      <c r="S604" s="67"/>
      <c r="T604" s="67"/>
      <c r="U604" s="66"/>
      <c r="V604" s="66"/>
      <c r="W604" s="66"/>
      <c r="X604" s="85"/>
      <c r="AP604" t="str">
        <v/>
      </c>
    </row>
    <row r="605" spans="4:42" ht="15.75" x14ac:dyDescent="0.25">
      <c r="D605" s="3">
        <v>1</v>
      </c>
      <c r="F605" s="16" t="str" cm="1">
        <f t="array" ref="F6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5" s="31" cm="1">
        <f t="array" ref="G60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5" s="33" t="str">
        <f>_xlfn.IFNA(IF(MOD(HLG_06[[#This Row],[Rit]],
    _xlfn.XLOOKUP($G$2,Int_Sample[Ore],Int_Sample[Inc])) = 0, "YES", "NO"),"")</f>
        <v/>
      </c>
      <c r="I605" s="32" t="str">
        <f>TEXT(HLG_06[[#This Row],[Batch]],"000")&amp; " / " &amp; TEXT(HLG_06[[#This Row],[Rit]],"000")</f>
        <v>N/A / 000</v>
      </c>
      <c r="J605" s="34"/>
      <c r="K605" s="38"/>
      <c r="L605" s="35"/>
      <c r="M605" s="66"/>
      <c r="N605" s="66"/>
      <c r="O605" s="66"/>
      <c r="P605" s="66"/>
      <c r="Q605" s="66"/>
      <c r="R605" s="67"/>
      <c r="S605" s="67"/>
      <c r="T605" s="67"/>
      <c r="U605" s="66"/>
      <c r="V605" s="66"/>
      <c r="W605" s="66"/>
      <c r="X605" s="85"/>
      <c r="AP605" t="str">
        <v/>
      </c>
    </row>
    <row r="606" spans="4:42" ht="15.75" x14ac:dyDescent="0.25">
      <c r="D606" s="3">
        <v>1</v>
      </c>
      <c r="F606" s="16" t="str" cm="1">
        <f t="array" ref="F6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6" s="31" cm="1">
        <f t="array" ref="G60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6" s="33" t="str">
        <f>_xlfn.IFNA(IF(MOD(HLG_06[[#This Row],[Rit]],
    _xlfn.XLOOKUP($G$2,Int_Sample[Ore],Int_Sample[Inc])) = 0, "YES", "NO"),"")</f>
        <v/>
      </c>
      <c r="I606" s="32" t="str">
        <f>TEXT(HLG_06[[#This Row],[Batch]],"000")&amp; " / " &amp; TEXT(HLG_06[[#This Row],[Rit]],"000")</f>
        <v>N/A / 000</v>
      </c>
      <c r="J606" s="34"/>
      <c r="K606" s="38"/>
      <c r="L606" s="35"/>
      <c r="M606" s="66"/>
      <c r="N606" s="66"/>
      <c r="O606" s="66"/>
      <c r="P606" s="66"/>
      <c r="Q606" s="66"/>
      <c r="R606" s="67"/>
      <c r="S606" s="67"/>
      <c r="T606" s="67"/>
      <c r="U606" s="66"/>
      <c r="V606" s="66"/>
      <c r="W606" s="66"/>
      <c r="X606" s="85"/>
      <c r="AP606" t="str">
        <v/>
      </c>
    </row>
    <row r="607" spans="4:42" ht="15.75" x14ac:dyDescent="0.25">
      <c r="D607" s="3">
        <v>1</v>
      </c>
      <c r="F607" s="16" t="str" cm="1">
        <f t="array" ref="F6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7" s="31" cm="1">
        <f t="array" ref="G60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7" s="33" t="str">
        <f>_xlfn.IFNA(IF(MOD(HLG_06[[#This Row],[Rit]],
    _xlfn.XLOOKUP($G$2,Int_Sample[Ore],Int_Sample[Inc])) = 0, "YES", "NO"),"")</f>
        <v/>
      </c>
      <c r="I607" s="32" t="str">
        <f>TEXT(HLG_06[[#This Row],[Batch]],"000")&amp; " / " &amp; TEXT(HLG_06[[#This Row],[Rit]],"000")</f>
        <v>N/A / 000</v>
      </c>
      <c r="J607" s="34"/>
      <c r="K607" s="38"/>
      <c r="L607" s="35"/>
      <c r="M607" s="66"/>
      <c r="N607" s="66"/>
      <c r="O607" s="66"/>
      <c r="P607" s="66"/>
      <c r="Q607" s="66"/>
      <c r="R607" s="67"/>
      <c r="S607" s="67"/>
      <c r="T607" s="67"/>
      <c r="U607" s="66"/>
      <c r="V607" s="66"/>
      <c r="W607" s="66"/>
      <c r="X607" s="85"/>
      <c r="AP607" t="str">
        <v/>
      </c>
    </row>
    <row r="608" spans="4:42" ht="15.75" x14ac:dyDescent="0.25">
      <c r="D608" s="3">
        <v>1</v>
      </c>
      <c r="F608" s="16" t="str" cm="1">
        <f t="array" ref="F6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8" s="31" cm="1">
        <f t="array" ref="G60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8" s="33" t="str">
        <f>_xlfn.IFNA(IF(MOD(HLG_06[[#This Row],[Rit]],
    _xlfn.XLOOKUP($G$2,Int_Sample[Ore],Int_Sample[Inc])) = 0, "YES", "NO"),"")</f>
        <v/>
      </c>
      <c r="I608" s="32" t="str">
        <f>TEXT(HLG_06[[#This Row],[Batch]],"000")&amp; " / " &amp; TEXT(HLG_06[[#This Row],[Rit]],"000")</f>
        <v>N/A / 000</v>
      </c>
      <c r="J608" s="34"/>
      <c r="K608" s="38"/>
      <c r="L608" s="35"/>
      <c r="M608" s="66"/>
      <c r="N608" s="66"/>
      <c r="O608" s="66"/>
      <c r="P608" s="66"/>
      <c r="Q608" s="66"/>
      <c r="R608" s="67"/>
      <c r="S608" s="67"/>
      <c r="T608" s="67"/>
      <c r="U608" s="66"/>
      <c r="V608" s="66"/>
      <c r="W608" s="66"/>
      <c r="X608" s="85"/>
      <c r="AP608" t="str">
        <v/>
      </c>
    </row>
    <row r="609" spans="4:42" ht="15.75" x14ac:dyDescent="0.25">
      <c r="D609" s="3">
        <v>1</v>
      </c>
      <c r="F609" s="16" t="str" cm="1">
        <f t="array" ref="F6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09" s="31" cm="1">
        <f t="array" ref="G60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09" s="33" t="str">
        <f>_xlfn.IFNA(IF(MOD(HLG_06[[#This Row],[Rit]],
    _xlfn.XLOOKUP($G$2,Int_Sample[Ore],Int_Sample[Inc])) = 0, "YES", "NO"),"")</f>
        <v/>
      </c>
      <c r="I609" s="32" t="str">
        <f>TEXT(HLG_06[[#This Row],[Batch]],"000")&amp; " / " &amp; TEXT(HLG_06[[#This Row],[Rit]],"000")</f>
        <v>N/A / 000</v>
      </c>
      <c r="J609" s="34"/>
      <c r="K609" s="38"/>
      <c r="L609" s="35"/>
      <c r="M609" s="66"/>
      <c r="N609" s="66"/>
      <c r="O609" s="66"/>
      <c r="P609" s="66"/>
      <c r="Q609" s="66"/>
      <c r="R609" s="67"/>
      <c r="S609" s="67"/>
      <c r="T609" s="67"/>
      <c r="U609" s="66"/>
      <c r="V609" s="66"/>
      <c r="W609" s="66"/>
      <c r="X609" s="85"/>
      <c r="AP609" t="str">
        <v/>
      </c>
    </row>
    <row r="610" spans="4:42" ht="15.75" x14ac:dyDescent="0.25">
      <c r="D610" s="3">
        <v>1</v>
      </c>
      <c r="F610" s="16" t="str" cm="1">
        <f t="array" ref="F6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0" s="31" cm="1">
        <f t="array" ref="G61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0" s="33" t="str">
        <f>_xlfn.IFNA(IF(MOD(HLG_06[[#This Row],[Rit]],
    _xlfn.XLOOKUP($G$2,Int_Sample[Ore],Int_Sample[Inc])) = 0, "YES", "NO"),"")</f>
        <v/>
      </c>
      <c r="I610" s="32" t="str">
        <f>TEXT(HLG_06[[#This Row],[Batch]],"000")&amp; " / " &amp; TEXT(HLG_06[[#This Row],[Rit]],"000")</f>
        <v>N/A / 000</v>
      </c>
      <c r="J610" s="34"/>
      <c r="K610" s="38"/>
      <c r="L610" s="35"/>
      <c r="M610" s="66"/>
      <c r="N610" s="66"/>
      <c r="O610" s="66"/>
      <c r="P610" s="66"/>
      <c r="Q610" s="66"/>
      <c r="R610" s="67"/>
      <c r="S610" s="67"/>
      <c r="T610" s="67"/>
      <c r="U610" s="66"/>
      <c r="V610" s="66"/>
      <c r="W610" s="66"/>
      <c r="X610" s="85"/>
      <c r="AP610" t="str">
        <v/>
      </c>
    </row>
    <row r="611" spans="4:42" ht="15.75" x14ac:dyDescent="0.25">
      <c r="D611" s="3">
        <v>1</v>
      </c>
      <c r="F611" s="16" t="str" cm="1">
        <f t="array" ref="F6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1" s="31" cm="1">
        <f t="array" ref="G61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1" s="33" t="str">
        <f>_xlfn.IFNA(IF(MOD(HLG_06[[#This Row],[Rit]],
    _xlfn.XLOOKUP($G$2,Int_Sample[Ore],Int_Sample[Inc])) = 0, "YES", "NO"),"")</f>
        <v/>
      </c>
      <c r="I611" s="32" t="str">
        <f>TEXT(HLG_06[[#This Row],[Batch]],"000")&amp; " / " &amp; TEXT(HLG_06[[#This Row],[Rit]],"000")</f>
        <v>N/A / 000</v>
      </c>
      <c r="J611" s="34"/>
      <c r="K611" s="38"/>
      <c r="L611" s="35"/>
      <c r="M611" s="66"/>
      <c r="N611" s="66"/>
      <c r="O611" s="66"/>
      <c r="P611" s="66"/>
      <c r="Q611" s="66"/>
      <c r="R611" s="67"/>
      <c r="S611" s="67"/>
      <c r="T611" s="67"/>
      <c r="U611" s="66"/>
      <c r="V611" s="66"/>
      <c r="W611" s="66"/>
      <c r="X611" s="85"/>
      <c r="AP611" t="str">
        <v/>
      </c>
    </row>
    <row r="612" spans="4:42" ht="15.75" x14ac:dyDescent="0.25">
      <c r="D612" s="3">
        <v>1</v>
      </c>
      <c r="F612" s="16" t="str" cm="1">
        <f t="array" ref="F6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2" s="31" cm="1">
        <f t="array" ref="G61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2" s="33" t="str">
        <f>_xlfn.IFNA(IF(MOD(HLG_06[[#This Row],[Rit]],
    _xlfn.XLOOKUP($G$2,Int_Sample[Ore],Int_Sample[Inc])) = 0, "YES", "NO"),"")</f>
        <v/>
      </c>
      <c r="I612" s="32" t="str">
        <f>TEXT(HLG_06[[#This Row],[Batch]],"000")&amp; " / " &amp; TEXT(HLG_06[[#This Row],[Rit]],"000")</f>
        <v>N/A / 000</v>
      </c>
      <c r="J612" s="34"/>
      <c r="K612" s="38"/>
      <c r="L612" s="35"/>
      <c r="M612" s="66"/>
      <c r="N612" s="66"/>
      <c r="O612" s="66"/>
      <c r="P612" s="66"/>
      <c r="Q612" s="66"/>
      <c r="R612" s="67"/>
      <c r="S612" s="67"/>
      <c r="T612" s="67"/>
      <c r="U612" s="66"/>
      <c r="V612" s="66"/>
      <c r="W612" s="66"/>
      <c r="X612" s="85"/>
      <c r="AP612" t="str">
        <v/>
      </c>
    </row>
    <row r="613" spans="4:42" ht="15.75" x14ac:dyDescent="0.25">
      <c r="D613" s="3">
        <v>1</v>
      </c>
      <c r="F613" s="16" t="str" cm="1">
        <f t="array" ref="F6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3" s="31" cm="1">
        <f t="array" ref="G61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3" s="33" t="str">
        <f>_xlfn.IFNA(IF(MOD(HLG_06[[#This Row],[Rit]],
    _xlfn.XLOOKUP($G$2,Int_Sample[Ore],Int_Sample[Inc])) = 0, "YES", "NO"),"")</f>
        <v/>
      </c>
      <c r="I613" s="32" t="str">
        <f>TEXT(HLG_06[[#This Row],[Batch]],"000")&amp; " / " &amp; TEXT(HLG_06[[#This Row],[Rit]],"000")</f>
        <v>N/A / 000</v>
      </c>
      <c r="J613" s="34"/>
      <c r="K613" s="38"/>
      <c r="L613" s="35"/>
      <c r="M613" s="66"/>
      <c r="N613" s="66"/>
      <c r="O613" s="66"/>
      <c r="P613" s="66"/>
      <c r="Q613" s="66"/>
      <c r="R613" s="67"/>
      <c r="S613" s="67"/>
      <c r="T613" s="67"/>
      <c r="U613" s="66"/>
      <c r="V613" s="66"/>
      <c r="W613" s="66"/>
      <c r="X613" s="85"/>
      <c r="AP613" t="str">
        <v/>
      </c>
    </row>
    <row r="614" spans="4:42" ht="15.75" x14ac:dyDescent="0.25">
      <c r="D614" s="3">
        <v>1</v>
      </c>
      <c r="F614" s="16" t="str" cm="1">
        <f t="array" ref="F6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4" s="31" cm="1">
        <f t="array" ref="G61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4" s="33" t="str">
        <f>_xlfn.IFNA(IF(MOD(HLG_06[[#This Row],[Rit]],
    _xlfn.XLOOKUP($G$2,Int_Sample[Ore],Int_Sample[Inc])) = 0, "YES", "NO"),"")</f>
        <v/>
      </c>
      <c r="I614" s="32" t="str">
        <f>TEXT(HLG_06[[#This Row],[Batch]],"000")&amp; " / " &amp; TEXT(HLG_06[[#This Row],[Rit]],"000")</f>
        <v>N/A / 000</v>
      </c>
      <c r="J614" s="34"/>
      <c r="K614" s="38"/>
      <c r="L614" s="35"/>
      <c r="M614" s="66"/>
      <c r="N614" s="66"/>
      <c r="O614" s="66"/>
      <c r="P614" s="66"/>
      <c r="Q614" s="66"/>
      <c r="R614" s="67"/>
      <c r="S614" s="67"/>
      <c r="T614" s="67"/>
      <c r="U614" s="66"/>
      <c r="V614" s="66"/>
      <c r="W614" s="66"/>
      <c r="X614" s="85"/>
      <c r="AP614" t="str">
        <v/>
      </c>
    </row>
    <row r="615" spans="4:42" ht="15.75" x14ac:dyDescent="0.25">
      <c r="D615" s="3">
        <v>1</v>
      </c>
      <c r="F615" s="16" t="str" cm="1">
        <f t="array" ref="F6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5" s="31" cm="1">
        <f t="array" ref="G61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5" s="33" t="str">
        <f>_xlfn.IFNA(IF(MOD(HLG_06[[#This Row],[Rit]],
    _xlfn.XLOOKUP($G$2,Int_Sample[Ore],Int_Sample[Inc])) = 0, "YES", "NO"),"")</f>
        <v/>
      </c>
      <c r="I615" s="32" t="str">
        <f>TEXT(HLG_06[[#This Row],[Batch]],"000")&amp; " / " &amp; TEXT(HLG_06[[#This Row],[Rit]],"000")</f>
        <v>N/A / 000</v>
      </c>
      <c r="J615" s="34"/>
      <c r="K615" s="38"/>
      <c r="L615" s="35"/>
      <c r="M615" s="66"/>
      <c r="N615" s="66"/>
      <c r="O615" s="66"/>
      <c r="P615" s="66"/>
      <c r="Q615" s="66"/>
      <c r="R615" s="67"/>
      <c r="S615" s="67"/>
      <c r="T615" s="67"/>
      <c r="U615" s="66"/>
      <c r="V615" s="66"/>
      <c r="W615" s="66"/>
      <c r="X615" s="85"/>
      <c r="AP615" t="str">
        <v/>
      </c>
    </row>
    <row r="616" spans="4:42" ht="15.75" x14ac:dyDescent="0.25">
      <c r="D616" s="3">
        <v>1</v>
      </c>
      <c r="F616" s="16" t="str" cm="1">
        <f t="array" ref="F6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6" s="31" cm="1">
        <f t="array" ref="G61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6" s="33" t="str">
        <f>_xlfn.IFNA(IF(MOD(HLG_06[[#This Row],[Rit]],
    _xlfn.XLOOKUP($G$2,Int_Sample[Ore],Int_Sample[Inc])) = 0, "YES", "NO"),"")</f>
        <v/>
      </c>
      <c r="I616" s="32" t="str">
        <f>TEXT(HLG_06[[#This Row],[Batch]],"000")&amp; " / " &amp; TEXT(HLG_06[[#This Row],[Rit]],"000")</f>
        <v>N/A / 000</v>
      </c>
      <c r="J616" s="34"/>
      <c r="K616" s="38"/>
      <c r="L616" s="35"/>
      <c r="M616" s="66"/>
      <c r="N616" s="66"/>
      <c r="O616" s="66"/>
      <c r="P616" s="66"/>
      <c r="Q616" s="66"/>
      <c r="R616" s="67"/>
      <c r="S616" s="67"/>
      <c r="T616" s="67"/>
      <c r="U616" s="66"/>
      <c r="V616" s="66"/>
      <c r="W616" s="66"/>
      <c r="X616" s="85"/>
      <c r="AP616" t="str">
        <v/>
      </c>
    </row>
    <row r="617" spans="4:42" ht="15.75" x14ac:dyDescent="0.25">
      <c r="D617" s="3">
        <v>1</v>
      </c>
      <c r="F617" s="16" t="str" cm="1">
        <f t="array" ref="F6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7" s="31" cm="1">
        <f t="array" ref="G61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7" s="33" t="str">
        <f>_xlfn.IFNA(IF(MOD(HLG_06[[#This Row],[Rit]],
    _xlfn.XLOOKUP($G$2,Int_Sample[Ore],Int_Sample[Inc])) = 0, "YES", "NO"),"")</f>
        <v/>
      </c>
      <c r="I617" s="32" t="str">
        <f>TEXT(HLG_06[[#This Row],[Batch]],"000")&amp; " / " &amp; TEXT(HLG_06[[#This Row],[Rit]],"000")</f>
        <v>N/A / 000</v>
      </c>
      <c r="J617" s="34"/>
      <c r="K617" s="38"/>
      <c r="L617" s="35"/>
      <c r="M617" s="66"/>
      <c r="N617" s="66"/>
      <c r="O617" s="66"/>
      <c r="P617" s="66"/>
      <c r="Q617" s="66"/>
      <c r="R617" s="67"/>
      <c r="S617" s="67"/>
      <c r="T617" s="67"/>
      <c r="U617" s="66"/>
      <c r="V617" s="66"/>
      <c r="W617" s="66"/>
      <c r="X617" s="85"/>
      <c r="AP617" t="str">
        <v/>
      </c>
    </row>
    <row r="618" spans="4:42" ht="15.75" x14ac:dyDescent="0.25">
      <c r="D618" s="3">
        <v>1</v>
      </c>
      <c r="F618" s="16" t="str" cm="1">
        <f t="array" ref="F6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8" s="31" cm="1">
        <f t="array" ref="G61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8" s="33" t="str">
        <f>_xlfn.IFNA(IF(MOD(HLG_06[[#This Row],[Rit]],
    _xlfn.XLOOKUP($G$2,Int_Sample[Ore],Int_Sample[Inc])) = 0, "YES", "NO"),"")</f>
        <v/>
      </c>
      <c r="I618" s="32" t="str">
        <f>TEXT(HLG_06[[#This Row],[Batch]],"000")&amp; " / " &amp; TEXT(HLG_06[[#This Row],[Rit]],"000")</f>
        <v>N/A / 000</v>
      </c>
      <c r="J618" s="34"/>
      <c r="K618" s="38"/>
      <c r="L618" s="35"/>
      <c r="M618" s="66"/>
      <c r="N618" s="66"/>
      <c r="O618" s="66"/>
      <c r="P618" s="66"/>
      <c r="Q618" s="66"/>
      <c r="R618" s="67"/>
      <c r="S618" s="67"/>
      <c r="T618" s="67"/>
      <c r="U618" s="66"/>
      <c r="V618" s="66"/>
      <c r="W618" s="66"/>
      <c r="X618" s="85"/>
      <c r="AP618" t="str">
        <v/>
      </c>
    </row>
    <row r="619" spans="4:42" ht="15.75" x14ac:dyDescent="0.25">
      <c r="D619" s="3">
        <v>1</v>
      </c>
      <c r="F619" s="16" t="str" cm="1">
        <f t="array" ref="F6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19" s="31" cm="1">
        <f t="array" ref="G61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19" s="33" t="str">
        <f>_xlfn.IFNA(IF(MOD(HLG_06[[#This Row],[Rit]],
    _xlfn.XLOOKUP($G$2,Int_Sample[Ore],Int_Sample[Inc])) = 0, "YES", "NO"),"")</f>
        <v/>
      </c>
      <c r="I619" s="32" t="str">
        <f>TEXT(HLG_06[[#This Row],[Batch]],"000")&amp; " / " &amp; TEXT(HLG_06[[#This Row],[Rit]],"000")</f>
        <v>N/A / 000</v>
      </c>
      <c r="J619" s="34"/>
      <c r="K619" s="38"/>
      <c r="L619" s="35"/>
      <c r="M619" s="66"/>
      <c r="N619" s="66"/>
      <c r="O619" s="66"/>
      <c r="P619" s="66"/>
      <c r="Q619" s="66"/>
      <c r="R619" s="67"/>
      <c r="S619" s="67"/>
      <c r="T619" s="67"/>
      <c r="U619" s="66"/>
      <c r="V619" s="66"/>
      <c r="W619" s="66"/>
      <c r="X619" s="85"/>
      <c r="AP619" t="str">
        <v/>
      </c>
    </row>
    <row r="620" spans="4:42" ht="15.75" x14ac:dyDescent="0.25">
      <c r="D620" s="3">
        <v>1</v>
      </c>
      <c r="F620" s="16" t="str" cm="1">
        <f t="array" ref="F6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0" s="31" cm="1">
        <f t="array" ref="G62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0" s="33" t="str">
        <f>_xlfn.IFNA(IF(MOD(HLG_06[[#This Row],[Rit]],
    _xlfn.XLOOKUP($G$2,Int_Sample[Ore],Int_Sample[Inc])) = 0, "YES", "NO"),"")</f>
        <v/>
      </c>
      <c r="I620" s="32" t="str">
        <f>TEXT(HLG_06[[#This Row],[Batch]],"000")&amp; " / " &amp; TEXT(HLG_06[[#This Row],[Rit]],"000")</f>
        <v>N/A / 000</v>
      </c>
      <c r="J620" s="34"/>
      <c r="K620" s="38"/>
      <c r="L620" s="35"/>
      <c r="M620" s="66"/>
      <c r="N620" s="66"/>
      <c r="O620" s="66"/>
      <c r="P620" s="66"/>
      <c r="Q620" s="66"/>
      <c r="R620" s="67"/>
      <c r="S620" s="67"/>
      <c r="T620" s="67"/>
      <c r="U620" s="66"/>
      <c r="V620" s="66"/>
      <c r="W620" s="66"/>
      <c r="X620" s="85"/>
      <c r="AP620" t="str">
        <v/>
      </c>
    </row>
    <row r="621" spans="4:42" ht="15.75" x14ac:dyDescent="0.25">
      <c r="D621" s="3">
        <v>1</v>
      </c>
      <c r="F621" s="16" t="str" cm="1">
        <f t="array" ref="F6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1" s="31" cm="1">
        <f t="array" ref="G62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1" s="33" t="str">
        <f>_xlfn.IFNA(IF(MOD(HLG_06[[#This Row],[Rit]],
    _xlfn.XLOOKUP($G$2,Int_Sample[Ore],Int_Sample[Inc])) = 0, "YES", "NO"),"")</f>
        <v/>
      </c>
      <c r="I621" s="32" t="str">
        <f>TEXT(HLG_06[[#This Row],[Batch]],"000")&amp; " / " &amp; TEXT(HLG_06[[#This Row],[Rit]],"000")</f>
        <v>N/A / 000</v>
      </c>
      <c r="J621" s="34"/>
      <c r="K621" s="38"/>
      <c r="L621" s="35"/>
      <c r="M621" s="66"/>
      <c r="N621" s="66"/>
      <c r="O621" s="66"/>
      <c r="P621" s="66"/>
      <c r="Q621" s="66"/>
      <c r="R621" s="67"/>
      <c r="S621" s="67"/>
      <c r="T621" s="67"/>
      <c r="U621" s="66"/>
      <c r="V621" s="66"/>
      <c r="W621" s="66"/>
      <c r="X621" s="85"/>
      <c r="AP621" t="str">
        <v/>
      </c>
    </row>
    <row r="622" spans="4:42" ht="15.75" x14ac:dyDescent="0.25">
      <c r="D622" s="3">
        <v>1</v>
      </c>
      <c r="F622" s="16" t="str" cm="1">
        <f t="array" ref="F6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2" s="31" cm="1">
        <f t="array" ref="G62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2" s="33" t="str">
        <f>_xlfn.IFNA(IF(MOD(HLG_06[[#This Row],[Rit]],
    _xlfn.XLOOKUP($G$2,Int_Sample[Ore],Int_Sample[Inc])) = 0, "YES", "NO"),"")</f>
        <v/>
      </c>
      <c r="I622" s="32" t="str">
        <f>TEXT(HLG_06[[#This Row],[Batch]],"000")&amp; " / " &amp; TEXT(HLG_06[[#This Row],[Rit]],"000")</f>
        <v>N/A / 000</v>
      </c>
      <c r="J622" s="34"/>
      <c r="K622" s="38"/>
      <c r="L622" s="35"/>
      <c r="M622" s="66"/>
      <c r="N622" s="66"/>
      <c r="O622" s="66"/>
      <c r="P622" s="66"/>
      <c r="Q622" s="66"/>
      <c r="R622" s="67"/>
      <c r="S622" s="67"/>
      <c r="T622" s="67"/>
      <c r="U622" s="66"/>
      <c r="V622" s="66"/>
      <c r="W622" s="66"/>
      <c r="X622" s="85"/>
      <c r="AP622" t="str">
        <v/>
      </c>
    </row>
    <row r="623" spans="4:42" ht="15.75" x14ac:dyDescent="0.25">
      <c r="D623" s="3">
        <v>1</v>
      </c>
      <c r="F623" s="16" t="str" cm="1">
        <f t="array" ref="F6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3" s="31" cm="1">
        <f t="array" ref="G62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3" s="33" t="str">
        <f>_xlfn.IFNA(IF(MOD(HLG_06[[#This Row],[Rit]],
    _xlfn.XLOOKUP($G$2,Int_Sample[Ore],Int_Sample[Inc])) = 0, "YES", "NO"),"")</f>
        <v/>
      </c>
      <c r="I623" s="32" t="str">
        <f>TEXT(HLG_06[[#This Row],[Batch]],"000")&amp; " / " &amp; TEXT(HLG_06[[#This Row],[Rit]],"000")</f>
        <v>N/A / 000</v>
      </c>
      <c r="J623" s="34"/>
      <c r="K623" s="38"/>
      <c r="L623" s="35"/>
      <c r="M623" s="66"/>
      <c r="N623" s="66"/>
      <c r="O623" s="66"/>
      <c r="P623" s="66"/>
      <c r="Q623" s="66"/>
      <c r="R623" s="67"/>
      <c r="S623" s="67"/>
      <c r="T623" s="67"/>
      <c r="U623" s="66"/>
      <c r="V623" s="66"/>
      <c r="W623" s="66"/>
      <c r="X623" s="85"/>
      <c r="AP623" t="str">
        <v/>
      </c>
    </row>
    <row r="624" spans="4:42" ht="15.75" x14ac:dyDescent="0.25">
      <c r="D624" s="3">
        <v>1</v>
      </c>
      <c r="F624" s="16" t="str" cm="1">
        <f t="array" ref="F6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4" s="31" cm="1">
        <f t="array" ref="G62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4" s="33" t="str">
        <f>_xlfn.IFNA(IF(MOD(HLG_06[[#This Row],[Rit]],
    _xlfn.XLOOKUP($G$2,Int_Sample[Ore],Int_Sample[Inc])) = 0, "YES", "NO"),"")</f>
        <v/>
      </c>
      <c r="I624" s="32" t="str">
        <f>TEXT(HLG_06[[#This Row],[Batch]],"000")&amp; " / " &amp; TEXT(HLG_06[[#This Row],[Rit]],"000")</f>
        <v>N/A / 000</v>
      </c>
      <c r="J624" s="34"/>
      <c r="K624" s="38"/>
      <c r="L624" s="35"/>
      <c r="M624" s="66"/>
      <c r="N624" s="66"/>
      <c r="O624" s="66"/>
      <c r="P624" s="66"/>
      <c r="Q624" s="66"/>
      <c r="R624" s="67"/>
      <c r="S624" s="67"/>
      <c r="T624" s="67"/>
      <c r="U624" s="66"/>
      <c r="V624" s="66"/>
      <c r="W624" s="66"/>
      <c r="X624" s="85"/>
      <c r="AP624" t="str">
        <v/>
      </c>
    </row>
    <row r="625" spans="4:42" ht="15.75" x14ac:dyDescent="0.25">
      <c r="D625" s="3">
        <v>1</v>
      </c>
      <c r="F625" s="16" t="str" cm="1">
        <f t="array" ref="F6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5" s="31" cm="1">
        <f t="array" ref="G62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5" s="33" t="str">
        <f>_xlfn.IFNA(IF(MOD(HLG_06[[#This Row],[Rit]],
    _xlfn.XLOOKUP($G$2,Int_Sample[Ore],Int_Sample[Inc])) = 0, "YES", "NO"),"")</f>
        <v/>
      </c>
      <c r="I625" s="32" t="str">
        <f>TEXT(HLG_06[[#This Row],[Batch]],"000")&amp; " / " &amp; TEXT(HLG_06[[#This Row],[Rit]],"000")</f>
        <v>N/A / 000</v>
      </c>
      <c r="J625" s="34"/>
      <c r="K625" s="38"/>
      <c r="L625" s="35"/>
      <c r="M625" s="66"/>
      <c r="N625" s="66"/>
      <c r="O625" s="66"/>
      <c r="P625" s="66"/>
      <c r="Q625" s="66"/>
      <c r="R625" s="67"/>
      <c r="S625" s="67"/>
      <c r="T625" s="67"/>
      <c r="U625" s="66"/>
      <c r="V625" s="66"/>
      <c r="W625" s="66"/>
      <c r="X625" s="85"/>
      <c r="AP625" t="str">
        <v/>
      </c>
    </row>
    <row r="626" spans="4:42" ht="15.75" x14ac:dyDescent="0.25">
      <c r="D626" s="3">
        <v>1</v>
      </c>
      <c r="F626" s="16" t="str" cm="1">
        <f t="array" ref="F6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6" s="31" cm="1">
        <f t="array" ref="G62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6" s="33" t="str">
        <f>_xlfn.IFNA(IF(MOD(HLG_06[[#This Row],[Rit]],
    _xlfn.XLOOKUP($G$2,Int_Sample[Ore],Int_Sample[Inc])) = 0, "YES", "NO"),"")</f>
        <v/>
      </c>
      <c r="I626" s="32" t="str">
        <f>TEXT(HLG_06[[#This Row],[Batch]],"000")&amp; " / " &amp; TEXT(HLG_06[[#This Row],[Rit]],"000")</f>
        <v>N/A / 000</v>
      </c>
      <c r="J626" s="34"/>
      <c r="K626" s="38"/>
      <c r="L626" s="35"/>
      <c r="M626" s="66"/>
      <c r="N626" s="66"/>
      <c r="O626" s="66"/>
      <c r="P626" s="66"/>
      <c r="Q626" s="66"/>
      <c r="R626" s="67"/>
      <c r="S626" s="67"/>
      <c r="T626" s="67"/>
      <c r="U626" s="66"/>
      <c r="V626" s="66"/>
      <c r="W626" s="66"/>
      <c r="X626" s="85"/>
      <c r="AP626" t="str">
        <v/>
      </c>
    </row>
    <row r="627" spans="4:42" ht="15.75" x14ac:dyDescent="0.25">
      <c r="D627" s="3">
        <v>1</v>
      </c>
      <c r="F627" s="16" t="str" cm="1">
        <f t="array" ref="F6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7" s="31" cm="1">
        <f t="array" ref="G62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7" s="33" t="str">
        <f>_xlfn.IFNA(IF(MOD(HLG_06[[#This Row],[Rit]],
    _xlfn.XLOOKUP($G$2,Int_Sample[Ore],Int_Sample[Inc])) = 0, "YES", "NO"),"")</f>
        <v/>
      </c>
      <c r="I627" s="32" t="str">
        <f>TEXT(HLG_06[[#This Row],[Batch]],"000")&amp; " / " &amp; TEXT(HLG_06[[#This Row],[Rit]],"000")</f>
        <v>N/A / 000</v>
      </c>
      <c r="J627" s="34"/>
      <c r="K627" s="38"/>
      <c r="L627" s="35"/>
      <c r="M627" s="66"/>
      <c r="N627" s="66"/>
      <c r="O627" s="66"/>
      <c r="P627" s="66"/>
      <c r="Q627" s="66"/>
      <c r="R627" s="67"/>
      <c r="S627" s="67"/>
      <c r="T627" s="67"/>
      <c r="U627" s="66"/>
      <c r="V627" s="66"/>
      <c r="W627" s="66"/>
      <c r="X627" s="85"/>
      <c r="AP627" t="str">
        <v/>
      </c>
    </row>
    <row r="628" spans="4:42" ht="15.75" x14ac:dyDescent="0.25">
      <c r="D628" s="3">
        <v>1</v>
      </c>
      <c r="F628" s="16" t="str" cm="1">
        <f t="array" ref="F6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8" s="31" cm="1">
        <f t="array" ref="G62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8" s="33" t="str">
        <f>_xlfn.IFNA(IF(MOD(HLG_06[[#This Row],[Rit]],
    _xlfn.XLOOKUP($G$2,Int_Sample[Ore],Int_Sample[Inc])) = 0, "YES", "NO"),"")</f>
        <v/>
      </c>
      <c r="I628" s="32" t="str">
        <f>TEXT(HLG_06[[#This Row],[Batch]],"000")&amp; " / " &amp; TEXT(HLG_06[[#This Row],[Rit]],"000")</f>
        <v>N/A / 000</v>
      </c>
      <c r="J628" s="34"/>
      <c r="K628" s="38"/>
      <c r="L628" s="35"/>
      <c r="M628" s="66"/>
      <c r="N628" s="66"/>
      <c r="O628" s="66"/>
      <c r="P628" s="66"/>
      <c r="Q628" s="66"/>
      <c r="R628" s="67"/>
      <c r="S628" s="67"/>
      <c r="T628" s="67"/>
      <c r="U628" s="66"/>
      <c r="V628" s="66"/>
      <c r="W628" s="66"/>
      <c r="X628" s="85"/>
      <c r="AP628" t="str">
        <v/>
      </c>
    </row>
    <row r="629" spans="4:42" ht="15.75" x14ac:dyDescent="0.25">
      <c r="D629" s="3">
        <v>1</v>
      </c>
      <c r="F629" s="16" t="str" cm="1">
        <f t="array" ref="F6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29" s="31" cm="1">
        <f t="array" ref="G629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29" s="33" t="str">
        <f>_xlfn.IFNA(IF(MOD(HLG_06[[#This Row],[Rit]],
    _xlfn.XLOOKUP($G$2,Int_Sample[Ore],Int_Sample[Inc])) = 0, "YES", "NO"),"")</f>
        <v/>
      </c>
      <c r="I629" s="32" t="str">
        <f>TEXT(HLG_06[[#This Row],[Batch]],"000")&amp; " / " &amp; TEXT(HLG_06[[#This Row],[Rit]],"000")</f>
        <v>N/A / 000</v>
      </c>
      <c r="J629" s="34"/>
      <c r="K629" s="38"/>
      <c r="L629" s="35"/>
      <c r="M629" s="66"/>
      <c r="N629" s="66"/>
      <c r="O629" s="66"/>
      <c r="P629" s="66"/>
      <c r="Q629" s="66"/>
      <c r="R629" s="67"/>
      <c r="S629" s="67"/>
      <c r="T629" s="67"/>
      <c r="U629" s="66"/>
      <c r="V629" s="66"/>
      <c r="W629" s="66"/>
      <c r="X629" s="85"/>
      <c r="AP629" t="str">
        <v/>
      </c>
    </row>
    <row r="630" spans="4:42" ht="15.75" x14ac:dyDescent="0.25">
      <c r="D630" s="3">
        <v>1</v>
      </c>
      <c r="F630" s="16" t="str" cm="1">
        <f t="array" ref="F6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0" s="31" cm="1">
        <f t="array" ref="G630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0" s="33" t="str">
        <f>_xlfn.IFNA(IF(MOD(HLG_06[[#This Row],[Rit]],
    _xlfn.XLOOKUP($G$2,Int_Sample[Ore],Int_Sample[Inc])) = 0, "YES", "NO"),"")</f>
        <v/>
      </c>
      <c r="I630" s="32" t="str">
        <f>TEXT(HLG_06[[#This Row],[Batch]],"000")&amp; " / " &amp; TEXT(HLG_06[[#This Row],[Rit]],"000")</f>
        <v>N/A / 000</v>
      </c>
      <c r="J630" s="34"/>
      <c r="K630" s="38"/>
      <c r="L630" s="35"/>
      <c r="M630" s="66"/>
      <c r="N630" s="66"/>
      <c r="O630" s="66"/>
      <c r="P630" s="66"/>
      <c r="Q630" s="66"/>
      <c r="R630" s="67"/>
      <c r="S630" s="67"/>
      <c r="T630" s="67"/>
      <c r="U630" s="66"/>
      <c r="V630" s="66"/>
      <c r="W630" s="66"/>
      <c r="X630" s="85"/>
      <c r="AP630" t="str">
        <v/>
      </c>
    </row>
    <row r="631" spans="4:42" ht="15.75" x14ac:dyDescent="0.25">
      <c r="D631" s="3">
        <v>1</v>
      </c>
      <c r="F631" s="16" t="str" cm="1">
        <f t="array" ref="F6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1" s="31" cm="1">
        <f t="array" ref="G631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1" s="33" t="str">
        <f>_xlfn.IFNA(IF(MOD(HLG_06[[#This Row],[Rit]],
    _xlfn.XLOOKUP($G$2,Int_Sample[Ore],Int_Sample[Inc])) = 0, "YES", "NO"),"")</f>
        <v/>
      </c>
      <c r="I631" s="32" t="str">
        <f>TEXT(HLG_06[[#This Row],[Batch]],"000")&amp; " / " &amp; TEXT(HLG_06[[#This Row],[Rit]],"000")</f>
        <v>N/A / 000</v>
      </c>
      <c r="J631" s="34"/>
      <c r="K631" s="38"/>
      <c r="L631" s="35"/>
      <c r="M631" s="66"/>
      <c r="N631" s="66"/>
      <c r="O631" s="66"/>
      <c r="P631" s="66"/>
      <c r="Q631" s="66"/>
      <c r="R631" s="67"/>
      <c r="S631" s="67"/>
      <c r="T631" s="67"/>
      <c r="U631" s="66"/>
      <c r="V631" s="66"/>
      <c r="W631" s="66"/>
      <c r="X631" s="85"/>
      <c r="AP631" t="str">
        <v/>
      </c>
    </row>
    <row r="632" spans="4:42" ht="15.75" x14ac:dyDescent="0.25">
      <c r="D632" s="3">
        <v>1</v>
      </c>
      <c r="F632" s="16" t="str" cm="1">
        <f t="array" ref="F6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2" s="31" cm="1">
        <f t="array" ref="G632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2" s="33" t="str">
        <f>_xlfn.IFNA(IF(MOD(HLG_06[[#This Row],[Rit]],
    _xlfn.XLOOKUP($G$2,Int_Sample[Ore],Int_Sample[Inc])) = 0, "YES", "NO"),"")</f>
        <v/>
      </c>
      <c r="I632" s="32" t="str">
        <f>TEXT(HLG_06[[#This Row],[Batch]],"000")&amp; " / " &amp; TEXT(HLG_06[[#This Row],[Rit]],"000")</f>
        <v>N/A / 000</v>
      </c>
      <c r="J632" s="34"/>
      <c r="K632" s="38"/>
      <c r="L632" s="35"/>
      <c r="M632" s="66"/>
      <c r="N632" s="66"/>
      <c r="O632" s="66"/>
      <c r="P632" s="66"/>
      <c r="Q632" s="66"/>
      <c r="R632" s="67"/>
      <c r="S632" s="67"/>
      <c r="T632" s="67"/>
      <c r="U632" s="66"/>
      <c r="V632" s="66"/>
      <c r="W632" s="66"/>
      <c r="X632" s="85"/>
      <c r="AP632" t="str">
        <v/>
      </c>
    </row>
    <row r="633" spans="4:42" ht="15.75" x14ac:dyDescent="0.25">
      <c r="D633" s="3">
        <v>1</v>
      </c>
      <c r="F633" s="16" t="str" cm="1">
        <f t="array" ref="F6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3" s="31" cm="1">
        <f t="array" ref="G633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3" s="33" t="str">
        <f>_xlfn.IFNA(IF(MOD(HLG_06[[#This Row],[Rit]],
    _xlfn.XLOOKUP($G$2,Int_Sample[Ore],Int_Sample[Inc])) = 0, "YES", "NO"),"")</f>
        <v/>
      </c>
      <c r="I633" s="32" t="str">
        <f>TEXT(HLG_06[[#This Row],[Batch]],"000")&amp; " / " &amp; TEXT(HLG_06[[#This Row],[Rit]],"000")</f>
        <v>N/A / 000</v>
      </c>
      <c r="J633" s="34"/>
      <c r="K633" s="38"/>
      <c r="L633" s="35"/>
      <c r="M633" s="66"/>
      <c r="N633" s="66"/>
      <c r="O633" s="66"/>
      <c r="P633" s="66"/>
      <c r="Q633" s="66"/>
      <c r="R633" s="67"/>
      <c r="S633" s="67"/>
      <c r="T633" s="67"/>
      <c r="U633" s="66"/>
      <c r="V633" s="66"/>
      <c r="W633" s="66"/>
      <c r="X633" s="85"/>
      <c r="AP633" t="str">
        <v/>
      </c>
    </row>
    <row r="634" spans="4:42" ht="15.75" x14ac:dyDescent="0.25">
      <c r="D634" s="3">
        <v>1</v>
      </c>
      <c r="F634" s="16" t="str" cm="1">
        <f t="array" ref="F6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4" s="31" cm="1">
        <f t="array" ref="G634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4" s="33" t="str">
        <f>_xlfn.IFNA(IF(MOD(HLG_06[[#This Row],[Rit]],
    _xlfn.XLOOKUP($G$2,Int_Sample[Ore],Int_Sample[Inc])) = 0, "YES", "NO"),"")</f>
        <v/>
      </c>
      <c r="I634" s="32" t="str">
        <f>TEXT(HLG_06[[#This Row],[Batch]],"000")&amp; " / " &amp; TEXT(HLG_06[[#This Row],[Rit]],"000")</f>
        <v>N/A / 000</v>
      </c>
      <c r="J634" s="34"/>
      <c r="K634" s="38"/>
      <c r="L634" s="35"/>
      <c r="M634" s="66"/>
      <c r="N634" s="66"/>
      <c r="O634" s="66"/>
      <c r="P634" s="66"/>
      <c r="Q634" s="66"/>
      <c r="R634" s="67"/>
      <c r="S634" s="67"/>
      <c r="T634" s="67"/>
      <c r="U634" s="66"/>
      <c r="V634" s="66"/>
      <c r="W634" s="66"/>
      <c r="X634" s="85"/>
      <c r="AP634" t="str">
        <v/>
      </c>
    </row>
    <row r="635" spans="4:42" ht="15.75" x14ac:dyDescent="0.25">
      <c r="D635" s="3">
        <v>1</v>
      </c>
      <c r="F635" s="16" t="str" cm="1">
        <f t="array" ref="F6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5" s="31" cm="1">
        <f t="array" ref="G635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5" s="33" t="str">
        <f>_xlfn.IFNA(IF(MOD(HLG_06[[#This Row],[Rit]],
    _xlfn.XLOOKUP($G$2,Int_Sample[Ore],Int_Sample[Inc])) = 0, "YES", "NO"),"")</f>
        <v/>
      </c>
      <c r="I635" s="32" t="str">
        <f>TEXT(HLG_06[[#This Row],[Batch]],"000")&amp; " / " &amp; TEXT(HLG_06[[#This Row],[Rit]],"000")</f>
        <v>N/A / 000</v>
      </c>
      <c r="J635" s="34"/>
      <c r="K635" s="38"/>
      <c r="L635" s="35"/>
      <c r="M635" s="66"/>
      <c r="N635" s="66"/>
      <c r="O635" s="66"/>
      <c r="P635" s="66"/>
      <c r="Q635" s="66"/>
      <c r="R635" s="67"/>
      <c r="S635" s="67"/>
      <c r="T635" s="67"/>
      <c r="U635" s="66"/>
      <c r="V635" s="66"/>
      <c r="W635" s="66"/>
      <c r="X635" s="85"/>
      <c r="AP635" t="str">
        <v/>
      </c>
    </row>
    <row r="636" spans="4:42" ht="15.75" x14ac:dyDescent="0.25">
      <c r="D636" s="3">
        <v>1</v>
      </c>
      <c r="F636" s="16" t="str" cm="1">
        <f t="array" ref="F6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6" s="31" cm="1">
        <f t="array" ref="G636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6" s="33" t="str">
        <f>_xlfn.IFNA(IF(MOD(HLG_06[[#This Row],[Rit]],
    _xlfn.XLOOKUP($G$2,Int_Sample[Ore],Int_Sample[Inc])) = 0, "YES", "NO"),"")</f>
        <v/>
      </c>
      <c r="I636" s="32" t="str">
        <f>TEXT(HLG_06[[#This Row],[Batch]],"000")&amp; " / " &amp; TEXT(HLG_06[[#This Row],[Rit]],"000")</f>
        <v>N/A / 000</v>
      </c>
      <c r="J636" s="34"/>
      <c r="K636" s="38"/>
      <c r="L636" s="35"/>
      <c r="M636" s="66"/>
      <c r="N636" s="66"/>
      <c r="O636" s="66"/>
      <c r="P636" s="66"/>
      <c r="Q636" s="66"/>
      <c r="R636" s="67"/>
      <c r="S636" s="67"/>
      <c r="T636" s="67"/>
      <c r="U636" s="66"/>
      <c r="V636" s="66"/>
      <c r="W636" s="66"/>
      <c r="X636" s="85"/>
      <c r="AN636" s="3"/>
      <c r="AO636" s="3"/>
      <c r="AP636" t="str">
        <v/>
      </c>
    </row>
    <row r="637" spans="4:42" ht="15.75" x14ac:dyDescent="0.25">
      <c r="D637" s="3">
        <v>1</v>
      </c>
      <c r="F637" s="16" t="str" cm="1">
        <f t="array" ref="F6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7" s="31" cm="1">
        <f t="array" ref="G637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7" s="33" t="str">
        <f>_xlfn.IFNA(IF(MOD(HLG_06[[#This Row],[Rit]],
    _xlfn.XLOOKUP($G$2,Int_Sample[Ore],Int_Sample[Inc])) = 0, "YES", "NO"),"")</f>
        <v/>
      </c>
      <c r="I637" s="32" t="str">
        <f>TEXT(HLG_06[[#This Row],[Batch]],"000")&amp; " / " &amp; TEXT(HLG_06[[#This Row],[Rit]],"000")</f>
        <v>N/A / 000</v>
      </c>
      <c r="J637" s="34"/>
      <c r="K637" s="38"/>
      <c r="L637" s="35"/>
      <c r="M637" s="66"/>
      <c r="N637" s="66"/>
      <c r="O637" s="66"/>
      <c r="P637" s="66"/>
      <c r="Q637" s="66"/>
      <c r="R637" s="67"/>
      <c r="S637" s="67"/>
      <c r="T637" s="67"/>
      <c r="U637" s="66"/>
      <c r="V637" s="66"/>
      <c r="W637" s="66"/>
      <c r="X637" s="85"/>
      <c r="AN637" s="3"/>
      <c r="AO637" s="3"/>
      <c r="AP637" t="str">
        <v/>
      </c>
    </row>
    <row r="638" spans="4:42" ht="15.75" x14ac:dyDescent="0.25">
      <c r="D638" s="3">
        <v>1</v>
      </c>
      <c r="F638" s="16" t="str" cm="1">
        <f t="array" ref="F6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_xlpm.B, _xlfn.CHOOSECOLS(_xlpm.DataSumber, 1),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"N/A",
        IF(_xlpm.Br &lt;= _xlpm.TotalKuota,
            _xlfn.LET(
                _xlpm.Idx, MATCH(_xlpm.Br - 0.5, _xlpm.Limit, 1) + 1,
                _xlpm.Line, IF(_xlpm.Br &lt;= INDEX(_xlpm.Limit, 1), 1, _xlpm.Idx),
                INDEX(_xlpm.B, _xlpm.Line)
            ),
            _xlfn.LET(
                _xlpm.BatchTerakhir, INDEX(_xlpm.B, ROWS(_xlpm.B)),
                _xlpm.SisaBarisOver, _xlpm.Br - _xlpm.TotalKuota,
                _xlpm.TambahanBatch, INT((_xlpm.SisaBarisOver - 1) / _xlpm.Batch) + 1,
                _xlpm.BatchTerakhir + _xlpm.TambahanBatch
            )
        )
    )
)</f>
        <v>N/A</v>
      </c>
      <c r="G638" s="31" cm="1">
        <f t="array" ref="G638">_xlfn.LET(
    _xlpm.DataSumber, _xlfn._xlws.SORT(_xlfn.UNIQUE(_xlfn._xlws.FILTER(Sample_Pending[[Batch]:[Rit]], (Sample_Pending[Pile_ID]=$I$2)*(Sample_Pending[Rit]&gt;0)*(Sample_Pending[Status]="Cont"), "KOSONG"))),
    _xlpm.Batch, _xlfn.XLOOKUP($G$2,Int_Sample[Ore],Int_Sample[Batch]),
    _xlpm.NilaiSebelumnya, _xlfn.CHOOSECOLS(_xlpm.DataSumber, 2),
    _xlpm.Rit, _xlpm.Batch - _xlpm.NilaiSebelumnya,
    _xlpm.Limit, _xlfn.SCAN(0, _xlpm.Rit, _xlfn.LAMBDA(_xlpm.a,_xlpm.b, _xlpm.a + _xlpm.b)),
    _xlpm.TotalKuota, SUM(_xlpm.Rit),
    _xlpm.Br, ROW(HLG_06[[#This Row],[Truck_ID]]) - ROW(HLG_06[#Headers]),
    IF(INDEX(_xlpm.DataSumber, 1, 1)="KOSONG", 0,
        IF(_xlpm.Br &lt;= _xlpm.TotalKuota,
            _xlfn.LET(
                _xlpm.Idx, MATCH(_xlpm.Br - 0.5, _xlpm.Limit, 1) + 1,
                _xlpm.Line, IF(_xlpm.Br &lt;= INDEX(_xlpm.Limit, 1), 1, _xlpm.Idx),
                _xlpm.Start, IF(_xlpm.Line = 1, 0, INDEX(_xlpm.Limit, _xlpm.Line - 1)),
                INDEX(_xlpm.NilaiSebelumnya, _xlpm.Line) + (_xlpm.Br - _xlpm.Start)
            ),
            _xlfn.LET(
                _xlpm.SisaBarisOver, _xlpm.Br - _xlpm.TotalKuota,
                MOD(_xlpm.SisaBarisOver - 1, _xlpm.Batch) + 1
            )
        )
    )
)</f>
        <v>0</v>
      </c>
      <c r="H638" s="33" t="str">
        <f>_xlfn.IFNA(IF(MOD(HLG_06[[#This Row],[Rit]],
    _xlfn.XLOOKUP($G$2,Int_Sample[Ore],Int_Sample[Inc])) = 0, "YES", "NO"),"")</f>
        <v/>
      </c>
      <c r="I638" s="32" t="str">
        <f>TEXT(HLG_06[[#This Row],[Batch]],"000")&amp; " / " &amp; TEXT(HLG_06[[#This Row],[Rit]],"000")</f>
        <v>N/A / 000</v>
      </c>
      <c r="J638" s="34"/>
      <c r="K638" s="38"/>
      <c r="L638" s="35"/>
      <c r="M638" s="66"/>
      <c r="N638" s="66"/>
      <c r="O638" s="66"/>
      <c r="P638" s="66"/>
      <c r="Q638" s="66"/>
      <c r="R638" s="67"/>
      <c r="S638" s="67"/>
      <c r="T638" s="67"/>
      <c r="U638" s="66"/>
      <c r="V638" s="66"/>
      <c r="W638" s="66"/>
      <c r="X638" s="85"/>
      <c r="AN638" s="3"/>
      <c r="AO638" s="3"/>
      <c r="AP638" t="str">
        <v/>
      </c>
    </row>
    <row r="639" spans="4:42" x14ac:dyDescent="0.25">
      <c r="I639" s="66"/>
      <c r="J639" s="66"/>
      <c r="K639" s="66"/>
      <c r="L639" s="66"/>
      <c r="M639" s="66"/>
      <c r="N639" s="66"/>
      <c r="O639" s="66"/>
      <c r="P639" s="66"/>
      <c r="Q639" s="66"/>
      <c r="R639" s="67"/>
      <c r="S639" s="67"/>
      <c r="T639" s="67"/>
      <c r="U639" s="66"/>
      <c r="V639" s="66"/>
      <c r="W639" s="66"/>
      <c r="X639" s="85"/>
      <c r="AN639" s="3"/>
      <c r="AO639" s="3"/>
    </row>
    <row r="640" spans="4:42" x14ac:dyDescent="0.25">
      <c r="I640" s="66"/>
      <c r="J640" s="66"/>
      <c r="K640" s="66"/>
      <c r="L640" s="66"/>
      <c r="M640" s="66"/>
      <c r="N640" s="66"/>
      <c r="O640" s="66"/>
      <c r="P640" s="66"/>
      <c r="Q640" s="66"/>
      <c r="R640" s="67"/>
      <c r="S640" s="67"/>
      <c r="T640" s="67"/>
      <c r="U640" s="66"/>
      <c r="V640" s="66"/>
      <c r="W640" s="66"/>
      <c r="X640" s="85"/>
      <c r="AN640" s="3"/>
      <c r="AO640" s="3"/>
    </row>
    <row r="641" spans="9:41" x14ac:dyDescent="0.25">
      <c r="I641" s="66"/>
      <c r="J641" s="66"/>
      <c r="K641" s="66"/>
      <c r="L641" s="66"/>
      <c r="M641" s="66"/>
      <c r="N641" s="66"/>
      <c r="O641" s="66"/>
      <c r="P641" s="66"/>
      <c r="Q641" s="66"/>
      <c r="R641" s="67"/>
      <c r="S641" s="67"/>
      <c r="T641" s="67"/>
      <c r="U641" s="66"/>
      <c r="V641" s="66"/>
      <c r="W641" s="66"/>
      <c r="X641" s="85"/>
      <c r="AN641" s="3"/>
      <c r="AO641" s="3"/>
    </row>
    <row r="642" spans="9:41" x14ac:dyDescent="0.25">
      <c r="I642" s="66"/>
      <c r="J642" s="66"/>
      <c r="K642" s="66"/>
      <c r="L642" s="66"/>
      <c r="M642" s="66"/>
      <c r="N642" s="66"/>
      <c r="O642" s="66"/>
      <c r="P642" s="66"/>
      <c r="Q642" s="66"/>
      <c r="R642" s="67"/>
      <c r="S642" s="67"/>
      <c r="T642" s="67"/>
      <c r="U642" s="66"/>
      <c r="V642" s="66"/>
      <c r="W642" s="66"/>
      <c r="X642" s="85"/>
      <c r="AN642" s="3"/>
      <c r="AO642" s="3"/>
    </row>
    <row r="643" spans="9:41" x14ac:dyDescent="0.25">
      <c r="I643" s="66"/>
      <c r="J643" s="66"/>
      <c r="K643" s="66"/>
      <c r="L643" s="66"/>
      <c r="M643" s="66"/>
      <c r="N643" s="66"/>
      <c r="O643" s="66"/>
      <c r="P643" s="66"/>
      <c r="Q643" s="66"/>
      <c r="R643" s="67"/>
      <c r="S643" s="67"/>
      <c r="T643" s="67"/>
      <c r="U643" s="66"/>
      <c r="V643" s="66"/>
      <c r="W643" s="66"/>
      <c r="X643" s="85"/>
      <c r="AN643" s="3"/>
      <c r="AO643" s="3"/>
    </row>
    <row r="644" spans="9:41" x14ac:dyDescent="0.25">
      <c r="I644" s="66"/>
      <c r="J644" s="66"/>
      <c r="K644" s="66"/>
      <c r="L644" s="66"/>
      <c r="M644" s="66"/>
      <c r="N644" s="66"/>
      <c r="O644" s="66"/>
      <c r="P644" s="66"/>
      <c r="Q644" s="66"/>
      <c r="R644" s="67"/>
      <c r="S644" s="67"/>
      <c r="T644" s="67"/>
      <c r="U644" s="66"/>
      <c r="V644" s="66"/>
      <c r="W644" s="66"/>
      <c r="X644" s="85"/>
      <c r="AN644" s="3"/>
      <c r="AO644" s="3"/>
    </row>
    <row r="645" spans="9:41" x14ac:dyDescent="0.25">
      <c r="I645" s="66"/>
      <c r="J645" s="66"/>
      <c r="K645" s="66"/>
      <c r="L645" s="66"/>
      <c r="M645" s="66"/>
      <c r="N645" s="66"/>
      <c r="O645" s="66"/>
      <c r="P645" s="66"/>
      <c r="Q645" s="66"/>
      <c r="R645" s="67"/>
      <c r="S645" s="67"/>
      <c r="T645" s="67"/>
      <c r="U645" s="66"/>
      <c r="V645" s="66"/>
      <c r="W645" s="66"/>
      <c r="X645" s="85"/>
      <c r="AN645" s="3"/>
      <c r="AO645" s="3"/>
    </row>
    <row r="646" spans="9:41" x14ac:dyDescent="0.25">
      <c r="I646" s="66"/>
      <c r="J646" s="66"/>
      <c r="K646" s="66"/>
      <c r="L646" s="66"/>
      <c r="M646" s="66"/>
      <c r="N646" s="66"/>
      <c r="O646" s="66"/>
      <c r="P646" s="66"/>
      <c r="Q646" s="66"/>
      <c r="R646" s="67"/>
      <c r="S646" s="67"/>
      <c r="T646" s="67"/>
      <c r="U646" s="66"/>
      <c r="V646" s="66"/>
      <c r="W646" s="66"/>
      <c r="X646" s="85"/>
      <c r="AN646" s="3"/>
      <c r="AO646" s="3"/>
    </row>
    <row r="647" spans="9:41" x14ac:dyDescent="0.25">
      <c r="I647" s="66"/>
      <c r="J647" s="66"/>
      <c r="K647" s="66"/>
      <c r="L647" s="66"/>
      <c r="M647" s="66"/>
      <c r="N647" s="66"/>
      <c r="O647" s="66"/>
      <c r="P647" s="66"/>
      <c r="Q647" s="66"/>
      <c r="R647" s="67"/>
      <c r="S647" s="67"/>
      <c r="T647" s="67"/>
      <c r="U647" s="66"/>
      <c r="V647" s="66"/>
      <c r="W647" s="66"/>
      <c r="X647" s="85"/>
      <c r="AN647" s="3"/>
      <c r="AO647" s="3"/>
    </row>
    <row r="648" spans="9:41" x14ac:dyDescent="0.25">
      <c r="I648" s="66"/>
      <c r="J648" s="66"/>
      <c r="K648" s="66"/>
      <c r="L648" s="66"/>
      <c r="M648" s="66"/>
      <c r="N648" s="66"/>
      <c r="O648" s="66"/>
      <c r="P648" s="66"/>
      <c r="Q648" s="66"/>
      <c r="R648" s="67"/>
      <c r="S648" s="67"/>
      <c r="T648" s="67"/>
      <c r="U648" s="66"/>
      <c r="V648" s="66"/>
      <c r="W648" s="66"/>
      <c r="X648" s="85"/>
      <c r="AN648" s="3"/>
      <c r="AO648" s="3"/>
    </row>
    <row r="649" spans="9:41" x14ac:dyDescent="0.25">
      <c r="I649" s="66"/>
      <c r="J649" s="66"/>
      <c r="K649" s="66"/>
      <c r="L649" s="66"/>
      <c r="M649" s="66"/>
      <c r="N649" s="66"/>
      <c r="O649" s="66"/>
      <c r="P649" s="66"/>
      <c r="Q649" s="66"/>
      <c r="R649" s="67"/>
      <c r="S649" s="67"/>
      <c r="T649" s="67"/>
      <c r="U649" s="68"/>
      <c r="V649" s="66"/>
      <c r="W649" s="66"/>
      <c r="X649" s="85"/>
      <c r="AN649" s="3"/>
      <c r="AO649" s="3"/>
    </row>
    <row r="650" spans="9:41" x14ac:dyDescent="0.25">
      <c r="I650" s="66"/>
      <c r="J650" s="66"/>
      <c r="K650" s="66"/>
      <c r="L650" s="66"/>
      <c r="M650" s="66"/>
      <c r="N650" s="66"/>
      <c r="O650" s="66"/>
      <c r="P650" s="66"/>
      <c r="Q650" s="66"/>
      <c r="R650" s="67"/>
      <c r="S650" s="67"/>
      <c r="T650" s="67"/>
      <c r="U650" s="68"/>
      <c r="V650" s="66"/>
      <c r="W650" s="66"/>
      <c r="X650" s="85"/>
      <c r="AN650" s="3"/>
      <c r="AO650" s="3"/>
    </row>
    <row r="651" spans="9:41" x14ac:dyDescent="0.25">
      <c r="I651" s="66"/>
      <c r="J651" s="66"/>
      <c r="K651" s="66"/>
      <c r="L651" s="66"/>
      <c r="M651" s="66"/>
      <c r="N651" s="66"/>
      <c r="O651" s="66"/>
      <c r="P651" s="66"/>
      <c r="Q651" s="66"/>
      <c r="R651" s="67"/>
      <c r="S651" s="67"/>
      <c r="T651" s="67"/>
      <c r="U651" s="68"/>
      <c r="V651" s="66"/>
      <c r="W651" s="66"/>
      <c r="X651" s="85"/>
      <c r="AN651" s="3"/>
      <c r="AO651" s="3"/>
    </row>
    <row r="652" spans="9:41" x14ac:dyDescent="0.25">
      <c r="I652" s="66"/>
      <c r="J652" s="66"/>
      <c r="K652" s="66"/>
      <c r="L652" s="66"/>
      <c r="M652" s="66"/>
      <c r="N652" s="66"/>
      <c r="O652" s="66"/>
      <c r="P652" s="66"/>
      <c r="Q652" s="66"/>
      <c r="R652" s="67"/>
      <c r="S652" s="67"/>
      <c r="T652" s="67"/>
      <c r="U652" s="66"/>
      <c r="V652" s="66"/>
      <c r="W652" s="66"/>
      <c r="X652" s="85"/>
      <c r="AN652" s="3"/>
      <c r="AO652" s="3"/>
    </row>
    <row r="653" spans="9:41" x14ac:dyDescent="0.25">
      <c r="I653" s="66"/>
      <c r="J653" s="66"/>
      <c r="K653" s="66"/>
      <c r="L653" s="66"/>
      <c r="M653" s="66"/>
      <c r="N653" s="66"/>
      <c r="O653" s="66"/>
      <c r="P653" s="66"/>
      <c r="Q653" s="66"/>
      <c r="R653" s="67"/>
      <c r="S653" s="67"/>
      <c r="T653" s="67"/>
      <c r="U653" s="66"/>
      <c r="V653" s="66"/>
      <c r="W653" s="66"/>
      <c r="X653" s="85"/>
      <c r="AN653" s="3"/>
      <c r="AO653" s="3"/>
    </row>
    <row r="654" spans="9:41" x14ac:dyDescent="0.25">
      <c r="I654" s="66"/>
      <c r="J654" s="66"/>
      <c r="K654" s="66"/>
      <c r="L654" s="66"/>
      <c r="M654" s="66"/>
      <c r="N654" s="66"/>
      <c r="O654" s="66"/>
      <c r="P654" s="66"/>
      <c r="Q654" s="66"/>
      <c r="R654" s="67"/>
      <c r="S654" s="67"/>
      <c r="T654" s="67"/>
      <c r="U654" s="66"/>
      <c r="V654" s="66"/>
      <c r="W654" s="66"/>
      <c r="X654" s="85"/>
      <c r="AN654" s="3"/>
      <c r="AO654" s="3"/>
    </row>
    <row r="655" spans="9:41" x14ac:dyDescent="0.25">
      <c r="I655" s="66"/>
      <c r="J655" s="66"/>
      <c r="K655" s="66"/>
      <c r="L655" s="66"/>
      <c r="M655" s="66"/>
      <c r="N655" s="66"/>
      <c r="O655" s="66"/>
      <c r="P655" s="66"/>
      <c r="Q655" s="66"/>
      <c r="R655" s="67"/>
      <c r="S655" s="67"/>
      <c r="T655" s="67"/>
      <c r="U655" s="66"/>
      <c r="V655" s="66"/>
      <c r="W655" s="66"/>
      <c r="X655" s="85"/>
      <c r="AN655" s="3"/>
      <c r="AO655" s="3"/>
    </row>
    <row r="656" spans="9:41" x14ac:dyDescent="0.25">
      <c r="I656" s="66"/>
      <c r="J656" s="66"/>
      <c r="K656" s="66"/>
      <c r="L656" s="66"/>
      <c r="M656" s="66"/>
      <c r="N656" s="66"/>
      <c r="O656" s="66"/>
      <c r="P656" s="66"/>
      <c r="Q656" s="66"/>
      <c r="R656" s="67"/>
      <c r="S656" s="67"/>
      <c r="T656" s="67"/>
      <c r="U656" s="66"/>
      <c r="V656" s="66"/>
      <c r="W656" s="66"/>
      <c r="X656" s="85"/>
      <c r="AN656" s="3"/>
      <c r="AO656" s="3"/>
    </row>
    <row r="657" spans="9:24" x14ac:dyDescent="0.25">
      <c r="I657" s="66"/>
      <c r="J657" s="66"/>
      <c r="K657" s="66"/>
      <c r="L657" s="66"/>
      <c r="M657" s="66"/>
      <c r="N657" s="66"/>
      <c r="O657" s="66"/>
      <c r="P657" s="66"/>
      <c r="Q657" s="66"/>
      <c r="R657" s="67"/>
      <c r="S657" s="67"/>
      <c r="T657" s="67"/>
      <c r="U657" s="66"/>
      <c r="V657" s="66"/>
      <c r="W657" s="66"/>
      <c r="X657" s="85"/>
    </row>
    <row r="658" spans="9:24" x14ac:dyDescent="0.25">
      <c r="I658" s="66"/>
      <c r="J658" s="66"/>
      <c r="K658" s="66"/>
      <c r="L658" s="66"/>
      <c r="M658" s="66"/>
      <c r="N658" s="66"/>
      <c r="O658" s="66"/>
      <c r="P658" s="66"/>
      <c r="Q658" s="66"/>
      <c r="R658" s="67"/>
      <c r="S658" s="67"/>
      <c r="T658" s="67"/>
      <c r="U658" s="66"/>
      <c r="V658" s="66"/>
      <c r="W658" s="66"/>
      <c r="X658" s="85"/>
    </row>
    <row r="659" spans="9:24" x14ac:dyDescent="0.25">
      <c r="I659" s="66"/>
      <c r="J659" s="66"/>
      <c r="K659" s="66"/>
      <c r="L659" s="66"/>
      <c r="M659" s="66"/>
      <c r="N659" s="66"/>
      <c r="O659" s="66"/>
      <c r="P659" s="66"/>
      <c r="Q659" s="66"/>
      <c r="R659" s="67"/>
      <c r="S659" s="67"/>
      <c r="T659" s="67"/>
      <c r="U659" s="66"/>
      <c r="V659" s="66"/>
      <c r="W659" s="66"/>
      <c r="X659" s="85"/>
    </row>
    <row r="660" spans="9:24" x14ac:dyDescent="0.25">
      <c r="I660" s="66"/>
      <c r="J660" s="66"/>
      <c r="K660" s="66"/>
      <c r="L660" s="66"/>
      <c r="M660" s="66"/>
      <c r="N660" s="66"/>
      <c r="O660" s="66"/>
      <c r="P660" s="66"/>
      <c r="Q660" s="66"/>
      <c r="R660" s="67"/>
      <c r="S660" s="67"/>
      <c r="T660" s="67"/>
      <c r="U660" s="66"/>
      <c r="V660" s="66"/>
      <c r="W660" s="66"/>
      <c r="X660" s="85"/>
    </row>
    <row r="661" spans="9:24" x14ac:dyDescent="0.25">
      <c r="I661" s="66"/>
      <c r="J661" s="66"/>
      <c r="K661" s="66"/>
      <c r="L661" s="66"/>
      <c r="M661" s="66"/>
      <c r="N661" s="66"/>
      <c r="O661" s="66"/>
      <c r="P661" s="66"/>
      <c r="Q661" s="66"/>
      <c r="R661" s="67"/>
      <c r="S661" s="67"/>
      <c r="T661" s="67"/>
      <c r="U661" s="66"/>
      <c r="V661" s="66"/>
      <c r="W661" s="66"/>
      <c r="X661" s="85"/>
    </row>
    <row r="662" spans="9:24" x14ac:dyDescent="0.25">
      <c r="I662" s="66"/>
      <c r="J662" s="66"/>
      <c r="K662" s="66"/>
      <c r="L662" s="66"/>
      <c r="M662" s="66"/>
      <c r="N662" s="66"/>
      <c r="O662" s="66"/>
      <c r="P662" s="66"/>
      <c r="Q662" s="66"/>
      <c r="R662" s="67"/>
      <c r="S662" s="67"/>
      <c r="T662" s="67"/>
      <c r="U662" s="66"/>
      <c r="V662" s="66"/>
      <c r="W662" s="66"/>
      <c r="X662" s="85"/>
    </row>
    <row r="663" spans="9:24" x14ac:dyDescent="0.25">
      <c r="I663" s="66"/>
      <c r="J663" s="66"/>
      <c r="K663" s="66"/>
      <c r="L663" s="66"/>
      <c r="M663" s="66"/>
      <c r="N663" s="66"/>
      <c r="O663" s="66"/>
      <c r="P663" s="66"/>
      <c r="Q663" s="66"/>
      <c r="R663" s="67"/>
      <c r="S663" s="67"/>
      <c r="T663" s="67"/>
      <c r="U663" s="66"/>
      <c r="V663" s="66"/>
      <c r="W663" s="66"/>
      <c r="X663" s="85"/>
    </row>
    <row r="664" spans="9:24" x14ac:dyDescent="0.25">
      <c r="I664" s="66"/>
      <c r="J664" s="66"/>
      <c r="K664" s="66"/>
      <c r="L664" s="66"/>
      <c r="M664" s="66"/>
      <c r="N664" s="66"/>
      <c r="O664" s="66"/>
      <c r="P664" s="66"/>
      <c r="Q664" s="66"/>
      <c r="R664" s="67"/>
      <c r="S664" s="67"/>
      <c r="T664" s="67"/>
      <c r="U664" s="66"/>
      <c r="V664" s="66"/>
      <c r="W664" s="66"/>
      <c r="X664" s="85"/>
    </row>
    <row r="665" spans="9:24" x14ac:dyDescent="0.25">
      <c r="I665" s="66"/>
      <c r="J665" s="66"/>
      <c r="K665" s="66"/>
      <c r="L665" s="66"/>
      <c r="M665" s="66"/>
      <c r="N665" s="66"/>
      <c r="O665" s="66"/>
      <c r="P665" s="66"/>
      <c r="Q665" s="66"/>
      <c r="R665" s="67"/>
      <c r="S665" s="67"/>
      <c r="T665" s="67"/>
      <c r="U665" s="66"/>
      <c r="V665" s="66"/>
      <c r="W665" s="66"/>
      <c r="X665" s="85"/>
    </row>
    <row r="666" spans="9:24" x14ac:dyDescent="0.25">
      <c r="I666" s="66"/>
      <c r="J666" s="66"/>
      <c r="K666" s="66"/>
      <c r="L666" s="66"/>
      <c r="M666" s="66"/>
      <c r="N666" s="66"/>
      <c r="O666" s="66"/>
      <c r="P666" s="66"/>
      <c r="Q666" s="66"/>
      <c r="R666" s="67"/>
      <c r="S666" s="67"/>
      <c r="T666" s="67"/>
      <c r="U666" s="66"/>
      <c r="V666" s="66"/>
      <c r="W666" s="66"/>
      <c r="X666" s="85"/>
    </row>
    <row r="667" spans="9:24" x14ac:dyDescent="0.25">
      <c r="I667" s="66"/>
      <c r="J667" s="66"/>
      <c r="K667" s="66"/>
      <c r="L667" s="66"/>
      <c r="M667" s="66"/>
      <c r="N667" s="66"/>
      <c r="O667" s="66"/>
      <c r="P667" s="66"/>
      <c r="Q667" s="66"/>
      <c r="R667" s="67"/>
      <c r="S667" s="67"/>
      <c r="T667" s="67"/>
      <c r="U667" s="66"/>
      <c r="V667" s="66"/>
      <c r="W667" s="66"/>
      <c r="X667" s="85"/>
    </row>
    <row r="668" spans="9:24" x14ac:dyDescent="0.25">
      <c r="I668" s="66"/>
      <c r="J668" s="66"/>
      <c r="K668" s="66"/>
      <c r="L668" s="66"/>
      <c r="M668" s="66"/>
      <c r="N668" s="66"/>
      <c r="O668" s="66"/>
      <c r="P668" s="66"/>
      <c r="Q668" s="66"/>
      <c r="R668" s="67"/>
      <c r="S668" s="67"/>
      <c r="T668" s="67"/>
      <c r="U668" s="66"/>
      <c r="V668" s="66"/>
      <c r="W668" s="66"/>
      <c r="X668" s="85"/>
    </row>
    <row r="669" spans="9:24" x14ac:dyDescent="0.25">
      <c r="I669" s="66"/>
      <c r="J669" s="66"/>
      <c r="K669" s="66"/>
      <c r="L669" s="66"/>
      <c r="M669" s="66"/>
      <c r="N669" s="66"/>
      <c r="O669" s="66"/>
      <c r="P669" s="66"/>
      <c r="Q669" s="66"/>
      <c r="R669" s="67"/>
      <c r="S669" s="67"/>
      <c r="T669" s="67"/>
      <c r="U669" s="66"/>
      <c r="V669" s="66"/>
      <c r="W669" s="66"/>
      <c r="X669" s="85"/>
    </row>
    <row r="670" spans="9:24" x14ac:dyDescent="0.25">
      <c r="I670" s="66"/>
      <c r="J670" s="66"/>
      <c r="K670" s="66"/>
      <c r="L670" s="66"/>
      <c r="M670" s="66"/>
      <c r="N670" s="66"/>
      <c r="O670" s="66"/>
      <c r="P670" s="66"/>
      <c r="Q670" s="66"/>
      <c r="R670" s="67"/>
      <c r="S670" s="67"/>
      <c r="T670" s="67"/>
      <c r="U670" s="66"/>
      <c r="V670" s="66"/>
      <c r="W670" s="66"/>
      <c r="X670" s="85"/>
    </row>
    <row r="671" spans="9:24" x14ac:dyDescent="0.25">
      <c r="I671" s="66"/>
      <c r="J671" s="66"/>
      <c r="K671" s="66"/>
      <c r="L671" s="66"/>
      <c r="M671" s="66"/>
      <c r="N671" s="66"/>
      <c r="O671" s="66"/>
      <c r="P671" s="66"/>
      <c r="Q671" s="66"/>
      <c r="R671" s="67"/>
      <c r="S671" s="67"/>
      <c r="T671" s="67"/>
      <c r="U671" s="66"/>
      <c r="V671" s="66"/>
      <c r="W671" s="66"/>
      <c r="X671" s="85"/>
    </row>
    <row r="672" spans="9:24" x14ac:dyDescent="0.25">
      <c r="I672" s="66"/>
      <c r="J672" s="66"/>
      <c r="K672" s="66"/>
      <c r="L672" s="66"/>
      <c r="M672" s="66"/>
      <c r="N672" s="66"/>
      <c r="O672" s="66"/>
      <c r="P672" s="66"/>
      <c r="Q672" s="66"/>
      <c r="R672" s="67"/>
      <c r="S672" s="67"/>
      <c r="T672" s="67"/>
      <c r="U672" s="66"/>
      <c r="V672" s="66"/>
      <c r="W672" s="66"/>
      <c r="X672" s="85"/>
    </row>
    <row r="673" spans="9:24" x14ac:dyDescent="0.25">
      <c r="I673" s="66"/>
      <c r="J673" s="66"/>
      <c r="K673" s="66"/>
      <c r="L673" s="66"/>
      <c r="M673" s="66"/>
      <c r="N673" s="66"/>
      <c r="O673" s="66"/>
      <c r="P673" s="66"/>
      <c r="Q673" s="66"/>
      <c r="R673" s="67"/>
      <c r="S673" s="67"/>
      <c r="T673" s="67"/>
      <c r="U673" s="66"/>
      <c r="V673" s="66"/>
      <c r="W673" s="66"/>
      <c r="X673" s="85"/>
    </row>
  </sheetData>
  <sheetProtection sheet="1" objects="1" scenarios="1"/>
  <conditionalFormatting sqref="F2">
    <cfRule type="expression" dxfId="23" priority="9">
      <formula>AND($F$2&gt;0,ISNA(MATCH($F$2,_xlfn.ANCHORARRAY(#REF!),0)))</formula>
    </cfRule>
  </conditionalFormatting>
  <conditionalFormatting sqref="H5:L638">
    <cfRule type="expression" dxfId="22" priority="12">
      <formula>AND($G$2="SAP",$H5="YES")</formula>
    </cfRule>
    <cfRule type="expression" dxfId="21" priority="13">
      <formula>AND($G$2="LIM",$H5="YES")</formula>
    </cfRule>
  </conditionalFormatting>
  <conditionalFormatting sqref="I2">
    <cfRule type="expression" dxfId="20" priority="8">
      <formula>AND($I$2&gt;0,ISNA(MATCH($I$2,_xlfn.ANCHORARRAY($A$1),0)))</formula>
    </cfRule>
  </conditionalFormatting>
  <conditionalFormatting sqref="J1">
    <cfRule type="containsText" dxfId="19" priority="6" operator="containsText" text="Skipped">
      <formula>NOT(ISERROR(SEARCH("Skipped",J1)))</formula>
    </cfRule>
  </conditionalFormatting>
  <conditionalFormatting sqref="J5:J638">
    <cfRule type="expression" dxfId="18" priority="11">
      <formula>AND($J5&gt;0,ISNA(MATCH($J5,_xlfn.ANCHORARRAY($B$1),0)))</formula>
    </cfRule>
  </conditionalFormatting>
  <conditionalFormatting sqref="J5:K638">
    <cfRule type="expression" dxfId="17" priority="5">
      <formula>$D5="Skipped"</formula>
    </cfRule>
  </conditionalFormatting>
  <conditionalFormatting sqref="J1:L3">
    <cfRule type="cellIs" dxfId="16" priority="10" operator="greaterThan">
      <formula>0</formula>
    </cfRule>
  </conditionalFormatting>
  <conditionalFormatting sqref="K5:K638">
    <cfRule type="expression" dxfId="15" priority="7">
      <formula>(ISNA($D5))</formula>
    </cfRule>
  </conditionalFormatting>
  <conditionalFormatting sqref="M1:N1">
    <cfRule type="expression" dxfId="14" priority="2">
      <formula>$N$1&gt;0</formula>
    </cfRule>
  </conditionalFormatting>
  <conditionalFormatting sqref="S1:T100">
    <cfRule type="expression" dxfId="13" priority="1">
      <formula>$T1&lt;&gt;""</formula>
    </cfRule>
  </conditionalFormatting>
  <dataValidations count="3">
    <dataValidation type="list" allowBlank="1" showInputMessage="1" showErrorMessage="1" sqref="J5:J638" xr:uid="{FF9257C4-B908-4587-9ECB-231A5EA4A6A9}">
      <formula1>_xlfn.ANCHORARRAY($B$1)</formula1>
    </dataValidation>
    <dataValidation type="list" allowBlank="1" showInputMessage="1" showErrorMessage="1" sqref="I2" xr:uid="{6F8DBFDB-EE9C-462B-AADC-C4F149FF85E0}">
      <formula1>_xlfn.ANCHORARRAY($A$1)</formula1>
    </dataValidation>
    <dataValidation type="list" allowBlank="1" showInputMessage="1" showErrorMessage="1" sqref="K5:K638" xr:uid="{EF4EE975-0EFC-4C42-BDF7-1D32FEFAB675}">
      <formula1>Input_Truck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8C26-5DFA-4EB1-9A66-FD66D6AC4DBA}">
  <sheetPr codeName="Sheet11"/>
  <dimension ref="A1:CU358"/>
  <sheetViews>
    <sheetView showGridLines="0" zoomScale="145" zoomScaleNormal="145" workbookViewId="0">
      <pane xSplit="12" ySplit="2" topLeftCell="M3" activePane="bottomRight" state="frozen"/>
      <selection pane="topRight" activeCell="H1" sqref="H1"/>
      <selection pane="bottomLeft" activeCell="A3" sqref="A3"/>
      <selection pane="bottomRight" activeCell="S20" sqref="S20"/>
    </sheetView>
  </sheetViews>
  <sheetFormatPr defaultColWidth="5.85546875" defaultRowHeight="15" x14ac:dyDescent="0.25"/>
  <cols>
    <col min="1" max="1" width="7.28515625" style="1" hidden="1" customWidth="1"/>
    <col min="2" max="2" width="13.42578125" style="1" hidden="1" customWidth="1"/>
    <col min="3" max="3" width="9.140625" style="1" hidden="1" customWidth="1"/>
    <col min="4" max="4" width="4.140625" style="1" hidden="1" customWidth="1"/>
    <col min="5" max="5" width="5.85546875" style="1" hidden="1" customWidth="1"/>
    <col min="6" max="6" width="5.7109375" style="1" hidden="1" customWidth="1"/>
    <col min="7" max="7" width="6" style="1" hidden="1" customWidth="1"/>
    <col min="8" max="8" width="62.140625" style="1" hidden="1" customWidth="1"/>
    <col min="9" max="9" width="6.85546875" style="1" hidden="1" customWidth="1"/>
    <col min="10" max="10" width="3.5703125" style="1" bestFit="1" customWidth="1"/>
    <col min="11" max="11" width="8.28515625" style="1" customWidth="1"/>
    <col min="12" max="12" width="6" style="1" bestFit="1" customWidth="1"/>
    <col min="13" max="14" width="6.28515625" style="1" bestFit="1" customWidth="1"/>
    <col min="15" max="15" width="13.42578125" style="1" customWidth="1"/>
    <col min="16" max="16" width="10.28515625" style="1" customWidth="1"/>
    <col min="17" max="17" width="0.5703125" style="1" customWidth="1"/>
    <col min="18" max="18" width="5.42578125" style="77" customWidth="1"/>
    <col min="19" max="19" width="31.85546875" style="59" customWidth="1"/>
    <col min="20" max="21" width="5.85546875" style="1" customWidth="1"/>
    <col min="22" max="22" width="21.7109375" style="1" hidden="1" customWidth="1"/>
    <col min="23" max="23" width="9.28515625" style="1" hidden="1" customWidth="1"/>
    <col min="24" max="24" width="4.28515625" style="3" hidden="1" customWidth="1"/>
    <col min="25" max="25" width="7.28515625" style="3" hidden="1" customWidth="1"/>
    <col min="26" max="27" width="3.42578125" style="1" hidden="1" customWidth="1"/>
    <col min="28" max="28" width="3.42578125" style="93" hidden="1" customWidth="1"/>
    <col min="29" max="29" width="4.140625" style="1" hidden="1" customWidth="1"/>
    <col min="30" max="30" width="18.28515625" style="1" hidden="1" customWidth="1"/>
    <col min="31" max="31" width="12.42578125" style="1" hidden="1" customWidth="1"/>
    <col min="32" max="32" width="4.28515625" style="1" hidden="1" customWidth="1"/>
    <col min="33" max="33" width="9" style="1" hidden="1" customWidth="1"/>
    <col min="34" max="34" width="7.28515625" style="1" hidden="1" customWidth="1"/>
    <col min="35" max="35" width="7.85546875" style="1" hidden="1" customWidth="1"/>
    <col min="36" max="36" width="7.5703125" style="3" hidden="1" customWidth="1"/>
    <col min="37" max="37" width="9.140625" style="1" hidden="1" customWidth="1"/>
    <col min="38" max="38" width="12.7109375" style="105" hidden="1" customWidth="1"/>
    <col min="39" max="39" width="9.28515625" style="1" hidden="1" customWidth="1"/>
    <col min="40" max="40" width="8.85546875" style="1" hidden="1" customWidth="1"/>
    <col min="41" max="45" width="8" style="1" hidden="1" customWidth="1"/>
    <col min="46" max="46" width="19.7109375" style="1" hidden="1" customWidth="1"/>
    <col min="47" max="47" width="9.28515625" style="1" hidden="1" customWidth="1"/>
    <col min="48" max="48" width="4.28515625" style="1" hidden="1" customWidth="1"/>
    <col min="49" max="49" width="7.28515625" style="1" hidden="1" customWidth="1"/>
    <col min="50" max="50" width="8.140625" style="3" hidden="1" customWidth="1"/>
    <col min="51" max="51" width="8.7109375" style="3" hidden="1" customWidth="1"/>
    <col min="52" max="52" width="7.42578125" style="3" hidden="1" customWidth="1"/>
    <col min="53" max="53" width="11" style="3" hidden="1" customWidth="1"/>
    <col min="54" max="54" width="9.140625" style="1" hidden="1" customWidth="1"/>
    <col min="55" max="55" width="2" style="1" hidden="1" customWidth="1"/>
    <col min="56" max="73" width="3.140625" style="1" hidden="1" customWidth="1"/>
    <col min="74" max="74" width="4.140625" style="1" hidden="1" customWidth="1"/>
    <col min="75" max="77" width="4.85546875" style="1" hidden="1" customWidth="1"/>
    <col min="78" max="96" width="3.28515625" style="104" hidden="1" customWidth="1"/>
    <col min="97" max="97" width="4.140625" style="104" hidden="1" customWidth="1"/>
    <col min="98" max="98" width="5.85546875" style="1" hidden="1" customWidth="1"/>
    <col min="99" max="99" width="3.140625" style="1" hidden="1" customWidth="1"/>
    <col min="100" max="105" width="3.140625" style="1" bestFit="1" customWidth="1"/>
    <col min="106" max="106" width="2" style="1" bestFit="1" customWidth="1"/>
    <col min="107" max="124" width="3.140625" style="1" bestFit="1" customWidth="1"/>
    <col min="125" max="125" width="4.140625" style="1" bestFit="1" customWidth="1"/>
    <col min="126" max="16384" width="5.85546875" style="1"/>
  </cols>
  <sheetData>
    <row r="1" spans="1:99" x14ac:dyDescent="0.25">
      <c r="A1" s="1" t="str" cm="1">
        <f t="array" ref="A1:A8">_xlfn.UNIQUE(_xlfn._xlws.FILTER(Sample_Pending[Pile_ID],Sample_Pending[Pile_ID]&gt;0))</f>
        <v>S5_88</v>
      </c>
      <c r="B1" s="1" t="str" cm="1">
        <f t="array" ref="B1:B4">_xlfn.VSTACK(_xlfn._xlws.FILTER(Prep_Stat[Prep Stat],Prep_Stat[Prep Stat]&gt;0), "Not Picked Up")</f>
        <v>BR1</v>
      </c>
      <c r="C1" s="1" cm="1">
        <f t="array" ref="C1:D32">_xlfn._xlws.SORT(_xlfn.UNIQUE(_xlfn.VSTACK(_xlfn._xlws.FILTER(Emply_Staff[],Emply_Staff[Name]&gt;0),_xlfn._xlws.FILTER(Emply_Crew[[NIK]:[EMP_NAME]],Emply_Crew[Job]="Dispatcher"))))</f>
        <v>220220</v>
      </c>
      <c r="D1" s="1" t="str">
        <v>Yahazkiel Eka Putra</v>
      </c>
      <c r="U1" s="1" t="s">
        <v>2552</v>
      </c>
      <c r="V1" s="1" t="s">
        <v>2552</v>
      </c>
      <c r="CU1" s="1" t="s">
        <v>2552</v>
      </c>
    </row>
    <row r="2" spans="1:99" x14ac:dyDescent="0.25">
      <c r="A2" s="1" t="str">
        <v>BR-C3_L10</v>
      </c>
      <c r="B2" s="1" t="str">
        <v>DS</v>
      </c>
      <c r="C2" s="1">
        <v>240818</v>
      </c>
      <c r="D2" s="1" t="str">
        <v>Firman Salahuddin</v>
      </c>
      <c r="J2" s="3" t="s">
        <v>3</v>
      </c>
      <c r="K2" s="3" t="s">
        <v>2571</v>
      </c>
      <c r="L2" s="3" t="s">
        <v>2451</v>
      </c>
      <c r="M2" s="3" t="s">
        <v>2591</v>
      </c>
      <c r="N2" s="3" t="s">
        <v>2592</v>
      </c>
      <c r="O2" s="3" t="s">
        <v>2572</v>
      </c>
      <c r="P2" s="3" t="s">
        <v>20</v>
      </c>
      <c r="R2" s="78" t="s">
        <v>2569</v>
      </c>
      <c r="S2" s="58" t="s">
        <v>2555</v>
      </c>
    </row>
    <row r="3" spans="1:99" x14ac:dyDescent="0.25">
      <c r="A3" s="1" t="str">
        <v>S5_77</v>
      </c>
      <c r="B3" s="1" t="str">
        <v>BR23W</v>
      </c>
      <c r="C3" s="1">
        <v>240915</v>
      </c>
      <c r="D3" s="1" t="str">
        <v>Adryan Muhta Syam</v>
      </c>
      <c r="E3" s="1" t="str" cm="1">
        <f t="array" ref="E3:E99">_xlfn.XLOOKUP(Sample_Pos[Pile_ID_],Sample_Pending[Pile_ID],_xlfn.ANCHORARRAY(Regist!$AD$8),"")</f>
        <v>SAP</v>
      </c>
      <c r="F3" s="1" cm="1">
        <f t="array" ref="F3:F99">_xlfn.LET( _xlpm.pile, Sample_Pos[Pile_ID_],
      _xlpm.btch, Sample_Pos[Batch],
      _xlpm.from, Sample_Pos[Rit_F],
      _xlpm.to, Sample_Pos[Rit_T],
    _xlpm.idx, _xlfn.BYROW(_xlfn.HSTACK(_xlpm.pile,_xlpm.btch,_xlpm.from,_xlpm.to), _xlfn.LAMBDA(_xlpm.x,
       _xlfn.IFNA(MATCH(1, --(_xlpm.pile&lt;&gt;"")*(_xlpm.pile=INDEX(_xlpm.x,,1))*(_xlpm.btch=INDEX(_xlpm.x,,2))*(_xlpm.from&lt;=INDEX(_xlpm.x,,3))*(_xlpm.to&gt;=INDEX(_xlpm.x,,3)),0),""))),
    _xlfn.MAP(_xlpm.idx, _xlfn.LAMBDA(_xlpm.id_match,
        IF(_xlpm.id_match = "", 0,
            SUM(--(_xlpm.idx = _xlpm.id_match))
        )
    ))
)</f>
        <v>1</v>
      </c>
      <c r="G3" s="1" t="str" cm="1">
        <f t="array" ref="G3:H99">_xlfn.LET(
    _xlpm._intv_raw, _xlfn.XLOOKUP(_xlfn.ANCHORARRAY($E$3), Int_Sample[Ore], Int_Sample[Inc], 0),
    _xlpm.pile, Sample_Pos[Pile_ID_],
    _xlpm.btch, Sample_Pos[Batch],
    _xlpm.inc_f, Sample_Pos[Rit_F],
    _xlpm.inc_t, Sample_Pos[Rit_T],
    _xlpm.n_rows, ROWS(Sample_Pos[]),
    _xlfn.DROP(
        _xlfn.REDUCE("", _xlfn.SEQUENCE(_xlpm.n_rows), _xlfn.LAMBDA(_xlpm.acc,_xlpm.r_idx,
            _xlfn.LET(
                _xlpm.p_curr, INDEX(_xlpm.pile, _xlpm.r_idx),
                _xlpm.b_curr, INDEX(_xlpm.btch, _xlpm.r_idx),
                _xlpm.f_curr, INDEX(_xlpm.inc_f, _xlpm.r_idx),
                _xlpm.t_curr, INDEX(_xlpm.inc_t, _xlpm.r_idx),
                _xlpm.v_raw, INDEX(_xlpm._intv_raw, _xlpm.r_idx, 1),
                _xlpm.v_safe, IF(_xlpm.v_raw &lt;= 0, 1, _xlpm.v_raw),
                IF(OR(_xlpm.p_curr="", _xlpm.b_curr="", _xlpm.f_curr="", _xlpm.t_curr=""),
                    _xlfn.VSTACK(_xlpm.acc, _xlfn.HSTACK("", "")),
                    IF(_xlpm.v_raw &lt;= 0,
                        _xlfn.VSTACK(_xlpm.acc, _xlfn.HSTACK("INTERVAL 0!", "Tidak Valid")),
                        _xlfn.LET(
                            _xlpm.seq_curr, _xlfn.SEQUENCE(, (_xlpm.t_curr - _xlpm.f_curr) / _xlpm.v_safe + 1, _xlpm.f_curr, _xlpm.v_safe),
                            _xlpm.txt_rentang, _xlfn.TEXTJOIN(", ", 1, _xlpm.seq_curr),
                            _xlpm.total_match, SUM(_xlfn.MAP(_xlfn.SEQUENCE(_xlpm.n_rows), _xlfn.LAMBDA(_xlpm.i,
                                IF(AND(INDEX(_xlpm.pile, _xlpm.i) = _xlpm.p_curr, INDEX(_xlpm.btch, _xlpm.i) = _xlpm.b_curr),
                                    _xlfn.LET(
                                        _xlpm.v_other_raw, INDEX(_xlpm._intv_raw, _xlpm.i, 1),
                                        _xlpm.v_other_safe, IF(_xlpm.v_other_raw &lt;= 0, 1, _xlpm.v_other_raw),
                                        _xlpm.seq_other, _xlfn.SEQUENCE(, (INDEX(_xlpm.inc_t, _xlpm.i) - INDEX(_xlpm.inc_f, _xlpm.i)) / _xlpm.v_other_safe + 1, INDEX(_xlpm.inc_f, _xlpm.i), _xlpm.v_other_safe),
                                        SUM(--ISNUMBER(_xlfn.XMATCH(_xlpm.seq_curr, _xlpm.seq_other)))
                                    ),
                                    0
                                )
                            ))),
                            _xlpm.status, IF(_xlpm.total_match &gt; COLUMNS(_xlpm.seq_curr), "OVERLAP!", "VALID"),
                            _xlfn.VSTACK(_xlpm.acc, _xlfn.HSTACK(_xlpm.status, _xlpm.txt_rentang))
                        )
                    )
                )
            )
        )),
        1
    )
)</f>
        <v>VALID</v>
      </c>
      <c r="H3" s="1" t="str">
        <v>2, 4, 6, 8, 10, 12, 14, 16, 18, 20</v>
      </c>
      <c r="J3" s="79">
        <v>1</v>
      </c>
      <c r="K3" s="48" t="s">
        <v>2599</v>
      </c>
      <c r="L3" s="49">
        <v>27</v>
      </c>
      <c r="M3" s="49">
        <v>2</v>
      </c>
      <c r="N3" s="49">
        <v>20</v>
      </c>
      <c r="O3" s="80" t="s">
        <v>102</v>
      </c>
      <c r="P3" s="50" t="s">
        <v>2522</v>
      </c>
      <c r="R3" s="77" cm="1">
        <f t="array" ref="R3:R99">_xlfn.MAP(_xlfn.ANCHORARRAY($E$3), _xlfn.LAMBDA(_xlpm.ore,
  _xlfn.LET(
    _xlpm.Baris, ROW(_xlpm.ore) - ROW(Sample_Pos[[#This Row],[Pile_ID_]]) + 1,
    _xlpm.Awal, INDEX(Sample_Pos[Rit_F], _xlpm.Baris),
    _xlpm.Akhir, INDEX(Sample_Pos[Rit_T], _xlpm.Baris),
    _xlpm.Interval, _xlfn.XLOOKUP(_xlpm.ore, Int_Sample[Ore], Int_Sample[Inc], 0),
    _xlpm.Packing, _xlfn.XLOOKUP(_xlpm.ore, Int_Sample[Ore], Int_Sample[Packing], 0),
    IF(_xlpm.ore="", 0, INT((_xlpm.Akhir - _xlpm.Awal) / MAX(_xlpm.Interval, _xlpm.Packing)) + 1)
  )
))</f>
        <v>10</v>
      </c>
      <c r="S3" s="59" t="str" cm="1">
        <f t="array" ref="S3:S99">_xlfn.XLOOKUP(Sample_Pos[NIK],_xlfn.TAKE(_xlfn.ANCHORARRAY($C$1),,1), _xlfn.DROP(_xlfn.ANCHORARRAY($C$1),,1),0)</f>
        <v>Rikal Ma'ruf</v>
      </c>
      <c r="V3" s="91" t="str" cm="1">
        <f t="array" ref="V3:AB229">_xlfn.LET(
    _xlpm.ore_arr, _xlfn.XLOOKUP(Sample_Pos[Pile_ID_], Sample_Pending[Pile_ID],_xlfn.ANCHORARRAY( Regist!$AD$8), ""),
    _xlpm.v_arr, _xlfn.XLOOKUP(_xlpm.ore_arr, Int_Sample[Ore], Int_Sample[Inc], 0),
    _xlpm.pack_arr, _xlfn.XLOOKUP(_xlpm.ore_arr, Int_Sample[Ore], Int_Sample[Packing], 1),
    _xlpm.pick, IF(Sample_Pos[NIK]=0,Sample_Pos[Deliver To],Sample_Pos[NIK]),
    _xlpm.NIK, IF(--(_xlpm.pick="")*(Sample_Pos[Deliver To]&lt;&gt;"Not Picked Up")&gt;0,"Unknown",_xlpm.pick),
    _xlfn.DROP(
        _xlfn.REDUCE("", _xlfn.SEQUENCE(ROWS(Sample_Pos[Pile_ID_])), _xlfn.LAMBDA(_xlpm.acc,_xlpm.i,
            _xlfn.LET(
                _xlpm.p, INDEX(Sample_Pos[Pile_ID_], _xlpm.i),
                _xlpm.b, INDEX(Sample_Pos[Batch], _xlpm.i),
                _xlpm.f, INDEX(Sample_Pos[Rit_F], _xlpm.i),
                _xlpm.t, INDEX(Sample_Pos[Rit_T], _xlpm.i),
                _xlpm.del, INDEX(Sample_Pos[Deliver To], _xlpm.i),
                _xlpm.no, INDEX(Sample_Pos[No], _xlpm.i),
                _xlpm.nk_raw, INDEX(_xlpm.NIK, _xlpm.i),
                _xlpm.nk, IF(_xlpm.nk_raw="", "", _xlpm.nk_raw),
                _xlpm.o, INDEX(_xlpm.ore_arr, _xlpm.i),
                _xlpm.v, INDEX(_xlpm.v_arr, _xlpm.i),
                _xlpm.pack, INDEX(_xlpm.pack_arr, _xlpm.i),
                IF(OR(_xlpm.p="", _xlpm.b="", _xlpm.f="", _xlpm.t="", _xlpm.v&lt;=0),
                    _xlpm.acc,
                    _xlfn.LET(
                        _xlpm.step, MAX(_xlpm.v, 1),
                        _xlpm.val, _xlpm.v / _xlpm.pack,
                        _xlpm.stts, IF(_xlpm.del=0, "", IF(_xlpm.del="Not Picked Up", "In " &amp; Regist!$H$3 &amp; "-" &amp; Regist!$H$5, Regist!$H$5 &amp; "/" &amp; TEXT(_xlpm.no, "00") &amp; " to "&amp; _xlpm.del )),
                        _xlpm.n_rows, INT((_xlpm.t - _xlpm.f) / _xlpm.step) + 1,
                        _xlpm.seq, _xlfn.SEQUENCE(_xlpm.n_rows, 1, _xlpm.f, _xlpm.step),
                        _xlpm.row_data, _xlfn.HSTACK(
                            IF(_xlfn.SEQUENCE(_xlpm.n_rows), _xlpm.stts),
                            IF(_xlfn.SEQUENCE(_xlpm.n_rows), _xlpm.nk),
                            IF(_xlfn.SEQUENCE(_xlpm.n_rows), _xlpm.o),
                            IF(_xlfn.SEQUENCE(_xlpm.n_rows), _xlpm.p),
                            IF(_xlfn.SEQUENCE(_xlpm.n_rows), _xlpm.b),
                            _xlpm.seq,
                            IF(_xlfn.SEQUENCE(_xlpm.n_rows), _xlpm.val)
                        ),
                        _xlfn.VSTACK(_xlpm.acc, _xlpm.row_data)
                    )
                )
            )
        )),
        1
    )
)</f>
        <v>SH_01/01 to BR1</v>
      </c>
      <c r="W3" s="91" t="str">
        <v>SCM0899</v>
      </c>
      <c r="X3" s="92" t="str">
        <v>SAP</v>
      </c>
      <c r="Y3" s="92" t="str">
        <v>L18_S09</v>
      </c>
      <c r="Z3" s="91">
        <v>27</v>
      </c>
      <c r="AA3" s="91">
        <v>2</v>
      </c>
      <c r="AB3" s="94">
        <v>1</v>
      </c>
      <c r="AD3" s="3" t="str" cm="1">
        <f t="array" aca="1" ref="AD3:AL358" ca="1">_xlfn.LET(_xlpm.header, OFFSET(_xlfn.ANCHORARRAY(Pile_01!$Z$2),-1,0,1),
     _xlpm.arr, _xlfn._xlws.SORT(_xlfn.VSTACK(_xlfn.ANCHORARRAY(Pile_01!$Z$2),_xlfn.ANCHORARRAY(Pile_02!$Z$2),_xlfn.ANCHORARRAY(Pile_03!$Z$2),_xlfn.ANCHORARRAY(Pile_04!$Z$2),_xlfn.ANCHORARRAY(Pile_05!$Z$2),_xlfn.ANCHORARRAY(Pile_06!$Z$2)),MATCH({"Pile_ID","Batch"}, _xlpm.header,0)),
     _xlpm.cln, _xlfn._xlws.FILTER(_xlpm.arr,_xlfn.TAKE(_xlpm.arr,,1)&lt;&gt;""),
     _xlpm.data, _xlfn.IFNA(_xlfn.VSTACK(_xlpm.header,_xlpm.cln,""),""),
     _xlpm.data)</f>
        <v>_*Haulage_ID</v>
      </c>
      <c r="AE3" s="3" t="str">
        <f ca="1"/>
        <v>Truck_ID</v>
      </c>
      <c r="AF3" s="3" t="str">
        <f ca="1"/>
        <v>Ore</v>
      </c>
      <c r="AG3" s="3" t="str">
        <f ca="1"/>
        <v>Stockpile</v>
      </c>
      <c r="AH3" s="3" t="str">
        <f ca="1"/>
        <v>Pile_ID</v>
      </c>
      <c r="AI3" s="3" t="str">
        <f ca="1"/>
        <v>Batch</v>
      </c>
      <c r="AJ3" s="3" t="str">
        <f ca="1"/>
        <v>Sample</v>
      </c>
      <c r="AK3" s="3" t="str">
        <f ca="1"/>
        <v>Status</v>
      </c>
      <c r="AL3" s="105" t="str">
        <f ca="1"/>
        <v>Remark*_</v>
      </c>
      <c r="AN3" s="1" t="str" cm="1">
        <f t="array" aca="1" ref="AN3:AS7" ca="1">_xlfn.LET(
    _xlpm.data, _xlfn.DROP(_xlfn._xlws.FILTER(_xlfn.ANCHORARRAY($AD$3), _xlfn.TAKE(_xlfn.ANCHORARRAY($AD$3),,1)&lt;&gt;""),1),
    _xlpm.hdr, _xlfn.TAKE(_xlfn.ANCHORARRAY($AD$3),1),
    _xlpm.pile, _xlfn.CHOOSECOLS(_xlpm.data, MATCH({"Pile_ID","Ore"}, _xlpm.hdr,0)),
    _xlpm.batchRaw, _xlfn.CHOOSECOLS(_xlpm.data, MATCH("Batch", _xlpm.hdr,0)),
    _xlpm.btch, IFERROR(VALUE(_xlfn.TEXTBEFORE(_xlpm.batchRaw,"/")), ""),
    _xlpm.inc, --(_xlfn.CHOOSECOLS(_xlpm.data, MATCH("Sample", _xlpm.hdr,0))="Yes"),
    _xlpm.trck, --(_xlfn.CHOOSECOLS(_xlpm.data, MATCH("Remark*_", _xlpm.hdr,0))="TRUCK SALAH"),
    _xlpm.g_rit, _xlfn.GROUPBY(_xlpm.pile, _xlpm.btch, _xleta.COUNTA),
    _xlpm.g_batch, _xlfn.GROUPBY(_xlpm.pile, _xlpm.btch, _xlfn.LAMBDA(_xlpm.x, COUNTA(_xlfn.UNIQUE(_xlpm.x)))),
    _xlpm.g_inc, _xlfn.GROUPBY(_xlpm.pile, _xlpm.inc, _xleta.SUM),
    _xlpm.g_truck, _xlfn.GROUPBY(_xlpm.pile, _xlpm.trck, _xleta.SUM),
    _xlpm.summary, _xlfn.HSTACK(_xlpm.g_rit, _xlfn.CHOOSECOLS(_xlpm.g_batch, 3), _xlfn.CHOOSECOLS(_xlpm.g_inc, 3), _xlfn.CHOOSECOLS(_xlpm.g_truck, 3)),
    _xlfn.IFNA(_xlfn.VSTACK({"_*Pile_ID","Ore","Rit","Batch","Incr","Truck Salah*_"}, _xlpm.summary,""), "")
)</f>
        <v>_*Pile_ID</v>
      </c>
      <c r="AO3" s="1" t="str">
        <f ca="1"/>
        <v>Ore</v>
      </c>
      <c r="AP3" s="1" t="str">
        <f ca="1"/>
        <v>Rit</v>
      </c>
      <c r="AQ3" s="1" t="str">
        <f ca="1"/>
        <v>Batch</v>
      </c>
      <c r="AR3" s="1" t="str">
        <f ca="1"/>
        <v>Incr</v>
      </c>
      <c r="AS3" s="1" t="str">
        <f ca="1"/>
        <v>Truck Salah*_</v>
      </c>
      <c r="AT3" s="1" t="str" cm="1">
        <f t="array" ref="AT3:BA29">_xlfn.LET( _xlpm.arr, _xlfn.VSTACK(_xlfn.ANCHORARRAY($V$3),_xlfn.ANCHORARRAY(Pile_01!$O$3),_xlfn.ANCHORARRAY(Pile_02!$O$2),_xlfn.ANCHORARRAY(Pile_03!$O$2),_xlfn.ANCHORARRAY(Pile_04!$O$2),_xlfn.ANCHORARRAY(Pile_05!$O$2),_xlfn.ANCHORARRAY(Pile_06!$O$2)),
      _xlpm.list, _xlfn._xlws.FILTER(_xlpm.arr, _xlfn.TAKE(_xlpm.arr,,1)&lt;&gt;""),
      _xlpm.field, _xlfn.TAKE(_xlpm.list,,5),
      _xlpm.rit, _xlfn.CHOOSECOLS(_xlpm.list,6),
      _xlpm.maxR, _xlfn.GROUPBY(_xlpm.field, _xlpm.rit, _xleta.MAX,,0),
      _xlpm.minR, _xlfn.GROUPBY(_xlpm.field, _xlpm.rit, _xleta.MIN,,0),
      _xlpm.bag, _xlfn.GROUPBY(_xlpm.field, _xlfn.DROP(_xlpm.list,,6), _xleta.SUM,,0),
      _xlpm.sample, _xlfn._xlws.SORT(_xlfn.HSTACK(_xlfn.TAKE(_xlpm.minR,,6), _xlfn.DROP(_xlpm.maxR,,5), _xlfn.DROP(_xlpm.bag,,5)),,-1),
      _xlpm.header, _xlfn.IFNA(_xlfn.VSTACK("*SAMPLE HANDLING*",{"_*Status","Dispatcher","Ore","Pile_ID","Batch","Incr_F","Incr_T","Total Bag*_"}),""),
      _xlpm.rslt, _xlfn.IFNA(_xlfn.VSTACK(_xlpm.header,_xlpm.sample,""),""),
      _xlpm.rslt)</f>
        <v>*SAMPLE HANDLING*</v>
      </c>
      <c r="AU3" s="1" t="str">
        <v/>
      </c>
      <c r="AV3" s="1" t="str">
        <v/>
      </c>
      <c r="AW3" s="1" t="str">
        <v/>
      </c>
      <c r="AX3" s="3" t="str">
        <v/>
      </c>
      <c r="AY3" s="3" t="str">
        <v/>
      </c>
      <c r="AZ3" s="3" t="str">
        <v/>
      </c>
      <c r="BA3" s="3" t="str">
        <v/>
      </c>
      <c r="BC3" s="90" cm="1">
        <f t="array" ref="BC3:BV99">_xlfn.LET(
    _xlpm.data,_xlfn.ANCHORARRAY( BZ3),
    _xlpm.rit_f, Sample_Pos[Rit_F],
    _xlpm.rit_t, Sample_Pos[Rit_T],
    _xlfn.DROP(_xlfn.REDUCE("", _xlfn.SEQUENCE(ROWS(_xlpm.data)), _xlfn.LAMBDA(_xlpm.acc,_xlpm.i,
        _xlfn.LET(
            _xlpm.row_data, INDEX(_xlpm.data, _xlpm.i, 0),
            _xlpm.f, INDEX(_xlpm.rit_f, _xlpm.i),
            _xlpm.t, INDEX(_xlpm.rit_t, _xlpm.i),
            _xlpm.is_valid, ISNUMBER(_xlpm.f) * ISNUMBER(_xlpm.t),
            _xlpm.filt, IF(_xlpm.is_valid, _xlfn._xlws.FILTER(_xlpm.row_data, (_xlpm.row_data &gt;= _xlpm.f) * (_xlpm.row_data &lt;= _xlpm.t), ""), ""),
            _xlfn.IFNA(_xlfn.VSTACK(_xlpm.acc, _xlpm.filt), "")
        )
    )), 1)
)</f>
        <v>2</v>
      </c>
      <c r="BD3" s="90">
        <v>4</v>
      </c>
      <c r="BE3" s="90">
        <v>6</v>
      </c>
      <c r="BF3" s="90">
        <v>8</v>
      </c>
      <c r="BG3" s="90">
        <v>10</v>
      </c>
      <c r="BH3" s="90">
        <v>12</v>
      </c>
      <c r="BI3" s="1">
        <v>14</v>
      </c>
      <c r="BJ3" s="1">
        <v>16</v>
      </c>
      <c r="BK3" s="1">
        <v>18</v>
      </c>
      <c r="BL3" s="1">
        <v>20</v>
      </c>
      <c r="BM3" s="1" t="str">
        <v/>
      </c>
      <c r="BN3" s="1" t="str">
        <v/>
      </c>
      <c r="BO3" s="1" t="str">
        <v/>
      </c>
      <c r="BP3" s="1" t="str">
        <v/>
      </c>
      <c r="BQ3" s="1" t="str">
        <v/>
      </c>
      <c r="BR3" s="1" t="str">
        <v/>
      </c>
      <c r="BS3" s="1" t="str">
        <v/>
      </c>
      <c r="BT3" s="1" t="str">
        <v/>
      </c>
      <c r="BU3" s="1" t="str">
        <v/>
      </c>
      <c r="BV3" s="1" t="str">
        <v/>
      </c>
      <c r="BZ3" s="104" cm="1">
        <f t="array" ref="BZ3:CS99">_xlfn.LET(
    _xlpm.val, _xlfn.XLOOKUP(Sample_Pos[Pile_ID_],Sample_Pending[Pile_ID],_xlfn.ANCHORARRAY(Regist!$AD$8),""),
    _xlpm.ore, Int_Sample[Ore],
    _xlpm.inc_arr, Int_Sample[Inc],
    _xlpm.batch_arr, Int_Sample[Batch],
    _xlpm.inc, _xlfn.XLOOKUP(_xlpm.val, _xlpm.ore, _xlpm.inc_arr, 0),
    _xlpm.batch, _xlfn.XLOOKUP(_xlpm.val, _xlpm.ore, _xlpm.batch_arr, 0),
    _xlpm.max_cols, MAX(1, IFERROR(ROUNDUP(_xlpm.batch / _xlpm.inc, 0), 0)),
    _xlfn.MAKEARRAY(ROWS(_xlpm.val), _xlpm.max_cols, _xlfn.LAMBDA(_xlpm.r,_xlpm.c,
        _xlfn.LET(
            _xlpm.inc_r, INDEX(_xlpm.inc, _xlpm.r),
            _xlpm.batch_r, INDEX(_xlpm.batch, _xlpm.r),
            _xlpm.nilai, _xlpm.c * _xlpm.inc_r,
            IF(AND(_xlpm.inc_r &gt; 0, _xlpm.nilai &lt;= _xlpm.batch_r), _xlpm.nilai, "")
        )
    ))
)</f>
        <v>2</v>
      </c>
      <c r="CA3" s="104">
        <v>4</v>
      </c>
      <c r="CB3" s="104">
        <v>6</v>
      </c>
      <c r="CC3" s="104">
        <v>8</v>
      </c>
      <c r="CD3" s="104">
        <v>10</v>
      </c>
      <c r="CE3" s="104">
        <v>12</v>
      </c>
      <c r="CF3" s="104">
        <v>14</v>
      </c>
      <c r="CG3" s="104">
        <v>16</v>
      </c>
      <c r="CH3" s="104">
        <v>18</v>
      </c>
      <c r="CI3" s="104">
        <v>20</v>
      </c>
      <c r="CJ3" s="104" t="str">
        <v/>
      </c>
      <c r="CK3" s="104" t="str">
        <v/>
      </c>
      <c r="CL3" s="104" t="str">
        <v/>
      </c>
      <c r="CM3" s="104" t="str">
        <v/>
      </c>
      <c r="CN3" s="104" t="str">
        <v/>
      </c>
      <c r="CO3" s="104" t="str">
        <v/>
      </c>
      <c r="CP3" s="104" t="str">
        <v/>
      </c>
      <c r="CQ3" s="104" t="str">
        <v/>
      </c>
      <c r="CR3" s="104" t="str">
        <v/>
      </c>
      <c r="CS3" s="104" t="str">
        <v/>
      </c>
    </row>
    <row r="4" spans="1:99" x14ac:dyDescent="0.25">
      <c r="A4" s="1" t="str">
        <v>BR-C12_L12</v>
      </c>
      <c r="B4" s="1" t="str">
        <v>Not Picked Up</v>
      </c>
      <c r="C4" s="1">
        <v>241015</v>
      </c>
      <c r="D4" s="1" t="str">
        <v>Karunia Rener Simon Tandidatu</v>
      </c>
      <c r="E4" s="1" t="str">
        <v>SAP</v>
      </c>
      <c r="F4" s="1">
        <v>1</v>
      </c>
      <c r="G4" s="1" t="str">
        <v>VALID</v>
      </c>
      <c r="H4" s="1" t="str">
        <v>2, 4, 6, 8, 10, 12, 14, 16, 18, 20</v>
      </c>
      <c r="J4" s="79">
        <v>1</v>
      </c>
      <c r="K4" s="48" t="s">
        <v>2599</v>
      </c>
      <c r="L4" s="49">
        <v>28</v>
      </c>
      <c r="M4" s="49">
        <v>2</v>
      </c>
      <c r="N4" s="49">
        <v>20</v>
      </c>
      <c r="O4" s="80" t="s">
        <v>102</v>
      </c>
      <c r="P4" s="50" t="s">
        <v>2522</v>
      </c>
      <c r="R4" s="77">
        <v>10</v>
      </c>
      <c r="S4" s="59" t="str">
        <v>Rikal Ma'ruf</v>
      </c>
      <c r="V4" s="91" t="str">
        <v>SH_01/01 to BR1</v>
      </c>
      <c r="W4" s="91" t="str">
        <v>SCM0899</v>
      </c>
      <c r="X4" s="92" t="str">
        <v>SAP</v>
      </c>
      <c r="Y4" s="92" t="str">
        <v>L18_S09</v>
      </c>
      <c r="Z4" s="91">
        <v>27</v>
      </c>
      <c r="AA4" s="91">
        <v>4</v>
      </c>
      <c r="AB4" s="94">
        <v>1</v>
      </c>
      <c r="AD4" s="1" t="str">
        <f ca="1"/>
        <v>46211/D|BR1/01</v>
      </c>
      <c r="AE4" s="1" t="str">
        <f ca="1"/>
        <v>STM-A40_0121</v>
      </c>
      <c r="AF4" s="1" t="str">
        <f ca="1"/>
        <v>SAP</v>
      </c>
      <c r="AG4" s="1" t="str">
        <f ca="1"/>
        <v>LS_18</v>
      </c>
      <c r="AH4" s="1" t="str">
        <f ca="1"/>
        <v>L18_S09</v>
      </c>
      <c r="AI4" s="1" t="str">
        <f ca="1"/>
        <v>024 / 011</v>
      </c>
      <c r="AJ4" s="3" t="str">
        <f ca="1"/>
        <v>No</v>
      </c>
      <c r="AK4" s="1" t="str">
        <f ca="1"/>
        <v/>
      </c>
      <c r="AL4" s="105" t="str">
        <f ca="1"/>
        <v/>
      </c>
      <c r="AN4" s="1" t="str">
        <f ca="1"/>
        <v>L18_S09</v>
      </c>
      <c r="AO4" s="1" t="str">
        <f ca="1"/>
        <v>SAP</v>
      </c>
      <c r="AP4" s="1">
        <f ca="1"/>
        <v>214</v>
      </c>
      <c r="AQ4" s="1">
        <f ca="1"/>
        <v>16</v>
      </c>
      <c r="AR4" s="1">
        <f ca="1"/>
        <v>107</v>
      </c>
      <c r="AS4" s="1">
        <f ca="1"/>
        <v>23</v>
      </c>
      <c r="AT4" s="1" t="str">
        <v>_*Status</v>
      </c>
      <c r="AU4" s="1" t="str">
        <v>Dispatcher</v>
      </c>
      <c r="AV4" s="1" t="str">
        <v>Ore</v>
      </c>
      <c r="AW4" s="1" t="str">
        <v>Pile_ID</v>
      </c>
      <c r="AX4" s="3" t="str">
        <v>Batch</v>
      </c>
      <c r="AY4" s="3" t="str">
        <v>Incr_F</v>
      </c>
      <c r="AZ4" s="3" t="str">
        <v>Incr_T</v>
      </c>
      <c r="BA4" s="3" t="str">
        <v>Total Bag*_</v>
      </c>
      <c r="BC4" s="90">
        <v>2</v>
      </c>
      <c r="BD4" s="90">
        <v>4</v>
      </c>
      <c r="BE4" s="90">
        <v>6</v>
      </c>
      <c r="BF4" s="90">
        <v>8</v>
      </c>
      <c r="BG4" s="90">
        <v>10</v>
      </c>
      <c r="BH4" s="90">
        <v>12</v>
      </c>
      <c r="BI4" s="1">
        <v>14</v>
      </c>
      <c r="BJ4" s="1">
        <v>16</v>
      </c>
      <c r="BK4" s="1">
        <v>18</v>
      </c>
      <c r="BL4" s="1">
        <v>20</v>
      </c>
      <c r="BM4" s="1" t="str">
        <v/>
      </c>
      <c r="BN4" s="1" t="str">
        <v/>
      </c>
      <c r="BO4" s="1" t="str">
        <v/>
      </c>
      <c r="BP4" s="1" t="str">
        <v/>
      </c>
      <c r="BQ4" s="1" t="str">
        <v/>
      </c>
      <c r="BR4" s="1" t="str">
        <v/>
      </c>
      <c r="BS4" s="1" t="str">
        <v/>
      </c>
      <c r="BT4" s="1" t="str">
        <v/>
      </c>
      <c r="BU4" s="1" t="str">
        <v/>
      </c>
      <c r="BV4" s="1" t="str">
        <v/>
      </c>
      <c r="BZ4" s="104">
        <v>2</v>
      </c>
      <c r="CA4" s="104">
        <v>4</v>
      </c>
      <c r="CB4" s="104">
        <v>6</v>
      </c>
      <c r="CC4" s="104">
        <v>8</v>
      </c>
      <c r="CD4" s="104">
        <v>10</v>
      </c>
      <c r="CE4" s="104">
        <v>12</v>
      </c>
      <c r="CF4" s="104">
        <v>14</v>
      </c>
      <c r="CG4" s="104">
        <v>16</v>
      </c>
      <c r="CH4" s="104">
        <v>18</v>
      </c>
      <c r="CI4" s="104">
        <v>20</v>
      </c>
      <c r="CJ4" s="104" t="str">
        <v/>
      </c>
      <c r="CK4" s="104" t="str">
        <v/>
      </c>
      <c r="CL4" s="104" t="str">
        <v/>
      </c>
      <c r="CM4" s="104" t="str">
        <v/>
      </c>
      <c r="CN4" s="104" t="str">
        <v/>
      </c>
      <c r="CO4" s="104" t="str">
        <v/>
      </c>
      <c r="CP4" s="104" t="str">
        <v/>
      </c>
      <c r="CQ4" s="104" t="str">
        <v/>
      </c>
      <c r="CR4" s="104" t="str">
        <v/>
      </c>
      <c r="CS4" s="104" t="str">
        <v/>
      </c>
    </row>
    <row r="5" spans="1:99" x14ac:dyDescent="0.25">
      <c r="A5" s="1" t="str">
        <v>BR-C6_S10</v>
      </c>
      <c r="C5" s="1" t="str">
        <v>SCM0268</v>
      </c>
      <c r="D5" s="1" t="str">
        <v>Mega Putri Arisanda</v>
      </c>
      <c r="E5" s="1" t="str">
        <v>SAP</v>
      </c>
      <c r="F5" s="1">
        <v>1</v>
      </c>
      <c r="G5" s="1" t="str">
        <v>VALID</v>
      </c>
      <c r="H5" s="1" t="str">
        <v>2, 4, 6, 8, 10, 12, 14, 16, 18, 20</v>
      </c>
      <c r="J5" s="79">
        <v>1</v>
      </c>
      <c r="K5" s="48" t="s">
        <v>2599</v>
      </c>
      <c r="L5" s="49">
        <v>29</v>
      </c>
      <c r="M5" s="49">
        <v>2</v>
      </c>
      <c r="N5" s="49">
        <v>20</v>
      </c>
      <c r="O5" s="80" t="s">
        <v>102</v>
      </c>
      <c r="P5" s="50" t="s">
        <v>2522</v>
      </c>
      <c r="R5" s="77">
        <v>10</v>
      </c>
      <c r="S5" s="59" t="str">
        <v>Rikal Ma'ruf</v>
      </c>
      <c r="V5" s="91" t="str">
        <v>SH_01/01 to BR1</v>
      </c>
      <c r="W5" s="91" t="str">
        <v>SCM0899</v>
      </c>
      <c r="X5" s="92" t="str">
        <v>SAP</v>
      </c>
      <c r="Y5" s="92" t="str">
        <v>L18_S09</v>
      </c>
      <c r="Z5" s="91">
        <v>27</v>
      </c>
      <c r="AA5" s="91">
        <v>6</v>
      </c>
      <c r="AB5" s="94">
        <v>1</v>
      </c>
      <c r="AD5" s="1" t="str">
        <f ca="1"/>
        <v>46211/D|BR1/01</v>
      </c>
      <c r="AE5" s="1" t="str">
        <f ca="1"/>
        <v>STM-A40_0119</v>
      </c>
      <c r="AF5" s="1" t="str">
        <f ca="1"/>
        <v>SAP</v>
      </c>
      <c r="AG5" s="1" t="str">
        <f ca="1"/>
        <v>LS_18</v>
      </c>
      <c r="AH5" s="1" t="str">
        <f ca="1"/>
        <v>L18_S09</v>
      </c>
      <c r="AI5" s="1" t="str">
        <f ca="1"/>
        <v>024 / 012</v>
      </c>
      <c r="AJ5" s="3" t="str">
        <f ca="1"/>
        <v>Yes</v>
      </c>
      <c r="AK5" s="1" t="str">
        <f ca="1"/>
        <v/>
      </c>
      <c r="AL5" s="105" t="str">
        <f ca="1"/>
        <v/>
      </c>
      <c r="AN5" s="1" t="str">
        <f ca="1"/>
        <v>L9_26</v>
      </c>
      <c r="AO5" s="1" t="str">
        <f ca="1"/>
        <v>LIM</v>
      </c>
      <c r="AP5" s="1">
        <f ca="1"/>
        <v>140</v>
      </c>
      <c r="AQ5" s="1">
        <f ca="1"/>
        <v>2</v>
      </c>
      <c r="AR5" s="1">
        <f ca="1"/>
        <v>28</v>
      </c>
      <c r="AS5" s="1">
        <f ca="1"/>
        <v>0</v>
      </c>
      <c r="AT5" s="1" t="str">
        <v>Unknown</v>
      </c>
      <c r="AU5" s="1" t="str">
        <v>Unknown</v>
      </c>
      <c r="AV5" s="1" t="str">
        <v>SAP</v>
      </c>
      <c r="AW5" s="1" t="str">
        <v>L18_S09</v>
      </c>
      <c r="AX5" s="3">
        <v>25</v>
      </c>
      <c r="AY5" s="3">
        <v>4</v>
      </c>
      <c r="AZ5" s="3">
        <v>4</v>
      </c>
      <c r="BA5" s="3">
        <v>1</v>
      </c>
      <c r="BC5" s="90">
        <v>2</v>
      </c>
      <c r="BD5" s="90">
        <v>4</v>
      </c>
      <c r="BE5" s="90">
        <v>6</v>
      </c>
      <c r="BF5" s="90">
        <v>8</v>
      </c>
      <c r="BG5" s="90">
        <v>10</v>
      </c>
      <c r="BH5" s="90">
        <v>12</v>
      </c>
      <c r="BI5" s="1">
        <v>14</v>
      </c>
      <c r="BJ5" s="1">
        <v>16</v>
      </c>
      <c r="BK5" s="1">
        <v>18</v>
      </c>
      <c r="BL5" s="1">
        <v>20</v>
      </c>
      <c r="BM5" s="1" t="str">
        <v/>
      </c>
      <c r="BN5" s="1" t="str">
        <v/>
      </c>
      <c r="BO5" s="1" t="str">
        <v/>
      </c>
      <c r="BP5" s="1" t="str">
        <v/>
      </c>
      <c r="BQ5" s="1" t="str">
        <v/>
      </c>
      <c r="BR5" s="1" t="str">
        <v/>
      </c>
      <c r="BS5" s="1" t="str">
        <v/>
      </c>
      <c r="BT5" s="1" t="str">
        <v/>
      </c>
      <c r="BU5" s="1" t="str">
        <v/>
      </c>
      <c r="BV5" s="1" t="str">
        <v/>
      </c>
      <c r="BZ5" s="104">
        <v>2</v>
      </c>
      <c r="CA5" s="104">
        <v>4</v>
      </c>
      <c r="CB5" s="104">
        <v>6</v>
      </c>
      <c r="CC5" s="104">
        <v>8</v>
      </c>
      <c r="CD5" s="104">
        <v>10</v>
      </c>
      <c r="CE5" s="104">
        <v>12</v>
      </c>
      <c r="CF5" s="104">
        <v>14</v>
      </c>
      <c r="CG5" s="104">
        <v>16</v>
      </c>
      <c r="CH5" s="104">
        <v>18</v>
      </c>
      <c r="CI5" s="104">
        <v>20</v>
      </c>
      <c r="CJ5" s="104" t="str">
        <v/>
      </c>
      <c r="CK5" s="104" t="str">
        <v/>
      </c>
      <c r="CL5" s="104" t="str">
        <v/>
      </c>
      <c r="CM5" s="104" t="str">
        <v/>
      </c>
      <c r="CN5" s="104" t="str">
        <v/>
      </c>
      <c r="CO5" s="104" t="str">
        <v/>
      </c>
      <c r="CP5" s="104" t="str">
        <v/>
      </c>
      <c r="CQ5" s="104" t="str">
        <v/>
      </c>
      <c r="CR5" s="104" t="str">
        <v/>
      </c>
      <c r="CS5" s="104" t="str">
        <v/>
      </c>
    </row>
    <row r="6" spans="1:99" x14ac:dyDescent="0.25">
      <c r="A6" s="1" t="str">
        <v>L18_S09</v>
      </c>
      <c r="C6" s="1" t="str">
        <v>SCM0285</v>
      </c>
      <c r="D6" s="1" t="str">
        <v>Ajumarlan</v>
      </c>
      <c r="E6" s="1" t="str">
        <v>SAP</v>
      </c>
      <c r="F6" s="1">
        <v>1</v>
      </c>
      <c r="G6" s="1" t="str">
        <v>VALID</v>
      </c>
      <c r="H6" s="1" t="str">
        <v>2, 4, 6, 8, 10, 12, 14, 16, 18, 20</v>
      </c>
      <c r="J6" s="79">
        <v>1</v>
      </c>
      <c r="K6" s="48" t="s">
        <v>2599</v>
      </c>
      <c r="L6" s="49">
        <v>19</v>
      </c>
      <c r="M6" s="49">
        <v>2</v>
      </c>
      <c r="N6" s="49">
        <v>20</v>
      </c>
      <c r="O6" s="80" t="s">
        <v>102</v>
      </c>
      <c r="P6" s="50" t="s">
        <v>2522</v>
      </c>
      <c r="R6" s="77">
        <v>10</v>
      </c>
      <c r="S6" s="59" t="str">
        <v>Rikal Ma'ruf</v>
      </c>
      <c r="V6" s="91" t="str">
        <v>SH_01/01 to BR1</v>
      </c>
      <c r="W6" s="91" t="str">
        <v>SCM0899</v>
      </c>
      <c r="X6" s="92" t="str">
        <v>SAP</v>
      </c>
      <c r="Y6" s="92" t="str">
        <v>L18_S09</v>
      </c>
      <c r="Z6" s="91">
        <v>27</v>
      </c>
      <c r="AA6" s="91">
        <v>8</v>
      </c>
      <c r="AB6" s="94">
        <v>1</v>
      </c>
      <c r="AD6" s="1" t="str">
        <f ca="1"/>
        <v>46211/D|BR1/01</v>
      </c>
      <c r="AE6" s="1" t="str">
        <f ca="1"/>
        <v>STM-A40_0107</v>
      </c>
      <c r="AF6" s="1" t="str">
        <f ca="1"/>
        <v>SAP</v>
      </c>
      <c r="AG6" s="1" t="str">
        <f ca="1"/>
        <v>LS_18</v>
      </c>
      <c r="AH6" s="1" t="str">
        <f ca="1"/>
        <v>L18_S09</v>
      </c>
      <c r="AI6" s="1" t="str">
        <f ca="1"/>
        <v>024 / 013</v>
      </c>
      <c r="AJ6" s="3" t="str">
        <f ca="1"/>
        <v>No</v>
      </c>
      <c r="AK6" s="1" t="str">
        <f ca="1"/>
        <v/>
      </c>
      <c r="AL6" s="105" t="str">
        <f ca="1"/>
        <v/>
      </c>
      <c r="AN6" s="1" t="str">
        <f ca="1"/>
        <v>Total</v>
      </c>
      <c r="AO6" s="1" t="str">
        <f ca="1"/>
        <v/>
      </c>
      <c r="AP6" s="1">
        <f ca="1"/>
        <v>354</v>
      </c>
      <c r="AQ6" s="1">
        <f ca="1"/>
        <v>18</v>
      </c>
      <c r="AR6" s="1">
        <f ca="1"/>
        <v>135</v>
      </c>
      <c r="AS6" s="1">
        <f ca="1"/>
        <v>23</v>
      </c>
      <c r="AT6" s="1" t="str">
        <v>SH_01/01 to BR1</v>
      </c>
      <c r="AU6" s="1" t="str">
        <v>SCM0899</v>
      </c>
      <c r="AV6" s="1" t="str">
        <v>LIM</v>
      </c>
      <c r="AW6" s="1" t="str">
        <v>L9_26</v>
      </c>
      <c r="AX6" s="3">
        <v>1</v>
      </c>
      <c r="AY6" s="3">
        <v>5</v>
      </c>
      <c r="AZ6" s="3">
        <v>100</v>
      </c>
      <c r="BA6" s="3">
        <v>10</v>
      </c>
      <c r="BC6" s="90">
        <v>2</v>
      </c>
      <c r="BD6" s="90">
        <v>4</v>
      </c>
      <c r="BE6" s="90">
        <v>6</v>
      </c>
      <c r="BF6" s="90">
        <v>8</v>
      </c>
      <c r="BG6" s="90">
        <v>10</v>
      </c>
      <c r="BH6" s="90">
        <v>12</v>
      </c>
      <c r="BI6" s="1">
        <v>14</v>
      </c>
      <c r="BJ6" s="1">
        <v>16</v>
      </c>
      <c r="BK6" s="1">
        <v>18</v>
      </c>
      <c r="BL6" s="1">
        <v>20</v>
      </c>
      <c r="BM6" s="1" t="str">
        <v/>
      </c>
      <c r="BN6" s="1" t="str">
        <v/>
      </c>
      <c r="BO6" s="1" t="str">
        <v/>
      </c>
      <c r="BP6" s="1" t="str">
        <v/>
      </c>
      <c r="BQ6" s="1" t="str">
        <v/>
      </c>
      <c r="BR6" s="1" t="str">
        <v/>
      </c>
      <c r="BS6" s="1" t="str">
        <v/>
      </c>
      <c r="BT6" s="1" t="str">
        <v/>
      </c>
      <c r="BU6" s="1" t="str">
        <v/>
      </c>
      <c r="BV6" s="1" t="str">
        <v/>
      </c>
      <c r="BZ6" s="104">
        <v>2</v>
      </c>
      <c r="CA6" s="104">
        <v>4</v>
      </c>
      <c r="CB6" s="104">
        <v>6</v>
      </c>
      <c r="CC6" s="104">
        <v>8</v>
      </c>
      <c r="CD6" s="104">
        <v>10</v>
      </c>
      <c r="CE6" s="104">
        <v>12</v>
      </c>
      <c r="CF6" s="104">
        <v>14</v>
      </c>
      <c r="CG6" s="104">
        <v>16</v>
      </c>
      <c r="CH6" s="104">
        <v>18</v>
      </c>
      <c r="CI6" s="104">
        <v>20</v>
      </c>
      <c r="CJ6" s="104" t="str">
        <v/>
      </c>
      <c r="CK6" s="104" t="str">
        <v/>
      </c>
      <c r="CL6" s="104" t="str">
        <v/>
      </c>
      <c r="CM6" s="104" t="str">
        <v/>
      </c>
      <c r="CN6" s="104" t="str">
        <v/>
      </c>
      <c r="CO6" s="104" t="str">
        <v/>
      </c>
      <c r="CP6" s="104" t="str">
        <v/>
      </c>
      <c r="CQ6" s="104" t="str">
        <v/>
      </c>
      <c r="CR6" s="104" t="str">
        <v/>
      </c>
      <c r="CS6" s="104" t="str">
        <v/>
      </c>
    </row>
    <row r="7" spans="1:99" x14ac:dyDescent="0.25">
      <c r="A7" s="1" t="str">
        <v>S5_93</v>
      </c>
      <c r="C7" s="1" t="str">
        <v>SCM0290</v>
      </c>
      <c r="D7" s="1" t="str">
        <v>Hardin</v>
      </c>
      <c r="E7" s="1" t="str">
        <v>SAP</v>
      </c>
      <c r="F7" s="1">
        <v>1</v>
      </c>
      <c r="G7" s="1" t="str">
        <v>VALID</v>
      </c>
      <c r="H7" s="1" t="str">
        <v>2, 4, 6, 8, 10, 12, 14, 16, 18, 20</v>
      </c>
      <c r="J7" s="79">
        <v>1</v>
      </c>
      <c r="K7" s="48" t="s">
        <v>2599</v>
      </c>
      <c r="L7" s="49">
        <v>30</v>
      </c>
      <c r="M7" s="49">
        <v>2</v>
      </c>
      <c r="N7" s="49">
        <v>20</v>
      </c>
      <c r="O7" s="80" t="s">
        <v>102</v>
      </c>
      <c r="P7" s="50" t="s">
        <v>2522</v>
      </c>
      <c r="R7" s="77">
        <v>10</v>
      </c>
      <c r="S7" s="59" t="str">
        <v>Rikal Ma'ruf</v>
      </c>
      <c r="V7" s="91" t="str">
        <v>SH_01/01 to BR1</v>
      </c>
      <c r="W7" s="91" t="str">
        <v>SCM0899</v>
      </c>
      <c r="X7" s="92" t="str">
        <v>SAP</v>
      </c>
      <c r="Y7" s="92" t="str">
        <v>L18_S09</v>
      </c>
      <c r="Z7" s="91">
        <v>27</v>
      </c>
      <c r="AA7" s="91">
        <v>10</v>
      </c>
      <c r="AB7" s="94">
        <v>1</v>
      </c>
      <c r="AD7" s="1" t="str">
        <f ca="1"/>
        <v>46211/D|BR1/01</v>
      </c>
      <c r="AE7" s="1" t="str">
        <f ca="1"/>
        <v>STM-A40_0105</v>
      </c>
      <c r="AF7" s="1" t="str">
        <f ca="1"/>
        <v>SAP</v>
      </c>
      <c r="AG7" s="1" t="str">
        <f ca="1"/>
        <v>LS_18</v>
      </c>
      <c r="AH7" s="1" t="str">
        <f ca="1"/>
        <v>L18_S09</v>
      </c>
      <c r="AI7" s="1" t="str">
        <f ca="1"/>
        <v>024 / 014</v>
      </c>
      <c r="AJ7" s="3" t="str">
        <f ca="1"/>
        <v>Yes</v>
      </c>
      <c r="AK7" s="1" t="str">
        <f ca="1"/>
        <v/>
      </c>
      <c r="AL7" s="105" t="str">
        <f ca="1"/>
        <v/>
      </c>
      <c r="AN7" s="1" t="str">
        <f ca="1"/>
        <v/>
      </c>
      <c r="AO7" s="1" t="str">
        <f ca="1"/>
        <v/>
      </c>
      <c r="AP7" s="1" t="str">
        <f ca="1"/>
        <v/>
      </c>
      <c r="AQ7" s="1" t="str">
        <f ca="1"/>
        <v/>
      </c>
      <c r="AR7" s="1" t="str">
        <f ca="1"/>
        <v/>
      </c>
      <c r="AS7" s="1" t="str">
        <f ca="1"/>
        <v/>
      </c>
      <c r="AT7" s="1" t="str">
        <v>SH_01/01 to BR1</v>
      </c>
      <c r="AU7" s="1" t="str">
        <v>SCM0899</v>
      </c>
      <c r="AV7" s="1" t="str">
        <v>LIM</v>
      </c>
      <c r="AW7" s="1" t="str">
        <v>L9_26</v>
      </c>
      <c r="AX7" s="3">
        <v>2</v>
      </c>
      <c r="AY7" s="3">
        <v>5</v>
      </c>
      <c r="AZ7" s="3">
        <v>100</v>
      </c>
      <c r="BA7" s="3">
        <v>10</v>
      </c>
      <c r="BC7" s="90">
        <v>2</v>
      </c>
      <c r="BD7" s="90">
        <v>4</v>
      </c>
      <c r="BE7" s="90">
        <v>6</v>
      </c>
      <c r="BF7" s="90">
        <v>8</v>
      </c>
      <c r="BG7" s="90">
        <v>10</v>
      </c>
      <c r="BH7" s="90">
        <v>12</v>
      </c>
      <c r="BI7" s="1">
        <v>14</v>
      </c>
      <c r="BJ7" s="1">
        <v>16</v>
      </c>
      <c r="BK7" s="1">
        <v>18</v>
      </c>
      <c r="BL7" s="1">
        <v>20</v>
      </c>
      <c r="BM7" s="1" t="str">
        <v/>
      </c>
      <c r="BN7" s="1" t="str">
        <v/>
      </c>
      <c r="BO7" s="1" t="str">
        <v/>
      </c>
      <c r="BP7" s="1" t="str">
        <v/>
      </c>
      <c r="BQ7" s="1" t="str">
        <v/>
      </c>
      <c r="BR7" s="1" t="str">
        <v/>
      </c>
      <c r="BS7" s="1" t="str">
        <v/>
      </c>
      <c r="BT7" s="1" t="str">
        <v/>
      </c>
      <c r="BU7" s="1" t="str">
        <v/>
      </c>
      <c r="BV7" s="1" t="str">
        <v/>
      </c>
      <c r="BZ7" s="104">
        <v>2</v>
      </c>
      <c r="CA7" s="104">
        <v>4</v>
      </c>
      <c r="CB7" s="104">
        <v>6</v>
      </c>
      <c r="CC7" s="104">
        <v>8</v>
      </c>
      <c r="CD7" s="104">
        <v>10</v>
      </c>
      <c r="CE7" s="104">
        <v>12</v>
      </c>
      <c r="CF7" s="104">
        <v>14</v>
      </c>
      <c r="CG7" s="104">
        <v>16</v>
      </c>
      <c r="CH7" s="104">
        <v>18</v>
      </c>
      <c r="CI7" s="104">
        <v>20</v>
      </c>
      <c r="CJ7" s="104" t="str">
        <v/>
      </c>
      <c r="CK7" s="104" t="str">
        <v/>
      </c>
      <c r="CL7" s="104" t="str">
        <v/>
      </c>
      <c r="CM7" s="104" t="str">
        <v/>
      </c>
      <c r="CN7" s="104" t="str">
        <v/>
      </c>
      <c r="CO7" s="104" t="str">
        <v/>
      </c>
      <c r="CP7" s="104" t="str">
        <v/>
      </c>
      <c r="CQ7" s="104" t="str">
        <v/>
      </c>
      <c r="CR7" s="104" t="str">
        <v/>
      </c>
      <c r="CS7" s="104" t="str">
        <v/>
      </c>
    </row>
    <row r="8" spans="1:99" x14ac:dyDescent="0.25">
      <c r="A8" s="1" t="str">
        <v>L9_26</v>
      </c>
      <c r="C8" s="1" t="str">
        <v>SCM0293</v>
      </c>
      <c r="D8" s="1" t="str">
        <v>Aswar Meilsandy</v>
      </c>
      <c r="E8" s="1" t="str">
        <v>LIM</v>
      </c>
      <c r="F8" s="1">
        <v>1</v>
      </c>
      <c r="G8" s="1" t="str">
        <v>VALID</v>
      </c>
      <c r="H8" s="1" t="str">
        <v>5, 10, 15, 20, 25, 30, 35, 40, 45, 50, 55, 60, 65, 70, 75, 80, 85, 90, 95, 100</v>
      </c>
      <c r="J8" s="79">
        <v>1</v>
      </c>
      <c r="K8" s="48" t="s">
        <v>2601</v>
      </c>
      <c r="L8" s="49">
        <v>1</v>
      </c>
      <c r="M8" s="49">
        <v>5</v>
      </c>
      <c r="N8" s="49">
        <v>100</v>
      </c>
      <c r="O8" s="80" t="s">
        <v>102</v>
      </c>
      <c r="P8" s="50" t="s">
        <v>2522</v>
      </c>
      <c r="R8" s="77">
        <v>10</v>
      </c>
      <c r="S8" s="59" t="str">
        <v>Rikal Ma'ruf</v>
      </c>
      <c r="V8" s="91" t="str">
        <v>SH_01/01 to BR1</v>
      </c>
      <c r="W8" s="91" t="str">
        <v>SCM0899</v>
      </c>
      <c r="X8" s="92" t="str">
        <v>SAP</v>
      </c>
      <c r="Y8" s="92" t="str">
        <v>L18_S09</v>
      </c>
      <c r="Z8" s="91">
        <v>27</v>
      </c>
      <c r="AA8" s="91">
        <v>12</v>
      </c>
      <c r="AB8" s="94">
        <v>1</v>
      </c>
      <c r="AD8" s="1" t="str">
        <f ca="1"/>
        <v>46211/D|BR1/01</v>
      </c>
      <c r="AE8" s="1" t="str">
        <f ca="1"/>
        <v>STM-A40_0136</v>
      </c>
      <c r="AF8" s="1" t="str">
        <f ca="1"/>
        <v>SAP</v>
      </c>
      <c r="AG8" s="1" t="str">
        <f ca="1"/>
        <v>LS_18</v>
      </c>
      <c r="AH8" s="1" t="str">
        <f ca="1"/>
        <v>L18_S09</v>
      </c>
      <c r="AI8" s="1" t="str">
        <f ca="1"/>
        <v>024 / 015</v>
      </c>
      <c r="AJ8" s="3" t="str">
        <f ca="1"/>
        <v>No</v>
      </c>
      <c r="AK8" s="1" t="str">
        <f ca="1"/>
        <v/>
      </c>
      <c r="AL8" s="105" t="str">
        <f ca="1"/>
        <v/>
      </c>
      <c r="AT8" s="1" t="str">
        <v>SH_01/01 to BR1</v>
      </c>
      <c r="AU8" s="1" t="str">
        <v>SCM0899</v>
      </c>
      <c r="AV8" s="1" t="str">
        <v>SAP</v>
      </c>
      <c r="AW8" s="1" t="str">
        <v>L18_S09</v>
      </c>
      <c r="AX8" s="3">
        <v>19</v>
      </c>
      <c r="AY8" s="3">
        <v>2</v>
      </c>
      <c r="AZ8" s="3">
        <v>20</v>
      </c>
      <c r="BA8" s="3">
        <v>10</v>
      </c>
      <c r="BC8" s="1">
        <v>5</v>
      </c>
      <c r="BD8" s="1">
        <v>10</v>
      </c>
      <c r="BE8" s="1">
        <v>15</v>
      </c>
      <c r="BF8" s="1">
        <v>20</v>
      </c>
      <c r="BG8" s="1">
        <v>25</v>
      </c>
      <c r="BH8" s="1">
        <v>30</v>
      </c>
      <c r="BI8" s="1">
        <v>35</v>
      </c>
      <c r="BJ8" s="1">
        <v>40</v>
      </c>
      <c r="BK8" s="1">
        <v>45</v>
      </c>
      <c r="BL8" s="1">
        <v>50</v>
      </c>
      <c r="BM8" s="1">
        <v>55</v>
      </c>
      <c r="BN8" s="1">
        <v>60</v>
      </c>
      <c r="BO8" s="1">
        <v>65</v>
      </c>
      <c r="BP8" s="1">
        <v>70</v>
      </c>
      <c r="BQ8" s="1">
        <v>75</v>
      </c>
      <c r="BR8" s="1">
        <v>80</v>
      </c>
      <c r="BS8" s="1">
        <v>85</v>
      </c>
      <c r="BT8" s="1">
        <v>90</v>
      </c>
      <c r="BU8" s="1">
        <v>95</v>
      </c>
      <c r="BV8" s="1">
        <v>100</v>
      </c>
      <c r="BZ8" s="104">
        <v>5</v>
      </c>
      <c r="CA8" s="104">
        <v>10</v>
      </c>
      <c r="CB8" s="104">
        <v>15</v>
      </c>
      <c r="CC8" s="104">
        <v>20</v>
      </c>
      <c r="CD8" s="104">
        <v>25</v>
      </c>
      <c r="CE8" s="104">
        <v>30</v>
      </c>
      <c r="CF8" s="104">
        <v>35</v>
      </c>
      <c r="CG8" s="104">
        <v>40</v>
      </c>
      <c r="CH8" s="104">
        <v>45</v>
      </c>
      <c r="CI8" s="104">
        <v>50</v>
      </c>
      <c r="CJ8" s="104">
        <v>55</v>
      </c>
      <c r="CK8" s="104">
        <v>60</v>
      </c>
      <c r="CL8" s="104">
        <v>65</v>
      </c>
      <c r="CM8" s="104">
        <v>70</v>
      </c>
      <c r="CN8" s="104">
        <v>75</v>
      </c>
      <c r="CO8" s="104">
        <v>80</v>
      </c>
      <c r="CP8" s="104">
        <v>85</v>
      </c>
      <c r="CQ8" s="104">
        <v>90</v>
      </c>
      <c r="CR8" s="104">
        <v>95</v>
      </c>
      <c r="CS8" s="104">
        <v>100</v>
      </c>
    </row>
    <row r="9" spans="1:99" x14ac:dyDescent="0.25">
      <c r="C9" s="1" t="str">
        <v>SCM0299</v>
      </c>
      <c r="D9" s="1" t="str">
        <v>Imam Noor Setiadi</v>
      </c>
      <c r="E9" s="1" t="str">
        <v>SAP</v>
      </c>
      <c r="F9" s="1">
        <v>1</v>
      </c>
      <c r="G9" s="1" t="str">
        <v>VALID</v>
      </c>
      <c r="H9" s="1" t="str">
        <v>2, 4, 6, 8, 10, 12, 14, 16, 18, 20</v>
      </c>
      <c r="J9" s="79">
        <v>1</v>
      </c>
      <c r="K9" s="48" t="s">
        <v>2599</v>
      </c>
      <c r="L9" s="49">
        <v>31</v>
      </c>
      <c r="M9" s="49">
        <v>2</v>
      </c>
      <c r="N9" s="49">
        <v>20</v>
      </c>
      <c r="O9" s="80" t="s">
        <v>102</v>
      </c>
      <c r="P9" s="50" t="s">
        <v>2522</v>
      </c>
      <c r="R9" s="77">
        <v>10</v>
      </c>
      <c r="S9" s="59" t="str">
        <v>Rikal Ma'ruf</v>
      </c>
      <c r="V9" s="91" t="str">
        <v>SH_01/01 to BR1</v>
      </c>
      <c r="W9" s="91" t="str">
        <v>SCM0899</v>
      </c>
      <c r="X9" s="92" t="str">
        <v>SAP</v>
      </c>
      <c r="Y9" s="92" t="str">
        <v>L18_S09</v>
      </c>
      <c r="Z9" s="91">
        <v>27</v>
      </c>
      <c r="AA9" s="91">
        <v>14</v>
      </c>
      <c r="AB9" s="94">
        <v>1</v>
      </c>
      <c r="AD9" s="1" t="str">
        <f ca="1"/>
        <v>46211/D|BR1/01</v>
      </c>
      <c r="AE9" s="1" t="str">
        <f ca="1"/>
        <v>STM-A40_0106</v>
      </c>
      <c r="AF9" s="1" t="str">
        <f ca="1"/>
        <v>SAP</v>
      </c>
      <c r="AG9" s="1" t="str">
        <f ca="1"/>
        <v>LS_18</v>
      </c>
      <c r="AH9" s="1" t="str">
        <f ca="1"/>
        <v>L18_S09</v>
      </c>
      <c r="AI9" s="1" t="str">
        <f ca="1"/>
        <v>024 / 016</v>
      </c>
      <c r="AJ9" s="3" t="str">
        <f ca="1"/>
        <v>Yes</v>
      </c>
      <c r="AK9" s="1" t="str">
        <f ca="1"/>
        <v/>
      </c>
      <c r="AL9" s="105" t="str">
        <f ca="1"/>
        <v/>
      </c>
      <c r="AT9" s="1" t="str">
        <v>SH_01/01 to BR1</v>
      </c>
      <c r="AU9" s="1" t="str">
        <v>SCM0899</v>
      </c>
      <c r="AV9" s="1" t="str">
        <v>SAP</v>
      </c>
      <c r="AW9" s="1" t="str">
        <v>L18_S09</v>
      </c>
      <c r="AX9" s="3">
        <v>24</v>
      </c>
      <c r="AY9" s="3">
        <v>2</v>
      </c>
      <c r="AZ9" s="3">
        <v>20</v>
      </c>
      <c r="BA9" s="3">
        <v>10</v>
      </c>
      <c r="BC9" s="1">
        <v>2</v>
      </c>
      <c r="BD9" s="1">
        <v>4</v>
      </c>
      <c r="BE9" s="1">
        <v>6</v>
      </c>
      <c r="BF9" s="1">
        <v>8</v>
      </c>
      <c r="BG9" s="1">
        <v>10</v>
      </c>
      <c r="BH9" s="1">
        <v>12</v>
      </c>
      <c r="BI9" s="1">
        <v>14</v>
      </c>
      <c r="BJ9" s="1">
        <v>16</v>
      </c>
      <c r="BK9" s="1">
        <v>18</v>
      </c>
      <c r="BL9" s="1">
        <v>20</v>
      </c>
      <c r="BM9" s="1" t="str">
        <v/>
      </c>
      <c r="BN9" s="1" t="str">
        <v/>
      </c>
      <c r="BO9" s="1" t="str">
        <v/>
      </c>
      <c r="BP9" s="1" t="str">
        <v/>
      </c>
      <c r="BQ9" s="1" t="str">
        <v/>
      </c>
      <c r="BR9" s="1" t="str">
        <v/>
      </c>
      <c r="BS9" s="1" t="str">
        <v/>
      </c>
      <c r="BT9" s="1" t="str">
        <v/>
      </c>
      <c r="BU9" s="1" t="str">
        <v/>
      </c>
      <c r="BV9" s="1" t="str">
        <v/>
      </c>
      <c r="BZ9" s="104">
        <v>2</v>
      </c>
      <c r="CA9" s="104">
        <v>4</v>
      </c>
      <c r="CB9" s="104">
        <v>6</v>
      </c>
      <c r="CC9" s="104">
        <v>8</v>
      </c>
      <c r="CD9" s="104">
        <v>10</v>
      </c>
      <c r="CE9" s="104">
        <v>12</v>
      </c>
      <c r="CF9" s="104">
        <v>14</v>
      </c>
      <c r="CG9" s="104">
        <v>16</v>
      </c>
      <c r="CH9" s="104">
        <v>18</v>
      </c>
      <c r="CI9" s="104">
        <v>20</v>
      </c>
      <c r="CJ9" s="104" t="str">
        <v/>
      </c>
      <c r="CK9" s="104" t="str">
        <v/>
      </c>
      <c r="CL9" s="104" t="str">
        <v/>
      </c>
      <c r="CM9" s="104" t="str">
        <v/>
      </c>
      <c r="CN9" s="104" t="str">
        <v/>
      </c>
      <c r="CO9" s="104" t="str">
        <v/>
      </c>
      <c r="CP9" s="104" t="str">
        <v/>
      </c>
      <c r="CQ9" s="104" t="str">
        <v/>
      </c>
      <c r="CR9" s="104" t="str">
        <v/>
      </c>
      <c r="CS9" s="104" t="str">
        <v/>
      </c>
    </row>
    <row r="10" spans="1:99" x14ac:dyDescent="0.25">
      <c r="C10" s="1" t="str">
        <v>SCM0333</v>
      </c>
      <c r="D10" s="1" t="str">
        <v>Raharjo Rahman</v>
      </c>
      <c r="E10" s="1" t="str">
        <v>SAP</v>
      </c>
      <c r="F10" s="1">
        <v>1</v>
      </c>
      <c r="G10" s="1" t="str">
        <v>VALID</v>
      </c>
      <c r="H10" s="1" t="str">
        <v>2, 4, 6, 8, 10, 12, 14, 16, 18, 20</v>
      </c>
      <c r="J10" s="79">
        <v>1</v>
      </c>
      <c r="K10" s="48" t="s">
        <v>2599</v>
      </c>
      <c r="L10" s="49">
        <v>24</v>
      </c>
      <c r="M10" s="49">
        <v>2</v>
      </c>
      <c r="N10" s="49">
        <v>20</v>
      </c>
      <c r="O10" s="80" t="s">
        <v>102</v>
      </c>
      <c r="P10" s="50" t="s">
        <v>2522</v>
      </c>
      <c r="R10" s="77">
        <v>10</v>
      </c>
      <c r="S10" s="59" t="str">
        <v>Rikal Ma'ruf</v>
      </c>
      <c r="V10" s="91" t="str">
        <v>SH_01/01 to BR1</v>
      </c>
      <c r="W10" s="91" t="str">
        <v>SCM0899</v>
      </c>
      <c r="X10" s="92" t="str">
        <v>SAP</v>
      </c>
      <c r="Y10" s="92" t="str">
        <v>L18_S09</v>
      </c>
      <c r="Z10" s="91">
        <v>27</v>
      </c>
      <c r="AA10" s="91">
        <v>16</v>
      </c>
      <c r="AB10" s="94">
        <v>1</v>
      </c>
      <c r="AD10" s="1" t="str">
        <f ca="1"/>
        <v>46211/D|BR1/01</v>
      </c>
      <c r="AE10" s="1" t="str">
        <f ca="1"/>
        <v>STM-A40_0121</v>
      </c>
      <c r="AF10" s="1" t="str">
        <f ca="1"/>
        <v>SAP</v>
      </c>
      <c r="AG10" s="1" t="str">
        <f ca="1"/>
        <v>LS_18</v>
      </c>
      <c r="AH10" s="1" t="str">
        <f ca="1"/>
        <v>L18_S09</v>
      </c>
      <c r="AI10" s="1" t="str">
        <f ca="1"/>
        <v>024 / 017</v>
      </c>
      <c r="AJ10" s="3" t="str">
        <f ca="1"/>
        <v>No</v>
      </c>
      <c r="AK10" s="1" t="str">
        <f ca="1"/>
        <v/>
      </c>
      <c r="AL10" s="105" t="str">
        <f ca="1"/>
        <v/>
      </c>
      <c r="AT10" s="1" t="str">
        <v>SH_01/01 to BR1</v>
      </c>
      <c r="AU10" s="1" t="str">
        <v>SCM0899</v>
      </c>
      <c r="AV10" s="1" t="str">
        <v>SAP</v>
      </c>
      <c r="AW10" s="1" t="str">
        <v>L18_S09</v>
      </c>
      <c r="AX10" s="3">
        <v>27</v>
      </c>
      <c r="AY10" s="3">
        <v>2</v>
      </c>
      <c r="AZ10" s="3">
        <v>20</v>
      </c>
      <c r="BA10" s="3">
        <v>10</v>
      </c>
      <c r="BC10" s="1">
        <v>2</v>
      </c>
      <c r="BD10" s="1">
        <v>4</v>
      </c>
      <c r="BE10" s="1">
        <v>6</v>
      </c>
      <c r="BF10" s="1">
        <v>8</v>
      </c>
      <c r="BG10" s="1">
        <v>10</v>
      </c>
      <c r="BH10" s="1">
        <v>12</v>
      </c>
      <c r="BI10" s="1">
        <v>14</v>
      </c>
      <c r="BJ10" s="1">
        <v>16</v>
      </c>
      <c r="BK10" s="1">
        <v>18</v>
      </c>
      <c r="BL10" s="1">
        <v>20</v>
      </c>
      <c r="BM10" s="1" t="str">
        <v/>
      </c>
      <c r="BN10" s="1" t="str">
        <v/>
      </c>
      <c r="BO10" s="1" t="str">
        <v/>
      </c>
      <c r="BP10" s="1" t="str">
        <v/>
      </c>
      <c r="BQ10" s="1" t="str">
        <v/>
      </c>
      <c r="BR10" s="1" t="str">
        <v/>
      </c>
      <c r="BS10" s="1" t="str">
        <v/>
      </c>
      <c r="BT10" s="1" t="str">
        <v/>
      </c>
      <c r="BU10" s="1" t="str">
        <v/>
      </c>
      <c r="BV10" s="1" t="str">
        <v/>
      </c>
      <c r="BZ10" s="104">
        <v>2</v>
      </c>
      <c r="CA10" s="104">
        <v>4</v>
      </c>
      <c r="CB10" s="104">
        <v>6</v>
      </c>
      <c r="CC10" s="104">
        <v>8</v>
      </c>
      <c r="CD10" s="104">
        <v>10</v>
      </c>
      <c r="CE10" s="104">
        <v>12</v>
      </c>
      <c r="CF10" s="104">
        <v>14</v>
      </c>
      <c r="CG10" s="104">
        <v>16</v>
      </c>
      <c r="CH10" s="104">
        <v>18</v>
      </c>
      <c r="CI10" s="104">
        <v>20</v>
      </c>
      <c r="CJ10" s="104" t="str">
        <v/>
      </c>
      <c r="CK10" s="104" t="str">
        <v/>
      </c>
      <c r="CL10" s="104" t="str">
        <v/>
      </c>
      <c r="CM10" s="104" t="str">
        <v/>
      </c>
      <c r="CN10" s="104" t="str">
        <v/>
      </c>
      <c r="CO10" s="104" t="str">
        <v/>
      </c>
      <c r="CP10" s="104" t="str">
        <v/>
      </c>
      <c r="CQ10" s="104" t="str">
        <v/>
      </c>
      <c r="CR10" s="104" t="str">
        <v/>
      </c>
      <c r="CS10" s="104" t="str">
        <v/>
      </c>
    </row>
    <row r="11" spans="1:99" x14ac:dyDescent="0.25">
      <c r="C11" s="1" t="str">
        <v>SCM0601</v>
      </c>
      <c r="D11" s="1" t="str">
        <v>Erick Riyanto</v>
      </c>
      <c r="E11" s="1" t="str">
        <v>SAP</v>
      </c>
      <c r="F11" s="1">
        <v>1</v>
      </c>
      <c r="G11" s="1" t="str">
        <v>VALID</v>
      </c>
      <c r="H11" s="1" t="str">
        <v>2, 4, 6, 8, 10, 12, 14, 16, 18, 20</v>
      </c>
      <c r="J11" s="79">
        <v>1</v>
      </c>
      <c r="K11" s="48" t="s">
        <v>2599</v>
      </c>
      <c r="L11" s="49">
        <v>33</v>
      </c>
      <c r="M11" s="49">
        <v>2</v>
      </c>
      <c r="N11" s="49">
        <v>20</v>
      </c>
      <c r="O11" s="80" t="s">
        <v>102</v>
      </c>
      <c r="P11" s="50" t="s">
        <v>2522</v>
      </c>
      <c r="R11" s="77">
        <v>10</v>
      </c>
      <c r="S11" s="59" t="str">
        <v>Rikal Ma'ruf</v>
      </c>
      <c r="V11" s="91" t="str">
        <v>SH_01/01 to BR1</v>
      </c>
      <c r="W11" s="91" t="str">
        <v>SCM0899</v>
      </c>
      <c r="X11" s="92" t="str">
        <v>SAP</v>
      </c>
      <c r="Y11" s="92" t="str">
        <v>L18_S09</v>
      </c>
      <c r="Z11" s="91">
        <v>27</v>
      </c>
      <c r="AA11" s="91">
        <v>18</v>
      </c>
      <c r="AB11" s="94">
        <v>1</v>
      </c>
      <c r="AD11" s="1" t="str">
        <f ca="1"/>
        <v>46211/D|BR1/01</v>
      </c>
      <c r="AE11" s="1" t="str">
        <f ca="1"/>
        <v>STM-A40_0119</v>
      </c>
      <c r="AF11" s="1" t="str">
        <f ca="1"/>
        <v>SAP</v>
      </c>
      <c r="AG11" s="1" t="str">
        <f ca="1"/>
        <v>LS_18</v>
      </c>
      <c r="AH11" s="1" t="str">
        <f ca="1"/>
        <v>L18_S09</v>
      </c>
      <c r="AI11" s="1" t="str">
        <f ca="1"/>
        <v>024 / 018</v>
      </c>
      <c r="AJ11" s="3" t="str">
        <f ca="1"/>
        <v>Yes</v>
      </c>
      <c r="AK11" s="1" t="str">
        <f ca="1"/>
        <v/>
      </c>
      <c r="AL11" s="105" t="str">
        <f ca="1"/>
        <v/>
      </c>
      <c r="AT11" s="1" t="str">
        <v>SH_01/01 to BR1</v>
      </c>
      <c r="AU11" s="1" t="str">
        <v>SCM0899</v>
      </c>
      <c r="AV11" s="1" t="str">
        <v>SAP</v>
      </c>
      <c r="AW11" s="1" t="str">
        <v>L18_S09</v>
      </c>
      <c r="AX11" s="3">
        <v>28</v>
      </c>
      <c r="AY11" s="3">
        <v>2</v>
      </c>
      <c r="AZ11" s="3">
        <v>20</v>
      </c>
      <c r="BA11" s="3">
        <v>10</v>
      </c>
      <c r="BC11" s="1">
        <v>2</v>
      </c>
      <c r="BD11" s="1">
        <v>4</v>
      </c>
      <c r="BE11" s="1">
        <v>6</v>
      </c>
      <c r="BF11" s="1">
        <v>8</v>
      </c>
      <c r="BG11" s="1">
        <v>10</v>
      </c>
      <c r="BH11" s="1">
        <v>12</v>
      </c>
      <c r="BI11" s="1">
        <v>14</v>
      </c>
      <c r="BJ11" s="1">
        <v>16</v>
      </c>
      <c r="BK11" s="1">
        <v>18</v>
      </c>
      <c r="BL11" s="1">
        <v>20</v>
      </c>
      <c r="BM11" s="1" t="str">
        <v/>
      </c>
      <c r="BN11" s="1" t="str">
        <v/>
      </c>
      <c r="BO11" s="1" t="str">
        <v/>
      </c>
      <c r="BP11" s="1" t="str">
        <v/>
      </c>
      <c r="BQ11" s="1" t="str">
        <v/>
      </c>
      <c r="BR11" s="1" t="str">
        <v/>
      </c>
      <c r="BS11" s="1" t="str">
        <v/>
      </c>
      <c r="BT11" s="1" t="str">
        <v/>
      </c>
      <c r="BU11" s="1" t="str">
        <v/>
      </c>
      <c r="BV11" s="1" t="str">
        <v/>
      </c>
      <c r="BZ11" s="104">
        <v>2</v>
      </c>
      <c r="CA11" s="104">
        <v>4</v>
      </c>
      <c r="CB11" s="104">
        <v>6</v>
      </c>
      <c r="CC11" s="104">
        <v>8</v>
      </c>
      <c r="CD11" s="104">
        <v>10</v>
      </c>
      <c r="CE11" s="104">
        <v>12</v>
      </c>
      <c r="CF11" s="104">
        <v>14</v>
      </c>
      <c r="CG11" s="104">
        <v>16</v>
      </c>
      <c r="CH11" s="104">
        <v>18</v>
      </c>
      <c r="CI11" s="104">
        <v>20</v>
      </c>
      <c r="CJ11" s="104" t="str">
        <v/>
      </c>
      <c r="CK11" s="104" t="str">
        <v/>
      </c>
      <c r="CL11" s="104" t="str">
        <v/>
      </c>
      <c r="CM11" s="104" t="str">
        <v/>
      </c>
      <c r="CN11" s="104" t="str">
        <v/>
      </c>
      <c r="CO11" s="104" t="str">
        <v/>
      </c>
      <c r="CP11" s="104" t="str">
        <v/>
      </c>
      <c r="CQ11" s="104" t="str">
        <v/>
      </c>
      <c r="CR11" s="104" t="str">
        <v/>
      </c>
      <c r="CS11" s="104" t="str">
        <v/>
      </c>
    </row>
    <row r="12" spans="1:99" x14ac:dyDescent="0.25">
      <c r="C12" s="1" t="str">
        <v>SCM0606</v>
      </c>
      <c r="D12" s="1" t="str">
        <v>Muh. Reski</v>
      </c>
      <c r="E12" s="1" t="str">
        <v>SAP</v>
      </c>
      <c r="F12" s="1">
        <v>1</v>
      </c>
      <c r="G12" s="1" t="str">
        <v>VALID</v>
      </c>
      <c r="H12" s="1" t="str">
        <v>2, 4, 6, 8, 10, 12, 14, 16, 18, 20</v>
      </c>
      <c r="J12" s="79">
        <v>1</v>
      </c>
      <c r="K12" s="48" t="s">
        <v>2599</v>
      </c>
      <c r="L12" s="49">
        <v>35</v>
      </c>
      <c r="M12" s="49">
        <v>2</v>
      </c>
      <c r="N12" s="49">
        <v>20</v>
      </c>
      <c r="O12" s="80" t="s">
        <v>102</v>
      </c>
      <c r="P12" s="50" t="s">
        <v>2522</v>
      </c>
      <c r="R12" s="77">
        <v>10</v>
      </c>
      <c r="S12" s="59" t="str">
        <v>Rikal Ma'ruf</v>
      </c>
      <c r="V12" s="91" t="str">
        <v>SH_01/01 to BR1</v>
      </c>
      <c r="W12" s="91" t="str">
        <v>SCM0899</v>
      </c>
      <c r="X12" s="92" t="str">
        <v>SAP</v>
      </c>
      <c r="Y12" s="92" t="str">
        <v>L18_S09</v>
      </c>
      <c r="Z12" s="91">
        <v>27</v>
      </c>
      <c r="AA12" s="91">
        <v>20</v>
      </c>
      <c r="AB12" s="94">
        <v>1</v>
      </c>
      <c r="AD12" s="1" t="str">
        <f ca="1"/>
        <v>46211/D|BR1/01</v>
      </c>
      <c r="AE12" s="1" t="str">
        <f ca="1"/>
        <v>STM-A40_0107</v>
      </c>
      <c r="AF12" s="1" t="str">
        <f ca="1"/>
        <v>SAP</v>
      </c>
      <c r="AG12" s="1" t="str">
        <f ca="1"/>
        <v>LS_18</v>
      </c>
      <c r="AH12" s="1" t="str">
        <f ca="1"/>
        <v>L18_S09</v>
      </c>
      <c r="AI12" s="1" t="str">
        <f ca="1"/>
        <v>024 / 019</v>
      </c>
      <c r="AJ12" s="3" t="str">
        <f ca="1"/>
        <v>No</v>
      </c>
      <c r="AK12" s="1" t="str">
        <f ca="1"/>
        <v/>
      </c>
      <c r="AL12" s="105" t="str">
        <f ca="1"/>
        <v/>
      </c>
      <c r="AT12" s="1" t="str">
        <v>SH_01/01 to BR1</v>
      </c>
      <c r="AU12" s="1" t="str">
        <v>SCM0899</v>
      </c>
      <c r="AV12" s="1" t="str">
        <v>SAP</v>
      </c>
      <c r="AW12" s="1" t="str">
        <v>L18_S09</v>
      </c>
      <c r="AX12" s="3">
        <v>29</v>
      </c>
      <c r="AY12" s="3">
        <v>2</v>
      </c>
      <c r="AZ12" s="3">
        <v>20</v>
      </c>
      <c r="BA12" s="3">
        <v>10</v>
      </c>
      <c r="BC12" s="1">
        <v>2</v>
      </c>
      <c r="BD12" s="1">
        <v>4</v>
      </c>
      <c r="BE12" s="1">
        <v>6</v>
      </c>
      <c r="BF12" s="1">
        <v>8</v>
      </c>
      <c r="BG12" s="1">
        <v>10</v>
      </c>
      <c r="BH12" s="1">
        <v>12</v>
      </c>
      <c r="BI12" s="1">
        <v>14</v>
      </c>
      <c r="BJ12" s="1">
        <v>16</v>
      </c>
      <c r="BK12" s="1">
        <v>18</v>
      </c>
      <c r="BL12" s="1">
        <v>20</v>
      </c>
      <c r="BM12" s="1" t="str">
        <v/>
      </c>
      <c r="BN12" s="1" t="str">
        <v/>
      </c>
      <c r="BO12" s="1" t="str">
        <v/>
      </c>
      <c r="BP12" s="1" t="str">
        <v/>
      </c>
      <c r="BQ12" s="1" t="str">
        <v/>
      </c>
      <c r="BR12" s="1" t="str">
        <v/>
      </c>
      <c r="BS12" s="1" t="str">
        <v/>
      </c>
      <c r="BT12" s="1" t="str">
        <v/>
      </c>
      <c r="BU12" s="1" t="str">
        <v/>
      </c>
      <c r="BV12" s="1" t="str">
        <v/>
      </c>
      <c r="BZ12" s="104">
        <v>2</v>
      </c>
      <c r="CA12" s="104">
        <v>4</v>
      </c>
      <c r="CB12" s="104">
        <v>6</v>
      </c>
      <c r="CC12" s="104">
        <v>8</v>
      </c>
      <c r="CD12" s="104">
        <v>10</v>
      </c>
      <c r="CE12" s="104">
        <v>12</v>
      </c>
      <c r="CF12" s="104">
        <v>14</v>
      </c>
      <c r="CG12" s="104">
        <v>16</v>
      </c>
      <c r="CH12" s="104">
        <v>18</v>
      </c>
      <c r="CI12" s="104">
        <v>20</v>
      </c>
      <c r="CJ12" s="104" t="str">
        <v/>
      </c>
      <c r="CK12" s="104" t="str">
        <v/>
      </c>
      <c r="CL12" s="104" t="str">
        <v/>
      </c>
      <c r="CM12" s="104" t="str">
        <v/>
      </c>
      <c r="CN12" s="104" t="str">
        <v/>
      </c>
      <c r="CO12" s="104" t="str">
        <v/>
      </c>
      <c r="CP12" s="104" t="str">
        <v/>
      </c>
      <c r="CQ12" s="104" t="str">
        <v/>
      </c>
      <c r="CR12" s="104" t="str">
        <v/>
      </c>
      <c r="CS12" s="104" t="str">
        <v/>
      </c>
    </row>
    <row r="13" spans="1:99" x14ac:dyDescent="0.25">
      <c r="C13" s="1" t="str">
        <v>SCM0607</v>
      </c>
      <c r="D13" s="1" t="str">
        <v>Imam Septian</v>
      </c>
      <c r="E13" s="1" t="str">
        <v>SAP</v>
      </c>
      <c r="F13" s="1">
        <v>1</v>
      </c>
      <c r="G13" s="1" t="str">
        <v>VALID</v>
      </c>
      <c r="H13" s="1" t="str">
        <v>2, 4, 6, 8, 10, 12, 14, 16, 18, 20</v>
      </c>
      <c r="J13" s="79">
        <v>1</v>
      </c>
      <c r="K13" s="48" t="s">
        <v>2599</v>
      </c>
      <c r="L13" s="49">
        <v>38</v>
      </c>
      <c r="M13" s="49">
        <v>2</v>
      </c>
      <c r="N13" s="49">
        <v>20</v>
      </c>
      <c r="O13" s="80" t="s">
        <v>102</v>
      </c>
      <c r="P13" s="50" t="s">
        <v>2522</v>
      </c>
      <c r="R13" s="77">
        <v>10</v>
      </c>
      <c r="S13" s="59" t="str">
        <v>Rikal Ma'ruf</v>
      </c>
      <c r="V13" s="91" t="str">
        <v>SH_01/01 to BR1</v>
      </c>
      <c r="W13" s="91" t="str">
        <v>SCM0899</v>
      </c>
      <c r="X13" s="92" t="str">
        <v>SAP</v>
      </c>
      <c r="Y13" s="92" t="str">
        <v>L18_S09</v>
      </c>
      <c r="Z13" s="91">
        <v>28</v>
      </c>
      <c r="AA13" s="91">
        <v>2</v>
      </c>
      <c r="AB13" s="94">
        <v>1</v>
      </c>
      <c r="AD13" s="1" t="str">
        <f ca="1"/>
        <v>46211/D|BR1/01</v>
      </c>
      <c r="AE13" s="1" t="str">
        <f ca="1"/>
        <v>STM-A40_0105</v>
      </c>
      <c r="AF13" s="1" t="str">
        <f ca="1"/>
        <v>SAP</v>
      </c>
      <c r="AG13" s="1" t="str">
        <f ca="1"/>
        <v>LS_18</v>
      </c>
      <c r="AH13" s="1" t="str">
        <f ca="1"/>
        <v>L18_S09</v>
      </c>
      <c r="AI13" s="1" t="str">
        <f ca="1"/>
        <v>024 / 020</v>
      </c>
      <c r="AJ13" s="3" t="str">
        <f ca="1"/>
        <v>Yes</v>
      </c>
      <c r="AK13" s="1" t="str">
        <f ca="1"/>
        <v/>
      </c>
      <c r="AL13" s="105" t="str">
        <f ca="1"/>
        <v/>
      </c>
      <c r="AT13" s="1" t="str">
        <v>SH_01/01 to BR1</v>
      </c>
      <c r="AU13" s="1" t="str">
        <v>SCM0899</v>
      </c>
      <c r="AV13" s="1" t="str">
        <v>SAP</v>
      </c>
      <c r="AW13" s="1" t="str">
        <v>L18_S09</v>
      </c>
      <c r="AX13" s="3">
        <v>30</v>
      </c>
      <c r="AY13" s="3">
        <v>2</v>
      </c>
      <c r="AZ13" s="3">
        <v>20</v>
      </c>
      <c r="BA13" s="3">
        <v>10</v>
      </c>
      <c r="BC13" s="1">
        <v>2</v>
      </c>
      <c r="BD13" s="1">
        <v>4</v>
      </c>
      <c r="BE13" s="1">
        <v>6</v>
      </c>
      <c r="BF13" s="1">
        <v>8</v>
      </c>
      <c r="BG13" s="1">
        <v>10</v>
      </c>
      <c r="BH13" s="1">
        <v>12</v>
      </c>
      <c r="BI13" s="1">
        <v>14</v>
      </c>
      <c r="BJ13" s="1">
        <v>16</v>
      </c>
      <c r="BK13" s="1">
        <v>18</v>
      </c>
      <c r="BL13" s="1">
        <v>20</v>
      </c>
      <c r="BM13" s="1" t="str">
        <v/>
      </c>
      <c r="BN13" s="1" t="str">
        <v/>
      </c>
      <c r="BO13" s="1" t="str">
        <v/>
      </c>
      <c r="BP13" s="1" t="str">
        <v/>
      </c>
      <c r="BQ13" s="1" t="str">
        <v/>
      </c>
      <c r="BR13" s="1" t="str">
        <v/>
      </c>
      <c r="BS13" s="1" t="str">
        <v/>
      </c>
      <c r="BT13" s="1" t="str">
        <v/>
      </c>
      <c r="BU13" s="1" t="str">
        <v/>
      </c>
      <c r="BV13" s="1" t="str">
        <v/>
      </c>
      <c r="BZ13" s="104">
        <v>2</v>
      </c>
      <c r="CA13" s="104">
        <v>4</v>
      </c>
      <c r="CB13" s="104">
        <v>6</v>
      </c>
      <c r="CC13" s="104">
        <v>8</v>
      </c>
      <c r="CD13" s="104">
        <v>10</v>
      </c>
      <c r="CE13" s="104">
        <v>12</v>
      </c>
      <c r="CF13" s="104">
        <v>14</v>
      </c>
      <c r="CG13" s="104">
        <v>16</v>
      </c>
      <c r="CH13" s="104">
        <v>18</v>
      </c>
      <c r="CI13" s="104">
        <v>20</v>
      </c>
      <c r="CJ13" s="104" t="str">
        <v/>
      </c>
      <c r="CK13" s="104" t="str">
        <v/>
      </c>
      <c r="CL13" s="104" t="str">
        <v/>
      </c>
      <c r="CM13" s="104" t="str">
        <v/>
      </c>
      <c r="CN13" s="104" t="str">
        <v/>
      </c>
      <c r="CO13" s="104" t="str">
        <v/>
      </c>
      <c r="CP13" s="104" t="str">
        <v/>
      </c>
      <c r="CQ13" s="104" t="str">
        <v/>
      </c>
      <c r="CR13" s="104" t="str">
        <v/>
      </c>
      <c r="CS13" s="104" t="str">
        <v/>
      </c>
    </row>
    <row r="14" spans="1:99" x14ac:dyDescent="0.25">
      <c r="C14" s="1" t="str">
        <v>SCM0627</v>
      </c>
      <c r="D14" s="1" t="str">
        <v>Wahyudin Madilao</v>
      </c>
      <c r="E14" s="1" t="str">
        <v>SAP</v>
      </c>
      <c r="F14" s="1">
        <v>1</v>
      </c>
      <c r="G14" s="1" t="str">
        <v>VALID</v>
      </c>
      <c r="H14" s="1" t="str">
        <v>2, 4, 6, 8, 10, 12, 14, 16, 18, 20</v>
      </c>
      <c r="J14" s="79">
        <v>1</v>
      </c>
      <c r="K14" s="48" t="s">
        <v>2599</v>
      </c>
      <c r="L14" s="49">
        <v>32</v>
      </c>
      <c r="M14" s="49">
        <v>2</v>
      </c>
      <c r="N14" s="49">
        <v>20</v>
      </c>
      <c r="O14" s="80" t="s">
        <v>102</v>
      </c>
      <c r="P14" s="50" t="s">
        <v>2522</v>
      </c>
      <c r="R14" s="77">
        <v>10</v>
      </c>
      <c r="S14" s="59" t="str">
        <v>Rikal Ma'ruf</v>
      </c>
      <c r="V14" s="91" t="str">
        <v>SH_01/01 to BR1</v>
      </c>
      <c r="W14" s="91" t="str">
        <v>SCM0899</v>
      </c>
      <c r="X14" s="92" t="str">
        <v>SAP</v>
      </c>
      <c r="Y14" s="92" t="str">
        <v>L18_S09</v>
      </c>
      <c r="Z14" s="91">
        <v>28</v>
      </c>
      <c r="AA14" s="91">
        <v>4</v>
      </c>
      <c r="AB14" s="94">
        <v>1</v>
      </c>
      <c r="AD14" s="1" t="str">
        <f ca="1"/>
        <v>46211/D|BR1/04</v>
      </c>
      <c r="AE14" s="1">
        <f ca="1"/>
        <v>0</v>
      </c>
      <c r="AF14" s="1" t="str">
        <f ca="1"/>
        <v>SAP</v>
      </c>
      <c r="AG14" s="1" t="str">
        <f ca="1"/>
        <v>LS_18</v>
      </c>
      <c r="AH14" s="1" t="str">
        <f ca="1"/>
        <v>L18_S09</v>
      </c>
      <c r="AI14" s="1" t="str">
        <f ca="1"/>
        <v>025 / 004</v>
      </c>
      <c r="AJ14" s="3" t="str">
        <f ca="1"/>
        <v>Yes</v>
      </c>
      <c r="AK14" s="1" t="str">
        <f ca="1"/>
        <v/>
      </c>
      <c r="AL14" s="105" t="str">
        <f ca="1"/>
        <v>TRUCK SALAH</v>
      </c>
      <c r="AT14" s="1" t="str">
        <v>SH_01/01 to BR1</v>
      </c>
      <c r="AU14" s="1" t="str">
        <v>SCM0899</v>
      </c>
      <c r="AV14" s="1" t="str">
        <v>SAP</v>
      </c>
      <c r="AW14" s="1" t="str">
        <v>L18_S09</v>
      </c>
      <c r="AX14" s="3">
        <v>31</v>
      </c>
      <c r="AY14" s="3">
        <v>2</v>
      </c>
      <c r="AZ14" s="3">
        <v>20</v>
      </c>
      <c r="BA14" s="3">
        <v>10</v>
      </c>
      <c r="BC14" s="1">
        <v>2</v>
      </c>
      <c r="BD14" s="1">
        <v>4</v>
      </c>
      <c r="BE14" s="1">
        <v>6</v>
      </c>
      <c r="BF14" s="1">
        <v>8</v>
      </c>
      <c r="BG14" s="1">
        <v>10</v>
      </c>
      <c r="BH14" s="1">
        <v>12</v>
      </c>
      <c r="BI14" s="1">
        <v>14</v>
      </c>
      <c r="BJ14" s="1">
        <v>16</v>
      </c>
      <c r="BK14" s="1">
        <v>18</v>
      </c>
      <c r="BL14" s="1">
        <v>20</v>
      </c>
      <c r="BM14" s="1" t="str">
        <v/>
      </c>
      <c r="BN14" s="1" t="str">
        <v/>
      </c>
      <c r="BO14" s="1" t="str">
        <v/>
      </c>
      <c r="BP14" s="1" t="str">
        <v/>
      </c>
      <c r="BQ14" s="1" t="str">
        <v/>
      </c>
      <c r="BR14" s="1" t="str">
        <v/>
      </c>
      <c r="BS14" s="1" t="str">
        <v/>
      </c>
      <c r="BT14" s="1" t="str">
        <v/>
      </c>
      <c r="BU14" s="1" t="str">
        <v/>
      </c>
      <c r="BV14" s="1" t="str">
        <v/>
      </c>
      <c r="BZ14" s="104">
        <v>2</v>
      </c>
      <c r="CA14" s="104">
        <v>4</v>
      </c>
      <c r="CB14" s="104">
        <v>6</v>
      </c>
      <c r="CC14" s="104">
        <v>8</v>
      </c>
      <c r="CD14" s="104">
        <v>10</v>
      </c>
      <c r="CE14" s="104">
        <v>12</v>
      </c>
      <c r="CF14" s="104">
        <v>14</v>
      </c>
      <c r="CG14" s="104">
        <v>16</v>
      </c>
      <c r="CH14" s="104">
        <v>18</v>
      </c>
      <c r="CI14" s="104">
        <v>20</v>
      </c>
      <c r="CJ14" s="104" t="str">
        <v/>
      </c>
      <c r="CK14" s="104" t="str">
        <v/>
      </c>
      <c r="CL14" s="104" t="str">
        <v/>
      </c>
      <c r="CM14" s="104" t="str">
        <v/>
      </c>
      <c r="CN14" s="104" t="str">
        <v/>
      </c>
      <c r="CO14" s="104" t="str">
        <v/>
      </c>
      <c r="CP14" s="104" t="str">
        <v/>
      </c>
      <c r="CQ14" s="104" t="str">
        <v/>
      </c>
      <c r="CR14" s="104" t="str">
        <v/>
      </c>
      <c r="CS14" s="104" t="str">
        <v/>
      </c>
    </row>
    <row r="15" spans="1:99" x14ac:dyDescent="0.25">
      <c r="C15" s="1" t="str">
        <v>SCM0897</v>
      </c>
      <c r="D15" s="1" t="str">
        <v>Aris Ashari</v>
      </c>
      <c r="E15" s="1" t="str">
        <v>SAP</v>
      </c>
      <c r="F15" s="1">
        <v>1</v>
      </c>
      <c r="G15" s="1" t="str">
        <v>VALID</v>
      </c>
      <c r="H15" s="1" t="str">
        <v>2, 4, 6, 8, 10, 12, 14, 16, 18, 20</v>
      </c>
      <c r="J15" s="79">
        <v>1</v>
      </c>
      <c r="K15" s="48" t="s">
        <v>2599</v>
      </c>
      <c r="L15" s="49">
        <v>36</v>
      </c>
      <c r="M15" s="49">
        <v>2</v>
      </c>
      <c r="N15" s="49">
        <v>20</v>
      </c>
      <c r="O15" s="80" t="s">
        <v>102</v>
      </c>
      <c r="P15" s="50" t="s">
        <v>2522</v>
      </c>
      <c r="R15" s="77">
        <v>10</v>
      </c>
      <c r="S15" s="59" t="str">
        <v>Rikal Ma'ruf</v>
      </c>
      <c r="V15" s="1" t="str">
        <v>SH_01/01 to BR1</v>
      </c>
      <c r="W15" s="1" t="str">
        <v>SCM0899</v>
      </c>
      <c r="X15" s="3" t="str">
        <v>SAP</v>
      </c>
      <c r="Y15" s="3" t="str">
        <v>L18_S09</v>
      </c>
      <c r="Z15" s="1">
        <v>28</v>
      </c>
      <c r="AA15" s="1">
        <v>6</v>
      </c>
      <c r="AB15" s="93">
        <v>1</v>
      </c>
      <c r="AD15" s="1" t="str">
        <f ca="1"/>
        <v>46211/D|BR1/02</v>
      </c>
      <c r="AE15" s="1" t="str">
        <f ca="1"/>
        <v>STM-A40_0087</v>
      </c>
      <c r="AF15" s="1" t="str">
        <f ca="1"/>
        <v>SAP</v>
      </c>
      <c r="AG15" s="1" t="str">
        <f ca="1"/>
        <v>LS_18</v>
      </c>
      <c r="AH15" s="1" t="str">
        <f ca="1"/>
        <v>L18_S09</v>
      </c>
      <c r="AI15" s="1" t="str">
        <f ca="1"/>
        <v>031 / 019</v>
      </c>
      <c r="AJ15" s="3" t="str">
        <f ca="1"/>
        <v>No</v>
      </c>
      <c r="AK15" s="1" t="str">
        <f ca="1"/>
        <v/>
      </c>
      <c r="AL15" s="105" t="str">
        <f ca="1"/>
        <v/>
      </c>
      <c r="AT15" s="1" t="str">
        <v>SH_01/01 to BR1</v>
      </c>
      <c r="AU15" s="1" t="str">
        <v>SCM0899</v>
      </c>
      <c r="AV15" s="1" t="str">
        <v>SAP</v>
      </c>
      <c r="AW15" s="1" t="str">
        <v>L18_S09</v>
      </c>
      <c r="AX15" s="3">
        <v>32</v>
      </c>
      <c r="AY15" s="3">
        <v>2</v>
      </c>
      <c r="AZ15" s="3">
        <v>20</v>
      </c>
      <c r="BA15" s="3">
        <v>10</v>
      </c>
      <c r="BC15" s="1">
        <v>2</v>
      </c>
      <c r="BD15" s="1">
        <v>4</v>
      </c>
      <c r="BE15" s="1">
        <v>6</v>
      </c>
      <c r="BF15" s="1">
        <v>8</v>
      </c>
      <c r="BG15" s="1">
        <v>10</v>
      </c>
      <c r="BH15" s="1">
        <v>12</v>
      </c>
      <c r="BI15" s="1">
        <v>14</v>
      </c>
      <c r="BJ15" s="1">
        <v>16</v>
      </c>
      <c r="BK15" s="1">
        <v>18</v>
      </c>
      <c r="BL15" s="1">
        <v>20</v>
      </c>
      <c r="BM15" s="1" t="str">
        <v/>
      </c>
      <c r="BN15" s="1" t="str">
        <v/>
      </c>
      <c r="BO15" s="1" t="str">
        <v/>
      </c>
      <c r="BP15" s="1" t="str">
        <v/>
      </c>
      <c r="BQ15" s="1" t="str">
        <v/>
      </c>
      <c r="BR15" s="1" t="str">
        <v/>
      </c>
      <c r="BS15" s="1" t="str">
        <v/>
      </c>
      <c r="BT15" s="1" t="str">
        <v/>
      </c>
      <c r="BU15" s="1" t="str">
        <v/>
      </c>
      <c r="BV15" s="1" t="str">
        <v/>
      </c>
      <c r="BZ15" s="104">
        <v>2</v>
      </c>
      <c r="CA15" s="104">
        <v>4</v>
      </c>
      <c r="CB15" s="104">
        <v>6</v>
      </c>
      <c r="CC15" s="104">
        <v>8</v>
      </c>
      <c r="CD15" s="104">
        <v>10</v>
      </c>
      <c r="CE15" s="104">
        <v>12</v>
      </c>
      <c r="CF15" s="104">
        <v>14</v>
      </c>
      <c r="CG15" s="104">
        <v>16</v>
      </c>
      <c r="CH15" s="104">
        <v>18</v>
      </c>
      <c r="CI15" s="104">
        <v>20</v>
      </c>
      <c r="CJ15" s="104" t="str">
        <v/>
      </c>
      <c r="CK15" s="104" t="str">
        <v/>
      </c>
      <c r="CL15" s="104" t="str">
        <v/>
      </c>
      <c r="CM15" s="104" t="str">
        <v/>
      </c>
      <c r="CN15" s="104" t="str">
        <v/>
      </c>
      <c r="CO15" s="104" t="str">
        <v/>
      </c>
      <c r="CP15" s="104" t="str">
        <v/>
      </c>
      <c r="CQ15" s="104" t="str">
        <v/>
      </c>
      <c r="CR15" s="104" t="str">
        <v/>
      </c>
      <c r="CS15" s="104" t="str">
        <v/>
      </c>
    </row>
    <row r="16" spans="1:99" x14ac:dyDescent="0.25">
      <c r="C16" s="1" t="str">
        <v>SCM0898</v>
      </c>
      <c r="D16" s="1" t="str">
        <v>Yogi Ardianto</v>
      </c>
      <c r="E16" s="1" t="str">
        <v>SAP</v>
      </c>
      <c r="F16" s="1">
        <v>1</v>
      </c>
      <c r="G16" s="1" t="str">
        <v>VALID</v>
      </c>
      <c r="H16" s="1" t="str">
        <v>2, 4, 6, 8, 10, 12, 14, 16, 18, 20</v>
      </c>
      <c r="J16" s="79">
        <v>1</v>
      </c>
      <c r="K16" s="48" t="s">
        <v>2599</v>
      </c>
      <c r="L16" s="49">
        <v>37</v>
      </c>
      <c r="M16" s="49">
        <v>2</v>
      </c>
      <c r="N16" s="49">
        <v>20</v>
      </c>
      <c r="O16" s="80" t="s">
        <v>102</v>
      </c>
      <c r="P16" s="50" t="s">
        <v>2522</v>
      </c>
      <c r="R16" s="77">
        <v>10</v>
      </c>
      <c r="S16" s="59" t="str">
        <v>Rikal Ma'ruf</v>
      </c>
      <c r="V16" s="1" t="str">
        <v>SH_01/01 to BR1</v>
      </c>
      <c r="W16" s="1" t="str">
        <v>SCM0899</v>
      </c>
      <c r="X16" s="3" t="str">
        <v>SAP</v>
      </c>
      <c r="Y16" s="3" t="str">
        <v>L18_S09</v>
      </c>
      <c r="Z16" s="1">
        <v>28</v>
      </c>
      <c r="AA16" s="1">
        <v>8</v>
      </c>
      <c r="AB16" s="93">
        <v>1</v>
      </c>
      <c r="AD16" s="1" t="str">
        <f ca="1"/>
        <v>46211/D|BR1/02</v>
      </c>
      <c r="AE16" s="1" t="str">
        <f ca="1"/>
        <v>STM-A40_0133</v>
      </c>
      <c r="AF16" s="1" t="str">
        <f ca="1"/>
        <v>SAP</v>
      </c>
      <c r="AG16" s="1" t="str">
        <f ca="1"/>
        <v>LS_18</v>
      </c>
      <c r="AH16" s="1" t="str">
        <f ca="1"/>
        <v>L18_S09</v>
      </c>
      <c r="AI16" s="1" t="str">
        <f ca="1"/>
        <v>031 / 020</v>
      </c>
      <c r="AJ16" s="3" t="str">
        <f ca="1"/>
        <v>Yes</v>
      </c>
      <c r="AK16" s="1" t="str">
        <f ca="1"/>
        <v/>
      </c>
      <c r="AL16" s="105" t="str">
        <f ca="1"/>
        <v/>
      </c>
      <c r="AT16" s="1" t="str">
        <v>SH_01/01 to BR1</v>
      </c>
      <c r="AU16" s="1" t="str">
        <v>SCM0899</v>
      </c>
      <c r="AV16" s="1" t="str">
        <v>SAP</v>
      </c>
      <c r="AW16" s="1" t="str">
        <v>L18_S09</v>
      </c>
      <c r="AX16" s="3">
        <v>33</v>
      </c>
      <c r="AY16" s="3">
        <v>2</v>
      </c>
      <c r="AZ16" s="3">
        <v>20</v>
      </c>
      <c r="BA16" s="3">
        <v>10</v>
      </c>
      <c r="BC16" s="1">
        <v>2</v>
      </c>
      <c r="BD16" s="1">
        <v>4</v>
      </c>
      <c r="BE16" s="1">
        <v>6</v>
      </c>
      <c r="BF16" s="1">
        <v>8</v>
      </c>
      <c r="BG16" s="1">
        <v>10</v>
      </c>
      <c r="BH16" s="1">
        <v>12</v>
      </c>
      <c r="BI16" s="1">
        <v>14</v>
      </c>
      <c r="BJ16" s="1">
        <v>16</v>
      </c>
      <c r="BK16" s="1">
        <v>18</v>
      </c>
      <c r="BL16" s="1">
        <v>20</v>
      </c>
      <c r="BM16" s="1" t="str">
        <v/>
      </c>
      <c r="BN16" s="1" t="str">
        <v/>
      </c>
      <c r="BO16" s="1" t="str">
        <v/>
      </c>
      <c r="BP16" s="1" t="str">
        <v/>
      </c>
      <c r="BQ16" s="1" t="str">
        <v/>
      </c>
      <c r="BR16" s="1" t="str">
        <v/>
      </c>
      <c r="BS16" s="1" t="str">
        <v/>
      </c>
      <c r="BT16" s="1" t="str">
        <v/>
      </c>
      <c r="BU16" s="1" t="str">
        <v/>
      </c>
      <c r="BV16" s="1" t="str">
        <v/>
      </c>
      <c r="BZ16" s="104">
        <v>2</v>
      </c>
      <c r="CA16" s="104">
        <v>4</v>
      </c>
      <c r="CB16" s="104">
        <v>6</v>
      </c>
      <c r="CC16" s="104">
        <v>8</v>
      </c>
      <c r="CD16" s="104">
        <v>10</v>
      </c>
      <c r="CE16" s="104">
        <v>12</v>
      </c>
      <c r="CF16" s="104">
        <v>14</v>
      </c>
      <c r="CG16" s="104">
        <v>16</v>
      </c>
      <c r="CH16" s="104">
        <v>18</v>
      </c>
      <c r="CI16" s="104">
        <v>20</v>
      </c>
      <c r="CJ16" s="104" t="str">
        <v/>
      </c>
      <c r="CK16" s="104" t="str">
        <v/>
      </c>
      <c r="CL16" s="104" t="str">
        <v/>
      </c>
      <c r="CM16" s="104" t="str">
        <v/>
      </c>
      <c r="CN16" s="104" t="str">
        <v/>
      </c>
      <c r="CO16" s="104" t="str">
        <v/>
      </c>
      <c r="CP16" s="104" t="str">
        <v/>
      </c>
      <c r="CQ16" s="104" t="str">
        <v/>
      </c>
      <c r="CR16" s="104" t="str">
        <v/>
      </c>
      <c r="CS16" s="104" t="str">
        <v/>
      </c>
    </row>
    <row r="17" spans="3:97" x14ac:dyDescent="0.25">
      <c r="C17" s="1" t="str">
        <v>SCM0899</v>
      </c>
      <c r="D17" s="1" t="str">
        <v>Rikal Ma'ruf</v>
      </c>
      <c r="E17" s="1" t="str">
        <v>SAP</v>
      </c>
      <c r="F17" s="1">
        <v>1</v>
      </c>
      <c r="G17" s="1" t="str">
        <v>VALID</v>
      </c>
      <c r="H17" s="1" t="str">
        <v>2, 4, 6, 8, 10, 12, 14, 16, 18, 20</v>
      </c>
      <c r="J17" s="79">
        <v>1</v>
      </c>
      <c r="K17" s="48" t="s">
        <v>2599</v>
      </c>
      <c r="L17" s="49">
        <v>39</v>
      </c>
      <c r="M17" s="49">
        <v>2</v>
      </c>
      <c r="N17" s="49">
        <v>20</v>
      </c>
      <c r="O17" s="80" t="s">
        <v>102</v>
      </c>
      <c r="P17" s="50" t="s">
        <v>2522</v>
      </c>
      <c r="R17" s="77">
        <v>10</v>
      </c>
      <c r="S17" s="59" t="str">
        <v>Rikal Ma'ruf</v>
      </c>
      <c r="V17" s="1" t="str">
        <v>SH_01/01 to BR1</v>
      </c>
      <c r="W17" s="1" t="str">
        <v>SCM0899</v>
      </c>
      <c r="X17" s="3" t="str">
        <v>SAP</v>
      </c>
      <c r="Y17" s="3" t="str">
        <v>L18_S09</v>
      </c>
      <c r="Z17" s="1">
        <v>28</v>
      </c>
      <c r="AA17" s="1">
        <v>10</v>
      </c>
      <c r="AB17" s="93">
        <v>1</v>
      </c>
      <c r="AD17" s="1" t="str">
        <f ca="1"/>
        <v>46211/D|BR1/04</v>
      </c>
      <c r="AE17" s="1" t="str">
        <f ca="1"/>
        <v>STM-A40_0121</v>
      </c>
      <c r="AF17" s="1" t="str">
        <f ca="1"/>
        <v>SAP</v>
      </c>
      <c r="AG17" s="1" t="str">
        <f ca="1"/>
        <v>LS_18</v>
      </c>
      <c r="AH17" s="1" t="str">
        <f ca="1"/>
        <v>L18_S09</v>
      </c>
      <c r="AI17" s="1" t="str">
        <f ca="1"/>
        <v>032 / 015</v>
      </c>
      <c r="AJ17" s="3" t="str">
        <f ca="1"/>
        <v>No</v>
      </c>
      <c r="AK17" s="1" t="str">
        <f ca="1"/>
        <v/>
      </c>
      <c r="AL17" s="105" t="str">
        <f ca="1"/>
        <v>TRUCK SALAH</v>
      </c>
      <c r="AT17" s="1" t="str">
        <v>SH_01/01 to BR1</v>
      </c>
      <c r="AU17" s="1" t="str">
        <v>SCM0899</v>
      </c>
      <c r="AV17" s="1" t="str">
        <v>SAP</v>
      </c>
      <c r="AW17" s="1" t="str">
        <v>L18_S09</v>
      </c>
      <c r="AX17" s="3">
        <v>34</v>
      </c>
      <c r="AY17" s="3">
        <v>2</v>
      </c>
      <c r="AZ17" s="3">
        <v>20</v>
      </c>
      <c r="BA17" s="3">
        <v>10</v>
      </c>
      <c r="BC17" s="1">
        <v>2</v>
      </c>
      <c r="BD17" s="1">
        <v>4</v>
      </c>
      <c r="BE17" s="1">
        <v>6</v>
      </c>
      <c r="BF17" s="1">
        <v>8</v>
      </c>
      <c r="BG17" s="1">
        <v>10</v>
      </c>
      <c r="BH17" s="1">
        <v>12</v>
      </c>
      <c r="BI17" s="1">
        <v>14</v>
      </c>
      <c r="BJ17" s="1">
        <v>16</v>
      </c>
      <c r="BK17" s="1">
        <v>18</v>
      </c>
      <c r="BL17" s="1">
        <v>20</v>
      </c>
      <c r="BM17" s="1" t="str">
        <v/>
      </c>
      <c r="BN17" s="1" t="str">
        <v/>
      </c>
      <c r="BO17" s="1" t="str">
        <v/>
      </c>
      <c r="BP17" s="1" t="str">
        <v/>
      </c>
      <c r="BQ17" s="1" t="str">
        <v/>
      </c>
      <c r="BR17" s="1" t="str">
        <v/>
      </c>
      <c r="BS17" s="1" t="str">
        <v/>
      </c>
      <c r="BT17" s="1" t="str">
        <v/>
      </c>
      <c r="BU17" s="1" t="str">
        <v/>
      </c>
      <c r="BV17" s="1" t="str">
        <v/>
      </c>
      <c r="BZ17" s="104">
        <v>2</v>
      </c>
      <c r="CA17" s="104">
        <v>4</v>
      </c>
      <c r="CB17" s="104">
        <v>6</v>
      </c>
      <c r="CC17" s="104">
        <v>8</v>
      </c>
      <c r="CD17" s="104">
        <v>10</v>
      </c>
      <c r="CE17" s="104">
        <v>12</v>
      </c>
      <c r="CF17" s="104">
        <v>14</v>
      </c>
      <c r="CG17" s="104">
        <v>16</v>
      </c>
      <c r="CH17" s="104">
        <v>18</v>
      </c>
      <c r="CI17" s="104">
        <v>20</v>
      </c>
      <c r="CJ17" s="104" t="str">
        <v/>
      </c>
      <c r="CK17" s="104" t="str">
        <v/>
      </c>
      <c r="CL17" s="104" t="str">
        <v/>
      </c>
      <c r="CM17" s="104" t="str">
        <v/>
      </c>
      <c r="CN17" s="104" t="str">
        <v/>
      </c>
      <c r="CO17" s="104" t="str">
        <v/>
      </c>
      <c r="CP17" s="104" t="str">
        <v/>
      </c>
      <c r="CQ17" s="104" t="str">
        <v/>
      </c>
      <c r="CR17" s="104" t="str">
        <v/>
      </c>
      <c r="CS17" s="104" t="str">
        <v/>
      </c>
    </row>
    <row r="18" spans="3:97" x14ac:dyDescent="0.25">
      <c r="C18" s="1" t="str">
        <v>SCM0931</v>
      </c>
      <c r="D18" s="1" t="str">
        <v>Irwan</v>
      </c>
      <c r="E18" s="1" t="str">
        <v>SAP</v>
      </c>
      <c r="F18" s="1">
        <v>1</v>
      </c>
      <c r="G18" s="1" t="str">
        <v>VALID</v>
      </c>
      <c r="H18" s="1" t="str">
        <v>2, 4, 6, 8, 10, 12, 14, 16, 18, 20</v>
      </c>
      <c r="J18" s="79">
        <v>1</v>
      </c>
      <c r="K18" s="48" t="s">
        <v>2599</v>
      </c>
      <c r="L18" s="49">
        <v>34</v>
      </c>
      <c r="M18" s="49">
        <v>2</v>
      </c>
      <c r="N18" s="49">
        <v>20</v>
      </c>
      <c r="O18" s="80" t="s">
        <v>102</v>
      </c>
      <c r="P18" s="50" t="s">
        <v>2522</v>
      </c>
      <c r="R18" s="77">
        <v>10</v>
      </c>
      <c r="S18" s="59" t="str">
        <v>Rikal Ma'ruf</v>
      </c>
      <c r="V18" s="1" t="str">
        <v>SH_01/01 to BR1</v>
      </c>
      <c r="W18" s="1" t="str">
        <v>SCM0899</v>
      </c>
      <c r="X18" s="3" t="str">
        <v>SAP</v>
      </c>
      <c r="Y18" s="3" t="str">
        <v>L18_S09</v>
      </c>
      <c r="Z18" s="1">
        <v>28</v>
      </c>
      <c r="AA18" s="1">
        <v>12</v>
      </c>
      <c r="AB18" s="93">
        <v>1</v>
      </c>
      <c r="AD18" s="1" t="str">
        <f ca="1"/>
        <v>46211/D|BR1/04</v>
      </c>
      <c r="AE18" s="1" t="str">
        <f ca="1"/>
        <v>STM-A40_0107</v>
      </c>
      <c r="AF18" s="1" t="str">
        <f ca="1"/>
        <v>SAP</v>
      </c>
      <c r="AG18" s="1" t="str">
        <f ca="1"/>
        <v>LS_18</v>
      </c>
      <c r="AH18" s="1" t="str">
        <f ca="1"/>
        <v>L18_S09</v>
      </c>
      <c r="AI18" s="1" t="str">
        <f ca="1"/>
        <v>032 / 016</v>
      </c>
      <c r="AJ18" s="3" t="str">
        <f ca="1"/>
        <v>Yes</v>
      </c>
      <c r="AK18" s="1" t="str">
        <f ca="1"/>
        <v/>
      </c>
      <c r="AL18" s="105" t="str">
        <f ca="1"/>
        <v/>
      </c>
      <c r="AT18" s="1" t="str">
        <v>SH_01/01 to BR1</v>
      </c>
      <c r="AU18" s="1" t="str">
        <v>SCM0899</v>
      </c>
      <c r="AV18" s="1" t="str">
        <v>SAP</v>
      </c>
      <c r="AW18" s="1" t="str">
        <v>L18_S09</v>
      </c>
      <c r="AX18" s="3">
        <v>35</v>
      </c>
      <c r="AY18" s="3">
        <v>2</v>
      </c>
      <c r="AZ18" s="3">
        <v>20</v>
      </c>
      <c r="BA18" s="3">
        <v>10</v>
      </c>
      <c r="BC18" s="1">
        <v>2</v>
      </c>
      <c r="BD18" s="1">
        <v>4</v>
      </c>
      <c r="BE18" s="1">
        <v>6</v>
      </c>
      <c r="BF18" s="1">
        <v>8</v>
      </c>
      <c r="BG18" s="1">
        <v>10</v>
      </c>
      <c r="BH18" s="1">
        <v>12</v>
      </c>
      <c r="BI18" s="1">
        <v>14</v>
      </c>
      <c r="BJ18" s="1">
        <v>16</v>
      </c>
      <c r="BK18" s="1">
        <v>18</v>
      </c>
      <c r="BL18" s="1">
        <v>20</v>
      </c>
      <c r="BM18" s="1" t="str">
        <v/>
      </c>
      <c r="BN18" s="1" t="str">
        <v/>
      </c>
      <c r="BO18" s="1" t="str">
        <v/>
      </c>
      <c r="BP18" s="1" t="str">
        <v/>
      </c>
      <c r="BQ18" s="1" t="str">
        <v/>
      </c>
      <c r="BR18" s="1" t="str">
        <v/>
      </c>
      <c r="BS18" s="1" t="str">
        <v/>
      </c>
      <c r="BT18" s="1" t="str">
        <v/>
      </c>
      <c r="BU18" s="1" t="str">
        <v/>
      </c>
      <c r="BV18" s="1" t="str">
        <v/>
      </c>
      <c r="BZ18" s="104">
        <v>2</v>
      </c>
      <c r="CA18" s="104">
        <v>4</v>
      </c>
      <c r="CB18" s="104">
        <v>6</v>
      </c>
      <c r="CC18" s="104">
        <v>8</v>
      </c>
      <c r="CD18" s="104">
        <v>10</v>
      </c>
      <c r="CE18" s="104">
        <v>12</v>
      </c>
      <c r="CF18" s="104">
        <v>14</v>
      </c>
      <c r="CG18" s="104">
        <v>16</v>
      </c>
      <c r="CH18" s="104">
        <v>18</v>
      </c>
      <c r="CI18" s="104">
        <v>20</v>
      </c>
      <c r="CJ18" s="104" t="str">
        <v/>
      </c>
      <c r="CK18" s="104" t="str">
        <v/>
      </c>
      <c r="CL18" s="104" t="str">
        <v/>
      </c>
      <c r="CM18" s="104" t="str">
        <v/>
      </c>
      <c r="CN18" s="104" t="str">
        <v/>
      </c>
      <c r="CO18" s="104" t="str">
        <v/>
      </c>
      <c r="CP18" s="104" t="str">
        <v/>
      </c>
      <c r="CQ18" s="104" t="str">
        <v/>
      </c>
      <c r="CR18" s="104" t="str">
        <v/>
      </c>
      <c r="CS18" s="104" t="str">
        <v/>
      </c>
    </row>
    <row r="19" spans="3:97" x14ac:dyDescent="0.25">
      <c r="C19" s="1" t="str">
        <v>SCM0932</v>
      </c>
      <c r="D19" s="1" t="str">
        <v>Algiyul Belo Patiung</v>
      </c>
      <c r="E19" s="1" t="str">
        <v>LIM</v>
      </c>
      <c r="F19" s="1">
        <v>1</v>
      </c>
      <c r="G19" s="1" t="str">
        <v>VALID</v>
      </c>
      <c r="H19" s="1" t="str">
        <v>5, 10, 15, 20, 25, 30, 35, 40, 45, 50, 55, 60, 65, 70, 75, 80, 85, 90, 95, 100</v>
      </c>
      <c r="J19" s="79">
        <v>1</v>
      </c>
      <c r="K19" s="48" t="s">
        <v>2601</v>
      </c>
      <c r="L19" s="49">
        <v>2</v>
      </c>
      <c r="M19" s="49">
        <v>5</v>
      </c>
      <c r="N19" s="49">
        <v>100</v>
      </c>
      <c r="O19" s="80" t="s">
        <v>102</v>
      </c>
      <c r="P19" s="50" t="s">
        <v>2522</v>
      </c>
      <c r="R19" s="77">
        <v>10</v>
      </c>
      <c r="S19" s="59" t="str">
        <v>Rikal Ma'ruf</v>
      </c>
      <c r="V19" s="1" t="str">
        <v>SH_01/01 to BR1</v>
      </c>
      <c r="W19" s="1" t="str">
        <v>SCM0899</v>
      </c>
      <c r="X19" s="3" t="str">
        <v>SAP</v>
      </c>
      <c r="Y19" s="3" t="str">
        <v>L18_S09</v>
      </c>
      <c r="Z19" s="1">
        <v>28</v>
      </c>
      <c r="AA19" s="1">
        <v>14</v>
      </c>
      <c r="AB19" s="93">
        <v>1</v>
      </c>
      <c r="AD19" s="1" t="str">
        <f ca="1"/>
        <v>46211/D|BR1/04</v>
      </c>
      <c r="AE19" s="1" t="str">
        <f ca="1"/>
        <v>STM-A40_0106</v>
      </c>
      <c r="AF19" s="1" t="str">
        <f ca="1"/>
        <v>SAP</v>
      </c>
      <c r="AG19" s="1" t="str">
        <f ca="1"/>
        <v>LS_18</v>
      </c>
      <c r="AH19" s="1" t="str">
        <f ca="1"/>
        <v>L18_S09</v>
      </c>
      <c r="AI19" s="1" t="str">
        <f ca="1"/>
        <v>032 / 017</v>
      </c>
      <c r="AJ19" s="3" t="str">
        <f ca="1"/>
        <v>No</v>
      </c>
      <c r="AK19" s="1" t="str">
        <f ca="1"/>
        <v/>
      </c>
      <c r="AL19" s="105" t="str">
        <f ca="1"/>
        <v/>
      </c>
      <c r="AT19" s="1" t="str">
        <v>SH_01/01 to BR1</v>
      </c>
      <c r="AU19" s="1" t="str">
        <v>SCM0899</v>
      </c>
      <c r="AV19" s="1" t="str">
        <v>SAP</v>
      </c>
      <c r="AW19" s="1" t="str">
        <v>L18_S09</v>
      </c>
      <c r="AX19" s="3">
        <v>36</v>
      </c>
      <c r="AY19" s="3">
        <v>2</v>
      </c>
      <c r="AZ19" s="3">
        <v>20</v>
      </c>
      <c r="BA19" s="3">
        <v>10</v>
      </c>
      <c r="BC19" s="1">
        <v>5</v>
      </c>
      <c r="BD19" s="1">
        <v>10</v>
      </c>
      <c r="BE19" s="1">
        <v>15</v>
      </c>
      <c r="BF19" s="1">
        <v>20</v>
      </c>
      <c r="BG19" s="1">
        <v>25</v>
      </c>
      <c r="BH19" s="1">
        <v>30</v>
      </c>
      <c r="BI19" s="1">
        <v>35</v>
      </c>
      <c r="BJ19" s="1">
        <v>40</v>
      </c>
      <c r="BK19" s="1">
        <v>45</v>
      </c>
      <c r="BL19" s="1">
        <v>50</v>
      </c>
      <c r="BM19" s="1">
        <v>55</v>
      </c>
      <c r="BN19" s="1">
        <v>60</v>
      </c>
      <c r="BO19" s="1">
        <v>65</v>
      </c>
      <c r="BP19" s="1">
        <v>70</v>
      </c>
      <c r="BQ19" s="1">
        <v>75</v>
      </c>
      <c r="BR19" s="1">
        <v>80</v>
      </c>
      <c r="BS19" s="1">
        <v>85</v>
      </c>
      <c r="BT19" s="1">
        <v>90</v>
      </c>
      <c r="BU19" s="1">
        <v>95</v>
      </c>
      <c r="BV19" s="1">
        <v>100</v>
      </c>
      <c r="BZ19" s="104">
        <v>5</v>
      </c>
      <c r="CA19" s="104">
        <v>10</v>
      </c>
      <c r="CB19" s="104">
        <v>15</v>
      </c>
      <c r="CC19" s="104">
        <v>20</v>
      </c>
      <c r="CD19" s="104">
        <v>25</v>
      </c>
      <c r="CE19" s="104">
        <v>30</v>
      </c>
      <c r="CF19" s="104">
        <v>35</v>
      </c>
      <c r="CG19" s="104">
        <v>40</v>
      </c>
      <c r="CH19" s="104">
        <v>45</v>
      </c>
      <c r="CI19" s="104">
        <v>50</v>
      </c>
      <c r="CJ19" s="104">
        <v>55</v>
      </c>
      <c r="CK19" s="104">
        <v>60</v>
      </c>
      <c r="CL19" s="104">
        <v>65</v>
      </c>
      <c r="CM19" s="104">
        <v>70</v>
      </c>
      <c r="CN19" s="104">
        <v>75</v>
      </c>
      <c r="CO19" s="104">
        <v>80</v>
      </c>
      <c r="CP19" s="104">
        <v>85</v>
      </c>
      <c r="CQ19" s="104">
        <v>90</v>
      </c>
      <c r="CR19" s="104">
        <v>95</v>
      </c>
      <c r="CS19" s="104">
        <v>100</v>
      </c>
    </row>
    <row r="20" spans="3:97" x14ac:dyDescent="0.25">
      <c r="C20" s="1" t="str">
        <v>SCM1040</v>
      </c>
      <c r="D20" s="1" t="str">
        <v>Febi Prabowo</v>
      </c>
      <c r="E20" s="1" t="str">
        <v>SAP</v>
      </c>
      <c r="F20" s="1">
        <v>1</v>
      </c>
      <c r="G20" s="1" t="str">
        <v>VALID</v>
      </c>
      <c r="H20" s="1" t="str">
        <v>2, 4, 6, 8, 10, 12, 14, 16, 18, 20</v>
      </c>
      <c r="J20" s="79">
        <v>2</v>
      </c>
      <c r="K20" s="48" t="s">
        <v>2599</v>
      </c>
      <c r="L20" s="49">
        <v>42</v>
      </c>
      <c r="M20" s="49">
        <v>2</v>
      </c>
      <c r="N20" s="49">
        <v>20</v>
      </c>
      <c r="O20" s="80" t="s">
        <v>2583</v>
      </c>
      <c r="P20" s="50"/>
      <c r="R20" s="77">
        <v>10</v>
      </c>
      <c r="S20" s="59">
        <v>0</v>
      </c>
      <c r="V20" s="1" t="str">
        <v>SH_01/01 to BR1</v>
      </c>
      <c r="W20" s="1" t="str">
        <v>SCM0899</v>
      </c>
      <c r="X20" s="3" t="str">
        <v>SAP</v>
      </c>
      <c r="Y20" s="3" t="str">
        <v>L18_S09</v>
      </c>
      <c r="Z20" s="1">
        <v>28</v>
      </c>
      <c r="AA20" s="1">
        <v>16</v>
      </c>
      <c r="AB20" s="93">
        <v>1</v>
      </c>
      <c r="AD20" s="1" t="str">
        <f ca="1"/>
        <v>46211/D|BR1/04</v>
      </c>
      <c r="AE20" s="1" t="str">
        <f ca="1"/>
        <v>STM-A40_0119</v>
      </c>
      <c r="AF20" s="1" t="str">
        <f ca="1"/>
        <v>SAP</v>
      </c>
      <c r="AG20" s="1" t="str">
        <f ca="1"/>
        <v>LS_18</v>
      </c>
      <c r="AH20" s="1" t="str">
        <f ca="1"/>
        <v>L18_S09</v>
      </c>
      <c r="AI20" s="1" t="str">
        <f ca="1"/>
        <v>032 / 018</v>
      </c>
      <c r="AJ20" s="3" t="str">
        <f ca="1"/>
        <v>Yes</v>
      </c>
      <c r="AK20" s="1" t="str">
        <f ca="1"/>
        <v/>
      </c>
      <c r="AL20" s="105" t="str">
        <f ca="1"/>
        <v/>
      </c>
      <c r="AT20" s="1" t="str">
        <v>SH_01/01 to BR1</v>
      </c>
      <c r="AU20" s="1" t="str">
        <v>SCM0899</v>
      </c>
      <c r="AV20" s="1" t="str">
        <v>SAP</v>
      </c>
      <c r="AW20" s="1" t="str">
        <v>L18_S09</v>
      </c>
      <c r="AX20" s="3">
        <v>37</v>
      </c>
      <c r="AY20" s="3">
        <v>2</v>
      </c>
      <c r="AZ20" s="3">
        <v>20</v>
      </c>
      <c r="BA20" s="3">
        <v>10</v>
      </c>
      <c r="BC20" s="1">
        <v>2</v>
      </c>
      <c r="BD20" s="1">
        <v>4</v>
      </c>
      <c r="BE20" s="1">
        <v>6</v>
      </c>
      <c r="BF20" s="1">
        <v>8</v>
      </c>
      <c r="BG20" s="1">
        <v>10</v>
      </c>
      <c r="BH20" s="1">
        <v>12</v>
      </c>
      <c r="BI20" s="1">
        <v>14</v>
      </c>
      <c r="BJ20" s="1">
        <v>16</v>
      </c>
      <c r="BK20" s="1">
        <v>18</v>
      </c>
      <c r="BL20" s="1">
        <v>20</v>
      </c>
      <c r="BM20" s="1" t="str">
        <v/>
      </c>
      <c r="BN20" s="1" t="str">
        <v/>
      </c>
      <c r="BO20" s="1" t="str">
        <v/>
      </c>
      <c r="BP20" s="1" t="str">
        <v/>
      </c>
      <c r="BQ20" s="1" t="str">
        <v/>
      </c>
      <c r="BR20" s="1" t="str">
        <v/>
      </c>
      <c r="BS20" s="1" t="str">
        <v/>
      </c>
      <c r="BT20" s="1" t="str">
        <v/>
      </c>
      <c r="BU20" s="1" t="str">
        <v/>
      </c>
      <c r="BV20" s="1" t="str">
        <v/>
      </c>
      <c r="BZ20" s="104">
        <v>2</v>
      </c>
      <c r="CA20" s="104">
        <v>4</v>
      </c>
      <c r="CB20" s="104">
        <v>6</v>
      </c>
      <c r="CC20" s="104">
        <v>8</v>
      </c>
      <c r="CD20" s="104">
        <v>10</v>
      </c>
      <c r="CE20" s="104">
        <v>12</v>
      </c>
      <c r="CF20" s="104">
        <v>14</v>
      </c>
      <c r="CG20" s="104">
        <v>16</v>
      </c>
      <c r="CH20" s="104">
        <v>18</v>
      </c>
      <c r="CI20" s="104">
        <v>20</v>
      </c>
      <c r="CJ20" s="104" t="str">
        <v/>
      </c>
      <c r="CK20" s="104" t="str">
        <v/>
      </c>
      <c r="CL20" s="104" t="str">
        <v/>
      </c>
      <c r="CM20" s="104" t="str">
        <v/>
      </c>
      <c r="CN20" s="104" t="str">
        <v/>
      </c>
      <c r="CO20" s="104" t="str">
        <v/>
      </c>
      <c r="CP20" s="104" t="str">
        <v/>
      </c>
      <c r="CQ20" s="104" t="str">
        <v/>
      </c>
      <c r="CR20" s="104" t="str">
        <v/>
      </c>
      <c r="CS20" s="104" t="str">
        <v/>
      </c>
    </row>
    <row r="21" spans="3:97" x14ac:dyDescent="0.25">
      <c r="C21" s="1" t="str">
        <v>SCM1077</v>
      </c>
      <c r="D21" s="1" t="str">
        <v>Krismala Ghiovanny Sepriyanti</v>
      </c>
      <c r="E21" s="1" t="str">
        <v>SAP</v>
      </c>
      <c r="F21" s="1">
        <v>1</v>
      </c>
      <c r="G21" s="1" t="str">
        <v>VALID</v>
      </c>
      <c r="H21" s="1" t="str">
        <v>2, 4, 6, 8, 10, 12, 14, 16, 18, 20</v>
      </c>
      <c r="J21" s="79">
        <v>2</v>
      </c>
      <c r="K21" s="48" t="s">
        <v>2599</v>
      </c>
      <c r="L21" s="49">
        <v>43</v>
      </c>
      <c r="M21" s="49">
        <v>2</v>
      </c>
      <c r="N21" s="49">
        <v>20</v>
      </c>
      <c r="O21" s="80" t="s">
        <v>2583</v>
      </c>
      <c r="P21" s="50"/>
      <c r="R21" s="77">
        <v>10</v>
      </c>
      <c r="S21" s="59">
        <v>0</v>
      </c>
      <c r="V21" s="1" t="str">
        <v>SH_01/01 to BR1</v>
      </c>
      <c r="W21" s="1" t="str">
        <v>SCM0899</v>
      </c>
      <c r="X21" s="3" t="str">
        <v>SAP</v>
      </c>
      <c r="Y21" s="3" t="str">
        <v>L18_S09</v>
      </c>
      <c r="Z21" s="1">
        <v>28</v>
      </c>
      <c r="AA21" s="1">
        <v>18</v>
      </c>
      <c r="AB21" s="93">
        <v>1</v>
      </c>
      <c r="AD21" s="1" t="str">
        <f ca="1"/>
        <v>46211/D|BR1/04</v>
      </c>
      <c r="AE21" s="1" t="str">
        <f ca="1"/>
        <v>STM-A40_0105</v>
      </c>
      <c r="AF21" s="1" t="str">
        <f ca="1"/>
        <v>SAP</v>
      </c>
      <c r="AG21" s="1" t="str">
        <f ca="1"/>
        <v>LS_18</v>
      </c>
      <c r="AH21" s="1" t="str">
        <f ca="1"/>
        <v>L18_S09</v>
      </c>
      <c r="AI21" s="1" t="str">
        <f ca="1"/>
        <v>032 / 019</v>
      </c>
      <c r="AJ21" s="3" t="str">
        <f ca="1"/>
        <v>No</v>
      </c>
      <c r="AK21" s="1" t="str">
        <f ca="1"/>
        <v/>
      </c>
      <c r="AL21" s="105" t="str">
        <f ca="1"/>
        <v/>
      </c>
      <c r="AT21" s="1" t="str">
        <v>SH_01/01 to BR1</v>
      </c>
      <c r="AU21" s="1" t="str">
        <v>SCM0899</v>
      </c>
      <c r="AV21" s="1" t="str">
        <v>SAP</v>
      </c>
      <c r="AW21" s="1" t="str">
        <v>L18_S09</v>
      </c>
      <c r="AX21" s="3">
        <v>38</v>
      </c>
      <c r="AY21" s="3">
        <v>2</v>
      </c>
      <c r="AZ21" s="3">
        <v>20</v>
      </c>
      <c r="BA21" s="3">
        <v>10</v>
      </c>
      <c r="BC21" s="1">
        <v>2</v>
      </c>
      <c r="BD21" s="1">
        <v>4</v>
      </c>
      <c r="BE21" s="1">
        <v>6</v>
      </c>
      <c r="BF21" s="1">
        <v>8</v>
      </c>
      <c r="BG21" s="1">
        <v>10</v>
      </c>
      <c r="BH21" s="1">
        <v>12</v>
      </c>
      <c r="BI21" s="1">
        <v>14</v>
      </c>
      <c r="BJ21" s="1">
        <v>16</v>
      </c>
      <c r="BK21" s="1">
        <v>18</v>
      </c>
      <c r="BL21" s="1">
        <v>20</v>
      </c>
      <c r="BM21" s="1" t="str">
        <v/>
      </c>
      <c r="BN21" s="1" t="str">
        <v/>
      </c>
      <c r="BO21" s="1" t="str">
        <v/>
      </c>
      <c r="BP21" s="1" t="str">
        <v/>
      </c>
      <c r="BQ21" s="1" t="str">
        <v/>
      </c>
      <c r="BR21" s="1" t="str">
        <v/>
      </c>
      <c r="BS21" s="1" t="str">
        <v/>
      </c>
      <c r="BT21" s="1" t="str">
        <v/>
      </c>
      <c r="BU21" s="1" t="str">
        <v/>
      </c>
      <c r="BV21" s="1" t="str">
        <v/>
      </c>
      <c r="BZ21" s="104">
        <v>2</v>
      </c>
      <c r="CA21" s="104">
        <v>4</v>
      </c>
      <c r="CB21" s="104">
        <v>6</v>
      </c>
      <c r="CC21" s="104">
        <v>8</v>
      </c>
      <c r="CD21" s="104">
        <v>10</v>
      </c>
      <c r="CE21" s="104">
        <v>12</v>
      </c>
      <c r="CF21" s="104">
        <v>14</v>
      </c>
      <c r="CG21" s="104">
        <v>16</v>
      </c>
      <c r="CH21" s="104">
        <v>18</v>
      </c>
      <c r="CI21" s="104">
        <v>20</v>
      </c>
      <c r="CJ21" s="104" t="str">
        <v/>
      </c>
      <c r="CK21" s="104" t="str">
        <v/>
      </c>
      <c r="CL21" s="104" t="str">
        <v/>
      </c>
      <c r="CM21" s="104" t="str">
        <v/>
      </c>
      <c r="CN21" s="104" t="str">
        <v/>
      </c>
      <c r="CO21" s="104" t="str">
        <v/>
      </c>
      <c r="CP21" s="104" t="str">
        <v/>
      </c>
      <c r="CQ21" s="104" t="str">
        <v/>
      </c>
      <c r="CR21" s="104" t="str">
        <v/>
      </c>
      <c r="CS21" s="104" t="str">
        <v/>
      </c>
    </row>
    <row r="22" spans="3:97" x14ac:dyDescent="0.25">
      <c r="C22" s="1" t="str">
        <v>SCM1086</v>
      </c>
      <c r="D22" s="1" t="str">
        <v>Muhammad Farhan Putra</v>
      </c>
      <c r="E22" s="1" t="str">
        <v>SAP</v>
      </c>
      <c r="F22" s="1">
        <v>1</v>
      </c>
      <c r="G22" s="1" t="str">
        <v>VALID</v>
      </c>
      <c r="H22" s="1" t="str">
        <v>2, 4, 6</v>
      </c>
      <c r="J22" s="79">
        <v>2</v>
      </c>
      <c r="K22" s="48" t="s">
        <v>2599</v>
      </c>
      <c r="L22" s="49">
        <v>40</v>
      </c>
      <c r="M22" s="49">
        <v>2</v>
      </c>
      <c r="N22" s="49">
        <v>6</v>
      </c>
      <c r="O22" s="80" t="s">
        <v>2583</v>
      </c>
      <c r="P22" s="50"/>
      <c r="R22" s="77">
        <v>3</v>
      </c>
      <c r="S22" s="59">
        <v>0</v>
      </c>
      <c r="V22" s="1" t="str">
        <v>SH_01/01 to BR1</v>
      </c>
      <c r="W22" s="1" t="str">
        <v>SCM0899</v>
      </c>
      <c r="X22" s="3" t="str">
        <v>SAP</v>
      </c>
      <c r="Y22" s="3" t="str">
        <v>L18_S09</v>
      </c>
      <c r="Z22" s="1">
        <v>28</v>
      </c>
      <c r="AA22" s="1">
        <v>20</v>
      </c>
      <c r="AB22" s="93">
        <v>1</v>
      </c>
      <c r="AD22" s="1" t="str">
        <f ca="1"/>
        <v>46211/D|BR1/04</v>
      </c>
      <c r="AE22" s="1" t="str">
        <f ca="1"/>
        <v>STM-A40_0121</v>
      </c>
      <c r="AF22" s="1" t="str">
        <f ca="1"/>
        <v>SAP</v>
      </c>
      <c r="AG22" s="1" t="str">
        <f ca="1"/>
        <v>LS_18</v>
      </c>
      <c r="AH22" s="1" t="str">
        <f ca="1"/>
        <v>L18_S09</v>
      </c>
      <c r="AI22" s="1" t="str">
        <f ca="1"/>
        <v>032 / 020</v>
      </c>
      <c r="AJ22" s="3" t="str">
        <f ca="1"/>
        <v>Yes</v>
      </c>
      <c r="AK22" s="1" t="str">
        <f ca="1"/>
        <v/>
      </c>
      <c r="AL22" s="105" t="str">
        <f ca="1"/>
        <v>TRUCK SALAH</v>
      </c>
      <c r="AT22" s="1" t="str">
        <v>SH_01/01 to BR1</v>
      </c>
      <c r="AU22" s="1" t="str">
        <v>SCM0899</v>
      </c>
      <c r="AV22" s="1" t="str">
        <v>SAP</v>
      </c>
      <c r="AW22" s="1" t="str">
        <v>L18_S09</v>
      </c>
      <c r="AX22" s="3">
        <v>39</v>
      </c>
      <c r="AY22" s="3">
        <v>2</v>
      </c>
      <c r="AZ22" s="3">
        <v>20</v>
      </c>
      <c r="BA22" s="3">
        <v>10</v>
      </c>
      <c r="BC22" s="1">
        <v>2</v>
      </c>
      <c r="BD22" s="1">
        <v>4</v>
      </c>
      <c r="BE22" s="1">
        <v>6</v>
      </c>
      <c r="BF22" s="1" t="str">
        <v/>
      </c>
      <c r="BG22" s="1" t="str">
        <v/>
      </c>
      <c r="BH22" s="1" t="str">
        <v/>
      </c>
      <c r="BI22" s="1" t="str">
        <v/>
      </c>
      <c r="BJ22" s="1" t="str">
        <v/>
      </c>
      <c r="BK22" s="1" t="str">
        <v/>
      </c>
      <c r="BL22" s="1" t="str">
        <v/>
      </c>
      <c r="BM22" s="1" t="str">
        <v/>
      </c>
      <c r="BN22" s="1" t="str">
        <v/>
      </c>
      <c r="BO22" s="1" t="str">
        <v/>
      </c>
      <c r="BP22" s="1" t="str">
        <v/>
      </c>
      <c r="BQ22" s="1" t="str">
        <v/>
      </c>
      <c r="BR22" s="1" t="str">
        <v/>
      </c>
      <c r="BS22" s="1" t="str">
        <v/>
      </c>
      <c r="BT22" s="1" t="str">
        <v/>
      </c>
      <c r="BU22" s="1" t="str">
        <v/>
      </c>
      <c r="BV22" s="1" t="str">
        <v/>
      </c>
      <c r="BZ22" s="104">
        <v>2</v>
      </c>
      <c r="CA22" s="104">
        <v>4</v>
      </c>
      <c r="CB22" s="104">
        <v>6</v>
      </c>
      <c r="CC22" s="104">
        <v>8</v>
      </c>
      <c r="CD22" s="104">
        <v>10</v>
      </c>
      <c r="CE22" s="104">
        <v>12</v>
      </c>
      <c r="CF22" s="104">
        <v>14</v>
      </c>
      <c r="CG22" s="104">
        <v>16</v>
      </c>
      <c r="CH22" s="104">
        <v>18</v>
      </c>
      <c r="CI22" s="104">
        <v>20</v>
      </c>
      <c r="CJ22" s="104" t="str">
        <v/>
      </c>
      <c r="CK22" s="104" t="str">
        <v/>
      </c>
      <c r="CL22" s="104" t="str">
        <v/>
      </c>
      <c r="CM22" s="104" t="str">
        <v/>
      </c>
      <c r="CN22" s="104" t="str">
        <v/>
      </c>
      <c r="CO22" s="104" t="str">
        <v/>
      </c>
      <c r="CP22" s="104" t="str">
        <v/>
      </c>
      <c r="CQ22" s="104" t="str">
        <v/>
      </c>
      <c r="CR22" s="104" t="str">
        <v/>
      </c>
      <c r="CS22" s="104" t="str">
        <v/>
      </c>
    </row>
    <row r="23" spans="3:97" x14ac:dyDescent="0.25">
      <c r="C23" s="1" t="str">
        <v>SCM1087</v>
      </c>
      <c r="D23" s="1" t="str">
        <v>Ahmad Syaiful</v>
      </c>
      <c r="E23" s="1" t="str">
        <v>SAP</v>
      </c>
      <c r="F23" s="1">
        <v>1</v>
      </c>
      <c r="G23" s="1" t="str">
        <v>VALID</v>
      </c>
      <c r="H23" s="1" t="str">
        <v>2, 4, 6</v>
      </c>
      <c r="J23" s="79">
        <v>2</v>
      </c>
      <c r="K23" s="48" t="s">
        <v>2599</v>
      </c>
      <c r="L23" s="49">
        <v>41</v>
      </c>
      <c r="M23" s="49">
        <v>2</v>
      </c>
      <c r="N23" s="49">
        <v>6</v>
      </c>
      <c r="O23" s="80" t="s">
        <v>2583</v>
      </c>
      <c r="P23" s="50"/>
      <c r="R23" s="77">
        <v>3</v>
      </c>
      <c r="S23" s="59">
        <v>0</v>
      </c>
      <c r="V23" s="1" t="str">
        <v>SH_01/01 to BR1</v>
      </c>
      <c r="W23" s="1" t="str">
        <v>SCM0899</v>
      </c>
      <c r="X23" s="3" t="str">
        <v>SAP</v>
      </c>
      <c r="Y23" s="3" t="str">
        <v>L18_S09</v>
      </c>
      <c r="Z23" s="1">
        <v>29</v>
      </c>
      <c r="AA23" s="1">
        <v>2</v>
      </c>
      <c r="AB23" s="93">
        <v>1</v>
      </c>
      <c r="AD23" s="1" t="str">
        <f ca="1"/>
        <v>46211/D|BR1/02</v>
      </c>
      <c r="AE23" s="1" t="str">
        <f ca="1"/>
        <v>STM-A40_0132</v>
      </c>
      <c r="AF23" s="1" t="str">
        <f ca="1"/>
        <v>SAP</v>
      </c>
      <c r="AG23" s="1" t="str">
        <f ca="1"/>
        <v>LS_18</v>
      </c>
      <c r="AH23" s="1" t="str">
        <f ca="1"/>
        <v>L18_S09</v>
      </c>
      <c r="AI23" s="1" t="str">
        <f ca="1"/>
        <v>033 / 001</v>
      </c>
      <c r="AJ23" s="3" t="str">
        <f ca="1"/>
        <v>No</v>
      </c>
      <c r="AK23" s="1" t="str">
        <f ca="1"/>
        <v/>
      </c>
      <c r="AL23" s="105" t="str">
        <f ca="1"/>
        <v/>
      </c>
      <c r="AT23" s="1" t="str">
        <v>In BR1-SH_01</v>
      </c>
      <c r="AU23" s="1" t="str">
        <v>Not Picked Up</v>
      </c>
      <c r="AV23" s="1" t="str">
        <v>LIM</v>
      </c>
      <c r="AW23" s="1" t="str">
        <v>L9_26</v>
      </c>
      <c r="AX23" s="3">
        <v>3</v>
      </c>
      <c r="AY23" s="3">
        <v>5</v>
      </c>
      <c r="AZ23" s="3">
        <v>50</v>
      </c>
      <c r="BA23" s="3">
        <v>5</v>
      </c>
      <c r="BC23" s="1">
        <v>2</v>
      </c>
      <c r="BD23" s="1">
        <v>4</v>
      </c>
      <c r="BE23" s="1">
        <v>6</v>
      </c>
      <c r="BF23" s="1" t="str">
        <v/>
      </c>
      <c r="BG23" s="1" t="str">
        <v/>
      </c>
      <c r="BH23" s="1" t="str">
        <v/>
      </c>
      <c r="BI23" s="1" t="str">
        <v/>
      </c>
      <c r="BJ23" s="1" t="str">
        <v/>
      </c>
      <c r="BK23" s="1" t="str">
        <v/>
      </c>
      <c r="BL23" s="1" t="str">
        <v/>
      </c>
      <c r="BM23" s="1" t="str">
        <v/>
      </c>
      <c r="BN23" s="1" t="str">
        <v/>
      </c>
      <c r="BO23" s="1" t="str">
        <v/>
      </c>
      <c r="BP23" s="1" t="str">
        <v/>
      </c>
      <c r="BQ23" s="1" t="str">
        <v/>
      </c>
      <c r="BR23" s="1" t="str">
        <v/>
      </c>
      <c r="BS23" s="1" t="str">
        <v/>
      </c>
      <c r="BT23" s="1" t="str">
        <v/>
      </c>
      <c r="BU23" s="1" t="str">
        <v/>
      </c>
      <c r="BV23" s="1" t="str">
        <v/>
      </c>
      <c r="BZ23" s="104">
        <v>2</v>
      </c>
      <c r="CA23" s="104">
        <v>4</v>
      </c>
      <c r="CB23" s="104">
        <v>6</v>
      </c>
      <c r="CC23" s="104">
        <v>8</v>
      </c>
      <c r="CD23" s="104">
        <v>10</v>
      </c>
      <c r="CE23" s="104">
        <v>12</v>
      </c>
      <c r="CF23" s="104">
        <v>14</v>
      </c>
      <c r="CG23" s="104">
        <v>16</v>
      </c>
      <c r="CH23" s="104">
        <v>18</v>
      </c>
      <c r="CI23" s="104">
        <v>20</v>
      </c>
      <c r="CJ23" s="104" t="str">
        <v/>
      </c>
      <c r="CK23" s="104" t="str">
        <v/>
      </c>
      <c r="CL23" s="104" t="str">
        <v/>
      </c>
      <c r="CM23" s="104" t="str">
        <v/>
      </c>
      <c r="CN23" s="104" t="str">
        <v/>
      </c>
      <c r="CO23" s="104" t="str">
        <v/>
      </c>
      <c r="CP23" s="104" t="str">
        <v/>
      </c>
      <c r="CQ23" s="104" t="str">
        <v/>
      </c>
      <c r="CR23" s="104" t="str">
        <v/>
      </c>
      <c r="CS23" s="104" t="str">
        <v/>
      </c>
    </row>
    <row r="24" spans="3:97" x14ac:dyDescent="0.25">
      <c r="C24" s="1" t="str">
        <v>SCM1098</v>
      </c>
      <c r="D24" s="1" t="str">
        <v>Boy</v>
      </c>
      <c r="E24" s="1" t="str">
        <v>SAP</v>
      </c>
      <c r="F24" s="1">
        <v>1</v>
      </c>
      <c r="G24" s="1" t="str">
        <v>VALID</v>
      </c>
      <c r="H24" s="1" t="str">
        <v>2</v>
      </c>
      <c r="J24" s="79">
        <v>2</v>
      </c>
      <c r="K24" s="48" t="s">
        <v>2599</v>
      </c>
      <c r="L24" s="49">
        <v>44</v>
      </c>
      <c r="M24" s="49">
        <v>2</v>
      </c>
      <c r="N24" s="49">
        <v>2</v>
      </c>
      <c r="O24" s="80" t="s">
        <v>2583</v>
      </c>
      <c r="P24" s="50"/>
      <c r="R24" s="77">
        <v>1</v>
      </c>
      <c r="S24" s="59">
        <v>0</v>
      </c>
      <c r="V24" s="1" t="str">
        <v>SH_01/01 to BR1</v>
      </c>
      <c r="W24" s="1" t="str">
        <v>SCM0899</v>
      </c>
      <c r="X24" s="3" t="str">
        <v>SAP</v>
      </c>
      <c r="Y24" s="3" t="str">
        <v>L18_S09</v>
      </c>
      <c r="Z24" s="1">
        <v>29</v>
      </c>
      <c r="AA24" s="1">
        <v>4</v>
      </c>
      <c r="AB24" s="93">
        <v>1</v>
      </c>
      <c r="AD24" s="1" t="str">
        <f ca="1"/>
        <v>46211/D|BR1/02</v>
      </c>
      <c r="AE24" s="1" t="str">
        <f ca="1"/>
        <v>STM-A40_0097</v>
      </c>
      <c r="AF24" s="1" t="str">
        <f ca="1"/>
        <v>SAP</v>
      </c>
      <c r="AG24" s="1" t="str">
        <f ca="1"/>
        <v>LS_18</v>
      </c>
      <c r="AH24" s="1" t="str">
        <f ca="1"/>
        <v>L18_S09</v>
      </c>
      <c r="AI24" s="1" t="str">
        <f ca="1"/>
        <v>033 / 002</v>
      </c>
      <c r="AJ24" s="3" t="str">
        <f ca="1"/>
        <v>Yes</v>
      </c>
      <c r="AK24" s="1" t="str">
        <f ca="1"/>
        <v/>
      </c>
      <c r="AL24" s="105" t="str">
        <f ca="1"/>
        <v/>
      </c>
      <c r="AT24" s="1" t="str">
        <v>In BR1-SH_01</v>
      </c>
      <c r="AU24" s="1" t="str">
        <v>Not Picked Up</v>
      </c>
      <c r="AV24" s="1" t="str">
        <v>SAP</v>
      </c>
      <c r="AW24" s="1" t="str">
        <v>L18_S09</v>
      </c>
      <c r="AX24" s="3">
        <v>40</v>
      </c>
      <c r="AY24" s="3">
        <v>2</v>
      </c>
      <c r="AZ24" s="3">
        <v>6</v>
      </c>
      <c r="BA24" s="3">
        <v>3</v>
      </c>
      <c r="BC24" s="1">
        <v>2</v>
      </c>
      <c r="BD24" s="1" t="str">
        <v/>
      </c>
      <c r="BE24" s="1" t="str">
        <v/>
      </c>
      <c r="BF24" s="1" t="str">
        <v/>
      </c>
      <c r="BG24" s="1" t="str">
        <v/>
      </c>
      <c r="BH24" s="1" t="str">
        <v/>
      </c>
      <c r="BI24" s="1" t="str">
        <v/>
      </c>
      <c r="BJ24" s="1" t="str">
        <v/>
      </c>
      <c r="BK24" s="1" t="str">
        <v/>
      </c>
      <c r="BL24" s="1" t="str">
        <v/>
      </c>
      <c r="BM24" s="1" t="str">
        <v/>
      </c>
      <c r="BN24" s="1" t="str">
        <v/>
      </c>
      <c r="BO24" s="1" t="str">
        <v/>
      </c>
      <c r="BP24" s="1" t="str">
        <v/>
      </c>
      <c r="BQ24" s="1" t="str">
        <v/>
      </c>
      <c r="BR24" s="1" t="str">
        <v/>
      </c>
      <c r="BS24" s="1" t="str">
        <v/>
      </c>
      <c r="BT24" s="1" t="str">
        <v/>
      </c>
      <c r="BU24" s="1" t="str">
        <v/>
      </c>
      <c r="BV24" s="1" t="str">
        <v/>
      </c>
      <c r="BZ24" s="104">
        <v>2</v>
      </c>
      <c r="CA24" s="104">
        <v>4</v>
      </c>
      <c r="CB24" s="104">
        <v>6</v>
      </c>
      <c r="CC24" s="104">
        <v>8</v>
      </c>
      <c r="CD24" s="104">
        <v>10</v>
      </c>
      <c r="CE24" s="104">
        <v>12</v>
      </c>
      <c r="CF24" s="104">
        <v>14</v>
      </c>
      <c r="CG24" s="104">
        <v>16</v>
      </c>
      <c r="CH24" s="104">
        <v>18</v>
      </c>
      <c r="CI24" s="104">
        <v>20</v>
      </c>
      <c r="CJ24" s="104" t="str">
        <v/>
      </c>
      <c r="CK24" s="104" t="str">
        <v/>
      </c>
      <c r="CL24" s="104" t="str">
        <v/>
      </c>
      <c r="CM24" s="104" t="str">
        <v/>
      </c>
      <c r="CN24" s="104" t="str">
        <v/>
      </c>
      <c r="CO24" s="104" t="str">
        <v/>
      </c>
      <c r="CP24" s="104" t="str">
        <v/>
      </c>
      <c r="CQ24" s="104" t="str">
        <v/>
      </c>
      <c r="CR24" s="104" t="str">
        <v/>
      </c>
      <c r="CS24" s="104" t="str">
        <v/>
      </c>
    </row>
    <row r="25" spans="3:97" x14ac:dyDescent="0.25">
      <c r="C25" s="1" t="str">
        <v>SCM1101</v>
      </c>
      <c r="D25" s="1" t="str">
        <v>Memory Putri Delima</v>
      </c>
      <c r="E25" s="1" t="str">
        <v>LIM</v>
      </c>
      <c r="F25" s="1">
        <v>1</v>
      </c>
      <c r="G25" s="1" t="str">
        <v>VALID</v>
      </c>
      <c r="H25" s="1" t="str">
        <v>5, 10, 15, 20, 25, 30, 35, 40, 45, 50</v>
      </c>
      <c r="J25" s="79">
        <v>2</v>
      </c>
      <c r="K25" s="48" t="s">
        <v>2601</v>
      </c>
      <c r="L25" s="49">
        <v>3</v>
      </c>
      <c r="M25" s="49">
        <v>5</v>
      </c>
      <c r="N25" s="49">
        <v>50</v>
      </c>
      <c r="O25" s="80" t="s">
        <v>2583</v>
      </c>
      <c r="P25" s="50"/>
      <c r="R25" s="77">
        <v>5</v>
      </c>
      <c r="S25" s="59">
        <v>0</v>
      </c>
      <c r="V25" s="1" t="str">
        <v>SH_01/01 to BR1</v>
      </c>
      <c r="W25" s="1" t="str">
        <v>SCM0899</v>
      </c>
      <c r="X25" s="3" t="str">
        <v>SAP</v>
      </c>
      <c r="Y25" s="3" t="str">
        <v>L18_S09</v>
      </c>
      <c r="Z25" s="1">
        <v>29</v>
      </c>
      <c r="AA25" s="1">
        <v>6</v>
      </c>
      <c r="AB25" s="93">
        <v>1</v>
      </c>
      <c r="AD25" s="1" t="str">
        <f ca="1"/>
        <v>46211/D|BR1/02</v>
      </c>
      <c r="AE25" s="1" t="str">
        <f ca="1"/>
        <v>STM-A40_0068</v>
      </c>
      <c r="AF25" s="1" t="str">
        <f ca="1"/>
        <v>SAP</v>
      </c>
      <c r="AG25" s="1" t="str">
        <f ca="1"/>
        <v>LS_18</v>
      </c>
      <c r="AH25" s="1" t="str">
        <f ca="1"/>
        <v>L18_S09</v>
      </c>
      <c r="AI25" s="1" t="str">
        <f ca="1"/>
        <v>033 / 003</v>
      </c>
      <c r="AJ25" s="3" t="str">
        <f ca="1"/>
        <v>No</v>
      </c>
      <c r="AK25" s="1" t="str">
        <f ca="1"/>
        <v/>
      </c>
      <c r="AL25" s="105" t="str">
        <f ca="1"/>
        <v/>
      </c>
      <c r="AT25" s="1" t="str">
        <v>In BR1-SH_01</v>
      </c>
      <c r="AU25" s="1" t="str">
        <v>Not Picked Up</v>
      </c>
      <c r="AV25" s="1" t="str">
        <v>SAP</v>
      </c>
      <c r="AW25" s="1" t="str">
        <v>L18_S09</v>
      </c>
      <c r="AX25" s="3">
        <v>41</v>
      </c>
      <c r="AY25" s="3">
        <v>2</v>
      </c>
      <c r="AZ25" s="3">
        <v>6</v>
      </c>
      <c r="BA25" s="3">
        <v>3</v>
      </c>
      <c r="BC25" s="1">
        <v>5</v>
      </c>
      <c r="BD25" s="1">
        <v>10</v>
      </c>
      <c r="BE25" s="1">
        <v>15</v>
      </c>
      <c r="BF25" s="1">
        <v>20</v>
      </c>
      <c r="BG25" s="1">
        <v>25</v>
      </c>
      <c r="BH25" s="1">
        <v>30</v>
      </c>
      <c r="BI25" s="1">
        <v>35</v>
      </c>
      <c r="BJ25" s="1">
        <v>40</v>
      </c>
      <c r="BK25" s="1">
        <v>45</v>
      </c>
      <c r="BL25" s="1">
        <v>50</v>
      </c>
      <c r="BM25" s="1" t="str">
        <v/>
      </c>
      <c r="BN25" s="1" t="str">
        <v/>
      </c>
      <c r="BO25" s="1" t="str">
        <v/>
      </c>
      <c r="BP25" s="1" t="str">
        <v/>
      </c>
      <c r="BQ25" s="1" t="str">
        <v/>
      </c>
      <c r="BR25" s="1" t="str">
        <v/>
      </c>
      <c r="BS25" s="1" t="str">
        <v/>
      </c>
      <c r="BT25" s="1" t="str">
        <v/>
      </c>
      <c r="BU25" s="1" t="str">
        <v/>
      </c>
      <c r="BV25" s="1" t="str">
        <v/>
      </c>
      <c r="BZ25" s="104">
        <v>5</v>
      </c>
      <c r="CA25" s="104">
        <v>10</v>
      </c>
      <c r="CB25" s="104">
        <v>15</v>
      </c>
      <c r="CC25" s="104">
        <v>20</v>
      </c>
      <c r="CD25" s="104">
        <v>25</v>
      </c>
      <c r="CE25" s="104">
        <v>30</v>
      </c>
      <c r="CF25" s="104">
        <v>35</v>
      </c>
      <c r="CG25" s="104">
        <v>40</v>
      </c>
      <c r="CH25" s="104">
        <v>45</v>
      </c>
      <c r="CI25" s="104">
        <v>50</v>
      </c>
      <c r="CJ25" s="104">
        <v>55</v>
      </c>
      <c r="CK25" s="104">
        <v>60</v>
      </c>
      <c r="CL25" s="104">
        <v>65</v>
      </c>
      <c r="CM25" s="104">
        <v>70</v>
      </c>
      <c r="CN25" s="104">
        <v>75</v>
      </c>
      <c r="CO25" s="104">
        <v>80</v>
      </c>
      <c r="CP25" s="104">
        <v>85</v>
      </c>
      <c r="CQ25" s="104">
        <v>90</v>
      </c>
      <c r="CR25" s="104">
        <v>95</v>
      </c>
      <c r="CS25" s="104">
        <v>100</v>
      </c>
    </row>
    <row r="26" spans="3:97" x14ac:dyDescent="0.25">
      <c r="C26" s="1" t="str">
        <v>SCM1108</v>
      </c>
      <c r="D26" s="1" t="str">
        <v>Diran Ruista F R</v>
      </c>
      <c r="E26" s="1" t="str">
        <v/>
      </c>
      <c r="F26" s="1">
        <v>0</v>
      </c>
      <c r="G26" s="1" t="str">
        <v/>
      </c>
      <c r="H26" s="1" t="str">
        <v/>
      </c>
      <c r="J26" s="79"/>
      <c r="K26" s="48"/>
      <c r="L26" s="49"/>
      <c r="M26" s="49"/>
      <c r="N26" s="49"/>
      <c r="O26" s="80"/>
      <c r="P26" s="50"/>
      <c r="R26" s="77">
        <v>0</v>
      </c>
      <c r="S26" s="59">
        <v>0</v>
      </c>
      <c r="V26" s="1" t="str">
        <v>SH_01/01 to BR1</v>
      </c>
      <c r="W26" s="1" t="str">
        <v>SCM0899</v>
      </c>
      <c r="X26" s="3" t="str">
        <v>SAP</v>
      </c>
      <c r="Y26" s="3" t="str">
        <v>L18_S09</v>
      </c>
      <c r="Z26" s="1">
        <v>29</v>
      </c>
      <c r="AA26" s="1">
        <v>8</v>
      </c>
      <c r="AB26" s="93">
        <v>1</v>
      </c>
      <c r="AD26" s="1" t="str">
        <f ca="1"/>
        <v>46211/D|BR1/02</v>
      </c>
      <c r="AE26" s="1" t="str">
        <f ca="1"/>
        <v>STM-A40_0087</v>
      </c>
      <c r="AF26" s="1" t="str">
        <f ca="1"/>
        <v>SAP</v>
      </c>
      <c r="AG26" s="1" t="str">
        <f ca="1"/>
        <v>LS_18</v>
      </c>
      <c r="AH26" s="1" t="str">
        <f ca="1"/>
        <v>L18_S09</v>
      </c>
      <c r="AI26" s="1" t="str">
        <f ca="1"/>
        <v>033 / 004</v>
      </c>
      <c r="AJ26" s="3" t="str">
        <f ca="1"/>
        <v>Yes</v>
      </c>
      <c r="AK26" s="1" t="str">
        <f ca="1"/>
        <v/>
      </c>
      <c r="AL26" s="105" t="str">
        <f ca="1"/>
        <v/>
      </c>
      <c r="AT26" s="1" t="str">
        <v>In BR1-SH_01</v>
      </c>
      <c r="AU26" s="1" t="str">
        <v>Not Picked Up</v>
      </c>
      <c r="AV26" s="1" t="str">
        <v>SAP</v>
      </c>
      <c r="AW26" s="1" t="str">
        <v>L18_S09</v>
      </c>
      <c r="AX26" s="3">
        <v>42</v>
      </c>
      <c r="AY26" s="3">
        <v>2</v>
      </c>
      <c r="AZ26" s="3">
        <v>20</v>
      </c>
      <c r="BA26" s="3">
        <v>10</v>
      </c>
      <c r="BC26" s="1" t="str">
        <v/>
      </c>
      <c r="BD26" s="1" t="str">
        <v/>
      </c>
      <c r="BE26" s="1" t="str">
        <v/>
      </c>
      <c r="BF26" s="1" t="str">
        <v/>
      </c>
      <c r="BG26" s="1" t="str">
        <v/>
      </c>
      <c r="BH26" s="1" t="str">
        <v/>
      </c>
      <c r="BI26" s="1" t="str">
        <v/>
      </c>
      <c r="BJ26" s="1" t="str">
        <v/>
      </c>
      <c r="BK26" s="1" t="str">
        <v/>
      </c>
      <c r="BL26" s="1" t="str">
        <v/>
      </c>
      <c r="BM26" s="1" t="str">
        <v/>
      </c>
      <c r="BN26" s="1" t="str">
        <v/>
      </c>
      <c r="BO26" s="1" t="str">
        <v/>
      </c>
      <c r="BP26" s="1" t="str">
        <v/>
      </c>
      <c r="BQ26" s="1" t="str">
        <v/>
      </c>
      <c r="BR26" s="1" t="str">
        <v/>
      </c>
      <c r="BS26" s="1" t="str">
        <v/>
      </c>
      <c r="BT26" s="1" t="str">
        <v/>
      </c>
      <c r="BU26" s="1" t="str">
        <v/>
      </c>
      <c r="BV26" s="1" t="str">
        <v/>
      </c>
      <c r="BZ26" s="104" t="str">
        <v/>
      </c>
      <c r="CA26" s="104" t="str">
        <v/>
      </c>
      <c r="CB26" s="104" t="str">
        <v/>
      </c>
      <c r="CC26" s="104" t="str">
        <v/>
      </c>
      <c r="CD26" s="104" t="str">
        <v/>
      </c>
      <c r="CE26" s="104" t="str">
        <v/>
      </c>
      <c r="CF26" s="104" t="str">
        <v/>
      </c>
      <c r="CG26" s="104" t="str">
        <v/>
      </c>
      <c r="CH26" s="104" t="str">
        <v/>
      </c>
      <c r="CI26" s="104" t="str">
        <v/>
      </c>
      <c r="CJ26" s="104" t="str">
        <v/>
      </c>
      <c r="CK26" s="104" t="str">
        <v/>
      </c>
      <c r="CL26" s="104" t="str">
        <v/>
      </c>
      <c r="CM26" s="104" t="str">
        <v/>
      </c>
      <c r="CN26" s="104" t="str">
        <v/>
      </c>
      <c r="CO26" s="104" t="str">
        <v/>
      </c>
      <c r="CP26" s="104" t="str">
        <v/>
      </c>
      <c r="CQ26" s="104" t="str">
        <v/>
      </c>
      <c r="CR26" s="104" t="str">
        <v/>
      </c>
      <c r="CS26" s="104" t="str">
        <v/>
      </c>
    </row>
    <row r="27" spans="3:97" x14ac:dyDescent="0.25">
      <c r="C27" s="1" t="str">
        <v>SCM1111</v>
      </c>
      <c r="D27" s="1" t="str">
        <v>Haris Sajri Saleh</v>
      </c>
      <c r="E27" s="1" t="str">
        <v/>
      </c>
      <c r="F27" s="1">
        <v>0</v>
      </c>
      <c r="G27" s="1" t="str">
        <v/>
      </c>
      <c r="H27" s="1" t="str">
        <v/>
      </c>
      <c r="J27" s="79"/>
      <c r="K27" s="48"/>
      <c r="L27" s="49"/>
      <c r="M27" s="49"/>
      <c r="N27" s="49"/>
      <c r="O27" s="80"/>
      <c r="P27" s="50"/>
      <c r="R27" s="77">
        <v>0</v>
      </c>
      <c r="S27" s="59">
        <v>0</v>
      </c>
      <c r="V27" s="1" t="str">
        <v>SH_01/01 to BR1</v>
      </c>
      <c r="W27" s="1" t="str">
        <v>SCM0899</v>
      </c>
      <c r="X27" s="3" t="str">
        <v>SAP</v>
      </c>
      <c r="Y27" s="3" t="str">
        <v>L18_S09</v>
      </c>
      <c r="Z27" s="1">
        <v>29</v>
      </c>
      <c r="AA27" s="1">
        <v>10</v>
      </c>
      <c r="AB27" s="93">
        <v>1</v>
      </c>
      <c r="AD27" s="1" t="str">
        <f ca="1"/>
        <v>46211/D|BR1/02</v>
      </c>
      <c r="AE27" s="1" t="str">
        <f ca="1"/>
        <v>STM-A40_0136</v>
      </c>
      <c r="AF27" s="1" t="str">
        <f ca="1"/>
        <v>SAP</v>
      </c>
      <c r="AG27" s="1" t="str">
        <f ca="1"/>
        <v>LS_18</v>
      </c>
      <c r="AH27" s="1" t="str">
        <f ca="1"/>
        <v>L18_S09</v>
      </c>
      <c r="AI27" s="1" t="str">
        <f ca="1"/>
        <v>033 / 005</v>
      </c>
      <c r="AJ27" s="3" t="str">
        <f ca="1"/>
        <v>No</v>
      </c>
      <c r="AK27" s="1" t="str">
        <f ca="1"/>
        <v/>
      </c>
      <c r="AL27" s="105" t="str">
        <f ca="1"/>
        <v/>
      </c>
      <c r="AT27" s="1" t="str">
        <v>In BR1-SH_01</v>
      </c>
      <c r="AU27" s="1" t="str">
        <v>Not Picked Up</v>
      </c>
      <c r="AV27" s="1" t="str">
        <v>SAP</v>
      </c>
      <c r="AW27" s="1" t="str">
        <v>L18_S09</v>
      </c>
      <c r="AX27" s="3">
        <v>43</v>
      </c>
      <c r="AY27" s="3">
        <v>2</v>
      </c>
      <c r="AZ27" s="3">
        <v>20</v>
      </c>
      <c r="BA27" s="3">
        <v>10</v>
      </c>
      <c r="BC27" s="1" t="str">
        <v/>
      </c>
      <c r="BD27" s="1" t="str">
        <v/>
      </c>
      <c r="BE27" s="1" t="str">
        <v/>
      </c>
      <c r="BF27" s="1" t="str">
        <v/>
      </c>
      <c r="BG27" s="1" t="str">
        <v/>
      </c>
      <c r="BH27" s="1" t="str">
        <v/>
      </c>
      <c r="BI27" s="1" t="str">
        <v/>
      </c>
      <c r="BJ27" s="1" t="str">
        <v/>
      </c>
      <c r="BK27" s="1" t="str">
        <v/>
      </c>
      <c r="BL27" s="1" t="str">
        <v/>
      </c>
      <c r="BM27" s="1" t="str">
        <v/>
      </c>
      <c r="BN27" s="1" t="str">
        <v/>
      </c>
      <c r="BO27" s="1" t="str">
        <v/>
      </c>
      <c r="BP27" s="1" t="str">
        <v/>
      </c>
      <c r="BQ27" s="1" t="str">
        <v/>
      </c>
      <c r="BR27" s="1" t="str">
        <v/>
      </c>
      <c r="BS27" s="1" t="str">
        <v/>
      </c>
      <c r="BT27" s="1" t="str">
        <v/>
      </c>
      <c r="BU27" s="1" t="str">
        <v/>
      </c>
      <c r="BV27" s="1" t="str">
        <v/>
      </c>
      <c r="BZ27" s="104" t="str">
        <v/>
      </c>
      <c r="CA27" s="104" t="str">
        <v/>
      </c>
      <c r="CB27" s="104" t="str">
        <v/>
      </c>
      <c r="CC27" s="104" t="str">
        <v/>
      </c>
      <c r="CD27" s="104" t="str">
        <v/>
      </c>
      <c r="CE27" s="104" t="str">
        <v/>
      </c>
      <c r="CF27" s="104" t="str">
        <v/>
      </c>
      <c r="CG27" s="104" t="str">
        <v/>
      </c>
      <c r="CH27" s="104" t="str">
        <v/>
      </c>
      <c r="CI27" s="104" t="str">
        <v/>
      </c>
      <c r="CJ27" s="104" t="str">
        <v/>
      </c>
      <c r="CK27" s="104" t="str">
        <v/>
      </c>
      <c r="CL27" s="104" t="str">
        <v/>
      </c>
      <c r="CM27" s="104" t="str">
        <v/>
      </c>
      <c r="CN27" s="104" t="str">
        <v/>
      </c>
      <c r="CO27" s="104" t="str">
        <v/>
      </c>
      <c r="CP27" s="104" t="str">
        <v/>
      </c>
      <c r="CQ27" s="104" t="str">
        <v/>
      </c>
      <c r="CR27" s="104" t="str">
        <v/>
      </c>
      <c r="CS27" s="104" t="str">
        <v/>
      </c>
    </row>
    <row r="28" spans="3:97" x14ac:dyDescent="0.25">
      <c r="C28" s="1" t="str">
        <v>SCM1112</v>
      </c>
      <c r="D28" s="1" t="str">
        <v>Tryana Rahmat</v>
      </c>
      <c r="E28" s="1" t="str">
        <v/>
      </c>
      <c r="F28" s="1">
        <v>0</v>
      </c>
      <c r="G28" s="1" t="str">
        <v/>
      </c>
      <c r="H28" s="1" t="str">
        <v/>
      </c>
      <c r="J28" s="79"/>
      <c r="K28" s="48"/>
      <c r="L28" s="49"/>
      <c r="M28" s="49"/>
      <c r="N28" s="49"/>
      <c r="O28" s="80"/>
      <c r="P28" s="50"/>
      <c r="R28" s="77">
        <v>0</v>
      </c>
      <c r="S28" s="59">
        <v>0</v>
      </c>
      <c r="V28" s="1" t="str">
        <v>SH_01/01 to BR1</v>
      </c>
      <c r="W28" s="1" t="str">
        <v>SCM0899</v>
      </c>
      <c r="X28" s="3" t="str">
        <v>SAP</v>
      </c>
      <c r="Y28" s="3" t="str">
        <v>L18_S09</v>
      </c>
      <c r="Z28" s="1">
        <v>29</v>
      </c>
      <c r="AA28" s="1">
        <v>12</v>
      </c>
      <c r="AB28" s="93">
        <v>1</v>
      </c>
      <c r="AD28" s="1" t="str">
        <f ca="1"/>
        <v>46211/D|BR1/02</v>
      </c>
      <c r="AE28" s="1" t="str">
        <f ca="1"/>
        <v>STM-A40_0133</v>
      </c>
      <c r="AF28" s="1" t="str">
        <f ca="1"/>
        <v>SAP</v>
      </c>
      <c r="AG28" s="1" t="str">
        <f ca="1"/>
        <v>LS_18</v>
      </c>
      <c r="AH28" s="1" t="str">
        <f ca="1"/>
        <v>L18_S09</v>
      </c>
      <c r="AI28" s="1" t="str">
        <f ca="1"/>
        <v>033 / 006</v>
      </c>
      <c r="AJ28" s="3" t="str">
        <f ca="1"/>
        <v>Yes</v>
      </c>
      <c r="AK28" s="1" t="str">
        <f ca="1"/>
        <v/>
      </c>
      <c r="AL28" s="105" t="str">
        <f ca="1"/>
        <v/>
      </c>
      <c r="AT28" s="1" t="str">
        <v>In BR1-SH_01</v>
      </c>
      <c r="AU28" s="1" t="str">
        <v>Not Picked Up</v>
      </c>
      <c r="AV28" s="1" t="str">
        <v>SAP</v>
      </c>
      <c r="AW28" s="1" t="str">
        <v>L18_S09</v>
      </c>
      <c r="AX28" s="3">
        <v>44</v>
      </c>
      <c r="AY28" s="3">
        <v>2</v>
      </c>
      <c r="AZ28" s="3">
        <v>2</v>
      </c>
      <c r="BA28" s="3">
        <v>1</v>
      </c>
      <c r="BC28" s="1" t="str">
        <v/>
      </c>
      <c r="BD28" s="1" t="str">
        <v/>
      </c>
      <c r="BE28" s="1" t="str">
        <v/>
      </c>
      <c r="BF28" s="1" t="str">
        <v/>
      </c>
      <c r="BG28" s="1" t="str">
        <v/>
      </c>
      <c r="BH28" s="1" t="str">
        <v/>
      </c>
      <c r="BI28" s="1" t="str">
        <v/>
      </c>
      <c r="BJ28" s="1" t="str">
        <v/>
      </c>
      <c r="BK28" s="1" t="str">
        <v/>
      </c>
      <c r="BL28" s="1" t="str">
        <v/>
      </c>
      <c r="BM28" s="1" t="str">
        <v/>
      </c>
      <c r="BN28" s="1" t="str">
        <v/>
      </c>
      <c r="BO28" s="1" t="str">
        <v/>
      </c>
      <c r="BP28" s="1" t="str">
        <v/>
      </c>
      <c r="BQ28" s="1" t="str">
        <v/>
      </c>
      <c r="BR28" s="1" t="str">
        <v/>
      </c>
      <c r="BS28" s="1" t="str">
        <v/>
      </c>
      <c r="BT28" s="1" t="str">
        <v/>
      </c>
      <c r="BU28" s="1" t="str">
        <v/>
      </c>
      <c r="BV28" s="1" t="str">
        <v/>
      </c>
      <c r="BZ28" s="104" t="str">
        <v/>
      </c>
      <c r="CA28" s="104" t="str">
        <v/>
      </c>
      <c r="CB28" s="104" t="str">
        <v/>
      </c>
      <c r="CC28" s="104" t="str">
        <v/>
      </c>
      <c r="CD28" s="104" t="str">
        <v/>
      </c>
      <c r="CE28" s="104" t="str">
        <v/>
      </c>
      <c r="CF28" s="104" t="str">
        <v/>
      </c>
      <c r="CG28" s="104" t="str">
        <v/>
      </c>
      <c r="CH28" s="104" t="str">
        <v/>
      </c>
      <c r="CI28" s="104" t="str">
        <v/>
      </c>
      <c r="CJ28" s="104" t="str">
        <v/>
      </c>
      <c r="CK28" s="104" t="str">
        <v/>
      </c>
      <c r="CL28" s="104" t="str">
        <v/>
      </c>
      <c r="CM28" s="104" t="str">
        <v/>
      </c>
      <c r="CN28" s="104" t="str">
        <v/>
      </c>
      <c r="CO28" s="104" t="str">
        <v/>
      </c>
      <c r="CP28" s="104" t="str">
        <v/>
      </c>
      <c r="CQ28" s="104" t="str">
        <v/>
      </c>
      <c r="CR28" s="104" t="str">
        <v/>
      </c>
      <c r="CS28" s="104" t="str">
        <v/>
      </c>
    </row>
    <row r="29" spans="3:97" x14ac:dyDescent="0.25">
      <c r="C29" s="1" t="str">
        <v>SCM1113</v>
      </c>
      <c r="D29" s="1" t="str">
        <v>Isran Husain</v>
      </c>
      <c r="E29" s="1" t="str">
        <v/>
      </c>
      <c r="F29" s="1">
        <v>0</v>
      </c>
      <c r="G29" s="1" t="str">
        <v/>
      </c>
      <c r="H29" s="1" t="str">
        <v/>
      </c>
      <c r="J29" s="79"/>
      <c r="K29" s="48"/>
      <c r="L29" s="49"/>
      <c r="M29" s="49"/>
      <c r="N29" s="49"/>
      <c r="O29" s="80"/>
      <c r="P29" s="50"/>
      <c r="R29" s="77">
        <v>0</v>
      </c>
      <c r="S29" s="59">
        <v>0</v>
      </c>
      <c r="V29" s="1" t="str">
        <v>SH_01/01 to BR1</v>
      </c>
      <c r="W29" s="1" t="str">
        <v>SCM0899</v>
      </c>
      <c r="X29" s="3" t="str">
        <v>SAP</v>
      </c>
      <c r="Y29" s="3" t="str">
        <v>L18_S09</v>
      </c>
      <c r="Z29" s="1">
        <v>29</v>
      </c>
      <c r="AA29" s="1">
        <v>14</v>
      </c>
      <c r="AB29" s="93">
        <v>1</v>
      </c>
      <c r="AD29" s="1" t="str">
        <f ca="1"/>
        <v>46211/D|BR1/02</v>
      </c>
      <c r="AE29" s="1" t="str">
        <f ca="1"/>
        <v>STM-A40_0132</v>
      </c>
      <c r="AF29" s="1" t="str">
        <f ca="1"/>
        <v>SAP</v>
      </c>
      <c r="AG29" s="1" t="str">
        <f ca="1"/>
        <v>LS_18</v>
      </c>
      <c r="AH29" s="1" t="str">
        <f ca="1"/>
        <v>L18_S09</v>
      </c>
      <c r="AI29" s="1" t="str">
        <f ca="1"/>
        <v>033 / 007</v>
      </c>
      <c r="AJ29" s="3" t="str">
        <f ca="1"/>
        <v>No</v>
      </c>
      <c r="AK29" s="1" t="str">
        <f ca="1"/>
        <v/>
      </c>
      <c r="AL29" s="105" t="str">
        <f ca="1"/>
        <v/>
      </c>
      <c r="AT29" s="1" t="str">
        <v/>
      </c>
      <c r="AU29" s="1" t="str">
        <v/>
      </c>
      <c r="AV29" s="1" t="str">
        <v/>
      </c>
      <c r="AW29" s="1" t="str">
        <v/>
      </c>
      <c r="AX29" s="3" t="str">
        <v/>
      </c>
      <c r="AY29" s="3" t="str">
        <v/>
      </c>
      <c r="AZ29" s="3" t="str">
        <v/>
      </c>
      <c r="BA29" s="3" t="str">
        <v/>
      </c>
      <c r="BC29" s="1" t="str">
        <v/>
      </c>
      <c r="BD29" s="1" t="str">
        <v/>
      </c>
      <c r="BE29" s="1" t="str">
        <v/>
      </c>
      <c r="BF29" s="1" t="str">
        <v/>
      </c>
      <c r="BG29" s="1" t="str">
        <v/>
      </c>
      <c r="BH29" s="1" t="str">
        <v/>
      </c>
      <c r="BI29" s="1" t="str">
        <v/>
      </c>
      <c r="BJ29" s="1" t="str">
        <v/>
      </c>
      <c r="BK29" s="1" t="str">
        <v/>
      </c>
      <c r="BL29" s="1" t="str">
        <v/>
      </c>
      <c r="BM29" s="1" t="str">
        <v/>
      </c>
      <c r="BN29" s="1" t="str">
        <v/>
      </c>
      <c r="BO29" s="1" t="str">
        <v/>
      </c>
      <c r="BP29" s="1" t="str">
        <v/>
      </c>
      <c r="BQ29" s="1" t="str">
        <v/>
      </c>
      <c r="BR29" s="1" t="str">
        <v/>
      </c>
      <c r="BS29" s="1" t="str">
        <v/>
      </c>
      <c r="BT29" s="1" t="str">
        <v/>
      </c>
      <c r="BU29" s="1" t="str">
        <v/>
      </c>
      <c r="BV29" s="1" t="str">
        <v/>
      </c>
      <c r="BZ29" s="104" t="str">
        <v/>
      </c>
      <c r="CA29" s="104" t="str">
        <v/>
      </c>
      <c r="CB29" s="104" t="str">
        <v/>
      </c>
      <c r="CC29" s="104" t="str">
        <v/>
      </c>
      <c r="CD29" s="104" t="str">
        <v/>
      </c>
      <c r="CE29" s="104" t="str">
        <v/>
      </c>
      <c r="CF29" s="104" t="str">
        <v/>
      </c>
      <c r="CG29" s="104" t="str">
        <v/>
      </c>
      <c r="CH29" s="104" t="str">
        <v/>
      </c>
      <c r="CI29" s="104" t="str">
        <v/>
      </c>
      <c r="CJ29" s="104" t="str">
        <v/>
      </c>
      <c r="CK29" s="104" t="str">
        <v/>
      </c>
      <c r="CL29" s="104" t="str">
        <v/>
      </c>
      <c r="CM29" s="104" t="str">
        <v/>
      </c>
      <c r="CN29" s="104" t="str">
        <v/>
      </c>
      <c r="CO29" s="104" t="str">
        <v/>
      </c>
      <c r="CP29" s="104" t="str">
        <v/>
      </c>
      <c r="CQ29" s="104" t="str">
        <v/>
      </c>
      <c r="CR29" s="104" t="str">
        <v/>
      </c>
      <c r="CS29" s="104" t="str">
        <v/>
      </c>
    </row>
    <row r="30" spans="3:97" x14ac:dyDescent="0.25">
      <c r="C30" s="1" t="str">
        <v>SCM1120</v>
      </c>
      <c r="D30" s="1" t="str">
        <v>Teddy T W</v>
      </c>
      <c r="E30" s="1" t="str">
        <v/>
      </c>
      <c r="F30" s="1">
        <v>0</v>
      </c>
      <c r="G30" s="1" t="str">
        <v/>
      </c>
      <c r="H30" s="1" t="str">
        <v/>
      </c>
      <c r="J30" s="79"/>
      <c r="K30" s="48"/>
      <c r="L30" s="49"/>
      <c r="M30" s="49"/>
      <c r="N30" s="49"/>
      <c r="O30" s="80"/>
      <c r="P30" s="50"/>
      <c r="R30" s="77">
        <v>0</v>
      </c>
      <c r="S30" s="59">
        <v>0</v>
      </c>
      <c r="V30" s="1" t="str">
        <v>SH_01/01 to BR1</v>
      </c>
      <c r="W30" s="1" t="str">
        <v>SCM0899</v>
      </c>
      <c r="X30" s="3" t="str">
        <v>SAP</v>
      </c>
      <c r="Y30" s="3" t="str">
        <v>L18_S09</v>
      </c>
      <c r="Z30" s="1">
        <v>29</v>
      </c>
      <c r="AA30" s="1">
        <v>16</v>
      </c>
      <c r="AB30" s="93">
        <v>1</v>
      </c>
      <c r="AD30" s="1" t="str">
        <f ca="1"/>
        <v>46211/D|BR1/02</v>
      </c>
      <c r="AE30" s="1" t="str">
        <f ca="1"/>
        <v>STM-A40_0097</v>
      </c>
      <c r="AF30" s="1" t="str">
        <f ca="1"/>
        <v>SAP</v>
      </c>
      <c r="AG30" s="1" t="str">
        <f ca="1"/>
        <v>LS_18</v>
      </c>
      <c r="AH30" s="1" t="str">
        <f ca="1"/>
        <v>L18_S09</v>
      </c>
      <c r="AI30" s="1" t="str">
        <f ca="1"/>
        <v>033 / 008</v>
      </c>
      <c r="AJ30" s="3" t="str">
        <f ca="1"/>
        <v>Yes</v>
      </c>
      <c r="AK30" s="1" t="str">
        <f ca="1"/>
        <v/>
      </c>
      <c r="AL30" s="105" t="str">
        <f ca="1"/>
        <v/>
      </c>
      <c r="BC30" s="1" t="str">
        <v/>
      </c>
      <c r="BD30" s="1" t="str">
        <v/>
      </c>
      <c r="BE30" s="1" t="str">
        <v/>
      </c>
      <c r="BF30" s="1" t="str">
        <v/>
      </c>
      <c r="BG30" s="1" t="str">
        <v/>
      </c>
      <c r="BH30" s="1" t="str">
        <v/>
      </c>
      <c r="BI30" s="1" t="str">
        <v/>
      </c>
      <c r="BJ30" s="1" t="str">
        <v/>
      </c>
      <c r="BK30" s="1" t="str">
        <v/>
      </c>
      <c r="BL30" s="1" t="str">
        <v/>
      </c>
      <c r="BM30" s="1" t="str">
        <v/>
      </c>
      <c r="BN30" s="1" t="str">
        <v/>
      </c>
      <c r="BO30" s="1" t="str">
        <v/>
      </c>
      <c r="BP30" s="1" t="str">
        <v/>
      </c>
      <c r="BQ30" s="1" t="str">
        <v/>
      </c>
      <c r="BR30" s="1" t="str">
        <v/>
      </c>
      <c r="BS30" s="1" t="str">
        <v/>
      </c>
      <c r="BT30" s="1" t="str">
        <v/>
      </c>
      <c r="BU30" s="1" t="str">
        <v/>
      </c>
      <c r="BV30" s="1" t="str">
        <v/>
      </c>
      <c r="BZ30" s="104" t="str">
        <v/>
      </c>
      <c r="CA30" s="104" t="str">
        <v/>
      </c>
      <c r="CB30" s="104" t="str">
        <v/>
      </c>
      <c r="CC30" s="104" t="str">
        <v/>
      </c>
      <c r="CD30" s="104" t="str">
        <v/>
      </c>
      <c r="CE30" s="104" t="str">
        <v/>
      </c>
      <c r="CF30" s="104" t="str">
        <v/>
      </c>
      <c r="CG30" s="104" t="str">
        <v/>
      </c>
      <c r="CH30" s="104" t="str">
        <v/>
      </c>
      <c r="CI30" s="104" t="str">
        <v/>
      </c>
      <c r="CJ30" s="104" t="str">
        <v/>
      </c>
      <c r="CK30" s="104" t="str">
        <v/>
      </c>
      <c r="CL30" s="104" t="str">
        <v/>
      </c>
      <c r="CM30" s="104" t="str">
        <v/>
      </c>
      <c r="CN30" s="104" t="str">
        <v/>
      </c>
      <c r="CO30" s="104" t="str">
        <v/>
      </c>
      <c r="CP30" s="104" t="str">
        <v/>
      </c>
      <c r="CQ30" s="104" t="str">
        <v/>
      </c>
      <c r="CR30" s="104" t="str">
        <v/>
      </c>
      <c r="CS30" s="104" t="str">
        <v/>
      </c>
    </row>
    <row r="31" spans="3:97" x14ac:dyDescent="0.25">
      <c r="C31" s="1" t="str">
        <v>SCM1135</v>
      </c>
      <c r="D31" s="1" t="str">
        <v>Yusran Abu'bakar</v>
      </c>
      <c r="E31" s="1" t="str">
        <v/>
      </c>
      <c r="F31" s="1">
        <v>0</v>
      </c>
      <c r="G31" s="1" t="str">
        <v/>
      </c>
      <c r="H31" s="1" t="str">
        <v/>
      </c>
      <c r="J31" s="79"/>
      <c r="K31" s="48"/>
      <c r="L31" s="49"/>
      <c r="M31" s="49"/>
      <c r="N31" s="49"/>
      <c r="O31" s="80"/>
      <c r="P31" s="50"/>
      <c r="R31" s="77">
        <v>0</v>
      </c>
      <c r="S31" s="59">
        <v>0</v>
      </c>
      <c r="V31" s="1" t="str">
        <v>SH_01/01 to BR1</v>
      </c>
      <c r="W31" s="1" t="str">
        <v>SCM0899</v>
      </c>
      <c r="X31" s="3" t="str">
        <v>SAP</v>
      </c>
      <c r="Y31" s="3" t="str">
        <v>L18_S09</v>
      </c>
      <c r="Z31" s="1">
        <v>29</v>
      </c>
      <c r="AA31" s="1">
        <v>18</v>
      </c>
      <c r="AB31" s="93">
        <v>1</v>
      </c>
      <c r="AD31" s="1" t="str">
        <f ca="1"/>
        <v>46211/D|BR1/02</v>
      </c>
      <c r="AE31" s="1" t="str">
        <f ca="1"/>
        <v>STM-A40_0087</v>
      </c>
      <c r="AF31" s="1" t="str">
        <f ca="1"/>
        <v>SAP</v>
      </c>
      <c r="AG31" s="1" t="str">
        <f ca="1"/>
        <v>LS_18</v>
      </c>
      <c r="AH31" s="1" t="str">
        <f ca="1"/>
        <v>L18_S09</v>
      </c>
      <c r="AI31" s="1" t="str">
        <f ca="1"/>
        <v>033 / 009</v>
      </c>
      <c r="AJ31" s="3" t="str">
        <f ca="1"/>
        <v>No</v>
      </c>
      <c r="AK31" s="1" t="str">
        <f ca="1"/>
        <v/>
      </c>
      <c r="AL31" s="105" t="str">
        <f ca="1"/>
        <v/>
      </c>
      <c r="BC31" s="1" t="str">
        <v/>
      </c>
      <c r="BD31" s="1" t="str">
        <v/>
      </c>
      <c r="BE31" s="1" t="str">
        <v/>
      </c>
      <c r="BF31" s="1" t="str">
        <v/>
      </c>
      <c r="BG31" s="1" t="str">
        <v/>
      </c>
      <c r="BH31" s="1" t="str">
        <v/>
      </c>
      <c r="BI31" s="1" t="str">
        <v/>
      </c>
      <c r="BJ31" s="1" t="str">
        <v/>
      </c>
      <c r="BK31" s="1" t="str">
        <v/>
      </c>
      <c r="BL31" s="1" t="str">
        <v/>
      </c>
      <c r="BM31" s="1" t="str">
        <v/>
      </c>
      <c r="BN31" s="1" t="str">
        <v/>
      </c>
      <c r="BO31" s="1" t="str">
        <v/>
      </c>
      <c r="BP31" s="1" t="str">
        <v/>
      </c>
      <c r="BQ31" s="1" t="str">
        <v/>
      </c>
      <c r="BR31" s="1" t="str">
        <v/>
      </c>
      <c r="BS31" s="1" t="str">
        <v/>
      </c>
      <c r="BT31" s="1" t="str">
        <v/>
      </c>
      <c r="BU31" s="1" t="str">
        <v/>
      </c>
      <c r="BV31" s="1" t="str">
        <v/>
      </c>
      <c r="BZ31" s="104" t="str">
        <v/>
      </c>
      <c r="CA31" s="104" t="str">
        <v/>
      </c>
      <c r="CB31" s="104" t="str">
        <v/>
      </c>
      <c r="CC31" s="104" t="str">
        <v/>
      </c>
      <c r="CD31" s="104" t="str">
        <v/>
      </c>
      <c r="CE31" s="104" t="str">
        <v/>
      </c>
      <c r="CF31" s="104" t="str">
        <v/>
      </c>
      <c r="CG31" s="104" t="str">
        <v/>
      </c>
      <c r="CH31" s="104" t="str">
        <v/>
      </c>
      <c r="CI31" s="104" t="str">
        <v/>
      </c>
      <c r="CJ31" s="104" t="str">
        <v/>
      </c>
      <c r="CK31" s="104" t="str">
        <v/>
      </c>
      <c r="CL31" s="104" t="str">
        <v/>
      </c>
      <c r="CM31" s="104" t="str">
        <v/>
      </c>
      <c r="CN31" s="104" t="str">
        <v/>
      </c>
      <c r="CO31" s="104" t="str">
        <v/>
      </c>
      <c r="CP31" s="104" t="str">
        <v/>
      </c>
      <c r="CQ31" s="104" t="str">
        <v/>
      </c>
      <c r="CR31" s="104" t="str">
        <v/>
      </c>
      <c r="CS31" s="104" t="str">
        <v/>
      </c>
    </row>
    <row r="32" spans="3:97" x14ac:dyDescent="0.25">
      <c r="C32" s="1" t="str">
        <v>SCM1148</v>
      </c>
      <c r="D32" s="1" t="str">
        <v>Sutomo Eka Putra</v>
      </c>
      <c r="E32" s="1" t="str">
        <v/>
      </c>
      <c r="F32" s="1">
        <v>0</v>
      </c>
      <c r="G32" s="1" t="str">
        <v/>
      </c>
      <c r="H32" s="1" t="str">
        <v/>
      </c>
      <c r="J32" s="79"/>
      <c r="K32" s="48"/>
      <c r="L32" s="49"/>
      <c r="M32" s="49"/>
      <c r="N32" s="49"/>
      <c r="O32" s="80"/>
      <c r="P32" s="50"/>
      <c r="R32" s="77">
        <v>0</v>
      </c>
      <c r="S32" s="59">
        <v>0</v>
      </c>
      <c r="V32" s="1" t="str">
        <v>SH_01/01 to BR1</v>
      </c>
      <c r="W32" s="1" t="str">
        <v>SCM0899</v>
      </c>
      <c r="X32" s="3" t="str">
        <v>SAP</v>
      </c>
      <c r="Y32" s="3" t="str">
        <v>L18_S09</v>
      </c>
      <c r="Z32" s="1">
        <v>29</v>
      </c>
      <c r="AA32" s="1">
        <v>20</v>
      </c>
      <c r="AB32" s="93">
        <v>1</v>
      </c>
      <c r="AD32" s="1" t="str">
        <f ca="1"/>
        <v>46211/D|BR1/02</v>
      </c>
      <c r="AE32" s="1" t="str">
        <f ca="1"/>
        <v>STM-A40_0069</v>
      </c>
      <c r="AF32" s="1" t="str">
        <f ca="1"/>
        <v>SAP</v>
      </c>
      <c r="AG32" s="1" t="str">
        <f ca="1"/>
        <v>LS_18</v>
      </c>
      <c r="AH32" s="1" t="str">
        <f ca="1"/>
        <v>L18_S09</v>
      </c>
      <c r="AI32" s="1" t="str">
        <f ca="1"/>
        <v>033 / 010</v>
      </c>
      <c r="AJ32" s="3" t="str">
        <f ca="1"/>
        <v>Yes</v>
      </c>
      <c r="AK32" s="1" t="str">
        <f ca="1"/>
        <v/>
      </c>
      <c r="AL32" s="105" t="str">
        <f ca="1"/>
        <v/>
      </c>
      <c r="AT32" s="88"/>
      <c r="BC32" s="1" t="str">
        <v/>
      </c>
      <c r="BD32" s="1" t="str">
        <v/>
      </c>
      <c r="BE32" s="1" t="str">
        <v/>
      </c>
      <c r="BF32" s="1" t="str">
        <v/>
      </c>
      <c r="BG32" s="1" t="str">
        <v/>
      </c>
      <c r="BH32" s="1" t="str">
        <v/>
      </c>
      <c r="BI32" s="1" t="str">
        <v/>
      </c>
      <c r="BJ32" s="1" t="str">
        <v/>
      </c>
      <c r="BK32" s="1" t="str">
        <v/>
      </c>
      <c r="BL32" s="1" t="str">
        <v/>
      </c>
      <c r="BM32" s="1" t="str">
        <v/>
      </c>
      <c r="BN32" s="1" t="str">
        <v/>
      </c>
      <c r="BO32" s="1" t="str">
        <v/>
      </c>
      <c r="BP32" s="1" t="str">
        <v/>
      </c>
      <c r="BQ32" s="1" t="str">
        <v/>
      </c>
      <c r="BR32" s="1" t="str">
        <v/>
      </c>
      <c r="BS32" s="1" t="str">
        <v/>
      </c>
      <c r="BT32" s="1" t="str">
        <v/>
      </c>
      <c r="BU32" s="1" t="str">
        <v/>
      </c>
      <c r="BV32" s="1" t="str">
        <v/>
      </c>
      <c r="BZ32" s="104" t="str">
        <v/>
      </c>
      <c r="CA32" s="104" t="str">
        <v/>
      </c>
      <c r="CB32" s="104" t="str">
        <v/>
      </c>
      <c r="CC32" s="104" t="str">
        <v/>
      </c>
      <c r="CD32" s="104" t="str">
        <v/>
      </c>
      <c r="CE32" s="104" t="str">
        <v/>
      </c>
      <c r="CF32" s="104" t="str">
        <v/>
      </c>
      <c r="CG32" s="104" t="str">
        <v/>
      </c>
      <c r="CH32" s="104" t="str">
        <v/>
      </c>
      <c r="CI32" s="104" t="str">
        <v/>
      </c>
      <c r="CJ32" s="104" t="str">
        <v/>
      </c>
      <c r="CK32" s="104" t="str">
        <v/>
      </c>
      <c r="CL32" s="104" t="str">
        <v/>
      </c>
      <c r="CM32" s="104" t="str">
        <v/>
      </c>
      <c r="CN32" s="104" t="str">
        <v/>
      </c>
      <c r="CO32" s="104" t="str">
        <v/>
      </c>
      <c r="CP32" s="104" t="str">
        <v/>
      </c>
      <c r="CQ32" s="104" t="str">
        <v/>
      </c>
      <c r="CR32" s="104" t="str">
        <v/>
      </c>
      <c r="CS32" s="104" t="str">
        <v/>
      </c>
    </row>
    <row r="33" spans="5:97" x14ac:dyDescent="0.25">
      <c r="E33" s="1" t="str">
        <v/>
      </c>
      <c r="F33" s="1">
        <v>0</v>
      </c>
      <c r="G33" s="1" t="str">
        <v/>
      </c>
      <c r="H33" s="1" t="str">
        <v/>
      </c>
      <c r="J33" s="79"/>
      <c r="K33" s="48"/>
      <c r="L33" s="49"/>
      <c r="M33" s="49"/>
      <c r="N33" s="49"/>
      <c r="O33" s="80"/>
      <c r="P33" s="50"/>
      <c r="R33" s="77">
        <v>0</v>
      </c>
      <c r="S33" s="59">
        <v>0</v>
      </c>
      <c r="V33" s="1" t="str">
        <v>SH_01/01 to BR1</v>
      </c>
      <c r="W33" s="1" t="str">
        <v>SCM0899</v>
      </c>
      <c r="X33" s="3" t="str">
        <v>SAP</v>
      </c>
      <c r="Y33" s="3" t="str">
        <v>L18_S09</v>
      </c>
      <c r="Z33" s="1">
        <v>19</v>
      </c>
      <c r="AA33" s="1">
        <v>2</v>
      </c>
      <c r="AB33" s="93">
        <v>1</v>
      </c>
      <c r="AD33" s="1" t="str">
        <f ca="1"/>
        <v>46211/D|BR1/02</v>
      </c>
      <c r="AE33" s="1" t="str">
        <f ca="1"/>
        <v>STM-A40_0133</v>
      </c>
      <c r="AF33" s="1" t="str">
        <f ca="1"/>
        <v>SAP</v>
      </c>
      <c r="AG33" s="1" t="str">
        <f ca="1"/>
        <v>LS_18</v>
      </c>
      <c r="AH33" s="1" t="str">
        <f ca="1"/>
        <v>L18_S09</v>
      </c>
      <c r="AI33" s="1" t="str">
        <f ca="1"/>
        <v>033 / 011</v>
      </c>
      <c r="AJ33" s="3" t="str">
        <f ca="1"/>
        <v>No</v>
      </c>
      <c r="AK33" s="1" t="str">
        <f ca="1"/>
        <v/>
      </c>
      <c r="AL33" s="105" t="str">
        <f ca="1"/>
        <v/>
      </c>
      <c r="AT33" s="88"/>
      <c r="BC33" s="1" t="str">
        <v/>
      </c>
      <c r="BD33" s="1" t="str">
        <v/>
      </c>
      <c r="BE33" s="1" t="str">
        <v/>
      </c>
      <c r="BF33" s="1" t="str">
        <v/>
      </c>
      <c r="BG33" s="1" t="str">
        <v/>
      </c>
      <c r="BH33" s="1" t="str">
        <v/>
      </c>
      <c r="BI33" s="1" t="str">
        <v/>
      </c>
      <c r="BJ33" s="1" t="str">
        <v/>
      </c>
      <c r="BK33" s="1" t="str">
        <v/>
      </c>
      <c r="BL33" s="1" t="str">
        <v/>
      </c>
      <c r="BM33" s="1" t="str">
        <v/>
      </c>
      <c r="BN33" s="1" t="str">
        <v/>
      </c>
      <c r="BO33" s="1" t="str">
        <v/>
      </c>
      <c r="BP33" s="1" t="str">
        <v/>
      </c>
      <c r="BQ33" s="1" t="str">
        <v/>
      </c>
      <c r="BR33" s="1" t="str">
        <v/>
      </c>
      <c r="BS33" s="1" t="str">
        <v/>
      </c>
      <c r="BT33" s="1" t="str">
        <v/>
      </c>
      <c r="BU33" s="1" t="str">
        <v/>
      </c>
      <c r="BV33" s="1" t="str">
        <v/>
      </c>
      <c r="BZ33" s="104" t="str">
        <v/>
      </c>
      <c r="CA33" s="104" t="str">
        <v/>
      </c>
      <c r="CB33" s="104" t="str">
        <v/>
      </c>
      <c r="CC33" s="104" t="str">
        <v/>
      </c>
      <c r="CD33" s="104" t="str">
        <v/>
      </c>
      <c r="CE33" s="104" t="str">
        <v/>
      </c>
      <c r="CF33" s="104" t="str">
        <v/>
      </c>
      <c r="CG33" s="104" t="str">
        <v/>
      </c>
      <c r="CH33" s="104" t="str">
        <v/>
      </c>
      <c r="CI33" s="104" t="str">
        <v/>
      </c>
      <c r="CJ33" s="104" t="str">
        <v/>
      </c>
      <c r="CK33" s="104" t="str">
        <v/>
      </c>
      <c r="CL33" s="104" t="str">
        <v/>
      </c>
      <c r="CM33" s="104" t="str">
        <v/>
      </c>
      <c r="CN33" s="104" t="str">
        <v/>
      </c>
      <c r="CO33" s="104" t="str">
        <v/>
      </c>
      <c r="CP33" s="104" t="str">
        <v/>
      </c>
      <c r="CQ33" s="104" t="str">
        <v/>
      </c>
      <c r="CR33" s="104" t="str">
        <v/>
      </c>
      <c r="CS33" s="104" t="str">
        <v/>
      </c>
    </row>
    <row r="34" spans="5:97" x14ac:dyDescent="0.25">
      <c r="E34" s="1" t="str">
        <v/>
      </c>
      <c r="F34" s="1">
        <v>0</v>
      </c>
      <c r="G34" s="1" t="str">
        <v/>
      </c>
      <c r="H34" s="1" t="str">
        <v/>
      </c>
      <c r="J34" s="79"/>
      <c r="K34" s="48"/>
      <c r="L34" s="49"/>
      <c r="M34" s="49"/>
      <c r="N34" s="49"/>
      <c r="O34" s="80"/>
      <c r="P34" s="50"/>
      <c r="R34" s="77">
        <v>0</v>
      </c>
      <c r="S34" s="59">
        <v>0</v>
      </c>
      <c r="V34" s="1" t="str">
        <v>SH_01/01 to BR1</v>
      </c>
      <c r="W34" s="1" t="str">
        <v>SCM0899</v>
      </c>
      <c r="X34" s="3" t="str">
        <v>SAP</v>
      </c>
      <c r="Y34" s="3" t="str">
        <v>L18_S09</v>
      </c>
      <c r="Z34" s="1">
        <v>19</v>
      </c>
      <c r="AA34" s="1">
        <v>4</v>
      </c>
      <c r="AB34" s="93">
        <v>1</v>
      </c>
      <c r="AD34" s="1" t="str">
        <f ca="1"/>
        <v>46211/D|BR1/02</v>
      </c>
      <c r="AE34" s="1" t="str">
        <f ca="1"/>
        <v>STM-A40_0136</v>
      </c>
      <c r="AF34" s="1" t="str">
        <f ca="1"/>
        <v>SAP</v>
      </c>
      <c r="AG34" s="1" t="str">
        <f ca="1"/>
        <v>LS_18</v>
      </c>
      <c r="AH34" s="1" t="str">
        <f ca="1"/>
        <v>L18_S09</v>
      </c>
      <c r="AI34" s="1" t="str">
        <f ca="1"/>
        <v>033 / 012</v>
      </c>
      <c r="AJ34" s="3" t="str">
        <f ca="1"/>
        <v>Yes</v>
      </c>
      <c r="AK34" s="1" t="str">
        <f ca="1"/>
        <v/>
      </c>
      <c r="AL34" s="105" t="str">
        <f ca="1"/>
        <v/>
      </c>
      <c r="AT34" s="88"/>
      <c r="BC34" s="1" t="str">
        <v/>
      </c>
      <c r="BD34" s="1" t="str">
        <v/>
      </c>
      <c r="BE34" s="1" t="str">
        <v/>
      </c>
      <c r="BF34" s="1" t="str">
        <v/>
      </c>
      <c r="BG34" s="1" t="str">
        <v/>
      </c>
      <c r="BH34" s="1" t="str">
        <v/>
      </c>
      <c r="BI34" s="1" t="str">
        <v/>
      </c>
      <c r="BJ34" s="1" t="str">
        <v/>
      </c>
      <c r="BK34" s="1" t="str">
        <v/>
      </c>
      <c r="BL34" s="1" t="str">
        <v/>
      </c>
      <c r="BM34" s="1" t="str">
        <v/>
      </c>
      <c r="BN34" s="1" t="str">
        <v/>
      </c>
      <c r="BO34" s="1" t="str">
        <v/>
      </c>
      <c r="BP34" s="1" t="str">
        <v/>
      </c>
      <c r="BQ34" s="1" t="str">
        <v/>
      </c>
      <c r="BR34" s="1" t="str">
        <v/>
      </c>
      <c r="BS34" s="1" t="str">
        <v/>
      </c>
      <c r="BT34" s="1" t="str">
        <v/>
      </c>
      <c r="BU34" s="1" t="str">
        <v/>
      </c>
      <c r="BV34" s="1" t="str">
        <v/>
      </c>
      <c r="BZ34" s="104" t="str">
        <v/>
      </c>
      <c r="CA34" s="104" t="str">
        <v/>
      </c>
      <c r="CB34" s="104" t="str">
        <v/>
      </c>
      <c r="CC34" s="104" t="str">
        <v/>
      </c>
      <c r="CD34" s="104" t="str">
        <v/>
      </c>
      <c r="CE34" s="104" t="str">
        <v/>
      </c>
      <c r="CF34" s="104" t="str">
        <v/>
      </c>
      <c r="CG34" s="104" t="str">
        <v/>
      </c>
      <c r="CH34" s="104" t="str">
        <v/>
      </c>
      <c r="CI34" s="104" t="str">
        <v/>
      </c>
      <c r="CJ34" s="104" t="str">
        <v/>
      </c>
      <c r="CK34" s="104" t="str">
        <v/>
      </c>
      <c r="CL34" s="104" t="str">
        <v/>
      </c>
      <c r="CM34" s="104" t="str">
        <v/>
      </c>
      <c r="CN34" s="104" t="str">
        <v/>
      </c>
      <c r="CO34" s="104" t="str">
        <v/>
      </c>
      <c r="CP34" s="104" t="str">
        <v/>
      </c>
      <c r="CQ34" s="104" t="str">
        <v/>
      </c>
      <c r="CR34" s="104" t="str">
        <v/>
      </c>
      <c r="CS34" s="104" t="str">
        <v/>
      </c>
    </row>
    <row r="35" spans="5:97" x14ac:dyDescent="0.25">
      <c r="E35" s="1" t="str">
        <v/>
      </c>
      <c r="F35" s="1">
        <v>0</v>
      </c>
      <c r="G35" s="1" t="str">
        <v/>
      </c>
      <c r="H35" s="1" t="str">
        <v/>
      </c>
      <c r="J35" s="79"/>
      <c r="K35" s="48"/>
      <c r="L35" s="49"/>
      <c r="M35" s="49"/>
      <c r="N35" s="49"/>
      <c r="O35" s="80"/>
      <c r="P35" s="50"/>
      <c r="R35" s="77">
        <v>0</v>
      </c>
      <c r="S35" s="59">
        <v>0</v>
      </c>
      <c r="V35" s="1" t="str">
        <v>SH_01/01 to BR1</v>
      </c>
      <c r="W35" s="1" t="str">
        <v>SCM0899</v>
      </c>
      <c r="X35" s="3" t="str">
        <v>SAP</v>
      </c>
      <c r="Y35" s="3" t="str">
        <v>L18_S09</v>
      </c>
      <c r="Z35" s="1">
        <v>19</v>
      </c>
      <c r="AA35" s="1">
        <v>6</v>
      </c>
      <c r="AB35" s="93">
        <v>1</v>
      </c>
      <c r="AD35" s="1" t="str">
        <f ca="1"/>
        <v>46211/D|BR1/02</v>
      </c>
      <c r="AE35" s="1" t="str">
        <f ca="1"/>
        <v>STM-A40_0132</v>
      </c>
      <c r="AF35" s="1" t="str">
        <f ca="1"/>
        <v>SAP</v>
      </c>
      <c r="AG35" s="1" t="str">
        <f ca="1"/>
        <v>LS_18</v>
      </c>
      <c r="AH35" s="1" t="str">
        <f ca="1"/>
        <v>L18_S09</v>
      </c>
      <c r="AI35" s="1" t="str">
        <f ca="1"/>
        <v>033 / 013</v>
      </c>
      <c r="AJ35" s="3" t="str">
        <f ca="1"/>
        <v>No</v>
      </c>
      <c r="AK35" s="1" t="str">
        <f ca="1"/>
        <v/>
      </c>
      <c r="AL35" s="105" t="str">
        <f ca="1"/>
        <v/>
      </c>
      <c r="AT35" s="88"/>
      <c r="BC35" s="1" t="str">
        <v/>
      </c>
      <c r="BD35" s="1" t="str">
        <v/>
      </c>
      <c r="BE35" s="1" t="str">
        <v/>
      </c>
      <c r="BF35" s="1" t="str">
        <v/>
      </c>
      <c r="BG35" s="1" t="str">
        <v/>
      </c>
      <c r="BH35" s="1" t="str">
        <v/>
      </c>
      <c r="BI35" s="1" t="str">
        <v/>
      </c>
      <c r="BJ35" s="1" t="str">
        <v/>
      </c>
      <c r="BK35" s="1" t="str">
        <v/>
      </c>
      <c r="BL35" s="1" t="str">
        <v/>
      </c>
      <c r="BM35" s="1" t="str">
        <v/>
      </c>
      <c r="BN35" s="1" t="str">
        <v/>
      </c>
      <c r="BO35" s="1" t="str">
        <v/>
      </c>
      <c r="BP35" s="1" t="str">
        <v/>
      </c>
      <c r="BQ35" s="1" t="str">
        <v/>
      </c>
      <c r="BR35" s="1" t="str">
        <v/>
      </c>
      <c r="BS35" s="1" t="str">
        <v/>
      </c>
      <c r="BT35" s="1" t="str">
        <v/>
      </c>
      <c r="BU35" s="1" t="str">
        <v/>
      </c>
      <c r="BV35" s="1" t="str">
        <v/>
      </c>
      <c r="BZ35" s="104" t="str">
        <v/>
      </c>
      <c r="CA35" s="104" t="str">
        <v/>
      </c>
      <c r="CB35" s="104" t="str">
        <v/>
      </c>
      <c r="CC35" s="104" t="str">
        <v/>
      </c>
      <c r="CD35" s="104" t="str">
        <v/>
      </c>
      <c r="CE35" s="104" t="str">
        <v/>
      </c>
      <c r="CF35" s="104" t="str">
        <v/>
      </c>
      <c r="CG35" s="104" t="str">
        <v/>
      </c>
      <c r="CH35" s="104" t="str">
        <v/>
      </c>
      <c r="CI35" s="104" t="str">
        <v/>
      </c>
      <c r="CJ35" s="104" t="str">
        <v/>
      </c>
      <c r="CK35" s="104" t="str">
        <v/>
      </c>
      <c r="CL35" s="104" t="str">
        <v/>
      </c>
      <c r="CM35" s="104" t="str">
        <v/>
      </c>
      <c r="CN35" s="104" t="str">
        <v/>
      </c>
      <c r="CO35" s="104" t="str">
        <v/>
      </c>
      <c r="CP35" s="104" t="str">
        <v/>
      </c>
      <c r="CQ35" s="104" t="str">
        <v/>
      </c>
      <c r="CR35" s="104" t="str">
        <v/>
      </c>
      <c r="CS35" s="104" t="str">
        <v/>
      </c>
    </row>
    <row r="36" spans="5:97" x14ac:dyDescent="0.25">
      <c r="E36" s="1" t="str">
        <v/>
      </c>
      <c r="F36" s="1">
        <v>0</v>
      </c>
      <c r="G36" s="1" t="str">
        <v/>
      </c>
      <c r="H36" s="1" t="str">
        <v/>
      </c>
      <c r="J36" s="79"/>
      <c r="K36" s="48"/>
      <c r="L36" s="49"/>
      <c r="M36" s="49"/>
      <c r="N36" s="49"/>
      <c r="O36" s="80"/>
      <c r="P36" s="50"/>
      <c r="R36" s="77">
        <v>0</v>
      </c>
      <c r="S36" s="59">
        <v>0</v>
      </c>
      <c r="V36" s="1" t="str">
        <v>SH_01/01 to BR1</v>
      </c>
      <c r="W36" s="1" t="str">
        <v>SCM0899</v>
      </c>
      <c r="X36" s="3" t="str">
        <v>SAP</v>
      </c>
      <c r="Y36" s="3" t="str">
        <v>L18_S09</v>
      </c>
      <c r="Z36" s="1">
        <v>19</v>
      </c>
      <c r="AA36" s="1">
        <v>8</v>
      </c>
      <c r="AB36" s="93">
        <v>1</v>
      </c>
      <c r="AD36" s="1" t="str">
        <f ca="1"/>
        <v>46211/D|BR1/02</v>
      </c>
      <c r="AE36" s="1" t="str">
        <f ca="1"/>
        <v>STM-A40_0097</v>
      </c>
      <c r="AF36" s="1" t="str">
        <f ca="1"/>
        <v>SAP</v>
      </c>
      <c r="AG36" s="1" t="str">
        <f ca="1"/>
        <v>LS_18</v>
      </c>
      <c r="AH36" s="1" t="str">
        <f ca="1"/>
        <v>L18_S09</v>
      </c>
      <c r="AI36" s="1" t="str">
        <f ca="1"/>
        <v>033 / 014</v>
      </c>
      <c r="AJ36" s="3" t="str">
        <f ca="1"/>
        <v>Yes</v>
      </c>
      <c r="AK36" s="1" t="str">
        <f ca="1"/>
        <v/>
      </c>
      <c r="AL36" s="105" t="str">
        <f ca="1"/>
        <v/>
      </c>
      <c r="AT36" s="88"/>
      <c r="BC36" s="1" t="str">
        <v/>
      </c>
      <c r="BD36" s="1" t="str">
        <v/>
      </c>
      <c r="BE36" s="1" t="str">
        <v/>
      </c>
      <c r="BF36" s="1" t="str">
        <v/>
      </c>
      <c r="BG36" s="1" t="str">
        <v/>
      </c>
      <c r="BH36" s="1" t="str">
        <v/>
      </c>
      <c r="BI36" s="1" t="str">
        <v/>
      </c>
      <c r="BJ36" s="1" t="str">
        <v/>
      </c>
      <c r="BK36" s="1" t="str">
        <v/>
      </c>
      <c r="BL36" s="1" t="str">
        <v/>
      </c>
      <c r="BM36" s="1" t="str">
        <v/>
      </c>
      <c r="BN36" s="1" t="str">
        <v/>
      </c>
      <c r="BO36" s="1" t="str">
        <v/>
      </c>
      <c r="BP36" s="1" t="str">
        <v/>
      </c>
      <c r="BQ36" s="1" t="str">
        <v/>
      </c>
      <c r="BR36" s="1" t="str">
        <v/>
      </c>
      <c r="BS36" s="1" t="str">
        <v/>
      </c>
      <c r="BT36" s="1" t="str">
        <v/>
      </c>
      <c r="BU36" s="1" t="str">
        <v/>
      </c>
      <c r="BV36" s="1" t="str">
        <v/>
      </c>
      <c r="BZ36" s="104" t="str">
        <v/>
      </c>
      <c r="CA36" s="104" t="str">
        <v/>
      </c>
      <c r="CB36" s="104" t="str">
        <v/>
      </c>
      <c r="CC36" s="104" t="str">
        <v/>
      </c>
      <c r="CD36" s="104" t="str">
        <v/>
      </c>
      <c r="CE36" s="104" t="str">
        <v/>
      </c>
      <c r="CF36" s="104" t="str">
        <v/>
      </c>
      <c r="CG36" s="104" t="str">
        <v/>
      </c>
      <c r="CH36" s="104" t="str">
        <v/>
      </c>
      <c r="CI36" s="104" t="str">
        <v/>
      </c>
      <c r="CJ36" s="104" t="str">
        <v/>
      </c>
      <c r="CK36" s="104" t="str">
        <v/>
      </c>
      <c r="CL36" s="104" t="str">
        <v/>
      </c>
      <c r="CM36" s="104" t="str">
        <v/>
      </c>
      <c r="CN36" s="104" t="str">
        <v/>
      </c>
      <c r="CO36" s="104" t="str">
        <v/>
      </c>
      <c r="CP36" s="104" t="str">
        <v/>
      </c>
      <c r="CQ36" s="104" t="str">
        <v/>
      </c>
      <c r="CR36" s="104" t="str">
        <v/>
      </c>
      <c r="CS36" s="104" t="str">
        <v/>
      </c>
    </row>
    <row r="37" spans="5:97" x14ac:dyDescent="0.25">
      <c r="E37" s="1" t="str">
        <v/>
      </c>
      <c r="F37" s="1">
        <v>0</v>
      </c>
      <c r="G37" s="1" t="str">
        <v/>
      </c>
      <c r="H37" s="1" t="str">
        <v/>
      </c>
      <c r="J37" s="79"/>
      <c r="K37" s="48"/>
      <c r="L37" s="49"/>
      <c r="M37" s="49"/>
      <c r="N37" s="49"/>
      <c r="O37" s="80"/>
      <c r="P37" s="50"/>
      <c r="R37" s="77">
        <v>0</v>
      </c>
      <c r="S37" s="59">
        <v>0</v>
      </c>
      <c r="V37" s="1" t="str">
        <v>SH_01/01 to BR1</v>
      </c>
      <c r="W37" s="1" t="str">
        <v>SCM0899</v>
      </c>
      <c r="X37" s="3" t="str">
        <v>SAP</v>
      </c>
      <c r="Y37" s="3" t="str">
        <v>L18_S09</v>
      </c>
      <c r="Z37" s="1">
        <v>19</v>
      </c>
      <c r="AA37" s="1">
        <v>10</v>
      </c>
      <c r="AB37" s="93">
        <v>1</v>
      </c>
      <c r="AD37" s="1" t="str">
        <f ca="1"/>
        <v>46211/D|BR1/02</v>
      </c>
      <c r="AE37" s="1" t="str">
        <f ca="1"/>
        <v>STM-A40_0087</v>
      </c>
      <c r="AF37" s="1" t="str">
        <f ca="1"/>
        <v>SAP</v>
      </c>
      <c r="AG37" s="1" t="str">
        <f ca="1"/>
        <v>LS_18</v>
      </c>
      <c r="AH37" s="1" t="str">
        <f ca="1"/>
        <v>L18_S09</v>
      </c>
      <c r="AI37" s="1" t="str">
        <f ca="1"/>
        <v>033 / 015</v>
      </c>
      <c r="AJ37" s="3" t="str">
        <f ca="1"/>
        <v>No</v>
      </c>
      <c r="AK37" s="1" t="str">
        <f ca="1"/>
        <v/>
      </c>
      <c r="AL37" s="105" t="str">
        <f ca="1"/>
        <v/>
      </c>
      <c r="AT37" s="88"/>
      <c r="BC37" s="1" t="str">
        <v/>
      </c>
      <c r="BD37" s="1" t="str">
        <v/>
      </c>
      <c r="BE37" s="1" t="str">
        <v/>
      </c>
      <c r="BF37" s="1" t="str">
        <v/>
      </c>
      <c r="BG37" s="1" t="str">
        <v/>
      </c>
      <c r="BH37" s="1" t="str">
        <v/>
      </c>
      <c r="BI37" s="1" t="str">
        <v/>
      </c>
      <c r="BJ37" s="1" t="str">
        <v/>
      </c>
      <c r="BK37" s="1" t="str">
        <v/>
      </c>
      <c r="BL37" s="1" t="str">
        <v/>
      </c>
      <c r="BM37" s="1" t="str">
        <v/>
      </c>
      <c r="BN37" s="1" t="str">
        <v/>
      </c>
      <c r="BO37" s="1" t="str">
        <v/>
      </c>
      <c r="BP37" s="1" t="str">
        <v/>
      </c>
      <c r="BQ37" s="1" t="str">
        <v/>
      </c>
      <c r="BR37" s="1" t="str">
        <v/>
      </c>
      <c r="BS37" s="1" t="str">
        <v/>
      </c>
      <c r="BT37" s="1" t="str">
        <v/>
      </c>
      <c r="BU37" s="1" t="str">
        <v/>
      </c>
      <c r="BV37" s="1" t="str">
        <v/>
      </c>
      <c r="BZ37" s="104" t="str">
        <v/>
      </c>
      <c r="CA37" s="104" t="str">
        <v/>
      </c>
      <c r="CB37" s="104" t="str">
        <v/>
      </c>
      <c r="CC37" s="104" t="str">
        <v/>
      </c>
      <c r="CD37" s="104" t="str">
        <v/>
      </c>
      <c r="CE37" s="104" t="str">
        <v/>
      </c>
      <c r="CF37" s="104" t="str">
        <v/>
      </c>
      <c r="CG37" s="104" t="str">
        <v/>
      </c>
      <c r="CH37" s="104" t="str">
        <v/>
      </c>
      <c r="CI37" s="104" t="str">
        <v/>
      </c>
      <c r="CJ37" s="104" t="str">
        <v/>
      </c>
      <c r="CK37" s="104" t="str">
        <v/>
      </c>
      <c r="CL37" s="104" t="str">
        <v/>
      </c>
      <c r="CM37" s="104" t="str">
        <v/>
      </c>
      <c r="CN37" s="104" t="str">
        <v/>
      </c>
      <c r="CO37" s="104" t="str">
        <v/>
      </c>
      <c r="CP37" s="104" t="str">
        <v/>
      </c>
      <c r="CQ37" s="104" t="str">
        <v/>
      </c>
      <c r="CR37" s="104" t="str">
        <v/>
      </c>
      <c r="CS37" s="104" t="str">
        <v/>
      </c>
    </row>
    <row r="38" spans="5:97" x14ac:dyDescent="0.25">
      <c r="E38" s="1" t="str">
        <v/>
      </c>
      <c r="F38" s="1">
        <v>0</v>
      </c>
      <c r="G38" s="1" t="str">
        <v/>
      </c>
      <c r="H38" s="1" t="str">
        <v/>
      </c>
      <c r="J38" s="79"/>
      <c r="K38" s="48"/>
      <c r="L38" s="49"/>
      <c r="M38" s="49"/>
      <c r="N38" s="49"/>
      <c r="O38" s="80"/>
      <c r="P38" s="50"/>
      <c r="R38" s="77">
        <v>0</v>
      </c>
      <c r="S38" s="59">
        <v>0</v>
      </c>
      <c r="V38" s="1" t="str">
        <v>SH_01/01 to BR1</v>
      </c>
      <c r="W38" s="1" t="str">
        <v>SCM0899</v>
      </c>
      <c r="X38" s="3" t="str">
        <v>SAP</v>
      </c>
      <c r="Y38" s="3" t="str">
        <v>L18_S09</v>
      </c>
      <c r="Z38" s="1">
        <v>19</v>
      </c>
      <c r="AA38" s="1">
        <v>12</v>
      </c>
      <c r="AB38" s="93">
        <v>1</v>
      </c>
      <c r="AD38" s="1" t="str">
        <f ca="1"/>
        <v>46211/D|BR1/02</v>
      </c>
      <c r="AE38" s="1" t="str">
        <f ca="1"/>
        <v>STM-A40_0069</v>
      </c>
      <c r="AF38" s="1" t="str">
        <f ca="1"/>
        <v>SAP</v>
      </c>
      <c r="AG38" s="1" t="str">
        <f ca="1"/>
        <v>LS_18</v>
      </c>
      <c r="AH38" s="1" t="str">
        <f ca="1"/>
        <v>L18_S09</v>
      </c>
      <c r="AI38" s="1" t="str">
        <f ca="1"/>
        <v>033 / 016</v>
      </c>
      <c r="AJ38" s="3" t="str">
        <f ca="1"/>
        <v>Yes</v>
      </c>
      <c r="AK38" s="1" t="str">
        <f ca="1"/>
        <v/>
      </c>
      <c r="AL38" s="105" t="str">
        <f ca="1"/>
        <v/>
      </c>
      <c r="AT38" s="88"/>
      <c r="BC38" s="1" t="str">
        <v/>
      </c>
      <c r="BD38" s="1" t="str">
        <v/>
      </c>
      <c r="BE38" s="1" t="str">
        <v/>
      </c>
      <c r="BF38" s="1" t="str">
        <v/>
      </c>
      <c r="BG38" s="1" t="str">
        <v/>
      </c>
      <c r="BH38" s="1" t="str">
        <v/>
      </c>
      <c r="BI38" s="1" t="str">
        <v/>
      </c>
      <c r="BJ38" s="1" t="str">
        <v/>
      </c>
      <c r="BK38" s="1" t="str">
        <v/>
      </c>
      <c r="BL38" s="1" t="str">
        <v/>
      </c>
      <c r="BM38" s="1" t="str">
        <v/>
      </c>
      <c r="BN38" s="1" t="str">
        <v/>
      </c>
      <c r="BO38" s="1" t="str">
        <v/>
      </c>
      <c r="BP38" s="1" t="str">
        <v/>
      </c>
      <c r="BQ38" s="1" t="str">
        <v/>
      </c>
      <c r="BR38" s="1" t="str">
        <v/>
      </c>
      <c r="BS38" s="1" t="str">
        <v/>
      </c>
      <c r="BT38" s="1" t="str">
        <v/>
      </c>
      <c r="BU38" s="1" t="str">
        <v/>
      </c>
      <c r="BV38" s="1" t="str">
        <v/>
      </c>
      <c r="BZ38" s="104" t="str">
        <v/>
      </c>
      <c r="CA38" s="104" t="str">
        <v/>
      </c>
      <c r="CB38" s="104" t="str">
        <v/>
      </c>
      <c r="CC38" s="104" t="str">
        <v/>
      </c>
      <c r="CD38" s="104" t="str">
        <v/>
      </c>
      <c r="CE38" s="104" t="str">
        <v/>
      </c>
      <c r="CF38" s="104" t="str">
        <v/>
      </c>
      <c r="CG38" s="104" t="str">
        <v/>
      </c>
      <c r="CH38" s="104" t="str">
        <v/>
      </c>
      <c r="CI38" s="104" t="str">
        <v/>
      </c>
      <c r="CJ38" s="104" t="str">
        <v/>
      </c>
      <c r="CK38" s="104" t="str">
        <v/>
      </c>
      <c r="CL38" s="104" t="str">
        <v/>
      </c>
      <c r="CM38" s="104" t="str">
        <v/>
      </c>
      <c r="CN38" s="104" t="str">
        <v/>
      </c>
      <c r="CO38" s="104" t="str">
        <v/>
      </c>
      <c r="CP38" s="104" t="str">
        <v/>
      </c>
      <c r="CQ38" s="104" t="str">
        <v/>
      </c>
      <c r="CR38" s="104" t="str">
        <v/>
      </c>
      <c r="CS38" s="104" t="str">
        <v/>
      </c>
    </row>
    <row r="39" spans="5:97" x14ac:dyDescent="0.25">
      <c r="E39" s="1" t="str">
        <v/>
      </c>
      <c r="F39" s="1">
        <v>0</v>
      </c>
      <c r="G39" s="1" t="str">
        <v/>
      </c>
      <c r="H39" s="1" t="str">
        <v/>
      </c>
      <c r="J39" s="79"/>
      <c r="K39" s="48"/>
      <c r="L39" s="49"/>
      <c r="M39" s="49"/>
      <c r="N39" s="49"/>
      <c r="O39" s="80"/>
      <c r="P39" s="50"/>
      <c r="R39" s="77">
        <v>0</v>
      </c>
      <c r="S39" s="59">
        <v>0</v>
      </c>
      <c r="V39" s="1" t="str">
        <v>SH_01/01 to BR1</v>
      </c>
      <c r="W39" s="1" t="str">
        <v>SCM0899</v>
      </c>
      <c r="X39" s="3" t="str">
        <v>SAP</v>
      </c>
      <c r="Y39" s="3" t="str">
        <v>L18_S09</v>
      </c>
      <c r="Z39" s="1">
        <v>19</v>
      </c>
      <c r="AA39" s="1">
        <v>14</v>
      </c>
      <c r="AB39" s="93">
        <v>1</v>
      </c>
      <c r="AD39" s="1" t="str">
        <f ca="1"/>
        <v>46211/D|BR1/02</v>
      </c>
      <c r="AE39" s="1" t="str">
        <f ca="1"/>
        <v>STM-A40_0133</v>
      </c>
      <c r="AF39" s="1" t="str">
        <f ca="1"/>
        <v>SAP</v>
      </c>
      <c r="AG39" s="1" t="str">
        <f ca="1"/>
        <v>LS_18</v>
      </c>
      <c r="AH39" s="1" t="str">
        <f ca="1"/>
        <v>L18_S09</v>
      </c>
      <c r="AI39" s="1" t="str">
        <f ca="1"/>
        <v>033 / 017</v>
      </c>
      <c r="AJ39" s="3" t="str">
        <f ca="1"/>
        <v>No</v>
      </c>
      <c r="AK39" s="1" t="str">
        <f ca="1"/>
        <v/>
      </c>
      <c r="AL39" s="105" t="str">
        <f ca="1"/>
        <v/>
      </c>
      <c r="BC39" s="1" t="str">
        <v/>
      </c>
      <c r="BD39" s="1" t="str">
        <v/>
      </c>
      <c r="BE39" s="1" t="str">
        <v/>
      </c>
      <c r="BF39" s="1" t="str">
        <v/>
      </c>
      <c r="BG39" s="1" t="str">
        <v/>
      </c>
      <c r="BH39" s="1" t="str">
        <v/>
      </c>
      <c r="BI39" s="1" t="str">
        <v/>
      </c>
      <c r="BJ39" s="1" t="str">
        <v/>
      </c>
      <c r="BK39" s="1" t="str">
        <v/>
      </c>
      <c r="BL39" s="1" t="str">
        <v/>
      </c>
      <c r="BM39" s="1" t="str">
        <v/>
      </c>
      <c r="BN39" s="1" t="str">
        <v/>
      </c>
      <c r="BO39" s="1" t="str">
        <v/>
      </c>
      <c r="BP39" s="1" t="str">
        <v/>
      </c>
      <c r="BQ39" s="1" t="str">
        <v/>
      </c>
      <c r="BR39" s="1" t="str">
        <v/>
      </c>
      <c r="BS39" s="1" t="str">
        <v/>
      </c>
      <c r="BT39" s="1" t="str">
        <v/>
      </c>
      <c r="BU39" s="1" t="str">
        <v/>
      </c>
      <c r="BV39" s="1" t="str">
        <v/>
      </c>
      <c r="BZ39" s="104" t="str">
        <v/>
      </c>
      <c r="CA39" s="104" t="str">
        <v/>
      </c>
      <c r="CB39" s="104" t="str">
        <v/>
      </c>
      <c r="CC39" s="104" t="str">
        <v/>
      </c>
      <c r="CD39" s="104" t="str">
        <v/>
      </c>
      <c r="CE39" s="104" t="str">
        <v/>
      </c>
      <c r="CF39" s="104" t="str">
        <v/>
      </c>
      <c r="CG39" s="104" t="str">
        <v/>
      </c>
      <c r="CH39" s="104" t="str">
        <v/>
      </c>
      <c r="CI39" s="104" t="str">
        <v/>
      </c>
      <c r="CJ39" s="104" t="str">
        <v/>
      </c>
      <c r="CK39" s="104" t="str">
        <v/>
      </c>
      <c r="CL39" s="104" t="str">
        <v/>
      </c>
      <c r="CM39" s="104" t="str">
        <v/>
      </c>
      <c r="CN39" s="104" t="str">
        <v/>
      </c>
      <c r="CO39" s="104" t="str">
        <v/>
      </c>
      <c r="CP39" s="104" t="str">
        <v/>
      </c>
      <c r="CQ39" s="104" t="str">
        <v/>
      </c>
      <c r="CR39" s="104" t="str">
        <v/>
      </c>
      <c r="CS39" s="104" t="str">
        <v/>
      </c>
    </row>
    <row r="40" spans="5:97" x14ac:dyDescent="0.25">
      <c r="E40" s="1" t="str">
        <v/>
      </c>
      <c r="F40" s="1">
        <v>0</v>
      </c>
      <c r="G40" s="1" t="str">
        <v/>
      </c>
      <c r="H40" s="1" t="str">
        <v/>
      </c>
      <c r="J40" s="79"/>
      <c r="K40" s="48"/>
      <c r="L40" s="49"/>
      <c r="M40" s="49"/>
      <c r="N40" s="49"/>
      <c r="O40" s="80"/>
      <c r="P40" s="50"/>
      <c r="R40" s="77">
        <v>0</v>
      </c>
      <c r="S40" s="59">
        <v>0</v>
      </c>
      <c r="V40" s="1" t="str">
        <v>SH_01/01 to BR1</v>
      </c>
      <c r="W40" s="1" t="str">
        <v>SCM0899</v>
      </c>
      <c r="X40" s="3" t="str">
        <v>SAP</v>
      </c>
      <c r="Y40" s="3" t="str">
        <v>L18_S09</v>
      </c>
      <c r="Z40" s="1">
        <v>19</v>
      </c>
      <c r="AA40" s="1">
        <v>16</v>
      </c>
      <c r="AB40" s="93">
        <v>1</v>
      </c>
      <c r="AD40" s="1" t="str">
        <f ca="1"/>
        <v>46211/D|BR1/02</v>
      </c>
      <c r="AE40" s="1" t="str">
        <f ca="1"/>
        <v>STM-A40_0136</v>
      </c>
      <c r="AF40" s="1" t="str">
        <f ca="1"/>
        <v>SAP</v>
      </c>
      <c r="AG40" s="1" t="str">
        <f ca="1"/>
        <v>LS_18</v>
      </c>
      <c r="AH40" s="1" t="str">
        <f ca="1"/>
        <v>L18_S09</v>
      </c>
      <c r="AI40" s="1" t="str">
        <f ca="1"/>
        <v>033 / 018</v>
      </c>
      <c r="AJ40" s="3" t="str">
        <f ca="1"/>
        <v>Yes</v>
      </c>
      <c r="AK40" s="1" t="str">
        <f ca="1"/>
        <v/>
      </c>
      <c r="AL40" s="105" t="str">
        <f ca="1"/>
        <v/>
      </c>
      <c r="BC40" s="1" t="str">
        <v/>
      </c>
      <c r="BD40" s="1" t="str">
        <v/>
      </c>
      <c r="BE40" s="1" t="str">
        <v/>
      </c>
      <c r="BF40" s="1" t="str">
        <v/>
      </c>
      <c r="BG40" s="1" t="str">
        <v/>
      </c>
      <c r="BH40" s="1" t="str">
        <v/>
      </c>
      <c r="BI40" s="1" t="str">
        <v/>
      </c>
      <c r="BJ40" s="1" t="str">
        <v/>
      </c>
      <c r="BK40" s="1" t="str">
        <v/>
      </c>
      <c r="BL40" s="1" t="str">
        <v/>
      </c>
      <c r="BM40" s="1" t="str">
        <v/>
      </c>
      <c r="BN40" s="1" t="str">
        <v/>
      </c>
      <c r="BO40" s="1" t="str">
        <v/>
      </c>
      <c r="BP40" s="1" t="str">
        <v/>
      </c>
      <c r="BQ40" s="1" t="str">
        <v/>
      </c>
      <c r="BR40" s="1" t="str">
        <v/>
      </c>
      <c r="BS40" s="1" t="str">
        <v/>
      </c>
      <c r="BT40" s="1" t="str">
        <v/>
      </c>
      <c r="BU40" s="1" t="str">
        <v/>
      </c>
      <c r="BV40" s="1" t="str">
        <v/>
      </c>
      <c r="BZ40" s="104" t="str">
        <v/>
      </c>
      <c r="CA40" s="104" t="str">
        <v/>
      </c>
      <c r="CB40" s="104" t="str">
        <v/>
      </c>
      <c r="CC40" s="104" t="str">
        <v/>
      </c>
      <c r="CD40" s="104" t="str">
        <v/>
      </c>
      <c r="CE40" s="104" t="str">
        <v/>
      </c>
      <c r="CF40" s="104" t="str">
        <v/>
      </c>
      <c r="CG40" s="104" t="str">
        <v/>
      </c>
      <c r="CH40" s="104" t="str">
        <v/>
      </c>
      <c r="CI40" s="104" t="str">
        <v/>
      </c>
      <c r="CJ40" s="104" t="str">
        <v/>
      </c>
      <c r="CK40" s="104" t="str">
        <v/>
      </c>
      <c r="CL40" s="104" t="str">
        <v/>
      </c>
      <c r="CM40" s="104" t="str">
        <v/>
      </c>
      <c r="CN40" s="104" t="str">
        <v/>
      </c>
      <c r="CO40" s="104" t="str">
        <v/>
      </c>
      <c r="CP40" s="104" t="str">
        <v/>
      </c>
      <c r="CQ40" s="104" t="str">
        <v/>
      </c>
      <c r="CR40" s="104" t="str">
        <v/>
      </c>
      <c r="CS40" s="104" t="str">
        <v/>
      </c>
    </row>
    <row r="41" spans="5:97" x14ac:dyDescent="0.25">
      <c r="E41" s="1" t="str">
        <v/>
      </c>
      <c r="F41" s="1">
        <v>0</v>
      </c>
      <c r="G41" s="1" t="str">
        <v/>
      </c>
      <c r="H41" s="1" t="str">
        <v/>
      </c>
      <c r="J41" s="79"/>
      <c r="K41" s="48"/>
      <c r="L41" s="49"/>
      <c r="M41" s="49"/>
      <c r="N41" s="49"/>
      <c r="O41" s="80"/>
      <c r="P41" s="50"/>
      <c r="R41" s="77">
        <v>0</v>
      </c>
      <c r="S41" s="59">
        <v>0</v>
      </c>
      <c r="V41" s="1" t="str">
        <v>SH_01/01 to BR1</v>
      </c>
      <c r="W41" s="1" t="str">
        <v>SCM0899</v>
      </c>
      <c r="X41" s="3" t="str">
        <v>SAP</v>
      </c>
      <c r="Y41" s="3" t="str">
        <v>L18_S09</v>
      </c>
      <c r="Z41" s="1">
        <v>19</v>
      </c>
      <c r="AA41" s="1">
        <v>18</v>
      </c>
      <c r="AB41" s="93">
        <v>1</v>
      </c>
      <c r="AD41" s="1" t="str">
        <f ca="1"/>
        <v>46211/D|BR1/02</v>
      </c>
      <c r="AE41" s="1" t="str">
        <f ca="1"/>
        <v>STM-A40_0097</v>
      </c>
      <c r="AF41" s="1" t="str">
        <f ca="1"/>
        <v>SAP</v>
      </c>
      <c r="AG41" s="1" t="str">
        <f ca="1"/>
        <v>LS_18</v>
      </c>
      <c r="AH41" s="1" t="str">
        <f ca="1"/>
        <v>L18_S09</v>
      </c>
      <c r="AI41" s="1" t="str">
        <f ca="1"/>
        <v>033 / 019</v>
      </c>
      <c r="AJ41" s="3" t="str">
        <f ca="1"/>
        <v>No</v>
      </c>
      <c r="AK41" s="1" t="str">
        <f ca="1"/>
        <v/>
      </c>
      <c r="AL41" s="105" t="str">
        <f ca="1"/>
        <v/>
      </c>
      <c r="BC41" s="1" t="str">
        <v/>
      </c>
      <c r="BD41" s="1" t="str">
        <v/>
      </c>
      <c r="BE41" s="1" t="str">
        <v/>
      </c>
      <c r="BF41" s="1" t="str">
        <v/>
      </c>
      <c r="BG41" s="1" t="str">
        <v/>
      </c>
      <c r="BH41" s="1" t="str">
        <v/>
      </c>
      <c r="BI41" s="1" t="str">
        <v/>
      </c>
      <c r="BJ41" s="1" t="str">
        <v/>
      </c>
      <c r="BK41" s="1" t="str">
        <v/>
      </c>
      <c r="BL41" s="1" t="str">
        <v/>
      </c>
      <c r="BM41" s="1" t="str">
        <v/>
      </c>
      <c r="BN41" s="1" t="str">
        <v/>
      </c>
      <c r="BO41" s="1" t="str">
        <v/>
      </c>
      <c r="BP41" s="1" t="str">
        <v/>
      </c>
      <c r="BQ41" s="1" t="str">
        <v/>
      </c>
      <c r="BR41" s="1" t="str">
        <v/>
      </c>
      <c r="BS41" s="1" t="str">
        <v/>
      </c>
      <c r="BT41" s="1" t="str">
        <v/>
      </c>
      <c r="BU41" s="1" t="str">
        <v/>
      </c>
      <c r="BV41" s="1" t="str">
        <v/>
      </c>
      <c r="BZ41" s="104" t="str">
        <v/>
      </c>
      <c r="CA41" s="104" t="str">
        <v/>
      </c>
      <c r="CB41" s="104" t="str">
        <v/>
      </c>
      <c r="CC41" s="104" t="str">
        <v/>
      </c>
      <c r="CD41" s="104" t="str">
        <v/>
      </c>
      <c r="CE41" s="104" t="str">
        <v/>
      </c>
      <c r="CF41" s="104" t="str">
        <v/>
      </c>
      <c r="CG41" s="104" t="str">
        <v/>
      </c>
      <c r="CH41" s="104" t="str">
        <v/>
      </c>
      <c r="CI41" s="104" t="str">
        <v/>
      </c>
      <c r="CJ41" s="104" t="str">
        <v/>
      </c>
      <c r="CK41" s="104" t="str">
        <v/>
      </c>
      <c r="CL41" s="104" t="str">
        <v/>
      </c>
      <c r="CM41" s="104" t="str">
        <v/>
      </c>
      <c r="CN41" s="104" t="str">
        <v/>
      </c>
      <c r="CO41" s="104" t="str">
        <v/>
      </c>
      <c r="CP41" s="104" t="str">
        <v/>
      </c>
      <c r="CQ41" s="104" t="str">
        <v/>
      </c>
      <c r="CR41" s="104" t="str">
        <v/>
      </c>
      <c r="CS41" s="104" t="str">
        <v/>
      </c>
    </row>
    <row r="42" spans="5:97" x14ac:dyDescent="0.25">
      <c r="E42" s="1" t="str">
        <v/>
      </c>
      <c r="F42" s="1">
        <v>0</v>
      </c>
      <c r="G42" s="1" t="str">
        <v/>
      </c>
      <c r="H42" s="1" t="str">
        <v/>
      </c>
      <c r="J42" s="79"/>
      <c r="K42" s="48"/>
      <c r="L42" s="49"/>
      <c r="M42" s="49"/>
      <c r="N42" s="49"/>
      <c r="O42" s="80"/>
      <c r="P42" s="50"/>
      <c r="R42" s="77">
        <v>0</v>
      </c>
      <c r="S42" s="59">
        <v>0</v>
      </c>
      <c r="V42" s="1" t="str">
        <v>SH_01/01 to BR1</v>
      </c>
      <c r="W42" s="1" t="str">
        <v>SCM0899</v>
      </c>
      <c r="X42" s="3" t="str">
        <v>SAP</v>
      </c>
      <c r="Y42" s="3" t="str">
        <v>L18_S09</v>
      </c>
      <c r="Z42" s="1">
        <v>19</v>
      </c>
      <c r="AA42" s="1">
        <v>20</v>
      </c>
      <c r="AB42" s="93">
        <v>1</v>
      </c>
      <c r="AD42" s="1" t="str">
        <f ca="1"/>
        <v>46211/D|BR1/02</v>
      </c>
      <c r="AE42" s="1" t="str">
        <f ca="1"/>
        <v>STM-A40_0132</v>
      </c>
      <c r="AF42" s="1" t="str">
        <f ca="1"/>
        <v>SAP</v>
      </c>
      <c r="AG42" s="1" t="str">
        <f ca="1"/>
        <v>LS_18</v>
      </c>
      <c r="AH42" s="1" t="str">
        <f ca="1"/>
        <v>L18_S09</v>
      </c>
      <c r="AI42" s="1" t="str">
        <f ca="1"/>
        <v>033 / 020</v>
      </c>
      <c r="AJ42" s="3" t="str">
        <f ca="1"/>
        <v>Yes</v>
      </c>
      <c r="AK42" s="1" t="str">
        <f ca="1"/>
        <v/>
      </c>
      <c r="AL42" s="105" t="str">
        <f ca="1"/>
        <v/>
      </c>
      <c r="BC42" s="1" t="str">
        <v/>
      </c>
      <c r="BD42" s="1" t="str">
        <v/>
      </c>
      <c r="BE42" s="1" t="str">
        <v/>
      </c>
      <c r="BF42" s="1" t="str">
        <v/>
      </c>
      <c r="BG42" s="1" t="str">
        <v/>
      </c>
      <c r="BH42" s="1" t="str">
        <v/>
      </c>
      <c r="BI42" s="1" t="str">
        <v/>
      </c>
      <c r="BJ42" s="1" t="str">
        <v/>
      </c>
      <c r="BK42" s="1" t="str">
        <v/>
      </c>
      <c r="BL42" s="1" t="str">
        <v/>
      </c>
      <c r="BM42" s="1" t="str">
        <v/>
      </c>
      <c r="BN42" s="1" t="str">
        <v/>
      </c>
      <c r="BO42" s="1" t="str">
        <v/>
      </c>
      <c r="BP42" s="1" t="str">
        <v/>
      </c>
      <c r="BQ42" s="1" t="str">
        <v/>
      </c>
      <c r="BR42" s="1" t="str">
        <v/>
      </c>
      <c r="BS42" s="1" t="str">
        <v/>
      </c>
      <c r="BT42" s="1" t="str">
        <v/>
      </c>
      <c r="BU42" s="1" t="str">
        <v/>
      </c>
      <c r="BV42" s="1" t="str">
        <v/>
      </c>
      <c r="BZ42" s="104" t="str">
        <v/>
      </c>
      <c r="CA42" s="104" t="str">
        <v/>
      </c>
      <c r="CB42" s="104" t="str">
        <v/>
      </c>
      <c r="CC42" s="104" t="str">
        <v/>
      </c>
      <c r="CD42" s="104" t="str">
        <v/>
      </c>
      <c r="CE42" s="104" t="str">
        <v/>
      </c>
      <c r="CF42" s="104" t="str">
        <v/>
      </c>
      <c r="CG42" s="104" t="str">
        <v/>
      </c>
      <c r="CH42" s="104" t="str">
        <v/>
      </c>
      <c r="CI42" s="104" t="str">
        <v/>
      </c>
      <c r="CJ42" s="104" t="str">
        <v/>
      </c>
      <c r="CK42" s="104" t="str">
        <v/>
      </c>
      <c r="CL42" s="104" t="str">
        <v/>
      </c>
      <c r="CM42" s="104" t="str">
        <v/>
      </c>
      <c r="CN42" s="104" t="str">
        <v/>
      </c>
      <c r="CO42" s="104" t="str">
        <v/>
      </c>
      <c r="CP42" s="104" t="str">
        <v/>
      </c>
      <c r="CQ42" s="104" t="str">
        <v/>
      </c>
      <c r="CR42" s="104" t="str">
        <v/>
      </c>
      <c r="CS42" s="104" t="str">
        <v/>
      </c>
    </row>
    <row r="43" spans="5:97" x14ac:dyDescent="0.25">
      <c r="E43" s="1" t="str">
        <v/>
      </c>
      <c r="F43" s="1">
        <v>0</v>
      </c>
      <c r="G43" s="1" t="str">
        <v/>
      </c>
      <c r="H43" s="1" t="str">
        <v/>
      </c>
      <c r="J43" s="79"/>
      <c r="K43" s="48"/>
      <c r="L43" s="49"/>
      <c r="M43" s="49"/>
      <c r="N43" s="49"/>
      <c r="O43" s="80"/>
      <c r="P43" s="50"/>
      <c r="R43" s="77">
        <v>0</v>
      </c>
      <c r="S43" s="59">
        <v>0</v>
      </c>
      <c r="V43" s="1" t="str">
        <v>SH_01/01 to BR1</v>
      </c>
      <c r="W43" s="1" t="str">
        <v>SCM0899</v>
      </c>
      <c r="X43" s="3" t="str">
        <v>SAP</v>
      </c>
      <c r="Y43" s="3" t="str">
        <v>L18_S09</v>
      </c>
      <c r="Z43" s="1">
        <v>30</v>
      </c>
      <c r="AA43" s="1">
        <v>2</v>
      </c>
      <c r="AB43" s="93">
        <v>1</v>
      </c>
      <c r="AD43" s="1" t="str">
        <f ca="1"/>
        <v>46211/D|BR1/01</v>
      </c>
      <c r="AE43" s="1" t="str">
        <f ca="1"/>
        <v>STM-A40_0106</v>
      </c>
      <c r="AF43" s="1" t="str">
        <f ca="1"/>
        <v>SAP</v>
      </c>
      <c r="AG43" s="1" t="str">
        <f ca="1"/>
        <v>LS_18</v>
      </c>
      <c r="AH43" s="1" t="str">
        <f ca="1"/>
        <v>L18_S09</v>
      </c>
      <c r="AI43" s="1" t="str">
        <f ca="1"/>
        <v>034 / 001</v>
      </c>
      <c r="AJ43" s="3" t="str">
        <f ca="1"/>
        <v>No</v>
      </c>
      <c r="AK43" s="1" t="str">
        <f ca="1"/>
        <v/>
      </c>
      <c r="AL43" s="105" t="str">
        <f ca="1"/>
        <v/>
      </c>
      <c r="BC43" s="1" t="str">
        <v/>
      </c>
      <c r="BD43" s="1" t="str">
        <v/>
      </c>
      <c r="BE43" s="1" t="str">
        <v/>
      </c>
      <c r="BF43" s="1" t="str">
        <v/>
      </c>
      <c r="BG43" s="1" t="str">
        <v/>
      </c>
      <c r="BH43" s="1" t="str">
        <v/>
      </c>
      <c r="BI43" s="1" t="str">
        <v/>
      </c>
      <c r="BJ43" s="1" t="str">
        <v/>
      </c>
      <c r="BK43" s="1" t="str">
        <v/>
      </c>
      <c r="BL43" s="1" t="str">
        <v/>
      </c>
      <c r="BM43" s="1" t="str">
        <v/>
      </c>
      <c r="BN43" s="1" t="str">
        <v/>
      </c>
      <c r="BO43" s="1" t="str">
        <v/>
      </c>
      <c r="BP43" s="1" t="str">
        <v/>
      </c>
      <c r="BQ43" s="1" t="str">
        <v/>
      </c>
      <c r="BR43" s="1" t="str">
        <v/>
      </c>
      <c r="BS43" s="1" t="str">
        <v/>
      </c>
      <c r="BT43" s="1" t="str">
        <v/>
      </c>
      <c r="BU43" s="1" t="str">
        <v/>
      </c>
      <c r="BV43" s="1" t="str">
        <v/>
      </c>
      <c r="BZ43" s="104" t="str">
        <v/>
      </c>
      <c r="CA43" s="104" t="str">
        <v/>
      </c>
      <c r="CB43" s="104" t="str">
        <v/>
      </c>
      <c r="CC43" s="104" t="str">
        <v/>
      </c>
      <c r="CD43" s="104" t="str">
        <v/>
      </c>
      <c r="CE43" s="104" t="str">
        <v/>
      </c>
      <c r="CF43" s="104" t="str">
        <v/>
      </c>
      <c r="CG43" s="104" t="str">
        <v/>
      </c>
      <c r="CH43" s="104" t="str">
        <v/>
      </c>
      <c r="CI43" s="104" t="str">
        <v/>
      </c>
      <c r="CJ43" s="104" t="str">
        <v/>
      </c>
      <c r="CK43" s="104" t="str">
        <v/>
      </c>
      <c r="CL43" s="104" t="str">
        <v/>
      </c>
      <c r="CM43" s="104" t="str">
        <v/>
      </c>
      <c r="CN43" s="104" t="str">
        <v/>
      </c>
      <c r="CO43" s="104" t="str">
        <v/>
      </c>
      <c r="CP43" s="104" t="str">
        <v/>
      </c>
      <c r="CQ43" s="104" t="str">
        <v/>
      </c>
      <c r="CR43" s="104" t="str">
        <v/>
      </c>
      <c r="CS43" s="104" t="str">
        <v/>
      </c>
    </row>
    <row r="44" spans="5:97" x14ac:dyDescent="0.25">
      <c r="E44" s="1" t="str">
        <v/>
      </c>
      <c r="F44" s="1">
        <v>0</v>
      </c>
      <c r="G44" s="1" t="str">
        <v/>
      </c>
      <c r="H44" s="1" t="str">
        <v/>
      </c>
      <c r="J44" s="79"/>
      <c r="K44" s="48"/>
      <c r="L44" s="49"/>
      <c r="M44" s="49"/>
      <c r="N44" s="49"/>
      <c r="O44" s="80"/>
      <c r="P44" s="50"/>
      <c r="R44" s="77">
        <v>0</v>
      </c>
      <c r="S44" s="59">
        <v>0</v>
      </c>
      <c r="V44" s="1" t="str">
        <v>SH_01/01 to BR1</v>
      </c>
      <c r="W44" s="1" t="str">
        <v>SCM0899</v>
      </c>
      <c r="X44" s="3" t="str">
        <v>SAP</v>
      </c>
      <c r="Y44" s="3" t="str">
        <v>L18_S09</v>
      </c>
      <c r="Z44" s="1">
        <v>30</v>
      </c>
      <c r="AA44" s="1">
        <v>4</v>
      </c>
      <c r="AB44" s="93">
        <v>1</v>
      </c>
      <c r="AD44" s="1" t="str">
        <f ca="1"/>
        <v>46211/D|BR1/01</v>
      </c>
      <c r="AE44" s="1" t="str">
        <f ca="1"/>
        <v>STM-A40_0121</v>
      </c>
      <c r="AF44" s="1" t="str">
        <f ca="1"/>
        <v>SAP</v>
      </c>
      <c r="AG44" s="1" t="str">
        <f ca="1"/>
        <v>LS_18</v>
      </c>
      <c r="AH44" s="1" t="str">
        <f ca="1"/>
        <v>L18_S09</v>
      </c>
      <c r="AI44" s="1" t="str">
        <f ca="1"/>
        <v>034 / 002</v>
      </c>
      <c r="AJ44" s="3" t="str">
        <f ca="1"/>
        <v>Yes</v>
      </c>
      <c r="AK44" s="1" t="str">
        <f ca="1"/>
        <v/>
      </c>
      <c r="AL44" s="105" t="str">
        <f ca="1"/>
        <v/>
      </c>
      <c r="BC44" s="1" t="str">
        <v/>
      </c>
      <c r="BD44" s="1" t="str">
        <v/>
      </c>
      <c r="BE44" s="1" t="str">
        <v/>
      </c>
      <c r="BF44" s="1" t="str">
        <v/>
      </c>
      <c r="BG44" s="1" t="str">
        <v/>
      </c>
      <c r="BH44" s="1" t="str">
        <v/>
      </c>
      <c r="BI44" s="1" t="str">
        <v/>
      </c>
      <c r="BJ44" s="1" t="str">
        <v/>
      </c>
      <c r="BK44" s="1" t="str">
        <v/>
      </c>
      <c r="BL44" s="1" t="str">
        <v/>
      </c>
      <c r="BM44" s="1" t="str">
        <v/>
      </c>
      <c r="BN44" s="1" t="str">
        <v/>
      </c>
      <c r="BO44" s="1" t="str">
        <v/>
      </c>
      <c r="BP44" s="1" t="str">
        <v/>
      </c>
      <c r="BQ44" s="1" t="str">
        <v/>
      </c>
      <c r="BR44" s="1" t="str">
        <v/>
      </c>
      <c r="BS44" s="1" t="str">
        <v/>
      </c>
      <c r="BT44" s="1" t="str">
        <v/>
      </c>
      <c r="BU44" s="1" t="str">
        <v/>
      </c>
      <c r="BV44" s="1" t="str">
        <v/>
      </c>
      <c r="BZ44" s="104" t="str">
        <v/>
      </c>
      <c r="CA44" s="104" t="str">
        <v/>
      </c>
      <c r="CB44" s="104" t="str">
        <v/>
      </c>
      <c r="CC44" s="104" t="str">
        <v/>
      </c>
      <c r="CD44" s="104" t="str">
        <v/>
      </c>
      <c r="CE44" s="104" t="str">
        <v/>
      </c>
      <c r="CF44" s="104" t="str">
        <v/>
      </c>
      <c r="CG44" s="104" t="str">
        <v/>
      </c>
      <c r="CH44" s="104" t="str">
        <v/>
      </c>
      <c r="CI44" s="104" t="str">
        <v/>
      </c>
      <c r="CJ44" s="104" t="str">
        <v/>
      </c>
      <c r="CK44" s="104" t="str">
        <v/>
      </c>
      <c r="CL44" s="104" t="str">
        <v/>
      </c>
      <c r="CM44" s="104" t="str">
        <v/>
      </c>
      <c r="CN44" s="104" t="str">
        <v/>
      </c>
      <c r="CO44" s="104" t="str">
        <v/>
      </c>
      <c r="CP44" s="104" t="str">
        <v/>
      </c>
      <c r="CQ44" s="104" t="str">
        <v/>
      </c>
      <c r="CR44" s="104" t="str">
        <v/>
      </c>
      <c r="CS44" s="104" t="str">
        <v/>
      </c>
    </row>
    <row r="45" spans="5:97" x14ac:dyDescent="0.25">
      <c r="E45" s="1" t="str">
        <v/>
      </c>
      <c r="F45" s="1">
        <v>0</v>
      </c>
      <c r="G45" s="1" t="str">
        <v/>
      </c>
      <c r="H45" s="1" t="str">
        <v/>
      </c>
      <c r="J45" s="79"/>
      <c r="K45" s="48"/>
      <c r="L45" s="49"/>
      <c r="M45" s="49"/>
      <c r="N45" s="49"/>
      <c r="O45" s="80"/>
      <c r="P45" s="50"/>
      <c r="R45" s="77">
        <v>0</v>
      </c>
      <c r="S45" s="59">
        <v>0</v>
      </c>
      <c r="V45" s="1" t="str">
        <v>SH_01/01 to BR1</v>
      </c>
      <c r="W45" s="1" t="str">
        <v>SCM0899</v>
      </c>
      <c r="X45" s="3" t="str">
        <v>SAP</v>
      </c>
      <c r="Y45" s="3" t="str">
        <v>L18_S09</v>
      </c>
      <c r="Z45" s="1">
        <v>30</v>
      </c>
      <c r="AA45" s="1">
        <v>6</v>
      </c>
      <c r="AB45" s="93">
        <v>1</v>
      </c>
      <c r="AD45" s="1" t="str">
        <f ca="1"/>
        <v>46211/D|BR1/01</v>
      </c>
      <c r="AE45" s="1" t="str">
        <f ca="1"/>
        <v>STM-A40_0107</v>
      </c>
      <c r="AF45" s="1" t="str">
        <f ca="1"/>
        <v>SAP</v>
      </c>
      <c r="AG45" s="1" t="str">
        <f ca="1"/>
        <v>LS_18</v>
      </c>
      <c r="AH45" s="1" t="str">
        <f ca="1"/>
        <v>L18_S09</v>
      </c>
      <c r="AI45" s="1" t="str">
        <f ca="1"/>
        <v>034 / 003</v>
      </c>
      <c r="AJ45" s="3" t="str">
        <f ca="1"/>
        <v>No</v>
      </c>
      <c r="AK45" s="1" t="str">
        <f ca="1"/>
        <v/>
      </c>
      <c r="AL45" s="105" t="str">
        <f ca="1"/>
        <v/>
      </c>
      <c r="BC45" s="1" t="str">
        <v/>
      </c>
      <c r="BD45" s="1" t="str">
        <v/>
      </c>
      <c r="BE45" s="1" t="str">
        <v/>
      </c>
      <c r="BF45" s="1" t="str">
        <v/>
      </c>
      <c r="BG45" s="1" t="str">
        <v/>
      </c>
      <c r="BH45" s="1" t="str">
        <v/>
      </c>
      <c r="BI45" s="1" t="str">
        <v/>
      </c>
      <c r="BJ45" s="1" t="str">
        <v/>
      </c>
      <c r="BK45" s="1" t="str">
        <v/>
      </c>
      <c r="BL45" s="1" t="str">
        <v/>
      </c>
      <c r="BM45" s="1" t="str">
        <v/>
      </c>
      <c r="BN45" s="1" t="str">
        <v/>
      </c>
      <c r="BO45" s="1" t="str">
        <v/>
      </c>
      <c r="BP45" s="1" t="str">
        <v/>
      </c>
      <c r="BQ45" s="1" t="str">
        <v/>
      </c>
      <c r="BR45" s="1" t="str">
        <v/>
      </c>
      <c r="BS45" s="1" t="str">
        <v/>
      </c>
      <c r="BT45" s="1" t="str">
        <v/>
      </c>
      <c r="BU45" s="1" t="str">
        <v/>
      </c>
      <c r="BV45" s="1" t="str">
        <v/>
      </c>
      <c r="BZ45" s="104" t="str">
        <v/>
      </c>
      <c r="CA45" s="104" t="str">
        <v/>
      </c>
      <c r="CB45" s="104" t="str">
        <v/>
      </c>
      <c r="CC45" s="104" t="str">
        <v/>
      </c>
      <c r="CD45" s="104" t="str">
        <v/>
      </c>
      <c r="CE45" s="104" t="str">
        <v/>
      </c>
      <c r="CF45" s="104" t="str">
        <v/>
      </c>
      <c r="CG45" s="104" t="str">
        <v/>
      </c>
      <c r="CH45" s="104" t="str">
        <v/>
      </c>
      <c r="CI45" s="104" t="str">
        <v/>
      </c>
      <c r="CJ45" s="104" t="str">
        <v/>
      </c>
      <c r="CK45" s="104" t="str">
        <v/>
      </c>
      <c r="CL45" s="104" t="str">
        <v/>
      </c>
      <c r="CM45" s="104" t="str">
        <v/>
      </c>
      <c r="CN45" s="104" t="str">
        <v/>
      </c>
      <c r="CO45" s="104" t="str">
        <v/>
      </c>
      <c r="CP45" s="104" t="str">
        <v/>
      </c>
      <c r="CQ45" s="104" t="str">
        <v/>
      </c>
      <c r="CR45" s="104" t="str">
        <v/>
      </c>
      <c r="CS45" s="104" t="str">
        <v/>
      </c>
    </row>
    <row r="46" spans="5:97" x14ac:dyDescent="0.25">
      <c r="E46" s="1" t="str">
        <v/>
      </c>
      <c r="F46" s="1">
        <v>0</v>
      </c>
      <c r="G46" s="1" t="str">
        <v/>
      </c>
      <c r="H46" s="1" t="str">
        <v/>
      </c>
      <c r="J46" s="79"/>
      <c r="K46" s="48"/>
      <c r="L46" s="49"/>
      <c r="M46" s="49"/>
      <c r="N46" s="49"/>
      <c r="O46" s="80"/>
      <c r="P46" s="50"/>
      <c r="R46" s="77">
        <v>0</v>
      </c>
      <c r="S46" s="59">
        <v>0</v>
      </c>
      <c r="V46" s="1" t="str">
        <v>SH_01/01 to BR1</v>
      </c>
      <c r="W46" s="1" t="str">
        <v>SCM0899</v>
      </c>
      <c r="X46" s="3" t="str">
        <v>SAP</v>
      </c>
      <c r="Y46" s="3" t="str">
        <v>L18_S09</v>
      </c>
      <c r="Z46" s="1">
        <v>30</v>
      </c>
      <c r="AA46" s="1">
        <v>8</v>
      </c>
      <c r="AB46" s="93">
        <v>1</v>
      </c>
      <c r="AD46" s="1" t="str">
        <f ca="1"/>
        <v>46211/D|BR1/01</v>
      </c>
      <c r="AE46" s="1" t="str">
        <f ca="1"/>
        <v>STM-A40_0119</v>
      </c>
      <c r="AF46" s="1" t="str">
        <f ca="1"/>
        <v>SAP</v>
      </c>
      <c r="AG46" s="1" t="str">
        <f ca="1"/>
        <v>LS_18</v>
      </c>
      <c r="AH46" s="1" t="str">
        <f ca="1"/>
        <v>L18_S09</v>
      </c>
      <c r="AI46" s="1" t="str">
        <f ca="1"/>
        <v>034 / 004</v>
      </c>
      <c r="AJ46" s="3" t="str">
        <f ca="1"/>
        <v>Yes</v>
      </c>
      <c r="AK46" s="1" t="str">
        <f ca="1"/>
        <v/>
      </c>
      <c r="AL46" s="105" t="str">
        <f ca="1"/>
        <v/>
      </c>
      <c r="BC46" s="1" t="str">
        <v/>
      </c>
      <c r="BD46" s="1" t="str">
        <v/>
      </c>
      <c r="BE46" s="1" t="str">
        <v/>
      </c>
      <c r="BF46" s="1" t="str">
        <v/>
      </c>
      <c r="BG46" s="1" t="str">
        <v/>
      </c>
      <c r="BH46" s="1" t="str">
        <v/>
      </c>
      <c r="BI46" s="1" t="str">
        <v/>
      </c>
      <c r="BJ46" s="1" t="str">
        <v/>
      </c>
      <c r="BK46" s="1" t="str">
        <v/>
      </c>
      <c r="BL46" s="1" t="str">
        <v/>
      </c>
      <c r="BM46" s="1" t="str">
        <v/>
      </c>
      <c r="BN46" s="1" t="str">
        <v/>
      </c>
      <c r="BO46" s="1" t="str">
        <v/>
      </c>
      <c r="BP46" s="1" t="str">
        <v/>
      </c>
      <c r="BQ46" s="1" t="str">
        <v/>
      </c>
      <c r="BR46" s="1" t="str">
        <v/>
      </c>
      <c r="BS46" s="1" t="str">
        <v/>
      </c>
      <c r="BT46" s="1" t="str">
        <v/>
      </c>
      <c r="BU46" s="1" t="str">
        <v/>
      </c>
      <c r="BV46" s="1" t="str">
        <v/>
      </c>
      <c r="BZ46" s="104" t="str">
        <v/>
      </c>
      <c r="CA46" s="104" t="str">
        <v/>
      </c>
      <c r="CB46" s="104" t="str">
        <v/>
      </c>
      <c r="CC46" s="104" t="str">
        <v/>
      </c>
      <c r="CD46" s="104" t="str">
        <v/>
      </c>
      <c r="CE46" s="104" t="str">
        <v/>
      </c>
      <c r="CF46" s="104" t="str">
        <v/>
      </c>
      <c r="CG46" s="104" t="str">
        <v/>
      </c>
      <c r="CH46" s="104" t="str">
        <v/>
      </c>
      <c r="CI46" s="104" t="str">
        <v/>
      </c>
      <c r="CJ46" s="104" t="str">
        <v/>
      </c>
      <c r="CK46" s="104" t="str">
        <v/>
      </c>
      <c r="CL46" s="104" t="str">
        <v/>
      </c>
      <c r="CM46" s="104" t="str">
        <v/>
      </c>
      <c r="CN46" s="104" t="str">
        <v/>
      </c>
      <c r="CO46" s="104" t="str">
        <v/>
      </c>
      <c r="CP46" s="104" t="str">
        <v/>
      </c>
      <c r="CQ46" s="104" t="str">
        <v/>
      </c>
      <c r="CR46" s="104" t="str">
        <v/>
      </c>
      <c r="CS46" s="104" t="str">
        <v/>
      </c>
    </row>
    <row r="47" spans="5:97" x14ac:dyDescent="0.25">
      <c r="E47" s="1" t="str">
        <v/>
      </c>
      <c r="F47" s="1">
        <v>0</v>
      </c>
      <c r="G47" s="1" t="str">
        <v/>
      </c>
      <c r="H47" s="1" t="str">
        <v/>
      </c>
      <c r="J47" s="79"/>
      <c r="K47" s="48"/>
      <c r="L47" s="49"/>
      <c r="M47" s="49"/>
      <c r="N47" s="49"/>
      <c r="O47" s="80"/>
      <c r="P47" s="50"/>
      <c r="R47" s="77">
        <v>0</v>
      </c>
      <c r="S47" s="59">
        <v>0</v>
      </c>
      <c r="V47" s="1" t="str">
        <v>SH_01/01 to BR1</v>
      </c>
      <c r="W47" s="1" t="str">
        <v>SCM0899</v>
      </c>
      <c r="X47" s="3" t="str">
        <v>SAP</v>
      </c>
      <c r="Y47" s="3" t="str">
        <v>L18_S09</v>
      </c>
      <c r="Z47" s="1">
        <v>30</v>
      </c>
      <c r="AA47" s="1">
        <v>10</v>
      </c>
      <c r="AB47" s="93">
        <v>1</v>
      </c>
      <c r="AD47" s="1" t="str">
        <f ca="1"/>
        <v>46211/D|BR1/01</v>
      </c>
      <c r="AE47" s="1" t="str">
        <f ca="1"/>
        <v>STM-A40_0105</v>
      </c>
      <c r="AF47" s="1" t="str">
        <f ca="1"/>
        <v>SAP</v>
      </c>
      <c r="AG47" s="1" t="str">
        <f ca="1"/>
        <v>LS_18</v>
      </c>
      <c r="AH47" s="1" t="str">
        <f ca="1"/>
        <v>L18_S09</v>
      </c>
      <c r="AI47" s="1" t="str">
        <f ca="1"/>
        <v>034 / 005</v>
      </c>
      <c r="AJ47" s="3" t="str">
        <f ca="1"/>
        <v>No</v>
      </c>
      <c r="AK47" s="1" t="str">
        <f ca="1"/>
        <v/>
      </c>
      <c r="AL47" s="105" t="str">
        <f ca="1"/>
        <v/>
      </c>
      <c r="BC47" s="1" t="str">
        <v/>
      </c>
      <c r="BD47" s="1" t="str">
        <v/>
      </c>
      <c r="BE47" s="1" t="str">
        <v/>
      </c>
      <c r="BF47" s="1" t="str">
        <v/>
      </c>
      <c r="BG47" s="1" t="str">
        <v/>
      </c>
      <c r="BH47" s="1" t="str">
        <v/>
      </c>
      <c r="BI47" s="1" t="str">
        <v/>
      </c>
      <c r="BJ47" s="1" t="str">
        <v/>
      </c>
      <c r="BK47" s="1" t="str">
        <v/>
      </c>
      <c r="BL47" s="1" t="str">
        <v/>
      </c>
      <c r="BM47" s="1" t="str">
        <v/>
      </c>
      <c r="BN47" s="1" t="str">
        <v/>
      </c>
      <c r="BO47" s="1" t="str">
        <v/>
      </c>
      <c r="BP47" s="1" t="str">
        <v/>
      </c>
      <c r="BQ47" s="1" t="str">
        <v/>
      </c>
      <c r="BR47" s="1" t="str">
        <v/>
      </c>
      <c r="BS47" s="1" t="str">
        <v/>
      </c>
      <c r="BT47" s="1" t="str">
        <v/>
      </c>
      <c r="BU47" s="1" t="str">
        <v/>
      </c>
      <c r="BV47" s="1" t="str">
        <v/>
      </c>
      <c r="BZ47" s="104" t="str">
        <v/>
      </c>
      <c r="CA47" s="104" t="str">
        <v/>
      </c>
      <c r="CB47" s="104" t="str">
        <v/>
      </c>
      <c r="CC47" s="104" t="str">
        <v/>
      </c>
      <c r="CD47" s="104" t="str">
        <v/>
      </c>
      <c r="CE47" s="104" t="str">
        <v/>
      </c>
      <c r="CF47" s="104" t="str">
        <v/>
      </c>
      <c r="CG47" s="104" t="str">
        <v/>
      </c>
      <c r="CH47" s="104" t="str">
        <v/>
      </c>
      <c r="CI47" s="104" t="str">
        <v/>
      </c>
      <c r="CJ47" s="104" t="str">
        <v/>
      </c>
      <c r="CK47" s="104" t="str">
        <v/>
      </c>
      <c r="CL47" s="104" t="str">
        <v/>
      </c>
      <c r="CM47" s="104" t="str">
        <v/>
      </c>
      <c r="CN47" s="104" t="str">
        <v/>
      </c>
      <c r="CO47" s="104" t="str">
        <v/>
      </c>
      <c r="CP47" s="104" t="str">
        <v/>
      </c>
      <c r="CQ47" s="104" t="str">
        <v/>
      </c>
      <c r="CR47" s="104" t="str">
        <v/>
      </c>
      <c r="CS47" s="104" t="str">
        <v/>
      </c>
    </row>
    <row r="48" spans="5:97" x14ac:dyDescent="0.25">
      <c r="E48" s="1" t="str">
        <v/>
      </c>
      <c r="F48" s="1">
        <v>0</v>
      </c>
      <c r="G48" s="1" t="str">
        <v/>
      </c>
      <c r="H48" s="1" t="str">
        <v/>
      </c>
      <c r="J48" s="79"/>
      <c r="K48" s="48"/>
      <c r="L48" s="49"/>
      <c r="M48" s="49"/>
      <c r="N48" s="49"/>
      <c r="O48" s="80"/>
      <c r="P48" s="50"/>
      <c r="R48" s="77">
        <v>0</v>
      </c>
      <c r="S48" s="59">
        <v>0</v>
      </c>
      <c r="V48" s="1" t="str">
        <v>SH_01/01 to BR1</v>
      </c>
      <c r="W48" s="1" t="str">
        <v>SCM0899</v>
      </c>
      <c r="X48" s="3" t="str">
        <v>SAP</v>
      </c>
      <c r="Y48" s="3" t="str">
        <v>L18_S09</v>
      </c>
      <c r="Z48" s="1">
        <v>30</v>
      </c>
      <c r="AA48" s="1">
        <v>12</v>
      </c>
      <c r="AB48" s="93">
        <v>1</v>
      </c>
      <c r="AD48" s="1" t="str">
        <f ca="1"/>
        <v>46211/D|BR1/01</v>
      </c>
      <c r="AE48" s="1" t="str">
        <f ca="1"/>
        <v>STM-A40_0121</v>
      </c>
      <c r="AF48" s="1" t="str">
        <f ca="1"/>
        <v>SAP</v>
      </c>
      <c r="AG48" s="1" t="str">
        <f ca="1"/>
        <v>LS_18</v>
      </c>
      <c r="AH48" s="1" t="str">
        <f ca="1"/>
        <v>L18_S09</v>
      </c>
      <c r="AI48" s="1" t="str">
        <f ca="1"/>
        <v>034 / 006</v>
      </c>
      <c r="AJ48" s="3" t="str">
        <f ca="1"/>
        <v>Yes</v>
      </c>
      <c r="AK48" s="1" t="str">
        <f ca="1"/>
        <v/>
      </c>
      <c r="AL48" s="105" t="str">
        <f ca="1"/>
        <v/>
      </c>
      <c r="BC48" s="1" t="str">
        <v/>
      </c>
      <c r="BD48" s="1" t="str">
        <v/>
      </c>
      <c r="BE48" s="1" t="str">
        <v/>
      </c>
      <c r="BF48" s="1" t="str">
        <v/>
      </c>
      <c r="BG48" s="1" t="str">
        <v/>
      </c>
      <c r="BH48" s="1" t="str">
        <v/>
      </c>
      <c r="BI48" s="1" t="str">
        <v/>
      </c>
      <c r="BJ48" s="1" t="str">
        <v/>
      </c>
      <c r="BK48" s="1" t="str">
        <v/>
      </c>
      <c r="BL48" s="1" t="str">
        <v/>
      </c>
      <c r="BM48" s="1" t="str">
        <v/>
      </c>
      <c r="BN48" s="1" t="str">
        <v/>
      </c>
      <c r="BO48" s="1" t="str">
        <v/>
      </c>
      <c r="BP48" s="1" t="str">
        <v/>
      </c>
      <c r="BQ48" s="1" t="str">
        <v/>
      </c>
      <c r="BR48" s="1" t="str">
        <v/>
      </c>
      <c r="BS48" s="1" t="str">
        <v/>
      </c>
      <c r="BT48" s="1" t="str">
        <v/>
      </c>
      <c r="BU48" s="1" t="str">
        <v/>
      </c>
      <c r="BV48" s="1" t="str">
        <v/>
      </c>
      <c r="BZ48" s="104" t="str">
        <v/>
      </c>
      <c r="CA48" s="104" t="str">
        <v/>
      </c>
      <c r="CB48" s="104" t="str">
        <v/>
      </c>
      <c r="CC48" s="104" t="str">
        <v/>
      </c>
      <c r="CD48" s="104" t="str">
        <v/>
      </c>
      <c r="CE48" s="104" t="str">
        <v/>
      </c>
      <c r="CF48" s="104" t="str">
        <v/>
      </c>
      <c r="CG48" s="104" t="str">
        <v/>
      </c>
      <c r="CH48" s="104" t="str">
        <v/>
      </c>
      <c r="CI48" s="104" t="str">
        <v/>
      </c>
      <c r="CJ48" s="104" t="str">
        <v/>
      </c>
      <c r="CK48" s="104" t="str">
        <v/>
      </c>
      <c r="CL48" s="104" t="str">
        <v/>
      </c>
      <c r="CM48" s="104" t="str">
        <v/>
      </c>
      <c r="CN48" s="104" t="str">
        <v/>
      </c>
      <c r="CO48" s="104" t="str">
        <v/>
      </c>
      <c r="CP48" s="104" t="str">
        <v/>
      </c>
      <c r="CQ48" s="104" t="str">
        <v/>
      </c>
      <c r="CR48" s="104" t="str">
        <v/>
      </c>
      <c r="CS48" s="104" t="str">
        <v/>
      </c>
    </row>
    <row r="49" spans="5:97" x14ac:dyDescent="0.25">
      <c r="E49" s="1" t="str">
        <v/>
      </c>
      <c r="F49" s="1">
        <v>0</v>
      </c>
      <c r="G49" s="1" t="str">
        <v/>
      </c>
      <c r="H49" s="1" t="str">
        <v/>
      </c>
      <c r="J49" s="79"/>
      <c r="K49" s="48"/>
      <c r="L49" s="49"/>
      <c r="M49" s="49"/>
      <c r="N49" s="49"/>
      <c r="O49" s="80"/>
      <c r="P49" s="50"/>
      <c r="R49" s="77">
        <v>0</v>
      </c>
      <c r="S49" s="59">
        <v>0</v>
      </c>
      <c r="V49" s="1" t="str">
        <v>SH_01/01 to BR1</v>
      </c>
      <c r="W49" s="1" t="str">
        <v>SCM0899</v>
      </c>
      <c r="X49" s="3" t="str">
        <v>SAP</v>
      </c>
      <c r="Y49" s="3" t="str">
        <v>L18_S09</v>
      </c>
      <c r="Z49" s="1">
        <v>30</v>
      </c>
      <c r="AA49" s="1">
        <v>14</v>
      </c>
      <c r="AB49" s="93">
        <v>1</v>
      </c>
      <c r="AD49" s="1" t="str">
        <f ca="1"/>
        <v>46211/D|BR1/01</v>
      </c>
      <c r="AE49" s="1" t="str">
        <f ca="1"/>
        <v>STM-A40_0106</v>
      </c>
      <c r="AF49" s="1" t="str">
        <f ca="1"/>
        <v>SAP</v>
      </c>
      <c r="AG49" s="1" t="str">
        <f ca="1"/>
        <v>LS_18</v>
      </c>
      <c r="AH49" s="1" t="str">
        <f ca="1"/>
        <v>L18_S09</v>
      </c>
      <c r="AI49" s="1" t="str">
        <f ca="1"/>
        <v>034 / 007</v>
      </c>
      <c r="AJ49" s="3" t="str">
        <f ca="1"/>
        <v>No</v>
      </c>
      <c r="AK49" s="1" t="str">
        <f ca="1"/>
        <v/>
      </c>
      <c r="AL49" s="105" t="str">
        <f ca="1"/>
        <v/>
      </c>
      <c r="BC49" s="1" t="str">
        <v/>
      </c>
      <c r="BD49" s="1" t="str">
        <v/>
      </c>
      <c r="BE49" s="1" t="str">
        <v/>
      </c>
      <c r="BF49" s="1" t="str">
        <v/>
      </c>
      <c r="BG49" s="1" t="str">
        <v/>
      </c>
      <c r="BH49" s="1" t="str">
        <v/>
      </c>
      <c r="BI49" s="1" t="str">
        <v/>
      </c>
      <c r="BJ49" s="1" t="str">
        <v/>
      </c>
      <c r="BK49" s="1" t="str">
        <v/>
      </c>
      <c r="BL49" s="1" t="str">
        <v/>
      </c>
      <c r="BM49" s="1" t="str">
        <v/>
      </c>
      <c r="BN49" s="1" t="str">
        <v/>
      </c>
      <c r="BO49" s="1" t="str">
        <v/>
      </c>
      <c r="BP49" s="1" t="str">
        <v/>
      </c>
      <c r="BQ49" s="1" t="str">
        <v/>
      </c>
      <c r="BR49" s="1" t="str">
        <v/>
      </c>
      <c r="BS49" s="1" t="str">
        <v/>
      </c>
      <c r="BT49" s="1" t="str">
        <v/>
      </c>
      <c r="BU49" s="1" t="str">
        <v/>
      </c>
      <c r="BV49" s="1" t="str">
        <v/>
      </c>
      <c r="BZ49" s="104" t="str">
        <v/>
      </c>
      <c r="CA49" s="104" t="str">
        <v/>
      </c>
      <c r="CB49" s="104" t="str">
        <v/>
      </c>
      <c r="CC49" s="104" t="str">
        <v/>
      </c>
      <c r="CD49" s="104" t="str">
        <v/>
      </c>
      <c r="CE49" s="104" t="str">
        <v/>
      </c>
      <c r="CF49" s="104" t="str">
        <v/>
      </c>
      <c r="CG49" s="104" t="str">
        <v/>
      </c>
      <c r="CH49" s="104" t="str">
        <v/>
      </c>
      <c r="CI49" s="104" t="str">
        <v/>
      </c>
      <c r="CJ49" s="104" t="str">
        <v/>
      </c>
      <c r="CK49" s="104" t="str">
        <v/>
      </c>
      <c r="CL49" s="104" t="str">
        <v/>
      </c>
      <c r="CM49" s="104" t="str">
        <v/>
      </c>
      <c r="CN49" s="104" t="str">
        <v/>
      </c>
      <c r="CO49" s="104" t="str">
        <v/>
      </c>
      <c r="CP49" s="104" t="str">
        <v/>
      </c>
      <c r="CQ49" s="104" t="str">
        <v/>
      </c>
      <c r="CR49" s="104" t="str">
        <v/>
      </c>
      <c r="CS49" s="104" t="str">
        <v/>
      </c>
    </row>
    <row r="50" spans="5:97" x14ac:dyDescent="0.25">
      <c r="E50" s="1" t="str">
        <v/>
      </c>
      <c r="F50" s="1">
        <v>0</v>
      </c>
      <c r="G50" s="1" t="str">
        <v/>
      </c>
      <c r="H50" s="1" t="str">
        <v/>
      </c>
      <c r="J50" s="79"/>
      <c r="K50" s="48"/>
      <c r="L50" s="49"/>
      <c r="M50" s="49"/>
      <c r="N50" s="49"/>
      <c r="O50" s="80"/>
      <c r="P50" s="50"/>
      <c r="R50" s="77">
        <v>0</v>
      </c>
      <c r="S50" s="59">
        <v>0</v>
      </c>
      <c r="V50" s="1" t="str">
        <v>SH_01/01 to BR1</v>
      </c>
      <c r="W50" s="1" t="str">
        <v>SCM0899</v>
      </c>
      <c r="X50" s="3" t="str">
        <v>SAP</v>
      </c>
      <c r="Y50" s="3" t="str">
        <v>L18_S09</v>
      </c>
      <c r="Z50" s="1">
        <v>30</v>
      </c>
      <c r="AA50" s="1">
        <v>16</v>
      </c>
      <c r="AB50" s="93">
        <v>1</v>
      </c>
      <c r="AD50" s="1" t="str">
        <f ca="1"/>
        <v>46211/D|BR1/01</v>
      </c>
      <c r="AE50" s="1" t="str">
        <f ca="1"/>
        <v>STM-A40_0107</v>
      </c>
      <c r="AF50" s="1" t="str">
        <f ca="1"/>
        <v>SAP</v>
      </c>
      <c r="AG50" s="1" t="str">
        <f ca="1"/>
        <v>LS_18</v>
      </c>
      <c r="AH50" s="1" t="str">
        <f ca="1"/>
        <v>L18_S09</v>
      </c>
      <c r="AI50" s="1" t="str">
        <f ca="1"/>
        <v>034 / 008</v>
      </c>
      <c r="AJ50" s="3" t="str">
        <f ca="1"/>
        <v>Yes</v>
      </c>
      <c r="AK50" s="1" t="str">
        <f ca="1"/>
        <v/>
      </c>
      <c r="AL50" s="105" t="str">
        <f ca="1"/>
        <v/>
      </c>
      <c r="BC50" s="1" t="str">
        <v/>
      </c>
      <c r="BD50" s="1" t="str">
        <v/>
      </c>
      <c r="BE50" s="1" t="str">
        <v/>
      </c>
      <c r="BF50" s="1" t="str">
        <v/>
      </c>
      <c r="BG50" s="1" t="str">
        <v/>
      </c>
      <c r="BH50" s="1" t="str">
        <v/>
      </c>
      <c r="BI50" s="1" t="str">
        <v/>
      </c>
      <c r="BJ50" s="1" t="str">
        <v/>
      </c>
      <c r="BK50" s="1" t="str">
        <v/>
      </c>
      <c r="BL50" s="1" t="str">
        <v/>
      </c>
      <c r="BM50" s="1" t="str">
        <v/>
      </c>
      <c r="BN50" s="1" t="str">
        <v/>
      </c>
      <c r="BO50" s="1" t="str">
        <v/>
      </c>
      <c r="BP50" s="1" t="str">
        <v/>
      </c>
      <c r="BQ50" s="1" t="str">
        <v/>
      </c>
      <c r="BR50" s="1" t="str">
        <v/>
      </c>
      <c r="BS50" s="1" t="str">
        <v/>
      </c>
      <c r="BT50" s="1" t="str">
        <v/>
      </c>
      <c r="BU50" s="1" t="str">
        <v/>
      </c>
      <c r="BV50" s="1" t="str">
        <v/>
      </c>
      <c r="BZ50" s="104" t="str">
        <v/>
      </c>
      <c r="CA50" s="104" t="str">
        <v/>
      </c>
      <c r="CB50" s="104" t="str">
        <v/>
      </c>
      <c r="CC50" s="104" t="str">
        <v/>
      </c>
      <c r="CD50" s="104" t="str">
        <v/>
      </c>
      <c r="CE50" s="104" t="str">
        <v/>
      </c>
      <c r="CF50" s="104" t="str">
        <v/>
      </c>
      <c r="CG50" s="104" t="str">
        <v/>
      </c>
      <c r="CH50" s="104" t="str">
        <v/>
      </c>
      <c r="CI50" s="104" t="str">
        <v/>
      </c>
      <c r="CJ50" s="104" t="str">
        <v/>
      </c>
      <c r="CK50" s="104" t="str">
        <v/>
      </c>
      <c r="CL50" s="104" t="str">
        <v/>
      </c>
      <c r="CM50" s="104" t="str">
        <v/>
      </c>
      <c r="CN50" s="104" t="str">
        <v/>
      </c>
      <c r="CO50" s="104" t="str">
        <v/>
      </c>
      <c r="CP50" s="104" t="str">
        <v/>
      </c>
      <c r="CQ50" s="104" t="str">
        <v/>
      </c>
      <c r="CR50" s="104" t="str">
        <v/>
      </c>
      <c r="CS50" s="104" t="str">
        <v/>
      </c>
    </row>
    <row r="51" spans="5:97" x14ac:dyDescent="0.25">
      <c r="E51" s="1" t="str">
        <v/>
      </c>
      <c r="F51" s="1">
        <v>0</v>
      </c>
      <c r="G51" s="1" t="str">
        <v/>
      </c>
      <c r="H51" s="1" t="str">
        <v/>
      </c>
      <c r="J51" s="79"/>
      <c r="K51" s="48"/>
      <c r="L51" s="49"/>
      <c r="M51" s="49"/>
      <c r="N51" s="49"/>
      <c r="O51" s="80"/>
      <c r="P51" s="50"/>
      <c r="R51" s="77">
        <v>0</v>
      </c>
      <c r="S51" s="59">
        <v>0</v>
      </c>
      <c r="V51" s="1" t="str">
        <v>SH_01/01 to BR1</v>
      </c>
      <c r="W51" s="1" t="str">
        <v>SCM0899</v>
      </c>
      <c r="X51" s="3" t="str">
        <v>SAP</v>
      </c>
      <c r="Y51" s="3" t="str">
        <v>L18_S09</v>
      </c>
      <c r="Z51" s="1">
        <v>30</v>
      </c>
      <c r="AA51" s="1">
        <v>18</v>
      </c>
      <c r="AB51" s="93">
        <v>1</v>
      </c>
      <c r="AD51" s="1" t="str">
        <f ca="1"/>
        <v>46211/D|BR1/01</v>
      </c>
      <c r="AE51" s="1" t="str">
        <f ca="1"/>
        <v>STM-A40_0119</v>
      </c>
      <c r="AF51" s="1" t="str">
        <f ca="1"/>
        <v>SAP</v>
      </c>
      <c r="AG51" s="1" t="str">
        <f ca="1"/>
        <v>LS_18</v>
      </c>
      <c r="AH51" s="1" t="str">
        <f ca="1"/>
        <v>L18_S09</v>
      </c>
      <c r="AI51" s="1" t="str">
        <f ca="1"/>
        <v>034 / 009</v>
      </c>
      <c r="AJ51" s="3" t="str">
        <f ca="1"/>
        <v>No</v>
      </c>
      <c r="AK51" s="1" t="str">
        <f ca="1"/>
        <v/>
      </c>
      <c r="AL51" s="105" t="str">
        <f ca="1"/>
        <v/>
      </c>
      <c r="BC51" s="1" t="str">
        <v/>
      </c>
      <c r="BD51" s="1" t="str">
        <v/>
      </c>
      <c r="BE51" s="1" t="str">
        <v/>
      </c>
      <c r="BF51" s="1" t="str">
        <v/>
      </c>
      <c r="BG51" s="1" t="str">
        <v/>
      </c>
      <c r="BH51" s="1" t="str">
        <v/>
      </c>
      <c r="BI51" s="1" t="str">
        <v/>
      </c>
      <c r="BJ51" s="1" t="str">
        <v/>
      </c>
      <c r="BK51" s="1" t="str">
        <v/>
      </c>
      <c r="BL51" s="1" t="str">
        <v/>
      </c>
      <c r="BM51" s="1" t="str">
        <v/>
      </c>
      <c r="BN51" s="1" t="str">
        <v/>
      </c>
      <c r="BO51" s="1" t="str">
        <v/>
      </c>
      <c r="BP51" s="1" t="str">
        <v/>
      </c>
      <c r="BQ51" s="1" t="str">
        <v/>
      </c>
      <c r="BR51" s="1" t="str">
        <v/>
      </c>
      <c r="BS51" s="1" t="str">
        <v/>
      </c>
      <c r="BT51" s="1" t="str">
        <v/>
      </c>
      <c r="BU51" s="1" t="str">
        <v/>
      </c>
      <c r="BV51" s="1" t="str">
        <v/>
      </c>
      <c r="BZ51" s="104" t="str">
        <v/>
      </c>
      <c r="CA51" s="104" t="str">
        <v/>
      </c>
      <c r="CB51" s="104" t="str">
        <v/>
      </c>
      <c r="CC51" s="104" t="str">
        <v/>
      </c>
      <c r="CD51" s="104" t="str">
        <v/>
      </c>
      <c r="CE51" s="104" t="str">
        <v/>
      </c>
      <c r="CF51" s="104" t="str">
        <v/>
      </c>
      <c r="CG51" s="104" t="str">
        <v/>
      </c>
      <c r="CH51" s="104" t="str">
        <v/>
      </c>
      <c r="CI51" s="104" t="str">
        <v/>
      </c>
      <c r="CJ51" s="104" t="str">
        <v/>
      </c>
      <c r="CK51" s="104" t="str">
        <v/>
      </c>
      <c r="CL51" s="104" t="str">
        <v/>
      </c>
      <c r="CM51" s="104" t="str">
        <v/>
      </c>
      <c r="CN51" s="104" t="str">
        <v/>
      </c>
      <c r="CO51" s="104" t="str">
        <v/>
      </c>
      <c r="CP51" s="104" t="str">
        <v/>
      </c>
      <c r="CQ51" s="104" t="str">
        <v/>
      </c>
      <c r="CR51" s="104" t="str">
        <v/>
      </c>
      <c r="CS51" s="104" t="str">
        <v/>
      </c>
    </row>
    <row r="52" spans="5:97" x14ac:dyDescent="0.25">
      <c r="E52" s="1" t="str">
        <v/>
      </c>
      <c r="F52" s="1">
        <v>0</v>
      </c>
      <c r="G52" s="1" t="str">
        <v/>
      </c>
      <c r="H52" s="1" t="str">
        <v/>
      </c>
      <c r="J52" s="79"/>
      <c r="K52" s="48"/>
      <c r="L52" s="49"/>
      <c r="M52" s="49"/>
      <c r="N52" s="49"/>
      <c r="O52" s="80"/>
      <c r="P52" s="50"/>
      <c r="R52" s="77">
        <v>0</v>
      </c>
      <c r="S52" s="59">
        <v>0</v>
      </c>
      <c r="V52" s="1" t="str">
        <v>SH_01/01 to BR1</v>
      </c>
      <c r="W52" s="1" t="str">
        <v>SCM0899</v>
      </c>
      <c r="X52" s="3" t="str">
        <v>SAP</v>
      </c>
      <c r="Y52" s="3" t="str">
        <v>L18_S09</v>
      </c>
      <c r="Z52" s="1">
        <v>30</v>
      </c>
      <c r="AA52" s="1">
        <v>20</v>
      </c>
      <c r="AB52" s="93">
        <v>1</v>
      </c>
      <c r="AD52" s="1" t="str">
        <f ca="1"/>
        <v>46211/D|BR1/01</v>
      </c>
      <c r="AE52" s="1" t="str">
        <f ca="1"/>
        <v>STM-A40_0105</v>
      </c>
      <c r="AF52" s="1" t="str">
        <f ca="1"/>
        <v>SAP</v>
      </c>
      <c r="AG52" s="1" t="str">
        <f ca="1"/>
        <v>LS_18</v>
      </c>
      <c r="AH52" s="1" t="str">
        <f ca="1"/>
        <v>L18_S09</v>
      </c>
      <c r="AI52" s="1" t="str">
        <f ca="1"/>
        <v>034 / 010</v>
      </c>
      <c r="AJ52" s="3" t="str">
        <f ca="1"/>
        <v>Yes</v>
      </c>
      <c r="AK52" s="1" t="str">
        <f ca="1"/>
        <v/>
      </c>
      <c r="AL52" s="105" t="str">
        <f ca="1"/>
        <v/>
      </c>
      <c r="BC52" s="1" t="str">
        <v/>
      </c>
      <c r="BD52" s="1" t="str">
        <v/>
      </c>
      <c r="BE52" s="1" t="str">
        <v/>
      </c>
      <c r="BF52" s="1" t="str">
        <v/>
      </c>
      <c r="BG52" s="1" t="str">
        <v/>
      </c>
      <c r="BH52" s="1" t="str">
        <v/>
      </c>
      <c r="BI52" s="1" t="str">
        <v/>
      </c>
      <c r="BJ52" s="1" t="str">
        <v/>
      </c>
      <c r="BK52" s="1" t="str">
        <v/>
      </c>
      <c r="BL52" s="1" t="str">
        <v/>
      </c>
      <c r="BM52" s="1" t="str">
        <v/>
      </c>
      <c r="BN52" s="1" t="str">
        <v/>
      </c>
      <c r="BO52" s="1" t="str">
        <v/>
      </c>
      <c r="BP52" s="1" t="str">
        <v/>
      </c>
      <c r="BQ52" s="1" t="str">
        <v/>
      </c>
      <c r="BR52" s="1" t="str">
        <v/>
      </c>
      <c r="BS52" s="1" t="str">
        <v/>
      </c>
      <c r="BT52" s="1" t="str">
        <v/>
      </c>
      <c r="BU52" s="1" t="str">
        <v/>
      </c>
      <c r="BV52" s="1" t="str">
        <v/>
      </c>
      <c r="BZ52" s="104" t="str">
        <v/>
      </c>
      <c r="CA52" s="104" t="str">
        <v/>
      </c>
      <c r="CB52" s="104" t="str">
        <v/>
      </c>
      <c r="CC52" s="104" t="str">
        <v/>
      </c>
      <c r="CD52" s="104" t="str">
        <v/>
      </c>
      <c r="CE52" s="104" t="str">
        <v/>
      </c>
      <c r="CF52" s="104" t="str">
        <v/>
      </c>
      <c r="CG52" s="104" t="str">
        <v/>
      </c>
      <c r="CH52" s="104" t="str">
        <v/>
      </c>
      <c r="CI52" s="104" t="str">
        <v/>
      </c>
      <c r="CJ52" s="104" t="str">
        <v/>
      </c>
      <c r="CK52" s="104" t="str">
        <v/>
      </c>
      <c r="CL52" s="104" t="str">
        <v/>
      </c>
      <c r="CM52" s="104" t="str">
        <v/>
      </c>
      <c r="CN52" s="104" t="str">
        <v/>
      </c>
      <c r="CO52" s="104" t="str">
        <v/>
      </c>
      <c r="CP52" s="104" t="str">
        <v/>
      </c>
      <c r="CQ52" s="104" t="str">
        <v/>
      </c>
      <c r="CR52" s="104" t="str">
        <v/>
      </c>
      <c r="CS52" s="104" t="str">
        <v/>
      </c>
    </row>
    <row r="53" spans="5:97" x14ac:dyDescent="0.25">
      <c r="E53" s="1" t="str">
        <v/>
      </c>
      <c r="F53" s="1">
        <v>0</v>
      </c>
      <c r="G53" s="1" t="str">
        <v/>
      </c>
      <c r="H53" s="1" t="str">
        <v/>
      </c>
      <c r="J53" s="79"/>
      <c r="K53" s="48"/>
      <c r="L53" s="49"/>
      <c r="M53" s="49"/>
      <c r="N53" s="49"/>
      <c r="O53" s="80"/>
      <c r="P53" s="50"/>
      <c r="R53" s="77">
        <v>0</v>
      </c>
      <c r="S53" s="59">
        <v>0</v>
      </c>
      <c r="V53" s="1" t="str">
        <v>SH_01/01 to BR1</v>
      </c>
      <c r="W53" s="1" t="str">
        <v>SCM0899</v>
      </c>
      <c r="X53" s="3" t="str">
        <v>LIM</v>
      </c>
      <c r="Y53" s="3" t="str">
        <v>L9_26</v>
      </c>
      <c r="Z53" s="1">
        <v>1</v>
      </c>
      <c r="AA53" s="1">
        <v>5</v>
      </c>
      <c r="AB53" s="93">
        <v>0.5</v>
      </c>
      <c r="AD53" s="1" t="str">
        <f ca="1"/>
        <v>46211/D|BR1/01</v>
      </c>
      <c r="AE53" s="1" t="str">
        <f ca="1"/>
        <v>STM-A40_0106</v>
      </c>
      <c r="AF53" s="1" t="str">
        <f ca="1"/>
        <v>SAP</v>
      </c>
      <c r="AG53" s="1" t="str">
        <f ca="1"/>
        <v>LS_18</v>
      </c>
      <c r="AH53" s="1" t="str">
        <f ca="1"/>
        <v>L18_S09</v>
      </c>
      <c r="AI53" s="1" t="str">
        <f ca="1"/>
        <v>034 / 011</v>
      </c>
      <c r="AJ53" s="3" t="str">
        <f ca="1"/>
        <v>No</v>
      </c>
      <c r="AK53" s="1" t="str">
        <f ca="1"/>
        <v/>
      </c>
      <c r="AL53" s="105" t="str">
        <f ca="1"/>
        <v/>
      </c>
      <c r="BC53" s="1" t="str">
        <v/>
      </c>
      <c r="BD53" s="1" t="str">
        <v/>
      </c>
      <c r="BE53" s="1" t="str">
        <v/>
      </c>
      <c r="BF53" s="1" t="str">
        <v/>
      </c>
      <c r="BG53" s="1" t="str">
        <v/>
      </c>
      <c r="BH53" s="1" t="str">
        <v/>
      </c>
      <c r="BI53" s="1" t="str">
        <v/>
      </c>
      <c r="BJ53" s="1" t="str">
        <v/>
      </c>
      <c r="BK53" s="1" t="str">
        <v/>
      </c>
      <c r="BL53" s="1" t="str">
        <v/>
      </c>
      <c r="BM53" s="1" t="str">
        <v/>
      </c>
      <c r="BN53" s="1" t="str">
        <v/>
      </c>
      <c r="BO53" s="1" t="str">
        <v/>
      </c>
      <c r="BP53" s="1" t="str">
        <v/>
      </c>
      <c r="BQ53" s="1" t="str">
        <v/>
      </c>
      <c r="BR53" s="1" t="str">
        <v/>
      </c>
      <c r="BS53" s="1" t="str">
        <v/>
      </c>
      <c r="BT53" s="1" t="str">
        <v/>
      </c>
      <c r="BU53" s="1" t="str">
        <v/>
      </c>
      <c r="BV53" s="1" t="str">
        <v/>
      </c>
      <c r="BZ53" s="104" t="str">
        <v/>
      </c>
      <c r="CA53" s="104" t="str">
        <v/>
      </c>
      <c r="CB53" s="104" t="str">
        <v/>
      </c>
      <c r="CC53" s="104" t="str">
        <v/>
      </c>
      <c r="CD53" s="104" t="str">
        <v/>
      </c>
      <c r="CE53" s="104" t="str">
        <v/>
      </c>
      <c r="CF53" s="104" t="str">
        <v/>
      </c>
      <c r="CG53" s="104" t="str">
        <v/>
      </c>
      <c r="CH53" s="104" t="str">
        <v/>
      </c>
      <c r="CI53" s="104" t="str">
        <v/>
      </c>
      <c r="CJ53" s="104" t="str">
        <v/>
      </c>
      <c r="CK53" s="104" t="str">
        <v/>
      </c>
      <c r="CL53" s="104" t="str">
        <v/>
      </c>
      <c r="CM53" s="104" t="str">
        <v/>
      </c>
      <c r="CN53" s="104" t="str">
        <v/>
      </c>
      <c r="CO53" s="104" t="str">
        <v/>
      </c>
      <c r="CP53" s="104" t="str">
        <v/>
      </c>
      <c r="CQ53" s="104" t="str">
        <v/>
      </c>
      <c r="CR53" s="104" t="str">
        <v/>
      </c>
      <c r="CS53" s="104" t="str">
        <v/>
      </c>
    </row>
    <row r="54" spans="5:97" x14ac:dyDescent="0.25">
      <c r="E54" s="1" t="str">
        <v/>
      </c>
      <c r="F54" s="1">
        <v>0</v>
      </c>
      <c r="G54" s="1" t="str">
        <v/>
      </c>
      <c r="H54" s="1" t="str">
        <v/>
      </c>
      <c r="J54" s="79"/>
      <c r="K54" s="48"/>
      <c r="L54" s="49"/>
      <c r="M54" s="49"/>
      <c r="N54" s="49"/>
      <c r="O54" s="80"/>
      <c r="P54" s="50"/>
      <c r="R54" s="77">
        <v>0</v>
      </c>
      <c r="S54" s="59">
        <v>0</v>
      </c>
      <c r="V54" s="1" t="str">
        <v>SH_01/01 to BR1</v>
      </c>
      <c r="W54" s="1" t="str">
        <v>SCM0899</v>
      </c>
      <c r="X54" s="3" t="str">
        <v>LIM</v>
      </c>
      <c r="Y54" s="3" t="str">
        <v>L9_26</v>
      </c>
      <c r="Z54" s="1">
        <v>1</v>
      </c>
      <c r="AA54" s="1">
        <v>10</v>
      </c>
      <c r="AB54" s="93">
        <v>0.5</v>
      </c>
      <c r="AD54" s="1" t="str">
        <f ca="1"/>
        <v>46211/D|BR1/01</v>
      </c>
      <c r="AE54" s="1" t="str">
        <f ca="1"/>
        <v>STM-A40_0121</v>
      </c>
      <c r="AF54" s="1" t="str">
        <f ca="1"/>
        <v>SAP</v>
      </c>
      <c r="AG54" s="1" t="str">
        <f ca="1"/>
        <v>LS_18</v>
      </c>
      <c r="AH54" s="1" t="str">
        <f ca="1"/>
        <v>L18_S09</v>
      </c>
      <c r="AI54" s="1" t="str">
        <f ca="1"/>
        <v>034 / 012</v>
      </c>
      <c r="AJ54" s="3" t="str">
        <f ca="1"/>
        <v>Yes</v>
      </c>
      <c r="AK54" s="1" t="str">
        <f ca="1"/>
        <v/>
      </c>
      <c r="AL54" s="105" t="str">
        <f ca="1"/>
        <v/>
      </c>
      <c r="BC54" s="1" t="str">
        <v/>
      </c>
      <c r="BD54" s="1" t="str">
        <v/>
      </c>
      <c r="BE54" s="1" t="str">
        <v/>
      </c>
      <c r="BF54" s="1" t="str">
        <v/>
      </c>
      <c r="BG54" s="1" t="str">
        <v/>
      </c>
      <c r="BH54" s="1" t="str">
        <v/>
      </c>
      <c r="BI54" s="1" t="str">
        <v/>
      </c>
      <c r="BJ54" s="1" t="str">
        <v/>
      </c>
      <c r="BK54" s="1" t="str">
        <v/>
      </c>
      <c r="BL54" s="1" t="str">
        <v/>
      </c>
      <c r="BM54" s="1" t="str">
        <v/>
      </c>
      <c r="BN54" s="1" t="str">
        <v/>
      </c>
      <c r="BO54" s="1" t="str">
        <v/>
      </c>
      <c r="BP54" s="1" t="str">
        <v/>
      </c>
      <c r="BQ54" s="1" t="str">
        <v/>
      </c>
      <c r="BR54" s="1" t="str">
        <v/>
      </c>
      <c r="BS54" s="1" t="str">
        <v/>
      </c>
      <c r="BT54" s="1" t="str">
        <v/>
      </c>
      <c r="BU54" s="1" t="str">
        <v/>
      </c>
      <c r="BV54" s="1" t="str">
        <v/>
      </c>
      <c r="BZ54" s="104" t="str">
        <v/>
      </c>
      <c r="CA54" s="104" t="str">
        <v/>
      </c>
      <c r="CB54" s="104" t="str">
        <v/>
      </c>
      <c r="CC54" s="104" t="str">
        <v/>
      </c>
      <c r="CD54" s="104" t="str">
        <v/>
      </c>
      <c r="CE54" s="104" t="str">
        <v/>
      </c>
      <c r="CF54" s="104" t="str">
        <v/>
      </c>
      <c r="CG54" s="104" t="str">
        <v/>
      </c>
      <c r="CH54" s="104" t="str">
        <v/>
      </c>
      <c r="CI54" s="104" t="str">
        <v/>
      </c>
      <c r="CJ54" s="104" t="str">
        <v/>
      </c>
      <c r="CK54" s="104" t="str">
        <v/>
      </c>
      <c r="CL54" s="104" t="str">
        <v/>
      </c>
      <c r="CM54" s="104" t="str">
        <v/>
      </c>
      <c r="CN54" s="104" t="str">
        <v/>
      </c>
      <c r="CO54" s="104" t="str">
        <v/>
      </c>
      <c r="CP54" s="104" t="str">
        <v/>
      </c>
      <c r="CQ54" s="104" t="str">
        <v/>
      </c>
      <c r="CR54" s="104" t="str">
        <v/>
      </c>
      <c r="CS54" s="104" t="str">
        <v/>
      </c>
    </row>
    <row r="55" spans="5:97" x14ac:dyDescent="0.25">
      <c r="E55" s="1" t="str">
        <v/>
      </c>
      <c r="F55" s="1">
        <v>0</v>
      </c>
      <c r="G55" s="1" t="str">
        <v/>
      </c>
      <c r="H55" s="1" t="str">
        <v/>
      </c>
      <c r="J55" s="79"/>
      <c r="K55" s="48"/>
      <c r="L55" s="49"/>
      <c r="M55" s="49"/>
      <c r="N55" s="49"/>
      <c r="O55" s="80"/>
      <c r="P55" s="50"/>
      <c r="R55" s="77">
        <v>0</v>
      </c>
      <c r="S55" s="59">
        <v>0</v>
      </c>
      <c r="V55" s="1" t="str">
        <v>SH_01/01 to BR1</v>
      </c>
      <c r="W55" s="1" t="str">
        <v>SCM0899</v>
      </c>
      <c r="X55" s="3" t="str">
        <v>LIM</v>
      </c>
      <c r="Y55" s="3" t="str">
        <v>L9_26</v>
      </c>
      <c r="Z55" s="1">
        <v>1</v>
      </c>
      <c r="AA55" s="1">
        <v>15</v>
      </c>
      <c r="AB55" s="93">
        <v>0.5</v>
      </c>
      <c r="AD55" s="1" t="str">
        <f ca="1"/>
        <v>46211/D|BR1/01</v>
      </c>
      <c r="AE55" s="1" t="str">
        <f ca="1"/>
        <v>STM-A40_0107</v>
      </c>
      <c r="AF55" s="1" t="str">
        <f ca="1"/>
        <v>SAP</v>
      </c>
      <c r="AG55" s="1" t="str">
        <f ca="1"/>
        <v>LS_18</v>
      </c>
      <c r="AH55" s="1" t="str">
        <f ca="1"/>
        <v>L18_S09</v>
      </c>
      <c r="AI55" s="1" t="str">
        <f ca="1"/>
        <v>034 / 013</v>
      </c>
      <c r="AJ55" s="3" t="str">
        <f ca="1"/>
        <v>No</v>
      </c>
      <c r="AK55" s="1" t="str">
        <f ca="1"/>
        <v/>
      </c>
      <c r="AL55" s="105" t="str">
        <f ca="1"/>
        <v/>
      </c>
      <c r="BC55" s="1" t="str">
        <v/>
      </c>
      <c r="BD55" s="1" t="str">
        <v/>
      </c>
      <c r="BE55" s="1" t="str">
        <v/>
      </c>
      <c r="BF55" s="1" t="str">
        <v/>
      </c>
      <c r="BG55" s="1" t="str">
        <v/>
      </c>
      <c r="BH55" s="1" t="str">
        <v/>
      </c>
      <c r="BI55" s="1" t="str">
        <v/>
      </c>
      <c r="BJ55" s="1" t="str">
        <v/>
      </c>
      <c r="BK55" s="1" t="str">
        <v/>
      </c>
      <c r="BL55" s="1" t="str">
        <v/>
      </c>
      <c r="BM55" s="1" t="str">
        <v/>
      </c>
      <c r="BN55" s="1" t="str">
        <v/>
      </c>
      <c r="BO55" s="1" t="str">
        <v/>
      </c>
      <c r="BP55" s="1" t="str">
        <v/>
      </c>
      <c r="BQ55" s="1" t="str">
        <v/>
      </c>
      <c r="BR55" s="1" t="str">
        <v/>
      </c>
      <c r="BS55" s="1" t="str">
        <v/>
      </c>
      <c r="BT55" s="1" t="str">
        <v/>
      </c>
      <c r="BU55" s="1" t="str">
        <v/>
      </c>
      <c r="BV55" s="1" t="str">
        <v/>
      </c>
      <c r="BZ55" s="104" t="str">
        <v/>
      </c>
      <c r="CA55" s="104" t="str">
        <v/>
      </c>
      <c r="CB55" s="104" t="str">
        <v/>
      </c>
      <c r="CC55" s="104" t="str">
        <v/>
      </c>
      <c r="CD55" s="104" t="str">
        <v/>
      </c>
      <c r="CE55" s="104" t="str">
        <v/>
      </c>
      <c r="CF55" s="104" t="str">
        <v/>
      </c>
      <c r="CG55" s="104" t="str">
        <v/>
      </c>
      <c r="CH55" s="104" t="str">
        <v/>
      </c>
      <c r="CI55" s="104" t="str">
        <v/>
      </c>
      <c r="CJ55" s="104" t="str">
        <v/>
      </c>
      <c r="CK55" s="104" t="str">
        <v/>
      </c>
      <c r="CL55" s="104" t="str">
        <v/>
      </c>
      <c r="CM55" s="104" t="str">
        <v/>
      </c>
      <c r="CN55" s="104" t="str">
        <v/>
      </c>
      <c r="CO55" s="104" t="str">
        <v/>
      </c>
      <c r="CP55" s="104" t="str">
        <v/>
      </c>
      <c r="CQ55" s="104" t="str">
        <v/>
      </c>
      <c r="CR55" s="104" t="str">
        <v/>
      </c>
      <c r="CS55" s="104" t="str">
        <v/>
      </c>
    </row>
    <row r="56" spans="5:97" x14ac:dyDescent="0.25">
      <c r="E56" s="1" t="str">
        <v/>
      </c>
      <c r="F56" s="1">
        <v>0</v>
      </c>
      <c r="G56" s="1" t="str">
        <v/>
      </c>
      <c r="H56" s="1" t="str">
        <v/>
      </c>
      <c r="J56" s="79"/>
      <c r="K56" s="48"/>
      <c r="L56" s="49"/>
      <c r="M56" s="49"/>
      <c r="N56" s="49"/>
      <c r="O56" s="80"/>
      <c r="P56" s="50"/>
      <c r="R56" s="77">
        <v>0</v>
      </c>
      <c r="S56" s="59">
        <v>0</v>
      </c>
      <c r="V56" s="1" t="str">
        <v>SH_01/01 to BR1</v>
      </c>
      <c r="W56" s="1" t="str">
        <v>SCM0899</v>
      </c>
      <c r="X56" s="3" t="str">
        <v>LIM</v>
      </c>
      <c r="Y56" s="3" t="str">
        <v>L9_26</v>
      </c>
      <c r="Z56" s="1">
        <v>1</v>
      </c>
      <c r="AA56" s="1">
        <v>20</v>
      </c>
      <c r="AB56" s="93">
        <v>0.5</v>
      </c>
      <c r="AD56" s="1" t="str">
        <f ca="1"/>
        <v>46211/D|BR1/01</v>
      </c>
      <c r="AE56" s="1" t="str">
        <f ca="1"/>
        <v>STM-A40_0119</v>
      </c>
      <c r="AF56" s="1" t="str">
        <f ca="1"/>
        <v>SAP</v>
      </c>
      <c r="AG56" s="1" t="str">
        <f ca="1"/>
        <v>LS_18</v>
      </c>
      <c r="AH56" s="1" t="str">
        <f ca="1"/>
        <v>L18_S09</v>
      </c>
      <c r="AI56" s="1" t="str">
        <f ca="1"/>
        <v>034 / 014</v>
      </c>
      <c r="AJ56" s="3" t="str">
        <f ca="1"/>
        <v>Yes</v>
      </c>
      <c r="AK56" s="1" t="str">
        <f ca="1"/>
        <v/>
      </c>
      <c r="AL56" s="105" t="str">
        <f ca="1"/>
        <v/>
      </c>
      <c r="BC56" s="1" t="str">
        <v/>
      </c>
      <c r="BD56" s="1" t="str">
        <v/>
      </c>
      <c r="BE56" s="1" t="str">
        <v/>
      </c>
      <c r="BF56" s="1" t="str">
        <v/>
      </c>
      <c r="BG56" s="1" t="str">
        <v/>
      </c>
      <c r="BH56" s="1" t="str">
        <v/>
      </c>
      <c r="BI56" s="1" t="str">
        <v/>
      </c>
      <c r="BJ56" s="1" t="str">
        <v/>
      </c>
      <c r="BK56" s="1" t="str">
        <v/>
      </c>
      <c r="BL56" s="1" t="str">
        <v/>
      </c>
      <c r="BM56" s="1" t="str">
        <v/>
      </c>
      <c r="BN56" s="1" t="str">
        <v/>
      </c>
      <c r="BO56" s="1" t="str">
        <v/>
      </c>
      <c r="BP56" s="1" t="str">
        <v/>
      </c>
      <c r="BQ56" s="1" t="str">
        <v/>
      </c>
      <c r="BR56" s="1" t="str">
        <v/>
      </c>
      <c r="BS56" s="1" t="str">
        <v/>
      </c>
      <c r="BT56" s="1" t="str">
        <v/>
      </c>
      <c r="BU56" s="1" t="str">
        <v/>
      </c>
      <c r="BV56" s="1" t="str">
        <v/>
      </c>
      <c r="BZ56" s="104" t="str">
        <v/>
      </c>
      <c r="CA56" s="104" t="str">
        <v/>
      </c>
      <c r="CB56" s="104" t="str">
        <v/>
      </c>
      <c r="CC56" s="104" t="str">
        <v/>
      </c>
      <c r="CD56" s="104" t="str">
        <v/>
      </c>
      <c r="CE56" s="104" t="str">
        <v/>
      </c>
      <c r="CF56" s="104" t="str">
        <v/>
      </c>
      <c r="CG56" s="104" t="str">
        <v/>
      </c>
      <c r="CH56" s="104" t="str">
        <v/>
      </c>
      <c r="CI56" s="104" t="str">
        <v/>
      </c>
      <c r="CJ56" s="104" t="str">
        <v/>
      </c>
      <c r="CK56" s="104" t="str">
        <v/>
      </c>
      <c r="CL56" s="104" t="str">
        <v/>
      </c>
      <c r="CM56" s="104" t="str">
        <v/>
      </c>
      <c r="CN56" s="104" t="str">
        <v/>
      </c>
      <c r="CO56" s="104" t="str">
        <v/>
      </c>
      <c r="CP56" s="104" t="str">
        <v/>
      </c>
      <c r="CQ56" s="104" t="str">
        <v/>
      </c>
      <c r="CR56" s="104" t="str">
        <v/>
      </c>
      <c r="CS56" s="104" t="str">
        <v/>
      </c>
    </row>
    <row r="57" spans="5:97" x14ac:dyDescent="0.25">
      <c r="E57" s="1" t="str">
        <v/>
      </c>
      <c r="F57" s="1">
        <v>0</v>
      </c>
      <c r="G57" s="1" t="str">
        <v/>
      </c>
      <c r="H57" s="1" t="str">
        <v/>
      </c>
      <c r="J57" s="79"/>
      <c r="K57" s="48"/>
      <c r="L57" s="49"/>
      <c r="M57" s="49"/>
      <c r="N57" s="49"/>
      <c r="O57" s="80"/>
      <c r="P57" s="50"/>
      <c r="R57" s="77">
        <v>0</v>
      </c>
      <c r="S57" s="59">
        <v>0</v>
      </c>
      <c r="V57" s="1" t="str">
        <v>SH_01/01 to BR1</v>
      </c>
      <c r="W57" s="1" t="str">
        <v>SCM0899</v>
      </c>
      <c r="X57" s="3" t="str">
        <v>LIM</v>
      </c>
      <c r="Y57" s="3" t="str">
        <v>L9_26</v>
      </c>
      <c r="Z57" s="1">
        <v>1</v>
      </c>
      <c r="AA57" s="1">
        <v>25</v>
      </c>
      <c r="AB57" s="93">
        <v>0.5</v>
      </c>
      <c r="AD57" s="1" t="str">
        <f ca="1"/>
        <v>46211/D|BR1/01</v>
      </c>
      <c r="AE57" s="1" t="str">
        <f ca="1"/>
        <v>STM-A40_0106</v>
      </c>
      <c r="AF57" s="1" t="str">
        <f ca="1"/>
        <v>SAP</v>
      </c>
      <c r="AG57" s="1" t="str">
        <f ca="1"/>
        <v>LS_18</v>
      </c>
      <c r="AH57" s="1" t="str">
        <f ca="1"/>
        <v>L18_S09</v>
      </c>
      <c r="AI57" s="1" t="str">
        <f ca="1"/>
        <v>034 / 015</v>
      </c>
      <c r="AJ57" s="3" t="str">
        <f ca="1"/>
        <v>No</v>
      </c>
      <c r="AK57" s="1" t="str">
        <f ca="1"/>
        <v/>
      </c>
      <c r="AL57" s="105" t="str">
        <f ca="1"/>
        <v/>
      </c>
      <c r="BC57" s="1" t="str">
        <v/>
      </c>
      <c r="BD57" s="1" t="str">
        <v/>
      </c>
      <c r="BE57" s="1" t="str">
        <v/>
      </c>
      <c r="BF57" s="1" t="str">
        <v/>
      </c>
      <c r="BG57" s="1" t="str">
        <v/>
      </c>
      <c r="BH57" s="1" t="str">
        <v/>
      </c>
      <c r="BI57" s="1" t="str">
        <v/>
      </c>
      <c r="BJ57" s="1" t="str">
        <v/>
      </c>
      <c r="BK57" s="1" t="str">
        <v/>
      </c>
      <c r="BL57" s="1" t="str">
        <v/>
      </c>
      <c r="BM57" s="1" t="str">
        <v/>
      </c>
      <c r="BN57" s="1" t="str">
        <v/>
      </c>
      <c r="BO57" s="1" t="str">
        <v/>
      </c>
      <c r="BP57" s="1" t="str">
        <v/>
      </c>
      <c r="BQ57" s="1" t="str">
        <v/>
      </c>
      <c r="BR57" s="1" t="str">
        <v/>
      </c>
      <c r="BS57" s="1" t="str">
        <v/>
      </c>
      <c r="BT57" s="1" t="str">
        <v/>
      </c>
      <c r="BU57" s="1" t="str">
        <v/>
      </c>
      <c r="BV57" s="1" t="str">
        <v/>
      </c>
      <c r="BZ57" s="104" t="str">
        <v/>
      </c>
      <c r="CA57" s="104" t="str">
        <v/>
      </c>
      <c r="CB57" s="104" t="str">
        <v/>
      </c>
      <c r="CC57" s="104" t="str">
        <v/>
      </c>
      <c r="CD57" s="104" t="str">
        <v/>
      </c>
      <c r="CE57" s="104" t="str">
        <v/>
      </c>
      <c r="CF57" s="104" t="str">
        <v/>
      </c>
      <c r="CG57" s="104" t="str">
        <v/>
      </c>
      <c r="CH57" s="104" t="str">
        <v/>
      </c>
      <c r="CI57" s="104" t="str">
        <v/>
      </c>
      <c r="CJ57" s="104" t="str">
        <v/>
      </c>
      <c r="CK57" s="104" t="str">
        <v/>
      </c>
      <c r="CL57" s="104" t="str">
        <v/>
      </c>
      <c r="CM57" s="104" t="str">
        <v/>
      </c>
      <c r="CN57" s="104" t="str">
        <v/>
      </c>
      <c r="CO57" s="104" t="str">
        <v/>
      </c>
      <c r="CP57" s="104" t="str">
        <v/>
      </c>
      <c r="CQ57" s="104" t="str">
        <v/>
      </c>
      <c r="CR57" s="104" t="str">
        <v/>
      </c>
      <c r="CS57" s="104" t="str">
        <v/>
      </c>
    </row>
    <row r="58" spans="5:97" x14ac:dyDescent="0.25">
      <c r="E58" s="1" t="str">
        <v/>
      </c>
      <c r="F58" s="1">
        <v>0</v>
      </c>
      <c r="G58" s="1" t="str">
        <v/>
      </c>
      <c r="H58" s="1" t="str">
        <v/>
      </c>
      <c r="J58" s="79"/>
      <c r="K58" s="48"/>
      <c r="L58" s="49"/>
      <c r="M58" s="49"/>
      <c r="N58" s="49"/>
      <c r="O58" s="80"/>
      <c r="P58" s="50"/>
      <c r="R58" s="77">
        <v>0</v>
      </c>
      <c r="S58" s="59">
        <v>0</v>
      </c>
      <c r="V58" s="1" t="str">
        <v>SH_01/01 to BR1</v>
      </c>
      <c r="W58" s="1" t="str">
        <v>SCM0899</v>
      </c>
      <c r="X58" s="3" t="str">
        <v>LIM</v>
      </c>
      <c r="Y58" s="3" t="str">
        <v>L9_26</v>
      </c>
      <c r="Z58" s="1">
        <v>1</v>
      </c>
      <c r="AA58" s="1">
        <v>30</v>
      </c>
      <c r="AB58" s="93">
        <v>0.5</v>
      </c>
      <c r="AD58" s="1" t="str">
        <f ca="1"/>
        <v>46211/D|BR1/05</v>
      </c>
      <c r="AE58" s="1" t="str">
        <f ca="1"/>
        <v>STM-A40_0106</v>
      </c>
      <c r="AF58" s="1" t="str">
        <f ca="1"/>
        <v>SAP</v>
      </c>
      <c r="AG58" s="1" t="str">
        <f ca="1"/>
        <v>LS_18</v>
      </c>
      <c r="AH58" s="1" t="str">
        <f ca="1"/>
        <v>L18_S09</v>
      </c>
      <c r="AI58" s="1" t="str">
        <f ca="1"/>
        <v>034 / 016</v>
      </c>
      <c r="AJ58" s="3" t="str">
        <f ca="1"/>
        <v>Yes</v>
      </c>
      <c r="AK58" s="1" t="str">
        <f ca="1"/>
        <v/>
      </c>
      <c r="AL58" s="105" t="str">
        <f ca="1"/>
        <v/>
      </c>
      <c r="BC58" s="1" t="str">
        <v/>
      </c>
      <c r="BD58" s="1" t="str">
        <v/>
      </c>
      <c r="BE58" s="1" t="str">
        <v/>
      </c>
      <c r="BF58" s="1" t="str">
        <v/>
      </c>
      <c r="BG58" s="1" t="str">
        <v/>
      </c>
      <c r="BH58" s="1" t="str">
        <v/>
      </c>
      <c r="BI58" s="1" t="str">
        <v/>
      </c>
      <c r="BJ58" s="1" t="str">
        <v/>
      </c>
      <c r="BK58" s="1" t="str">
        <v/>
      </c>
      <c r="BL58" s="1" t="str">
        <v/>
      </c>
      <c r="BM58" s="1" t="str">
        <v/>
      </c>
      <c r="BN58" s="1" t="str">
        <v/>
      </c>
      <c r="BO58" s="1" t="str">
        <v/>
      </c>
      <c r="BP58" s="1" t="str">
        <v/>
      </c>
      <c r="BQ58" s="1" t="str">
        <v/>
      </c>
      <c r="BR58" s="1" t="str">
        <v/>
      </c>
      <c r="BS58" s="1" t="str">
        <v/>
      </c>
      <c r="BT58" s="1" t="str">
        <v/>
      </c>
      <c r="BU58" s="1" t="str">
        <v/>
      </c>
      <c r="BV58" s="1" t="str">
        <v/>
      </c>
      <c r="BZ58" s="104" t="str">
        <v/>
      </c>
      <c r="CA58" s="104" t="str">
        <v/>
      </c>
      <c r="CB58" s="104" t="str">
        <v/>
      </c>
      <c r="CC58" s="104" t="str">
        <v/>
      </c>
      <c r="CD58" s="104" t="str">
        <v/>
      </c>
      <c r="CE58" s="104" t="str">
        <v/>
      </c>
      <c r="CF58" s="104" t="str">
        <v/>
      </c>
      <c r="CG58" s="104" t="str">
        <v/>
      </c>
      <c r="CH58" s="104" t="str">
        <v/>
      </c>
      <c r="CI58" s="104" t="str">
        <v/>
      </c>
      <c r="CJ58" s="104" t="str">
        <v/>
      </c>
      <c r="CK58" s="104" t="str">
        <v/>
      </c>
      <c r="CL58" s="104" t="str">
        <v/>
      </c>
      <c r="CM58" s="104" t="str">
        <v/>
      </c>
      <c r="CN58" s="104" t="str">
        <v/>
      </c>
      <c r="CO58" s="104" t="str">
        <v/>
      </c>
      <c r="CP58" s="104" t="str">
        <v/>
      </c>
      <c r="CQ58" s="104" t="str">
        <v/>
      </c>
      <c r="CR58" s="104" t="str">
        <v/>
      </c>
      <c r="CS58" s="104" t="str">
        <v/>
      </c>
    </row>
    <row r="59" spans="5:97" x14ac:dyDescent="0.25">
      <c r="E59" s="1" t="str">
        <v/>
      </c>
      <c r="F59" s="1">
        <v>0</v>
      </c>
      <c r="G59" s="1" t="str">
        <v/>
      </c>
      <c r="H59" s="1" t="str">
        <v/>
      </c>
      <c r="J59" s="79"/>
      <c r="K59" s="48"/>
      <c r="L59" s="49"/>
      <c r="M59" s="49"/>
      <c r="N59" s="49"/>
      <c r="O59" s="80"/>
      <c r="P59" s="50"/>
      <c r="R59" s="77">
        <v>0</v>
      </c>
      <c r="S59" s="59">
        <v>0</v>
      </c>
      <c r="V59" s="1" t="str">
        <v>SH_01/01 to BR1</v>
      </c>
      <c r="W59" s="1" t="str">
        <v>SCM0899</v>
      </c>
      <c r="X59" s="3" t="str">
        <v>LIM</v>
      </c>
      <c r="Y59" s="3" t="str">
        <v>L9_26</v>
      </c>
      <c r="Z59" s="1">
        <v>1</v>
      </c>
      <c r="AA59" s="1">
        <v>35</v>
      </c>
      <c r="AB59" s="93">
        <v>0.5</v>
      </c>
      <c r="AD59" s="1" t="str">
        <f ca="1"/>
        <v>46211/D|BR1/05</v>
      </c>
      <c r="AE59" s="1" t="str">
        <f ca="1"/>
        <v>STM-A40_0098</v>
      </c>
      <c r="AF59" s="1" t="str">
        <f ca="1"/>
        <v>SAP</v>
      </c>
      <c r="AG59" s="1" t="str">
        <f ca="1"/>
        <v>LS_18</v>
      </c>
      <c r="AH59" s="1" t="str">
        <f ca="1"/>
        <v>L18_S09</v>
      </c>
      <c r="AI59" s="1" t="str">
        <f ca="1"/>
        <v>034 / 017</v>
      </c>
      <c r="AJ59" s="3" t="str">
        <f ca="1"/>
        <v>No</v>
      </c>
      <c r="AK59" s="1" t="str">
        <f ca="1"/>
        <v/>
      </c>
      <c r="AL59" s="105" t="str">
        <f ca="1"/>
        <v/>
      </c>
      <c r="BC59" s="1" t="str">
        <v/>
      </c>
      <c r="BD59" s="1" t="str">
        <v/>
      </c>
      <c r="BE59" s="1" t="str">
        <v/>
      </c>
      <c r="BF59" s="1" t="str">
        <v/>
      </c>
      <c r="BG59" s="1" t="str">
        <v/>
      </c>
      <c r="BH59" s="1" t="str">
        <v/>
      </c>
      <c r="BI59" s="1" t="str">
        <v/>
      </c>
      <c r="BJ59" s="1" t="str">
        <v/>
      </c>
      <c r="BK59" s="1" t="str">
        <v/>
      </c>
      <c r="BL59" s="1" t="str">
        <v/>
      </c>
      <c r="BM59" s="1" t="str">
        <v/>
      </c>
      <c r="BN59" s="1" t="str">
        <v/>
      </c>
      <c r="BO59" s="1" t="str">
        <v/>
      </c>
      <c r="BP59" s="1" t="str">
        <v/>
      </c>
      <c r="BQ59" s="1" t="str">
        <v/>
      </c>
      <c r="BR59" s="1" t="str">
        <v/>
      </c>
      <c r="BS59" s="1" t="str">
        <v/>
      </c>
      <c r="BT59" s="1" t="str">
        <v/>
      </c>
      <c r="BU59" s="1" t="str">
        <v/>
      </c>
      <c r="BV59" s="1" t="str">
        <v/>
      </c>
      <c r="BZ59" s="104" t="str">
        <v/>
      </c>
      <c r="CA59" s="104" t="str">
        <v/>
      </c>
      <c r="CB59" s="104" t="str">
        <v/>
      </c>
      <c r="CC59" s="104" t="str">
        <v/>
      </c>
      <c r="CD59" s="104" t="str">
        <v/>
      </c>
      <c r="CE59" s="104" t="str">
        <v/>
      </c>
      <c r="CF59" s="104" t="str">
        <v/>
      </c>
      <c r="CG59" s="104" t="str">
        <v/>
      </c>
      <c r="CH59" s="104" t="str">
        <v/>
      </c>
      <c r="CI59" s="104" t="str">
        <v/>
      </c>
      <c r="CJ59" s="104" t="str">
        <v/>
      </c>
      <c r="CK59" s="104" t="str">
        <v/>
      </c>
      <c r="CL59" s="104" t="str">
        <v/>
      </c>
      <c r="CM59" s="104" t="str">
        <v/>
      </c>
      <c r="CN59" s="104" t="str">
        <v/>
      </c>
      <c r="CO59" s="104" t="str">
        <v/>
      </c>
      <c r="CP59" s="104" t="str">
        <v/>
      </c>
      <c r="CQ59" s="104" t="str">
        <v/>
      </c>
      <c r="CR59" s="104" t="str">
        <v/>
      </c>
      <c r="CS59" s="104" t="str">
        <v/>
      </c>
    </row>
    <row r="60" spans="5:97" x14ac:dyDescent="0.25">
      <c r="E60" s="1" t="str">
        <v/>
      </c>
      <c r="F60" s="1">
        <v>0</v>
      </c>
      <c r="G60" s="1" t="str">
        <v/>
      </c>
      <c r="H60" s="1" t="str">
        <v/>
      </c>
      <c r="J60" s="79"/>
      <c r="K60" s="48"/>
      <c r="L60" s="49"/>
      <c r="M60" s="49"/>
      <c r="N60" s="49"/>
      <c r="O60" s="80"/>
      <c r="P60" s="50"/>
      <c r="R60" s="77">
        <v>0</v>
      </c>
      <c r="S60" s="59">
        <v>0</v>
      </c>
      <c r="V60" s="1" t="str">
        <v>SH_01/01 to BR1</v>
      </c>
      <c r="W60" s="1" t="str">
        <v>SCM0899</v>
      </c>
      <c r="X60" s="3" t="str">
        <v>LIM</v>
      </c>
      <c r="Y60" s="3" t="str">
        <v>L9_26</v>
      </c>
      <c r="Z60" s="1">
        <v>1</v>
      </c>
      <c r="AA60" s="1">
        <v>40</v>
      </c>
      <c r="AB60" s="93">
        <v>0.5</v>
      </c>
      <c r="AD60" s="1" t="str">
        <f ca="1"/>
        <v>46211/D|BR1/05</v>
      </c>
      <c r="AE60" s="1" t="str">
        <f ca="1"/>
        <v>STM-A40_0106</v>
      </c>
      <c r="AF60" s="1" t="str">
        <f ca="1"/>
        <v>SAP</v>
      </c>
      <c r="AG60" s="1" t="str">
        <f ca="1"/>
        <v>LS_18</v>
      </c>
      <c r="AH60" s="1" t="str">
        <f ca="1"/>
        <v>L18_S09</v>
      </c>
      <c r="AI60" s="1" t="str">
        <f ca="1"/>
        <v>034 / 018</v>
      </c>
      <c r="AJ60" s="3" t="str">
        <f ca="1"/>
        <v>Yes</v>
      </c>
      <c r="AK60" s="1" t="str">
        <f ca="1"/>
        <v/>
      </c>
      <c r="AL60" s="105" t="str">
        <f ca="1"/>
        <v/>
      </c>
      <c r="BC60" s="1" t="str">
        <v/>
      </c>
      <c r="BD60" s="1" t="str">
        <v/>
      </c>
      <c r="BE60" s="1" t="str">
        <v/>
      </c>
      <c r="BF60" s="1" t="str">
        <v/>
      </c>
      <c r="BG60" s="1" t="str">
        <v/>
      </c>
      <c r="BH60" s="1" t="str">
        <v/>
      </c>
      <c r="BI60" s="1" t="str">
        <v/>
      </c>
      <c r="BJ60" s="1" t="str">
        <v/>
      </c>
      <c r="BK60" s="1" t="str">
        <v/>
      </c>
      <c r="BL60" s="1" t="str">
        <v/>
      </c>
      <c r="BM60" s="1" t="str">
        <v/>
      </c>
      <c r="BN60" s="1" t="str">
        <v/>
      </c>
      <c r="BO60" s="1" t="str">
        <v/>
      </c>
      <c r="BP60" s="1" t="str">
        <v/>
      </c>
      <c r="BQ60" s="1" t="str">
        <v/>
      </c>
      <c r="BR60" s="1" t="str">
        <v/>
      </c>
      <c r="BS60" s="1" t="str">
        <v/>
      </c>
      <c r="BT60" s="1" t="str">
        <v/>
      </c>
      <c r="BU60" s="1" t="str">
        <v/>
      </c>
      <c r="BV60" s="1" t="str">
        <v/>
      </c>
      <c r="BZ60" s="104" t="str">
        <v/>
      </c>
      <c r="CA60" s="104" t="str">
        <v/>
      </c>
      <c r="CB60" s="104" t="str">
        <v/>
      </c>
      <c r="CC60" s="104" t="str">
        <v/>
      </c>
      <c r="CD60" s="104" t="str">
        <v/>
      </c>
      <c r="CE60" s="104" t="str">
        <v/>
      </c>
      <c r="CF60" s="104" t="str">
        <v/>
      </c>
      <c r="CG60" s="104" t="str">
        <v/>
      </c>
      <c r="CH60" s="104" t="str">
        <v/>
      </c>
      <c r="CI60" s="104" t="str">
        <v/>
      </c>
      <c r="CJ60" s="104" t="str">
        <v/>
      </c>
      <c r="CK60" s="104" t="str">
        <v/>
      </c>
      <c r="CL60" s="104" t="str">
        <v/>
      </c>
      <c r="CM60" s="104" t="str">
        <v/>
      </c>
      <c r="CN60" s="104" t="str">
        <v/>
      </c>
      <c r="CO60" s="104" t="str">
        <v/>
      </c>
      <c r="CP60" s="104" t="str">
        <v/>
      </c>
      <c r="CQ60" s="104" t="str">
        <v/>
      </c>
      <c r="CR60" s="104" t="str">
        <v/>
      </c>
      <c r="CS60" s="104" t="str">
        <v/>
      </c>
    </row>
    <row r="61" spans="5:97" x14ac:dyDescent="0.25">
      <c r="E61" s="1" t="str">
        <v/>
      </c>
      <c r="F61" s="1">
        <v>0</v>
      </c>
      <c r="G61" s="1" t="str">
        <v/>
      </c>
      <c r="H61" s="1" t="str">
        <v/>
      </c>
      <c r="J61" s="79"/>
      <c r="K61" s="48"/>
      <c r="L61" s="49"/>
      <c r="M61" s="49"/>
      <c r="N61" s="49"/>
      <c r="O61" s="80"/>
      <c r="P61" s="50"/>
      <c r="R61" s="77">
        <v>0</v>
      </c>
      <c r="S61" s="59">
        <v>0</v>
      </c>
      <c r="V61" s="1" t="str">
        <v>SH_01/01 to BR1</v>
      </c>
      <c r="W61" s="1" t="str">
        <v>SCM0899</v>
      </c>
      <c r="X61" s="3" t="str">
        <v>LIM</v>
      </c>
      <c r="Y61" s="3" t="str">
        <v>L9_26</v>
      </c>
      <c r="Z61" s="1">
        <v>1</v>
      </c>
      <c r="AA61" s="1">
        <v>45</v>
      </c>
      <c r="AB61" s="93">
        <v>0.5</v>
      </c>
      <c r="AD61" s="1" t="str">
        <f ca="1"/>
        <v>46211/D|BR1/05</v>
      </c>
      <c r="AE61" s="1" t="str">
        <f ca="1"/>
        <v>STM-A40_0121</v>
      </c>
      <c r="AF61" s="1" t="str">
        <f ca="1"/>
        <v>SAP</v>
      </c>
      <c r="AG61" s="1" t="str">
        <f ca="1"/>
        <v>LS_18</v>
      </c>
      <c r="AH61" s="1" t="str">
        <f ca="1"/>
        <v>L18_S09</v>
      </c>
      <c r="AI61" s="1" t="str">
        <f ca="1"/>
        <v>034 / 019</v>
      </c>
      <c r="AJ61" s="3" t="str">
        <f ca="1"/>
        <v>No</v>
      </c>
      <c r="AK61" s="1" t="str">
        <f ca="1"/>
        <v/>
      </c>
      <c r="AL61" s="105" t="str">
        <f ca="1"/>
        <v>TRUCK SALAH</v>
      </c>
      <c r="BC61" s="1" t="str">
        <v/>
      </c>
      <c r="BD61" s="1" t="str">
        <v/>
      </c>
      <c r="BE61" s="1" t="str">
        <v/>
      </c>
      <c r="BF61" s="1" t="str">
        <v/>
      </c>
      <c r="BG61" s="1" t="str">
        <v/>
      </c>
      <c r="BH61" s="1" t="str">
        <v/>
      </c>
      <c r="BI61" s="1" t="str">
        <v/>
      </c>
      <c r="BJ61" s="1" t="str">
        <v/>
      </c>
      <c r="BK61" s="1" t="str">
        <v/>
      </c>
      <c r="BL61" s="1" t="str">
        <v/>
      </c>
      <c r="BM61" s="1" t="str">
        <v/>
      </c>
      <c r="BN61" s="1" t="str">
        <v/>
      </c>
      <c r="BO61" s="1" t="str">
        <v/>
      </c>
      <c r="BP61" s="1" t="str">
        <v/>
      </c>
      <c r="BQ61" s="1" t="str">
        <v/>
      </c>
      <c r="BR61" s="1" t="str">
        <v/>
      </c>
      <c r="BS61" s="1" t="str">
        <v/>
      </c>
      <c r="BT61" s="1" t="str">
        <v/>
      </c>
      <c r="BU61" s="1" t="str">
        <v/>
      </c>
      <c r="BV61" s="1" t="str">
        <v/>
      </c>
      <c r="BZ61" s="104" t="str">
        <v/>
      </c>
      <c r="CA61" s="104" t="str">
        <v/>
      </c>
      <c r="CB61" s="104" t="str">
        <v/>
      </c>
      <c r="CC61" s="104" t="str">
        <v/>
      </c>
      <c r="CD61" s="104" t="str">
        <v/>
      </c>
      <c r="CE61" s="104" t="str">
        <v/>
      </c>
      <c r="CF61" s="104" t="str">
        <v/>
      </c>
      <c r="CG61" s="104" t="str">
        <v/>
      </c>
      <c r="CH61" s="104" t="str">
        <v/>
      </c>
      <c r="CI61" s="104" t="str">
        <v/>
      </c>
      <c r="CJ61" s="104" t="str">
        <v/>
      </c>
      <c r="CK61" s="104" t="str">
        <v/>
      </c>
      <c r="CL61" s="104" t="str">
        <v/>
      </c>
      <c r="CM61" s="104" t="str">
        <v/>
      </c>
      <c r="CN61" s="104" t="str">
        <v/>
      </c>
      <c r="CO61" s="104" t="str">
        <v/>
      </c>
      <c r="CP61" s="104" t="str">
        <v/>
      </c>
      <c r="CQ61" s="104" t="str">
        <v/>
      </c>
      <c r="CR61" s="104" t="str">
        <v/>
      </c>
      <c r="CS61" s="104" t="str">
        <v/>
      </c>
    </row>
    <row r="62" spans="5:97" x14ac:dyDescent="0.25">
      <c r="E62" s="1" t="str">
        <v/>
      </c>
      <c r="F62" s="1">
        <v>0</v>
      </c>
      <c r="G62" s="1" t="str">
        <v/>
      </c>
      <c r="H62" s="1" t="str">
        <v/>
      </c>
      <c r="J62" s="79"/>
      <c r="K62" s="48"/>
      <c r="L62" s="49"/>
      <c r="M62" s="49"/>
      <c r="N62" s="49"/>
      <c r="O62" s="80"/>
      <c r="P62" s="50"/>
      <c r="R62" s="77">
        <v>0</v>
      </c>
      <c r="S62" s="59">
        <v>0</v>
      </c>
      <c r="V62" s="1" t="str">
        <v>SH_01/01 to BR1</v>
      </c>
      <c r="W62" s="1" t="str">
        <v>SCM0899</v>
      </c>
      <c r="X62" s="3" t="str">
        <v>LIM</v>
      </c>
      <c r="Y62" s="3" t="str">
        <v>L9_26</v>
      </c>
      <c r="Z62" s="1">
        <v>1</v>
      </c>
      <c r="AA62" s="1">
        <v>50</v>
      </c>
      <c r="AB62" s="93">
        <v>0.5</v>
      </c>
      <c r="AD62" s="1" t="str">
        <f ca="1"/>
        <v>46211/D|BR1/05</v>
      </c>
      <c r="AE62" s="1" t="str">
        <f ca="1"/>
        <v>STM-A40_0105</v>
      </c>
      <c r="AF62" s="1" t="str">
        <f ca="1"/>
        <v>SAP</v>
      </c>
      <c r="AG62" s="1" t="str">
        <f ca="1"/>
        <v>LS_18</v>
      </c>
      <c r="AH62" s="1" t="str">
        <f ca="1"/>
        <v>L18_S09</v>
      </c>
      <c r="AI62" s="1" t="str">
        <f ca="1"/>
        <v>034 / 020</v>
      </c>
      <c r="AJ62" s="3" t="str">
        <f ca="1"/>
        <v>Yes</v>
      </c>
      <c r="AK62" s="1" t="str">
        <f ca="1"/>
        <v/>
      </c>
      <c r="AL62" s="105" t="str">
        <f ca="1"/>
        <v/>
      </c>
      <c r="BC62" s="1" t="str">
        <v/>
      </c>
      <c r="BD62" s="1" t="str">
        <v/>
      </c>
      <c r="BE62" s="1" t="str">
        <v/>
      </c>
      <c r="BF62" s="1" t="str">
        <v/>
      </c>
      <c r="BG62" s="1" t="str">
        <v/>
      </c>
      <c r="BH62" s="1" t="str">
        <v/>
      </c>
      <c r="BI62" s="1" t="str">
        <v/>
      </c>
      <c r="BJ62" s="1" t="str">
        <v/>
      </c>
      <c r="BK62" s="1" t="str">
        <v/>
      </c>
      <c r="BL62" s="1" t="str">
        <v/>
      </c>
      <c r="BM62" s="1" t="str">
        <v/>
      </c>
      <c r="BN62" s="1" t="str">
        <v/>
      </c>
      <c r="BO62" s="1" t="str">
        <v/>
      </c>
      <c r="BP62" s="1" t="str">
        <v/>
      </c>
      <c r="BQ62" s="1" t="str">
        <v/>
      </c>
      <c r="BR62" s="1" t="str">
        <v/>
      </c>
      <c r="BS62" s="1" t="str">
        <v/>
      </c>
      <c r="BT62" s="1" t="str">
        <v/>
      </c>
      <c r="BU62" s="1" t="str">
        <v/>
      </c>
      <c r="BV62" s="1" t="str">
        <v/>
      </c>
      <c r="BZ62" s="104" t="str">
        <v/>
      </c>
      <c r="CA62" s="104" t="str">
        <v/>
      </c>
      <c r="CB62" s="104" t="str">
        <v/>
      </c>
      <c r="CC62" s="104" t="str">
        <v/>
      </c>
      <c r="CD62" s="104" t="str">
        <v/>
      </c>
      <c r="CE62" s="104" t="str">
        <v/>
      </c>
      <c r="CF62" s="104" t="str">
        <v/>
      </c>
      <c r="CG62" s="104" t="str">
        <v/>
      </c>
      <c r="CH62" s="104" t="str">
        <v/>
      </c>
      <c r="CI62" s="104" t="str">
        <v/>
      </c>
      <c r="CJ62" s="104" t="str">
        <v/>
      </c>
      <c r="CK62" s="104" t="str">
        <v/>
      </c>
      <c r="CL62" s="104" t="str">
        <v/>
      </c>
      <c r="CM62" s="104" t="str">
        <v/>
      </c>
      <c r="CN62" s="104" t="str">
        <v/>
      </c>
      <c r="CO62" s="104" t="str">
        <v/>
      </c>
      <c r="CP62" s="104" t="str">
        <v/>
      </c>
      <c r="CQ62" s="104" t="str">
        <v/>
      </c>
      <c r="CR62" s="104" t="str">
        <v/>
      </c>
      <c r="CS62" s="104" t="str">
        <v/>
      </c>
    </row>
    <row r="63" spans="5:97" x14ac:dyDescent="0.25">
      <c r="E63" s="1" t="str">
        <v/>
      </c>
      <c r="F63" s="1">
        <v>0</v>
      </c>
      <c r="G63" s="1" t="str">
        <v/>
      </c>
      <c r="H63" s="1" t="str">
        <v/>
      </c>
      <c r="J63" s="79"/>
      <c r="K63" s="48"/>
      <c r="L63" s="49"/>
      <c r="M63" s="49"/>
      <c r="N63" s="49"/>
      <c r="O63" s="80"/>
      <c r="P63" s="50"/>
      <c r="R63" s="77">
        <v>0</v>
      </c>
      <c r="S63" s="59">
        <v>0</v>
      </c>
      <c r="V63" s="1" t="str">
        <v>SH_01/01 to BR1</v>
      </c>
      <c r="W63" s="1" t="str">
        <v>SCM0899</v>
      </c>
      <c r="X63" s="3" t="str">
        <v>LIM</v>
      </c>
      <c r="Y63" s="3" t="str">
        <v>L9_26</v>
      </c>
      <c r="Z63" s="1">
        <v>1</v>
      </c>
      <c r="AA63" s="1">
        <v>55</v>
      </c>
      <c r="AB63" s="93">
        <v>0.5</v>
      </c>
      <c r="AD63" s="1" t="str">
        <f ca="1"/>
        <v>46211/D|BR1/02</v>
      </c>
      <c r="AE63" s="1" t="str">
        <f ca="1"/>
        <v>STM-A40_0087</v>
      </c>
      <c r="AF63" s="1" t="str">
        <f ca="1"/>
        <v>SAP</v>
      </c>
      <c r="AG63" s="1" t="str">
        <f ca="1"/>
        <v>LS_18</v>
      </c>
      <c r="AH63" s="1" t="str">
        <f ca="1"/>
        <v>L18_S09</v>
      </c>
      <c r="AI63" s="1" t="str">
        <f ca="1"/>
        <v>035 / 001</v>
      </c>
      <c r="AJ63" s="3" t="str">
        <f ca="1"/>
        <v>No</v>
      </c>
      <c r="AK63" s="1" t="str">
        <f ca="1"/>
        <v/>
      </c>
      <c r="AL63" s="105" t="str">
        <f ca="1"/>
        <v/>
      </c>
      <c r="BC63" s="1" t="str">
        <v/>
      </c>
      <c r="BD63" s="1" t="str">
        <v/>
      </c>
      <c r="BE63" s="1" t="str">
        <v/>
      </c>
      <c r="BF63" s="1" t="str">
        <v/>
      </c>
      <c r="BG63" s="1" t="str">
        <v/>
      </c>
      <c r="BH63" s="1" t="str">
        <v/>
      </c>
      <c r="BI63" s="1" t="str">
        <v/>
      </c>
      <c r="BJ63" s="1" t="str">
        <v/>
      </c>
      <c r="BK63" s="1" t="str">
        <v/>
      </c>
      <c r="BL63" s="1" t="str">
        <v/>
      </c>
      <c r="BM63" s="1" t="str">
        <v/>
      </c>
      <c r="BN63" s="1" t="str">
        <v/>
      </c>
      <c r="BO63" s="1" t="str">
        <v/>
      </c>
      <c r="BP63" s="1" t="str">
        <v/>
      </c>
      <c r="BQ63" s="1" t="str">
        <v/>
      </c>
      <c r="BR63" s="1" t="str">
        <v/>
      </c>
      <c r="BS63" s="1" t="str">
        <v/>
      </c>
      <c r="BT63" s="1" t="str">
        <v/>
      </c>
      <c r="BU63" s="1" t="str">
        <v/>
      </c>
      <c r="BV63" s="1" t="str">
        <v/>
      </c>
      <c r="BZ63" s="104" t="str">
        <v/>
      </c>
      <c r="CA63" s="104" t="str">
        <v/>
      </c>
      <c r="CB63" s="104" t="str">
        <v/>
      </c>
      <c r="CC63" s="104" t="str">
        <v/>
      </c>
      <c r="CD63" s="104" t="str">
        <v/>
      </c>
      <c r="CE63" s="104" t="str">
        <v/>
      </c>
      <c r="CF63" s="104" t="str">
        <v/>
      </c>
      <c r="CG63" s="104" t="str">
        <v/>
      </c>
      <c r="CH63" s="104" t="str">
        <v/>
      </c>
      <c r="CI63" s="104" t="str">
        <v/>
      </c>
      <c r="CJ63" s="104" t="str">
        <v/>
      </c>
      <c r="CK63" s="104" t="str">
        <v/>
      </c>
      <c r="CL63" s="104" t="str">
        <v/>
      </c>
      <c r="CM63" s="104" t="str">
        <v/>
      </c>
      <c r="CN63" s="104" t="str">
        <v/>
      </c>
      <c r="CO63" s="104" t="str">
        <v/>
      </c>
      <c r="CP63" s="104" t="str">
        <v/>
      </c>
      <c r="CQ63" s="104" t="str">
        <v/>
      </c>
      <c r="CR63" s="104" t="str">
        <v/>
      </c>
      <c r="CS63" s="104" t="str">
        <v/>
      </c>
    </row>
    <row r="64" spans="5:97" x14ac:dyDescent="0.25">
      <c r="E64" s="1" t="str">
        <v/>
      </c>
      <c r="F64" s="1">
        <v>0</v>
      </c>
      <c r="G64" s="1" t="str">
        <v/>
      </c>
      <c r="H64" s="1" t="str">
        <v/>
      </c>
      <c r="J64" s="79"/>
      <c r="K64" s="48"/>
      <c r="L64" s="49"/>
      <c r="M64" s="49"/>
      <c r="N64" s="49"/>
      <c r="O64" s="80"/>
      <c r="P64" s="50"/>
      <c r="R64" s="77">
        <v>0</v>
      </c>
      <c r="S64" s="59">
        <v>0</v>
      </c>
      <c r="V64" s="1" t="str">
        <v>SH_01/01 to BR1</v>
      </c>
      <c r="W64" s="1" t="str">
        <v>SCM0899</v>
      </c>
      <c r="X64" s="3" t="str">
        <v>LIM</v>
      </c>
      <c r="Y64" s="3" t="str">
        <v>L9_26</v>
      </c>
      <c r="Z64" s="1">
        <v>1</v>
      </c>
      <c r="AA64" s="1">
        <v>60</v>
      </c>
      <c r="AB64" s="93">
        <v>0.5</v>
      </c>
      <c r="AD64" s="1" t="str">
        <f ca="1"/>
        <v>46211/D|BR1/02</v>
      </c>
      <c r="AE64" s="1" t="str">
        <f ca="1"/>
        <v>STM-A40_0069</v>
      </c>
      <c r="AF64" s="1" t="str">
        <f ca="1"/>
        <v>SAP</v>
      </c>
      <c r="AG64" s="1" t="str">
        <f ca="1"/>
        <v>LS_18</v>
      </c>
      <c r="AH64" s="1" t="str">
        <f ca="1"/>
        <v>L18_S09</v>
      </c>
      <c r="AI64" s="1" t="str">
        <f ca="1"/>
        <v>035 / 002</v>
      </c>
      <c r="AJ64" s="3" t="str">
        <f ca="1"/>
        <v>Yes</v>
      </c>
      <c r="AK64" s="1" t="str">
        <f ca="1"/>
        <v/>
      </c>
      <c r="AL64" s="105" t="str">
        <f ca="1"/>
        <v/>
      </c>
      <c r="BC64" s="1" t="str">
        <v/>
      </c>
      <c r="BD64" s="1" t="str">
        <v/>
      </c>
      <c r="BE64" s="1" t="str">
        <v/>
      </c>
      <c r="BF64" s="1" t="str">
        <v/>
      </c>
      <c r="BG64" s="1" t="str">
        <v/>
      </c>
      <c r="BH64" s="1" t="str">
        <v/>
      </c>
      <c r="BI64" s="1" t="str">
        <v/>
      </c>
      <c r="BJ64" s="1" t="str">
        <v/>
      </c>
      <c r="BK64" s="1" t="str">
        <v/>
      </c>
      <c r="BL64" s="1" t="str">
        <v/>
      </c>
      <c r="BM64" s="1" t="str">
        <v/>
      </c>
      <c r="BN64" s="1" t="str">
        <v/>
      </c>
      <c r="BO64" s="1" t="str">
        <v/>
      </c>
      <c r="BP64" s="1" t="str">
        <v/>
      </c>
      <c r="BQ64" s="1" t="str">
        <v/>
      </c>
      <c r="BR64" s="1" t="str">
        <v/>
      </c>
      <c r="BS64" s="1" t="str">
        <v/>
      </c>
      <c r="BT64" s="1" t="str">
        <v/>
      </c>
      <c r="BU64" s="1" t="str">
        <v/>
      </c>
      <c r="BV64" s="1" t="str">
        <v/>
      </c>
      <c r="BZ64" s="104" t="str">
        <v/>
      </c>
      <c r="CA64" s="104" t="str">
        <v/>
      </c>
      <c r="CB64" s="104" t="str">
        <v/>
      </c>
      <c r="CC64" s="104" t="str">
        <v/>
      </c>
      <c r="CD64" s="104" t="str">
        <v/>
      </c>
      <c r="CE64" s="104" t="str">
        <v/>
      </c>
      <c r="CF64" s="104" t="str">
        <v/>
      </c>
      <c r="CG64" s="104" t="str">
        <v/>
      </c>
      <c r="CH64" s="104" t="str">
        <v/>
      </c>
      <c r="CI64" s="104" t="str">
        <v/>
      </c>
      <c r="CJ64" s="104" t="str">
        <v/>
      </c>
      <c r="CK64" s="104" t="str">
        <v/>
      </c>
      <c r="CL64" s="104" t="str">
        <v/>
      </c>
      <c r="CM64" s="104" t="str">
        <v/>
      </c>
      <c r="CN64" s="104" t="str">
        <v/>
      </c>
      <c r="CO64" s="104" t="str">
        <v/>
      </c>
      <c r="CP64" s="104" t="str">
        <v/>
      </c>
      <c r="CQ64" s="104" t="str">
        <v/>
      </c>
      <c r="CR64" s="104" t="str">
        <v/>
      </c>
      <c r="CS64" s="104" t="str">
        <v/>
      </c>
    </row>
    <row r="65" spans="5:97" x14ac:dyDescent="0.25">
      <c r="E65" s="1" t="str">
        <v/>
      </c>
      <c r="F65" s="1">
        <v>0</v>
      </c>
      <c r="G65" s="1" t="str">
        <v/>
      </c>
      <c r="H65" s="1" t="str">
        <v/>
      </c>
      <c r="J65" s="79"/>
      <c r="K65" s="48"/>
      <c r="L65" s="49"/>
      <c r="M65" s="49"/>
      <c r="N65" s="49"/>
      <c r="O65" s="80"/>
      <c r="P65" s="50"/>
      <c r="R65" s="77">
        <v>0</v>
      </c>
      <c r="S65" s="59">
        <v>0</v>
      </c>
      <c r="V65" s="1" t="str">
        <v>SH_01/01 to BR1</v>
      </c>
      <c r="W65" s="1" t="str">
        <v>SCM0899</v>
      </c>
      <c r="X65" s="3" t="str">
        <v>LIM</v>
      </c>
      <c r="Y65" s="3" t="str">
        <v>L9_26</v>
      </c>
      <c r="Z65" s="1">
        <v>1</v>
      </c>
      <c r="AA65" s="1">
        <v>65</v>
      </c>
      <c r="AB65" s="93">
        <v>0.5</v>
      </c>
      <c r="AD65" s="1" t="str">
        <f ca="1"/>
        <v>46211/D|BR1/02</v>
      </c>
      <c r="AE65" s="1" t="str">
        <f ca="1"/>
        <v>STM-A40_0133</v>
      </c>
      <c r="AF65" s="1" t="str">
        <f ca="1"/>
        <v>SAP</v>
      </c>
      <c r="AG65" s="1" t="str">
        <f ca="1"/>
        <v>LS_18</v>
      </c>
      <c r="AH65" s="1" t="str">
        <f ca="1"/>
        <v>L18_S09</v>
      </c>
      <c r="AI65" s="1" t="str">
        <f ca="1"/>
        <v>035 / 003</v>
      </c>
      <c r="AJ65" s="3" t="str">
        <f ca="1"/>
        <v>No</v>
      </c>
      <c r="AK65" s="1" t="str">
        <f ca="1"/>
        <v/>
      </c>
      <c r="AL65" s="105" t="str">
        <f ca="1"/>
        <v/>
      </c>
      <c r="BC65" s="1" t="str">
        <v/>
      </c>
      <c r="BD65" s="1" t="str">
        <v/>
      </c>
      <c r="BE65" s="1" t="str">
        <v/>
      </c>
      <c r="BF65" s="1" t="str">
        <v/>
      </c>
      <c r="BG65" s="1" t="str">
        <v/>
      </c>
      <c r="BH65" s="1" t="str">
        <v/>
      </c>
      <c r="BI65" s="1" t="str">
        <v/>
      </c>
      <c r="BJ65" s="1" t="str">
        <v/>
      </c>
      <c r="BK65" s="1" t="str">
        <v/>
      </c>
      <c r="BL65" s="1" t="str">
        <v/>
      </c>
      <c r="BM65" s="1" t="str">
        <v/>
      </c>
      <c r="BN65" s="1" t="str">
        <v/>
      </c>
      <c r="BO65" s="1" t="str">
        <v/>
      </c>
      <c r="BP65" s="1" t="str">
        <v/>
      </c>
      <c r="BQ65" s="1" t="str">
        <v/>
      </c>
      <c r="BR65" s="1" t="str">
        <v/>
      </c>
      <c r="BS65" s="1" t="str">
        <v/>
      </c>
      <c r="BT65" s="1" t="str">
        <v/>
      </c>
      <c r="BU65" s="1" t="str">
        <v/>
      </c>
      <c r="BV65" s="1" t="str">
        <v/>
      </c>
      <c r="BZ65" s="104" t="str">
        <v/>
      </c>
      <c r="CA65" s="104" t="str">
        <v/>
      </c>
      <c r="CB65" s="104" t="str">
        <v/>
      </c>
      <c r="CC65" s="104" t="str">
        <v/>
      </c>
      <c r="CD65" s="104" t="str">
        <v/>
      </c>
      <c r="CE65" s="104" t="str">
        <v/>
      </c>
      <c r="CF65" s="104" t="str">
        <v/>
      </c>
      <c r="CG65" s="104" t="str">
        <v/>
      </c>
      <c r="CH65" s="104" t="str">
        <v/>
      </c>
      <c r="CI65" s="104" t="str">
        <v/>
      </c>
      <c r="CJ65" s="104" t="str">
        <v/>
      </c>
      <c r="CK65" s="104" t="str">
        <v/>
      </c>
      <c r="CL65" s="104" t="str">
        <v/>
      </c>
      <c r="CM65" s="104" t="str">
        <v/>
      </c>
      <c r="CN65" s="104" t="str">
        <v/>
      </c>
      <c r="CO65" s="104" t="str">
        <v/>
      </c>
      <c r="CP65" s="104" t="str">
        <v/>
      </c>
      <c r="CQ65" s="104" t="str">
        <v/>
      </c>
      <c r="CR65" s="104" t="str">
        <v/>
      </c>
      <c r="CS65" s="104" t="str">
        <v/>
      </c>
    </row>
    <row r="66" spans="5:97" x14ac:dyDescent="0.25">
      <c r="E66" s="1" t="str">
        <v/>
      </c>
      <c r="F66" s="1">
        <v>0</v>
      </c>
      <c r="G66" s="1" t="str">
        <v/>
      </c>
      <c r="H66" s="1" t="str">
        <v/>
      </c>
      <c r="J66" s="79"/>
      <c r="K66" s="48"/>
      <c r="L66" s="49"/>
      <c r="M66" s="49"/>
      <c r="N66" s="49"/>
      <c r="O66" s="80"/>
      <c r="P66" s="50"/>
      <c r="R66" s="77">
        <v>0</v>
      </c>
      <c r="S66" s="59">
        <v>0</v>
      </c>
      <c r="V66" s="1" t="str">
        <v>SH_01/01 to BR1</v>
      </c>
      <c r="W66" s="1" t="str">
        <v>SCM0899</v>
      </c>
      <c r="X66" s="3" t="str">
        <v>LIM</v>
      </c>
      <c r="Y66" s="3" t="str">
        <v>L9_26</v>
      </c>
      <c r="Z66" s="1">
        <v>1</v>
      </c>
      <c r="AA66" s="1">
        <v>70</v>
      </c>
      <c r="AB66" s="93">
        <v>0.5</v>
      </c>
      <c r="AD66" s="1" t="str">
        <f ca="1"/>
        <v>46211/D|BR1/02</v>
      </c>
      <c r="AE66" s="1" t="str">
        <f ca="1"/>
        <v>STM-A40_0097</v>
      </c>
      <c r="AF66" s="1" t="str">
        <f ca="1"/>
        <v>SAP</v>
      </c>
      <c r="AG66" s="1" t="str">
        <f ca="1"/>
        <v>LS_18</v>
      </c>
      <c r="AH66" s="1" t="str">
        <f ca="1"/>
        <v>L18_S09</v>
      </c>
      <c r="AI66" s="1" t="str">
        <f ca="1"/>
        <v>035 / 004</v>
      </c>
      <c r="AJ66" s="3" t="str">
        <f ca="1"/>
        <v>Yes</v>
      </c>
      <c r="AK66" s="1" t="str">
        <f ca="1"/>
        <v/>
      </c>
      <c r="AL66" s="105" t="str">
        <f ca="1"/>
        <v/>
      </c>
      <c r="BC66" s="1" t="str">
        <v/>
      </c>
      <c r="BD66" s="1" t="str">
        <v/>
      </c>
      <c r="BE66" s="1" t="str">
        <v/>
      </c>
      <c r="BF66" s="1" t="str">
        <v/>
      </c>
      <c r="BG66" s="1" t="str">
        <v/>
      </c>
      <c r="BH66" s="1" t="str">
        <v/>
      </c>
      <c r="BI66" s="1" t="str">
        <v/>
      </c>
      <c r="BJ66" s="1" t="str">
        <v/>
      </c>
      <c r="BK66" s="1" t="str">
        <v/>
      </c>
      <c r="BL66" s="1" t="str">
        <v/>
      </c>
      <c r="BM66" s="1" t="str">
        <v/>
      </c>
      <c r="BN66" s="1" t="str">
        <v/>
      </c>
      <c r="BO66" s="1" t="str">
        <v/>
      </c>
      <c r="BP66" s="1" t="str">
        <v/>
      </c>
      <c r="BQ66" s="1" t="str">
        <v/>
      </c>
      <c r="BR66" s="1" t="str">
        <v/>
      </c>
      <c r="BS66" s="1" t="str">
        <v/>
      </c>
      <c r="BT66" s="1" t="str">
        <v/>
      </c>
      <c r="BU66" s="1" t="str">
        <v/>
      </c>
      <c r="BV66" s="1" t="str">
        <v/>
      </c>
      <c r="BZ66" s="104" t="str">
        <v/>
      </c>
      <c r="CA66" s="104" t="str">
        <v/>
      </c>
      <c r="CB66" s="104" t="str">
        <v/>
      </c>
      <c r="CC66" s="104" t="str">
        <v/>
      </c>
      <c r="CD66" s="104" t="str">
        <v/>
      </c>
      <c r="CE66" s="104" t="str">
        <v/>
      </c>
      <c r="CF66" s="104" t="str">
        <v/>
      </c>
      <c r="CG66" s="104" t="str">
        <v/>
      </c>
      <c r="CH66" s="104" t="str">
        <v/>
      </c>
      <c r="CI66" s="104" t="str">
        <v/>
      </c>
      <c r="CJ66" s="104" t="str">
        <v/>
      </c>
      <c r="CK66" s="104" t="str">
        <v/>
      </c>
      <c r="CL66" s="104" t="str">
        <v/>
      </c>
      <c r="CM66" s="104" t="str">
        <v/>
      </c>
      <c r="CN66" s="104" t="str">
        <v/>
      </c>
      <c r="CO66" s="104" t="str">
        <v/>
      </c>
      <c r="CP66" s="104" t="str">
        <v/>
      </c>
      <c r="CQ66" s="104" t="str">
        <v/>
      </c>
      <c r="CR66" s="104" t="str">
        <v/>
      </c>
      <c r="CS66" s="104" t="str">
        <v/>
      </c>
    </row>
    <row r="67" spans="5:97" x14ac:dyDescent="0.25">
      <c r="E67" s="1" t="str">
        <v/>
      </c>
      <c r="F67" s="1">
        <v>0</v>
      </c>
      <c r="G67" s="1" t="str">
        <v/>
      </c>
      <c r="H67" s="1" t="str">
        <v/>
      </c>
      <c r="J67" s="79"/>
      <c r="K67" s="48"/>
      <c r="L67" s="49"/>
      <c r="M67" s="49"/>
      <c r="N67" s="49"/>
      <c r="O67" s="80"/>
      <c r="P67" s="50"/>
      <c r="R67" s="77">
        <v>0</v>
      </c>
      <c r="S67" s="59">
        <v>0</v>
      </c>
      <c r="V67" s="1" t="str">
        <v>SH_01/01 to BR1</v>
      </c>
      <c r="W67" s="1" t="str">
        <v>SCM0899</v>
      </c>
      <c r="X67" s="3" t="str">
        <v>LIM</v>
      </c>
      <c r="Y67" s="3" t="str">
        <v>L9_26</v>
      </c>
      <c r="Z67" s="1">
        <v>1</v>
      </c>
      <c r="AA67" s="1">
        <v>75</v>
      </c>
      <c r="AB67" s="93">
        <v>0.5</v>
      </c>
      <c r="AD67" s="1" t="str">
        <f ca="1"/>
        <v>46211/D|BR1/02</v>
      </c>
      <c r="AE67" s="1" t="str">
        <f ca="1"/>
        <v>STM-A40_0136</v>
      </c>
      <c r="AF67" s="1" t="str">
        <f ca="1"/>
        <v>SAP</v>
      </c>
      <c r="AG67" s="1" t="str">
        <f ca="1"/>
        <v>LS_18</v>
      </c>
      <c r="AH67" s="1" t="str">
        <f ca="1"/>
        <v>L18_S09</v>
      </c>
      <c r="AI67" s="1" t="str">
        <f ca="1"/>
        <v>035 / 005</v>
      </c>
      <c r="AJ67" s="3" t="str">
        <f ca="1"/>
        <v>No</v>
      </c>
      <c r="AK67" s="1" t="str">
        <f ca="1"/>
        <v/>
      </c>
      <c r="AL67" s="105" t="str">
        <f ca="1"/>
        <v/>
      </c>
      <c r="BC67" s="1" t="str">
        <v/>
      </c>
      <c r="BD67" s="1" t="str">
        <v/>
      </c>
      <c r="BE67" s="1" t="str">
        <v/>
      </c>
      <c r="BF67" s="1" t="str">
        <v/>
      </c>
      <c r="BG67" s="1" t="str">
        <v/>
      </c>
      <c r="BH67" s="1" t="str">
        <v/>
      </c>
      <c r="BI67" s="1" t="str">
        <v/>
      </c>
      <c r="BJ67" s="1" t="str">
        <v/>
      </c>
      <c r="BK67" s="1" t="str">
        <v/>
      </c>
      <c r="BL67" s="1" t="str">
        <v/>
      </c>
      <c r="BM67" s="1" t="str">
        <v/>
      </c>
      <c r="BN67" s="1" t="str">
        <v/>
      </c>
      <c r="BO67" s="1" t="str">
        <v/>
      </c>
      <c r="BP67" s="1" t="str">
        <v/>
      </c>
      <c r="BQ67" s="1" t="str">
        <v/>
      </c>
      <c r="BR67" s="1" t="str">
        <v/>
      </c>
      <c r="BS67" s="1" t="str">
        <v/>
      </c>
      <c r="BT67" s="1" t="str">
        <v/>
      </c>
      <c r="BU67" s="1" t="str">
        <v/>
      </c>
      <c r="BV67" s="1" t="str">
        <v/>
      </c>
      <c r="BZ67" s="104" t="str">
        <v/>
      </c>
      <c r="CA67" s="104" t="str">
        <v/>
      </c>
      <c r="CB67" s="104" t="str">
        <v/>
      </c>
      <c r="CC67" s="104" t="str">
        <v/>
      </c>
      <c r="CD67" s="104" t="str">
        <v/>
      </c>
      <c r="CE67" s="104" t="str">
        <v/>
      </c>
      <c r="CF67" s="104" t="str">
        <v/>
      </c>
      <c r="CG67" s="104" t="str">
        <v/>
      </c>
      <c r="CH67" s="104" t="str">
        <v/>
      </c>
      <c r="CI67" s="104" t="str">
        <v/>
      </c>
      <c r="CJ67" s="104" t="str">
        <v/>
      </c>
      <c r="CK67" s="104" t="str">
        <v/>
      </c>
      <c r="CL67" s="104" t="str">
        <v/>
      </c>
      <c r="CM67" s="104" t="str">
        <v/>
      </c>
      <c r="CN67" s="104" t="str">
        <v/>
      </c>
      <c r="CO67" s="104" t="str">
        <v/>
      </c>
      <c r="CP67" s="104" t="str">
        <v/>
      </c>
      <c r="CQ67" s="104" t="str">
        <v/>
      </c>
      <c r="CR67" s="104" t="str">
        <v/>
      </c>
      <c r="CS67" s="104" t="str">
        <v/>
      </c>
    </row>
    <row r="68" spans="5:97" x14ac:dyDescent="0.25">
      <c r="E68" s="1" t="str">
        <v/>
      </c>
      <c r="F68" s="1">
        <v>0</v>
      </c>
      <c r="G68" s="1" t="str">
        <v/>
      </c>
      <c r="H68" s="1" t="str">
        <v/>
      </c>
      <c r="J68" s="79"/>
      <c r="K68" s="48"/>
      <c r="L68" s="49"/>
      <c r="M68" s="49"/>
      <c r="N68" s="49"/>
      <c r="O68" s="80"/>
      <c r="P68" s="50"/>
      <c r="R68" s="77">
        <v>0</v>
      </c>
      <c r="S68" s="59">
        <v>0</v>
      </c>
      <c r="V68" s="1" t="str">
        <v>SH_01/01 to BR1</v>
      </c>
      <c r="W68" s="1" t="str">
        <v>SCM0899</v>
      </c>
      <c r="X68" s="3" t="str">
        <v>LIM</v>
      </c>
      <c r="Y68" s="3" t="str">
        <v>L9_26</v>
      </c>
      <c r="Z68" s="1">
        <v>1</v>
      </c>
      <c r="AA68" s="1">
        <v>80</v>
      </c>
      <c r="AB68" s="93">
        <v>0.5</v>
      </c>
      <c r="AD68" s="1" t="str">
        <f ca="1"/>
        <v>46211/D|BR1/02</v>
      </c>
      <c r="AE68" s="1" t="str">
        <f ca="1"/>
        <v>STM-A40_0087</v>
      </c>
      <c r="AF68" s="1" t="str">
        <f ca="1"/>
        <v>SAP</v>
      </c>
      <c r="AG68" s="1" t="str">
        <f ca="1"/>
        <v>LS_18</v>
      </c>
      <c r="AH68" s="1" t="str">
        <f ca="1"/>
        <v>L18_S09</v>
      </c>
      <c r="AI68" s="1" t="str">
        <f ca="1"/>
        <v>035 / 006</v>
      </c>
      <c r="AJ68" s="3" t="str">
        <f ca="1"/>
        <v>Yes</v>
      </c>
      <c r="AK68" s="1" t="str">
        <f ca="1"/>
        <v/>
      </c>
      <c r="AL68" s="105" t="str">
        <f ca="1"/>
        <v/>
      </c>
      <c r="BC68" s="1" t="str">
        <v/>
      </c>
      <c r="BD68" s="1" t="str">
        <v/>
      </c>
      <c r="BE68" s="1" t="str">
        <v/>
      </c>
      <c r="BF68" s="1" t="str">
        <v/>
      </c>
      <c r="BG68" s="1" t="str">
        <v/>
      </c>
      <c r="BH68" s="1" t="str">
        <v/>
      </c>
      <c r="BI68" s="1" t="str">
        <v/>
      </c>
      <c r="BJ68" s="1" t="str">
        <v/>
      </c>
      <c r="BK68" s="1" t="str">
        <v/>
      </c>
      <c r="BL68" s="1" t="str">
        <v/>
      </c>
      <c r="BM68" s="1" t="str">
        <v/>
      </c>
      <c r="BN68" s="1" t="str">
        <v/>
      </c>
      <c r="BO68" s="1" t="str">
        <v/>
      </c>
      <c r="BP68" s="1" t="str">
        <v/>
      </c>
      <c r="BQ68" s="1" t="str">
        <v/>
      </c>
      <c r="BR68" s="1" t="str">
        <v/>
      </c>
      <c r="BS68" s="1" t="str">
        <v/>
      </c>
      <c r="BT68" s="1" t="str">
        <v/>
      </c>
      <c r="BU68" s="1" t="str">
        <v/>
      </c>
      <c r="BV68" s="1" t="str">
        <v/>
      </c>
      <c r="BZ68" s="104" t="str">
        <v/>
      </c>
      <c r="CA68" s="104" t="str">
        <v/>
      </c>
      <c r="CB68" s="104" t="str">
        <v/>
      </c>
      <c r="CC68" s="104" t="str">
        <v/>
      </c>
      <c r="CD68" s="104" t="str">
        <v/>
      </c>
      <c r="CE68" s="104" t="str">
        <v/>
      </c>
      <c r="CF68" s="104" t="str">
        <v/>
      </c>
      <c r="CG68" s="104" t="str">
        <v/>
      </c>
      <c r="CH68" s="104" t="str">
        <v/>
      </c>
      <c r="CI68" s="104" t="str">
        <v/>
      </c>
      <c r="CJ68" s="104" t="str">
        <v/>
      </c>
      <c r="CK68" s="104" t="str">
        <v/>
      </c>
      <c r="CL68" s="104" t="str">
        <v/>
      </c>
      <c r="CM68" s="104" t="str">
        <v/>
      </c>
      <c r="CN68" s="104" t="str">
        <v/>
      </c>
      <c r="CO68" s="104" t="str">
        <v/>
      </c>
      <c r="CP68" s="104" t="str">
        <v/>
      </c>
      <c r="CQ68" s="104" t="str">
        <v/>
      </c>
      <c r="CR68" s="104" t="str">
        <v/>
      </c>
      <c r="CS68" s="104" t="str">
        <v/>
      </c>
    </row>
    <row r="69" spans="5:97" x14ac:dyDescent="0.25">
      <c r="E69" s="1" t="str">
        <v/>
      </c>
      <c r="F69" s="1">
        <v>0</v>
      </c>
      <c r="G69" s="1" t="str">
        <v/>
      </c>
      <c r="H69" s="1" t="str">
        <v/>
      </c>
      <c r="J69" s="79"/>
      <c r="K69" s="48"/>
      <c r="L69" s="49"/>
      <c r="M69" s="49"/>
      <c r="N69" s="49"/>
      <c r="O69" s="80"/>
      <c r="P69" s="50"/>
      <c r="R69" s="77">
        <v>0</v>
      </c>
      <c r="S69" s="59">
        <v>0</v>
      </c>
      <c r="V69" s="1" t="str">
        <v>SH_01/01 to BR1</v>
      </c>
      <c r="W69" s="1" t="str">
        <v>SCM0899</v>
      </c>
      <c r="X69" s="3" t="str">
        <v>LIM</v>
      </c>
      <c r="Y69" s="3" t="str">
        <v>L9_26</v>
      </c>
      <c r="Z69" s="1">
        <v>1</v>
      </c>
      <c r="AA69" s="1">
        <v>85</v>
      </c>
      <c r="AB69" s="93">
        <v>0.5</v>
      </c>
      <c r="AD69" s="1" t="str">
        <f ca="1"/>
        <v>46211/D|BR1/02</v>
      </c>
      <c r="AE69" s="1" t="str">
        <f ca="1"/>
        <v>STM-A40_0069</v>
      </c>
      <c r="AF69" s="1" t="str">
        <f ca="1"/>
        <v>SAP</v>
      </c>
      <c r="AG69" s="1" t="str">
        <f ca="1"/>
        <v>LS_18</v>
      </c>
      <c r="AH69" s="1" t="str">
        <f ca="1"/>
        <v>L18_S09</v>
      </c>
      <c r="AI69" s="1" t="str">
        <f ca="1"/>
        <v>035 / 007</v>
      </c>
      <c r="AJ69" s="3" t="str">
        <f ca="1"/>
        <v>No</v>
      </c>
      <c r="AK69" s="1" t="str">
        <f ca="1"/>
        <v/>
      </c>
      <c r="AL69" s="105" t="str">
        <f ca="1"/>
        <v/>
      </c>
      <c r="BC69" s="1" t="str">
        <v/>
      </c>
      <c r="BD69" s="1" t="str">
        <v/>
      </c>
      <c r="BE69" s="1" t="str">
        <v/>
      </c>
      <c r="BF69" s="1" t="str">
        <v/>
      </c>
      <c r="BG69" s="1" t="str">
        <v/>
      </c>
      <c r="BH69" s="1" t="str">
        <v/>
      </c>
      <c r="BI69" s="1" t="str">
        <v/>
      </c>
      <c r="BJ69" s="1" t="str">
        <v/>
      </c>
      <c r="BK69" s="1" t="str">
        <v/>
      </c>
      <c r="BL69" s="1" t="str">
        <v/>
      </c>
      <c r="BM69" s="1" t="str">
        <v/>
      </c>
      <c r="BN69" s="1" t="str">
        <v/>
      </c>
      <c r="BO69" s="1" t="str">
        <v/>
      </c>
      <c r="BP69" s="1" t="str">
        <v/>
      </c>
      <c r="BQ69" s="1" t="str">
        <v/>
      </c>
      <c r="BR69" s="1" t="str">
        <v/>
      </c>
      <c r="BS69" s="1" t="str">
        <v/>
      </c>
      <c r="BT69" s="1" t="str">
        <v/>
      </c>
      <c r="BU69" s="1" t="str">
        <v/>
      </c>
      <c r="BV69" s="1" t="str">
        <v/>
      </c>
      <c r="BZ69" s="104" t="str">
        <v/>
      </c>
      <c r="CA69" s="104" t="str">
        <v/>
      </c>
      <c r="CB69" s="104" t="str">
        <v/>
      </c>
      <c r="CC69" s="104" t="str">
        <v/>
      </c>
      <c r="CD69" s="104" t="str">
        <v/>
      </c>
      <c r="CE69" s="104" t="str">
        <v/>
      </c>
      <c r="CF69" s="104" t="str">
        <v/>
      </c>
      <c r="CG69" s="104" t="str">
        <v/>
      </c>
      <c r="CH69" s="104" t="str">
        <v/>
      </c>
      <c r="CI69" s="104" t="str">
        <v/>
      </c>
      <c r="CJ69" s="104" t="str">
        <v/>
      </c>
      <c r="CK69" s="104" t="str">
        <v/>
      </c>
      <c r="CL69" s="104" t="str">
        <v/>
      </c>
      <c r="CM69" s="104" t="str">
        <v/>
      </c>
      <c r="CN69" s="104" t="str">
        <v/>
      </c>
      <c r="CO69" s="104" t="str">
        <v/>
      </c>
      <c r="CP69" s="104" t="str">
        <v/>
      </c>
      <c r="CQ69" s="104" t="str">
        <v/>
      </c>
      <c r="CR69" s="104" t="str">
        <v/>
      </c>
      <c r="CS69" s="104" t="str">
        <v/>
      </c>
    </row>
    <row r="70" spans="5:97" x14ac:dyDescent="0.25">
      <c r="E70" s="1" t="str">
        <v/>
      </c>
      <c r="F70" s="1">
        <v>0</v>
      </c>
      <c r="G70" s="1" t="str">
        <v/>
      </c>
      <c r="H70" s="1" t="str">
        <v/>
      </c>
      <c r="J70" s="79"/>
      <c r="K70" s="48"/>
      <c r="L70" s="49"/>
      <c r="M70" s="49"/>
      <c r="N70" s="49"/>
      <c r="O70" s="80"/>
      <c r="P70" s="50"/>
      <c r="R70" s="77">
        <v>0</v>
      </c>
      <c r="S70" s="59">
        <v>0</v>
      </c>
      <c r="V70" s="1" t="str">
        <v>SH_01/01 to BR1</v>
      </c>
      <c r="W70" s="1" t="str">
        <v>SCM0899</v>
      </c>
      <c r="X70" s="3" t="str">
        <v>LIM</v>
      </c>
      <c r="Y70" s="3" t="str">
        <v>L9_26</v>
      </c>
      <c r="Z70" s="1">
        <v>1</v>
      </c>
      <c r="AA70" s="1">
        <v>90</v>
      </c>
      <c r="AB70" s="93">
        <v>0.5</v>
      </c>
      <c r="AD70" s="1" t="str">
        <f ca="1"/>
        <v>46211/D|BR1/02</v>
      </c>
      <c r="AE70" s="1" t="str">
        <f ca="1"/>
        <v>STM-A40_0097</v>
      </c>
      <c r="AF70" s="1" t="str">
        <f ca="1"/>
        <v>SAP</v>
      </c>
      <c r="AG70" s="1" t="str">
        <f ca="1"/>
        <v>LS_18</v>
      </c>
      <c r="AH70" s="1" t="str">
        <f ca="1"/>
        <v>L18_S09</v>
      </c>
      <c r="AI70" s="1" t="str">
        <f ca="1"/>
        <v>035 / 008</v>
      </c>
      <c r="AJ70" s="3" t="str">
        <f ca="1"/>
        <v>Yes</v>
      </c>
      <c r="AK70" s="1" t="str">
        <f ca="1"/>
        <v/>
      </c>
      <c r="AL70" s="105" t="str">
        <f ca="1"/>
        <v/>
      </c>
      <c r="BC70" s="1" t="str">
        <v/>
      </c>
      <c r="BD70" s="1" t="str">
        <v/>
      </c>
      <c r="BE70" s="1" t="str">
        <v/>
      </c>
      <c r="BF70" s="1" t="str">
        <v/>
      </c>
      <c r="BG70" s="1" t="str">
        <v/>
      </c>
      <c r="BH70" s="1" t="str">
        <v/>
      </c>
      <c r="BI70" s="1" t="str">
        <v/>
      </c>
      <c r="BJ70" s="1" t="str">
        <v/>
      </c>
      <c r="BK70" s="1" t="str">
        <v/>
      </c>
      <c r="BL70" s="1" t="str">
        <v/>
      </c>
      <c r="BM70" s="1" t="str">
        <v/>
      </c>
      <c r="BN70" s="1" t="str">
        <v/>
      </c>
      <c r="BO70" s="1" t="str">
        <v/>
      </c>
      <c r="BP70" s="1" t="str">
        <v/>
      </c>
      <c r="BQ70" s="1" t="str">
        <v/>
      </c>
      <c r="BR70" s="1" t="str">
        <v/>
      </c>
      <c r="BS70" s="1" t="str">
        <v/>
      </c>
      <c r="BT70" s="1" t="str">
        <v/>
      </c>
      <c r="BU70" s="1" t="str">
        <v/>
      </c>
      <c r="BV70" s="1" t="str">
        <v/>
      </c>
      <c r="BZ70" s="104" t="str">
        <v/>
      </c>
      <c r="CA70" s="104" t="str">
        <v/>
      </c>
      <c r="CB70" s="104" t="str">
        <v/>
      </c>
      <c r="CC70" s="104" t="str">
        <v/>
      </c>
      <c r="CD70" s="104" t="str">
        <v/>
      </c>
      <c r="CE70" s="104" t="str">
        <v/>
      </c>
      <c r="CF70" s="104" t="str">
        <v/>
      </c>
      <c r="CG70" s="104" t="str">
        <v/>
      </c>
      <c r="CH70" s="104" t="str">
        <v/>
      </c>
      <c r="CI70" s="104" t="str">
        <v/>
      </c>
      <c r="CJ70" s="104" t="str">
        <v/>
      </c>
      <c r="CK70" s="104" t="str">
        <v/>
      </c>
      <c r="CL70" s="104" t="str">
        <v/>
      </c>
      <c r="CM70" s="104" t="str">
        <v/>
      </c>
      <c r="CN70" s="104" t="str">
        <v/>
      </c>
      <c r="CO70" s="104" t="str">
        <v/>
      </c>
      <c r="CP70" s="104" t="str">
        <v/>
      </c>
      <c r="CQ70" s="104" t="str">
        <v/>
      </c>
      <c r="CR70" s="104" t="str">
        <v/>
      </c>
      <c r="CS70" s="104" t="str">
        <v/>
      </c>
    </row>
    <row r="71" spans="5:97" x14ac:dyDescent="0.25">
      <c r="E71" s="1" t="str">
        <v/>
      </c>
      <c r="F71" s="1">
        <v>0</v>
      </c>
      <c r="G71" s="1" t="str">
        <v/>
      </c>
      <c r="H71" s="1" t="str">
        <v/>
      </c>
      <c r="J71" s="79"/>
      <c r="K71" s="48"/>
      <c r="L71" s="49"/>
      <c r="M71" s="49"/>
      <c r="N71" s="49"/>
      <c r="O71" s="80"/>
      <c r="P71" s="50"/>
      <c r="R71" s="77">
        <v>0</v>
      </c>
      <c r="S71" s="59">
        <v>0</v>
      </c>
      <c r="V71" s="1" t="str">
        <v>SH_01/01 to BR1</v>
      </c>
      <c r="W71" s="1" t="str">
        <v>SCM0899</v>
      </c>
      <c r="X71" s="3" t="str">
        <v>LIM</v>
      </c>
      <c r="Y71" s="3" t="str">
        <v>L9_26</v>
      </c>
      <c r="Z71" s="1">
        <v>1</v>
      </c>
      <c r="AA71" s="1">
        <v>95</v>
      </c>
      <c r="AB71" s="93">
        <v>0.5</v>
      </c>
      <c r="AD71" s="1" t="str">
        <f ca="1"/>
        <v>46211/D|BR1/02</v>
      </c>
      <c r="AE71" s="1" t="str">
        <f ca="1"/>
        <v>STM-A40_0132</v>
      </c>
      <c r="AF71" s="1" t="str">
        <f ca="1"/>
        <v>SAP</v>
      </c>
      <c r="AG71" s="1" t="str">
        <f ca="1"/>
        <v>LS_18</v>
      </c>
      <c r="AH71" s="1" t="str">
        <f ca="1"/>
        <v>L18_S09</v>
      </c>
      <c r="AI71" s="1" t="str">
        <f ca="1"/>
        <v>035 / 009</v>
      </c>
      <c r="AJ71" s="3" t="str">
        <f ca="1"/>
        <v>No</v>
      </c>
      <c r="AK71" s="1" t="str">
        <f ca="1"/>
        <v/>
      </c>
      <c r="AL71" s="105" t="str">
        <f ca="1"/>
        <v/>
      </c>
      <c r="BC71" s="1" t="str">
        <v/>
      </c>
      <c r="BD71" s="1" t="str">
        <v/>
      </c>
      <c r="BE71" s="1" t="str">
        <v/>
      </c>
      <c r="BF71" s="1" t="str">
        <v/>
      </c>
      <c r="BG71" s="1" t="str">
        <v/>
      </c>
      <c r="BH71" s="1" t="str">
        <v/>
      </c>
      <c r="BI71" s="1" t="str">
        <v/>
      </c>
      <c r="BJ71" s="1" t="str">
        <v/>
      </c>
      <c r="BK71" s="1" t="str">
        <v/>
      </c>
      <c r="BL71" s="1" t="str">
        <v/>
      </c>
      <c r="BM71" s="1" t="str">
        <v/>
      </c>
      <c r="BN71" s="1" t="str">
        <v/>
      </c>
      <c r="BO71" s="1" t="str">
        <v/>
      </c>
      <c r="BP71" s="1" t="str">
        <v/>
      </c>
      <c r="BQ71" s="1" t="str">
        <v/>
      </c>
      <c r="BR71" s="1" t="str">
        <v/>
      </c>
      <c r="BS71" s="1" t="str">
        <v/>
      </c>
      <c r="BT71" s="1" t="str">
        <v/>
      </c>
      <c r="BU71" s="1" t="str">
        <v/>
      </c>
      <c r="BV71" s="1" t="str">
        <v/>
      </c>
      <c r="BZ71" s="104" t="str">
        <v/>
      </c>
      <c r="CA71" s="104" t="str">
        <v/>
      </c>
      <c r="CB71" s="104" t="str">
        <v/>
      </c>
      <c r="CC71" s="104" t="str">
        <v/>
      </c>
      <c r="CD71" s="104" t="str">
        <v/>
      </c>
      <c r="CE71" s="104" t="str">
        <v/>
      </c>
      <c r="CF71" s="104" t="str">
        <v/>
      </c>
      <c r="CG71" s="104" t="str">
        <v/>
      </c>
      <c r="CH71" s="104" t="str">
        <v/>
      </c>
      <c r="CI71" s="104" t="str">
        <v/>
      </c>
      <c r="CJ71" s="104" t="str">
        <v/>
      </c>
      <c r="CK71" s="104" t="str">
        <v/>
      </c>
      <c r="CL71" s="104" t="str">
        <v/>
      </c>
      <c r="CM71" s="104" t="str">
        <v/>
      </c>
      <c r="CN71" s="104" t="str">
        <v/>
      </c>
      <c r="CO71" s="104" t="str">
        <v/>
      </c>
      <c r="CP71" s="104" t="str">
        <v/>
      </c>
      <c r="CQ71" s="104" t="str">
        <v/>
      </c>
      <c r="CR71" s="104" t="str">
        <v/>
      </c>
      <c r="CS71" s="104" t="str">
        <v/>
      </c>
    </row>
    <row r="72" spans="5:97" x14ac:dyDescent="0.25">
      <c r="E72" s="1" t="str">
        <v/>
      </c>
      <c r="F72" s="1">
        <v>0</v>
      </c>
      <c r="G72" s="1" t="str">
        <v/>
      </c>
      <c r="H72" s="1" t="str">
        <v/>
      </c>
      <c r="J72" s="79"/>
      <c r="K72" s="48"/>
      <c r="L72" s="49"/>
      <c r="M72" s="49"/>
      <c r="N72" s="49"/>
      <c r="O72" s="80"/>
      <c r="P72" s="50"/>
      <c r="R72" s="77">
        <v>0</v>
      </c>
      <c r="S72" s="59">
        <v>0</v>
      </c>
      <c r="V72" s="1" t="str">
        <v>SH_01/01 to BR1</v>
      </c>
      <c r="W72" s="1" t="str">
        <v>SCM0899</v>
      </c>
      <c r="X72" s="3" t="str">
        <v>LIM</v>
      </c>
      <c r="Y72" s="3" t="str">
        <v>L9_26</v>
      </c>
      <c r="Z72" s="1">
        <v>1</v>
      </c>
      <c r="AA72" s="1">
        <v>100</v>
      </c>
      <c r="AB72" s="93">
        <v>0.5</v>
      </c>
      <c r="AD72" s="1" t="str">
        <f ca="1"/>
        <v>46211/D|BR1/02</v>
      </c>
      <c r="AE72" s="1" t="str">
        <f ca="1"/>
        <v>STM-A40_0133</v>
      </c>
      <c r="AF72" s="1" t="str">
        <f ca="1"/>
        <v>SAP</v>
      </c>
      <c r="AG72" s="1" t="str">
        <f ca="1"/>
        <v>LS_18</v>
      </c>
      <c r="AH72" s="1" t="str">
        <f ca="1"/>
        <v>L18_S09</v>
      </c>
      <c r="AI72" s="1" t="str">
        <f ca="1"/>
        <v>035 / 010</v>
      </c>
      <c r="AJ72" s="3" t="str">
        <f ca="1"/>
        <v>Yes</v>
      </c>
      <c r="AK72" s="1" t="str">
        <f ca="1"/>
        <v/>
      </c>
      <c r="AL72" s="105" t="str">
        <f ca="1"/>
        <v/>
      </c>
      <c r="BC72" s="1" t="str">
        <v/>
      </c>
      <c r="BD72" s="1" t="str">
        <v/>
      </c>
      <c r="BE72" s="1" t="str">
        <v/>
      </c>
      <c r="BF72" s="1" t="str">
        <v/>
      </c>
      <c r="BG72" s="1" t="str">
        <v/>
      </c>
      <c r="BH72" s="1" t="str">
        <v/>
      </c>
      <c r="BI72" s="1" t="str">
        <v/>
      </c>
      <c r="BJ72" s="1" t="str">
        <v/>
      </c>
      <c r="BK72" s="1" t="str">
        <v/>
      </c>
      <c r="BL72" s="1" t="str">
        <v/>
      </c>
      <c r="BM72" s="1" t="str">
        <v/>
      </c>
      <c r="BN72" s="1" t="str">
        <v/>
      </c>
      <c r="BO72" s="1" t="str">
        <v/>
      </c>
      <c r="BP72" s="1" t="str">
        <v/>
      </c>
      <c r="BQ72" s="1" t="str">
        <v/>
      </c>
      <c r="BR72" s="1" t="str">
        <v/>
      </c>
      <c r="BS72" s="1" t="str">
        <v/>
      </c>
      <c r="BT72" s="1" t="str">
        <v/>
      </c>
      <c r="BU72" s="1" t="str">
        <v/>
      </c>
      <c r="BV72" s="1" t="str">
        <v/>
      </c>
      <c r="BZ72" s="104" t="str">
        <v/>
      </c>
      <c r="CA72" s="104" t="str">
        <v/>
      </c>
      <c r="CB72" s="104" t="str">
        <v/>
      </c>
      <c r="CC72" s="104" t="str">
        <v/>
      </c>
      <c r="CD72" s="104" t="str">
        <v/>
      </c>
      <c r="CE72" s="104" t="str">
        <v/>
      </c>
      <c r="CF72" s="104" t="str">
        <v/>
      </c>
      <c r="CG72" s="104" t="str">
        <v/>
      </c>
      <c r="CH72" s="104" t="str">
        <v/>
      </c>
      <c r="CI72" s="104" t="str">
        <v/>
      </c>
      <c r="CJ72" s="104" t="str">
        <v/>
      </c>
      <c r="CK72" s="104" t="str">
        <v/>
      </c>
      <c r="CL72" s="104" t="str">
        <v/>
      </c>
      <c r="CM72" s="104" t="str">
        <v/>
      </c>
      <c r="CN72" s="104" t="str">
        <v/>
      </c>
      <c r="CO72" s="104" t="str">
        <v/>
      </c>
      <c r="CP72" s="104" t="str">
        <v/>
      </c>
      <c r="CQ72" s="104" t="str">
        <v/>
      </c>
      <c r="CR72" s="104" t="str">
        <v/>
      </c>
      <c r="CS72" s="104" t="str">
        <v/>
      </c>
    </row>
    <row r="73" spans="5:97" x14ac:dyDescent="0.25">
      <c r="E73" s="1" t="str">
        <v/>
      </c>
      <c r="F73" s="1">
        <v>0</v>
      </c>
      <c r="G73" s="1" t="str">
        <v/>
      </c>
      <c r="H73" s="1" t="str">
        <v/>
      </c>
      <c r="J73" s="79"/>
      <c r="K73" s="48"/>
      <c r="L73" s="49"/>
      <c r="M73" s="49"/>
      <c r="N73" s="49"/>
      <c r="O73" s="80"/>
      <c r="P73" s="50"/>
      <c r="R73" s="77">
        <v>0</v>
      </c>
      <c r="S73" s="59">
        <v>0</v>
      </c>
      <c r="V73" s="1" t="str">
        <v>SH_01/01 to BR1</v>
      </c>
      <c r="W73" s="1" t="str">
        <v>SCM0899</v>
      </c>
      <c r="X73" s="3" t="str">
        <v>SAP</v>
      </c>
      <c r="Y73" s="3" t="str">
        <v>L18_S09</v>
      </c>
      <c r="Z73" s="1">
        <v>31</v>
      </c>
      <c r="AA73" s="1">
        <v>2</v>
      </c>
      <c r="AB73" s="93">
        <v>1</v>
      </c>
      <c r="AD73" s="1" t="str">
        <f ca="1"/>
        <v>46211/D|BR1/02</v>
      </c>
      <c r="AE73" s="1" t="str">
        <f ca="1"/>
        <v>STM-A40_0136</v>
      </c>
      <c r="AF73" s="1" t="str">
        <f ca="1"/>
        <v>SAP</v>
      </c>
      <c r="AG73" s="1" t="str">
        <f ca="1"/>
        <v>LS_18</v>
      </c>
      <c r="AH73" s="1" t="str">
        <f ca="1"/>
        <v>L18_S09</v>
      </c>
      <c r="AI73" s="1" t="str">
        <f ca="1"/>
        <v>035 / 011</v>
      </c>
      <c r="AJ73" s="3" t="str">
        <f ca="1"/>
        <v>No</v>
      </c>
      <c r="AK73" s="1" t="str">
        <f ca="1"/>
        <v/>
      </c>
      <c r="AL73" s="105" t="str">
        <f ca="1"/>
        <v/>
      </c>
      <c r="BC73" s="1" t="str">
        <v/>
      </c>
      <c r="BD73" s="1" t="str">
        <v/>
      </c>
      <c r="BE73" s="1" t="str">
        <v/>
      </c>
      <c r="BF73" s="1" t="str">
        <v/>
      </c>
      <c r="BG73" s="1" t="str">
        <v/>
      </c>
      <c r="BH73" s="1" t="str">
        <v/>
      </c>
      <c r="BI73" s="1" t="str">
        <v/>
      </c>
      <c r="BJ73" s="1" t="str">
        <v/>
      </c>
      <c r="BK73" s="1" t="str">
        <v/>
      </c>
      <c r="BL73" s="1" t="str">
        <v/>
      </c>
      <c r="BM73" s="1" t="str">
        <v/>
      </c>
      <c r="BN73" s="1" t="str">
        <v/>
      </c>
      <c r="BO73" s="1" t="str">
        <v/>
      </c>
      <c r="BP73" s="1" t="str">
        <v/>
      </c>
      <c r="BQ73" s="1" t="str">
        <v/>
      </c>
      <c r="BR73" s="1" t="str">
        <v/>
      </c>
      <c r="BS73" s="1" t="str">
        <v/>
      </c>
      <c r="BT73" s="1" t="str">
        <v/>
      </c>
      <c r="BU73" s="1" t="str">
        <v/>
      </c>
      <c r="BV73" s="1" t="str">
        <v/>
      </c>
      <c r="BZ73" s="104" t="str">
        <v/>
      </c>
      <c r="CA73" s="104" t="str">
        <v/>
      </c>
      <c r="CB73" s="104" t="str">
        <v/>
      </c>
      <c r="CC73" s="104" t="str">
        <v/>
      </c>
      <c r="CD73" s="104" t="str">
        <v/>
      </c>
      <c r="CE73" s="104" t="str">
        <v/>
      </c>
      <c r="CF73" s="104" t="str">
        <v/>
      </c>
      <c r="CG73" s="104" t="str">
        <v/>
      </c>
      <c r="CH73" s="104" t="str">
        <v/>
      </c>
      <c r="CI73" s="104" t="str">
        <v/>
      </c>
      <c r="CJ73" s="104" t="str">
        <v/>
      </c>
      <c r="CK73" s="104" t="str">
        <v/>
      </c>
      <c r="CL73" s="104" t="str">
        <v/>
      </c>
      <c r="CM73" s="104" t="str">
        <v/>
      </c>
      <c r="CN73" s="104" t="str">
        <v/>
      </c>
      <c r="CO73" s="104" t="str">
        <v/>
      </c>
      <c r="CP73" s="104" t="str">
        <v/>
      </c>
      <c r="CQ73" s="104" t="str">
        <v/>
      </c>
      <c r="CR73" s="104" t="str">
        <v/>
      </c>
      <c r="CS73" s="104" t="str">
        <v/>
      </c>
    </row>
    <row r="74" spans="5:97" x14ac:dyDescent="0.25">
      <c r="E74" s="1" t="str">
        <v/>
      </c>
      <c r="F74" s="1">
        <v>0</v>
      </c>
      <c r="G74" s="1" t="str">
        <v/>
      </c>
      <c r="H74" s="1" t="str">
        <v/>
      </c>
      <c r="J74" s="79"/>
      <c r="K74" s="48"/>
      <c r="L74" s="49"/>
      <c r="M74" s="49"/>
      <c r="N74" s="49"/>
      <c r="O74" s="80"/>
      <c r="P74" s="50"/>
      <c r="R74" s="77">
        <v>0</v>
      </c>
      <c r="S74" s="59">
        <v>0</v>
      </c>
      <c r="V74" s="1" t="str">
        <v>SH_01/01 to BR1</v>
      </c>
      <c r="W74" s="1" t="str">
        <v>SCM0899</v>
      </c>
      <c r="X74" s="3" t="str">
        <v>SAP</v>
      </c>
      <c r="Y74" s="3" t="str">
        <v>L18_S09</v>
      </c>
      <c r="Z74" s="1">
        <v>31</v>
      </c>
      <c r="AA74" s="1">
        <v>4</v>
      </c>
      <c r="AB74" s="93">
        <v>1</v>
      </c>
      <c r="AD74" s="1" t="str">
        <f ca="1"/>
        <v>46211/D|BR1/02</v>
      </c>
      <c r="AE74" s="1" t="str">
        <f ca="1"/>
        <v>STM-A40_0069</v>
      </c>
      <c r="AF74" s="1" t="str">
        <f ca="1"/>
        <v>SAP</v>
      </c>
      <c r="AG74" s="1" t="str">
        <f ca="1"/>
        <v>LS_18</v>
      </c>
      <c r="AH74" s="1" t="str">
        <f ca="1"/>
        <v>L18_S09</v>
      </c>
      <c r="AI74" s="1" t="str">
        <f ca="1"/>
        <v>035 / 012</v>
      </c>
      <c r="AJ74" s="3" t="str">
        <f ca="1"/>
        <v>Yes</v>
      </c>
      <c r="AK74" s="1" t="str">
        <f ca="1"/>
        <v/>
      </c>
      <c r="AL74" s="105" t="str">
        <f ca="1"/>
        <v/>
      </c>
      <c r="BC74" s="1" t="str">
        <v/>
      </c>
      <c r="BD74" s="1" t="str">
        <v/>
      </c>
      <c r="BE74" s="1" t="str">
        <v/>
      </c>
      <c r="BF74" s="1" t="str">
        <v/>
      </c>
      <c r="BG74" s="1" t="str">
        <v/>
      </c>
      <c r="BH74" s="1" t="str">
        <v/>
      </c>
      <c r="BI74" s="1" t="str">
        <v/>
      </c>
      <c r="BJ74" s="1" t="str">
        <v/>
      </c>
      <c r="BK74" s="1" t="str">
        <v/>
      </c>
      <c r="BL74" s="1" t="str">
        <v/>
      </c>
      <c r="BM74" s="1" t="str">
        <v/>
      </c>
      <c r="BN74" s="1" t="str">
        <v/>
      </c>
      <c r="BO74" s="1" t="str">
        <v/>
      </c>
      <c r="BP74" s="1" t="str">
        <v/>
      </c>
      <c r="BQ74" s="1" t="str">
        <v/>
      </c>
      <c r="BR74" s="1" t="str">
        <v/>
      </c>
      <c r="BS74" s="1" t="str">
        <v/>
      </c>
      <c r="BT74" s="1" t="str">
        <v/>
      </c>
      <c r="BU74" s="1" t="str">
        <v/>
      </c>
      <c r="BV74" s="1" t="str">
        <v/>
      </c>
      <c r="BZ74" s="104" t="str">
        <v/>
      </c>
      <c r="CA74" s="104" t="str">
        <v/>
      </c>
      <c r="CB74" s="104" t="str">
        <v/>
      </c>
      <c r="CC74" s="104" t="str">
        <v/>
      </c>
      <c r="CD74" s="104" t="str">
        <v/>
      </c>
      <c r="CE74" s="104" t="str">
        <v/>
      </c>
      <c r="CF74" s="104" t="str">
        <v/>
      </c>
      <c r="CG74" s="104" t="str">
        <v/>
      </c>
      <c r="CH74" s="104" t="str">
        <v/>
      </c>
      <c r="CI74" s="104" t="str">
        <v/>
      </c>
      <c r="CJ74" s="104" t="str">
        <v/>
      </c>
      <c r="CK74" s="104" t="str">
        <v/>
      </c>
      <c r="CL74" s="104" t="str">
        <v/>
      </c>
      <c r="CM74" s="104" t="str">
        <v/>
      </c>
      <c r="CN74" s="104" t="str">
        <v/>
      </c>
      <c r="CO74" s="104" t="str">
        <v/>
      </c>
      <c r="CP74" s="104" t="str">
        <v/>
      </c>
      <c r="CQ74" s="104" t="str">
        <v/>
      </c>
      <c r="CR74" s="104" t="str">
        <v/>
      </c>
      <c r="CS74" s="104" t="str">
        <v/>
      </c>
    </row>
    <row r="75" spans="5:97" x14ac:dyDescent="0.25">
      <c r="E75" s="1" t="str">
        <v/>
      </c>
      <c r="F75" s="1">
        <v>0</v>
      </c>
      <c r="G75" s="1" t="str">
        <v/>
      </c>
      <c r="H75" s="1" t="str">
        <v/>
      </c>
      <c r="J75" s="79"/>
      <c r="K75" s="48"/>
      <c r="L75" s="49"/>
      <c r="M75" s="49"/>
      <c r="N75" s="49"/>
      <c r="O75" s="80"/>
      <c r="P75" s="50"/>
      <c r="R75" s="77">
        <v>0</v>
      </c>
      <c r="S75" s="59">
        <v>0</v>
      </c>
      <c r="V75" s="1" t="str">
        <v>SH_01/01 to BR1</v>
      </c>
      <c r="W75" s="1" t="str">
        <v>SCM0899</v>
      </c>
      <c r="X75" s="3" t="str">
        <v>SAP</v>
      </c>
      <c r="Y75" s="3" t="str">
        <v>L18_S09</v>
      </c>
      <c r="Z75" s="1">
        <v>31</v>
      </c>
      <c r="AA75" s="1">
        <v>6</v>
      </c>
      <c r="AB75" s="93">
        <v>1</v>
      </c>
      <c r="AD75" s="1" t="str">
        <f ca="1"/>
        <v>46211/D|BR1/02</v>
      </c>
      <c r="AE75" s="1" t="str">
        <f ca="1"/>
        <v>STM-A40_0087</v>
      </c>
      <c r="AF75" s="1" t="str">
        <f ca="1"/>
        <v>SAP</v>
      </c>
      <c r="AG75" s="1" t="str">
        <f ca="1"/>
        <v>LS_18</v>
      </c>
      <c r="AH75" s="1" t="str">
        <f ca="1"/>
        <v>L18_S09</v>
      </c>
      <c r="AI75" s="1" t="str">
        <f ca="1"/>
        <v>035 / 013</v>
      </c>
      <c r="AJ75" s="3" t="str">
        <f ca="1"/>
        <v>No</v>
      </c>
      <c r="AK75" s="1" t="str">
        <f ca="1"/>
        <v/>
      </c>
      <c r="AL75" s="105" t="str">
        <f ca="1"/>
        <v/>
      </c>
      <c r="BC75" s="1" t="str">
        <v/>
      </c>
      <c r="BD75" s="1" t="str">
        <v/>
      </c>
      <c r="BE75" s="1" t="str">
        <v/>
      </c>
      <c r="BF75" s="1" t="str">
        <v/>
      </c>
      <c r="BG75" s="1" t="str">
        <v/>
      </c>
      <c r="BH75" s="1" t="str">
        <v/>
      </c>
      <c r="BI75" s="1" t="str">
        <v/>
      </c>
      <c r="BJ75" s="1" t="str">
        <v/>
      </c>
      <c r="BK75" s="1" t="str">
        <v/>
      </c>
      <c r="BL75" s="1" t="str">
        <v/>
      </c>
      <c r="BM75" s="1" t="str">
        <v/>
      </c>
      <c r="BN75" s="1" t="str">
        <v/>
      </c>
      <c r="BO75" s="1" t="str">
        <v/>
      </c>
      <c r="BP75" s="1" t="str">
        <v/>
      </c>
      <c r="BQ75" s="1" t="str">
        <v/>
      </c>
      <c r="BR75" s="1" t="str">
        <v/>
      </c>
      <c r="BS75" s="1" t="str">
        <v/>
      </c>
      <c r="BT75" s="1" t="str">
        <v/>
      </c>
      <c r="BU75" s="1" t="str">
        <v/>
      </c>
      <c r="BV75" s="1" t="str">
        <v/>
      </c>
      <c r="BZ75" s="104" t="str">
        <v/>
      </c>
      <c r="CA75" s="104" t="str">
        <v/>
      </c>
      <c r="CB75" s="104" t="str">
        <v/>
      </c>
      <c r="CC75" s="104" t="str">
        <v/>
      </c>
      <c r="CD75" s="104" t="str">
        <v/>
      </c>
      <c r="CE75" s="104" t="str">
        <v/>
      </c>
      <c r="CF75" s="104" t="str">
        <v/>
      </c>
      <c r="CG75" s="104" t="str">
        <v/>
      </c>
      <c r="CH75" s="104" t="str">
        <v/>
      </c>
      <c r="CI75" s="104" t="str">
        <v/>
      </c>
      <c r="CJ75" s="104" t="str">
        <v/>
      </c>
      <c r="CK75" s="104" t="str">
        <v/>
      </c>
      <c r="CL75" s="104" t="str">
        <v/>
      </c>
      <c r="CM75" s="104" t="str">
        <v/>
      </c>
      <c r="CN75" s="104" t="str">
        <v/>
      </c>
      <c r="CO75" s="104" t="str">
        <v/>
      </c>
      <c r="CP75" s="104" t="str">
        <v/>
      </c>
      <c r="CQ75" s="104" t="str">
        <v/>
      </c>
      <c r="CR75" s="104" t="str">
        <v/>
      </c>
      <c r="CS75" s="104" t="str">
        <v/>
      </c>
    </row>
    <row r="76" spans="5:97" x14ac:dyDescent="0.25">
      <c r="E76" s="1" t="str">
        <v/>
      </c>
      <c r="F76" s="1">
        <v>0</v>
      </c>
      <c r="G76" s="1" t="str">
        <v/>
      </c>
      <c r="H76" s="1" t="str">
        <v/>
      </c>
      <c r="J76" s="79"/>
      <c r="K76" s="48"/>
      <c r="L76" s="49"/>
      <c r="M76" s="49"/>
      <c r="N76" s="49"/>
      <c r="O76" s="80"/>
      <c r="P76" s="50"/>
      <c r="R76" s="77">
        <v>0</v>
      </c>
      <c r="S76" s="59">
        <v>0</v>
      </c>
      <c r="V76" s="1" t="str">
        <v>SH_01/01 to BR1</v>
      </c>
      <c r="W76" s="1" t="str">
        <v>SCM0899</v>
      </c>
      <c r="X76" s="3" t="str">
        <v>SAP</v>
      </c>
      <c r="Y76" s="3" t="str">
        <v>L18_S09</v>
      </c>
      <c r="Z76" s="1">
        <v>31</v>
      </c>
      <c r="AA76" s="1">
        <v>8</v>
      </c>
      <c r="AB76" s="93">
        <v>1</v>
      </c>
      <c r="AD76" s="1" t="str">
        <f ca="1"/>
        <v>46211/D|BR1/02</v>
      </c>
      <c r="AE76" s="1" t="str">
        <f ca="1"/>
        <v>STM-A40_0132</v>
      </c>
      <c r="AF76" s="1" t="str">
        <f ca="1"/>
        <v>SAP</v>
      </c>
      <c r="AG76" s="1" t="str">
        <f ca="1"/>
        <v>LS_18</v>
      </c>
      <c r="AH76" s="1" t="str">
        <f ca="1"/>
        <v>L18_S09</v>
      </c>
      <c r="AI76" s="1" t="str">
        <f ca="1"/>
        <v>035 / 014</v>
      </c>
      <c r="AJ76" s="3" t="str">
        <f ca="1"/>
        <v>Yes</v>
      </c>
      <c r="AK76" s="1" t="str">
        <f ca="1"/>
        <v/>
      </c>
      <c r="AL76" s="105" t="str">
        <f ca="1"/>
        <v/>
      </c>
      <c r="BC76" s="1" t="str">
        <v/>
      </c>
      <c r="BD76" s="1" t="str">
        <v/>
      </c>
      <c r="BE76" s="1" t="str">
        <v/>
      </c>
      <c r="BF76" s="1" t="str">
        <v/>
      </c>
      <c r="BG76" s="1" t="str">
        <v/>
      </c>
      <c r="BH76" s="1" t="str">
        <v/>
      </c>
      <c r="BI76" s="1" t="str">
        <v/>
      </c>
      <c r="BJ76" s="1" t="str">
        <v/>
      </c>
      <c r="BK76" s="1" t="str">
        <v/>
      </c>
      <c r="BL76" s="1" t="str">
        <v/>
      </c>
      <c r="BM76" s="1" t="str">
        <v/>
      </c>
      <c r="BN76" s="1" t="str">
        <v/>
      </c>
      <c r="BO76" s="1" t="str">
        <v/>
      </c>
      <c r="BP76" s="1" t="str">
        <v/>
      </c>
      <c r="BQ76" s="1" t="str">
        <v/>
      </c>
      <c r="BR76" s="1" t="str">
        <v/>
      </c>
      <c r="BS76" s="1" t="str">
        <v/>
      </c>
      <c r="BT76" s="1" t="str">
        <v/>
      </c>
      <c r="BU76" s="1" t="str">
        <v/>
      </c>
      <c r="BV76" s="1" t="str">
        <v/>
      </c>
      <c r="BZ76" s="104" t="str">
        <v/>
      </c>
      <c r="CA76" s="104" t="str">
        <v/>
      </c>
      <c r="CB76" s="104" t="str">
        <v/>
      </c>
      <c r="CC76" s="104" t="str">
        <v/>
      </c>
      <c r="CD76" s="104" t="str">
        <v/>
      </c>
      <c r="CE76" s="104" t="str">
        <v/>
      </c>
      <c r="CF76" s="104" t="str">
        <v/>
      </c>
      <c r="CG76" s="104" t="str">
        <v/>
      </c>
      <c r="CH76" s="104" t="str">
        <v/>
      </c>
      <c r="CI76" s="104" t="str">
        <v/>
      </c>
      <c r="CJ76" s="104" t="str">
        <v/>
      </c>
      <c r="CK76" s="104" t="str">
        <v/>
      </c>
      <c r="CL76" s="104" t="str">
        <v/>
      </c>
      <c r="CM76" s="104" t="str">
        <v/>
      </c>
      <c r="CN76" s="104" t="str">
        <v/>
      </c>
      <c r="CO76" s="104" t="str">
        <v/>
      </c>
      <c r="CP76" s="104" t="str">
        <v/>
      </c>
      <c r="CQ76" s="104" t="str">
        <v/>
      </c>
      <c r="CR76" s="104" t="str">
        <v/>
      </c>
      <c r="CS76" s="104" t="str">
        <v/>
      </c>
    </row>
    <row r="77" spans="5:97" x14ac:dyDescent="0.25">
      <c r="E77" s="1" t="str">
        <v/>
      </c>
      <c r="F77" s="1">
        <v>0</v>
      </c>
      <c r="G77" s="1" t="str">
        <v/>
      </c>
      <c r="H77" s="1" t="str">
        <v/>
      </c>
      <c r="J77" s="79"/>
      <c r="K77" s="48"/>
      <c r="L77" s="49"/>
      <c r="M77" s="49"/>
      <c r="N77" s="49"/>
      <c r="O77" s="80"/>
      <c r="P77" s="50"/>
      <c r="R77" s="77">
        <v>0</v>
      </c>
      <c r="S77" s="59">
        <v>0</v>
      </c>
      <c r="V77" s="1" t="str">
        <v>SH_01/01 to BR1</v>
      </c>
      <c r="W77" s="1" t="str">
        <v>SCM0899</v>
      </c>
      <c r="X77" s="3" t="str">
        <v>SAP</v>
      </c>
      <c r="Y77" s="3" t="str">
        <v>L18_S09</v>
      </c>
      <c r="Z77" s="1">
        <v>31</v>
      </c>
      <c r="AA77" s="1">
        <v>10</v>
      </c>
      <c r="AB77" s="93">
        <v>1</v>
      </c>
      <c r="AD77" s="1" t="str">
        <f ca="1"/>
        <v>46211/D|BR1/02</v>
      </c>
      <c r="AE77" s="1" t="str">
        <f ca="1"/>
        <v>STM-A40_0097</v>
      </c>
      <c r="AF77" s="1" t="str">
        <f ca="1"/>
        <v>SAP</v>
      </c>
      <c r="AG77" s="1" t="str">
        <f ca="1"/>
        <v>LS_18</v>
      </c>
      <c r="AH77" s="1" t="str">
        <f ca="1"/>
        <v>L18_S09</v>
      </c>
      <c r="AI77" s="1" t="str">
        <f ca="1"/>
        <v>035 / 015</v>
      </c>
      <c r="AJ77" s="3" t="str">
        <f ca="1"/>
        <v>No</v>
      </c>
      <c r="AK77" s="1" t="str">
        <f ca="1"/>
        <v/>
      </c>
      <c r="AL77" s="105" t="str">
        <f ca="1"/>
        <v/>
      </c>
      <c r="BC77" s="1" t="str">
        <v/>
      </c>
      <c r="BD77" s="1" t="str">
        <v/>
      </c>
      <c r="BE77" s="1" t="str">
        <v/>
      </c>
      <c r="BF77" s="1" t="str">
        <v/>
      </c>
      <c r="BG77" s="1" t="str">
        <v/>
      </c>
      <c r="BH77" s="1" t="str">
        <v/>
      </c>
      <c r="BI77" s="1" t="str">
        <v/>
      </c>
      <c r="BJ77" s="1" t="str">
        <v/>
      </c>
      <c r="BK77" s="1" t="str">
        <v/>
      </c>
      <c r="BL77" s="1" t="str">
        <v/>
      </c>
      <c r="BM77" s="1" t="str">
        <v/>
      </c>
      <c r="BN77" s="1" t="str">
        <v/>
      </c>
      <c r="BO77" s="1" t="str">
        <v/>
      </c>
      <c r="BP77" s="1" t="str">
        <v/>
      </c>
      <c r="BQ77" s="1" t="str">
        <v/>
      </c>
      <c r="BR77" s="1" t="str">
        <v/>
      </c>
      <c r="BS77" s="1" t="str">
        <v/>
      </c>
      <c r="BT77" s="1" t="str">
        <v/>
      </c>
      <c r="BU77" s="1" t="str">
        <v/>
      </c>
      <c r="BV77" s="1" t="str">
        <v/>
      </c>
      <c r="BZ77" s="104" t="str">
        <v/>
      </c>
      <c r="CA77" s="104" t="str">
        <v/>
      </c>
      <c r="CB77" s="104" t="str">
        <v/>
      </c>
      <c r="CC77" s="104" t="str">
        <v/>
      </c>
      <c r="CD77" s="104" t="str">
        <v/>
      </c>
      <c r="CE77" s="104" t="str">
        <v/>
      </c>
      <c r="CF77" s="104" t="str">
        <v/>
      </c>
      <c r="CG77" s="104" t="str">
        <v/>
      </c>
      <c r="CH77" s="104" t="str">
        <v/>
      </c>
      <c r="CI77" s="104" t="str">
        <v/>
      </c>
      <c r="CJ77" s="104" t="str">
        <v/>
      </c>
      <c r="CK77" s="104" t="str">
        <v/>
      </c>
      <c r="CL77" s="104" t="str">
        <v/>
      </c>
      <c r="CM77" s="104" t="str">
        <v/>
      </c>
      <c r="CN77" s="104" t="str">
        <v/>
      </c>
      <c r="CO77" s="104" t="str">
        <v/>
      </c>
      <c r="CP77" s="104" t="str">
        <v/>
      </c>
      <c r="CQ77" s="104" t="str">
        <v/>
      </c>
      <c r="CR77" s="104" t="str">
        <v/>
      </c>
      <c r="CS77" s="104" t="str">
        <v/>
      </c>
    </row>
    <row r="78" spans="5:97" x14ac:dyDescent="0.25">
      <c r="E78" s="1" t="str">
        <v/>
      </c>
      <c r="F78" s="1">
        <v>0</v>
      </c>
      <c r="G78" s="1" t="str">
        <v/>
      </c>
      <c r="H78" s="1" t="str">
        <v/>
      </c>
      <c r="J78" s="79"/>
      <c r="K78" s="48"/>
      <c r="L78" s="49"/>
      <c r="M78" s="49"/>
      <c r="N78" s="49"/>
      <c r="O78" s="80"/>
      <c r="P78" s="50"/>
      <c r="R78" s="77">
        <v>0</v>
      </c>
      <c r="S78" s="59">
        <v>0</v>
      </c>
      <c r="V78" s="1" t="str">
        <v>SH_01/01 to BR1</v>
      </c>
      <c r="W78" s="1" t="str">
        <v>SCM0899</v>
      </c>
      <c r="X78" s="3" t="str">
        <v>SAP</v>
      </c>
      <c r="Y78" s="3" t="str">
        <v>L18_S09</v>
      </c>
      <c r="Z78" s="1">
        <v>31</v>
      </c>
      <c r="AA78" s="1">
        <v>12</v>
      </c>
      <c r="AB78" s="93">
        <v>1</v>
      </c>
      <c r="AD78" s="1" t="str">
        <f ca="1"/>
        <v>46211/D|BR1/02</v>
      </c>
      <c r="AE78" s="1" t="str">
        <f ca="1"/>
        <v>STM-A40_0133</v>
      </c>
      <c r="AF78" s="1" t="str">
        <f ca="1"/>
        <v>SAP</v>
      </c>
      <c r="AG78" s="1" t="str">
        <f ca="1"/>
        <v>LS_18</v>
      </c>
      <c r="AH78" s="1" t="str">
        <f ca="1"/>
        <v>L18_S09</v>
      </c>
      <c r="AI78" s="1" t="str">
        <f ca="1"/>
        <v>035 / 016</v>
      </c>
      <c r="AJ78" s="3" t="str">
        <f ca="1"/>
        <v>Yes</v>
      </c>
      <c r="AK78" s="1" t="str">
        <f ca="1"/>
        <v/>
      </c>
      <c r="AL78" s="105" t="str">
        <f ca="1"/>
        <v/>
      </c>
      <c r="BC78" s="1" t="str">
        <v/>
      </c>
      <c r="BD78" s="1" t="str">
        <v/>
      </c>
      <c r="BE78" s="1" t="str">
        <v/>
      </c>
      <c r="BF78" s="1" t="str">
        <v/>
      </c>
      <c r="BG78" s="1" t="str">
        <v/>
      </c>
      <c r="BH78" s="1" t="str">
        <v/>
      </c>
      <c r="BI78" s="1" t="str">
        <v/>
      </c>
      <c r="BJ78" s="1" t="str">
        <v/>
      </c>
      <c r="BK78" s="1" t="str">
        <v/>
      </c>
      <c r="BL78" s="1" t="str">
        <v/>
      </c>
      <c r="BM78" s="1" t="str">
        <v/>
      </c>
      <c r="BN78" s="1" t="str">
        <v/>
      </c>
      <c r="BO78" s="1" t="str">
        <v/>
      </c>
      <c r="BP78" s="1" t="str">
        <v/>
      </c>
      <c r="BQ78" s="1" t="str">
        <v/>
      </c>
      <c r="BR78" s="1" t="str">
        <v/>
      </c>
      <c r="BS78" s="1" t="str">
        <v/>
      </c>
      <c r="BT78" s="1" t="str">
        <v/>
      </c>
      <c r="BU78" s="1" t="str">
        <v/>
      </c>
      <c r="BV78" s="1" t="str">
        <v/>
      </c>
      <c r="BZ78" s="104" t="str">
        <v/>
      </c>
      <c r="CA78" s="104" t="str">
        <v/>
      </c>
      <c r="CB78" s="104" t="str">
        <v/>
      </c>
      <c r="CC78" s="104" t="str">
        <v/>
      </c>
      <c r="CD78" s="104" t="str">
        <v/>
      </c>
      <c r="CE78" s="104" t="str">
        <v/>
      </c>
      <c r="CF78" s="104" t="str">
        <v/>
      </c>
      <c r="CG78" s="104" t="str">
        <v/>
      </c>
      <c r="CH78" s="104" t="str">
        <v/>
      </c>
      <c r="CI78" s="104" t="str">
        <v/>
      </c>
      <c r="CJ78" s="104" t="str">
        <v/>
      </c>
      <c r="CK78" s="104" t="str">
        <v/>
      </c>
      <c r="CL78" s="104" t="str">
        <v/>
      </c>
      <c r="CM78" s="104" t="str">
        <v/>
      </c>
      <c r="CN78" s="104" t="str">
        <v/>
      </c>
      <c r="CO78" s="104" t="str">
        <v/>
      </c>
      <c r="CP78" s="104" t="str">
        <v/>
      </c>
      <c r="CQ78" s="104" t="str">
        <v/>
      </c>
      <c r="CR78" s="104" t="str">
        <v/>
      </c>
      <c r="CS78" s="104" t="str">
        <v/>
      </c>
    </row>
    <row r="79" spans="5:97" x14ac:dyDescent="0.25">
      <c r="E79" s="1" t="str">
        <v/>
      </c>
      <c r="F79" s="1">
        <v>0</v>
      </c>
      <c r="G79" s="1" t="str">
        <v/>
      </c>
      <c r="H79" s="1" t="str">
        <v/>
      </c>
      <c r="J79" s="79"/>
      <c r="K79" s="48"/>
      <c r="L79" s="49"/>
      <c r="M79" s="49"/>
      <c r="N79" s="49"/>
      <c r="O79" s="80"/>
      <c r="P79" s="50"/>
      <c r="R79" s="77">
        <v>0</v>
      </c>
      <c r="S79" s="59">
        <v>0</v>
      </c>
      <c r="V79" s="1" t="str">
        <v>SH_01/01 to BR1</v>
      </c>
      <c r="W79" s="1" t="str">
        <v>SCM0899</v>
      </c>
      <c r="X79" s="3" t="str">
        <v>SAP</v>
      </c>
      <c r="Y79" s="3" t="str">
        <v>L18_S09</v>
      </c>
      <c r="Z79" s="1">
        <v>31</v>
      </c>
      <c r="AA79" s="1">
        <v>14</v>
      </c>
      <c r="AB79" s="93">
        <v>1</v>
      </c>
      <c r="AD79" s="1" t="str">
        <f ca="1"/>
        <v>46211/D|BR1/02</v>
      </c>
      <c r="AE79" s="1" t="str">
        <f ca="1"/>
        <v>STM-A40_0136</v>
      </c>
      <c r="AF79" s="1" t="str">
        <f ca="1"/>
        <v>SAP</v>
      </c>
      <c r="AG79" s="1" t="str">
        <f ca="1"/>
        <v>LS_18</v>
      </c>
      <c r="AH79" s="1" t="str">
        <f ca="1"/>
        <v>L18_S09</v>
      </c>
      <c r="AI79" s="1" t="str">
        <f ca="1"/>
        <v>035 / 017</v>
      </c>
      <c r="AJ79" s="3" t="str">
        <f ca="1"/>
        <v>No</v>
      </c>
      <c r="AK79" s="1" t="str">
        <f ca="1"/>
        <v/>
      </c>
      <c r="AL79" s="105" t="str">
        <f ca="1"/>
        <v/>
      </c>
      <c r="BC79" s="1" t="str">
        <v/>
      </c>
      <c r="BD79" s="1" t="str">
        <v/>
      </c>
      <c r="BE79" s="1" t="str">
        <v/>
      </c>
      <c r="BF79" s="1" t="str">
        <v/>
      </c>
      <c r="BG79" s="1" t="str">
        <v/>
      </c>
      <c r="BH79" s="1" t="str">
        <v/>
      </c>
      <c r="BI79" s="1" t="str">
        <v/>
      </c>
      <c r="BJ79" s="1" t="str">
        <v/>
      </c>
      <c r="BK79" s="1" t="str">
        <v/>
      </c>
      <c r="BL79" s="1" t="str">
        <v/>
      </c>
      <c r="BM79" s="1" t="str">
        <v/>
      </c>
      <c r="BN79" s="1" t="str">
        <v/>
      </c>
      <c r="BO79" s="1" t="str">
        <v/>
      </c>
      <c r="BP79" s="1" t="str">
        <v/>
      </c>
      <c r="BQ79" s="1" t="str">
        <v/>
      </c>
      <c r="BR79" s="1" t="str">
        <v/>
      </c>
      <c r="BS79" s="1" t="str">
        <v/>
      </c>
      <c r="BT79" s="1" t="str">
        <v/>
      </c>
      <c r="BU79" s="1" t="str">
        <v/>
      </c>
      <c r="BV79" s="1" t="str">
        <v/>
      </c>
      <c r="BZ79" s="104" t="str">
        <v/>
      </c>
      <c r="CA79" s="104" t="str">
        <v/>
      </c>
      <c r="CB79" s="104" t="str">
        <v/>
      </c>
      <c r="CC79" s="104" t="str">
        <v/>
      </c>
      <c r="CD79" s="104" t="str">
        <v/>
      </c>
      <c r="CE79" s="104" t="str">
        <v/>
      </c>
      <c r="CF79" s="104" t="str">
        <v/>
      </c>
      <c r="CG79" s="104" t="str">
        <v/>
      </c>
      <c r="CH79" s="104" t="str">
        <v/>
      </c>
      <c r="CI79" s="104" t="str">
        <v/>
      </c>
      <c r="CJ79" s="104" t="str">
        <v/>
      </c>
      <c r="CK79" s="104" t="str">
        <v/>
      </c>
      <c r="CL79" s="104" t="str">
        <v/>
      </c>
      <c r="CM79" s="104" t="str">
        <v/>
      </c>
      <c r="CN79" s="104" t="str">
        <v/>
      </c>
      <c r="CO79" s="104" t="str">
        <v/>
      </c>
      <c r="CP79" s="104" t="str">
        <v/>
      </c>
      <c r="CQ79" s="104" t="str">
        <v/>
      </c>
      <c r="CR79" s="104" t="str">
        <v/>
      </c>
      <c r="CS79" s="104" t="str">
        <v/>
      </c>
    </row>
    <row r="80" spans="5:97" x14ac:dyDescent="0.25">
      <c r="E80" s="1" t="str">
        <v/>
      </c>
      <c r="F80" s="1">
        <v>0</v>
      </c>
      <c r="G80" s="1" t="str">
        <v/>
      </c>
      <c r="H80" s="1" t="str">
        <v/>
      </c>
      <c r="J80" s="79"/>
      <c r="K80" s="48"/>
      <c r="L80" s="49"/>
      <c r="M80" s="49"/>
      <c r="N80" s="49"/>
      <c r="O80" s="80"/>
      <c r="P80" s="50"/>
      <c r="R80" s="77">
        <v>0</v>
      </c>
      <c r="S80" s="59">
        <v>0</v>
      </c>
      <c r="V80" s="1" t="str">
        <v>SH_01/01 to BR1</v>
      </c>
      <c r="W80" s="1" t="str">
        <v>SCM0899</v>
      </c>
      <c r="X80" s="3" t="str">
        <v>SAP</v>
      </c>
      <c r="Y80" s="3" t="str">
        <v>L18_S09</v>
      </c>
      <c r="Z80" s="1">
        <v>31</v>
      </c>
      <c r="AA80" s="1">
        <v>16</v>
      </c>
      <c r="AB80" s="93">
        <v>1</v>
      </c>
      <c r="AD80" s="1" t="str">
        <f ca="1"/>
        <v>46211/D|BR1/02</v>
      </c>
      <c r="AE80" s="1" t="str">
        <f ca="1"/>
        <v>STM-A40_0087</v>
      </c>
      <c r="AF80" s="1" t="str">
        <f ca="1"/>
        <v>SAP</v>
      </c>
      <c r="AG80" s="1" t="str">
        <f ca="1"/>
        <v>LS_18</v>
      </c>
      <c r="AH80" s="1" t="str">
        <f ca="1"/>
        <v>L18_S09</v>
      </c>
      <c r="AI80" s="1" t="str">
        <f ca="1"/>
        <v>035 / 018</v>
      </c>
      <c r="AJ80" s="3" t="str">
        <f ca="1"/>
        <v>Yes</v>
      </c>
      <c r="AK80" s="1" t="str">
        <f ca="1"/>
        <v/>
      </c>
      <c r="AL80" s="105" t="str">
        <f ca="1"/>
        <v/>
      </c>
      <c r="BC80" s="1" t="str">
        <v/>
      </c>
      <c r="BD80" s="1" t="str">
        <v/>
      </c>
      <c r="BE80" s="1" t="str">
        <v/>
      </c>
      <c r="BF80" s="1" t="str">
        <v/>
      </c>
      <c r="BG80" s="1" t="str">
        <v/>
      </c>
      <c r="BH80" s="1" t="str">
        <v/>
      </c>
      <c r="BI80" s="1" t="str">
        <v/>
      </c>
      <c r="BJ80" s="1" t="str">
        <v/>
      </c>
      <c r="BK80" s="1" t="str">
        <v/>
      </c>
      <c r="BL80" s="1" t="str">
        <v/>
      </c>
      <c r="BM80" s="1" t="str">
        <v/>
      </c>
      <c r="BN80" s="1" t="str">
        <v/>
      </c>
      <c r="BO80" s="1" t="str">
        <v/>
      </c>
      <c r="BP80" s="1" t="str">
        <v/>
      </c>
      <c r="BQ80" s="1" t="str">
        <v/>
      </c>
      <c r="BR80" s="1" t="str">
        <v/>
      </c>
      <c r="BS80" s="1" t="str">
        <v/>
      </c>
      <c r="BT80" s="1" t="str">
        <v/>
      </c>
      <c r="BU80" s="1" t="str">
        <v/>
      </c>
      <c r="BV80" s="1" t="str">
        <v/>
      </c>
      <c r="BZ80" s="104" t="str">
        <v/>
      </c>
      <c r="CA80" s="104" t="str">
        <v/>
      </c>
      <c r="CB80" s="104" t="str">
        <v/>
      </c>
      <c r="CC80" s="104" t="str">
        <v/>
      </c>
      <c r="CD80" s="104" t="str">
        <v/>
      </c>
      <c r="CE80" s="104" t="str">
        <v/>
      </c>
      <c r="CF80" s="104" t="str">
        <v/>
      </c>
      <c r="CG80" s="104" t="str">
        <v/>
      </c>
      <c r="CH80" s="104" t="str">
        <v/>
      </c>
      <c r="CI80" s="104" t="str">
        <v/>
      </c>
      <c r="CJ80" s="104" t="str">
        <v/>
      </c>
      <c r="CK80" s="104" t="str">
        <v/>
      </c>
      <c r="CL80" s="104" t="str">
        <v/>
      </c>
      <c r="CM80" s="104" t="str">
        <v/>
      </c>
      <c r="CN80" s="104" t="str">
        <v/>
      </c>
      <c r="CO80" s="104" t="str">
        <v/>
      </c>
      <c r="CP80" s="104" t="str">
        <v/>
      </c>
      <c r="CQ80" s="104" t="str">
        <v/>
      </c>
      <c r="CR80" s="104" t="str">
        <v/>
      </c>
      <c r="CS80" s="104" t="str">
        <v/>
      </c>
    </row>
    <row r="81" spans="5:97" x14ac:dyDescent="0.25">
      <c r="E81" s="1" t="str">
        <v/>
      </c>
      <c r="F81" s="1">
        <v>0</v>
      </c>
      <c r="G81" s="1" t="str">
        <v/>
      </c>
      <c r="H81" s="1" t="str">
        <v/>
      </c>
      <c r="J81" s="79"/>
      <c r="K81" s="48"/>
      <c r="L81" s="49"/>
      <c r="M81" s="49"/>
      <c r="N81" s="49"/>
      <c r="O81" s="80"/>
      <c r="P81" s="50"/>
      <c r="R81" s="77">
        <v>0</v>
      </c>
      <c r="S81" s="59">
        <v>0</v>
      </c>
      <c r="V81" s="1" t="str">
        <v>SH_01/01 to BR1</v>
      </c>
      <c r="W81" s="1" t="str">
        <v>SCM0899</v>
      </c>
      <c r="X81" s="3" t="str">
        <v>SAP</v>
      </c>
      <c r="Y81" s="3" t="str">
        <v>L18_S09</v>
      </c>
      <c r="Z81" s="1">
        <v>31</v>
      </c>
      <c r="AA81" s="1">
        <v>18</v>
      </c>
      <c r="AB81" s="93">
        <v>1</v>
      </c>
      <c r="AD81" s="1" t="str">
        <f ca="1"/>
        <v>46211/D|BR1/02</v>
      </c>
      <c r="AE81" s="1" t="str">
        <f ca="1"/>
        <v>STM-A40_0069</v>
      </c>
      <c r="AF81" s="1" t="str">
        <f ca="1"/>
        <v>SAP</v>
      </c>
      <c r="AG81" s="1" t="str">
        <f ca="1"/>
        <v>LS_18</v>
      </c>
      <c r="AH81" s="1" t="str">
        <f ca="1"/>
        <v>L18_S09</v>
      </c>
      <c r="AI81" s="1" t="str">
        <f ca="1"/>
        <v>035 / 019</v>
      </c>
      <c r="AJ81" s="3" t="str">
        <f ca="1"/>
        <v>No</v>
      </c>
      <c r="AK81" s="1" t="str">
        <f ca="1"/>
        <v/>
      </c>
      <c r="AL81" s="105" t="str">
        <f ca="1"/>
        <v/>
      </c>
      <c r="BC81" s="1" t="str">
        <v/>
      </c>
      <c r="BD81" s="1" t="str">
        <v/>
      </c>
      <c r="BE81" s="1" t="str">
        <v/>
      </c>
      <c r="BF81" s="1" t="str">
        <v/>
      </c>
      <c r="BG81" s="1" t="str">
        <v/>
      </c>
      <c r="BH81" s="1" t="str">
        <v/>
      </c>
      <c r="BI81" s="1" t="str">
        <v/>
      </c>
      <c r="BJ81" s="1" t="str">
        <v/>
      </c>
      <c r="BK81" s="1" t="str">
        <v/>
      </c>
      <c r="BL81" s="1" t="str">
        <v/>
      </c>
      <c r="BM81" s="1" t="str">
        <v/>
      </c>
      <c r="BN81" s="1" t="str">
        <v/>
      </c>
      <c r="BO81" s="1" t="str">
        <v/>
      </c>
      <c r="BP81" s="1" t="str">
        <v/>
      </c>
      <c r="BQ81" s="1" t="str">
        <v/>
      </c>
      <c r="BR81" s="1" t="str">
        <v/>
      </c>
      <c r="BS81" s="1" t="str">
        <v/>
      </c>
      <c r="BT81" s="1" t="str">
        <v/>
      </c>
      <c r="BU81" s="1" t="str">
        <v/>
      </c>
      <c r="BV81" s="1" t="str">
        <v/>
      </c>
      <c r="BZ81" s="104" t="str">
        <v/>
      </c>
      <c r="CA81" s="104" t="str">
        <v/>
      </c>
      <c r="CB81" s="104" t="str">
        <v/>
      </c>
      <c r="CC81" s="104" t="str">
        <v/>
      </c>
      <c r="CD81" s="104" t="str">
        <v/>
      </c>
      <c r="CE81" s="104" t="str">
        <v/>
      </c>
      <c r="CF81" s="104" t="str">
        <v/>
      </c>
      <c r="CG81" s="104" t="str">
        <v/>
      </c>
      <c r="CH81" s="104" t="str">
        <v/>
      </c>
      <c r="CI81" s="104" t="str">
        <v/>
      </c>
      <c r="CJ81" s="104" t="str">
        <v/>
      </c>
      <c r="CK81" s="104" t="str">
        <v/>
      </c>
      <c r="CL81" s="104" t="str">
        <v/>
      </c>
      <c r="CM81" s="104" t="str">
        <v/>
      </c>
      <c r="CN81" s="104" t="str">
        <v/>
      </c>
      <c r="CO81" s="104" t="str">
        <v/>
      </c>
      <c r="CP81" s="104" t="str">
        <v/>
      </c>
      <c r="CQ81" s="104" t="str">
        <v/>
      </c>
      <c r="CR81" s="104" t="str">
        <v/>
      </c>
      <c r="CS81" s="104" t="str">
        <v/>
      </c>
    </row>
    <row r="82" spans="5:97" x14ac:dyDescent="0.25">
      <c r="E82" s="1" t="str">
        <v/>
      </c>
      <c r="F82" s="1">
        <v>0</v>
      </c>
      <c r="G82" s="1" t="str">
        <v/>
      </c>
      <c r="H82" s="1" t="str">
        <v/>
      </c>
      <c r="J82" s="79"/>
      <c r="K82" s="48"/>
      <c r="L82" s="49"/>
      <c r="M82" s="49"/>
      <c r="N82" s="49"/>
      <c r="O82" s="80"/>
      <c r="P82" s="50"/>
      <c r="R82" s="77">
        <v>0</v>
      </c>
      <c r="S82" s="59">
        <v>0</v>
      </c>
      <c r="V82" s="1" t="str">
        <v>SH_01/01 to BR1</v>
      </c>
      <c r="W82" s="1" t="str">
        <v>SCM0899</v>
      </c>
      <c r="X82" s="3" t="str">
        <v>SAP</v>
      </c>
      <c r="Y82" s="3" t="str">
        <v>L18_S09</v>
      </c>
      <c r="Z82" s="1">
        <v>31</v>
      </c>
      <c r="AA82" s="1">
        <v>20</v>
      </c>
      <c r="AB82" s="93">
        <v>1</v>
      </c>
      <c r="AD82" s="1" t="str">
        <f ca="1"/>
        <v>46211/D|BR1/02</v>
      </c>
      <c r="AE82" s="1" t="str">
        <f ca="1"/>
        <v>STM-A40_0132</v>
      </c>
      <c r="AF82" s="1" t="str">
        <f ca="1"/>
        <v>SAP</v>
      </c>
      <c r="AG82" s="1" t="str">
        <f ca="1"/>
        <v>LS_18</v>
      </c>
      <c r="AH82" s="1" t="str">
        <f ca="1"/>
        <v>L18_S09</v>
      </c>
      <c r="AI82" s="1" t="str">
        <f ca="1"/>
        <v>035 / 020</v>
      </c>
      <c r="AJ82" s="3" t="str">
        <f ca="1"/>
        <v>Yes</v>
      </c>
      <c r="AK82" s="1" t="str">
        <f ca="1"/>
        <v/>
      </c>
      <c r="AL82" s="105" t="str">
        <f ca="1"/>
        <v/>
      </c>
      <c r="BC82" s="1" t="str">
        <v/>
      </c>
      <c r="BD82" s="1" t="str">
        <v/>
      </c>
      <c r="BE82" s="1" t="str">
        <v/>
      </c>
      <c r="BF82" s="1" t="str">
        <v/>
      </c>
      <c r="BG82" s="1" t="str">
        <v/>
      </c>
      <c r="BH82" s="1" t="str">
        <v/>
      </c>
      <c r="BI82" s="1" t="str">
        <v/>
      </c>
      <c r="BJ82" s="1" t="str">
        <v/>
      </c>
      <c r="BK82" s="1" t="str">
        <v/>
      </c>
      <c r="BL82" s="1" t="str">
        <v/>
      </c>
      <c r="BM82" s="1" t="str">
        <v/>
      </c>
      <c r="BN82" s="1" t="str">
        <v/>
      </c>
      <c r="BO82" s="1" t="str">
        <v/>
      </c>
      <c r="BP82" s="1" t="str">
        <v/>
      </c>
      <c r="BQ82" s="1" t="str">
        <v/>
      </c>
      <c r="BR82" s="1" t="str">
        <v/>
      </c>
      <c r="BS82" s="1" t="str">
        <v/>
      </c>
      <c r="BT82" s="1" t="str">
        <v/>
      </c>
      <c r="BU82" s="1" t="str">
        <v/>
      </c>
      <c r="BV82" s="1" t="str">
        <v/>
      </c>
      <c r="BZ82" s="104" t="str">
        <v/>
      </c>
      <c r="CA82" s="104" t="str">
        <v/>
      </c>
      <c r="CB82" s="104" t="str">
        <v/>
      </c>
      <c r="CC82" s="104" t="str">
        <v/>
      </c>
      <c r="CD82" s="104" t="str">
        <v/>
      </c>
      <c r="CE82" s="104" t="str">
        <v/>
      </c>
      <c r="CF82" s="104" t="str">
        <v/>
      </c>
      <c r="CG82" s="104" t="str">
        <v/>
      </c>
      <c r="CH82" s="104" t="str">
        <v/>
      </c>
      <c r="CI82" s="104" t="str">
        <v/>
      </c>
      <c r="CJ82" s="104" t="str">
        <v/>
      </c>
      <c r="CK82" s="104" t="str">
        <v/>
      </c>
      <c r="CL82" s="104" t="str">
        <v/>
      </c>
      <c r="CM82" s="104" t="str">
        <v/>
      </c>
      <c r="CN82" s="104" t="str">
        <v/>
      </c>
      <c r="CO82" s="104" t="str">
        <v/>
      </c>
      <c r="CP82" s="104" t="str">
        <v/>
      </c>
      <c r="CQ82" s="104" t="str">
        <v/>
      </c>
      <c r="CR82" s="104" t="str">
        <v/>
      </c>
      <c r="CS82" s="104" t="str">
        <v/>
      </c>
    </row>
    <row r="83" spans="5:97" x14ac:dyDescent="0.25">
      <c r="E83" s="1" t="str">
        <v/>
      </c>
      <c r="F83" s="1">
        <v>0</v>
      </c>
      <c r="G83" s="1" t="str">
        <v/>
      </c>
      <c r="H83" s="1" t="str">
        <v/>
      </c>
      <c r="J83" s="79"/>
      <c r="K83" s="48"/>
      <c r="L83" s="49"/>
      <c r="M83" s="49"/>
      <c r="N83" s="49"/>
      <c r="O83" s="80"/>
      <c r="P83" s="50"/>
      <c r="R83" s="77">
        <v>0</v>
      </c>
      <c r="S83" s="59">
        <v>0</v>
      </c>
      <c r="V83" s="1" t="str">
        <v>SH_01/01 to BR1</v>
      </c>
      <c r="W83" s="1" t="str">
        <v>SCM0899</v>
      </c>
      <c r="X83" s="3" t="str">
        <v>SAP</v>
      </c>
      <c r="Y83" s="3" t="str">
        <v>L18_S09</v>
      </c>
      <c r="Z83" s="1">
        <v>24</v>
      </c>
      <c r="AA83" s="1">
        <v>2</v>
      </c>
      <c r="AB83" s="93">
        <v>1</v>
      </c>
      <c r="AD83" s="1" t="str">
        <f ca="1"/>
        <v>46211/D|BR1/01</v>
      </c>
      <c r="AE83" s="1" t="str">
        <f ca="1"/>
        <v>STM-A40_0119</v>
      </c>
      <c r="AF83" s="1" t="str">
        <f ca="1"/>
        <v>SAP</v>
      </c>
      <c r="AG83" s="1" t="str">
        <f ca="1"/>
        <v>LS_18</v>
      </c>
      <c r="AH83" s="1" t="str">
        <f ca="1"/>
        <v>L18_S09</v>
      </c>
      <c r="AI83" s="1" t="str">
        <f ca="1"/>
        <v>036 / 001</v>
      </c>
      <c r="AJ83" s="3" t="str">
        <f ca="1"/>
        <v>No</v>
      </c>
      <c r="AK83" s="1" t="str">
        <f ca="1"/>
        <v/>
      </c>
      <c r="AL83" s="105" t="str">
        <f ca="1"/>
        <v/>
      </c>
      <c r="BC83" s="1" t="str">
        <v/>
      </c>
      <c r="BD83" s="1" t="str">
        <v/>
      </c>
      <c r="BE83" s="1" t="str">
        <v/>
      </c>
      <c r="BF83" s="1" t="str">
        <v/>
      </c>
      <c r="BG83" s="1" t="str">
        <v/>
      </c>
      <c r="BH83" s="1" t="str">
        <v/>
      </c>
      <c r="BI83" s="1" t="str">
        <v/>
      </c>
      <c r="BJ83" s="1" t="str">
        <v/>
      </c>
      <c r="BK83" s="1" t="str">
        <v/>
      </c>
      <c r="BL83" s="1" t="str">
        <v/>
      </c>
      <c r="BM83" s="1" t="str">
        <v/>
      </c>
      <c r="BN83" s="1" t="str">
        <v/>
      </c>
      <c r="BO83" s="1" t="str">
        <v/>
      </c>
      <c r="BP83" s="1" t="str">
        <v/>
      </c>
      <c r="BQ83" s="1" t="str">
        <v/>
      </c>
      <c r="BR83" s="1" t="str">
        <v/>
      </c>
      <c r="BS83" s="1" t="str">
        <v/>
      </c>
      <c r="BT83" s="1" t="str">
        <v/>
      </c>
      <c r="BU83" s="1" t="str">
        <v/>
      </c>
      <c r="BV83" s="1" t="str">
        <v/>
      </c>
      <c r="BZ83" s="104" t="str">
        <v/>
      </c>
      <c r="CA83" s="104" t="str">
        <v/>
      </c>
      <c r="CB83" s="104" t="str">
        <v/>
      </c>
      <c r="CC83" s="104" t="str">
        <v/>
      </c>
      <c r="CD83" s="104" t="str">
        <v/>
      </c>
      <c r="CE83" s="104" t="str">
        <v/>
      </c>
      <c r="CF83" s="104" t="str">
        <v/>
      </c>
      <c r="CG83" s="104" t="str">
        <v/>
      </c>
      <c r="CH83" s="104" t="str">
        <v/>
      </c>
      <c r="CI83" s="104" t="str">
        <v/>
      </c>
      <c r="CJ83" s="104" t="str">
        <v/>
      </c>
      <c r="CK83" s="104" t="str">
        <v/>
      </c>
      <c r="CL83" s="104" t="str">
        <v/>
      </c>
      <c r="CM83" s="104" t="str">
        <v/>
      </c>
      <c r="CN83" s="104" t="str">
        <v/>
      </c>
      <c r="CO83" s="104" t="str">
        <v/>
      </c>
      <c r="CP83" s="104" t="str">
        <v/>
      </c>
      <c r="CQ83" s="104" t="str">
        <v/>
      </c>
      <c r="CR83" s="104" t="str">
        <v/>
      </c>
      <c r="CS83" s="104" t="str">
        <v/>
      </c>
    </row>
    <row r="84" spans="5:97" x14ac:dyDescent="0.25">
      <c r="E84" s="1" t="str">
        <v/>
      </c>
      <c r="F84" s="1">
        <v>0</v>
      </c>
      <c r="G84" s="1" t="str">
        <v/>
      </c>
      <c r="H84" s="1" t="str">
        <v/>
      </c>
      <c r="J84" s="79"/>
      <c r="K84" s="48"/>
      <c r="L84" s="49"/>
      <c r="M84" s="49"/>
      <c r="N84" s="49"/>
      <c r="O84" s="80"/>
      <c r="P84" s="50"/>
      <c r="R84" s="77">
        <v>0</v>
      </c>
      <c r="S84" s="59">
        <v>0</v>
      </c>
      <c r="V84" s="1" t="str">
        <v>SH_01/01 to BR1</v>
      </c>
      <c r="W84" s="1" t="str">
        <v>SCM0899</v>
      </c>
      <c r="X84" s="3" t="str">
        <v>SAP</v>
      </c>
      <c r="Y84" s="3" t="str">
        <v>L18_S09</v>
      </c>
      <c r="Z84" s="1">
        <v>24</v>
      </c>
      <c r="AA84" s="1">
        <v>4</v>
      </c>
      <c r="AB84" s="93">
        <v>1</v>
      </c>
      <c r="AD84" s="1" t="str">
        <f ca="1"/>
        <v>46211/D|BR1/04</v>
      </c>
      <c r="AE84" s="1" t="str">
        <f ca="1"/>
        <v>STM-A40_0121</v>
      </c>
      <c r="AF84" s="1" t="str">
        <f ca="1"/>
        <v>SAP</v>
      </c>
      <c r="AG84" s="1" t="str">
        <f ca="1"/>
        <v>LS_18</v>
      </c>
      <c r="AH84" s="1" t="str">
        <f ca="1"/>
        <v>L18_S09</v>
      </c>
      <c r="AI84" s="1" t="str">
        <f ca="1"/>
        <v>036 / 002</v>
      </c>
      <c r="AJ84" s="3" t="str">
        <f ca="1"/>
        <v>Yes</v>
      </c>
      <c r="AK84" s="1" t="str">
        <f ca="1"/>
        <v/>
      </c>
      <c r="AL84" s="105" t="str">
        <f ca="1"/>
        <v>TRUCK SALAH</v>
      </c>
      <c r="BC84" s="1" t="str">
        <v/>
      </c>
      <c r="BD84" s="1" t="str">
        <v/>
      </c>
      <c r="BE84" s="1" t="str">
        <v/>
      </c>
      <c r="BF84" s="1" t="str">
        <v/>
      </c>
      <c r="BG84" s="1" t="str">
        <v/>
      </c>
      <c r="BH84" s="1" t="str">
        <v/>
      </c>
      <c r="BI84" s="1" t="str">
        <v/>
      </c>
      <c r="BJ84" s="1" t="str">
        <v/>
      </c>
      <c r="BK84" s="1" t="str">
        <v/>
      </c>
      <c r="BL84" s="1" t="str">
        <v/>
      </c>
      <c r="BM84" s="1" t="str">
        <v/>
      </c>
      <c r="BN84" s="1" t="str">
        <v/>
      </c>
      <c r="BO84" s="1" t="str">
        <v/>
      </c>
      <c r="BP84" s="1" t="str">
        <v/>
      </c>
      <c r="BQ84" s="1" t="str">
        <v/>
      </c>
      <c r="BR84" s="1" t="str">
        <v/>
      </c>
      <c r="BS84" s="1" t="str">
        <v/>
      </c>
      <c r="BT84" s="1" t="str">
        <v/>
      </c>
      <c r="BU84" s="1" t="str">
        <v/>
      </c>
      <c r="BV84" s="1" t="str">
        <v/>
      </c>
      <c r="BZ84" s="104" t="str">
        <v/>
      </c>
      <c r="CA84" s="104" t="str">
        <v/>
      </c>
      <c r="CB84" s="104" t="str">
        <v/>
      </c>
      <c r="CC84" s="104" t="str">
        <v/>
      </c>
      <c r="CD84" s="104" t="str">
        <v/>
      </c>
      <c r="CE84" s="104" t="str">
        <v/>
      </c>
      <c r="CF84" s="104" t="str">
        <v/>
      </c>
      <c r="CG84" s="104" t="str">
        <v/>
      </c>
      <c r="CH84" s="104" t="str">
        <v/>
      </c>
      <c r="CI84" s="104" t="str">
        <v/>
      </c>
      <c r="CJ84" s="104" t="str">
        <v/>
      </c>
      <c r="CK84" s="104" t="str">
        <v/>
      </c>
      <c r="CL84" s="104" t="str">
        <v/>
      </c>
      <c r="CM84" s="104" t="str">
        <v/>
      </c>
      <c r="CN84" s="104" t="str">
        <v/>
      </c>
      <c r="CO84" s="104" t="str">
        <v/>
      </c>
      <c r="CP84" s="104" t="str">
        <v/>
      </c>
      <c r="CQ84" s="104" t="str">
        <v/>
      </c>
      <c r="CR84" s="104" t="str">
        <v/>
      </c>
      <c r="CS84" s="104" t="str">
        <v/>
      </c>
    </row>
    <row r="85" spans="5:97" x14ac:dyDescent="0.25">
      <c r="E85" s="1" t="str">
        <v/>
      </c>
      <c r="F85" s="1">
        <v>0</v>
      </c>
      <c r="G85" s="1" t="str">
        <v/>
      </c>
      <c r="H85" s="1" t="str">
        <v/>
      </c>
      <c r="J85" s="79"/>
      <c r="K85" s="48"/>
      <c r="L85" s="49"/>
      <c r="M85" s="49"/>
      <c r="N85" s="49"/>
      <c r="O85" s="80"/>
      <c r="P85" s="50"/>
      <c r="R85" s="77">
        <v>0</v>
      </c>
      <c r="S85" s="59">
        <v>0</v>
      </c>
      <c r="V85" s="1" t="str">
        <v>SH_01/01 to BR1</v>
      </c>
      <c r="W85" s="1" t="str">
        <v>SCM0899</v>
      </c>
      <c r="X85" s="3" t="str">
        <v>SAP</v>
      </c>
      <c r="Y85" s="3" t="str">
        <v>L18_S09</v>
      </c>
      <c r="Z85" s="1">
        <v>24</v>
      </c>
      <c r="AA85" s="1">
        <v>6</v>
      </c>
      <c r="AB85" s="93">
        <v>1</v>
      </c>
      <c r="AD85" s="1" t="str">
        <f ca="1"/>
        <v>46211/D|BR1/04</v>
      </c>
      <c r="AE85" s="1" t="str">
        <f ca="1"/>
        <v>STM-A40_0105</v>
      </c>
      <c r="AF85" s="1" t="str">
        <f ca="1"/>
        <v>SAP</v>
      </c>
      <c r="AG85" s="1" t="str">
        <f ca="1"/>
        <v>LS_18</v>
      </c>
      <c r="AH85" s="1" t="str">
        <f ca="1"/>
        <v>L18_S09</v>
      </c>
      <c r="AI85" s="1" t="str">
        <f ca="1"/>
        <v>036 / 003</v>
      </c>
      <c r="AJ85" s="3" t="str">
        <f ca="1"/>
        <v>No</v>
      </c>
      <c r="AK85" s="1" t="str">
        <f ca="1"/>
        <v/>
      </c>
      <c r="AL85" s="105" t="str">
        <f ca="1"/>
        <v/>
      </c>
      <c r="BC85" s="1" t="str">
        <v/>
      </c>
      <c r="BD85" s="1" t="str">
        <v/>
      </c>
      <c r="BE85" s="1" t="str">
        <v/>
      </c>
      <c r="BF85" s="1" t="str">
        <v/>
      </c>
      <c r="BG85" s="1" t="str">
        <v/>
      </c>
      <c r="BH85" s="1" t="str">
        <v/>
      </c>
      <c r="BI85" s="1" t="str">
        <v/>
      </c>
      <c r="BJ85" s="1" t="str">
        <v/>
      </c>
      <c r="BK85" s="1" t="str">
        <v/>
      </c>
      <c r="BL85" s="1" t="str">
        <v/>
      </c>
      <c r="BM85" s="1" t="str">
        <v/>
      </c>
      <c r="BN85" s="1" t="str">
        <v/>
      </c>
      <c r="BO85" s="1" t="str">
        <v/>
      </c>
      <c r="BP85" s="1" t="str">
        <v/>
      </c>
      <c r="BQ85" s="1" t="str">
        <v/>
      </c>
      <c r="BR85" s="1" t="str">
        <v/>
      </c>
      <c r="BS85" s="1" t="str">
        <v/>
      </c>
      <c r="BT85" s="1" t="str">
        <v/>
      </c>
      <c r="BU85" s="1" t="str">
        <v/>
      </c>
      <c r="BV85" s="1" t="str">
        <v/>
      </c>
      <c r="BZ85" s="104" t="str">
        <v/>
      </c>
      <c r="CA85" s="104" t="str">
        <v/>
      </c>
      <c r="CB85" s="104" t="str">
        <v/>
      </c>
      <c r="CC85" s="104" t="str">
        <v/>
      </c>
      <c r="CD85" s="104" t="str">
        <v/>
      </c>
      <c r="CE85" s="104" t="str">
        <v/>
      </c>
      <c r="CF85" s="104" t="str">
        <v/>
      </c>
      <c r="CG85" s="104" t="str">
        <v/>
      </c>
      <c r="CH85" s="104" t="str">
        <v/>
      </c>
      <c r="CI85" s="104" t="str">
        <v/>
      </c>
      <c r="CJ85" s="104" t="str">
        <v/>
      </c>
      <c r="CK85" s="104" t="str">
        <v/>
      </c>
      <c r="CL85" s="104" t="str">
        <v/>
      </c>
      <c r="CM85" s="104" t="str">
        <v/>
      </c>
      <c r="CN85" s="104" t="str">
        <v/>
      </c>
      <c r="CO85" s="104" t="str">
        <v/>
      </c>
      <c r="CP85" s="104" t="str">
        <v/>
      </c>
      <c r="CQ85" s="104" t="str">
        <v/>
      </c>
      <c r="CR85" s="104" t="str">
        <v/>
      </c>
      <c r="CS85" s="104" t="str">
        <v/>
      </c>
    </row>
    <row r="86" spans="5:97" x14ac:dyDescent="0.25">
      <c r="E86" s="1" t="str">
        <v/>
      </c>
      <c r="F86" s="1">
        <v>0</v>
      </c>
      <c r="G86" s="1" t="str">
        <v/>
      </c>
      <c r="H86" s="1" t="str">
        <v/>
      </c>
      <c r="J86" s="79"/>
      <c r="K86" s="48"/>
      <c r="L86" s="49"/>
      <c r="M86" s="49"/>
      <c r="N86" s="49"/>
      <c r="O86" s="80"/>
      <c r="P86" s="50"/>
      <c r="R86" s="77">
        <v>0</v>
      </c>
      <c r="S86" s="59">
        <v>0</v>
      </c>
      <c r="V86" s="1" t="str">
        <v>SH_01/01 to BR1</v>
      </c>
      <c r="W86" s="1" t="str">
        <v>SCM0899</v>
      </c>
      <c r="X86" s="3" t="str">
        <v>SAP</v>
      </c>
      <c r="Y86" s="3" t="str">
        <v>L18_S09</v>
      </c>
      <c r="Z86" s="1">
        <v>24</v>
      </c>
      <c r="AA86" s="1">
        <v>8</v>
      </c>
      <c r="AB86" s="93">
        <v>1</v>
      </c>
      <c r="AD86" s="1" t="str">
        <f ca="1"/>
        <v>46211/D|BR1/04</v>
      </c>
      <c r="AE86" s="1" t="str">
        <f ca="1"/>
        <v>STM-A40_0106</v>
      </c>
      <c r="AF86" s="1" t="str">
        <f ca="1"/>
        <v>SAP</v>
      </c>
      <c r="AG86" s="1" t="str">
        <f ca="1"/>
        <v>LS_18</v>
      </c>
      <c r="AH86" s="1" t="str">
        <f ca="1"/>
        <v>L18_S09</v>
      </c>
      <c r="AI86" s="1" t="str">
        <f ca="1"/>
        <v>036 / 004</v>
      </c>
      <c r="AJ86" s="3" t="str">
        <f ca="1"/>
        <v>Yes</v>
      </c>
      <c r="AK86" s="1" t="str">
        <f ca="1"/>
        <v/>
      </c>
      <c r="AL86" s="105" t="str">
        <f ca="1"/>
        <v/>
      </c>
      <c r="BC86" s="1" t="str">
        <v/>
      </c>
      <c r="BD86" s="1" t="str">
        <v/>
      </c>
      <c r="BE86" s="1" t="str">
        <v/>
      </c>
      <c r="BF86" s="1" t="str">
        <v/>
      </c>
      <c r="BG86" s="1" t="str">
        <v/>
      </c>
      <c r="BH86" s="1" t="str">
        <v/>
      </c>
      <c r="BI86" s="1" t="str">
        <v/>
      </c>
      <c r="BJ86" s="1" t="str">
        <v/>
      </c>
      <c r="BK86" s="1" t="str">
        <v/>
      </c>
      <c r="BL86" s="1" t="str">
        <v/>
      </c>
      <c r="BM86" s="1" t="str">
        <v/>
      </c>
      <c r="BN86" s="1" t="str">
        <v/>
      </c>
      <c r="BO86" s="1" t="str">
        <v/>
      </c>
      <c r="BP86" s="1" t="str">
        <v/>
      </c>
      <c r="BQ86" s="1" t="str">
        <v/>
      </c>
      <c r="BR86" s="1" t="str">
        <v/>
      </c>
      <c r="BS86" s="1" t="str">
        <v/>
      </c>
      <c r="BT86" s="1" t="str">
        <v/>
      </c>
      <c r="BU86" s="1" t="str">
        <v/>
      </c>
      <c r="BV86" s="1" t="str">
        <v/>
      </c>
      <c r="BZ86" s="104" t="str">
        <v/>
      </c>
      <c r="CA86" s="104" t="str">
        <v/>
      </c>
      <c r="CB86" s="104" t="str">
        <v/>
      </c>
      <c r="CC86" s="104" t="str">
        <v/>
      </c>
      <c r="CD86" s="104" t="str">
        <v/>
      </c>
      <c r="CE86" s="104" t="str">
        <v/>
      </c>
      <c r="CF86" s="104" t="str">
        <v/>
      </c>
      <c r="CG86" s="104" t="str">
        <v/>
      </c>
      <c r="CH86" s="104" t="str">
        <v/>
      </c>
      <c r="CI86" s="104" t="str">
        <v/>
      </c>
      <c r="CJ86" s="104" t="str">
        <v/>
      </c>
      <c r="CK86" s="104" t="str">
        <v/>
      </c>
      <c r="CL86" s="104" t="str">
        <v/>
      </c>
      <c r="CM86" s="104" t="str">
        <v/>
      </c>
      <c r="CN86" s="104" t="str">
        <v/>
      </c>
      <c r="CO86" s="104" t="str">
        <v/>
      </c>
      <c r="CP86" s="104" t="str">
        <v/>
      </c>
      <c r="CQ86" s="104" t="str">
        <v/>
      </c>
      <c r="CR86" s="104" t="str">
        <v/>
      </c>
      <c r="CS86" s="104" t="str">
        <v/>
      </c>
    </row>
    <row r="87" spans="5:97" x14ac:dyDescent="0.25">
      <c r="E87" s="1" t="str">
        <v/>
      </c>
      <c r="F87" s="1">
        <v>0</v>
      </c>
      <c r="G87" s="1" t="str">
        <v/>
      </c>
      <c r="H87" s="1" t="str">
        <v/>
      </c>
      <c r="J87" s="79"/>
      <c r="K87" s="48"/>
      <c r="L87" s="49"/>
      <c r="M87" s="49"/>
      <c r="N87" s="49"/>
      <c r="O87" s="80"/>
      <c r="P87" s="50"/>
      <c r="R87" s="77">
        <v>0</v>
      </c>
      <c r="S87" s="59">
        <v>0</v>
      </c>
      <c r="V87" s="1" t="str">
        <v>SH_01/01 to BR1</v>
      </c>
      <c r="W87" s="1" t="str">
        <v>SCM0899</v>
      </c>
      <c r="X87" s="3" t="str">
        <v>SAP</v>
      </c>
      <c r="Y87" s="3" t="str">
        <v>L18_S09</v>
      </c>
      <c r="Z87" s="1">
        <v>24</v>
      </c>
      <c r="AA87" s="1">
        <v>10</v>
      </c>
      <c r="AB87" s="93">
        <v>1</v>
      </c>
      <c r="AD87" s="1" t="str">
        <f ca="1"/>
        <v>46211/D|BR1/04</v>
      </c>
      <c r="AE87" s="1" t="str">
        <f ca="1"/>
        <v>STM-A40_0098</v>
      </c>
      <c r="AF87" s="1" t="str">
        <f ca="1"/>
        <v>SAP</v>
      </c>
      <c r="AG87" s="1" t="str">
        <f ca="1"/>
        <v>LS_18</v>
      </c>
      <c r="AH87" s="1" t="str">
        <f ca="1"/>
        <v>L18_S09</v>
      </c>
      <c r="AI87" s="1" t="str">
        <f ca="1"/>
        <v>036 / 005</v>
      </c>
      <c r="AJ87" s="3" t="str">
        <f ca="1"/>
        <v>No</v>
      </c>
      <c r="AK87" s="1" t="str">
        <f ca="1"/>
        <v/>
      </c>
      <c r="AL87" s="105" t="str">
        <f ca="1"/>
        <v/>
      </c>
      <c r="BC87" s="1" t="str">
        <v/>
      </c>
      <c r="BD87" s="1" t="str">
        <v/>
      </c>
      <c r="BE87" s="1" t="str">
        <v/>
      </c>
      <c r="BF87" s="1" t="str">
        <v/>
      </c>
      <c r="BG87" s="1" t="str">
        <v/>
      </c>
      <c r="BH87" s="1" t="str">
        <v/>
      </c>
      <c r="BI87" s="1" t="str">
        <v/>
      </c>
      <c r="BJ87" s="1" t="str">
        <v/>
      </c>
      <c r="BK87" s="1" t="str">
        <v/>
      </c>
      <c r="BL87" s="1" t="str">
        <v/>
      </c>
      <c r="BM87" s="1" t="str">
        <v/>
      </c>
      <c r="BN87" s="1" t="str">
        <v/>
      </c>
      <c r="BO87" s="1" t="str">
        <v/>
      </c>
      <c r="BP87" s="1" t="str">
        <v/>
      </c>
      <c r="BQ87" s="1" t="str">
        <v/>
      </c>
      <c r="BR87" s="1" t="str">
        <v/>
      </c>
      <c r="BS87" s="1" t="str">
        <v/>
      </c>
      <c r="BT87" s="1" t="str">
        <v/>
      </c>
      <c r="BU87" s="1" t="str">
        <v/>
      </c>
      <c r="BV87" s="1" t="str">
        <v/>
      </c>
      <c r="BZ87" s="104" t="str">
        <v/>
      </c>
      <c r="CA87" s="104" t="str">
        <v/>
      </c>
      <c r="CB87" s="104" t="str">
        <v/>
      </c>
      <c r="CC87" s="104" t="str">
        <v/>
      </c>
      <c r="CD87" s="104" t="str">
        <v/>
      </c>
      <c r="CE87" s="104" t="str">
        <v/>
      </c>
      <c r="CF87" s="104" t="str">
        <v/>
      </c>
      <c r="CG87" s="104" t="str">
        <v/>
      </c>
      <c r="CH87" s="104" t="str">
        <v/>
      </c>
      <c r="CI87" s="104" t="str">
        <v/>
      </c>
      <c r="CJ87" s="104" t="str">
        <v/>
      </c>
      <c r="CK87" s="104" t="str">
        <v/>
      </c>
      <c r="CL87" s="104" t="str">
        <v/>
      </c>
      <c r="CM87" s="104" t="str">
        <v/>
      </c>
      <c r="CN87" s="104" t="str">
        <v/>
      </c>
      <c r="CO87" s="104" t="str">
        <v/>
      </c>
      <c r="CP87" s="104" t="str">
        <v/>
      </c>
      <c r="CQ87" s="104" t="str">
        <v/>
      </c>
      <c r="CR87" s="104" t="str">
        <v/>
      </c>
      <c r="CS87" s="104" t="str">
        <v/>
      </c>
    </row>
    <row r="88" spans="5:97" x14ac:dyDescent="0.25">
      <c r="E88" s="1" t="str">
        <v/>
      </c>
      <c r="F88" s="1">
        <v>0</v>
      </c>
      <c r="G88" s="1" t="str">
        <v/>
      </c>
      <c r="H88" s="1" t="str">
        <v/>
      </c>
      <c r="J88" s="79"/>
      <c r="K88" s="48"/>
      <c r="L88" s="49"/>
      <c r="M88" s="49"/>
      <c r="N88" s="49"/>
      <c r="O88" s="80"/>
      <c r="P88" s="50"/>
      <c r="R88" s="77">
        <v>0</v>
      </c>
      <c r="S88" s="59">
        <v>0</v>
      </c>
      <c r="V88" s="1" t="str">
        <v>SH_01/01 to BR1</v>
      </c>
      <c r="W88" s="1" t="str">
        <v>SCM0899</v>
      </c>
      <c r="X88" s="3" t="str">
        <v>SAP</v>
      </c>
      <c r="Y88" s="3" t="str">
        <v>L18_S09</v>
      </c>
      <c r="Z88" s="1">
        <v>24</v>
      </c>
      <c r="AA88" s="1">
        <v>12</v>
      </c>
      <c r="AB88" s="93">
        <v>1</v>
      </c>
      <c r="AD88" s="1" t="str">
        <f ca="1"/>
        <v>46211/D|BR1/04</v>
      </c>
      <c r="AE88" s="1" t="str">
        <f ca="1"/>
        <v>STM-A40_0136</v>
      </c>
      <c r="AF88" s="1" t="str">
        <f ca="1"/>
        <v>SAP</v>
      </c>
      <c r="AG88" s="1" t="str">
        <f ca="1"/>
        <v>LS_18</v>
      </c>
      <c r="AH88" s="1" t="str">
        <f ca="1"/>
        <v>L18_S09</v>
      </c>
      <c r="AI88" s="1" t="str">
        <f ca="1"/>
        <v>036 / 006</v>
      </c>
      <c r="AJ88" s="3" t="str">
        <f ca="1"/>
        <v>Yes</v>
      </c>
      <c r="AK88" s="1" t="str">
        <f ca="1"/>
        <v/>
      </c>
      <c r="AL88" s="105" t="str">
        <f ca="1"/>
        <v/>
      </c>
      <c r="BC88" s="1" t="str">
        <v/>
      </c>
      <c r="BD88" s="1" t="str">
        <v/>
      </c>
      <c r="BE88" s="1" t="str">
        <v/>
      </c>
      <c r="BF88" s="1" t="str">
        <v/>
      </c>
      <c r="BG88" s="1" t="str">
        <v/>
      </c>
      <c r="BH88" s="1" t="str">
        <v/>
      </c>
      <c r="BI88" s="1" t="str">
        <v/>
      </c>
      <c r="BJ88" s="1" t="str">
        <v/>
      </c>
      <c r="BK88" s="1" t="str">
        <v/>
      </c>
      <c r="BL88" s="1" t="str">
        <v/>
      </c>
      <c r="BM88" s="1" t="str">
        <v/>
      </c>
      <c r="BN88" s="1" t="str">
        <v/>
      </c>
      <c r="BO88" s="1" t="str">
        <v/>
      </c>
      <c r="BP88" s="1" t="str">
        <v/>
      </c>
      <c r="BQ88" s="1" t="str">
        <v/>
      </c>
      <c r="BR88" s="1" t="str">
        <v/>
      </c>
      <c r="BS88" s="1" t="str">
        <v/>
      </c>
      <c r="BT88" s="1" t="str">
        <v/>
      </c>
      <c r="BU88" s="1" t="str">
        <v/>
      </c>
      <c r="BV88" s="1" t="str">
        <v/>
      </c>
      <c r="BZ88" s="104" t="str">
        <v/>
      </c>
      <c r="CA88" s="104" t="str">
        <v/>
      </c>
      <c r="CB88" s="104" t="str">
        <v/>
      </c>
      <c r="CC88" s="104" t="str">
        <v/>
      </c>
      <c r="CD88" s="104" t="str">
        <v/>
      </c>
      <c r="CE88" s="104" t="str">
        <v/>
      </c>
      <c r="CF88" s="104" t="str">
        <v/>
      </c>
      <c r="CG88" s="104" t="str">
        <v/>
      </c>
      <c r="CH88" s="104" t="str">
        <v/>
      </c>
      <c r="CI88" s="104" t="str">
        <v/>
      </c>
      <c r="CJ88" s="104" t="str">
        <v/>
      </c>
      <c r="CK88" s="104" t="str">
        <v/>
      </c>
      <c r="CL88" s="104" t="str">
        <v/>
      </c>
      <c r="CM88" s="104" t="str">
        <v/>
      </c>
      <c r="CN88" s="104" t="str">
        <v/>
      </c>
      <c r="CO88" s="104" t="str">
        <v/>
      </c>
      <c r="CP88" s="104" t="str">
        <v/>
      </c>
      <c r="CQ88" s="104" t="str">
        <v/>
      </c>
      <c r="CR88" s="104" t="str">
        <v/>
      </c>
      <c r="CS88" s="104" t="str">
        <v/>
      </c>
    </row>
    <row r="89" spans="5:97" x14ac:dyDescent="0.25">
      <c r="E89" s="1" t="str">
        <v/>
      </c>
      <c r="F89" s="1">
        <v>0</v>
      </c>
      <c r="G89" s="1" t="str">
        <v/>
      </c>
      <c r="H89" s="1" t="str">
        <v/>
      </c>
      <c r="J89" s="79"/>
      <c r="K89" s="48"/>
      <c r="L89" s="49"/>
      <c r="M89" s="49"/>
      <c r="N89" s="49"/>
      <c r="O89" s="80"/>
      <c r="P89" s="50"/>
      <c r="R89" s="77">
        <v>0</v>
      </c>
      <c r="S89" s="59">
        <v>0</v>
      </c>
      <c r="V89" s="1" t="str">
        <v>SH_01/01 to BR1</v>
      </c>
      <c r="W89" s="1" t="str">
        <v>SCM0899</v>
      </c>
      <c r="X89" s="3" t="str">
        <v>SAP</v>
      </c>
      <c r="Y89" s="3" t="str">
        <v>L18_S09</v>
      </c>
      <c r="Z89" s="1">
        <v>24</v>
      </c>
      <c r="AA89" s="1">
        <v>14</v>
      </c>
      <c r="AB89" s="93">
        <v>1</v>
      </c>
      <c r="AD89" s="1" t="str">
        <f ca="1"/>
        <v>46211/D|BR1/04</v>
      </c>
      <c r="AE89" s="1" t="str">
        <f ca="1"/>
        <v>STM-A40_0107</v>
      </c>
      <c r="AF89" s="1" t="str">
        <f ca="1"/>
        <v>SAP</v>
      </c>
      <c r="AG89" s="1" t="str">
        <f ca="1"/>
        <v>LS_18</v>
      </c>
      <c r="AH89" s="1" t="str">
        <f ca="1"/>
        <v>L18_S09</v>
      </c>
      <c r="AI89" s="1" t="str">
        <f ca="1"/>
        <v>036 / 007</v>
      </c>
      <c r="AJ89" s="3" t="str">
        <f ca="1"/>
        <v>No</v>
      </c>
      <c r="AK89" s="1" t="str">
        <f ca="1"/>
        <v/>
      </c>
      <c r="AL89" s="105" t="str">
        <f ca="1"/>
        <v/>
      </c>
      <c r="BC89" s="1" t="str">
        <v/>
      </c>
      <c r="BD89" s="1" t="str">
        <v/>
      </c>
      <c r="BE89" s="1" t="str">
        <v/>
      </c>
      <c r="BF89" s="1" t="str">
        <v/>
      </c>
      <c r="BG89" s="1" t="str">
        <v/>
      </c>
      <c r="BH89" s="1" t="str">
        <v/>
      </c>
      <c r="BI89" s="1" t="str">
        <v/>
      </c>
      <c r="BJ89" s="1" t="str">
        <v/>
      </c>
      <c r="BK89" s="1" t="str">
        <v/>
      </c>
      <c r="BL89" s="1" t="str">
        <v/>
      </c>
      <c r="BM89" s="1" t="str">
        <v/>
      </c>
      <c r="BN89" s="1" t="str">
        <v/>
      </c>
      <c r="BO89" s="1" t="str">
        <v/>
      </c>
      <c r="BP89" s="1" t="str">
        <v/>
      </c>
      <c r="BQ89" s="1" t="str">
        <v/>
      </c>
      <c r="BR89" s="1" t="str">
        <v/>
      </c>
      <c r="BS89" s="1" t="str">
        <v/>
      </c>
      <c r="BT89" s="1" t="str">
        <v/>
      </c>
      <c r="BU89" s="1" t="str">
        <v/>
      </c>
      <c r="BV89" s="1" t="str">
        <v/>
      </c>
      <c r="BZ89" s="104" t="str">
        <v/>
      </c>
      <c r="CA89" s="104" t="str">
        <v/>
      </c>
      <c r="CB89" s="104" t="str">
        <v/>
      </c>
      <c r="CC89" s="104" t="str">
        <v/>
      </c>
      <c r="CD89" s="104" t="str">
        <v/>
      </c>
      <c r="CE89" s="104" t="str">
        <v/>
      </c>
      <c r="CF89" s="104" t="str">
        <v/>
      </c>
      <c r="CG89" s="104" t="str">
        <v/>
      </c>
      <c r="CH89" s="104" t="str">
        <v/>
      </c>
      <c r="CI89" s="104" t="str">
        <v/>
      </c>
      <c r="CJ89" s="104" t="str">
        <v/>
      </c>
      <c r="CK89" s="104" t="str">
        <v/>
      </c>
      <c r="CL89" s="104" t="str">
        <v/>
      </c>
      <c r="CM89" s="104" t="str">
        <v/>
      </c>
      <c r="CN89" s="104" t="str">
        <v/>
      </c>
      <c r="CO89" s="104" t="str">
        <v/>
      </c>
      <c r="CP89" s="104" t="str">
        <v/>
      </c>
      <c r="CQ89" s="104" t="str">
        <v/>
      </c>
      <c r="CR89" s="104" t="str">
        <v/>
      </c>
      <c r="CS89" s="104" t="str">
        <v/>
      </c>
    </row>
    <row r="90" spans="5:97" x14ac:dyDescent="0.25">
      <c r="E90" s="1" t="str">
        <v/>
      </c>
      <c r="F90" s="1">
        <v>0</v>
      </c>
      <c r="G90" s="1" t="str">
        <v/>
      </c>
      <c r="H90" s="1" t="str">
        <v/>
      </c>
      <c r="J90" s="79"/>
      <c r="K90" s="48"/>
      <c r="L90" s="49"/>
      <c r="M90" s="49"/>
      <c r="N90" s="49"/>
      <c r="O90" s="80"/>
      <c r="P90" s="50"/>
      <c r="R90" s="77">
        <v>0</v>
      </c>
      <c r="S90" s="59">
        <v>0</v>
      </c>
      <c r="V90" s="1" t="str">
        <v>SH_01/01 to BR1</v>
      </c>
      <c r="W90" s="1" t="str">
        <v>SCM0899</v>
      </c>
      <c r="X90" s="3" t="str">
        <v>SAP</v>
      </c>
      <c r="Y90" s="3" t="str">
        <v>L18_S09</v>
      </c>
      <c r="Z90" s="1">
        <v>24</v>
      </c>
      <c r="AA90" s="1">
        <v>16</v>
      </c>
      <c r="AB90" s="93">
        <v>1</v>
      </c>
      <c r="AD90" s="1" t="str">
        <f ca="1"/>
        <v>46211/D|BR1/04</v>
      </c>
      <c r="AE90" s="1" t="str">
        <f ca="1"/>
        <v>STM-A40_0121</v>
      </c>
      <c r="AF90" s="1" t="str">
        <f ca="1"/>
        <v>SAP</v>
      </c>
      <c r="AG90" s="1" t="str">
        <f ca="1"/>
        <v>LS_18</v>
      </c>
      <c r="AH90" s="1" t="str">
        <f ca="1"/>
        <v>L18_S09</v>
      </c>
      <c r="AI90" s="1" t="str">
        <f ca="1"/>
        <v>036 / 008</v>
      </c>
      <c r="AJ90" s="3" t="str">
        <f ca="1"/>
        <v>Yes</v>
      </c>
      <c r="AK90" s="1" t="str">
        <f ca="1"/>
        <v/>
      </c>
      <c r="AL90" s="105" t="str">
        <f ca="1"/>
        <v>TRUCK SALAH</v>
      </c>
      <c r="BC90" s="1" t="str">
        <v/>
      </c>
      <c r="BD90" s="1" t="str">
        <v/>
      </c>
      <c r="BE90" s="1" t="str">
        <v/>
      </c>
      <c r="BF90" s="1" t="str">
        <v/>
      </c>
      <c r="BG90" s="1" t="str">
        <v/>
      </c>
      <c r="BH90" s="1" t="str">
        <v/>
      </c>
      <c r="BI90" s="1" t="str">
        <v/>
      </c>
      <c r="BJ90" s="1" t="str">
        <v/>
      </c>
      <c r="BK90" s="1" t="str">
        <v/>
      </c>
      <c r="BL90" s="1" t="str">
        <v/>
      </c>
      <c r="BM90" s="1" t="str">
        <v/>
      </c>
      <c r="BN90" s="1" t="str">
        <v/>
      </c>
      <c r="BO90" s="1" t="str">
        <v/>
      </c>
      <c r="BP90" s="1" t="str">
        <v/>
      </c>
      <c r="BQ90" s="1" t="str">
        <v/>
      </c>
      <c r="BR90" s="1" t="str">
        <v/>
      </c>
      <c r="BS90" s="1" t="str">
        <v/>
      </c>
      <c r="BT90" s="1" t="str">
        <v/>
      </c>
      <c r="BU90" s="1" t="str">
        <v/>
      </c>
      <c r="BV90" s="1" t="str">
        <v/>
      </c>
      <c r="BZ90" s="104" t="str">
        <v/>
      </c>
      <c r="CA90" s="104" t="str">
        <v/>
      </c>
      <c r="CB90" s="104" t="str">
        <v/>
      </c>
      <c r="CC90" s="104" t="str">
        <v/>
      </c>
      <c r="CD90" s="104" t="str">
        <v/>
      </c>
      <c r="CE90" s="104" t="str">
        <v/>
      </c>
      <c r="CF90" s="104" t="str">
        <v/>
      </c>
      <c r="CG90" s="104" t="str">
        <v/>
      </c>
      <c r="CH90" s="104" t="str">
        <v/>
      </c>
      <c r="CI90" s="104" t="str">
        <v/>
      </c>
      <c r="CJ90" s="104" t="str">
        <v/>
      </c>
      <c r="CK90" s="104" t="str">
        <v/>
      </c>
      <c r="CL90" s="104" t="str">
        <v/>
      </c>
      <c r="CM90" s="104" t="str">
        <v/>
      </c>
      <c r="CN90" s="104" t="str">
        <v/>
      </c>
      <c r="CO90" s="104" t="str">
        <v/>
      </c>
      <c r="CP90" s="104" t="str">
        <v/>
      </c>
      <c r="CQ90" s="104" t="str">
        <v/>
      </c>
      <c r="CR90" s="104" t="str">
        <v/>
      </c>
      <c r="CS90" s="104" t="str">
        <v/>
      </c>
    </row>
    <row r="91" spans="5:97" x14ac:dyDescent="0.25">
      <c r="E91" s="1" t="str">
        <v/>
      </c>
      <c r="F91" s="1">
        <v>0</v>
      </c>
      <c r="G91" s="1" t="str">
        <v/>
      </c>
      <c r="H91" s="1" t="str">
        <v/>
      </c>
      <c r="J91" s="79"/>
      <c r="K91" s="48"/>
      <c r="L91" s="49"/>
      <c r="M91" s="49"/>
      <c r="N91" s="49"/>
      <c r="O91" s="80"/>
      <c r="P91" s="50"/>
      <c r="R91" s="77">
        <v>0</v>
      </c>
      <c r="S91" s="59">
        <v>0</v>
      </c>
      <c r="V91" s="1" t="str">
        <v>SH_01/01 to BR1</v>
      </c>
      <c r="W91" s="1" t="str">
        <v>SCM0899</v>
      </c>
      <c r="X91" s="3" t="str">
        <v>SAP</v>
      </c>
      <c r="Y91" s="3" t="str">
        <v>L18_S09</v>
      </c>
      <c r="Z91" s="1">
        <v>24</v>
      </c>
      <c r="AA91" s="1">
        <v>18</v>
      </c>
      <c r="AB91" s="93">
        <v>1</v>
      </c>
      <c r="AD91" s="1" t="str">
        <f ca="1"/>
        <v>46211/D|BR1/04</v>
      </c>
      <c r="AE91" s="1" t="str">
        <f ca="1"/>
        <v>STM-A40_0119</v>
      </c>
      <c r="AF91" s="1" t="str">
        <f ca="1"/>
        <v>SAP</v>
      </c>
      <c r="AG91" s="1" t="str">
        <f ca="1"/>
        <v>LS_18</v>
      </c>
      <c r="AH91" s="1" t="str">
        <f ca="1"/>
        <v>L18_S09</v>
      </c>
      <c r="AI91" s="1" t="str">
        <f ca="1"/>
        <v>036 / 009</v>
      </c>
      <c r="AJ91" s="3" t="str">
        <f ca="1"/>
        <v>No</v>
      </c>
      <c r="AK91" s="1" t="str">
        <f ca="1"/>
        <v/>
      </c>
      <c r="AL91" s="105" t="str">
        <f ca="1"/>
        <v/>
      </c>
      <c r="BC91" s="1" t="str">
        <v/>
      </c>
      <c r="BD91" s="1" t="str">
        <v/>
      </c>
      <c r="BE91" s="1" t="str">
        <v/>
      </c>
      <c r="BF91" s="1" t="str">
        <v/>
      </c>
      <c r="BG91" s="1" t="str">
        <v/>
      </c>
      <c r="BH91" s="1" t="str">
        <v/>
      </c>
      <c r="BI91" s="1" t="str">
        <v/>
      </c>
      <c r="BJ91" s="1" t="str">
        <v/>
      </c>
      <c r="BK91" s="1" t="str">
        <v/>
      </c>
      <c r="BL91" s="1" t="str">
        <v/>
      </c>
      <c r="BM91" s="1" t="str">
        <v/>
      </c>
      <c r="BN91" s="1" t="str">
        <v/>
      </c>
      <c r="BO91" s="1" t="str">
        <v/>
      </c>
      <c r="BP91" s="1" t="str">
        <v/>
      </c>
      <c r="BQ91" s="1" t="str">
        <v/>
      </c>
      <c r="BR91" s="1" t="str">
        <v/>
      </c>
      <c r="BS91" s="1" t="str">
        <v/>
      </c>
      <c r="BT91" s="1" t="str">
        <v/>
      </c>
      <c r="BU91" s="1" t="str">
        <v/>
      </c>
      <c r="BV91" s="1" t="str">
        <v/>
      </c>
      <c r="BZ91" s="104" t="str">
        <v/>
      </c>
      <c r="CA91" s="104" t="str">
        <v/>
      </c>
      <c r="CB91" s="104" t="str">
        <v/>
      </c>
      <c r="CC91" s="104" t="str">
        <v/>
      </c>
      <c r="CD91" s="104" t="str">
        <v/>
      </c>
      <c r="CE91" s="104" t="str">
        <v/>
      </c>
      <c r="CF91" s="104" t="str">
        <v/>
      </c>
      <c r="CG91" s="104" t="str">
        <v/>
      </c>
      <c r="CH91" s="104" t="str">
        <v/>
      </c>
      <c r="CI91" s="104" t="str">
        <v/>
      </c>
      <c r="CJ91" s="104" t="str">
        <v/>
      </c>
      <c r="CK91" s="104" t="str">
        <v/>
      </c>
      <c r="CL91" s="104" t="str">
        <v/>
      </c>
      <c r="CM91" s="104" t="str">
        <v/>
      </c>
      <c r="CN91" s="104" t="str">
        <v/>
      </c>
      <c r="CO91" s="104" t="str">
        <v/>
      </c>
      <c r="CP91" s="104" t="str">
        <v/>
      </c>
      <c r="CQ91" s="104" t="str">
        <v/>
      </c>
      <c r="CR91" s="104" t="str">
        <v/>
      </c>
      <c r="CS91" s="104" t="str">
        <v/>
      </c>
    </row>
    <row r="92" spans="5:97" x14ac:dyDescent="0.25">
      <c r="E92" s="1" t="str">
        <v/>
      </c>
      <c r="F92" s="1">
        <v>0</v>
      </c>
      <c r="G92" s="1" t="str">
        <v/>
      </c>
      <c r="H92" s="1" t="str">
        <v/>
      </c>
      <c r="J92" s="79"/>
      <c r="K92" s="48"/>
      <c r="L92" s="49"/>
      <c r="M92" s="49"/>
      <c r="N92" s="49"/>
      <c r="O92" s="80"/>
      <c r="P92" s="50"/>
      <c r="R92" s="77">
        <v>0</v>
      </c>
      <c r="S92" s="59">
        <v>0</v>
      </c>
      <c r="V92" s="1" t="str">
        <v>SH_01/01 to BR1</v>
      </c>
      <c r="W92" s="1" t="str">
        <v>SCM0899</v>
      </c>
      <c r="X92" s="3" t="str">
        <v>SAP</v>
      </c>
      <c r="Y92" s="3" t="str">
        <v>L18_S09</v>
      </c>
      <c r="Z92" s="1">
        <v>24</v>
      </c>
      <c r="AA92" s="1">
        <v>20</v>
      </c>
      <c r="AB92" s="93">
        <v>1</v>
      </c>
      <c r="AD92" s="1" t="str">
        <f ca="1"/>
        <v>46211/D|BR1/04</v>
      </c>
      <c r="AE92" s="1" t="str">
        <f ca="1"/>
        <v>STM-A40_0105</v>
      </c>
      <c r="AF92" s="1" t="str">
        <f ca="1"/>
        <v>SAP</v>
      </c>
      <c r="AG92" s="1" t="str">
        <f ca="1"/>
        <v>LS_18</v>
      </c>
      <c r="AH92" s="1" t="str">
        <f ca="1"/>
        <v>L18_S09</v>
      </c>
      <c r="AI92" s="1" t="str">
        <f ca="1"/>
        <v>036 / 010</v>
      </c>
      <c r="AJ92" s="3" t="str">
        <f ca="1"/>
        <v>Yes</v>
      </c>
      <c r="AK92" s="1" t="str">
        <f ca="1"/>
        <v/>
      </c>
      <c r="AL92" s="105" t="str">
        <f ca="1"/>
        <v/>
      </c>
      <c r="BC92" s="1" t="str">
        <v/>
      </c>
      <c r="BD92" s="1" t="str">
        <v/>
      </c>
      <c r="BE92" s="1" t="str">
        <v/>
      </c>
      <c r="BF92" s="1" t="str">
        <v/>
      </c>
      <c r="BG92" s="1" t="str">
        <v/>
      </c>
      <c r="BH92" s="1" t="str">
        <v/>
      </c>
      <c r="BI92" s="1" t="str">
        <v/>
      </c>
      <c r="BJ92" s="1" t="str">
        <v/>
      </c>
      <c r="BK92" s="1" t="str">
        <v/>
      </c>
      <c r="BL92" s="1" t="str">
        <v/>
      </c>
      <c r="BM92" s="1" t="str">
        <v/>
      </c>
      <c r="BN92" s="1" t="str">
        <v/>
      </c>
      <c r="BO92" s="1" t="str">
        <v/>
      </c>
      <c r="BP92" s="1" t="str">
        <v/>
      </c>
      <c r="BQ92" s="1" t="str">
        <v/>
      </c>
      <c r="BR92" s="1" t="str">
        <v/>
      </c>
      <c r="BS92" s="1" t="str">
        <v/>
      </c>
      <c r="BT92" s="1" t="str">
        <v/>
      </c>
      <c r="BU92" s="1" t="str">
        <v/>
      </c>
      <c r="BV92" s="1" t="str">
        <v/>
      </c>
      <c r="BZ92" s="104" t="str">
        <v/>
      </c>
      <c r="CA92" s="104" t="str">
        <v/>
      </c>
      <c r="CB92" s="104" t="str">
        <v/>
      </c>
      <c r="CC92" s="104" t="str">
        <v/>
      </c>
      <c r="CD92" s="104" t="str">
        <v/>
      </c>
      <c r="CE92" s="104" t="str">
        <v/>
      </c>
      <c r="CF92" s="104" t="str">
        <v/>
      </c>
      <c r="CG92" s="104" t="str">
        <v/>
      </c>
      <c r="CH92" s="104" t="str">
        <v/>
      </c>
      <c r="CI92" s="104" t="str">
        <v/>
      </c>
      <c r="CJ92" s="104" t="str">
        <v/>
      </c>
      <c r="CK92" s="104" t="str">
        <v/>
      </c>
      <c r="CL92" s="104" t="str">
        <v/>
      </c>
      <c r="CM92" s="104" t="str">
        <v/>
      </c>
      <c r="CN92" s="104" t="str">
        <v/>
      </c>
      <c r="CO92" s="104" t="str">
        <v/>
      </c>
      <c r="CP92" s="104" t="str">
        <v/>
      </c>
      <c r="CQ92" s="104" t="str">
        <v/>
      </c>
      <c r="CR92" s="104" t="str">
        <v/>
      </c>
      <c r="CS92" s="104" t="str">
        <v/>
      </c>
    </row>
    <row r="93" spans="5:97" x14ac:dyDescent="0.25">
      <c r="E93" s="1" t="str">
        <v/>
      </c>
      <c r="F93" s="1">
        <v>0</v>
      </c>
      <c r="G93" s="1" t="str">
        <v/>
      </c>
      <c r="H93" s="1" t="str">
        <v/>
      </c>
      <c r="J93" s="79"/>
      <c r="K93" s="48"/>
      <c r="L93" s="49"/>
      <c r="M93" s="49"/>
      <c r="N93" s="49"/>
      <c r="O93" s="80"/>
      <c r="P93" s="50"/>
      <c r="R93" s="77">
        <v>0</v>
      </c>
      <c r="S93" s="59">
        <v>0</v>
      </c>
      <c r="V93" s="1" t="str">
        <v>SH_01/01 to BR1</v>
      </c>
      <c r="W93" s="1" t="str">
        <v>SCM0899</v>
      </c>
      <c r="X93" s="3" t="str">
        <v>SAP</v>
      </c>
      <c r="Y93" s="3" t="str">
        <v>L18_S09</v>
      </c>
      <c r="Z93" s="1">
        <v>33</v>
      </c>
      <c r="AA93" s="1">
        <v>2</v>
      </c>
      <c r="AB93" s="93">
        <v>1</v>
      </c>
      <c r="AD93" s="1" t="str">
        <f ca="1"/>
        <v>46211/D|BR1/04</v>
      </c>
      <c r="AE93" s="1" t="str">
        <f ca="1"/>
        <v>STM-A40_0106</v>
      </c>
      <c r="AF93" s="1" t="str">
        <f ca="1"/>
        <v>SAP</v>
      </c>
      <c r="AG93" s="1" t="str">
        <f ca="1"/>
        <v>LS_18</v>
      </c>
      <c r="AH93" s="1" t="str">
        <f ca="1"/>
        <v>L18_S09</v>
      </c>
      <c r="AI93" s="1" t="str">
        <f ca="1"/>
        <v>036 / 011</v>
      </c>
      <c r="AJ93" s="3" t="str">
        <f ca="1"/>
        <v>No</v>
      </c>
      <c r="AK93" s="1" t="str">
        <f ca="1"/>
        <v/>
      </c>
      <c r="AL93" s="105" t="str">
        <f ca="1"/>
        <v/>
      </c>
      <c r="BC93" s="1" t="str">
        <v/>
      </c>
      <c r="BD93" s="1" t="str">
        <v/>
      </c>
      <c r="BE93" s="1" t="str">
        <v/>
      </c>
      <c r="BF93" s="1" t="str">
        <v/>
      </c>
      <c r="BG93" s="1" t="str">
        <v/>
      </c>
      <c r="BH93" s="1" t="str">
        <v/>
      </c>
      <c r="BI93" s="1" t="str">
        <v/>
      </c>
      <c r="BJ93" s="1" t="str">
        <v/>
      </c>
      <c r="BK93" s="1" t="str">
        <v/>
      </c>
      <c r="BL93" s="1" t="str">
        <v/>
      </c>
      <c r="BM93" s="1" t="str">
        <v/>
      </c>
      <c r="BN93" s="1" t="str">
        <v/>
      </c>
      <c r="BO93" s="1" t="str">
        <v/>
      </c>
      <c r="BP93" s="1" t="str">
        <v/>
      </c>
      <c r="BQ93" s="1" t="str">
        <v/>
      </c>
      <c r="BR93" s="1" t="str">
        <v/>
      </c>
      <c r="BS93" s="1" t="str">
        <v/>
      </c>
      <c r="BT93" s="1" t="str">
        <v/>
      </c>
      <c r="BU93" s="1" t="str">
        <v/>
      </c>
      <c r="BV93" s="1" t="str">
        <v/>
      </c>
      <c r="BZ93" s="104" t="str">
        <v/>
      </c>
      <c r="CA93" s="104" t="str">
        <v/>
      </c>
      <c r="CB93" s="104" t="str">
        <v/>
      </c>
      <c r="CC93" s="104" t="str">
        <v/>
      </c>
      <c r="CD93" s="104" t="str">
        <v/>
      </c>
      <c r="CE93" s="104" t="str">
        <v/>
      </c>
      <c r="CF93" s="104" t="str">
        <v/>
      </c>
      <c r="CG93" s="104" t="str">
        <v/>
      </c>
      <c r="CH93" s="104" t="str">
        <v/>
      </c>
      <c r="CI93" s="104" t="str">
        <v/>
      </c>
      <c r="CJ93" s="104" t="str">
        <v/>
      </c>
      <c r="CK93" s="104" t="str">
        <v/>
      </c>
      <c r="CL93" s="104" t="str">
        <v/>
      </c>
      <c r="CM93" s="104" t="str">
        <v/>
      </c>
      <c r="CN93" s="104" t="str">
        <v/>
      </c>
      <c r="CO93" s="104" t="str">
        <v/>
      </c>
      <c r="CP93" s="104" t="str">
        <v/>
      </c>
      <c r="CQ93" s="104" t="str">
        <v/>
      </c>
      <c r="CR93" s="104" t="str">
        <v/>
      </c>
      <c r="CS93" s="104" t="str">
        <v/>
      </c>
    </row>
    <row r="94" spans="5:97" x14ac:dyDescent="0.25">
      <c r="E94" s="1" t="str">
        <v/>
      </c>
      <c r="F94" s="1">
        <v>0</v>
      </c>
      <c r="G94" s="1" t="str">
        <v/>
      </c>
      <c r="H94" s="1" t="str">
        <v/>
      </c>
      <c r="J94" s="79"/>
      <c r="K94" s="48"/>
      <c r="L94" s="49"/>
      <c r="M94" s="49"/>
      <c r="N94" s="49"/>
      <c r="O94" s="80"/>
      <c r="P94" s="50"/>
      <c r="R94" s="77">
        <v>0</v>
      </c>
      <c r="S94" s="59">
        <v>0</v>
      </c>
      <c r="V94" s="1" t="str">
        <v>SH_01/01 to BR1</v>
      </c>
      <c r="W94" s="1" t="str">
        <v>SCM0899</v>
      </c>
      <c r="X94" s="3" t="str">
        <v>SAP</v>
      </c>
      <c r="Y94" s="3" t="str">
        <v>L18_S09</v>
      </c>
      <c r="Z94" s="1">
        <v>33</v>
      </c>
      <c r="AA94" s="1">
        <v>4</v>
      </c>
      <c r="AB94" s="93">
        <v>1</v>
      </c>
      <c r="AD94" s="1" t="str">
        <f ca="1"/>
        <v>46211/D|BR1/04</v>
      </c>
      <c r="AE94" s="1" t="str">
        <f ca="1"/>
        <v>STM-A40_0098</v>
      </c>
      <c r="AF94" s="1" t="str">
        <f ca="1"/>
        <v>SAP</v>
      </c>
      <c r="AG94" s="1" t="str">
        <f ca="1"/>
        <v>LS_18</v>
      </c>
      <c r="AH94" s="1" t="str">
        <f ca="1"/>
        <v>L18_S09</v>
      </c>
      <c r="AI94" s="1" t="str">
        <f ca="1"/>
        <v>036 / 012</v>
      </c>
      <c r="AJ94" s="3" t="str">
        <f ca="1"/>
        <v>Yes</v>
      </c>
      <c r="AK94" s="1" t="str">
        <f ca="1"/>
        <v/>
      </c>
      <c r="AL94" s="105" t="str">
        <f ca="1"/>
        <v/>
      </c>
      <c r="BC94" s="1" t="str">
        <v/>
      </c>
      <c r="BD94" s="1" t="str">
        <v/>
      </c>
      <c r="BE94" s="1" t="str">
        <v/>
      </c>
      <c r="BF94" s="1" t="str">
        <v/>
      </c>
      <c r="BG94" s="1" t="str">
        <v/>
      </c>
      <c r="BH94" s="1" t="str">
        <v/>
      </c>
      <c r="BI94" s="1" t="str">
        <v/>
      </c>
      <c r="BJ94" s="1" t="str">
        <v/>
      </c>
      <c r="BK94" s="1" t="str">
        <v/>
      </c>
      <c r="BL94" s="1" t="str">
        <v/>
      </c>
      <c r="BM94" s="1" t="str">
        <v/>
      </c>
      <c r="BN94" s="1" t="str">
        <v/>
      </c>
      <c r="BO94" s="1" t="str">
        <v/>
      </c>
      <c r="BP94" s="1" t="str">
        <v/>
      </c>
      <c r="BQ94" s="1" t="str">
        <v/>
      </c>
      <c r="BR94" s="1" t="str">
        <v/>
      </c>
      <c r="BS94" s="1" t="str">
        <v/>
      </c>
      <c r="BT94" s="1" t="str">
        <v/>
      </c>
      <c r="BU94" s="1" t="str">
        <v/>
      </c>
      <c r="BV94" s="1" t="str">
        <v/>
      </c>
      <c r="BZ94" s="104" t="str">
        <v/>
      </c>
      <c r="CA94" s="104" t="str">
        <v/>
      </c>
      <c r="CB94" s="104" t="str">
        <v/>
      </c>
      <c r="CC94" s="104" t="str">
        <v/>
      </c>
      <c r="CD94" s="104" t="str">
        <v/>
      </c>
      <c r="CE94" s="104" t="str">
        <v/>
      </c>
      <c r="CF94" s="104" t="str">
        <v/>
      </c>
      <c r="CG94" s="104" t="str">
        <v/>
      </c>
      <c r="CH94" s="104" t="str">
        <v/>
      </c>
      <c r="CI94" s="104" t="str">
        <v/>
      </c>
      <c r="CJ94" s="104" t="str">
        <v/>
      </c>
      <c r="CK94" s="104" t="str">
        <v/>
      </c>
      <c r="CL94" s="104" t="str">
        <v/>
      </c>
      <c r="CM94" s="104" t="str">
        <v/>
      </c>
      <c r="CN94" s="104" t="str">
        <v/>
      </c>
      <c r="CO94" s="104" t="str">
        <v/>
      </c>
      <c r="CP94" s="104" t="str">
        <v/>
      </c>
      <c r="CQ94" s="104" t="str">
        <v/>
      </c>
      <c r="CR94" s="104" t="str">
        <v/>
      </c>
      <c r="CS94" s="104" t="str">
        <v/>
      </c>
    </row>
    <row r="95" spans="5:97" x14ac:dyDescent="0.25">
      <c r="E95" s="1" t="str">
        <v/>
      </c>
      <c r="F95" s="1">
        <v>0</v>
      </c>
      <c r="G95" s="1" t="str">
        <v/>
      </c>
      <c r="H95" s="1" t="str">
        <v/>
      </c>
      <c r="J95" s="79"/>
      <c r="K95" s="48"/>
      <c r="L95" s="49"/>
      <c r="M95" s="49"/>
      <c r="N95" s="49"/>
      <c r="O95" s="80"/>
      <c r="P95" s="50"/>
      <c r="R95" s="77">
        <v>0</v>
      </c>
      <c r="S95" s="59">
        <v>0</v>
      </c>
      <c r="V95" s="1" t="str">
        <v>SH_01/01 to BR1</v>
      </c>
      <c r="W95" s="1" t="str">
        <v>SCM0899</v>
      </c>
      <c r="X95" s="3" t="str">
        <v>SAP</v>
      </c>
      <c r="Y95" s="3" t="str">
        <v>L18_S09</v>
      </c>
      <c r="Z95" s="1">
        <v>33</v>
      </c>
      <c r="AA95" s="1">
        <v>6</v>
      </c>
      <c r="AB95" s="93">
        <v>1</v>
      </c>
      <c r="AD95" s="1" t="str">
        <f ca="1"/>
        <v>46211/D|BR1/04</v>
      </c>
      <c r="AE95" s="1" t="str">
        <f ca="1"/>
        <v>STM-A40_0121</v>
      </c>
      <c r="AF95" s="1" t="str">
        <f ca="1"/>
        <v>SAP</v>
      </c>
      <c r="AG95" s="1" t="str">
        <f ca="1"/>
        <v>LS_18</v>
      </c>
      <c r="AH95" s="1" t="str">
        <f ca="1"/>
        <v>L18_S09</v>
      </c>
      <c r="AI95" s="1" t="str">
        <f ca="1"/>
        <v>036 / 013</v>
      </c>
      <c r="AJ95" s="3" t="str">
        <f ca="1"/>
        <v>No</v>
      </c>
      <c r="AK95" s="1" t="str">
        <f ca="1"/>
        <v/>
      </c>
      <c r="AL95" s="105" t="str">
        <f ca="1"/>
        <v>TRUCK SALAH</v>
      </c>
      <c r="BC95" s="1" t="str">
        <v/>
      </c>
      <c r="BD95" s="1" t="str">
        <v/>
      </c>
      <c r="BE95" s="1" t="str">
        <v/>
      </c>
      <c r="BF95" s="1" t="str">
        <v/>
      </c>
      <c r="BG95" s="1" t="str">
        <v/>
      </c>
      <c r="BH95" s="1" t="str">
        <v/>
      </c>
      <c r="BI95" s="1" t="str">
        <v/>
      </c>
      <c r="BJ95" s="1" t="str">
        <v/>
      </c>
      <c r="BK95" s="1" t="str">
        <v/>
      </c>
      <c r="BL95" s="1" t="str">
        <v/>
      </c>
      <c r="BM95" s="1" t="str">
        <v/>
      </c>
      <c r="BN95" s="1" t="str">
        <v/>
      </c>
      <c r="BO95" s="1" t="str">
        <v/>
      </c>
      <c r="BP95" s="1" t="str">
        <v/>
      </c>
      <c r="BQ95" s="1" t="str">
        <v/>
      </c>
      <c r="BR95" s="1" t="str">
        <v/>
      </c>
      <c r="BS95" s="1" t="str">
        <v/>
      </c>
      <c r="BT95" s="1" t="str">
        <v/>
      </c>
      <c r="BU95" s="1" t="str">
        <v/>
      </c>
      <c r="BV95" s="1" t="str">
        <v/>
      </c>
      <c r="BZ95" s="104" t="str">
        <v/>
      </c>
      <c r="CA95" s="104" t="str">
        <v/>
      </c>
      <c r="CB95" s="104" t="str">
        <v/>
      </c>
      <c r="CC95" s="104" t="str">
        <v/>
      </c>
      <c r="CD95" s="104" t="str">
        <v/>
      </c>
      <c r="CE95" s="104" t="str">
        <v/>
      </c>
      <c r="CF95" s="104" t="str">
        <v/>
      </c>
      <c r="CG95" s="104" t="str">
        <v/>
      </c>
      <c r="CH95" s="104" t="str">
        <v/>
      </c>
      <c r="CI95" s="104" t="str">
        <v/>
      </c>
      <c r="CJ95" s="104" t="str">
        <v/>
      </c>
      <c r="CK95" s="104" t="str">
        <v/>
      </c>
      <c r="CL95" s="104" t="str">
        <v/>
      </c>
      <c r="CM95" s="104" t="str">
        <v/>
      </c>
      <c r="CN95" s="104" t="str">
        <v/>
      </c>
      <c r="CO95" s="104" t="str">
        <v/>
      </c>
      <c r="CP95" s="104" t="str">
        <v/>
      </c>
      <c r="CQ95" s="104" t="str">
        <v/>
      </c>
      <c r="CR95" s="104" t="str">
        <v/>
      </c>
      <c r="CS95" s="104" t="str">
        <v/>
      </c>
    </row>
    <row r="96" spans="5:97" x14ac:dyDescent="0.25">
      <c r="E96" s="1" t="str">
        <v/>
      </c>
      <c r="F96" s="1">
        <v>0</v>
      </c>
      <c r="G96" s="1" t="str">
        <v/>
      </c>
      <c r="H96" s="1" t="str">
        <v/>
      </c>
      <c r="J96" s="79"/>
      <c r="K96" s="48"/>
      <c r="L96" s="49"/>
      <c r="M96" s="49"/>
      <c r="N96" s="49"/>
      <c r="O96" s="80"/>
      <c r="P96" s="50"/>
      <c r="R96" s="77">
        <v>0</v>
      </c>
      <c r="S96" s="59">
        <v>0</v>
      </c>
      <c r="V96" s="1" t="str">
        <v>SH_01/01 to BR1</v>
      </c>
      <c r="W96" s="1" t="str">
        <v>SCM0899</v>
      </c>
      <c r="X96" s="3" t="str">
        <v>SAP</v>
      </c>
      <c r="Y96" s="3" t="str">
        <v>L18_S09</v>
      </c>
      <c r="Z96" s="1">
        <v>33</v>
      </c>
      <c r="AA96" s="1">
        <v>8</v>
      </c>
      <c r="AB96" s="93">
        <v>1</v>
      </c>
      <c r="AD96" s="1" t="str">
        <f ca="1"/>
        <v>46211/D|BR1/04</v>
      </c>
      <c r="AE96" s="1" t="str">
        <f ca="1"/>
        <v>STM-A40_0119</v>
      </c>
      <c r="AF96" s="1" t="str">
        <f ca="1"/>
        <v>SAP</v>
      </c>
      <c r="AG96" s="1" t="str">
        <f ca="1"/>
        <v>LS_18</v>
      </c>
      <c r="AH96" s="1" t="str">
        <f ca="1"/>
        <v>L18_S09</v>
      </c>
      <c r="AI96" s="1" t="str">
        <f ca="1"/>
        <v>036 / 014</v>
      </c>
      <c r="AJ96" s="3" t="str">
        <f ca="1"/>
        <v>Yes</v>
      </c>
      <c r="AK96" s="1" t="str">
        <f ca="1"/>
        <v/>
      </c>
      <c r="AL96" s="105" t="str">
        <f ca="1"/>
        <v/>
      </c>
      <c r="BC96" s="1" t="str">
        <v/>
      </c>
      <c r="BD96" s="1" t="str">
        <v/>
      </c>
      <c r="BE96" s="1" t="str">
        <v/>
      </c>
      <c r="BF96" s="1" t="str">
        <v/>
      </c>
      <c r="BG96" s="1" t="str">
        <v/>
      </c>
      <c r="BH96" s="1" t="str">
        <v/>
      </c>
      <c r="BI96" s="1" t="str">
        <v/>
      </c>
      <c r="BJ96" s="1" t="str">
        <v/>
      </c>
      <c r="BK96" s="1" t="str">
        <v/>
      </c>
      <c r="BL96" s="1" t="str">
        <v/>
      </c>
      <c r="BM96" s="1" t="str">
        <v/>
      </c>
      <c r="BN96" s="1" t="str">
        <v/>
      </c>
      <c r="BO96" s="1" t="str">
        <v/>
      </c>
      <c r="BP96" s="1" t="str">
        <v/>
      </c>
      <c r="BQ96" s="1" t="str">
        <v/>
      </c>
      <c r="BR96" s="1" t="str">
        <v/>
      </c>
      <c r="BS96" s="1" t="str">
        <v/>
      </c>
      <c r="BT96" s="1" t="str">
        <v/>
      </c>
      <c r="BU96" s="1" t="str">
        <v/>
      </c>
      <c r="BV96" s="1" t="str">
        <v/>
      </c>
      <c r="BZ96" s="104" t="str">
        <v/>
      </c>
      <c r="CA96" s="104" t="str">
        <v/>
      </c>
      <c r="CB96" s="104" t="str">
        <v/>
      </c>
      <c r="CC96" s="104" t="str">
        <v/>
      </c>
      <c r="CD96" s="104" t="str">
        <v/>
      </c>
      <c r="CE96" s="104" t="str">
        <v/>
      </c>
      <c r="CF96" s="104" t="str">
        <v/>
      </c>
      <c r="CG96" s="104" t="str">
        <v/>
      </c>
      <c r="CH96" s="104" t="str">
        <v/>
      </c>
      <c r="CI96" s="104" t="str">
        <v/>
      </c>
      <c r="CJ96" s="104" t="str">
        <v/>
      </c>
      <c r="CK96" s="104" t="str">
        <v/>
      </c>
      <c r="CL96" s="104" t="str">
        <v/>
      </c>
      <c r="CM96" s="104" t="str">
        <v/>
      </c>
      <c r="CN96" s="104" t="str">
        <v/>
      </c>
      <c r="CO96" s="104" t="str">
        <v/>
      </c>
      <c r="CP96" s="104" t="str">
        <v/>
      </c>
      <c r="CQ96" s="104" t="str">
        <v/>
      </c>
      <c r="CR96" s="104" t="str">
        <v/>
      </c>
      <c r="CS96" s="104" t="str">
        <v/>
      </c>
    </row>
    <row r="97" spans="5:97" x14ac:dyDescent="0.25">
      <c r="E97" s="1" t="str">
        <v/>
      </c>
      <c r="F97" s="1">
        <v>0</v>
      </c>
      <c r="G97" s="1" t="str">
        <v/>
      </c>
      <c r="H97" s="1" t="str">
        <v/>
      </c>
      <c r="J97" s="79"/>
      <c r="K97" s="48"/>
      <c r="L97" s="49"/>
      <c r="M97" s="49"/>
      <c r="N97" s="49"/>
      <c r="O97" s="80"/>
      <c r="P97" s="50"/>
      <c r="R97" s="77">
        <v>0</v>
      </c>
      <c r="S97" s="59">
        <v>0</v>
      </c>
      <c r="V97" s="1" t="str">
        <v>SH_01/01 to BR1</v>
      </c>
      <c r="W97" s="1" t="str">
        <v>SCM0899</v>
      </c>
      <c r="X97" s="3" t="str">
        <v>SAP</v>
      </c>
      <c r="Y97" s="3" t="str">
        <v>L18_S09</v>
      </c>
      <c r="Z97" s="1">
        <v>33</v>
      </c>
      <c r="AA97" s="1">
        <v>10</v>
      </c>
      <c r="AB97" s="93">
        <v>1</v>
      </c>
      <c r="AD97" s="1" t="str">
        <f ca="1"/>
        <v>46211/D|BR1/04</v>
      </c>
      <c r="AE97" s="1" t="str">
        <f ca="1"/>
        <v>STM-A40_0098</v>
      </c>
      <c r="AF97" s="1" t="str">
        <f ca="1"/>
        <v>SAP</v>
      </c>
      <c r="AG97" s="1" t="str">
        <f ca="1"/>
        <v>LS_18</v>
      </c>
      <c r="AH97" s="1" t="str">
        <f ca="1"/>
        <v>L18_S09</v>
      </c>
      <c r="AI97" s="1" t="str">
        <f ca="1"/>
        <v>036 / 015</v>
      </c>
      <c r="AJ97" s="3" t="str">
        <f ca="1"/>
        <v>No</v>
      </c>
      <c r="AK97" s="1" t="str">
        <f ca="1"/>
        <v/>
      </c>
      <c r="AL97" s="105" t="str">
        <f ca="1"/>
        <v/>
      </c>
      <c r="BC97" s="1" t="str">
        <v/>
      </c>
      <c r="BD97" s="1" t="str">
        <v/>
      </c>
      <c r="BE97" s="1" t="str">
        <v/>
      </c>
      <c r="BF97" s="1" t="str">
        <v/>
      </c>
      <c r="BG97" s="1" t="str">
        <v/>
      </c>
      <c r="BH97" s="1" t="str">
        <v/>
      </c>
      <c r="BI97" s="1" t="str">
        <v/>
      </c>
      <c r="BJ97" s="1" t="str">
        <v/>
      </c>
      <c r="BK97" s="1" t="str">
        <v/>
      </c>
      <c r="BL97" s="1" t="str">
        <v/>
      </c>
      <c r="BM97" s="1" t="str">
        <v/>
      </c>
      <c r="BN97" s="1" t="str">
        <v/>
      </c>
      <c r="BO97" s="1" t="str">
        <v/>
      </c>
      <c r="BP97" s="1" t="str">
        <v/>
      </c>
      <c r="BQ97" s="1" t="str">
        <v/>
      </c>
      <c r="BR97" s="1" t="str">
        <v/>
      </c>
      <c r="BS97" s="1" t="str">
        <v/>
      </c>
      <c r="BT97" s="1" t="str">
        <v/>
      </c>
      <c r="BU97" s="1" t="str">
        <v/>
      </c>
      <c r="BV97" s="1" t="str">
        <v/>
      </c>
      <c r="BZ97" s="104" t="str">
        <v/>
      </c>
      <c r="CA97" s="104" t="str">
        <v/>
      </c>
      <c r="CB97" s="104" t="str">
        <v/>
      </c>
      <c r="CC97" s="104" t="str">
        <v/>
      </c>
      <c r="CD97" s="104" t="str">
        <v/>
      </c>
      <c r="CE97" s="104" t="str">
        <v/>
      </c>
      <c r="CF97" s="104" t="str">
        <v/>
      </c>
      <c r="CG97" s="104" t="str">
        <v/>
      </c>
      <c r="CH97" s="104" t="str">
        <v/>
      </c>
      <c r="CI97" s="104" t="str">
        <v/>
      </c>
      <c r="CJ97" s="104" t="str">
        <v/>
      </c>
      <c r="CK97" s="104" t="str">
        <v/>
      </c>
      <c r="CL97" s="104" t="str">
        <v/>
      </c>
      <c r="CM97" s="104" t="str">
        <v/>
      </c>
      <c r="CN97" s="104" t="str">
        <v/>
      </c>
      <c r="CO97" s="104" t="str">
        <v/>
      </c>
      <c r="CP97" s="104" t="str">
        <v/>
      </c>
      <c r="CQ97" s="104" t="str">
        <v/>
      </c>
      <c r="CR97" s="104" t="str">
        <v/>
      </c>
      <c r="CS97" s="104" t="str">
        <v/>
      </c>
    </row>
    <row r="98" spans="5:97" x14ac:dyDescent="0.25">
      <c r="E98" s="1" t="str">
        <v/>
      </c>
      <c r="F98" s="1">
        <v>0</v>
      </c>
      <c r="G98" s="1" t="str">
        <v/>
      </c>
      <c r="H98" s="1" t="str">
        <v/>
      </c>
      <c r="J98" s="79"/>
      <c r="K98" s="48"/>
      <c r="L98" s="49"/>
      <c r="M98" s="49"/>
      <c r="N98" s="49"/>
      <c r="O98" s="80"/>
      <c r="P98" s="50"/>
      <c r="R98" s="77">
        <v>0</v>
      </c>
      <c r="S98" s="59">
        <v>0</v>
      </c>
      <c r="V98" s="1" t="str">
        <v>SH_01/01 to BR1</v>
      </c>
      <c r="W98" s="1" t="str">
        <v>SCM0899</v>
      </c>
      <c r="X98" s="3" t="str">
        <v>SAP</v>
      </c>
      <c r="Y98" s="3" t="str">
        <v>L18_S09</v>
      </c>
      <c r="Z98" s="1">
        <v>33</v>
      </c>
      <c r="AA98" s="1">
        <v>12</v>
      </c>
      <c r="AB98" s="93">
        <v>1</v>
      </c>
      <c r="AD98" s="1" t="str">
        <f ca="1"/>
        <v>46211/D|BR1/04</v>
      </c>
      <c r="AE98" s="1" t="str">
        <f ca="1"/>
        <v>STM-A40_0106</v>
      </c>
      <c r="AF98" s="1" t="str">
        <f ca="1"/>
        <v>SAP</v>
      </c>
      <c r="AG98" s="1" t="str">
        <f ca="1"/>
        <v>LS_18</v>
      </c>
      <c r="AH98" s="1" t="str">
        <f ca="1"/>
        <v>L18_S09</v>
      </c>
      <c r="AI98" s="1" t="str">
        <f ca="1"/>
        <v>036 / 016</v>
      </c>
      <c r="AJ98" s="3" t="str">
        <f ca="1"/>
        <v>Yes</v>
      </c>
      <c r="AK98" s="1" t="str">
        <f ca="1"/>
        <v/>
      </c>
      <c r="AL98" s="105" t="str">
        <f ca="1"/>
        <v/>
      </c>
      <c r="BC98" s="1" t="str">
        <v/>
      </c>
      <c r="BD98" s="1" t="str">
        <v/>
      </c>
      <c r="BE98" s="1" t="str">
        <v/>
      </c>
      <c r="BF98" s="1" t="str">
        <v/>
      </c>
      <c r="BG98" s="1" t="str">
        <v/>
      </c>
      <c r="BH98" s="1" t="str">
        <v/>
      </c>
      <c r="BI98" s="1" t="str">
        <v/>
      </c>
      <c r="BJ98" s="1" t="str">
        <v/>
      </c>
      <c r="BK98" s="1" t="str">
        <v/>
      </c>
      <c r="BL98" s="1" t="str">
        <v/>
      </c>
      <c r="BM98" s="1" t="str">
        <v/>
      </c>
      <c r="BN98" s="1" t="str">
        <v/>
      </c>
      <c r="BO98" s="1" t="str">
        <v/>
      </c>
      <c r="BP98" s="1" t="str">
        <v/>
      </c>
      <c r="BQ98" s="1" t="str">
        <v/>
      </c>
      <c r="BR98" s="1" t="str">
        <v/>
      </c>
      <c r="BS98" s="1" t="str">
        <v/>
      </c>
      <c r="BT98" s="1" t="str">
        <v/>
      </c>
      <c r="BU98" s="1" t="str">
        <v/>
      </c>
      <c r="BV98" s="1" t="str">
        <v/>
      </c>
      <c r="BZ98" s="104" t="str">
        <v/>
      </c>
      <c r="CA98" s="104" t="str">
        <v/>
      </c>
      <c r="CB98" s="104" t="str">
        <v/>
      </c>
      <c r="CC98" s="104" t="str">
        <v/>
      </c>
      <c r="CD98" s="104" t="str">
        <v/>
      </c>
      <c r="CE98" s="104" t="str">
        <v/>
      </c>
      <c r="CF98" s="104" t="str">
        <v/>
      </c>
      <c r="CG98" s="104" t="str">
        <v/>
      </c>
      <c r="CH98" s="104" t="str">
        <v/>
      </c>
      <c r="CI98" s="104" t="str">
        <v/>
      </c>
      <c r="CJ98" s="104" t="str">
        <v/>
      </c>
      <c r="CK98" s="104" t="str">
        <v/>
      </c>
      <c r="CL98" s="104" t="str">
        <v/>
      </c>
      <c r="CM98" s="104" t="str">
        <v/>
      </c>
      <c r="CN98" s="104" t="str">
        <v/>
      </c>
      <c r="CO98" s="104" t="str">
        <v/>
      </c>
      <c r="CP98" s="104" t="str">
        <v/>
      </c>
      <c r="CQ98" s="104" t="str">
        <v/>
      </c>
      <c r="CR98" s="104" t="str">
        <v/>
      </c>
      <c r="CS98" s="104" t="str">
        <v/>
      </c>
    </row>
    <row r="99" spans="5:97" x14ac:dyDescent="0.25">
      <c r="E99" s="1" t="str">
        <v/>
      </c>
      <c r="F99" s="1">
        <v>0</v>
      </c>
      <c r="G99" s="1" t="str">
        <v/>
      </c>
      <c r="H99" s="1" t="str">
        <v/>
      </c>
      <c r="J99" s="79"/>
      <c r="K99" s="48"/>
      <c r="L99" s="49"/>
      <c r="M99" s="49"/>
      <c r="N99" s="49"/>
      <c r="O99" s="80"/>
      <c r="P99" s="50"/>
      <c r="R99" s="77">
        <v>0</v>
      </c>
      <c r="S99" s="59">
        <v>0</v>
      </c>
      <c r="V99" s="1" t="str">
        <v>SH_01/01 to BR1</v>
      </c>
      <c r="W99" s="1" t="str">
        <v>SCM0899</v>
      </c>
      <c r="X99" s="3" t="str">
        <v>SAP</v>
      </c>
      <c r="Y99" s="3" t="str">
        <v>L18_S09</v>
      </c>
      <c r="Z99" s="1">
        <v>33</v>
      </c>
      <c r="AA99" s="1">
        <v>14</v>
      </c>
      <c r="AB99" s="93">
        <v>1</v>
      </c>
      <c r="AD99" s="1" t="str">
        <f ca="1"/>
        <v>46211/D|BR1/04</v>
      </c>
      <c r="AE99" s="1" t="str">
        <f ca="1"/>
        <v>STM-A40_0105</v>
      </c>
      <c r="AF99" s="1" t="str">
        <f ca="1"/>
        <v>SAP</v>
      </c>
      <c r="AG99" s="1" t="str">
        <f ca="1"/>
        <v>LS_18</v>
      </c>
      <c r="AH99" s="1" t="str">
        <f ca="1"/>
        <v>L18_S09</v>
      </c>
      <c r="AI99" s="1" t="str">
        <f ca="1"/>
        <v>036 / 017</v>
      </c>
      <c r="AJ99" s="3" t="str">
        <f ca="1"/>
        <v>No</v>
      </c>
      <c r="AK99" s="1" t="str">
        <f ca="1"/>
        <v/>
      </c>
      <c r="AL99" s="105" t="str">
        <f ca="1"/>
        <v/>
      </c>
      <c r="BC99" s="1" t="str">
        <v/>
      </c>
      <c r="BD99" s="1" t="str">
        <v/>
      </c>
      <c r="BE99" s="1" t="str">
        <v/>
      </c>
      <c r="BF99" s="1" t="str">
        <v/>
      </c>
      <c r="BG99" s="1" t="str">
        <v/>
      </c>
      <c r="BH99" s="1" t="str">
        <v/>
      </c>
      <c r="BI99" s="1" t="str">
        <v/>
      </c>
      <c r="BJ99" s="1" t="str">
        <v/>
      </c>
      <c r="BK99" s="1" t="str">
        <v/>
      </c>
      <c r="BL99" s="1" t="str">
        <v/>
      </c>
      <c r="BM99" s="1" t="str">
        <v/>
      </c>
      <c r="BN99" s="1" t="str">
        <v/>
      </c>
      <c r="BO99" s="1" t="str">
        <v/>
      </c>
      <c r="BP99" s="1" t="str">
        <v/>
      </c>
      <c r="BQ99" s="1" t="str">
        <v/>
      </c>
      <c r="BR99" s="1" t="str">
        <v/>
      </c>
      <c r="BS99" s="1" t="str">
        <v/>
      </c>
      <c r="BT99" s="1" t="str">
        <v/>
      </c>
      <c r="BU99" s="1" t="str">
        <v/>
      </c>
      <c r="BV99" s="1" t="str">
        <v/>
      </c>
      <c r="BZ99" s="104" t="str">
        <v/>
      </c>
      <c r="CA99" s="104" t="str">
        <v/>
      </c>
      <c r="CB99" s="104" t="str">
        <v/>
      </c>
      <c r="CC99" s="104" t="str">
        <v/>
      </c>
      <c r="CD99" s="104" t="str">
        <v/>
      </c>
      <c r="CE99" s="104" t="str">
        <v/>
      </c>
      <c r="CF99" s="104" t="str">
        <v/>
      </c>
      <c r="CG99" s="104" t="str">
        <v/>
      </c>
      <c r="CH99" s="104" t="str">
        <v/>
      </c>
      <c r="CI99" s="104" t="str">
        <v/>
      </c>
      <c r="CJ99" s="104" t="str">
        <v/>
      </c>
      <c r="CK99" s="104" t="str">
        <v/>
      </c>
      <c r="CL99" s="104" t="str">
        <v/>
      </c>
      <c r="CM99" s="104" t="str">
        <v/>
      </c>
      <c r="CN99" s="104" t="str">
        <v/>
      </c>
      <c r="CO99" s="104" t="str">
        <v/>
      </c>
      <c r="CP99" s="104" t="str">
        <v/>
      </c>
      <c r="CQ99" s="104" t="str">
        <v/>
      </c>
      <c r="CR99" s="104" t="str">
        <v/>
      </c>
      <c r="CS99" s="104" t="str">
        <v/>
      </c>
    </row>
    <row r="100" spans="5:97" x14ac:dyDescent="0.25">
      <c r="V100" s="1" t="str">
        <v>SH_01/01 to BR1</v>
      </c>
      <c r="W100" s="1" t="str">
        <v>SCM0899</v>
      </c>
      <c r="X100" s="3" t="str">
        <v>SAP</v>
      </c>
      <c r="Y100" s="3" t="str">
        <v>L18_S09</v>
      </c>
      <c r="Z100" s="1">
        <v>33</v>
      </c>
      <c r="AA100" s="1">
        <v>16</v>
      </c>
      <c r="AB100" s="93">
        <v>1</v>
      </c>
      <c r="AD100" s="1" t="str">
        <f ca="1"/>
        <v>46211/D|BR1/04</v>
      </c>
      <c r="AE100" s="1" t="str">
        <f ca="1"/>
        <v>STM-A40_0107</v>
      </c>
      <c r="AF100" s="1" t="str">
        <f ca="1"/>
        <v>SAP</v>
      </c>
      <c r="AG100" s="1" t="str">
        <f ca="1"/>
        <v>LS_18</v>
      </c>
      <c r="AH100" s="1" t="str">
        <f ca="1"/>
        <v>L18_S09</v>
      </c>
      <c r="AI100" s="1" t="str">
        <f ca="1"/>
        <v>036 / 018</v>
      </c>
      <c r="AJ100" s="3" t="str">
        <f ca="1"/>
        <v>Yes</v>
      </c>
      <c r="AK100" s="1" t="str">
        <f ca="1"/>
        <v/>
      </c>
      <c r="AL100" s="105" t="str">
        <f ca="1"/>
        <v/>
      </c>
    </row>
    <row r="101" spans="5:97" x14ac:dyDescent="0.25">
      <c r="V101" s="1" t="str">
        <v>SH_01/01 to BR1</v>
      </c>
      <c r="W101" s="1" t="str">
        <v>SCM0899</v>
      </c>
      <c r="X101" s="3" t="str">
        <v>SAP</v>
      </c>
      <c r="Y101" s="3" t="str">
        <v>L18_S09</v>
      </c>
      <c r="Z101" s="1">
        <v>33</v>
      </c>
      <c r="AA101" s="1">
        <v>18</v>
      </c>
      <c r="AB101" s="93">
        <v>1</v>
      </c>
      <c r="AD101" s="1" t="str">
        <f ca="1"/>
        <v>46211/D|BR1/04</v>
      </c>
      <c r="AE101" s="1" t="str">
        <f ca="1"/>
        <v>STM-A40_0136</v>
      </c>
      <c r="AF101" s="1" t="str">
        <f ca="1"/>
        <v>SAP</v>
      </c>
      <c r="AG101" s="1" t="str">
        <f ca="1"/>
        <v>LS_18</v>
      </c>
      <c r="AH101" s="1" t="str">
        <f ca="1"/>
        <v>L18_S09</v>
      </c>
      <c r="AI101" s="1" t="str">
        <f ca="1"/>
        <v>036 / 019</v>
      </c>
      <c r="AJ101" s="3" t="str">
        <f ca="1"/>
        <v>No</v>
      </c>
      <c r="AK101" s="1" t="str">
        <f ca="1"/>
        <v/>
      </c>
      <c r="AL101" s="105" t="str">
        <f ca="1"/>
        <v/>
      </c>
    </row>
    <row r="102" spans="5:97" x14ac:dyDescent="0.25">
      <c r="V102" s="1" t="str">
        <v>SH_01/01 to BR1</v>
      </c>
      <c r="W102" s="1" t="str">
        <v>SCM0899</v>
      </c>
      <c r="X102" s="3" t="str">
        <v>SAP</v>
      </c>
      <c r="Y102" s="3" t="str">
        <v>L18_S09</v>
      </c>
      <c r="Z102" s="1">
        <v>33</v>
      </c>
      <c r="AA102" s="1">
        <v>20</v>
      </c>
      <c r="AB102" s="93">
        <v>1</v>
      </c>
      <c r="AD102" s="1" t="str">
        <f ca="1"/>
        <v>46211/D|BR1/04</v>
      </c>
      <c r="AE102" s="1" t="str">
        <f ca="1"/>
        <v>STM-A40_0106</v>
      </c>
      <c r="AF102" s="1" t="str">
        <f ca="1"/>
        <v>SAP</v>
      </c>
      <c r="AG102" s="1" t="str">
        <f ca="1"/>
        <v>LS_18</v>
      </c>
      <c r="AH102" s="1" t="str">
        <f ca="1"/>
        <v>L18_S09</v>
      </c>
      <c r="AI102" s="1" t="str">
        <f ca="1"/>
        <v>036 / 020</v>
      </c>
      <c r="AJ102" s="3" t="str">
        <f ca="1"/>
        <v>Yes</v>
      </c>
      <c r="AK102" s="1" t="str">
        <f ca="1"/>
        <v/>
      </c>
      <c r="AL102" s="105" t="str">
        <f ca="1"/>
        <v/>
      </c>
    </row>
    <row r="103" spans="5:97" x14ac:dyDescent="0.25">
      <c r="V103" s="1" t="str">
        <v>SH_01/01 to BR1</v>
      </c>
      <c r="W103" s="1" t="str">
        <v>SCM0899</v>
      </c>
      <c r="X103" s="3" t="str">
        <v>SAP</v>
      </c>
      <c r="Y103" s="3" t="str">
        <v>L18_S09</v>
      </c>
      <c r="Z103" s="1">
        <v>35</v>
      </c>
      <c r="AA103" s="1">
        <v>2</v>
      </c>
      <c r="AB103" s="93">
        <v>1</v>
      </c>
      <c r="AD103" s="1" t="str">
        <f ca="1"/>
        <v>46211/D|BR1/04</v>
      </c>
      <c r="AE103" s="1" t="str">
        <f ca="1"/>
        <v>STM-A40_0098</v>
      </c>
      <c r="AF103" s="1" t="str">
        <f ca="1"/>
        <v>SAP</v>
      </c>
      <c r="AG103" s="1" t="str">
        <f ca="1"/>
        <v>LS_18</v>
      </c>
      <c r="AH103" s="1" t="str">
        <f ca="1"/>
        <v>L18_S09</v>
      </c>
      <c r="AI103" s="1" t="str">
        <f ca="1"/>
        <v>037 / 001</v>
      </c>
      <c r="AJ103" s="3" t="str">
        <f ca="1"/>
        <v>No</v>
      </c>
      <c r="AK103" s="1" t="str">
        <f ca="1"/>
        <v/>
      </c>
      <c r="AL103" s="105" t="str">
        <f ca="1"/>
        <v/>
      </c>
    </row>
    <row r="104" spans="5:97" x14ac:dyDescent="0.25">
      <c r="V104" s="1" t="str">
        <v>SH_01/01 to BR1</v>
      </c>
      <c r="W104" s="1" t="str">
        <v>SCM0899</v>
      </c>
      <c r="X104" s="3" t="str">
        <v>SAP</v>
      </c>
      <c r="Y104" s="3" t="str">
        <v>L18_S09</v>
      </c>
      <c r="Z104" s="1">
        <v>35</v>
      </c>
      <c r="AA104" s="1">
        <v>4</v>
      </c>
      <c r="AB104" s="93">
        <v>1</v>
      </c>
      <c r="AD104" s="1" t="str">
        <f ca="1"/>
        <v>46211/D|BR1/04</v>
      </c>
      <c r="AE104" s="1" t="str">
        <f ca="1"/>
        <v>STM-A40_0106</v>
      </c>
      <c r="AF104" s="1" t="str">
        <f ca="1"/>
        <v>SAP</v>
      </c>
      <c r="AG104" s="1" t="str">
        <f ca="1"/>
        <v>LS_18</v>
      </c>
      <c r="AH104" s="1" t="str">
        <f ca="1"/>
        <v>L18_S09</v>
      </c>
      <c r="AI104" s="1" t="str">
        <f ca="1"/>
        <v>037 / 002</v>
      </c>
      <c r="AJ104" s="3" t="str">
        <f ca="1"/>
        <v>Yes</v>
      </c>
      <c r="AK104" s="1" t="str">
        <f ca="1"/>
        <v/>
      </c>
      <c r="AL104" s="105" t="str">
        <f ca="1"/>
        <v/>
      </c>
    </row>
    <row r="105" spans="5:97" x14ac:dyDescent="0.25">
      <c r="V105" s="1" t="str">
        <v>SH_01/01 to BR1</v>
      </c>
      <c r="W105" s="1" t="str">
        <v>SCM0899</v>
      </c>
      <c r="X105" s="3" t="str">
        <v>SAP</v>
      </c>
      <c r="Y105" s="3" t="str">
        <v>L18_S09</v>
      </c>
      <c r="Z105" s="1">
        <v>35</v>
      </c>
      <c r="AA105" s="1">
        <v>6</v>
      </c>
      <c r="AB105" s="93">
        <v>1</v>
      </c>
      <c r="AD105" s="1" t="str">
        <f ca="1"/>
        <v>46211/D|BR1/04</v>
      </c>
      <c r="AE105" s="1" t="str">
        <f ca="1"/>
        <v>STM-A40_0107</v>
      </c>
      <c r="AF105" s="1" t="str">
        <f ca="1"/>
        <v>SAP</v>
      </c>
      <c r="AG105" s="1" t="str">
        <f ca="1"/>
        <v>LS_18</v>
      </c>
      <c r="AH105" s="1" t="str">
        <f ca="1"/>
        <v>L18_S09</v>
      </c>
      <c r="AI105" s="1" t="str">
        <f ca="1"/>
        <v>037 / 003</v>
      </c>
      <c r="AJ105" s="3" t="str">
        <f ca="1"/>
        <v>No</v>
      </c>
      <c r="AK105" s="1" t="str">
        <f ca="1"/>
        <v/>
      </c>
      <c r="AL105" s="105" t="str">
        <f ca="1"/>
        <v/>
      </c>
    </row>
    <row r="106" spans="5:97" x14ac:dyDescent="0.25">
      <c r="V106" s="1" t="str">
        <v>SH_01/01 to BR1</v>
      </c>
      <c r="W106" s="1" t="str">
        <v>SCM0899</v>
      </c>
      <c r="X106" s="3" t="str">
        <v>SAP</v>
      </c>
      <c r="Y106" s="3" t="str">
        <v>L18_S09</v>
      </c>
      <c r="Z106" s="1">
        <v>35</v>
      </c>
      <c r="AA106" s="1">
        <v>8</v>
      </c>
      <c r="AB106" s="93">
        <v>1</v>
      </c>
      <c r="AD106" s="1" t="str">
        <f ca="1"/>
        <v>46211/D|BR1/04</v>
      </c>
      <c r="AE106" s="1" t="str">
        <f ca="1"/>
        <v>STM-A40_0105</v>
      </c>
      <c r="AF106" s="1" t="str">
        <f ca="1"/>
        <v>SAP</v>
      </c>
      <c r="AG106" s="1" t="str">
        <f ca="1"/>
        <v>LS_18</v>
      </c>
      <c r="AH106" s="1" t="str">
        <f ca="1"/>
        <v>L18_S09</v>
      </c>
      <c r="AI106" s="1" t="str">
        <f ca="1"/>
        <v>037 / 004</v>
      </c>
      <c r="AJ106" s="3" t="str">
        <f ca="1"/>
        <v>Yes</v>
      </c>
      <c r="AK106" s="1" t="str">
        <f ca="1"/>
        <v/>
      </c>
      <c r="AL106" s="105" t="str">
        <f ca="1"/>
        <v/>
      </c>
    </row>
    <row r="107" spans="5:97" x14ac:dyDescent="0.25">
      <c r="V107" s="1" t="str">
        <v>SH_01/01 to BR1</v>
      </c>
      <c r="W107" s="1" t="str">
        <v>SCM0899</v>
      </c>
      <c r="X107" s="3" t="str">
        <v>SAP</v>
      </c>
      <c r="Y107" s="3" t="str">
        <v>L18_S09</v>
      </c>
      <c r="Z107" s="1">
        <v>35</v>
      </c>
      <c r="AA107" s="1">
        <v>10</v>
      </c>
      <c r="AB107" s="93">
        <v>1</v>
      </c>
      <c r="AD107" s="1" t="str">
        <f ca="1"/>
        <v>46211/D|BR1/04</v>
      </c>
      <c r="AE107" s="1" t="str">
        <f ca="1"/>
        <v>STM-A40_0107</v>
      </c>
      <c r="AF107" s="1" t="str">
        <f ca="1"/>
        <v>SAP</v>
      </c>
      <c r="AG107" s="1" t="str">
        <f ca="1"/>
        <v>LS_18</v>
      </c>
      <c r="AH107" s="1" t="str">
        <f ca="1"/>
        <v>L18_S09</v>
      </c>
      <c r="AI107" s="1" t="str">
        <f ca="1"/>
        <v>037 / 005</v>
      </c>
      <c r="AJ107" s="3" t="str">
        <f ca="1"/>
        <v>No</v>
      </c>
      <c r="AK107" s="1" t="str">
        <f ca="1"/>
        <v/>
      </c>
      <c r="AL107" s="105" t="str">
        <f ca="1"/>
        <v/>
      </c>
    </row>
    <row r="108" spans="5:97" x14ac:dyDescent="0.25">
      <c r="V108" s="1" t="str">
        <v>SH_01/01 to BR1</v>
      </c>
      <c r="W108" s="1" t="str">
        <v>SCM0899</v>
      </c>
      <c r="X108" s="3" t="str">
        <v>SAP</v>
      </c>
      <c r="Y108" s="3" t="str">
        <v>L18_S09</v>
      </c>
      <c r="Z108" s="1">
        <v>35</v>
      </c>
      <c r="AA108" s="1">
        <v>12</v>
      </c>
      <c r="AB108" s="93">
        <v>1</v>
      </c>
      <c r="AD108" s="1" t="str">
        <f ca="1"/>
        <v>46211/D|BR1/04</v>
      </c>
      <c r="AE108" s="1" t="str">
        <f ca="1"/>
        <v>STM-A40_0136</v>
      </c>
      <c r="AF108" s="1" t="str">
        <f ca="1"/>
        <v>SAP</v>
      </c>
      <c r="AG108" s="1" t="str">
        <f ca="1"/>
        <v>LS_18</v>
      </c>
      <c r="AH108" s="1" t="str">
        <f ca="1"/>
        <v>L18_S09</v>
      </c>
      <c r="AI108" s="1" t="str">
        <f ca="1"/>
        <v>037 / 006</v>
      </c>
      <c r="AJ108" s="3" t="str">
        <f ca="1"/>
        <v>Yes</v>
      </c>
      <c r="AK108" s="1" t="str">
        <f ca="1"/>
        <v/>
      </c>
      <c r="AL108" s="105" t="str">
        <f ca="1"/>
        <v/>
      </c>
    </row>
    <row r="109" spans="5:97" x14ac:dyDescent="0.25">
      <c r="V109" s="1" t="str">
        <v>SH_01/01 to BR1</v>
      </c>
      <c r="W109" s="1" t="str">
        <v>SCM0899</v>
      </c>
      <c r="X109" s="3" t="str">
        <v>SAP</v>
      </c>
      <c r="Y109" s="3" t="str">
        <v>L18_S09</v>
      </c>
      <c r="Z109" s="1">
        <v>35</v>
      </c>
      <c r="AA109" s="1">
        <v>14</v>
      </c>
      <c r="AB109" s="93">
        <v>1</v>
      </c>
      <c r="AD109" s="1" t="str">
        <f ca="1"/>
        <v>46211/D|BR1/04</v>
      </c>
      <c r="AE109" s="1" t="str">
        <f ca="1"/>
        <v>STM-A40_0106</v>
      </c>
      <c r="AF109" s="1" t="str">
        <f ca="1"/>
        <v>SAP</v>
      </c>
      <c r="AG109" s="1" t="str">
        <f ca="1"/>
        <v>LS_18</v>
      </c>
      <c r="AH109" s="1" t="str">
        <f ca="1"/>
        <v>L18_S09</v>
      </c>
      <c r="AI109" s="1" t="str">
        <f ca="1"/>
        <v>037 / 007</v>
      </c>
      <c r="AJ109" s="3" t="str">
        <f ca="1"/>
        <v>No</v>
      </c>
      <c r="AK109" s="1" t="str">
        <f ca="1"/>
        <v/>
      </c>
      <c r="AL109" s="105" t="str">
        <f ca="1"/>
        <v/>
      </c>
    </row>
    <row r="110" spans="5:97" x14ac:dyDescent="0.25">
      <c r="V110" s="1" t="str">
        <v>SH_01/01 to BR1</v>
      </c>
      <c r="W110" s="1" t="str">
        <v>SCM0899</v>
      </c>
      <c r="X110" s="3" t="str">
        <v>SAP</v>
      </c>
      <c r="Y110" s="3" t="str">
        <v>L18_S09</v>
      </c>
      <c r="Z110" s="1">
        <v>35</v>
      </c>
      <c r="AA110" s="1">
        <v>16</v>
      </c>
      <c r="AB110" s="93">
        <v>1</v>
      </c>
      <c r="AD110" s="1" t="str">
        <f ca="1"/>
        <v>46211/D|BR1/04</v>
      </c>
      <c r="AE110" s="1" t="str">
        <f ca="1"/>
        <v>STM-A40_0098</v>
      </c>
      <c r="AF110" s="1" t="str">
        <f ca="1"/>
        <v>SAP</v>
      </c>
      <c r="AG110" s="1" t="str">
        <f ca="1"/>
        <v>LS_18</v>
      </c>
      <c r="AH110" s="1" t="str">
        <f ca="1"/>
        <v>L18_S09</v>
      </c>
      <c r="AI110" s="1" t="str">
        <f ca="1"/>
        <v>037 / 008</v>
      </c>
      <c r="AJ110" s="3" t="str">
        <f ca="1"/>
        <v>Yes</v>
      </c>
      <c r="AK110" s="1" t="str">
        <f ca="1"/>
        <v/>
      </c>
      <c r="AL110" s="105" t="str">
        <f ca="1"/>
        <v/>
      </c>
    </row>
    <row r="111" spans="5:97" x14ac:dyDescent="0.25">
      <c r="V111" s="1" t="str">
        <v>SH_01/01 to BR1</v>
      </c>
      <c r="W111" s="1" t="str">
        <v>SCM0899</v>
      </c>
      <c r="X111" s="3" t="str">
        <v>SAP</v>
      </c>
      <c r="Y111" s="3" t="str">
        <v>L18_S09</v>
      </c>
      <c r="Z111" s="1">
        <v>35</v>
      </c>
      <c r="AA111" s="1">
        <v>18</v>
      </c>
      <c r="AB111" s="93">
        <v>1</v>
      </c>
      <c r="AD111" s="1" t="str">
        <f ca="1"/>
        <v>46211/D|BR1/04</v>
      </c>
      <c r="AE111" s="1" t="str">
        <f ca="1"/>
        <v>STM-A40_0121</v>
      </c>
      <c r="AF111" s="1" t="str">
        <f ca="1"/>
        <v>SAP</v>
      </c>
      <c r="AG111" s="1" t="str">
        <f ca="1"/>
        <v>LS_18</v>
      </c>
      <c r="AH111" s="1" t="str">
        <f ca="1"/>
        <v>L18_S09</v>
      </c>
      <c r="AI111" s="1" t="str">
        <f ca="1"/>
        <v>037 / 009</v>
      </c>
      <c r="AJ111" s="3" t="str">
        <f ca="1"/>
        <v>No</v>
      </c>
      <c r="AK111" s="1" t="str">
        <f ca="1"/>
        <v/>
      </c>
      <c r="AL111" s="105" t="str">
        <f ca="1"/>
        <v>TRUCK SALAH</v>
      </c>
    </row>
    <row r="112" spans="5:97" x14ac:dyDescent="0.25">
      <c r="V112" s="1" t="str">
        <v>SH_01/01 to BR1</v>
      </c>
      <c r="W112" s="1" t="str">
        <v>SCM0899</v>
      </c>
      <c r="X112" s="3" t="str">
        <v>SAP</v>
      </c>
      <c r="Y112" s="3" t="str">
        <v>L18_S09</v>
      </c>
      <c r="Z112" s="1">
        <v>35</v>
      </c>
      <c r="AA112" s="1">
        <v>20</v>
      </c>
      <c r="AB112" s="93">
        <v>1</v>
      </c>
      <c r="AD112" s="1" t="str">
        <f ca="1"/>
        <v>46211/D|BR1/04</v>
      </c>
      <c r="AE112" s="1" t="str">
        <f ca="1"/>
        <v>STM-A40_0119</v>
      </c>
      <c r="AF112" s="1" t="str">
        <f ca="1"/>
        <v>SAP</v>
      </c>
      <c r="AG112" s="1" t="str">
        <f ca="1"/>
        <v>LS_18</v>
      </c>
      <c r="AH112" s="1" t="str">
        <f ca="1"/>
        <v>L18_S09</v>
      </c>
      <c r="AI112" s="1" t="str">
        <f ca="1"/>
        <v>037 / 010</v>
      </c>
      <c r="AJ112" s="3" t="str">
        <f ca="1"/>
        <v>Yes</v>
      </c>
      <c r="AK112" s="1" t="str">
        <f ca="1"/>
        <v/>
      </c>
      <c r="AL112" s="105" t="str">
        <f ca="1"/>
        <v/>
      </c>
    </row>
    <row r="113" spans="22:38" x14ac:dyDescent="0.25">
      <c r="V113" s="1" t="str">
        <v>SH_01/01 to BR1</v>
      </c>
      <c r="W113" s="1" t="str">
        <v>SCM0899</v>
      </c>
      <c r="X113" s="3" t="str">
        <v>SAP</v>
      </c>
      <c r="Y113" s="3" t="str">
        <v>L18_S09</v>
      </c>
      <c r="Z113" s="1">
        <v>38</v>
      </c>
      <c r="AA113" s="1">
        <v>2</v>
      </c>
      <c r="AB113" s="93">
        <v>1</v>
      </c>
      <c r="AD113" s="1" t="str">
        <f ca="1"/>
        <v>46211/D|BR1/04</v>
      </c>
      <c r="AE113" s="1" t="str">
        <f ca="1"/>
        <v>STM-A40_0105</v>
      </c>
      <c r="AF113" s="1" t="str">
        <f ca="1"/>
        <v>SAP</v>
      </c>
      <c r="AG113" s="1" t="str">
        <f ca="1"/>
        <v>LS_18</v>
      </c>
      <c r="AH113" s="1" t="str">
        <f ca="1"/>
        <v>L18_S09</v>
      </c>
      <c r="AI113" s="1" t="str">
        <f ca="1"/>
        <v>037 / 011</v>
      </c>
      <c r="AJ113" s="3" t="str">
        <f ca="1"/>
        <v>No</v>
      </c>
      <c r="AK113" s="1" t="str">
        <f ca="1"/>
        <v/>
      </c>
      <c r="AL113" s="105" t="str">
        <f ca="1"/>
        <v/>
      </c>
    </row>
    <row r="114" spans="22:38" x14ac:dyDescent="0.25">
      <c r="V114" s="1" t="str">
        <v>SH_01/01 to BR1</v>
      </c>
      <c r="W114" s="1" t="str">
        <v>SCM0899</v>
      </c>
      <c r="X114" s="3" t="str">
        <v>SAP</v>
      </c>
      <c r="Y114" s="3" t="str">
        <v>L18_S09</v>
      </c>
      <c r="Z114" s="1">
        <v>38</v>
      </c>
      <c r="AA114" s="1">
        <v>4</v>
      </c>
      <c r="AB114" s="93">
        <v>1</v>
      </c>
      <c r="AD114" s="1" t="str">
        <f ca="1"/>
        <v>46211/D|BR1/04</v>
      </c>
      <c r="AE114" s="1" t="str">
        <f ca="1"/>
        <v>STM-A40_0106</v>
      </c>
      <c r="AF114" s="1" t="str">
        <f ca="1"/>
        <v>SAP</v>
      </c>
      <c r="AG114" s="1" t="str">
        <f ca="1"/>
        <v>LS_18</v>
      </c>
      <c r="AH114" s="1" t="str">
        <f ca="1"/>
        <v>L18_S09</v>
      </c>
      <c r="AI114" s="1" t="str">
        <f ca="1"/>
        <v>037 / 012</v>
      </c>
      <c r="AJ114" s="3" t="str">
        <f ca="1"/>
        <v>Yes</v>
      </c>
      <c r="AK114" s="1" t="str">
        <f ca="1"/>
        <v/>
      </c>
      <c r="AL114" s="105" t="str">
        <f ca="1"/>
        <v/>
      </c>
    </row>
    <row r="115" spans="22:38" x14ac:dyDescent="0.25">
      <c r="V115" s="1" t="str">
        <v>SH_01/01 to BR1</v>
      </c>
      <c r="W115" s="1" t="str">
        <v>SCM0899</v>
      </c>
      <c r="X115" s="3" t="str">
        <v>SAP</v>
      </c>
      <c r="Y115" s="3" t="str">
        <v>L18_S09</v>
      </c>
      <c r="Z115" s="1">
        <v>38</v>
      </c>
      <c r="AA115" s="1">
        <v>6</v>
      </c>
      <c r="AB115" s="93">
        <v>1</v>
      </c>
      <c r="AD115" s="1" t="str">
        <f ca="1"/>
        <v>46211/D|BR1/04</v>
      </c>
      <c r="AE115" s="1" t="str">
        <f ca="1"/>
        <v>STM-A40_0098</v>
      </c>
      <c r="AF115" s="1" t="str">
        <f ca="1"/>
        <v>SAP</v>
      </c>
      <c r="AG115" s="1" t="str">
        <f ca="1"/>
        <v>LS_18</v>
      </c>
      <c r="AH115" s="1" t="str">
        <f ca="1"/>
        <v>L18_S09</v>
      </c>
      <c r="AI115" s="1" t="str">
        <f ca="1"/>
        <v>037 / 013</v>
      </c>
      <c r="AJ115" s="3" t="str">
        <f ca="1"/>
        <v>No</v>
      </c>
      <c r="AK115" s="1" t="str">
        <f ca="1"/>
        <v/>
      </c>
      <c r="AL115" s="105" t="str">
        <f ca="1"/>
        <v/>
      </c>
    </row>
    <row r="116" spans="22:38" x14ac:dyDescent="0.25">
      <c r="V116" s="1" t="str">
        <v>SH_01/01 to BR1</v>
      </c>
      <c r="W116" s="1" t="str">
        <v>SCM0899</v>
      </c>
      <c r="X116" s="3" t="str">
        <v>SAP</v>
      </c>
      <c r="Y116" s="3" t="str">
        <v>L18_S09</v>
      </c>
      <c r="Z116" s="1">
        <v>38</v>
      </c>
      <c r="AA116" s="1">
        <v>8</v>
      </c>
      <c r="AB116" s="93">
        <v>1</v>
      </c>
      <c r="AD116" s="1" t="str">
        <f ca="1"/>
        <v>46211/D|BR1/04</v>
      </c>
      <c r="AE116" s="1" t="str">
        <f ca="1"/>
        <v>STM-A40_0119</v>
      </c>
      <c r="AF116" s="1" t="str">
        <f ca="1"/>
        <v>SAP</v>
      </c>
      <c r="AG116" s="1" t="str">
        <f ca="1"/>
        <v>LS_18</v>
      </c>
      <c r="AH116" s="1" t="str">
        <f ca="1"/>
        <v>L18_S09</v>
      </c>
      <c r="AI116" s="1" t="str">
        <f ca="1"/>
        <v>037 / 014</v>
      </c>
      <c r="AJ116" s="3" t="str">
        <f ca="1"/>
        <v>Yes</v>
      </c>
      <c r="AK116" s="1" t="str">
        <f ca="1"/>
        <v/>
      </c>
      <c r="AL116" s="105" t="str">
        <f ca="1"/>
        <v/>
      </c>
    </row>
    <row r="117" spans="22:38" x14ac:dyDescent="0.25">
      <c r="V117" s="1" t="str">
        <v>SH_01/01 to BR1</v>
      </c>
      <c r="W117" s="1" t="str">
        <v>SCM0899</v>
      </c>
      <c r="X117" s="3" t="str">
        <v>SAP</v>
      </c>
      <c r="Y117" s="3" t="str">
        <v>L18_S09</v>
      </c>
      <c r="Z117" s="1">
        <v>38</v>
      </c>
      <c r="AA117" s="1">
        <v>10</v>
      </c>
      <c r="AB117" s="93">
        <v>1</v>
      </c>
      <c r="AD117" s="1" t="str">
        <f ca="1"/>
        <v>46211/D|BR1/04</v>
      </c>
      <c r="AE117" s="1" t="str">
        <f ca="1"/>
        <v>STM-A40_0106</v>
      </c>
      <c r="AF117" s="1" t="str">
        <f ca="1"/>
        <v>SAP</v>
      </c>
      <c r="AG117" s="1" t="str">
        <f ca="1"/>
        <v>LS_18</v>
      </c>
      <c r="AH117" s="1" t="str">
        <f ca="1"/>
        <v>L18_S09</v>
      </c>
      <c r="AI117" s="1" t="str">
        <f ca="1"/>
        <v>037 / 015</v>
      </c>
      <c r="AJ117" s="3" t="str">
        <f ca="1"/>
        <v>No</v>
      </c>
      <c r="AK117" s="1" t="str">
        <f ca="1"/>
        <v/>
      </c>
      <c r="AL117" s="105" t="str">
        <f ca="1"/>
        <v/>
      </c>
    </row>
    <row r="118" spans="22:38" x14ac:dyDescent="0.25">
      <c r="V118" s="1" t="str">
        <v>SH_01/01 to BR1</v>
      </c>
      <c r="W118" s="1" t="str">
        <v>SCM0899</v>
      </c>
      <c r="X118" s="3" t="str">
        <v>SAP</v>
      </c>
      <c r="Y118" s="3" t="str">
        <v>L18_S09</v>
      </c>
      <c r="Z118" s="1">
        <v>38</v>
      </c>
      <c r="AA118" s="1">
        <v>12</v>
      </c>
      <c r="AB118" s="93">
        <v>1</v>
      </c>
      <c r="AD118" s="1" t="str">
        <f ca="1"/>
        <v>46211/D|BR1/04</v>
      </c>
      <c r="AE118" s="1" t="str">
        <f ca="1"/>
        <v>STM-A40_0121</v>
      </c>
      <c r="AF118" s="1" t="str">
        <f ca="1"/>
        <v>SAP</v>
      </c>
      <c r="AG118" s="1" t="str">
        <f ca="1"/>
        <v>LS_18</v>
      </c>
      <c r="AH118" s="1" t="str">
        <f ca="1"/>
        <v>L18_S09</v>
      </c>
      <c r="AI118" s="1" t="str">
        <f ca="1"/>
        <v>037 / 016</v>
      </c>
      <c r="AJ118" s="3" t="str">
        <f ca="1"/>
        <v>Yes</v>
      </c>
      <c r="AK118" s="1" t="str">
        <f ca="1"/>
        <v/>
      </c>
      <c r="AL118" s="105" t="str">
        <f ca="1"/>
        <v>TRUCK SALAH</v>
      </c>
    </row>
    <row r="119" spans="22:38" x14ac:dyDescent="0.25">
      <c r="V119" s="1" t="str">
        <v>SH_01/01 to BR1</v>
      </c>
      <c r="W119" s="1" t="str">
        <v>SCM0899</v>
      </c>
      <c r="X119" s="3" t="str">
        <v>SAP</v>
      </c>
      <c r="Y119" s="3" t="str">
        <v>L18_S09</v>
      </c>
      <c r="Z119" s="1">
        <v>38</v>
      </c>
      <c r="AA119" s="1">
        <v>14</v>
      </c>
      <c r="AB119" s="93">
        <v>1</v>
      </c>
      <c r="AD119" s="1" t="str">
        <f ca="1"/>
        <v>46211/D|BR1/04</v>
      </c>
      <c r="AE119" s="1" t="str">
        <f ca="1"/>
        <v>STM-A40_0119</v>
      </c>
      <c r="AF119" s="1" t="str">
        <f ca="1"/>
        <v>SAP</v>
      </c>
      <c r="AG119" s="1" t="str">
        <f ca="1"/>
        <v>LS_18</v>
      </c>
      <c r="AH119" s="1" t="str">
        <f ca="1"/>
        <v>L18_S09</v>
      </c>
      <c r="AI119" s="1" t="str">
        <f ca="1"/>
        <v>037 / 017</v>
      </c>
      <c r="AJ119" s="3" t="str">
        <f ca="1"/>
        <v>No</v>
      </c>
      <c r="AK119" s="1" t="str">
        <f ca="1"/>
        <v/>
      </c>
      <c r="AL119" s="105" t="str">
        <f ca="1"/>
        <v/>
      </c>
    </row>
    <row r="120" spans="22:38" x14ac:dyDescent="0.25">
      <c r="V120" s="1" t="str">
        <v>SH_01/01 to BR1</v>
      </c>
      <c r="W120" s="1" t="str">
        <v>SCM0899</v>
      </c>
      <c r="X120" s="3" t="str">
        <v>SAP</v>
      </c>
      <c r="Y120" s="3" t="str">
        <v>L18_S09</v>
      </c>
      <c r="Z120" s="1">
        <v>38</v>
      </c>
      <c r="AA120" s="1">
        <v>16</v>
      </c>
      <c r="AB120" s="93">
        <v>1</v>
      </c>
      <c r="AD120" s="1" t="str">
        <f ca="1"/>
        <v>46211/D|BR1/04</v>
      </c>
      <c r="AE120" s="1" t="str">
        <f ca="1"/>
        <v>STM-A40_0105</v>
      </c>
      <c r="AF120" s="1" t="str">
        <f ca="1"/>
        <v>SAP</v>
      </c>
      <c r="AG120" s="1" t="str">
        <f ca="1"/>
        <v>LS_18</v>
      </c>
      <c r="AH120" s="1" t="str">
        <f ca="1"/>
        <v>L18_S09</v>
      </c>
      <c r="AI120" s="1" t="str">
        <f ca="1"/>
        <v>037 / 018</v>
      </c>
      <c r="AJ120" s="3" t="str">
        <f ca="1"/>
        <v>Yes</v>
      </c>
      <c r="AK120" s="1" t="str">
        <f ca="1"/>
        <v/>
      </c>
      <c r="AL120" s="105" t="str">
        <f ca="1"/>
        <v/>
      </c>
    </row>
    <row r="121" spans="22:38" x14ac:dyDescent="0.25">
      <c r="V121" s="1" t="str">
        <v>SH_01/01 to BR1</v>
      </c>
      <c r="W121" s="1" t="str">
        <v>SCM0899</v>
      </c>
      <c r="X121" s="3" t="str">
        <v>SAP</v>
      </c>
      <c r="Y121" s="3" t="str">
        <v>L18_S09</v>
      </c>
      <c r="Z121" s="1">
        <v>38</v>
      </c>
      <c r="AA121" s="1">
        <v>18</v>
      </c>
      <c r="AB121" s="93">
        <v>1</v>
      </c>
      <c r="AD121" s="1" t="str">
        <f ca="1"/>
        <v>46211/D|BR1/04</v>
      </c>
      <c r="AE121" s="1" t="str">
        <f ca="1"/>
        <v>STM-A40_0106</v>
      </c>
      <c r="AF121" s="1" t="str">
        <f ca="1"/>
        <v>SAP</v>
      </c>
      <c r="AG121" s="1" t="str">
        <f ca="1"/>
        <v>LS_18</v>
      </c>
      <c r="AH121" s="1" t="str">
        <f ca="1"/>
        <v>L18_S09</v>
      </c>
      <c r="AI121" s="1" t="str">
        <f ca="1"/>
        <v>037 / 019</v>
      </c>
      <c r="AJ121" s="3" t="str">
        <f ca="1"/>
        <v>No</v>
      </c>
      <c r="AK121" s="1" t="str">
        <f ca="1"/>
        <v/>
      </c>
      <c r="AL121" s="105" t="str">
        <f ca="1"/>
        <v/>
      </c>
    </row>
    <row r="122" spans="22:38" x14ac:dyDescent="0.25">
      <c r="V122" s="1" t="str">
        <v>SH_01/01 to BR1</v>
      </c>
      <c r="W122" s="1" t="str">
        <v>SCM0899</v>
      </c>
      <c r="X122" s="3" t="str">
        <v>SAP</v>
      </c>
      <c r="Y122" s="3" t="str">
        <v>L18_S09</v>
      </c>
      <c r="Z122" s="1">
        <v>38</v>
      </c>
      <c r="AA122" s="1">
        <v>20</v>
      </c>
      <c r="AB122" s="93">
        <v>1</v>
      </c>
      <c r="AD122" s="1" t="str">
        <f ca="1"/>
        <v>46211/D|BR1/04</v>
      </c>
      <c r="AE122" s="1" t="str">
        <f ca="1"/>
        <v>STM-A40_0107</v>
      </c>
      <c r="AF122" s="1" t="str">
        <f ca="1"/>
        <v>SAP</v>
      </c>
      <c r="AG122" s="1" t="str">
        <f ca="1"/>
        <v>LS_18</v>
      </c>
      <c r="AH122" s="1" t="str">
        <f ca="1"/>
        <v>L18_S09</v>
      </c>
      <c r="AI122" s="1" t="str">
        <f ca="1"/>
        <v>037 / 020</v>
      </c>
      <c r="AJ122" s="3" t="str">
        <f ca="1"/>
        <v>Yes</v>
      </c>
      <c r="AK122" s="1" t="str">
        <f ca="1"/>
        <v/>
      </c>
      <c r="AL122" s="105" t="str">
        <f ca="1"/>
        <v/>
      </c>
    </row>
    <row r="123" spans="22:38" x14ac:dyDescent="0.25">
      <c r="V123" s="1" t="str">
        <v>SH_01/01 to BR1</v>
      </c>
      <c r="W123" s="1" t="str">
        <v>SCM0899</v>
      </c>
      <c r="X123" s="3" t="str">
        <v>SAP</v>
      </c>
      <c r="Y123" s="3" t="str">
        <v>L18_S09</v>
      </c>
      <c r="Z123" s="1">
        <v>32</v>
      </c>
      <c r="AA123" s="1">
        <v>2</v>
      </c>
      <c r="AB123" s="93">
        <v>1</v>
      </c>
      <c r="AD123" s="1" t="str">
        <f ca="1"/>
        <v>46211/D|BR1/02</v>
      </c>
      <c r="AE123" s="1" t="str">
        <f ca="1"/>
        <v>STM-A40_0097</v>
      </c>
      <c r="AF123" s="1" t="str">
        <f ca="1"/>
        <v>SAP</v>
      </c>
      <c r="AG123" s="1" t="str">
        <f ca="1"/>
        <v>LS_18</v>
      </c>
      <c r="AH123" s="1" t="str">
        <f ca="1"/>
        <v>L18_S09</v>
      </c>
      <c r="AI123" s="1" t="str">
        <f ca="1"/>
        <v>038 / 001</v>
      </c>
      <c r="AJ123" s="3" t="str">
        <f ca="1"/>
        <v>No</v>
      </c>
      <c r="AK123" s="1" t="str">
        <f ca="1"/>
        <v/>
      </c>
      <c r="AL123" s="105" t="str">
        <f ca="1"/>
        <v/>
      </c>
    </row>
    <row r="124" spans="22:38" x14ac:dyDescent="0.25">
      <c r="V124" s="1" t="str">
        <v>SH_01/01 to BR1</v>
      </c>
      <c r="W124" s="1" t="str">
        <v>SCM0899</v>
      </c>
      <c r="X124" s="3" t="str">
        <v>SAP</v>
      </c>
      <c r="Y124" s="3" t="str">
        <v>L18_S09</v>
      </c>
      <c r="Z124" s="1">
        <v>32</v>
      </c>
      <c r="AA124" s="1">
        <v>4</v>
      </c>
      <c r="AB124" s="93">
        <v>1</v>
      </c>
      <c r="AD124" s="1" t="str">
        <f ca="1"/>
        <v>46211/D|BR1/02</v>
      </c>
      <c r="AE124" s="1" t="str">
        <f ca="1"/>
        <v>STM-A40_0136</v>
      </c>
      <c r="AF124" s="1" t="str">
        <f ca="1"/>
        <v>SAP</v>
      </c>
      <c r="AG124" s="1" t="str">
        <f ca="1"/>
        <v>LS_18</v>
      </c>
      <c r="AH124" s="1" t="str">
        <f ca="1"/>
        <v>L18_S09</v>
      </c>
      <c r="AI124" s="1" t="str">
        <f ca="1"/>
        <v>038 / 002</v>
      </c>
      <c r="AJ124" s="3" t="str">
        <f ca="1"/>
        <v>Yes</v>
      </c>
      <c r="AK124" s="1" t="str">
        <f ca="1"/>
        <v/>
      </c>
      <c r="AL124" s="105" t="str">
        <f ca="1"/>
        <v/>
      </c>
    </row>
    <row r="125" spans="22:38" x14ac:dyDescent="0.25">
      <c r="V125" s="1" t="str">
        <v>SH_01/01 to BR1</v>
      </c>
      <c r="W125" s="1" t="str">
        <v>SCM0899</v>
      </c>
      <c r="X125" s="3" t="str">
        <v>SAP</v>
      </c>
      <c r="Y125" s="3" t="str">
        <v>L18_S09</v>
      </c>
      <c r="Z125" s="1">
        <v>32</v>
      </c>
      <c r="AA125" s="1">
        <v>6</v>
      </c>
      <c r="AB125" s="93">
        <v>1</v>
      </c>
      <c r="AD125" s="1" t="str">
        <f ca="1"/>
        <v>46211/D|BR1/02</v>
      </c>
      <c r="AE125" s="1" t="str">
        <f ca="1"/>
        <v>STM-A40_0087</v>
      </c>
      <c r="AF125" s="1" t="str">
        <f ca="1"/>
        <v>SAP</v>
      </c>
      <c r="AG125" s="1" t="str">
        <f ca="1"/>
        <v>LS_18</v>
      </c>
      <c r="AH125" s="1" t="str">
        <f ca="1"/>
        <v>L18_S09</v>
      </c>
      <c r="AI125" s="1" t="str">
        <f ca="1"/>
        <v>038 / 003</v>
      </c>
      <c r="AJ125" s="3" t="str">
        <f ca="1"/>
        <v>No</v>
      </c>
      <c r="AK125" s="1" t="str">
        <f ca="1"/>
        <v/>
      </c>
      <c r="AL125" s="105" t="str">
        <f ca="1"/>
        <v/>
      </c>
    </row>
    <row r="126" spans="22:38" x14ac:dyDescent="0.25">
      <c r="V126" s="1" t="str">
        <v>SH_01/01 to BR1</v>
      </c>
      <c r="W126" s="1" t="str">
        <v>SCM0899</v>
      </c>
      <c r="X126" s="3" t="str">
        <v>SAP</v>
      </c>
      <c r="Y126" s="3" t="str">
        <v>L18_S09</v>
      </c>
      <c r="Z126" s="1">
        <v>32</v>
      </c>
      <c r="AA126" s="1">
        <v>8</v>
      </c>
      <c r="AB126" s="93">
        <v>1</v>
      </c>
      <c r="AD126" s="1" t="str">
        <f ca="1"/>
        <v>46211/D|BR1/02</v>
      </c>
      <c r="AE126" s="1" t="str">
        <f ca="1"/>
        <v>STM-A40_0069</v>
      </c>
      <c r="AF126" s="1" t="str">
        <f ca="1"/>
        <v>SAP</v>
      </c>
      <c r="AG126" s="1" t="str">
        <f ca="1"/>
        <v>LS_18</v>
      </c>
      <c r="AH126" s="1" t="str">
        <f ca="1"/>
        <v>L18_S09</v>
      </c>
      <c r="AI126" s="1" t="str">
        <f ca="1"/>
        <v>038 / 004</v>
      </c>
      <c r="AJ126" s="3" t="str">
        <f ca="1"/>
        <v>Yes</v>
      </c>
      <c r="AK126" s="1" t="str">
        <f ca="1"/>
        <v/>
      </c>
      <c r="AL126" s="105" t="str">
        <f ca="1"/>
        <v/>
      </c>
    </row>
    <row r="127" spans="22:38" x14ac:dyDescent="0.25">
      <c r="V127" s="1" t="str">
        <v>SH_01/01 to BR1</v>
      </c>
      <c r="W127" s="1" t="str">
        <v>SCM0899</v>
      </c>
      <c r="X127" s="3" t="str">
        <v>SAP</v>
      </c>
      <c r="Y127" s="3" t="str">
        <v>L18_S09</v>
      </c>
      <c r="Z127" s="1">
        <v>32</v>
      </c>
      <c r="AA127" s="1">
        <v>10</v>
      </c>
      <c r="AB127" s="93">
        <v>1</v>
      </c>
      <c r="AD127" s="1" t="str">
        <f ca="1"/>
        <v>46211/D|BR1/02</v>
      </c>
      <c r="AE127" s="1" t="str">
        <f ca="1"/>
        <v>STM-A40_0132</v>
      </c>
      <c r="AF127" s="1" t="str">
        <f ca="1"/>
        <v>SAP</v>
      </c>
      <c r="AG127" s="1" t="str">
        <f ca="1"/>
        <v>LS_18</v>
      </c>
      <c r="AH127" s="1" t="str">
        <f ca="1"/>
        <v>L18_S09</v>
      </c>
      <c r="AI127" s="1" t="str">
        <f ca="1"/>
        <v>038 / 005</v>
      </c>
      <c r="AJ127" s="3" t="str">
        <f ca="1"/>
        <v>No</v>
      </c>
      <c r="AK127" s="1" t="str">
        <f ca="1"/>
        <v/>
      </c>
      <c r="AL127" s="105" t="str">
        <f ca="1"/>
        <v/>
      </c>
    </row>
    <row r="128" spans="22:38" x14ac:dyDescent="0.25">
      <c r="V128" s="1" t="str">
        <v>SH_01/01 to BR1</v>
      </c>
      <c r="W128" s="1" t="str">
        <v>SCM0899</v>
      </c>
      <c r="X128" s="3" t="str">
        <v>SAP</v>
      </c>
      <c r="Y128" s="3" t="str">
        <v>L18_S09</v>
      </c>
      <c r="Z128" s="1">
        <v>32</v>
      </c>
      <c r="AA128" s="1">
        <v>12</v>
      </c>
      <c r="AB128" s="93">
        <v>1</v>
      </c>
      <c r="AD128" s="1" t="str">
        <f ca="1"/>
        <v>46211/D|BR1/02</v>
      </c>
      <c r="AE128" s="1" t="str">
        <f ca="1"/>
        <v>STM-A40_0097</v>
      </c>
      <c r="AF128" s="1" t="str">
        <f ca="1"/>
        <v>SAP</v>
      </c>
      <c r="AG128" s="1" t="str">
        <f ca="1"/>
        <v>LS_18</v>
      </c>
      <c r="AH128" s="1" t="str">
        <f ca="1"/>
        <v>L18_S09</v>
      </c>
      <c r="AI128" s="1" t="str">
        <f ca="1"/>
        <v>038 / 006</v>
      </c>
      <c r="AJ128" s="3" t="str">
        <f ca="1"/>
        <v>Yes</v>
      </c>
      <c r="AK128" s="1" t="str">
        <f ca="1"/>
        <v/>
      </c>
      <c r="AL128" s="105" t="str">
        <f ca="1"/>
        <v/>
      </c>
    </row>
    <row r="129" spans="22:38" x14ac:dyDescent="0.25">
      <c r="V129" s="1" t="str">
        <v>SH_01/01 to BR1</v>
      </c>
      <c r="W129" s="1" t="str">
        <v>SCM0899</v>
      </c>
      <c r="X129" s="3" t="str">
        <v>SAP</v>
      </c>
      <c r="Y129" s="3" t="str">
        <v>L18_S09</v>
      </c>
      <c r="Z129" s="1">
        <v>32</v>
      </c>
      <c r="AA129" s="1">
        <v>14</v>
      </c>
      <c r="AB129" s="93">
        <v>1</v>
      </c>
      <c r="AD129" s="1" t="str">
        <f ca="1"/>
        <v>46211/D|BR1/02</v>
      </c>
      <c r="AE129" s="1" t="str">
        <f ca="1"/>
        <v>STM-A40_0133</v>
      </c>
      <c r="AF129" s="1" t="str">
        <f ca="1"/>
        <v>SAP</v>
      </c>
      <c r="AG129" s="1" t="str">
        <f ca="1"/>
        <v>LS_18</v>
      </c>
      <c r="AH129" s="1" t="str">
        <f ca="1"/>
        <v>L18_S09</v>
      </c>
      <c r="AI129" s="1" t="str">
        <f ca="1"/>
        <v>038 / 007</v>
      </c>
      <c r="AJ129" s="3" t="str">
        <f ca="1"/>
        <v>No</v>
      </c>
      <c r="AK129" s="1" t="str">
        <f ca="1"/>
        <v/>
      </c>
      <c r="AL129" s="105" t="str">
        <f ca="1"/>
        <v/>
      </c>
    </row>
    <row r="130" spans="22:38" x14ac:dyDescent="0.25">
      <c r="V130" s="1" t="str">
        <v>SH_01/01 to BR1</v>
      </c>
      <c r="W130" s="1" t="str">
        <v>SCM0899</v>
      </c>
      <c r="X130" s="3" t="str">
        <v>SAP</v>
      </c>
      <c r="Y130" s="3" t="str">
        <v>L18_S09</v>
      </c>
      <c r="Z130" s="1">
        <v>32</v>
      </c>
      <c r="AA130" s="1">
        <v>16</v>
      </c>
      <c r="AB130" s="93">
        <v>1</v>
      </c>
      <c r="AD130" s="1" t="str">
        <f ca="1"/>
        <v>46211/D|BR1/02</v>
      </c>
      <c r="AE130" s="1" t="str">
        <f ca="1"/>
        <v>STM-A40_0136</v>
      </c>
      <c r="AF130" s="1" t="str">
        <f ca="1"/>
        <v>SAP</v>
      </c>
      <c r="AG130" s="1" t="str">
        <f ca="1"/>
        <v>LS_18</v>
      </c>
      <c r="AH130" s="1" t="str">
        <f ca="1"/>
        <v>L18_S09</v>
      </c>
      <c r="AI130" s="1" t="str">
        <f ca="1"/>
        <v>038 / 008</v>
      </c>
      <c r="AJ130" s="3" t="str">
        <f ca="1"/>
        <v>Yes</v>
      </c>
      <c r="AK130" s="1" t="str">
        <f ca="1"/>
        <v/>
      </c>
      <c r="AL130" s="105" t="str">
        <f ca="1"/>
        <v/>
      </c>
    </row>
    <row r="131" spans="22:38" x14ac:dyDescent="0.25">
      <c r="V131" s="1" t="str">
        <v>SH_01/01 to BR1</v>
      </c>
      <c r="W131" s="1" t="str">
        <v>SCM0899</v>
      </c>
      <c r="X131" s="3" t="str">
        <v>SAP</v>
      </c>
      <c r="Y131" s="3" t="str">
        <v>L18_S09</v>
      </c>
      <c r="Z131" s="1">
        <v>32</v>
      </c>
      <c r="AA131" s="1">
        <v>18</v>
      </c>
      <c r="AB131" s="93">
        <v>1</v>
      </c>
      <c r="AD131" s="1" t="str">
        <f ca="1"/>
        <v>46211/D|BR1/02</v>
      </c>
      <c r="AE131" s="1" t="str">
        <f ca="1"/>
        <v>STM-A40_0087</v>
      </c>
      <c r="AF131" s="1" t="str">
        <f ca="1"/>
        <v>SAP</v>
      </c>
      <c r="AG131" s="1" t="str">
        <f ca="1"/>
        <v>LS_18</v>
      </c>
      <c r="AH131" s="1" t="str">
        <f ca="1"/>
        <v>L18_S09</v>
      </c>
      <c r="AI131" s="1" t="str">
        <f ca="1"/>
        <v>038 / 009</v>
      </c>
      <c r="AJ131" s="3" t="str">
        <f ca="1"/>
        <v>No</v>
      </c>
      <c r="AK131" s="1" t="str">
        <f ca="1"/>
        <v/>
      </c>
      <c r="AL131" s="105" t="str">
        <f ca="1"/>
        <v/>
      </c>
    </row>
    <row r="132" spans="22:38" x14ac:dyDescent="0.25">
      <c r="V132" s="1" t="str">
        <v>SH_01/01 to BR1</v>
      </c>
      <c r="W132" s="1" t="str">
        <v>SCM0899</v>
      </c>
      <c r="X132" s="3" t="str">
        <v>SAP</v>
      </c>
      <c r="Y132" s="3" t="str">
        <v>L18_S09</v>
      </c>
      <c r="Z132" s="1">
        <v>32</v>
      </c>
      <c r="AA132" s="1">
        <v>20</v>
      </c>
      <c r="AB132" s="93">
        <v>1</v>
      </c>
      <c r="AD132" s="1" t="str">
        <f ca="1"/>
        <v>46211/D|BR1/02</v>
      </c>
      <c r="AE132" s="1" t="str">
        <f ca="1"/>
        <v>STM-A40_0069</v>
      </c>
      <c r="AF132" s="1" t="str">
        <f ca="1"/>
        <v>SAP</v>
      </c>
      <c r="AG132" s="1" t="str">
        <f ca="1"/>
        <v>LS_18</v>
      </c>
      <c r="AH132" s="1" t="str">
        <f ca="1"/>
        <v>L18_S09</v>
      </c>
      <c r="AI132" s="1" t="str">
        <f ca="1"/>
        <v>038 / 010</v>
      </c>
      <c r="AJ132" s="3" t="str">
        <f ca="1"/>
        <v>Yes</v>
      </c>
      <c r="AK132" s="1" t="str">
        <f ca="1"/>
        <v/>
      </c>
      <c r="AL132" s="105" t="str">
        <f ca="1"/>
        <v/>
      </c>
    </row>
    <row r="133" spans="22:38" x14ac:dyDescent="0.25">
      <c r="V133" s="1" t="str">
        <v>SH_01/01 to BR1</v>
      </c>
      <c r="W133" s="1" t="str">
        <v>SCM0899</v>
      </c>
      <c r="X133" s="3" t="str">
        <v>SAP</v>
      </c>
      <c r="Y133" s="3" t="str">
        <v>L18_S09</v>
      </c>
      <c r="Z133" s="1">
        <v>36</v>
      </c>
      <c r="AA133" s="1">
        <v>2</v>
      </c>
      <c r="AB133" s="93">
        <v>1</v>
      </c>
      <c r="AD133" s="1" t="str">
        <f ca="1"/>
        <v>46211/D|BR1/02</v>
      </c>
      <c r="AE133" s="1" t="str">
        <f ca="1"/>
        <v>STM-A40_0132</v>
      </c>
      <c r="AF133" s="1" t="str">
        <f ca="1"/>
        <v>SAP</v>
      </c>
      <c r="AG133" s="1" t="str">
        <f ca="1"/>
        <v>LS_18</v>
      </c>
      <c r="AH133" s="1" t="str">
        <f ca="1"/>
        <v>L18_S09</v>
      </c>
      <c r="AI133" s="1" t="str">
        <f ca="1"/>
        <v>038 / 011</v>
      </c>
      <c r="AJ133" s="3" t="str">
        <f ca="1"/>
        <v>No</v>
      </c>
      <c r="AK133" s="1" t="str">
        <f ca="1"/>
        <v/>
      </c>
      <c r="AL133" s="105" t="str">
        <f ca="1"/>
        <v/>
      </c>
    </row>
    <row r="134" spans="22:38" x14ac:dyDescent="0.25">
      <c r="V134" s="1" t="str">
        <v>SH_01/01 to BR1</v>
      </c>
      <c r="W134" s="1" t="str">
        <v>SCM0899</v>
      </c>
      <c r="X134" s="3" t="str">
        <v>SAP</v>
      </c>
      <c r="Y134" s="3" t="str">
        <v>L18_S09</v>
      </c>
      <c r="Z134" s="1">
        <v>36</v>
      </c>
      <c r="AA134" s="1">
        <v>4</v>
      </c>
      <c r="AB134" s="93">
        <v>1</v>
      </c>
      <c r="AD134" s="1" t="str">
        <f ca="1"/>
        <v>46211/D|BR1/02</v>
      </c>
      <c r="AE134" s="1" t="str">
        <f ca="1"/>
        <v>STM-A40_0097</v>
      </c>
      <c r="AF134" s="1" t="str">
        <f ca="1"/>
        <v>SAP</v>
      </c>
      <c r="AG134" s="1" t="str">
        <f ca="1"/>
        <v>LS_18</v>
      </c>
      <c r="AH134" s="1" t="str">
        <f ca="1"/>
        <v>L18_S09</v>
      </c>
      <c r="AI134" s="1" t="str">
        <f ca="1"/>
        <v>038 / 012</v>
      </c>
      <c r="AJ134" s="3" t="str">
        <f ca="1"/>
        <v>Yes</v>
      </c>
      <c r="AK134" s="1" t="str">
        <f ca="1"/>
        <v/>
      </c>
      <c r="AL134" s="105" t="str">
        <f ca="1"/>
        <v/>
      </c>
    </row>
    <row r="135" spans="22:38" x14ac:dyDescent="0.25">
      <c r="V135" s="1" t="str">
        <v>SH_01/01 to BR1</v>
      </c>
      <c r="W135" s="1" t="str">
        <v>SCM0899</v>
      </c>
      <c r="X135" s="3" t="str">
        <v>SAP</v>
      </c>
      <c r="Y135" s="3" t="str">
        <v>L18_S09</v>
      </c>
      <c r="Z135" s="1">
        <v>36</v>
      </c>
      <c r="AA135" s="1">
        <v>6</v>
      </c>
      <c r="AB135" s="93">
        <v>1</v>
      </c>
      <c r="AD135" s="1" t="str">
        <f ca="1"/>
        <v>46211/D|BR1/02</v>
      </c>
      <c r="AE135" s="1" t="str">
        <f ca="1"/>
        <v>STM-A40_0133</v>
      </c>
      <c r="AF135" s="1" t="str">
        <f ca="1"/>
        <v>SAP</v>
      </c>
      <c r="AG135" s="1" t="str">
        <f ca="1"/>
        <v>LS_18</v>
      </c>
      <c r="AH135" s="1" t="str">
        <f ca="1"/>
        <v>L18_S09</v>
      </c>
      <c r="AI135" s="1" t="str">
        <f ca="1"/>
        <v>038 / 013</v>
      </c>
      <c r="AJ135" s="3" t="str">
        <f ca="1"/>
        <v>No</v>
      </c>
      <c r="AK135" s="1" t="str">
        <f ca="1"/>
        <v/>
      </c>
      <c r="AL135" s="105" t="str">
        <f ca="1"/>
        <v/>
      </c>
    </row>
    <row r="136" spans="22:38" x14ac:dyDescent="0.25">
      <c r="V136" s="1" t="str">
        <v>SH_01/01 to BR1</v>
      </c>
      <c r="W136" s="1" t="str">
        <v>SCM0899</v>
      </c>
      <c r="X136" s="3" t="str">
        <v>SAP</v>
      </c>
      <c r="Y136" s="3" t="str">
        <v>L18_S09</v>
      </c>
      <c r="Z136" s="1">
        <v>36</v>
      </c>
      <c r="AA136" s="1">
        <v>8</v>
      </c>
      <c r="AB136" s="93">
        <v>1</v>
      </c>
      <c r="AD136" s="1" t="str">
        <f ca="1"/>
        <v>46211/D|BR1/02</v>
      </c>
      <c r="AE136" s="1" t="str">
        <f ca="1"/>
        <v>STM-A40_0136</v>
      </c>
      <c r="AF136" s="1" t="str">
        <f ca="1"/>
        <v>SAP</v>
      </c>
      <c r="AG136" s="1" t="str">
        <f ca="1"/>
        <v>LS_18</v>
      </c>
      <c r="AH136" s="1" t="str">
        <f ca="1"/>
        <v>L18_S09</v>
      </c>
      <c r="AI136" s="1" t="str">
        <f ca="1"/>
        <v>038 / 014</v>
      </c>
      <c r="AJ136" s="3" t="str">
        <f ca="1"/>
        <v>Yes</v>
      </c>
      <c r="AK136" s="1" t="str">
        <f ca="1"/>
        <v/>
      </c>
      <c r="AL136" s="105" t="str">
        <f ca="1"/>
        <v/>
      </c>
    </row>
    <row r="137" spans="22:38" x14ac:dyDescent="0.25">
      <c r="V137" s="1" t="str">
        <v>SH_01/01 to BR1</v>
      </c>
      <c r="W137" s="1" t="str">
        <v>SCM0899</v>
      </c>
      <c r="X137" s="3" t="str">
        <v>SAP</v>
      </c>
      <c r="Y137" s="3" t="str">
        <v>L18_S09</v>
      </c>
      <c r="Z137" s="1">
        <v>36</v>
      </c>
      <c r="AA137" s="1">
        <v>10</v>
      </c>
      <c r="AB137" s="93">
        <v>1</v>
      </c>
      <c r="AD137" s="1" t="str">
        <f ca="1"/>
        <v>46211/D|BR1/02</v>
      </c>
      <c r="AE137" s="1" t="str">
        <f ca="1"/>
        <v>STM-A40_0132</v>
      </c>
      <c r="AF137" s="1" t="str">
        <f ca="1"/>
        <v>SAP</v>
      </c>
      <c r="AG137" s="1" t="str">
        <f ca="1"/>
        <v>LS_18</v>
      </c>
      <c r="AH137" s="1" t="str">
        <f ca="1"/>
        <v>L18_S09</v>
      </c>
      <c r="AI137" s="1" t="str">
        <f ca="1"/>
        <v>038 / 015</v>
      </c>
      <c r="AJ137" s="3" t="str">
        <f ca="1"/>
        <v>No</v>
      </c>
      <c r="AK137" s="1" t="str">
        <f ca="1"/>
        <v/>
      </c>
      <c r="AL137" s="105" t="str">
        <f ca="1"/>
        <v/>
      </c>
    </row>
    <row r="138" spans="22:38" x14ac:dyDescent="0.25">
      <c r="V138" s="1" t="str">
        <v>SH_01/01 to BR1</v>
      </c>
      <c r="W138" s="1" t="str">
        <v>SCM0899</v>
      </c>
      <c r="X138" s="3" t="str">
        <v>SAP</v>
      </c>
      <c r="Y138" s="3" t="str">
        <v>L18_S09</v>
      </c>
      <c r="Z138" s="1">
        <v>36</v>
      </c>
      <c r="AA138" s="1">
        <v>12</v>
      </c>
      <c r="AB138" s="93">
        <v>1</v>
      </c>
      <c r="AD138" s="1" t="str">
        <f ca="1"/>
        <v>46211/D|BR1/02</v>
      </c>
      <c r="AE138" s="1" t="str">
        <f ca="1"/>
        <v>STM-A40_0136</v>
      </c>
      <c r="AF138" s="1" t="str">
        <f ca="1"/>
        <v>SAP</v>
      </c>
      <c r="AG138" s="1" t="str">
        <f ca="1"/>
        <v>LS_18</v>
      </c>
      <c r="AH138" s="1" t="str">
        <f ca="1"/>
        <v>L18_S09</v>
      </c>
      <c r="AI138" s="1" t="str">
        <f ca="1"/>
        <v>038 / 016</v>
      </c>
      <c r="AJ138" s="3" t="str">
        <f ca="1"/>
        <v>Yes</v>
      </c>
      <c r="AK138" s="1" t="str">
        <f ca="1"/>
        <v/>
      </c>
      <c r="AL138" s="105" t="str">
        <f ca="1"/>
        <v/>
      </c>
    </row>
    <row r="139" spans="22:38" x14ac:dyDescent="0.25">
      <c r="V139" s="1" t="str">
        <v>SH_01/01 to BR1</v>
      </c>
      <c r="W139" s="1" t="str">
        <v>SCM0899</v>
      </c>
      <c r="X139" s="3" t="str">
        <v>SAP</v>
      </c>
      <c r="Y139" s="3" t="str">
        <v>L18_S09</v>
      </c>
      <c r="Z139" s="1">
        <v>36</v>
      </c>
      <c r="AA139" s="1">
        <v>14</v>
      </c>
      <c r="AB139" s="93">
        <v>1</v>
      </c>
      <c r="AD139" s="1" t="str">
        <f ca="1"/>
        <v>46211/D|BR1/02</v>
      </c>
      <c r="AE139" s="1" t="str">
        <f ca="1"/>
        <v>STM-A40_0097</v>
      </c>
      <c r="AF139" s="1" t="str">
        <f ca="1"/>
        <v>SAP</v>
      </c>
      <c r="AG139" s="1" t="str">
        <f ca="1"/>
        <v>LS_18</v>
      </c>
      <c r="AH139" s="1" t="str">
        <f ca="1"/>
        <v>L18_S09</v>
      </c>
      <c r="AI139" s="1" t="str">
        <f ca="1"/>
        <v>038 / 017</v>
      </c>
      <c r="AJ139" s="3" t="str">
        <f ca="1"/>
        <v>No</v>
      </c>
      <c r="AK139" s="1" t="str">
        <f ca="1"/>
        <v/>
      </c>
      <c r="AL139" s="105" t="str">
        <f ca="1"/>
        <v/>
      </c>
    </row>
    <row r="140" spans="22:38" x14ac:dyDescent="0.25">
      <c r="V140" s="1" t="str">
        <v>SH_01/01 to BR1</v>
      </c>
      <c r="W140" s="1" t="str">
        <v>SCM0899</v>
      </c>
      <c r="X140" s="3" t="str">
        <v>SAP</v>
      </c>
      <c r="Y140" s="3" t="str">
        <v>L18_S09</v>
      </c>
      <c r="Z140" s="1">
        <v>36</v>
      </c>
      <c r="AA140" s="1">
        <v>16</v>
      </c>
      <c r="AB140" s="93">
        <v>1</v>
      </c>
      <c r="AD140" s="1" t="str">
        <f ca="1"/>
        <v>46211/D|BR1/02</v>
      </c>
      <c r="AE140" s="1" t="str">
        <f ca="1"/>
        <v>STM-A40_0069</v>
      </c>
      <c r="AF140" s="1" t="str">
        <f ca="1"/>
        <v>SAP</v>
      </c>
      <c r="AG140" s="1" t="str">
        <f ca="1"/>
        <v>LS_18</v>
      </c>
      <c r="AH140" s="1" t="str">
        <f ca="1"/>
        <v>L18_S09</v>
      </c>
      <c r="AI140" s="1" t="str">
        <f ca="1"/>
        <v>038 / 018</v>
      </c>
      <c r="AJ140" s="3" t="str">
        <f ca="1"/>
        <v>Yes</v>
      </c>
      <c r="AK140" s="1" t="str">
        <f ca="1"/>
        <v/>
      </c>
      <c r="AL140" s="105" t="str">
        <f ca="1"/>
        <v/>
      </c>
    </row>
    <row r="141" spans="22:38" x14ac:dyDescent="0.25">
      <c r="V141" s="1" t="str">
        <v>SH_01/01 to BR1</v>
      </c>
      <c r="W141" s="1" t="str">
        <v>SCM0899</v>
      </c>
      <c r="X141" s="3" t="str">
        <v>SAP</v>
      </c>
      <c r="Y141" s="3" t="str">
        <v>L18_S09</v>
      </c>
      <c r="Z141" s="1">
        <v>36</v>
      </c>
      <c r="AA141" s="1">
        <v>18</v>
      </c>
      <c r="AB141" s="93">
        <v>1</v>
      </c>
      <c r="AD141" s="1" t="str">
        <f ca="1"/>
        <v>46211/D|BR1/02</v>
      </c>
      <c r="AE141" s="1" t="str">
        <f ca="1"/>
        <v>STM-A40_0087</v>
      </c>
      <c r="AF141" s="1" t="str">
        <f ca="1"/>
        <v>SAP</v>
      </c>
      <c r="AG141" s="1" t="str">
        <f ca="1"/>
        <v>LS_18</v>
      </c>
      <c r="AH141" s="1" t="str">
        <f ca="1"/>
        <v>L18_S09</v>
      </c>
      <c r="AI141" s="1" t="str">
        <f ca="1"/>
        <v>038 / 019</v>
      </c>
      <c r="AJ141" s="3" t="str">
        <f ca="1"/>
        <v>No</v>
      </c>
      <c r="AK141" s="1" t="str">
        <f ca="1"/>
        <v/>
      </c>
      <c r="AL141" s="105" t="str">
        <f ca="1"/>
        <v/>
      </c>
    </row>
    <row r="142" spans="22:38" x14ac:dyDescent="0.25">
      <c r="V142" s="1" t="str">
        <v>SH_01/01 to BR1</v>
      </c>
      <c r="W142" s="1" t="str">
        <v>SCM0899</v>
      </c>
      <c r="X142" s="3" t="str">
        <v>SAP</v>
      </c>
      <c r="Y142" s="3" t="str">
        <v>L18_S09</v>
      </c>
      <c r="Z142" s="1">
        <v>36</v>
      </c>
      <c r="AA142" s="1">
        <v>20</v>
      </c>
      <c r="AB142" s="93">
        <v>1</v>
      </c>
      <c r="AD142" s="1" t="str">
        <f ca="1"/>
        <v>46211/D|BR1/02</v>
      </c>
      <c r="AE142" s="1" t="str">
        <f ca="1"/>
        <v>STM-A40_0133</v>
      </c>
      <c r="AF142" s="1" t="str">
        <f ca="1"/>
        <v>SAP</v>
      </c>
      <c r="AG142" s="1" t="str">
        <f ca="1"/>
        <v>LS_18</v>
      </c>
      <c r="AH142" s="1" t="str">
        <f ca="1"/>
        <v>L18_S09</v>
      </c>
      <c r="AI142" s="1" t="str">
        <f ca="1"/>
        <v>038 / 020</v>
      </c>
      <c r="AJ142" s="3" t="str">
        <f ca="1"/>
        <v>Yes</v>
      </c>
      <c r="AK142" s="1" t="str">
        <f ca="1"/>
        <v/>
      </c>
      <c r="AL142" s="105" t="str">
        <f ca="1"/>
        <v/>
      </c>
    </row>
    <row r="143" spans="22:38" x14ac:dyDescent="0.25">
      <c r="V143" s="1" t="str">
        <v>SH_01/01 to BR1</v>
      </c>
      <c r="W143" s="1" t="str">
        <v>SCM0899</v>
      </c>
      <c r="X143" s="3" t="str">
        <v>SAP</v>
      </c>
      <c r="Y143" s="3" t="str">
        <v>L18_S09</v>
      </c>
      <c r="Z143" s="1">
        <v>37</v>
      </c>
      <c r="AA143" s="1">
        <v>2</v>
      </c>
      <c r="AB143" s="93">
        <v>1</v>
      </c>
      <c r="AD143" s="1" t="str">
        <f ca="1"/>
        <v>46211/D|BR1/04</v>
      </c>
      <c r="AE143" s="1" t="str">
        <f ca="1"/>
        <v>STM-A40_0098</v>
      </c>
      <c r="AF143" s="1" t="str">
        <f ca="1"/>
        <v>SAP</v>
      </c>
      <c r="AG143" s="1" t="str">
        <f ca="1"/>
        <v>LS_18</v>
      </c>
      <c r="AH143" s="1" t="str">
        <f ca="1"/>
        <v>L18_S09</v>
      </c>
      <c r="AI143" s="1" t="str">
        <f ca="1"/>
        <v>039 / 001</v>
      </c>
      <c r="AJ143" s="3" t="str">
        <f ca="1"/>
        <v>No</v>
      </c>
      <c r="AK143" s="1" t="str">
        <f ca="1"/>
        <v/>
      </c>
      <c r="AL143" s="105" t="str">
        <f ca="1"/>
        <v/>
      </c>
    </row>
    <row r="144" spans="22:38" x14ac:dyDescent="0.25">
      <c r="V144" s="1" t="str">
        <v>SH_01/01 to BR1</v>
      </c>
      <c r="W144" s="1" t="str">
        <v>SCM0899</v>
      </c>
      <c r="X144" s="3" t="str">
        <v>SAP</v>
      </c>
      <c r="Y144" s="3" t="str">
        <v>L18_S09</v>
      </c>
      <c r="Z144" s="1">
        <v>37</v>
      </c>
      <c r="AA144" s="1">
        <v>4</v>
      </c>
      <c r="AB144" s="93">
        <v>1</v>
      </c>
      <c r="AD144" s="1" t="str">
        <f ca="1"/>
        <v>46211/D|BR1/04</v>
      </c>
      <c r="AE144" s="1" t="str">
        <f ca="1"/>
        <v>STM-A40_0105</v>
      </c>
      <c r="AF144" s="1" t="str">
        <f ca="1"/>
        <v>SAP</v>
      </c>
      <c r="AG144" s="1" t="str">
        <f ca="1"/>
        <v>LS_18</v>
      </c>
      <c r="AH144" s="1" t="str">
        <f ca="1"/>
        <v>L18_S09</v>
      </c>
      <c r="AI144" s="1" t="str">
        <f ca="1"/>
        <v>039 / 002</v>
      </c>
      <c r="AJ144" s="3" t="str">
        <f ca="1"/>
        <v>Yes</v>
      </c>
      <c r="AK144" s="1" t="str">
        <f ca="1"/>
        <v/>
      </c>
      <c r="AL144" s="105" t="str">
        <f ca="1"/>
        <v/>
      </c>
    </row>
    <row r="145" spans="22:38" x14ac:dyDescent="0.25">
      <c r="V145" s="1" t="str">
        <v>SH_01/01 to BR1</v>
      </c>
      <c r="W145" s="1" t="str">
        <v>SCM0899</v>
      </c>
      <c r="X145" s="3" t="str">
        <v>SAP</v>
      </c>
      <c r="Y145" s="3" t="str">
        <v>L18_S09</v>
      </c>
      <c r="Z145" s="1">
        <v>37</v>
      </c>
      <c r="AA145" s="1">
        <v>6</v>
      </c>
      <c r="AB145" s="93">
        <v>1</v>
      </c>
      <c r="AD145" s="1" t="str">
        <f ca="1"/>
        <v>46211/D|BR1/04</v>
      </c>
      <c r="AE145" s="1" t="str">
        <f ca="1"/>
        <v>STM-A40_0106</v>
      </c>
      <c r="AF145" s="1" t="str">
        <f ca="1"/>
        <v>SAP</v>
      </c>
      <c r="AG145" s="1" t="str">
        <f ca="1"/>
        <v>LS_18</v>
      </c>
      <c r="AH145" s="1" t="str">
        <f ca="1"/>
        <v>L18_S09</v>
      </c>
      <c r="AI145" s="1" t="str">
        <f ca="1"/>
        <v>039 / 003</v>
      </c>
      <c r="AJ145" s="3" t="str">
        <f ca="1"/>
        <v>No</v>
      </c>
      <c r="AK145" s="1" t="str">
        <f ca="1"/>
        <v/>
      </c>
      <c r="AL145" s="105" t="str">
        <f ca="1"/>
        <v/>
      </c>
    </row>
    <row r="146" spans="22:38" x14ac:dyDescent="0.25">
      <c r="V146" s="1" t="str">
        <v>SH_01/01 to BR1</v>
      </c>
      <c r="W146" s="1" t="str">
        <v>SCM0899</v>
      </c>
      <c r="X146" s="3" t="str">
        <v>SAP</v>
      </c>
      <c r="Y146" s="3" t="str">
        <v>L18_S09</v>
      </c>
      <c r="Z146" s="1">
        <v>37</v>
      </c>
      <c r="AA146" s="1">
        <v>8</v>
      </c>
      <c r="AB146" s="93">
        <v>1</v>
      </c>
      <c r="AD146" s="1" t="str">
        <f ca="1"/>
        <v>46211/D|BR1/04</v>
      </c>
      <c r="AE146" s="1" t="str">
        <f ca="1"/>
        <v>STM-A40_0105</v>
      </c>
      <c r="AF146" s="1" t="str">
        <f ca="1"/>
        <v>SAP</v>
      </c>
      <c r="AG146" s="1" t="str">
        <f ca="1"/>
        <v>LS_18</v>
      </c>
      <c r="AH146" s="1" t="str">
        <f ca="1"/>
        <v>L18_S09</v>
      </c>
      <c r="AI146" s="1" t="str">
        <f ca="1"/>
        <v>039 / 004</v>
      </c>
      <c r="AJ146" s="3" t="str">
        <f ca="1"/>
        <v>Yes</v>
      </c>
      <c r="AK146" s="1" t="str">
        <f ca="1"/>
        <v/>
      </c>
      <c r="AL146" s="105" t="str">
        <f ca="1"/>
        <v/>
      </c>
    </row>
    <row r="147" spans="22:38" x14ac:dyDescent="0.25">
      <c r="V147" s="1" t="str">
        <v>SH_01/01 to BR1</v>
      </c>
      <c r="W147" s="1" t="str">
        <v>SCM0899</v>
      </c>
      <c r="X147" s="3" t="str">
        <v>SAP</v>
      </c>
      <c r="Y147" s="3" t="str">
        <v>L18_S09</v>
      </c>
      <c r="Z147" s="1">
        <v>37</v>
      </c>
      <c r="AA147" s="1">
        <v>10</v>
      </c>
      <c r="AB147" s="93">
        <v>1</v>
      </c>
      <c r="AD147" s="1" t="str">
        <f ca="1"/>
        <v>46211/D|BR1/04</v>
      </c>
      <c r="AE147" s="1" t="str">
        <f ca="1"/>
        <v>STM-A40_0121</v>
      </c>
      <c r="AF147" s="1" t="str">
        <f ca="1"/>
        <v>SAP</v>
      </c>
      <c r="AG147" s="1" t="str">
        <f ca="1"/>
        <v>LS_18</v>
      </c>
      <c r="AH147" s="1" t="str">
        <f ca="1"/>
        <v>L18_S09</v>
      </c>
      <c r="AI147" s="1" t="str">
        <f ca="1"/>
        <v>039 / 005</v>
      </c>
      <c r="AJ147" s="3" t="str">
        <f ca="1"/>
        <v>No</v>
      </c>
      <c r="AK147" s="1" t="str">
        <f ca="1"/>
        <v/>
      </c>
      <c r="AL147" s="105" t="str">
        <f ca="1"/>
        <v>TRUCK SALAH</v>
      </c>
    </row>
    <row r="148" spans="22:38" x14ac:dyDescent="0.25">
      <c r="V148" s="1" t="str">
        <v>SH_01/01 to BR1</v>
      </c>
      <c r="W148" s="1" t="str">
        <v>SCM0899</v>
      </c>
      <c r="X148" s="3" t="str">
        <v>SAP</v>
      </c>
      <c r="Y148" s="3" t="str">
        <v>L18_S09</v>
      </c>
      <c r="Z148" s="1">
        <v>37</v>
      </c>
      <c r="AA148" s="1">
        <v>12</v>
      </c>
      <c r="AB148" s="93">
        <v>1</v>
      </c>
      <c r="AD148" s="1" t="str">
        <f ca="1"/>
        <v>46211/D|BR1/04</v>
      </c>
      <c r="AE148" s="1" t="str">
        <f ca="1"/>
        <v>STM-A40_0106</v>
      </c>
      <c r="AF148" s="1" t="str">
        <f ca="1"/>
        <v>SAP</v>
      </c>
      <c r="AG148" s="1" t="str">
        <f ca="1"/>
        <v>LS_18</v>
      </c>
      <c r="AH148" s="1" t="str">
        <f ca="1"/>
        <v>L18_S09</v>
      </c>
      <c r="AI148" s="1" t="str">
        <f ca="1"/>
        <v>039 / 006</v>
      </c>
      <c r="AJ148" s="3" t="str">
        <f ca="1"/>
        <v>Yes</v>
      </c>
      <c r="AK148" s="1" t="str">
        <f ca="1"/>
        <v/>
      </c>
      <c r="AL148" s="105" t="str">
        <f ca="1"/>
        <v/>
      </c>
    </row>
    <row r="149" spans="22:38" x14ac:dyDescent="0.25">
      <c r="V149" s="1" t="str">
        <v>SH_01/01 to BR1</v>
      </c>
      <c r="W149" s="1" t="str">
        <v>SCM0899</v>
      </c>
      <c r="X149" s="3" t="str">
        <v>SAP</v>
      </c>
      <c r="Y149" s="3" t="str">
        <v>L18_S09</v>
      </c>
      <c r="Z149" s="1">
        <v>37</v>
      </c>
      <c r="AA149" s="1">
        <v>14</v>
      </c>
      <c r="AB149" s="93">
        <v>1</v>
      </c>
      <c r="AD149" s="1" t="str">
        <f ca="1"/>
        <v>46211/D|BR1/04</v>
      </c>
      <c r="AE149" s="1" t="str">
        <f ca="1"/>
        <v>STM-A40_0098</v>
      </c>
      <c r="AF149" s="1" t="str">
        <f ca="1"/>
        <v>SAP</v>
      </c>
      <c r="AG149" s="1" t="str">
        <f ca="1"/>
        <v>LS_18</v>
      </c>
      <c r="AH149" s="1" t="str">
        <f ca="1"/>
        <v>L18_S09</v>
      </c>
      <c r="AI149" s="1" t="str">
        <f ca="1"/>
        <v>039 / 007</v>
      </c>
      <c r="AJ149" s="3" t="str">
        <f ca="1"/>
        <v>No</v>
      </c>
      <c r="AK149" s="1" t="str">
        <f ca="1"/>
        <v/>
      </c>
      <c r="AL149" s="105" t="str">
        <f ca="1"/>
        <v/>
      </c>
    </row>
    <row r="150" spans="22:38" x14ac:dyDescent="0.25">
      <c r="V150" s="1" t="str">
        <v>SH_01/01 to BR1</v>
      </c>
      <c r="W150" s="1" t="str">
        <v>SCM0899</v>
      </c>
      <c r="X150" s="3" t="str">
        <v>SAP</v>
      </c>
      <c r="Y150" s="3" t="str">
        <v>L18_S09</v>
      </c>
      <c r="Z150" s="1">
        <v>37</v>
      </c>
      <c r="AA150" s="1">
        <v>16</v>
      </c>
      <c r="AB150" s="93">
        <v>1</v>
      </c>
      <c r="AD150" s="1" t="str">
        <f ca="1"/>
        <v>46211/D|BR1/04</v>
      </c>
      <c r="AE150" s="1" t="str">
        <f ca="1"/>
        <v>STM-A40_0105</v>
      </c>
      <c r="AF150" s="1" t="str">
        <f ca="1"/>
        <v>SAP</v>
      </c>
      <c r="AG150" s="1" t="str">
        <f ca="1"/>
        <v>LS_18</v>
      </c>
      <c r="AH150" s="1" t="str">
        <f ca="1"/>
        <v>L18_S09</v>
      </c>
      <c r="AI150" s="1" t="str">
        <f ca="1"/>
        <v>039 / 008</v>
      </c>
      <c r="AJ150" s="3" t="str">
        <f ca="1"/>
        <v>Yes</v>
      </c>
      <c r="AK150" s="1" t="str">
        <f ca="1"/>
        <v/>
      </c>
      <c r="AL150" s="105" t="str">
        <f ca="1"/>
        <v/>
      </c>
    </row>
    <row r="151" spans="22:38" x14ac:dyDescent="0.25">
      <c r="V151" s="1" t="str">
        <v>SH_01/01 to BR1</v>
      </c>
      <c r="W151" s="1" t="str">
        <v>SCM0899</v>
      </c>
      <c r="X151" s="3" t="str">
        <v>SAP</v>
      </c>
      <c r="Y151" s="3" t="str">
        <v>L18_S09</v>
      </c>
      <c r="Z151" s="1">
        <v>37</v>
      </c>
      <c r="AA151" s="1">
        <v>18</v>
      </c>
      <c r="AB151" s="93">
        <v>1</v>
      </c>
      <c r="AD151" s="1" t="str">
        <f ca="1"/>
        <v>46211/D|BR1/04</v>
      </c>
      <c r="AE151" s="1" t="str">
        <f ca="1"/>
        <v>STM-A40_0121</v>
      </c>
      <c r="AF151" s="1" t="str">
        <f ca="1"/>
        <v>SAP</v>
      </c>
      <c r="AG151" s="1" t="str">
        <f ca="1"/>
        <v>LS_18</v>
      </c>
      <c r="AH151" s="1" t="str">
        <f ca="1"/>
        <v>L18_S09</v>
      </c>
      <c r="AI151" s="1" t="str">
        <f ca="1"/>
        <v>039 / 009</v>
      </c>
      <c r="AJ151" s="3" t="str">
        <f ca="1"/>
        <v>No</v>
      </c>
      <c r="AK151" s="1" t="str">
        <f ca="1"/>
        <v/>
      </c>
      <c r="AL151" s="105" t="str">
        <f ca="1"/>
        <v>TRUCK SALAH</v>
      </c>
    </row>
    <row r="152" spans="22:38" x14ac:dyDescent="0.25">
      <c r="V152" s="1" t="str">
        <v>SH_01/01 to BR1</v>
      </c>
      <c r="W152" s="1" t="str">
        <v>SCM0899</v>
      </c>
      <c r="X152" s="3" t="str">
        <v>SAP</v>
      </c>
      <c r="Y152" s="3" t="str">
        <v>L18_S09</v>
      </c>
      <c r="Z152" s="1">
        <v>37</v>
      </c>
      <c r="AA152" s="1">
        <v>20</v>
      </c>
      <c r="AB152" s="93">
        <v>1</v>
      </c>
      <c r="AD152" s="1" t="str">
        <f ca="1"/>
        <v>46211/D|BR1/04</v>
      </c>
      <c r="AE152" s="1" t="str">
        <f ca="1"/>
        <v>STM-A40_0106</v>
      </c>
      <c r="AF152" s="1" t="str">
        <f ca="1"/>
        <v>SAP</v>
      </c>
      <c r="AG152" s="1" t="str">
        <f ca="1"/>
        <v>LS_18</v>
      </c>
      <c r="AH152" s="1" t="str">
        <f ca="1"/>
        <v>L18_S09</v>
      </c>
      <c r="AI152" s="1" t="str">
        <f ca="1"/>
        <v>039 / 010</v>
      </c>
      <c r="AJ152" s="3" t="str">
        <f ca="1"/>
        <v>Yes</v>
      </c>
      <c r="AK152" s="1" t="str">
        <f ca="1"/>
        <v/>
      </c>
      <c r="AL152" s="105" t="str">
        <f ca="1"/>
        <v/>
      </c>
    </row>
    <row r="153" spans="22:38" x14ac:dyDescent="0.25">
      <c r="V153" s="1" t="str">
        <v>SH_01/01 to BR1</v>
      </c>
      <c r="W153" s="1" t="str">
        <v>SCM0899</v>
      </c>
      <c r="X153" s="3" t="str">
        <v>SAP</v>
      </c>
      <c r="Y153" s="3" t="str">
        <v>L18_S09</v>
      </c>
      <c r="Z153" s="1">
        <v>39</v>
      </c>
      <c r="AA153" s="1">
        <v>2</v>
      </c>
      <c r="AB153" s="93">
        <v>1</v>
      </c>
      <c r="AD153" s="1" t="str">
        <f ca="1"/>
        <v>46211/D|BR1/04</v>
      </c>
      <c r="AE153" s="1" t="str">
        <f ca="1"/>
        <v>STM-A40_0107</v>
      </c>
      <c r="AF153" s="1" t="str">
        <f ca="1"/>
        <v>SAP</v>
      </c>
      <c r="AG153" s="1" t="str">
        <f ca="1"/>
        <v>LS_18</v>
      </c>
      <c r="AH153" s="1" t="str">
        <f ca="1"/>
        <v>L18_S09</v>
      </c>
      <c r="AI153" s="1" t="str">
        <f ca="1"/>
        <v>039 / 011</v>
      </c>
      <c r="AJ153" s="3" t="str">
        <f ca="1"/>
        <v>No</v>
      </c>
      <c r="AK153" s="1" t="str">
        <f ca="1"/>
        <v/>
      </c>
      <c r="AL153" s="105" t="str">
        <f ca="1"/>
        <v/>
      </c>
    </row>
    <row r="154" spans="22:38" x14ac:dyDescent="0.25">
      <c r="V154" s="1" t="str">
        <v>SH_01/01 to BR1</v>
      </c>
      <c r="W154" s="1" t="str">
        <v>SCM0899</v>
      </c>
      <c r="X154" s="3" t="str">
        <v>SAP</v>
      </c>
      <c r="Y154" s="3" t="str">
        <v>L18_S09</v>
      </c>
      <c r="Z154" s="1">
        <v>39</v>
      </c>
      <c r="AA154" s="1">
        <v>4</v>
      </c>
      <c r="AB154" s="93">
        <v>1</v>
      </c>
      <c r="AD154" s="1" t="str">
        <f ca="1"/>
        <v>46211/D|BR1/04</v>
      </c>
      <c r="AE154" s="1" t="str">
        <f ca="1"/>
        <v>STM-A40_0098</v>
      </c>
      <c r="AF154" s="1" t="str">
        <f ca="1"/>
        <v>SAP</v>
      </c>
      <c r="AG154" s="1" t="str">
        <f ca="1"/>
        <v>LS_18</v>
      </c>
      <c r="AH154" s="1" t="str">
        <f ca="1"/>
        <v>L18_S09</v>
      </c>
      <c r="AI154" s="1" t="str">
        <f ca="1"/>
        <v>039 / 012</v>
      </c>
      <c r="AJ154" s="3" t="str">
        <f ca="1"/>
        <v>Yes</v>
      </c>
      <c r="AK154" s="1" t="str">
        <f ca="1"/>
        <v/>
      </c>
      <c r="AL154" s="105" t="str">
        <f ca="1"/>
        <v/>
      </c>
    </row>
    <row r="155" spans="22:38" x14ac:dyDescent="0.25">
      <c r="V155" s="1" t="str">
        <v>SH_01/01 to BR1</v>
      </c>
      <c r="W155" s="1" t="str">
        <v>SCM0899</v>
      </c>
      <c r="X155" s="3" t="str">
        <v>SAP</v>
      </c>
      <c r="Y155" s="3" t="str">
        <v>L18_S09</v>
      </c>
      <c r="Z155" s="1">
        <v>39</v>
      </c>
      <c r="AA155" s="1">
        <v>6</v>
      </c>
      <c r="AB155" s="93">
        <v>1</v>
      </c>
      <c r="AD155" s="1" t="str">
        <f ca="1"/>
        <v>46211/D|BR1/04</v>
      </c>
      <c r="AE155" s="1" t="str">
        <f ca="1"/>
        <v>STM-A40_0105</v>
      </c>
      <c r="AF155" s="1" t="str">
        <f ca="1"/>
        <v>SAP</v>
      </c>
      <c r="AG155" s="1" t="str">
        <f ca="1"/>
        <v>LS_18</v>
      </c>
      <c r="AH155" s="1" t="str">
        <f ca="1"/>
        <v>L18_S09</v>
      </c>
      <c r="AI155" s="1" t="str">
        <f ca="1"/>
        <v>039 / 013</v>
      </c>
      <c r="AJ155" s="3" t="str">
        <f ca="1"/>
        <v>No</v>
      </c>
      <c r="AK155" s="1" t="str">
        <f ca="1"/>
        <v/>
      </c>
      <c r="AL155" s="105" t="str">
        <f ca="1"/>
        <v/>
      </c>
    </row>
    <row r="156" spans="22:38" x14ac:dyDescent="0.25">
      <c r="V156" s="1" t="str">
        <v>SH_01/01 to BR1</v>
      </c>
      <c r="W156" s="1" t="str">
        <v>SCM0899</v>
      </c>
      <c r="X156" s="3" t="str">
        <v>SAP</v>
      </c>
      <c r="Y156" s="3" t="str">
        <v>L18_S09</v>
      </c>
      <c r="Z156" s="1">
        <v>39</v>
      </c>
      <c r="AA156" s="1">
        <v>8</v>
      </c>
      <c r="AB156" s="93">
        <v>1</v>
      </c>
      <c r="AD156" s="1" t="str">
        <f ca="1"/>
        <v>46211/D|BR1/04</v>
      </c>
      <c r="AE156" s="1" t="str">
        <f ca="1"/>
        <v>STM-A40_0121</v>
      </c>
      <c r="AF156" s="1" t="str">
        <f ca="1"/>
        <v>SAP</v>
      </c>
      <c r="AG156" s="1" t="str">
        <f ca="1"/>
        <v>LS_18</v>
      </c>
      <c r="AH156" s="1" t="str">
        <f ca="1"/>
        <v>L18_S09</v>
      </c>
      <c r="AI156" s="1" t="str">
        <f ca="1"/>
        <v>039 / 014</v>
      </c>
      <c r="AJ156" s="3" t="str">
        <f ca="1"/>
        <v>Yes</v>
      </c>
      <c r="AK156" s="1" t="str">
        <f ca="1"/>
        <v/>
      </c>
      <c r="AL156" s="105" t="str">
        <f ca="1"/>
        <v>TRUCK SALAH</v>
      </c>
    </row>
    <row r="157" spans="22:38" x14ac:dyDescent="0.25">
      <c r="V157" s="1" t="str">
        <v>SH_01/01 to BR1</v>
      </c>
      <c r="W157" s="1" t="str">
        <v>SCM0899</v>
      </c>
      <c r="X157" s="3" t="str">
        <v>SAP</v>
      </c>
      <c r="Y157" s="3" t="str">
        <v>L18_S09</v>
      </c>
      <c r="Z157" s="1">
        <v>39</v>
      </c>
      <c r="AA157" s="1">
        <v>10</v>
      </c>
      <c r="AB157" s="93">
        <v>1</v>
      </c>
      <c r="AD157" s="1" t="str">
        <f ca="1"/>
        <v>46211/D|BR1/04</v>
      </c>
      <c r="AE157" s="1" t="str">
        <f ca="1"/>
        <v>STM-A40_0106</v>
      </c>
      <c r="AF157" s="1" t="str">
        <f ca="1"/>
        <v>SAP</v>
      </c>
      <c r="AG157" s="1" t="str">
        <f ca="1"/>
        <v>LS_18</v>
      </c>
      <c r="AH157" s="1" t="str">
        <f ca="1"/>
        <v>L18_S09</v>
      </c>
      <c r="AI157" s="1" t="str">
        <f ca="1"/>
        <v>039 / 015</v>
      </c>
      <c r="AJ157" s="3" t="str">
        <f ca="1"/>
        <v>No</v>
      </c>
      <c r="AK157" s="1" t="str">
        <f ca="1"/>
        <v/>
      </c>
      <c r="AL157" s="105" t="str">
        <f ca="1"/>
        <v/>
      </c>
    </row>
    <row r="158" spans="22:38" x14ac:dyDescent="0.25">
      <c r="V158" s="1" t="str">
        <v>SH_01/01 to BR1</v>
      </c>
      <c r="W158" s="1" t="str">
        <v>SCM0899</v>
      </c>
      <c r="X158" s="3" t="str">
        <v>SAP</v>
      </c>
      <c r="Y158" s="3" t="str">
        <v>L18_S09</v>
      </c>
      <c r="Z158" s="1">
        <v>39</v>
      </c>
      <c r="AA158" s="1">
        <v>12</v>
      </c>
      <c r="AB158" s="93">
        <v>1</v>
      </c>
      <c r="AD158" s="1" t="str">
        <f ca="1"/>
        <v>46211/D|BR1/04</v>
      </c>
      <c r="AE158" s="1" t="str">
        <f ca="1"/>
        <v>STM-A40_0098</v>
      </c>
      <c r="AF158" s="1" t="str">
        <f ca="1"/>
        <v>SAP</v>
      </c>
      <c r="AG158" s="1" t="str">
        <f ca="1"/>
        <v>LS_18</v>
      </c>
      <c r="AH158" s="1" t="str">
        <f ca="1"/>
        <v>L18_S09</v>
      </c>
      <c r="AI158" s="1" t="str">
        <f ca="1"/>
        <v>039 / 016</v>
      </c>
      <c r="AJ158" s="3" t="str">
        <f ca="1"/>
        <v>Yes</v>
      </c>
      <c r="AK158" s="1" t="str">
        <f ca="1"/>
        <v/>
      </c>
      <c r="AL158" s="105" t="str">
        <f ca="1"/>
        <v/>
      </c>
    </row>
    <row r="159" spans="22:38" x14ac:dyDescent="0.25">
      <c r="V159" s="1" t="str">
        <v>SH_01/01 to BR1</v>
      </c>
      <c r="W159" s="1" t="str">
        <v>SCM0899</v>
      </c>
      <c r="X159" s="3" t="str">
        <v>SAP</v>
      </c>
      <c r="Y159" s="3" t="str">
        <v>L18_S09</v>
      </c>
      <c r="Z159" s="1">
        <v>39</v>
      </c>
      <c r="AA159" s="1">
        <v>14</v>
      </c>
      <c r="AB159" s="93">
        <v>1</v>
      </c>
      <c r="AD159" s="1" t="str">
        <f ca="1"/>
        <v>46211/D|BR1/04</v>
      </c>
      <c r="AE159" s="1" t="str">
        <f ca="1"/>
        <v>STM-A40_0105</v>
      </c>
      <c r="AF159" s="1" t="str">
        <f ca="1"/>
        <v>SAP</v>
      </c>
      <c r="AG159" s="1" t="str">
        <f ca="1"/>
        <v>LS_18</v>
      </c>
      <c r="AH159" s="1" t="str">
        <f ca="1"/>
        <v>L18_S09</v>
      </c>
      <c r="AI159" s="1" t="str">
        <f ca="1"/>
        <v>039 / 017</v>
      </c>
      <c r="AJ159" s="3" t="str">
        <f ca="1"/>
        <v>No</v>
      </c>
      <c r="AK159" s="1" t="str">
        <f ca="1"/>
        <v/>
      </c>
      <c r="AL159" s="105" t="str">
        <f ca="1"/>
        <v/>
      </c>
    </row>
    <row r="160" spans="22:38" x14ac:dyDescent="0.25">
      <c r="V160" s="1" t="str">
        <v>SH_01/01 to BR1</v>
      </c>
      <c r="W160" s="1" t="str">
        <v>SCM0899</v>
      </c>
      <c r="X160" s="3" t="str">
        <v>SAP</v>
      </c>
      <c r="Y160" s="3" t="str">
        <v>L18_S09</v>
      </c>
      <c r="Z160" s="1">
        <v>39</v>
      </c>
      <c r="AA160" s="1">
        <v>16</v>
      </c>
      <c r="AB160" s="93">
        <v>1</v>
      </c>
      <c r="AD160" s="1" t="str">
        <f ca="1"/>
        <v>46211/D|BR1/04</v>
      </c>
      <c r="AE160" s="1" t="str">
        <f ca="1"/>
        <v>STM-A40_0121</v>
      </c>
      <c r="AF160" s="1" t="str">
        <f ca="1"/>
        <v>SAP</v>
      </c>
      <c r="AG160" s="1" t="str">
        <f ca="1"/>
        <v>LS_18</v>
      </c>
      <c r="AH160" s="1" t="str">
        <f ca="1"/>
        <v>L18_S09</v>
      </c>
      <c r="AI160" s="1" t="str">
        <f ca="1"/>
        <v>039 / 018</v>
      </c>
      <c r="AJ160" s="3" t="str">
        <f ca="1"/>
        <v>Yes</v>
      </c>
      <c r="AK160" s="1" t="str">
        <f ca="1"/>
        <v/>
      </c>
      <c r="AL160" s="105" t="str">
        <f ca="1"/>
        <v>TRUCK SALAH</v>
      </c>
    </row>
    <row r="161" spans="22:38" x14ac:dyDescent="0.25">
      <c r="V161" s="1" t="str">
        <v>SH_01/01 to BR1</v>
      </c>
      <c r="W161" s="1" t="str">
        <v>SCM0899</v>
      </c>
      <c r="X161" s="3" t="str">
        <v>SAP</v>
      </c>
      <c r="Y161" s="3" t="str">
        <v>L18_S09</v>
      </c>
      <c r="Z161" s="1">
        <v>39</v>
      </c>
      <c r="AA161" s="1">
        <v>18</v>
      </c>
      <c r="AB161" s="93">
        <v>1</v>
      </c>
      <c r="AD161" s="1" t="str">
        <f ca="1"/>
        <v>46211/D|BR1/04</v>
      </c>
      <c r="AE161" s="1" t="str">
        <f ca="1"/>
        <v>STM-A40_0106</v>
      </c>
      <c r="AF161" s="1" t="str">
        <f ca="1"/>
        <v>SAP</v>
      </c>
      <c r="AG161" s="1" t="str">
        <f ca="1"/>
        <v>LS_18</v>
      </c>
      <c r="AH161" s="1" t="str">
        <f ca="1"/>
        <v>L18_S09</v>
      </c>
      <c r="AI161" s="1" t="str">
        <f ca="1"/>
        <v>039 / 019</v>
      </c>
      <c r="AJ161" s="3" t="str">
        <f ca="1"/>
        <v>No</v>
      </c>
      <c r="AK161" s="1" t="str">
        <f ca="1"/>
        <v/>
      </c>
      <c r="AL161" s="105" t="str">
        <f ca="1"/>
        <v/>
      </c>
    </row>
    <row r="162" spans="22:38" x14ac:dyDescent="0.25">
      <c r="V162" s="1" t="str">
        <v>SH_01/01 to BR1</v>
      </c>
      <c r="W162" s="1" t="str">
        <v>SCM0899</v>
      </c>
      <c r="X162" s="3" t="str">
        <v>SAP</v>
      </c>
      <c r="Y162" s="3" t="str">
        <v>L18_S09</v>
      </c>
      <c r="Z162" s="1">
        <v>39</v>
      </c>
      <c r="AA162" s="1">
        <v>20</v>
      </c>
      <c r="AB162" s="93">
        <v>1</v>
      </c>
      <c r="AD162" s="1" t="str">
        <f ca="1"/>
        <v>46211/D|BR1/04</v>
      </c>
      <c r="AE162" s="1" t="str">
        <f ca="1"/>
        <v>STM-A40_0098</v>
      </c>
      <c r="AF162" s="1" t="str">
        <f ca="1"/>
        <v>SAP</v>
      </c>
      <c r="AG162" s="1" t="str">
        <f ca="1"/>
        <v>LS_18</v>
      </c>
      <c r="AH162" s="1" t="str">
        <f ca="1"/>
        <v>L18_S09</v>
      </c>
      <c r="AI162" s="1" t="str">
        <f ca="1"/>
        <v>039 / 020</v>
      </c>
      <c r="AJ162" s="3" t="str">
        <f ca="1"/>
        <v>Yes</v>
      </c>
      <c r="AK162" s="1" t="str">
        <f ca="1"/>
        <v/>
      </c>
      <c r="AL162" s="105" t="str">
        <f ca="1"/>
        <v/>
      </c>
    </row>
    <row r="163" spans="22:38" x14ac:dyDescent="0.25">
      <c r="V163" s="1" t="str">
        <v>SH_01/01 to BR1</v>
      </c>
      <c r="W163" s="1" t="str">
        <v>SCM0899</v>
      </c>
      <c r="X163" s="3" t="str">
        <v>SAP</v>
      </c>
      <c r="Y163" s="3" t="str">
        <v>L18_S09</v>
      </c>
      <c r="Z163" s="1">
        <v>34</v>
      </c>
      <c r="AA163" s="1">
        <v>2</v>
      </c>
      <c r="AB163" s="93">
        <v>1</v>
      </c>
      <c r="AD163" s="1" t="str">
        <f ca="1"/>
        <v>46211/D|BR1/02</v>
      </c>
      <c r="AE163" s="1" t="str">
        <f ca="1"/>
        <v>STM-A40_0136</v>
      </c>
      <c r="AF163" s="1" t="str">
        <f ca="1"/>
        <v>SAP</v>
      </c>
      <c r="AG163" s="1" t="str">
        <f ca="1"/>
        <v>LS_18</v>
      </c>
      <c r="AH163" s="1" t="str">
        <f ca="1"/>
        <v>L18_S09</v>
      </c>
      <c r="AI163" s="1" t="str">
        <f ca="1"/>
        <v>040 / 001</v>
      </c>
      <c r="AJ163" s="3" t="str">
        <f ca="1"/>
        <v>No</v>
      </c>
      <c r="AK163" s="1" t="str">
        <f ca="1"/>
        <v/>
      </c>
      <c r="AL163" s="105" t="str">
        <f ca="1"/>
        <v/>
      </c>
    </row>
    <row r="164" spans="22:38" x14ac:dyDescent="0.25">
      <c r="V164" s="1" t="str">
        <v>SH_01/01 to BR1</v>
      </c>
      <c r="W164" s="1" t="str">
        <v>SCM0899</v>
      </c>
      <c r="X164" s="3" t="str">
        <v>SAP</v>
      </c>
      <c r="Y164" s="3" t="str">
        <v>L18_S09</v>
      </c>
      <c r="Z164" s="1">
        <v>34</v>
      </c>
      <c r="AA164" s="1">
        <v>4</v>
      </c>
      <c r="AB164" s="93">
        <v>1</v>
      </c>
      <c r="AD164" s="1" t="str">
        <f ca="1"/>
        <v>46211/D|BR1/02</v>
      </c>
      <c r="AE164" s="1" t="str">
        <f ca="1"/>
        <v>STM-A40_0069</v>
      </c>
      <c r="AF164" s="1" t="str">
        <f ca="1"/>
        <v>SAP</v>
      </c>
      <c r="AG164" s="1" t="str">
        <f ca="1"/>
        <v>LS_18</v>
      </c>
      <c r="AH164" s="1" t="str">
        <f ca="1"/>
        <v>L18_S09</v>
      </c>
      <c r="AI164" s="1" t="str">
        <f ca="1"/>
        <v>040 / 002</v>
      </c>
      <c r="AJ164" s="3" t="str">
        <f ca="1"/>
        <v>Yes</v>
      </c>
      <c r="AK164" s="1" t="str">
        <f ca="1"/>
        <v/>
      </c>
      <c r="AL164" s="105" t="str">
        <f ca="1"/>
        <v/>
      </c>
    </row>
    <row r="165" spans="22:38" x14ac:dyDescent="0.25">
      <c r="V165" s="1" t="str">
        <v>SH_01/01 to BR1</v>
      </c>
      <c r="W165" s="1" t="str">
        <v>SCM0899</v>
      </c>
      <c r="X165" s="3" t="str">
        <v>SAP</v>
      </c>
      <c r="Y165" s="3" t="str">
        <v>L18_S09</v>
      </c>
      <c r="Z165" s="1">
        <v>34</v>
      </c>
      <c r="AA165" s="1">
        <v>6</v>
      </c>
      <c r="AB165" s="93">
        <v>1</v>
      </c>
      <c r="AD165" s="1" t="str">
        <f ca="1"/>
        <v>46211/D|BR1/02</v>
      </c>
      <c r="AE165" s="1" t="str">
        <f ca="1"/>
        <v>STM-A40_0087</v>
      </c>
      <c r="AF165" s="1" t="str">
        <f ca="1"/>
        <v>SAP</v>
      </c>
      <c r="AG165" s="1" t="str">
        <f ca="1"/>
        <v>LS_18</v>
      </c>
      <c r="AH165" s="1" t="str">
        <f ca="1"/>
        <v>L18_S09</v>
      </c>
      <c r="AI165" s="1" t="str">
        <f ca="1"/>
        <v>040 / 003</v>
      </c>
      <c r="AJ165" s="3" t="str">
        <f ca="1"/>
        <v>No</v>
      </c>
      <c r="AK165" s="1" t="str">
        <f ca="1"/>
        <v/>
      </c>
      <c r="AL165" s="105" t="str">
        <f ca="1"/>
        <v/>
      </c>
    </row>
    <row r="166" spans="22:38" x14ac:dyDescent="0.25">
      <c r="V166" s="1" t="str">
        <v>SH_01/01 to BR1</v>
      </c>
      <c r="W166" s="1" t="str">
        <v>SCM0899</v>
      </c>
      <c r="X166" s="3" t="str">
        <v>SAP</v>
      </c>
      <c r="Y166" s="3" t="str">
        <v>L18_S09</v>
      </c>
      <c r="Z166" s="1">
        <v>34</v>
      </c>
      <c r="AA166" s="1">
        <v>8</v>
      </c>
      <c r="AB166" s="93">
        <v>1</v>
      </c>
      <c r="AD166" s="1" t="str">
        <f ca="1"/>
        <v>46211/D|BR1/02</v>
      </c>
      <c r="AE166" s="1" t="str">
        <f ca="1"/>
        <v>STM-A40_0136</v>
      </c>
      <c r="AF166" s="1" t="str">
        <f ca="1"/>
        <v>SAP</v>
      </c>
      <c r="AG166" s="1" t="str">
        <f ca="1"/>
        <v>LS_18</v>
      </c>
      <c r="AH166" s="1" t="str">
        <f ca="1"/>
        <v>L18_S09</v>
      </c>
      <c r="AI166" s="1" t="str">
        <f ca="1"/>
        <v>040 / 004</v>
      </c>
      <c r="AJ166" s="3" t="str">
        <f ca="1"/>
        <v>Yes</v>
      </c>
      <c r="AK166" s="1" t="str">
        <f ca="1"/>
        <v/>
      </c>
      <c r="AL166" s="105" t="str">
        <f ca="1"/>
        <v/>
      </c>
    </row>
    <row r="167" spans="22:38" x14ac:dyDescent="0.25">
      <c r="V167" s="1" t="str">
        <v>SH_01/01 to BR1</v>
      </c>
      <c r="W167" s="1" t="str">
        <v>SCM0899</v>
      </c>
      <c r="X167" s="3" t="str">
        <v>SAP</v>
      </c>
      <c r="Y167" s="3" t="str">
        <v>L18_S09</v>
      </c>
      <c r="Z167" s="1">
        <v>34</v>
      </c>
      <c r="AA167" s="1">
        <v>10</v>
      </c>
      <c r="AB167" s="93">
        <v>1</v>
      </c>
      <c r="AD167" s="1" t="str">
        <f ca="1"/>
        <v>46211/D|BR1/02</v>
      </c>
      <c r="AE167" s="1" t="str">
        <f ca="1"/>
        <v>STM-A40_0132</v>
      </c>
      <c r="AF167" s="1" t="str">
        <f ca="1"/>
        <v>SAP</v>
      </c>
      <c r="AG167" s="1" t="str">
        <f ca="1"/>
        <v>LS_18</v>
      </c>
      <c r="AH167" s="1" t="str">
        <f ca="1"/>
        <v>L18_S09</v>
      </c>
      <c r="AI167" s="1" t="str">
        <f ca="1"/>
        <v>040 / 005</v>
      </c>
      <c r="AJ167" s="3" t="str">
        <f ca="1"/>
        <v>No</v>
      </c>
      <c r="AK167" s="1" t="str">
        <f ca="1"/>
        <v/>
      </c>
      <c r="AL167" s="105" t="str">
        <f ca="1"/>
        <v/>
      </c>
    </row>
    <row r="168" spans="22:38" x14ac:dyDescent="0.25">
      <c r="V168" s="1" t="str">
        <v>SH_01/01 to BR1</v>
      </c>
      <c r="W168" s="1" t="str">
        <v>SCM0899</v>
      </c>
      <c r="X168" s="3" t="str">
        <v>SAP</v>
      </c>
      <c r="Y168" s="3" t="str">
        <v>L18_S09</v>
      </c>
      <c r="Z168" s="1">
        <v>34</v>
      </c>
      <c r="AA168" s="1">
        <v>12</v>
      </c>
      <c r="AB168" s="93">
        <v>1</v>
      </c>
      <c r="AD168" s="1" t="str">
        <f ca="1"/>
        <v>46211/D|BR1/02</v>
      </c>
      <c r="AE168" s="1" t="str">
        <f ca="1"/>
        <v>STM-A40_0133</v>
      </c>
      <c r="AF168" s="1" t="str">
        <f ca="1"/>
        <v>SAP</v>
      </c>
      <c r="AG168" s="1" t="str">
        <f ca="1"/>
        <v>LS_18</v>
      </c>
      <c r="AH168" s="1" t="str">
        <f ca="1"/>
        <v>L18_S09</v>
      </c>
      <c r="AI168" s="1" t="str">
        <f ca="1"/>
        <v>040 / 006</v>
      </c>
      <c r="AJ168" s="3" t="str">
        <f ca="1"/>
        <v>Yes</v>
      </c>
      <c r="AK168" s="1" t="str">
        <f ca="1"/>
        <v/>
      </c>
      <c r="AL168" s="105" t="str">
        <f ca="1"/>
        <v/>
      </c>
    </row>
    <row r="169" spans="22:38" x14ac:dyDescent="0.25">
      <c r="V169" s="1" t="str">
        <v>SH_01/01 to BR1</v>
      </c>
      <c r="W169" s="1" t="str">
        <v>SCM0899</v>
      </c>
      <c r="X169" s="3" t="str">
        <v>SAP</v>
      </c>
      <c r="Y169" s="3" t="str">
        <v>L18_S09</v>
      </c>
      <c r="Z169" s="1">
        <v>34</v>
      </c>
      <c r="AA169" s="1">
        <v>14</v>
      </c>
      <c r="AB169" s="93">
        <v>1</v>
      </c>
      <c r="AD169" s="1" t="str">
        <f ca="1"/>
        <v>46211/D|BR1/04</v>
      </c>
      <c r="AE169" s="1" t="str">
        <f ca="1"/>
        <v>STM-A40_0107</v>
      </c>
      <c r="AF169" s="1" t="str">
        <f ca="1"/>
        <v>SAP</v>
      </c>
      <c r="AG169" s="1" t="str">
        <f ca="1"/>
        <v>LS_18</v>
      </c>
      <c r="AH169" s="1" t="str">
        <f ca="1"/>
        <v>L18_S09</v>
      </c>
      <c r="AI169" s="1" t="str">
        <f ca="1"/>
        <v>041 / 001</v>
      </c>
      <c r="AJ169" s="3" t="str">
        <f ca="1"/>
        <v>No</v>
      </c>
      <c r="AK169" s="1" t="str">
        <f ca="1"/>
        <v/>
      </c>
      <c r="AL169" s="105" t="str">
        <f ca="1"/>
        <v/>
      </c>
    </row>
    <row r="170" spans="22:38" x14ac:dyDescent="0.25">
      <c r="V170" s="1" t="str">
        <v>SH_01/01 to BR1</v>
      </c>
      <c r="W170" s="1" t="str">
        <v>SCM0899</v>
      </c>
      <c r="X170" s="3" t="str">
        <v>SAP</v>
      </c>
      <c r="Y170" s="3" t="str">
        <v>L18_S09</v>
      </c>
      <c r="Z170" s="1">
        <v>34</v>
      </c>
      <c r="AA170" s="1">
        <v>16</v>
      </c>
      <c r="AB170" s="93">
        <v>1</v>
      </c>
      <c r="AD170" s="1" t="str">
        <f ca="1"/>
        <v>46211/D|BR1/04</v>
      </c>
      <c r="AE170" s="1" t="str">
        <f ca="1"/>
        <v>STM-A40_0105</v>
      </c>
      <c r="AF170" s="1" t="str">
        <f ca="1"/>
        <v>SAP</v>
      </c>
      <c r="AG170" s="1" t="str">
        <f ca="1"/>
        <v>LS_18</v>
      </c>
      <c r="AH170" s="1" t="str">
        <f ca="1"/>
        <v>L18_S09</v>
      </c>
      <c r="AI170" s="1" t="str">
        <f ca="1"/>
        <v>041 / 002</v>
      </c>
      <c r="AJ170" s="3" t="str">
        <f ca="1"/>
        <v>Yes</v>
      </c>
      <c r="AK170" s="1" t="str">
        <f ca="1"/>
        <v/>
      </c>
      <c r="AL170" s="105" t="str">
        <f ca="1"/>
        <v/>
      </c>
    </row>
    <row r="171" spans="22:38" x14ac:dyDescent="0.25">
      <c r="V171" s="1" t="str">
        <v>SH_01/01 to BR1</v>
      </c>
      <c r="W171" s="1" t="str">
        <v>SCM0899</v>
      </c>
      <c r="X171" s="3" t="str">
        <v>SAP</v>
      </c>
      <c r="Y171" s="3" t="str">
        <v>L18_S09</v>
      </c>
      <c r="Z171" s="1">
        <v>34</v>
      </c>
      <c r="AA171" s="1">
        <v>18</v>
      </c>
      <c r="AB171" s="93">
        <v>1</v>
      </c>
      <c r="AD171" s="1" t="str">
        <f ca="1"/>
        <v>46211/D|BR1/04</v>
      </c>
      <c r="AE171" s="1" t="str">
        <f ca="1"/>
        <v>STM-A40_0106</v>
      </c>
      <c r="AF171" s="1" t="str">
        <f ca="1"/>
        <v>SAP</v>
      </c>
      <c r="AG171" s="1" t="str">
        <f ca="1"/>
        <v>LS_18</v>
      </c>
      <c r="AH171" s="1" t="str">
        <f ca="1"/>
        <v>L18_S09</v>
      </c>
      <c r="AI171" s="1" t="str">
        <f ca="1"/>
        <v>041 / 003</v>
      </c>
      <c r="AJ171" s="3" t="str">
        <f ca="1"/>
        <v>No</v>
      </c>
      <c r="AK171" s="1" t="str">
        <f ca="1"/>
        <v/>
      </c>
      <c r="AL171" s="105" t="str">
        <f ca="1"/>
        <v/>
      </c>
    </row>
    <row r="172" spans="22:38" x14ac:dyDescent="0.25">
      <c r="V172" s="1" t="str">
        <v>SH_01/01 to BR1</v>
      </c>
      <c r="W172" s="1" t="str">
        <v>SCM0899</v>
      </c>
      <c r="X172" s="3" t="str">
        <v>SAP</v>
      </c>
      <c r="Y172" s="3" t="str">
        <v>L18_S09</v>
      </c>
      <c r="Z172" s="1">
        <v>34</v>
      </c>
      <c r="AA172" s="1">
        <v>20</v>
      </c>
      <c r="AB172" s="93">
        <v>1</v>
      </c>
      <c r="AD172" s="1" t="str">
        <f ca="1"/>
        <v>46211/D|BR1/04</v>
      </c>
      <c r="AE172" s="1" t="str">
        <f ca="1"/>
        <v>STM-A40_0121</v>
      </c>
      <c r="AF172" s="1" t="str">
        <f ca="1"/>
        <v>SAP</v>
      </c>
      <c r="AG172" s="1" t="str">
        <f ca="1"/>
        <v>LS_18</v>
      </c>
      <c r="AH172" s="1" t="str">
        <f ca="1"/>
        <v>L18_S09</v>
      </c>
      <c r="AI172" s="1" t="str">
        <f ca="1"/>
        <v>041 / 004</v>
      </c>
      <c r="AJ172" s="3" t="str">
        <f ca="1"/>
        <v>Yes</v>
      </c>
      <c r="AK172" s="1" t="str">
        <f ca="1"/>
        <v/>
      </c>
      <c r="AL172" s="105" t="str">
        <f ca="1"/>
        <v>TRUCK SALAH</v>
      </c>
    </row>
    <row r="173" spans="22:38" x14ac:dyDescent="0.25">
      <c r="V173" s="1" t="str">
        <v>SH_01/01 to BR1</v>
      </c>
      <c r="W173" s="1" t="str">
        <v>SCM0899</v>
      </c>
      <c r="X173" s="3" t="str">
        <v>LIM</v>
      </c>
      <c r="Y173" s="3" t="str">
        <v>L9_26</v>
      </c>
      <c r="Z173" s="1">
        <v>2</v>
      </c>
      <c r="AA173" s="1">
        <v>5</v>
      </c>
      <c r="AB173" s="93">
        <v>0.5</v>
      </c>
      <c r="AD173" s="1" t="str">
        <f ca="1"/>
        <v>46211/D|BR1/04</v>
      </c>
      <c r="AE173" s="1" t="str">
        <f ca="1"/>
        <v>STM-A40_0107</v>
      </c>
      <c r="AF173" s="1" t="str">
        <f ca="1"/>
        <v>SAP</v>
      </c>
      <c r="AG173" s="1" t="str">
        <f ca="1"/>
        <v>LS_18</v>
      </c>
      <c r="AH173" s="1" t="str">
        <f ca="1"/>
        <v>L18_S09</v>
      </c>
      <c r="AI173" s="1" t="str">
        <f ca="1"/>
        <v>041 / 005</v>
      </c>
      <c r="AJ173" s="3" t="str">
        <f ca="1"/>
        <v>No</v>
      </c>
      <c r="AK173" s="1" t="str">
        <f ca="1"/>
        <v/>
      </c>
      <c r="AL173" s="105" t="str">
        <f ca="1"/>
        <v/>
      </c>
    </row>
    <row r="174" spans="22:38" x14ac:dyDescent="0.25">
      <c r="V174" s="1" t="str">
        <v>SH_01/01 to BR1</v>
      </c>
      <c r="W174" s="1" t="str">
        <v>SCM0899</v>
      </c>
      <c r="X174" s="3" t="str">
        <v>LIM</v>
      </c>
      <c r="Y174" s="3" t="str">
        <v>L9_26</v>
      </c>
      <c r="Z174" s="1">
        <v>2</v>
      </c>
      <c r="AA174" s="1">
        <v>10</v>
      </c>
      <c r="AB174" s="93">
        <v>0.5</v>
      </c>
      <c r="AD174" s="1" t="str">
        <f ca="1"/>
        <v>46211/D|BR1/04</v>
      </c>
      <c r="AE174" s="1" t="str">
        <f ca="1"/>
        <v>STM-A40_0098</v>
      </c>
      <c r="AF174" s="1" t="str">
        <f ca="1"/>
        <v>SAP</v>
      </c>
      <c r="AG174" s="1" t="str">
        <f ca="1"/>
        <v>LS_18</v>
      </c>
      <c r="AH174" s="1" t="str">
        <f ca="1"/>
        <v>L18_S09</v>
      </c>
      <c r="AI174" s="1" t="str">
        <f ca="1"/>
        <v>041 / 006</v>
      </c>
      <c r="AJ174" s="3" t="str">
        <f ca="1"/>
        <v>Yes</v>
      </c>
      <c r="AK174" s="1" t="str">
        <f ca="1"/>
        <v/>
      </c>
      <c r="AL174" s="105" t="str">
        <f ca="1"/>
        <v/>
      </c>
    </row>
    <row r="175" spans="22:38" x14ac:dyDescent="0.25">
      <c r="V175" s="1" t="str">
        <v>SH_01/01 to BR1</v>
      </c>
      <c r="W175" s="1" t="str">
        <v>SCM0899</v>
      </c>
      <c r="X175" s="3" t="str">
        <v>LIM</v>
      </c>
      <c r="Y175" s="3" t="str">
        <v>L9_26</v>
      </c>
      <c r="Z175" s="1">
        <v>2</v>
      </c>
      <c r="AA175" s="1">
        <v>15</v>
      </c>
      <c r="AB175" s="93">
        <v>0.5</v>
      </c>
      <c r="AD175" s="1" t="str">
        <f ca="1"/>
        <v>46211/D|BR1/05</v>
      </c>
      <c r="AE175" s="1" t="str">
        <f ca="1"/>
        <v>STM-A40_0107</v>
      </c>
      <c r="AF175" s="1" t="str">
        <f ca="1"/>
        <v>SAP</v>
      </c>
      <c r="AG175" s="1" t="str">
        <f ca="1"/>
        <v>LS_18</v>
      </c>
      <c r="AH175" s="1" t="str">
        <f ca="1"/>
        <v>L18_S09</v>
      </c>
      <c r="AI175" s="1" t="str">
        <f ca="1"/>
        <v>042 / 001</v>
      </c>
      <c r="AJ175" s="3" t="str">
        <f ca="1"/>
        <v>No</v>
      </c>
      <c r="AK175" s="1" t="str">
        <f ca="1"/>
        <v/>
      </c>
      <c r="AL175" s="105" t="str">
        <f ca="1"/>
        <v/>
      </c>
    </row>
    <row r="176" spans="22:38" x14ac:dyDescent="0.25">
      <c r="V176" s="1" t="str">
        <v>SH_01/01 to BR1</v>
      </c>
      <c r="W176" s="1" t="str">
        <v>SCM0899</v>
      </c>
      <c r="X176" s="3" t="str">
        <v>LIM</v>
      </c>
      <c r="Y176" s="3" t="str">
        <v>L9_26</v>
      </c>
      <c r="Z176" s="1">
        <v>2</v>
      </c>
      <c r="AA176" s="1">
        <v>20</v>
      </c>
      <c r="AB176" s="93">
        <v>0.5</v>
      </c>
      <c r="AD176" s="1" t="str">
        <f ca="1"/>
        <v>46211/D|BR1/05</v>
      </c>
      <c r="AE176" s="1" t="str">
        <f ca="1"/>
        <v>STM-A40_0098</v>
      </c>
      <c r="AF176" s="1" t="str">
        <f ca="1"/>
        <v>SAP</v>
      </c>
      <c r="AG176" s="1" t="str">
        <f ca="1"/>
        <v>LS_18</v>
      </c>
      <c r="AH176" s="1" t="str">
        <f ca="1"/>
        <v>L18_S09</v>
      </c>
      <c r="AI176" s="1" t="str">
        <f ca="1"/>
        <v>042 / 002</v>
      </c>
      <c r="AJ176" s="3" t="str">
        <f ca="1"/>
        <v>Yes</v>
      </c>
      <c r="AK176" s="1" t="str">
        <f ca="1"/>
        <v/>
      </c>
      <c r="AL176" s="105" t="str">
        <f ca="1"/>
        <v/>
      </c>
    </row>
    <row r="177" spans="22:38" x14ac:dyDescent="0.25">
      <c r="V177" s="1" t="str">
        <v>SH_01/01 to BR1</v>
      </c>
      <c r="W177" s="1" t="str">
        <v>SCM0899</v>
      </c>
      <c r="X177" s="3" t="str">
        <v>LIM</v>
      </c>
      <c r="Y177" s="3" t="str">
        <v>L9_26</v>
      </c>
      <c r="Z177" s="1">
        <v>2</v>
      </c>
      <c r="AA177" s="1">
        <v>25</v>
      </c>
      <c r="AB177" s="93">
        <v>0.5</v>
      </c>
      <c r="AD177" s="1" t="str">
        <f ca="1"/>
        <v>46211/D|BR1/05</v>
      </c>
      <c r="AE177" s="1" t="str">
        <f ca="1"/>
        <v>STM-A40_0121</v>
      </c>
      <c r="AF177" s="1" t="str">
        <f ca="1"/>
        <v>SAP</v>
      </c>
      <c r="AG177" s="1" t="str">
        <f ca="1"/>
        <v>LS_18</v>
      </c>
      <c r="AH177" s="1" t="str">
        <f ca="1"/>
        <v>L18_S09</v>
      </c>
      <c r="AI177" s="1" t="str">
        <f ca="1"/>
        <v>042 / 003</v>
      </c>
      <c r="AJ177" s="3" t="str">
        <f ca="1"/>
        <v>No</v>
      </c>
      <c r="AK177" s="1" t="str">
        <f ca="1"/>
        <v/>
      </c>
      <c r="AL177" s="105" t="str">
        <f ca="1"/>
        <v>TRUCK SALAH</v>
      </c>
    </row>
    <row r="178" spans="22:38" x14ac:dyDescent="0.25">
      <c r="V178" s="1" t="str">
        <v>SH_01/01 to BR1</v>
      </c>
      <c r="W178" s="1" t="str">
        <v>SCM0899</v>
      </c>
      <c r="X178" s="3" t="str">
        <v>LIM</v>
      </c>
      <c r="Y178" s="3" t="str">
        <v>L9_26</v>
      </c>
      <c r="Z178" s="1">
        <v>2</v>
      </c>
      <c r="AA178" s="1">
        <v>30</v>
      </c>
      <c r="AB178" s="93">
        <v>0.5</v>
      </c>
      <c r="AD178" s="1" t="str">
        <f ca="1"/>
        <v>46211/D|BR1/05</v>
      </c>
      <c r="AE178" s="1" t="str">
        <f ca="1"/>
        <v>STM-A40_0106</v>
      </c>
      <c r="AF178" s="1" t="str">
        <f ca="1"/>
        <v>SAP</v>
      </c>
      <c r="AG178" s="1" t="str">
        <f ca="1"/>
        <v>LS_18</v>
      </c>
      <c r="AH178" s="1" t="str">
        <f ca="1"/>
        <v>L18_S09</v>
      </c>
      <c r="AI178" s="1" t="str">
        <f ca="1"/>
        <v>042 / 004</v>
      </c>
      <c r="AJ178" s="3" t="str">
        <f ca="1"/>
        <v>Yes</v>
      </c>
      <c r="AK178" s="1" t="str">
        <f ca="1"/>
        <v/>
      </c>
      <c r="AL178" s="105" t="str">
        <f ca="1"/>
        <v/>
      </c>
    </row>
    <row r="179" spans="22:38" x14ac:dyDescent="0.25">
      <c r="V179" s="1" t="str">
        <v>SH_01/01 to BR1</v>
      </c>
      <c r="W179" s="1" t="str">
        <v>SCM0899</v>
      </c>
      <c r="X179" s="3" t="str">
        <v>LIM</v>
      </c>
      <c r="Y179" s="3" t="str">
        <v>L9_26</v>
      </c>
      <c r="Z179" s="1">
        <v>2</v>
      </c>
      <c r="AA179" s="1">
        <v>35</v>
      </c>
      <c r="AB179" s="93">
        <v>0.5</v>
      </c>
      <c r="AD179" s="1" t="str">
        <f ca="1"/>
        <v>46211/D|BR1/05</v>
      </c>
      <c r="AE179" s="1" t="str">
        <f ca="1"/>
        <v>STM-A40_0107</v>
      </c>
      <c r="AF179" s="1" t="str">
        <f ca="1"/>
        <v>SAP</v>
      </c>
      <c r="AG179" s="1" t="str">
        <f ca="1"/>
        <v>LS_18</v>
      </c>
      <c r="AH179" s="1" t="str">
        <f ca="1"/>
        <v>L18_S09</v>
      </c>
      <c r="AI179" s="1" t="str">
        <f ca="1"/>
        <v>042 / 005</v>
      </c>
      <c r="AJ179" s="3" t="str">
        <f ca="1"/>
        <v>No</v>
      </c>
      <c r="AK179" s="1" t="str">
        <f ca="1"/>
        <v/>
      </c>
      <c r="AL179" s="105" t="str">
        <f ca="1"/>
        <v/>
      </c>
    </row>
    <row r="180" spans="22:38" x14ac:dyDescent="0.25">
      <c r="V180" s="1" t="str">
        <v>SH_01/01 to BR1</v>
      </c>
      <c r="W180" s="1" t="str">
        <v>SCM0899</v>
      </c>
      <c r="X180" s="3" t="str">
        <v>LIM</v>
      </c>
      <c r="Y180" s="3" t="str">
        <v>L9_26</v>
      </c>
      <c r="Z180" s="1">
        <v>2</v>
      </c>
      <c r="AA180" s="1">
        <v>40</v>
      </c>
      <c r="AB180" s="93">
        <v>0.5</v>
      </c>
      <c r="AD180" s="1" t="str">
        <f ca="1"/>
        <v>46211/D|BR1/05</v>
      </c>
      <c r="AE180" s="1" t="str">
        <f ca="1"/>
        <v>STM-A40_0105</v>
      </c>
      <c r="AF180" s="1" t="str">
        <f ca="1"/>
        <v>SAP</v>
      </c>
      <c r="AG180" s="1" t="str">
        <f ca="1"/>
        <v>LS_18</v>
      </c>
      <c r="AH180" s="1" t="str">
        <f ca="1"/>
        <v>L18_S09</v>
      </c>
      <c r="AI180" s="1" t="str">
        <f ca="1"/>
        <v>042 / 006</v>
      </c>
      <c r="AJ180" s="3" t="str">
        <f ca="1"/>
        <v>Yes</v>
      </c>
      <c r="AK180" s="1" t="str">
        <f ca="1"/>
        <v/>
      </c>
      <c r="AL180" s="105" t="str">
        <f ca="1"/>
        <v/>
      </c>
    </row>
    <row r="181" spans="22:38" x14ac:dyDescent="0.25">
      <c r="V181" s="1" t="str">
        <v>SH_01/01 to BR1</v>
      </c>
      <c r="W181" s="1" t="str">
        <v>SCM0899</v>
      </c>
      <c r="X181" s="3" t="str">
        <v>LIM</v>
      </c>
      <c r="Y181" s="3" t="str">
        <v>L9_26</v>
      </c>
      <c r="Z181" s="1">
        <v>2</v>
      </c>
      <c r="AA181" s="1">
        <v>45</v>
      </c>
      <c r="AB181" s="93">
        <v>0.5</v>
      </c>
      <c r="AD181" s="1" t="str">
        <f ca="1"/>
        <v>46211/D|BR1/05</v>
      </c>
      <c r="AE181" s="1" t="str">
        <f ca="1"/>
        <v>STM-A40_0106</v>
      </c>
      <c r="AF181" s="1" t="str">
        <f ca="1"/>
        <v>SAP</v>
      </c>
      <c r="AG181" s="1" t="str">
        <f ca="1"/>
        <v>LS_18</v>
      </c>
      <c r="AH181" s="1" t="str">
        <f ca="1"/>
        <v>L18_S09</v>
      </c>
      <c r="AI181" s="1" t="str">
        <f ca="1"/>
        <v>042 / 007</v>
      </c>
      <c r="AJ181" s="3" t="str">
        <f ca="1"/>
        <v>No</v>
      </c>
      <c r="AK181" s="1" t="str">
        <f ca="1"/>
        <v/>
      </c>
      <c r="AL181" s="105" t="str">
        <f ca="1"/>
        <v/>
      </c>
    </row>
    <row r="182" spans="22:38" x14ac:dyDescent="0.25">
      <c r="V182" s="1" t="str">
        <v>SH_01/01 to BR1</v>
      </c>
      <c r="W182" s="1" t="str">
        <v>SCM0899</v>
      </c>
      <c r="X182" s="3" t="str">
        <v>LIM</v>
      </c>
      <c r="Y182" s="3" t="str">
        <v>L9_26</v>
      </c>
      <c r="Z182" s="1">
        <v>2</v>
      </c>
      <c r="AA182" s="1">
        <v>50</v>
      </c>
      <c r="AB182" s="93">
        <v>0.5</v>
      </c>
      <c r="AD182" s="1" t="str">
        <f ca="1"/>
        <v>46211/D|BR1/05</v>
      </c>
      <c r="AE182" s="1" t="str">
        <f ca="1"/>
        <v>STM-A40_0121</v>
      </c>
      <c r="AF182" s="1" t="str">
        <f ca="1"/>
        <v>SAP</v>
      </c>
      <c r="AG182" s="1" t="str">
        <f ca="1"/>
        <v>LS_18</v>
      </c>
      <c r="AH182" s="1" t="str">
        <f ca="1"/>
        <v>L18_S09</v>
      </c>
      <c r="AI182" s="1" t="str">
        <f ca="1"/>
        <v>042 / 008</v>
      </c>
      <c r="AJ182" s="3" t="str">
        <f ca="1"/>
        <v>Yes</v>
      </c>
      <c r="AK182" s="1" t="str">
        <f ca="1"/>
        <v/>
      </c>
      <c r="AL182" s="105" t="str">
        <f ca="1"/>
        <v>TRUCK SALAH</v>
      </c>
    </row>
    <row r="183" spans="22:38" x14ac:dyDescent="0.25">
      <c r="V183" s="1" t="str">
        <v>SH_01/01 to BR1</v>
      </c>
      <c r="W183" s="1" t="str">
        <v>SCM0899</v>
      </c>
      <c r="X183" s="3" t="str">
        <v>LIM</v>
      </c>
      <c r="Y183" s="3" t="str">
        <v>L9_26</v>
      </c>
      <c r="Z183" s="1">
        <v>2</v>
      </c>
      <c r="AA183" s="1">
        <v>55</v>
      </c>
      <c r="AB183" s="93">
        <v>0.5</v>
      </c>
      <c r="AD183" s="1" t="str">
        <f ca="1"/>
        <v>46211/D|BR1/05</v>
      </c>
      <c r="AE183" s="1" t="str">
        <f ca="1"/>
        <v>STM-A40_0107</v>
      </c>
      <c r="AF183" s="1" t="str">
        <f ca="1"/>
        <v>SAP</v>
      </c>
      <c r="AG183" s="1" t="str">
        <f ca="1"/>
        <v>LS_18</v>
      </c>
      <c r="AH183" s="1" t="str">
        <f ca="1"/>
        <v>L18_S09</v>
      </c>
      <c r="AI183" s="1" t="str">
        <f ca="1"/>
        <v>042 / 009</v>
      </c>
      <c r="AJ183" s="3" t="str">
        <f ca="1"/>
        <v>No</v>
      </c>
      <c r="AK183" s="1" t="str">
        <f ca="1"/>
        <v/>
      </c>
      <c r="AL183" s="105" t="str">
        <f ca="1"/>
        <v/>
      </c>
    </row>
    <row r="184" spans="22:38" x14ac:dyDescent="0.25">
      <c r="V184" s="1" t="str">
        <v>SH_01/01 to BR1</v>
      </c>
      <c r="W184" s="1" t="str">
        <v>SCM0899</v>
      </c>
      <c r="X184" s="3" t="str">
        <v>LIM</v>
      </c>
      <c r="Y184" s="3" t="str">
        <v>L9_26</v>
      </c>
      <c r="Z184" s="1">
        <v>2</v>
      </c>
      <c r="AA184" s="1">
        <v>60</v>
      </c>
      <c r="AB184" s="93">
        <v>0.5</v>
      </c>
      <c r="AD184" s="1" t="str">
        <f ca="1"/>
        <v>46211/D|BR1/05</v>
      </c>
      <c r="AE184" s="1" t="str">
        <f ca="1"/>
        <v>STM-A40_0098</v>
      </c>
      <c r="AF184" s="1" t="str">
        <f ca="1"/>
        <v>SAP</v>
      </c>
      <c r="AG184" s="1" t="str">
        <f ca="1"/>
        <v>LS_18</v>
      </c>
      <c r="AH184" s="1" t="str">
        <f ca="1"/>
        <v>L18_S09</v>
      </c>
      <c r="AI184" s="1" t="str">
        <f ca="1"/>
        <v>042 / 010</v>
      </c>
      <c r="AJ184" s="3" t="str">
        <f ca="1"/>
        <v>Yes</v>
      </c>
      <c r="AK184" s="1" t="str">
        <f ca="1"/>
        <v/>
      </c>
      <c r="AL184" s="105" t="str">
        <f ca="1"/>
        <v/>
      </c>
    </row>
    <row r="185" spans="22:38" x14ac:dyDescent="0.25">
      <c r="V185" s="1" t="str">
        <v>SH_01/01 to BR1</v>
      </c>
      <c r="W185" s="1" t="str">
        <v>SCM0899</v>
      </c>
      <c r="X185" s="3" t="str">
        <v>LIM</v>
      </c>
      <c r="Y185" s="3" t="str">
        <v>L9_26</v>
      </c>
      <c r="Z185" s="1">
        <v>2</v>
      </c>
      <c r="AA185" s="1">
        <v>65</v>
      </c>
      <c r="AB185" s="93">
        <v>0.5</v>
      </c>
      <c r="AD185" s="1" t="str">
        <f ca="1"/>
        <v>46211/D|BR1/05</v>
      </c>
      <c r="AE185" s="1" t="str">
        <f ca="1"/>
        <v>STM-A40_0105</v>
      </c>
      <c r="AF185" s="1" t="str">
        <f ca="1"/>
        <v>SAP</v>
      </c>
      <c r="AG185" s="1" t="str">
        <f ca="1"/>
        <v>LS_18</v>
      </c>
      <c r="AH185" s="1" t="str">
        <f ca="1"/>
        <v>L18_S09</v>
      </c>
      <c r="AI185" s="1" t="str">
        <f ca="1"/>
        <v>042 / 011</v>
      </c>
      <c r="AJ185" s="3" t="str">
        <f ca="1"/>
        <v>No</v>
      </c>
      <c r="AK185" s="1" t="str">
        <f ca="1"/>
        <v/>
      </c>
      <c r="AL185" s="105" t="str">
        <f ca="1"/>
        <v/>
      </c>
    </row>
    <row r="186" spans="22:38" x14ac:dyDescent="0.25">
      <c r="V186" s="1" t="str">
        <v>SH_01/01 to BR1</v>
      </c>
      <c r="W186" s="1" t="str">
        <v>SCM0899</v>
      </c>
      <c r="X186" s="3" t="str">
        <v>LIM</v>
      </c>
      <c r="Y186" s="3" t="str">
        <v>L9_26</v>
      </c>
      <c r="Z186" s="1">
        <v>2</v>
      </c>
      <c r="AA186" s="1">
        <v>70</v>
      </c>
      <c r="AB186" s="93">
        <v>0.5</v>
      </c>
      <c r="AD186" s="1" t="str">
        <f ca="1"/>
        <v>46211/D|BR1/05</v>
      </c>
      <c r="AE186" s="1" t="str">
        <f ca="1"/>
        <v>STM-A40_0098</v>
      </c>
      <c r="AF186" s="1" t="str">
        <f ca="1"/>
        <v>SAP</v>
      </c>
      <c r="AG186" s="1" t="str">
        <f ca="1"/>
        <v>LS_18</v>
      </c>
      <c r="AH186" s="1" t="str">
        <f ca="1"/>
        <v>L18_S09</v>
      </c>
      <c r="AI186" s="1" t="str">
        <f ca="1"/>
        <v>042 / 012</v>
      </c>
      <c r="AJ186" s="3" t="str">
        <f ca="1"/>
        <v>Yes</v>
      </c>
      <c r="AK186" s="1" t="str">
        <f ca="1"/>
        <v/>
      </c>
      <c r="AL186" s="105" t="str">
        <f ca="1"/>
        <v/>
      </c>
    </row>
    <row r="187" spans="22:38" x14ac:dyDescent="0.25">
      <c r="V187" s="1" t="str">
        <v>SH_01/01 to BR1</v>
      </c>
      <c r="W187" s="1" t="str">
        <v>SCM0899</v>
      </c>
      <c r="X187" s="3" t="str">
        <v>LIM</v>
      </c>
      <c r="Y187" s="3" t="str">
        <v>L9_26</v>
      </c>
      <c r="Z187" s="1">
        <v>2</v>
      </c>
      <c r="AA187" s="1">
        <v>75</v>
      </c>
      <c r="AB187" s="93">
        <v>0.5</v>
      </c>
      <c r="AD187" s="1" t="str">
        <f ca="1"/>
        <v>46211/D|BR1/05</v>
      </c>
      <c r="AE187" s="1" t="str">
        <f ca="1"/>
        <v>STM-A40_0121</v>
      </c>
      <c r="AF187" s="1" t="str">
        <f ca="1"/>
        <v>SAP</v>
      </c>
      <c r="AG187" s="1" t="str">
        <f ca="1"/>
        <v>LS_18</v>
      </c>
      <c r="AH187" s="1" t="str">
        <f ca="1"/>
        <v>L18_S09</v>
      </c>
      <c r="AI187" s="1" t="str">
        <f ca="1"/>
        <v>042 / 013</v>
      </c>
      <c r="AJ187" s="3" t="str">
        <f ca="1"/>
        <v>No</v>
      </c>
      <c r="AK187" s="1" t="str">
        <f ca="1"/>
        <v/>
      </c>
      <c r="AL187" s="105" t="str">
        <f ca="1"/>
        <v>TRUCK SALAH</v>
      </c>
    </row>
    <row r="188" spans="22:38" x14ac:dyDescent="0.25">
      <c r="V188" s="1" t="str">
        <v>SH_01/01 to BR1</v>
      </c>
      <c r="W188" s="1" t="str">
        <v>SCM0899</v>
      </c>
      <c r="X188" s="3" t="str">
        <v>LIM</v>
      </c>
      <c r="Y188" s="3" t="str">
        <v>L9_26</v>
      </c>
      <c r="Z188" s="1">
        <v>2</v>
      </c>
      <c r="AA188" s="1">
        <v>80</v>
      </c>
      <c r="AB188" s="93">
        <v>0.5</v>
      </c>
      <c r="AD188" s="1" t="str">
        <f ca="1"/>
        <v>46211/D|BR1/05</v>
      </c>
      <c r="AE188" s="1" t="str">
        <f ca="1"/>
        <v>STM-A40_0106</v>
      </c>
      <c r="AF188" s="1" t="str">
        <f ca="1"/>
        <v>SAP</v>
      </c>
      <c r="AG188" s="1" t="str">
        <f ca="1"/>
        <v>LS_18</v>
      </c>
      <c r="AH188" s="1" t="str">
        <f ca="1"/>
        <v>L18_S09</v>
      </c>
      <c r="AI188" s="1" t="str">
        <f ca="1"/>
        <v>042 / 014</v>
      </c>
      <c r="AJ188" s="3" t="str">
        <f ca="1"/>
        <v>Yes</v>
      </c>
      <c r="AK188" s="1" t="str">
        <f ca="1"/>
        <v/>
      </c>
      <c r="AL188" s="105" t="str">
        <f ca="1"/>
        <v/>
      </c>
    </row>
    <row r="189" spans="22:38" x14ac:dyDescent="0.25">
      <c r="V189" s="1" t="str">
        <v>SH_01/01 to BR1</v>
      </c>
      <c r="W189" s="1" t="str">
        <v>SCM0899</v>
      </c>
      <c r="X189" s="3" t="str">
        <v>LIM</v>
      </c>
      <c r="Y189" s="3" t="str">
        <v>L9_26</v>
      </c>
      <c r="Z189" s="1">
        <v>2</v>
      </c>
      <c r="AA189" s="1">
        <v>85</v>
      </c>
      <c r="AB189" s="93">
        <v>0.5</v>
      </c>
      <c r="AD189" s="1" t="str">
        <f ca="1"/>
        <v>46211/D|BR1/05</v>
      </c>
      <c r="AE189" s="1" t="str">
        <f ca="1"/>
        <v>STM-A40_0107</v>
      </c>
      <c r="AF189" s="1" t="str">
        <f ca="1"/>
        <v>SAP</v>
      </c>
      <c r="AG189" s="1" t="str">
        <f ca="1"/>
        <v>LS_18</v>
      </c>
      <c r="AH189" s="1" t="str">
        <f ca="1"/>
        <v>L18_S09</v>
      </c>
      <c r="AI189" s="1" t="str">
        <f ca="1"/>
        <v>042 / 015</v>
      </c>
      <c r="AJ189" s="3" t="str">
        <f ca="1"/>
        <v>No</v>
      </c>
      <c r="AK189" s="1" t="str">
        <f ca="1"/>
        <v/>
      </c>
      <c r="AL189" s="105" t="str">
        <f ca="1"/>
        <v/>
      </c>
    </row>
    <row r="190" spans="22:38" x14ac:dyDescent="0.25">
      <c r="V190" s="1" t="str">
        <v>SH_01/01 to BR1</v>
      </c>
      <c r="W190" s="1" t="str">
        <v>SCM0899</v>
      </c>
      <c r="X190" s="3" t="str">
        <v>LIM</v>
      </c>
      <c r="Y190" s="3" t="str">
        <v>L9_26</v>
      </c>
      <c r="Z190" s="1">
        <v>2</v>
      </c>
      <c r="AA190" s="1">
        <v>90</v>
      </c>
      <c r="AB190" s="93">
        <v>0.5</v>
      </c>
      <c r="AD190" s="1" t="str">
        <f ca="1"/>
        <v>46211/D|BR1/05</v>
      </c>
      <c r="AE190" s="1" t="str">
        <f ca="1"/>
        <v>STM-A40_0121</v>
      </c>
      <c r="AF190" s="1" t="str">
        <f ca="1"/>
        <v>SAP</v>
      </c>
      <c r="AG190" s="1" t="str">
        <f ca="1"/>
        <v>LS_18</v>
      </c>
      <c r="AH190" s="1" t="str">
        <f ca="1"/>
        <v>L18_S09</v>
      </c>
      <c r="AI190" s="1" t="str">
        <f ca="1"/>
        <v>042 / 016</v>
      </c>
      <c r="AJ190" s="3" t="str">
        <f ca="1"/>
        <v>Yes</v>
      </c>
      <c r="AK190" s="1" t="str">
        <f ca="1"/>
        <v/>
      </c>
      <c r="AL190" s="105" t="str">
        <f ca="1"/>
        <v>TRUCK SALAH</v>
      </c>
    </row>
    <row r="191" spans="22:38" x14ac:dyDescent="0.25">
      <c r="V191" s="1" t="str">
        <v>SH_01/01 to BR1</v>
      </c>
      <c r="W191" s="1" t="str">
        <v>SCM0899</v>
      </c>
      <c r="X191" s="3" t="str">
        <v>LIM</v>
      </c>
      <c r="Y191" s="3" t="str">
        <v>L9_26</v>
      </c>
      <c r="Z191" s="1">
        <v>2</v>
      </c>
      <c r="AA191" s="1">
        <v>95</v>
      </c>
      <c r="AB191" s="93">
        <v>0.5</v>
      </c>
      <c r="AD191" s="1" t="str">
        <f ca="1"/>
        <v>46211/D|BR1/05</v>
      </c>
      <c r="AE191" s="1" t="str">
        <f ca="1"/>
        <v>STM-A40_0105</v>
      </c>
      <c r="AF191" s="1" t="str">
        <f ca="1"/>
        <v>SAP</v>
      </c>
      <c r="AG191" s="1" t="str">
        <f ca="1"/>
        <v>LS_18</v>
      </c>
      <c r="AH191" s="1" t="str">
        <f ca="1"/>
        <v>L18_S09</v>
      </c>
      <c r="AI191" s="1" t="str">
        <f ca="1"/>
        <v>042 / 017</v>
      </c>
      <c r="AJ191" s="3" t="str">
        <f ca="1"/>
        <v>No</v>
      </c>
      <c r="AK191" s="1" t="str">
        <f ca="1"/>
        <v/>
      </c>
      <c r="AL191" s="105" t="str">
        <f ca="1"/>
        <v/>
      </c>
    </row>
    <row r="192" spans="22:38" x14ac:dyDescent="0.25">
      <c r="V192" s="1" t="str">
        <v>SH_01/01 to BR1</v>
      </c>
      <c r="W192" s="1" t="str">
        <v>SCM0899</v>
      </c>
      <c r="X192" s="3" t="str">
        <v>LIM</v>
      </c>
      <c r="Y192" s="3" t="str">
        <v>L9_26</v>
      </c>
      <c r="Z192" s="1">
        <v>2</v>
      </c>
      <c r="AA192" s="1">
        <v>100</v>
      </c>
      <c r="AB192" s="93">
        <v>0.5</v>
      </c>
      <c r="AD192" s="1" t="str">
        <f ca="1"/>
        <v>46211/D|BR1/05</v>
      </c>
      <c r="AE192" s="1" t="str">
        <f ca="1"/>
        <v>STM-A40_0098</v>
      </c>
      <c r="AF192" s="1" t="str">
        <f ca="1"/>
        <v>SAP</v>
      </c>
      <c r="AG192" s="1" t="str">
        <f ca="1"/>
        <v>LS_18</v>
      </c>
      <c r="AH192" s="1" t="str">
        <f ca="1"/>
        <v>L18_S09</v>
      </c>
      <c r="AI192" s="1" t="str">
        <f ca="1"/>
        <v>042 / 018</v>
      </c>
      <c r="AJ192" s="3" t="str">
        <f ca="1"/>
        <v>Yes</v>
      </c>
      <c r="AK192" s="1" t="str">
        <f ca="1"/>
        <v/>
      </c>
      <c r="AL192" s="105" t="str">
        <f ca="1"/>
        <v/>
      </c>
    </row>
    <row r="193" spans="22:38" x14ac:dyDescent="0.25">
      <c r="V193" s="1" t="str">
        <v>In BR1-SH_01</v>
      </c>
      <c r="W193" s="1" t="str">
        <v>Not Picked Up</v>
      </c>
      <c r="X193" s="3" t="str">
        <v>SAP</v>
      </c>
      <c r="Y193" s="3" t="str">
        <v>L18_S09</v>
      </c>
      <c r="Z193" s="1">
        <v>42</v>
      </c>
      <c r="AA193" s="1">
        <v>2</v>
      </c>
      <c r="AB193" s="93">
        <v>1</v>
      </c>
      <c r="AD193" s="1" t="str">
        <f ca="1"/>
        <v>46211/D|BR1/05</v>
      </c>
      <c r="AE193" s="1" t="str">
        <f ca="1"/>
        <v>STM-A40_0106</v>
      </c>
      <c r="AF193" s="1" t="str">
        <f ca="1"/>
        <v>SAP</v>
      </c>
      <c r="AG193" s="1" t="str">
        <f ca="1"/>
        <v>LS_18</v>
      </c>
      <c r="AH193" s="1" t="str">
        <f ca="1"/>
        <v>L18_S09</v>
      </c>
      <c r="AI193" s="1" t="str">
        <f ca="1"/>
        <v>042 / 019</v>
      </c>
      <c r="AJ193" s="3" t="str">
        <f ca="1"/>
        <v>No</v>
      </c>
      <c r="AK193" s="1" t="str">
        <f ca="1"/>
        <v/>
      </c>
      <c r="AL193" s="105" t="str">
        <f ca="1"/>
        <v/>
      </c>
    </row>
    <row r="194" spans="22:38" x14ac:dyDescent="0.25">
      <c r="V194" s="1" t="str">
        <v>In BR1-SH_01</v>
      </c>
      <c r="W194" s="1" t="str">
        <v>Not Picked Up</v>
      </c>
      <c r="X194" s="3" t="str">
        <v>SAP</v>
      </c>
      <c r="Y194" s="3" t="str">
        <v>L18_S09</v>
      </c>
      <c r="Z194" s="1">
        <v>42</v>
      </c>
      <c r="AA194" s="1">
        <v>4</v>
      </c>
      <c r="AB194" s="93">
        <v>1</v>
      </c>
      <c r="AD194" s="1" t="str">
        <f ca="1"/>
        <v>46211/D|BR1/05</v>
      </c>
      <c r="AE194" s="1" t="str">
        <f ca="1"/>
        <v>STM-A40_0107</v>
      </c>
      <c r="AF194" s="1" t="str">
        <f ca="1"/>
        <v>SAP</v>
      </c>
      <c r="AG194" s="1" t="str">
        <f ca="1"/>
        <v>LS_18</v>
      </c>
      <c r="AH194" s="1" t="str">
        <f ca="1"/>
        <v>L18_S09</v>
      </c>
      <c r="AI194" s="1" t="str">
        <f ca="1"/>
        <v>042 / 020</v>
      </c>
      <c r="AJ194" s="3" t="str">
        <f ca="1"/>
        <v>Yes</v>
      </c>
      <c r="AK194" s="1" t="str">
        <f ca="1"/>
        <v/>
      </c>
      <c r="AL194" s="105" t="str">
        <f ca="1"/>
        <v/>
      </c>
    </row>
    <row r="195" spans="22:38" x14ac:dyDescent="0.25">
      <c r="V195" s="1" t="str">
        <v>In BR1-SH_01</v>
      </c>
      <c r="W195" s="1" t="str">
        <v>Not Picked Up</v>
      </c>
      <c r="X195" s="3" t="str">
        <v>SAP</v>
      </c>
      <c r="Y195" s="3" t="str">
        <v>L18_S09</v>
      </c>
      <c r="Z195" s="1">
        <v>42</v>
      </c>
      <c r="AA195" s="1">
        <v>6</v>
      </c>
      <c r="AB195" s="93">
        <v>1</v>
      </c>
      <c r="AD195" s="1" t="str">
        <f ca="1"/>
        <v>46211/D|BR1/05</v>
      </c>
      <c r="AE195" s="1" t="str">
        <f ca="1"/>
        <v>STM-A40_0098</v>
      </c>
      <c r="AF195" s="1" t="str">
        <f ca="1"/>
        <v>SAP</v>
      </c>
      <c r="AG195" s="1" t="str">
        <f ca="1"/>
        <v>LS_18</v>
      </c>
      <c r="AH195" s="1" t="str">
        <f ca="1"/>
        <v>L18_S09</v>
      </c>
      <c r="AI195" s="1" t="str">
        <f ca="1"/>
        <v>043 / 001</v>
      </c>
      <c r="AJ195" s="3" t="str">
        <f ca="1"/>
        <v>No</v>
      </c>
      <c r="AK195" s="1" t="str">
        <f ca="1"/>
        <v/>
      </c>
      <c r="AL195" s="105" t="str">
        <f ca="1"/>
        <v/>
      </c>
    </row>
    <row r="196" spans="22:38" x14ac:dyDescent="0.25">
      <c r="V196" s="1" t="str">
        <v>In BR1-SH_01</v>
      </c>
      <c r="W196" s="1" t="str">
        <v>Not Picked Up</v>
      </c>
      <c r="X196" s="3" t="str">
        <v>SAP</v>
      </c>
      <c r="Y196" s="3" t="str">
        <v>L18_S09</v>
      </c>
      <c r="Z196" s="1">
        <v>42</v>
      </c>
      <c r="AA196" s="1">
        <v>8</v>
      </c>
      <c r="AB196" s="93">
        <v>1</v>
      </c>
      <c r="AD196" s="1" t="str">
        <f ca="1"/>
        <v>46211/D|BR1/05</v>
      </c>
      <c r="AE196" s="1" t="str">
        <f ca="1"/>
        <v>STM-A40_0121</v>
      </c>
      <c r="AF196" s="1" t="str">
        <f ca="1"/>
        <v>SAP</v>
      </c>
      <c r="AG196" s="1" t="str">
        <f ca="1"/>
        <v>LS_18</v>
      </c>
      <c r="AH196" s="1" t="str">
        <f ca="1"/>
        <v>L18_S09</v>
      </c>
      <c r="AI196" s="1" t="str">
        <f ca="1"/>
        <v>043 / 002</v>
      </c>
      <c r="AJ196" s="3" t="str">
        <f ca="1"/>
        <v>Yes</v>
      </c>
      <c r="AK196" s="1" t="str">
        <f ca="1"/>
        <v/>
      </c>
      <c r="AL196" s="105" t="str">
        <f ca="1"/>
        <v>TRUCK SALAH</v>
      </c>
    </row>
    <row r="197" spans="22:38" x14ac:dyDescent="0.25">
      <c r="V197" s="1" t="str">
        <v>In BR1-SH_01</v>
      </c>
      <c r="W197" s="1" t="str">
        <v>Not Picked Up</v>
      </c>
      <c r="X197" s="3" t="str">
        <v>SAP</v>
      </c>
      <c r="Y197" s="3" t="str">
        <v>L18_S09</v>
      </c>
      <c r="Z197" s="1">
        <v>42</v>
      </c>
      <c r="AA197" s="1">
        <v>10</v>
      </c>
      <c r="AB197" s="93">
        <v>1</v>
      </c>
      <c r="AD197" s="1" t="str">
        <f ca="1"/>
        <v>46211/D|BR1/05</v>
      </c>
      <c r="AE197" s="1" t="str">
        <f ca="1"/>
        <v>STM-A40_0106</v>
      </c>
      <c r="AF197" s="1" t="str">
        <f ca="1"/>
        <v>SAP</v>
      </c>
      <c r="AG197" s="1" t="str">
        <f ca="1"/>
        <v>LS_18</v>
      </c>
      <c r="AH197" s="1" t="str">
        <f ca="1"/>
        <v>L18_S09</v>
      </c>
      <c r="AI197" s="1" t="str">
        <f ca="1"/>
        <v>043 / 003</v>
      </c>
      <c r="AJ197" s="3" t="str">
        <f ca="1"/>
        <v>No</v>
      </c>
      <c r="AK197" s="1" t="str">
        <f ca="1"/>
        <v/>
      </c>
      <c r="AL197" s="105" t="str">
        <f ca="1"/>
        <v/>
      </c>
    </row>
    <row r="198" spans="22:38" x14ac:dyDescent="0.25">
      <c r="V198" s="1" t="str">
        <v>In BR1-SH_01</v>
      </c>
      <c r="W198" s="1" t="str">
        <v>Not Picked Up</v>
      </c>
      <c r="X198" s="3" t="str">
        <v>SAP</v>
      </c>
      <c r="Y198" s="3" t="str">
        <v>L18_S09</v>
      </c>
      <c r="Z198" s="1">
        <v>42</v>
      </c>
      <c r="AA198" s="1">
        <v>12</v>
      </c>
      <c r="AB198" s="93">
        <v>1</v>
      </c>
      <c r="AD198" s="1" t="str">
        <f ca="1"/>
        <v>46211/D|BR1/05</v>
      </c>
      <c r="AE198" s="1" t="str">
        <f ca="1"/>
        <v>STM-A40_0107</v>
      </c>
      <c r="AF198" s="1" t="str">
        <f ca="1"/>
        <v>SAP</v>
      </c>
      <c r="AG198" s="1" t="str">
        <f ca="1"/>
        <v>LS_18</v>
      </c>
      <c r="AH198" s="1" t="str">
        <f ca="1"/>
        <v>L18_S09</v>
      </c>
      <c r="AI198" s="1" t="str">
        <f ca="1"/>
        <v>043 / 004</v>
      </c>
      <c r="AJ198" s="3" t="str">
        <f ca="1"/>
        <v>Yes</v>
      </c>
      <c r="AK198" s="1" t="str">
        <f ca="1"/>
        <v/>
      </c>
      <c r="AL198" s="105" t="str">
        <f ca="1"/>
        <v/>
      </c>
    </row>
    <row r="199" spans="22:38" x14ac:dyDescent="0.25">
      <c r="V199" s="1" t="str">
        <v>In BR1-SH_01</v>
      </c>
      <c r="W199" s="1" t="str">
        <v>Not Picked Up</v>
      </c>
      <c r="X199" s="3" t="str">
        <v>SAP</v>
      </c>
      <c r="Y199" s="3" t="str">
        <v>L18_S09</v>
      </c>
      <c r="Z199" s="1">
        <v>42</v>
      </c>
      <c r="AA199" s="1">
        <v>14</v>
      </c>
      <c r="AB199" s="93">
        <v>1</v>
      </c>
      <c r="AD199" s="1" t="str">
        <f ca="1"/>
        <v>46211/D|BR1/05</v>
      </c>
      <c r="AE199" s="1" t="str">
        <f ca="1"/>
        <v>STM-A40_0098</v>
      </c>
      <c r="AF199" s="1" t="str">
        <f ca="1"/>
        <v>SAP</v>
      </c>
      <c r="AG199" s="1" t="str">
        <f ca="1"/>
        <v>LS_18</v>
      </c>
      <c r="AH199" s="1" t="str">
        <f ca="1"/>
        <v>L18_S09</v>
      </c>
      <c r="AI199" s="1" t="str">
        <f ca="1"/>
        <v>043 / 005</v>
      </c>
      <c r="AJ199" s="3" t="str">
        <f ca="1"/>
        <v>No</v>
      </c>
      <c r="AK199" s="1" t="str">
        <f ca="1"/>
        <v/>
      </c>
      <c r="AL199" s="105" t="str">
        <f ca="1"/>
        <v/>
      </c>
    </row>
    <row r="200" spans="22:38" x14ac:dyDescent="0.25">
      <c r="V200" s="1" t="str">
        <v>In BR1-SH_01</v>
      </c>
      <c r="W200" s="1" t="str">
        <v>Not Picked Up</v>
      </c>
      <c r="X200" s="3" t="str">
        <v>SAP</v>
      </c>
      <c r="Y200" s="3" t="str">
        <v>L18_S09</v>
      </c>
      <c r="Z200" s="1">
        <v>42</v>
      </c>
      <c r="AA200" s="1">
        <v>16</v>
      </c>
      <c r="AB200" s="93">
        <v>1</v>
      </c>
      <c r="AD200" s="1" t="str">
        <f ca="1"/>
        <v>46211/D|BR1/05</v>
      </c>
      <c r="AE200" s="1" t="str">
        <f ca="1"/>
        <v>STM-A40_0105</v>
      </c>
      <c r="AF200" s="1" t="str">
        <f ca="1"/>
        <v>SAP</v>
      </c>
      <c r="AG200" s="1" t="str">
        <f ca="1"/>
        <v>LS_18</v>
      </c>
      <c r="AH200" s="1" t="str">
        <f ca="1"/>
        <v>L18_S09</v>
      </c>
      <c r="AI200" s="1" t="str">
        <f ca="1"/>
        <v>043 / 006</v>
      </c>
      <c r="AJ200" s="3" t="str">
        <f ca="1"/>
        <v>Yes</v>
      </c>
      <c r="AK200" s="1" t="str">
        <f ca="1"/>
        <v/>
      </c>
      <c r="AL200" s="105" t="str">
        <f ca="1"/>
        <v/>
      </c>
    </row>
    <row r="201" spans="22:38" x14ac:dyDescent="0.25">
      <c r="V201" s="1" t="str">
        <v>In BR1-SH_01</v>
      </c>
      <c r="W201" s="1" t="str">
        <v>Not Picked Up</v>
      </c>
      <c r="X201" s="3" t="str">
        <v>SAP</v>
      </c>
      <c r="Y201" s="3" t="str">
        <v>L18_S09</v>
      </c>
      <c r="Z201" s="1">
        <v>42</v>
      </c>
      <c r="AA201" s="1">
        <v>18</v>
      </c>
      <c r="AB201" s="93">
        <v>1</v>
      </c>
      <c r="AD201" s="1" t="str">
        <f ca="1"/>
        <v>46211/D|BR1/05</v>
      </c>
      <c r="AE201" s="1" t="str">
        <f ca="1"/>
        <v>STM-A40_0121</v>
      </c>
      <c r="AF201" s="1" t="str">
        <f ca="1"/>
        <v>SAP</v>
      </c>
      <c r="AG201" s="1" t="str">
        <f ca="1"/>
        <v>LS_18</v>
      </c>
      <c r="AH201" s="1" t="str">
        <f ca="1"/>
        <v>L18_S09</v>
      </c>
      <c r="AI201" s="1" t="str">
        <f ca="1"/>
        <v>043 / 007</v>
      </c>
      <c r="AJ201" s="3" t="str">
        <f ca="1"/>
        <v>No</v>
      </c>
      <c r="AK201" s="1" t="str">
        <f ca="1"/>
        <v/>
      </c>
      <c r="AL201" s="105" t="str">
        <f ca="1"/>
        <v>TRUCK SALAH</v>
      </c>
    </row>
    <row r="202" spans="22:38" x14ac:dyDescent="0.25">
      <c r="V202" s="1" t="str">
        <v>In BR1-SH_01</v>
      </c>
      <c r="W202" s="1" t="str">
        <v>Not Picked Up</v>
      </c>
      <c r="X202" s="3" t="str">
        <v>SAP</v>
      </c>
      <c r="Y202" s="3" t="str">
        <v>L18_S09</v>
      </c>
      <c r="Z202" s="1">
        <v>42</v>
      </c>
      <c r="AA202" s="1">
        <v>20</v>
      </c>
      <c r="AB202" s="93">
        <v>1</v>
      </c>
      <c r="AD202" s="1" t="str">
        <f ca="1"/>
        <v>46211/D|BR1/05</v>
      </c>
      <c r="AE202" s="1" t="str">
        <f ca="1"/>
        <v>STM-A40_0106</v>
      </c>
      <c r="AF202" s="1" t="str">
        <f ca="1"/>
        <v>SAP</v>
      </c>
      <c r="AG202" s="1" t="str">
        <f ca="1"/>
        <v>LS_18</v>
      </c>
      <c r="AH202" s="1" t="str">
        <f ca="1"/>
        <v>L18_S09</v>
      </c>
      <c r="AI202" s="1" t="str">
        <f ca="1"/>
        <v>043 / 008</v>
      </c>
      <c r="AJ202" s="3" t="str">
        <f ca="1"/>
        <v>Yes</v>
      </c>
      <c r="AK202" s="1" t="str">
        <f ca="1"/>
        <v/>
      </c>
      <c r="AL202" s="105" t="str">
        <f ca="1"/>
        <v/>
      </c>
    </row>
    <row r="203" spans="22:38" x14ac:dyDescent="0.25">
      <c r="V203" s="1" t="str">
        <v>In BR1-SH_01</v>
      </c>
      <c r="W203" s="1" t="str">
        <v>Not Picked Up</v>
      </c>
      <c r="X203" s="3" t="str">
        <v>SAP</v>
      </c>
      <c r="Y203" s="3" t="str">
        <v>L18_S09</v>
      </c>
      <c r="Z203" s="1">
        <v>43</v>
      </c>
      <c r="AA203" s="1">
        <v>2</v>
      </c>
      <c r="AB203" s="93">
        <v>1</v>
      </c>
      <c r="AD203" s="1" t="str">
        <f ca="1"/>
        <v>46211/D|BR1/05</v>
      </c>
      <c r="AE203" s="1" t="str">
        <f ca="1"/>
        <v>STM-A40_0107</v>
      </c>
      <c r="AF203" s="1" t="str">
        <f ca="1"/>
        <v>SAP</v>
      </c>
      <c r="AG203" s="1" t="str">
        <f ca="1"/>
        <v>LS_18</v>
      </c>
      <c r="AH203" s="1" t="str">
        <f ca="1"/>
        <v>L18_S09</v>
      </c>
      <c r="AI203" s="1" t="str">
        <f ca="1"/>
        <v>043 / 009</v>
      </c>
      <c r="AJ203" s="3" t="str">
        <f ca="1"/>
        <v>No</v>
      </c>
      <c r="AK203" s="1" t="str">
        <f ca="1"/>
        <v/>
      </c>
      <c r="AL203" s="105" t="str">
        <f ca="1"/>
        <v/>
      </c>
    </row>
    <row r="204" spans="22:38" x14ac:dyDescent="0.25">
      <c r="V204" s="1" t="str">
        <v>In BR1-SH_01</v>
      </c>
      <c r="W204" s="1" t="str">
        <v>Not Picked Up</v>
      </c>
      <c r="X204" s="3" t="str">
        <v>SAP</v>
      </c>
      <c r="Y204" s="3" t="str">
        <v>L18_S09</v>
      </c>
      <c r="Z204" s="1">
        <v>43</v>
      </c>
      <c r="AA204" s="1">
        <v>4</v>
      </c>
      <c r="AB204" s="93">
        <v>1</v>
      </c>
      <c r="AD204" s="1" t="str">
        <f ca="1"/>
        <v>46211/D|BR1/05</v>
      </c>
      <c r="AE204" s="1" t="str">
        <f ca="1"/>
        <v>STM-A40_0098</v>
      </c>
      <c r="AF204" s="1" t="str">
        <f ca="1"/>
        <v>SAP</v>
      </c>
      <c r="AG204" s="1" t="str">
        <f ca="1"/>
        <v>LS_18</v>
      </c>
      <c r="AH204" s="1" t="str">
        <f ca="1"/>
        <v>L18_S09</v>
      </c>
      <c r="AI204" s="1" t="str">
        <f ca="1"/>
        <v>043 / 010</v>
      </c>
      <c r="AJ204" s="3" t="str">
        <f ca="1"/>
        <v>Yes</v>
      </c>
      <c r="AK204" s="1" t="str">
        <f ca="1"/>
        <v/>
      </c>
      <c r="AL204" s="105" t="str">
        <f ca="1"/>
        <v/>
      </c>
    </row>
    <row r="205" spans="22:38" x14ac:dyDescent="0.25">
      <c r="V205" s="1" t="str">
        <v>In BR1-SH_01</v>
      </c>
      <c r="W205" s="1" t="str">
        <v>Not Picked Up</v>
      </c>
      <c r="X205" s="3" t="str">
        <v>SAP</v>
      </c>
      <c r="Y205" s="3" t="str">
        <v>L18_S09</v>
      </c>
      <c r="Z205" s="1">
        <v>43</v>
      </c>
      <c r="AA205" s="1">
        <v>6</v>
      </c>
      <c r="AB205" s="93">
        <v>1</v>
      </c>
      <c r="AD205" s="1" t="str">
        <f ca="1"/>
        <v>46211/D|BR1/05</v>
      </c>
      <c r="AE205" s="1" t="str">
        <f ca="1"/>
        <v>STM-A40_0105</v>
      </c>
      <c r="AF205" s="1" t="str">
        <f ca="1"/>
        <v>SAP</v>
      </c>
      <c r="AG205" s="1" t="str">
        <f ca="1"/>
        <v>LS_18</v>
      </c>
      <c r="AH205" s="1" t="str">
        <f ca="1"/>
        <v>L18_S09</v>
      </c>
      <c r="AI205" s="1" t="str">
        <f ca="1"/>
        <v>043 / 011</v>
      </c>
      <c r="AJ205" s="3" t="str">
        <f ca="1"/>
        <v>No</v>
      </c>
      <c r="AK205" s="1" t="str">
        <f ca="1"/>
        <v/>
      </c>
      <c r="AL205" s="105" t="str">
        <f ca="1"/>
        <v/>
      </c>
    </row>
    <row r="206" spans="22:38" x14ac:dyDescent="0.25">
      <c r="V206" s="1" t="str">
        <v>In BR1-SH_01</v>
      </c>
      <c r="W206" s="1" t="str">
        <v>Not Picked Up</v>
      </c>
      <c r="X206" s="3" t="str">
        <v>SAP</v>
      </c>
      <c r="Y206" s="3" t="str">
        <v>L18_S09</v>
      </c>
      <c r="Z206" s="1">
        <v>43</v>
      </c>
      <c r="AA206" s="1">
        <v>8</v>
      </c>
      <c r="AB206" s="93">
        <v>1</v>
      </c>
      <c r="AD206" s="1" t="str">
        <f ca="1"/>
        <v>46211/D|BR1/05</v>
      </c>
      <c r="AE206" s="1" t="str">
        <f ca="1"/>
        <v>STM-A40_0107</v>
      </c>
      <c r="AF206" s="1" t="str">
        <f ca="1"/>
        <v>SAP</v>
      </c>
      <c r="AG206" s="1" t="str">
        <f ca="1"/>
        <v>LS_18</v>
      </c>
      <c r="AH206" s="1" t="str">
        <f ca="1"/>
        <v>L18_S09</v>
      </c>
      <c r="AI206" s="1" t="str">
        <f ca="1"/>
        <v>043 / 012</v>
      </c>
      <c r="AJ206" s="3" t="str">
        <f ca="1"/>
        <v>Yes</v>
      </c>
      <c r="AK206" s="1" t="str">
        <f ca="1"/>
        <v/>
      </c>
      <c r="AL206" s="105" t="str">
        <f ca="1"/>
        <v/>
      </c>
    </row>
    <row r="207" spans="22:38" x14ac:dyDescent="0.25">
      <c r="V207" s="1" t="str">
        <v>In BR1-SH_01</v>
      </c>
      <c r="W207" s="1" t="str">
        <v>Not Picked Up</v>
      </c>
      <c r="X207" s="3" t="str">
        <v>SAP</v>
      </c>
      <c r="Y207" s="3" t="str">
        <v>L18_S09</v>
      </c>
      <c r="Z207" s="1">
        <v>43</v>
      </c>
      <c r="AA207" s="1">
        <v>10</v>
      </c>
      <c r="AB207" s="93">
        <v>1</v>
      </c>
      <c r="AD207" s="1" t="str">
        <f ca="1"/>
        <v>46211/D|BR1/05</v>
      </c>
      <c r="AE207" s="1" t="str">
        <f ca="1"/>
        <v>STM-A40_0121</v>
      </c>
      <c r="AF207" s="1" t="str">
        <f ca="1"/>
        <v>SAP</v>
      </c>
      <c r="AG207" s="1" t="str">
        <f ca="1"/>
        <v>LS_18</v>
      </c>
      <c r="AH207" s="1" t="str">
        <f ca="1"/>
        <v>L18_S09</v>
      </c>
      <c r="AI207" s="1" t="str">
        <f ca="1"/>
        <v>043 / 013</v>
      </c>
      <c r="AJ207" s="3" t="str">
        <f ca="1"/>
        <v>No</v>
      </c>
      <c r="AK207" s="1" t="str">
        <f ca="1"/>
        <v/>
      </c>
      <c r="AL207" s="105" t="str">
        <f ca="1"/>
        <v>TRUCK SALAH</v>
      </c>
    </row>
    <row r="208" spans="22:38" x14ac:dyDescent="0.25">
      <c r="V208" s="1" t="str">
        <v>In BR1-SH_01</v>
      </c>
      <c r="W208" s="1" t="str">
        <v>Not Picked Up</v>
      </c>
      <c r="X208" s="3" t="str">
        <v>SAP</v>
      </c>
      <c r="Y208" s="3" t="str">
        <v>L18_S09</v>
      </c>
      <c r="Z208" s="1">
        <v>43</v>
      </c>
      <c r="AA208" s="1">
        <v>12</v>
      </c>
      <c r="AB208" s="93">
        <v>1</v>
      </c>
      <c r="AD208" s="1" t="str">
        <f ca="1"/>
        <v>46211/D|BR1/05</v>
      </c>
      <c r="AE208" s="1" t="str">
        <f ca="1"/>
        <v>STM-A40_0106</v>
      </c>
      <c r="AF208" s="1" t="str">
        <f ca="1"/>
        <v>SAP</v>
      </c>
      <c r="AG208" s="1" t="str">
        <f ca="1"/>
        <v>LS_18</v>
      </c>
      <c r="AH208" s="1" t="str">
        <f ca="1"/>
        <v>L18_S09</v>
      </c>
      <c r="AI208" s="1" t="str">
        <f ca="1"/>
        <v>043 / 014</v>
      </c>
      <c r="AJ208" s="3" t="str">
        <f ca="1"/>
        <v>Yes</v>
      </c>
      <c r="AK208" s="1" t="str">
        <f ca="1"/>
        <v/>
      </c>
      <c r="AL208" s="105" t="str">
        <f ca="1"/>
        <v/>
      </c>
    </row>
    <row r="209" spans="22:38" x14ac:dyDescent="0.25">
      <c r="V209" s="1" t="str">
        <v>In BR1-SH_01</v>
      </c>
      <c r="W209" s="1" t="str">
        <v>Not Picked Up</v>
      </c>
      <c r="X209" s="3" t="str">
        <v>SAP</v>
      </c>
      <c r="Y209" s="3" t="str">
        <v>L18_S09</v>
      </c>
      <c r="Z209" s="1">
        <v>43</v>
      </c>
      <c r="AA209" s="1">
        <v>14</v>
      </c>
      <c r="AB209" s="93">
        <v>1</v>
      </c>
      <c r="AD209" s="1" t="str">
        <f ca="1"/>
        <v>46211/D|BR1/05</v>
      </c>
      <c r="AE209" s="1" t="str">
        <f ca="1"/>
        <v>STM-A40_0098</v>
      </c>
      <c r="AF209" s="1" t="str">
        <f ca="1"/>
        <v>SAP</v>
      </c>
      <c r="AG209" s="1" t="str">
        <f ca="1"/>
        <v>LS_18</v>
      </c>
      <c r="AH209" s="1" t="str">
        <f ca="1"/>
        <v>L18_S09</v>
      </c>
      <c r="AI209" s="1" t="str">
        <f ca="1"/>
        <v>043 / 015</v>
      </c>
      <c r="AJ209" s="3" t="str">
        <f ca="1"/>
        <v>No</v>
      </c>
      <c r="AK209" s="1" t="str">
        <f ca="1"/>
        <v/>
      </c>
      <c r="AL209" s="105" t="str">
        <f ca="1"/>
        <v/>
      </c>
    </row>
    <row r="210" spans="22:38" x14ac:dyDescent="0.25">
      <c r="V210" s="1" t="str">
        <v>In BR1-SH_01</v>
      </c>
      <c r="W210" s="1" t="str">
        <v>Not Picked Up</v>
      </c>
      <c r="X210" s="3" t="str">
        <v>SAP</v>
      </c>
      <c r="Y210" s="3" t="str">
        <v>L18_S09</v>
      </c>
      <c r="Z210" s="1">
        <v>43</v>
      </c>
      <c r="AA210" s="1">
        <v>16</v>
      </c>
      <c r="AB210" s="93">
        <v>1</v>
      </c>
      <c r="AD210" s="1" t="str">
        <f ca="1"/>
        <v>46211/D|BR1/05</v>
      </c>
      <c r="AE210" s="1" t="str">
        <f ca="1"/>
        <v>STM-A40_0121</v>
      </c>
      <c r="AF210" s="1" t="str">
        <f ca="1"/>
        <v>SAP</v>
      </c>
      <c r="AG210" s="1" t="str">
        <f ca="1"/>
        <v>LS_18</v>
      </c>
      <c r="AH210" s="1" t="str">
        <f ca="1"/>
        <v>L18_S09</v>
      </c>
      <c r="AI210" s="1" t="str">
        <f ca="1"/>
        <v>043 / 016</v>
      </c>
      <c r="AJ210" s="3" t="str">
        <f ca="1"/>
        <v>Yes</v>
      </c>
      <c r="AK210" s="1" t="str">
        <f ca="1"/>
        <v/>
      </c>
      <c r="AL210" s="105" t="str">
        <f ca="1"/>
        <v>TRUCK SALAH</v>
      </c>
    </row>
    <row r="211" spans="22:38" x14ac:dyDescent="0.25">
      <c r="V211" s="1" t="str">
        <v>In BR1-SH_01</v>
      </c>
      <c r="W211" s="1" t="str">
        <v>Not Picked Up</v>
      </c>
      <c r="X211" s="3" t="str">
        <v>SAP</v>
      </c>
      <c r="Y211" s="3" t="str">
        <v>L18_S09</v>
      </c>
      <c r="Z211" s="1">
        <v>43</v>
      </c>
      <c r="AA211" s="1">
        <v>18</v>
      </c>
      <c r="AB211" s="93">
        <v>1</v>
      </c>
      <c r="AD211" s="1" t="str">
        <f ca="1"/>
        <v>46211/D|BR1/05</v>
      </c>
      <c r="AE211" s="1" t="str">
        <f ca="1"/>
        <v>STM-A40_0106</v>
      </c>
      <c r="AF211" s="1" t="str">
        <f ca="1"/>
        <v>SAP</v>
      </c>
      <c r="AG211" s="1" t="str">
        <f ca="1"/>
        <v>LS_18</v>
      </c>
      <c r="AH211" s="1" t="str">
        <f ca="1"/>
        <v>L18_S09</v>
      </c>
      <c r="AI211" s="1" t="str">
        <f ca="1"/>
        <v>043 / 017</v>
      </c>
      <c r="AJ211" s="3" t="str">
        <f ca="1"/>
        <v>No</v>
      </c>
      <c r="AK211" s="1" t="str">
        <f ca="1"/>
        <v/>
      </c>
      <c r="AL211" s="105" t="str">
        <f ca="1"/>
        <v/>
      </c>
    </row>
    <row r="212" spans="22:38" x14ac:dyDescent="0.25">
      <c r="V212" s="1" t="str">
        <v>In BR1-SH_01</v>
      </c>
      <c r="W212" s="1" t="str">
        <v>Not Picked Up</v>
      </c>
      <c r="X212" s="3" t="str">
        <v>SAP</v>
      </c>
      <c r="Y212" s="3" t="str">
        <v>L18_S09</v>
      </c>
      <c r="Z212" s="1">
        <v>43</v>
      </c>
      <c r="AA212" s="1">
        <v>20</v>
      </c>
      <c r="AB212" s="93">
        <v>1</v>
      </c>
      <c r="AD212" s="1" t="str">
        <f ca="1"/>
        <v>46211/D|BR1/05</v>
      </c>
      <c r="AE212" s="1" t="str">
        <f ca="1"/>
        <v>STM-A40_0105</v>
      </c>
      <c r="AF212" s="1" t="str">
        <f ca="1"/>
        <v>SAP</v>
      </c>
      <c r="AG212" s="1" t="str">
        <f ca="1"/>
        <v>LS_18</v>
      </c>
      <c r="AH212" s="1" t="str">
        <f ca="1"/>
        <v>L18_S09</v>
      </c>
      <c r="AI212" s="1" t="str">
        <f ca="1"/>
        <v>043 / 018</v>
      </c>
      <c r="AJ212" s="3" t="str">
        <f ca="1"/>
        <v>Yes</v>
      </c>
      <c r="AK212" s="1" t="str">
        <f ca="1"/>
        <v/>
      </c>
      <c r="AL212" s="105" t="str">
        <f ca="1"/>
        <v/>
      </c>
    </row>
    <row r="213" spans="22:38" x14ac:dyDescent="0.25">
      <c r="V213" s="1" t="str">
        <v>In BR1-SH_01</v>
      </c>
      <c r="W213" s="1" t="str">
        <v>Not Picked Up</v>
      </c>
      <c r="X213" s="3" t="str">
        <v>SAP</v>
      </c>
      <c r="Y213" s="3" t="str">
        <v>L18_S09</v>
      </c>
      <c r="Z213" s="1">
        <v>40</v>
      </c>
      <c r="AA213" s="1">
        <v>2</v>
      </c>
      <c r="AB213" s="93">
        <v>1</v>
      </c>
      <c r="AD213" s="1" t="str">
        <f ca="1"/>
        <v>46211/D|BR1/05</v>
      </c>
      <c r="AE213" s="1" t="str">
        <f ca="1"/>
        <v>STM-A40_0098</v>
      </c>
      <c r="AF213" s="1" t="str">
        <f ca="1"/>
        <v>SAP</v>
      </c>
      <c r="AG213" s="1" t="str">
        <f ca="1"/>
        <v>LS_18</v>
      </c>
      <c r="AH213" s="1" t="str">
        <f ca="1"/>
        <v>L18_S09</v>
      </c>
      <c r="AI213" s="1" t="str">
        <f ca="1"/>
        <v>043 / 019</v>
      </c>
      <c r="AJ213" s="3" t="str">
        <f ca="1"/>
        <v>No</v>
      </c>
      <c r="AK213" s="1" t="str">
        <f ca="1"/>
        <v/>
      </c>
      <c r="AL213" s="105" t="str">
        <f ca="1"/>
        <v/>
      </c>
    </row>
    <row r="214" spans="22:38" x14ac:dyDescent="0.25">
      <c r="V214" s="1" t="str">
        <v>In BR1-SH_01</v>
      </c>
      <c r="W214" s="1" t="str">
        <v>Not Picked Up</v>
      </c>
      <c r="X214" s="3" t="str">
        <v>SAP</v>
      </c>
      <c r="Y214" s="3" t="str">
        <v>L18_S09</v>
      </c>
      <c r="Z214" s="1">
        <v>40</v>
      </c>
      <c r="AA214" s="1">
        <v>4</v>
      </c>
      <c r="AB214" s="93">
        <v>1</v>
      </c>
      <c r="AD214" s="1" t="str">
        <f ca="1"/>
        <v>46211/D|BR1/05</v>
      </c>
      <c r="AE214" s="1" t="str">
        <f ca="1"/>
        <v>STM-A40_0121</v>
      </c>
      <c r="AF214" s="1" t="str">
        <f ca="1"/>
        <v>SAP</v>
      </c>
      <c r="AG214" s="1" t="str">
        <f ca="1"/>
        <v>LS_18</v>
      </c>
      <c r="AH214" s="1" t="str">
        <f ca="1"/>
        <v>L18_S09</v>
      </c>
      <c r="AI214" s="1" t="str">
        <f ca="1"/>
        <v>043 / 020</v>
      </c>
      <c r="AJ214" s="3" t="str">
        <f ca="1"/>
        <v>Yes</v>
      </c>
      <c r="AK214" s="1" t="str">
        <f ca="1"/>
        <v/>
      </c>
      <c r="AL214" s="105" t="str">
        <f ca="1"/>
        <v>TRUCK SALAH</v>
      </c>
    </row>
    <row r="215" spans="22:38" x14ac:dyDescent="0.25">
      <c r="V215" s="1" t="str">
        <v>In BR1-SH_01</v>
      </c>
      <c r="W215" s="1" t="str">
        <v>Not Picked Up</v>
      </c>
      <c r="X215" s="3" t="str">
        <v>SAP</v>
      </c>
      <c r="Y215" s="3" t="str">
        <v>L18_S09</v>
      </c>
      <c r="Z215" s="1">
        <v>40</v>
      </c>
      <c r="AA215" s="1">
        <v>6</v>
      </c>
      <c r="AB215" s="93">
        <v>1</v>
      </c>
      <c r="AD215" s="1" t="str">
        <f ca="1"/>
        <v>46211/D|BR1/05</v>
      </c>
      <c r="AE215" s="1" t="str">
        <f ca="1"/>
        <v>STM-A40_0105</v>
      </c>
      <c r="AF215" s="1" t="str">
        <f ca="1"/>
        <v>SAP</v>
      </c>
      <c r="AG215" s="1" t="str">
        <f ca="1"/>
        <v>LS_18</v>
      </c>
      <c r="AH215" s="1" t="str">
        <f ca="1"/>
        <v>L18_S09</v>
      </c>
      <c r="AI215" s="1" t="str">
        <f ca="1"/>
        <v>044 / 001</v>
      </c>
      <c r="AJ215" s="3" t="str">
        <f ca="1"/>
        <v>No</v>
      </c>
      <c r="AK215" s="1" t="str">
        <f ca="1"/>
        <v/>
      </c>
      <c r="AL215" s="105" t="str">
        <f ca="1"/>
        <v/>
      </c>
    </row>
    <row r="216" spans="22:38" x14ac:dyDescent="0.25">
      <c r="V216" s="1" t="str">
        <v>In BR1-SH_01</v>
      </c>
      <c r="W216" s="1" t="str">
        <v>Not Picked Up</v>
      </c>
      <c r="X216" s="3" t="str">
        <v>SAP</v>
      </c>
      <c r="Y216" s="3" t="str">
        <v>L18_S09</v>
      </c>
      <c r="Z216" s="1">
        <v>41</v>
      </c>
      <c r="AA216" s="1">
        <v>2</v>
      </c>
      <c r="AB216" s="93">
        <v>1</v>
      </c>
      <c r="AD216" s="1" t="str">
        <f ca="1"/>
        <v>46211/D|BR1/05</v>
      </c>
      <c r="AE216" s="1" t="str">
        <f ca="1"/>
        <v>STM-A40_0098</v>
      </c>
      <c r="AF216" s="1" t="str">
        <f ca="1"/>
        <v>SAP</v>
      </c>
      <c r="AG216" s="1" t="str">
        <f ca="1"/>
        <v>LS_18</v>
      </c>
      <c r="AH216" s="1" t="str">
        <f ca="1"/>
        <v>L18_S09</v>
      </c>
      <c r="AI216" s="1" t="str">
        <f ca="1"/>
        <v>044 / 002</v>
      </c>
      <c r="AJ216" s="3" t="str">
        <f ca="1"/>
        <v>Yes</v>
      </c>
      <c r="AK216" s="1" t="str">
        <f ca="1"/>
        <v/>
      </c>
      <c r="AL216" s="105" t="str">
        <f ca="1"/>
        <v/>
      </c>
    </row>
    <row r="217" spans="22:38" x14ac:dyDescent="0.25">
      <c r="V217" s="1" t="str">
        <v>In BR1-SH_01</v>
      </c>
      <c r="W217" s="1" t="str">
        <v>Not Picked Up</v>
      </c>
      <c r="X217" s="3" t="str">
        <v>SAP</v>
      </c>
      <c r="Y217" s="3" t="str">
        <v>L18_S09</v>
      </c>
      <c r="Z217" s="1">
        <v>41</v>
      </c>
      <c r="AA217" s="1">
        <v>4</v>
      </c>
      <c r="AB217" s="93">
        <v>1</v>
      </c>
      <c r="AD217" s="1" t="str">
        <f ca="1"/>
        <v>46211/D|BR1/05</v>
      </c>
      <c r="AE217" s="1" t="str">
        <f ca="1"/>
        <v>STM-A40_0106</v>
      </c>
      <c r="AF217" s="1" t="str">
        <f ca="1"/>
        <v>SAP</v>
      </c>
      <c r="AG217" s="1" t="str">
        <f ca="1"/>
        <v>LS_18</v>
      </c>
      <c r="AH217" s="1" t="str">
        <f ca="1"/>
        <v>L18_S09</v>
      </c>
      <c r="AI217" s="1" t="str">
        <f ca="1"/>
        <v>044 / 003</v>
      </c>
      <c r="AJ217" s="3" t="str">
        <f ca="1"/>
        <v>No</v>
      </c>
      <c r="AK217" s="1" t="str">
        <f ca="1"/>
        <v/>
      </c>
      <c r="AL217" s="105" t="str">
        <f ca="1"/>
        <v/>
      </c>
    </row>
    <row r="218" spans="22:38" x14ac:dyDescent="0.25">
      <c r="V218" s="1" t="str">
        <v>In BR1-SH_01</v>
      </c>
      <c r="W218" s="1" t="str">
        <v>Not Picked Up</v>
      </c>
      <c r="X218" s="3" t="str">
        <v>SAP</v>
      </c>
      <c r="Y218" s="3" t="str">
        <v>L18_S09</v>
      </c>
      <c r="Z218" s="1">
        <v>41</v>
      </c>
      <c r="AA218" s="1">
        <v>6</v>
      </c>
      <c r="AB218" s="93">
        <v>1</v>
      </c>
      <c r="AD218" s="1" t="str">
        <f ca="1"/>
        <v>46211/D|BR1/03</v>
      </c>
      <c r="AE218" s="1" t="str">
        <f ca="1"/>
        <v>STM-A40_0096</v>
      </c>
      <c r="AF218" s="1" t="str">
        <f ca="1"/>
        <v>LIM</v>
      </c>
      <c r="AG218" s="1" t="str">
        <f ca="1"/>
        <v>LS_09</v>
      </c>
      <c r="AH218" s="1" t="str">
        <f ca="1"/>
        <v>L9_26</v>
      </c>
      <c r="AI218" s="1" t="str">
        <f ca="1"/>
        <v>002 / 011</v>
      </c>
      <c r="AJ218" s="3" t="str">
        <f ca="1"/>
        <v>No</v>
      </c>
      <c r="AK218" s="1" t="str">
        <f ca="1"/>
        <v/>
      </c>
      <c r="AL218" s="105" t="str">
        <f ca="1"/>
        <v/>
      </c>
    </row>
    <row r="219" spans="22:38" x14ac:dyDescent="0.25">
      <c r="V219" s="1" t="str">
        <v>In BR1-SH_01</v>
      </c>
      <c r="W219" s="1" t="str">
        <v>Not Picked Up</v>
      </c>
      <c r="X219" s="3" t="str">
        <v>SAP</v>
      </c>
      <c r="Y219" s="3" t="str">
        <v>L18_S09</v>
      </c>
      <c r="Z219" s="1">
        <v>44</v>
      </c>
      <c r="AA219" s="1">
        <v>2</v>
      </c>
      <c r="AB219" s="93">
        <v>1</v>
      </c>
      <c r="AD219" s="1" t="str">
        <f ca="1"/>
        <v>46211/D|BR1/03</v>
      </c>
      <c r="AE219" s="1" t="str">
        <f ca="1"/>
        <v>STM-A40_0095</v>
      </c>
      <c r="AF219" s="1" t="str">
        <f ca="1"/>
        <v>LIM</v>
      </c>
      <c r="AG219" s="1" t="str">
        <f ca="1"/>
        <v>LS_09</v>
      </c>
      <c r="AH219" s="1" t="str">
        <f ca="1"/>
        <v>L9_26</v>
      </c>
      <c r="AI219" s="1" t="str">
        <f ca="1"/>
        <v>002 / 012</v>
      </c>
      <c r="AJ219" s="3" t="str">
        <f ca="1"/>
        <v>No</v>
      </c>
      <c r="AK219" s="1" t="str">
        <f ca="1"/>
        <v/>
      </c>
      <c r="AL219" s="105" t="str">
        <f ca="1"/>
        <v/>
      </c>
    </row>
    <row r="220" spans="22:38" x14ac:dyDescent="0.25">
      <c r="V220" s="1" t="str">
        <v>In BR1-SH_01</v>
      </c>
      <c r="W220" s="1" t="str">
        <v>Not Picked Up</v>
      </c>
      <c r="X220" s="3" t="str">
        <v>LIM</v>
      </c>
      <c r="Y220" s="3" t="str">
        <v>L9_26</v>
      </c>
      <c r="Z220" s="1">
        <v>3</v>
      </c>
      <c r="AA220" s="1">
        <v>5</v>
      </c>
      <c r="AB220" s="93">
        <v>0.5</v>
      </c>
      <c r="AD220" s="1" t="str">
        <f ca="1"/>
        <v>46211/D|BR1/03</v>
      </c>
      <c r="AE220" s="1" t="str">
        <f ca="1"/>
        <v>STM-A40_0131</v>
      </c>
      <c r="AF220" s="1" t="str">
        <f ca="1"/>
        <v>LIM</v>
      </c>
      <c r="AG220" s="1" t="str">
        <f ca="1"/>
        <v>LS_09</v>
      </c>
      <c r="AH220" s="1" t="str">
        <f ca="1"/>
        <v>L9_26</v>
      </c>
      <c r="AI220" s="1" t="str">
        <f ca="1"/>
        <v>002 / 013</v>
      </c>
      <c r="AJ220" s="3" t="str">
        <f ca="1"/>
        <v>No</v>
      </c>
      <c r="AK220" s="1" t="str">
        <f ca="1"/>
        <v/>
      </c>
      <c r="AL220" s="105" t="str">
        <f ca="1"/>
        <v/>
      </c>
    </row>
    <row r="221" spans="22:38" x14ac:dyDescent="0.25">
      <c r="V221" s="1" t="str">
        <v>In BR1-SH_01</v>
      </c>
      <c r="W221" s="1" t="str">
        <v>Not Picked Up</v>
      </c>
      <c r="X221" s="3" t="str">
        <v>LIM</v>
      </c>
      <c r="Y221" s="3" t="str">
        <v>L9_26</v>
      </c>
      <c r="Z221" s="1">
        <v>3</v>
      </c>
      <c r="AA221" s="1">
        <v>10</v>
      </c>
      <c r="AB221" s="93">
        <v>0.5</v>
      </c>
      <c r="AD221" s="1" t="str">
        <f ca="1"/>
        <v>46211/D|BR1/03</v>
      </c>
      <c r="AE221" s="1" t="str">
        <f ca="1"/>
        <v>STM-A40_0135</v>
      </c>
      <c r="AF221" s="1" t="str">
        <f ca="1"/>
        <v>LIM</v>
      </c>
      <c r="AG221" s="1" t="str">
        <f ca="1"/>
        <v>LS_09</v>
      </c>
      <c r="AH221" s="1" t="str">
        <f ca="1"/>
        <v>L9_26</v>
      </c>
      <c r="AI221" s="1" t="str">
        <f ca="1"/>
        <v>002 / 014</v>
      </c>
      <c r="AJ221" s="3" t="str">
        <f ca="1"/>
        <v>No</v>
      </c>
      <c r="AK221" s="1" t="str">
        <f ca="1"/>
        <v/>
      </c>
      <c r="AL221" s="105" t="str">
        <f ca="1"/>
        <v/>
      </c>
    </row>
    <row r="222" spans="22:38" x14ac:dyDescent="0.25">
      <c r="V222" s="1" t="str">
        <v>In BR1-SH_01</v>
      </c>
      <c r="W222" s="1" t="str">
        <v>Not Picked Up</v>
      </c>
      <c r="X222" s="3" t="str">
        <v>LIM</v>
      </c>
      <c r="Y222" s="3" t="str">
        <v>L9_26</v>
      </c>
      <c r="Z222" s="1">
        <v>3</v>
      </c>
      <c r="AA222" s="1">
        <v>15</v>
      </c>
      <c r="AB222" s="93">
        <v>0.5</v>
      </c>
      <c r="AD222" s="1" t="str">
        <f ca="1"/>
        <v>46211/D|BR1/03</v>
      </c>
      <c r="AE222" s="1" t="str">
        <f ca="1"/>
        <v>STM-A40_0095</v>
      </c>
      <c r="AF222" s="1" t="str">
        <f ca="1"/>
        <v>LIM</v>
      </c>
      <c r="AG222" s="1" t="str">
        <f ca="1"/>
        <v>LS_09</v>
      </c>
      <c r="AH222" s="1" t="str">
        <f ca="1"/>
        <v>L9_26</v>
      </c>
      <c r="AI222" s="1" t="str">
        <f ca="1"/>
        <v>002 / 015</v>
      </c>
      <c r="AJ222" s="3" t="str">
        <f ca="1"/>
        <v>Yes</v>
      </c>
      <c r="AK222" s="1" t="str">
        <f ca="1"/>
        <v/>
      </c>
      <c r="AL222" s="105" t="str">
        <f ca="1"/>
        <v/>
      </c>
    </row>
    <row r="223" spans="22:38" x14ac:dyDescent="0.25">
      <c r="V223" s="1" t="str">
        <v>In BR1-SH_01</v>
      </c>
      <c r="W223" s="1" t="str">
        <v>Not Picked Up</v>
      </c>
      <c r="X223" s="3" t="str">
        <v>LIM</v>
      </c>
      <c r="Y223" s="3" t="str">
        <v>L9_26</v>
      </c>
      <c r="Z223" s="1">
        <v>3</v>
      </c>
      <c r="AA223" s="1">
        <v>20</v>
      </c>
      <c r="AB223" s="93">
        <v>0.5</v>
      </c>
      <c r="AD223" s="1" t="str">
        <f ca="1"/>
        <v>46211/D|BR1/03</v>
      </c>
      <c r="AE223" s="1" t="str">
        <f ca="1"/>
        <v>STM-A40_0096</v>
      </c>
      <c r="AF223" s="1" t="str">
        <f ca="1"/>
        <v>LIM</v>
      </c>
      <c r="AG223" s="1" t="str">
        <f ca="1"/>
        <v>LS_09</v>
      </c>
      <c r="AH223" s="1" t="str">
        <f ca="1"/>
        <v>L9_26</v>
      </c>
      <c r="AI223" s="1" t="str">
        <f ca="1"/>
        <v>002 / 016</v>
      </c>
      <c r="AJ223" s="3" t="str">
        <f ca="1"/>
        <v>No</v>
      </c>
      <c r="AK223" s="1" t="str">
        <f ca="1"/>
        <v/>
      </c>
      <c r="AL223" s="105" t="str">
        <f ca="1"/>
        <v/>
      </c>
    </row>
    <row r="224" spans="22:38" x14ac:dyDescent="0.25">
      <c r="V224" s="1" t="str">
        <v>In BR1-SH_01</v>
      </c>
      <c r="W224" s="1" t="str">
        <v>Not Picked Up</v>
      </c>
      <c r="X224" s="3" t="str">
        <v>LIM</v>
      </c>
      <c r="Y224" s="3" t="str">
        <v>L9_26</v>
      </c>
      <c r="Z224" s="1">
        <v>3</v>
      </c>
      <c r="AA224" s="1">
        <v>25</v>
      </c>
      <c r="AB224" s="93">
        <v>0.5</v>
      </c>
      <c r="AD224" s="1" t="str">
        <f ca="1"/>
        <v>46211/D|BR1/03</v>
      </c>
      <c r="AE224" s="1" t="str">
        <f ca="1"/>
        <v>STM-A40_0103</v>
      </c>
      <c r="AF224" s="1" t="str">
        <f ca="1"/>
        <v>LIM</v>
      </c>
      <c r="AG224" s="1" t="str">
        <f ca="1"/>
        <v>LS_09</v>
      </c>
      <c r="AH224" s="1" t="str">
        <f ca="1"/>
        <v>L9_26</v>
      </c>
      <c r="AI224" s="1" t="str">
        <f ca="1"/>
        <v>002 / 017</v>
      </c>
      <c r="AJ224" s="3" t="str">
        <f ca="1"/>
        <v>No</v>
      </c>
      <c r="AK224" s="1" t="str">
        <f ca="1"/>
        <v/>
      </c>
      <c r="AL224" s="105" t="str">
        <f ca="1"/>
        <v/>
      </c>
    </row>
    <row r="225" spans="22:38" x14ac:dyDescent="0.25">
      <c r="V225" s="1" t="str">
        <v>In BR1-SH_01</v>
      </c>
      <c r="W225" s="1" t="str">
        <v>Not Picked Up</v>
      </c>
      <c r="X225" s="3" t="str">
        <v>LIM</v>
      </c>
      <c r="Y225" s="3" t="str">
        <v>L9_26</v>
      </c>
      <c r="Z225" s="1">
        <v>3</v>
      </c>
      <c r="AA225" s="1">
        <v>30</v>
      </c>
      <c r="AB225" s="93">
        <v>0.5</v>
      </c>
      <c r="AD225" s="1" t="str">
        <f ca="1"/>
        <v>46211/D|BR1/03</v>
      </c>
      <c r="AE225" s="1" t="str">
        <f ca="1"/>
        <v>STM-A40_0131</v>
      </c>
      <c r="AF225" s="1" t="str">
        <f ca="1"/>
        <v>LIM</v>
      </c>
      <c r="AG225" s="1" t="str">
        <f ca="1"/>
        <v>LS_09</v>
      </c>
      <c r="AH225" s="1" t="str">
        <f ca="1"/>
        <v>L9_26</v>
      </c>
      <c r="AI225" s="1" t="str">
        <f ca="1"/>
        <v>002 / 018</v>
      </c>
      <c r="AJ225" s="3" t="str">
        <f ca="1"/>
        <v>No</v>
      </c>
      <c r="AK225" s="1" t="str">
        <f ca="1"/>
        <v/>
      </c>
      <c r="AL225" s="105" t="str">
        <f ca="1"/>
        <v/>
      </c>
    </row>
    <row r="226" spans="22:38" x14ac:dyDescent="0.25">
      <c r="V226" s="1" t="str">
        <v>In BR1-SH_01</v>
      </c>
      <c r="W226" s="1" t="str">
        <v>Not Picked Up</v>
      </c>
      <c r="X226" s="3" t="str">
        <v>LIM</v>
      </c>
      <c r="Y226" s="3" t="str">
        <v>L9_26</v>
      </c>
      <c r="Z226" s="1">
        <v>3</v>
      </c>
      <c r="AA226" s="1">
        <v>35</v>
      </c>
      <c r="AB226" s="93">
        <v>0.5</v>
      </c>
      <c r="AD226" s="1" t="str">
        <f ca="1"/>
        <v>46211/D|BR1/03</v>
      </c>
      <c r="AE226" s="1" t="str">
        <f ca="1"/>
        <v>STM-A40_0095</v>
      </c>
      <c r="AF226" s="1" t="str">
        <f ca="1"/>
        <v>LIM</v>
      </c>
      <c r="AG226" s="1" t="str">
        <f ca="1"/>
        <v>LS_09</v>
      </c>
      <c r="AH226" s="1" t="str">
        <f ca="1"/>
        <v>L9_26</v>
      </c>
      <c r="AI226" s="1" t="str">
        <f ca="1"/>
        <v>002 / 019</v>
      </c>
      <c r="AJ226" s="3" t="str">
        <f ca="1"/>
        <v>No</v>
      </c>
      <c r="AK226" s="1" t="str">
        <f ca="1"/>
        <v/>
      </c>
      <c r="AL226" s="105" t="str">
        <f ca="1"/>
        <v/>
      </c>
    </row>
    <row r="227" spans="22:38" x14ac:dyDescent="0.25">
      <c r="V227" s="1" t="str">
        <v>In BR1-SH_01</v>
      </c>
      <c r="W227" s="1" t="str">
        <v>Not Picked Up</v>
      </c>
      <c r="X227" s="3" t="str">
        <v>LIM</v>
      </c>
      <c r="Y227" s="3" t="str">
        <v>L9_26</v>
      </c>
      <c r="Z227" s="1">
        <v>3</v>
      </c>
      <c r="AA227" s="1">
        <v>40</v>
      </c>
      <c r="AB227" s="93">
        <v>0.5</v>
      </c>
      <c r="AD227" s="1" t="str">
        <f ca="1"/>
        <v>46211/D|BR1/03</v>
      </c>
      <c r="AE227" s="1" t="str">
        <f ca="1"/>
        <v>STM-A40_0135</v>
      </c>
      <c r="AF227" s="1" t="str">
        <f ca="1"/>
        <v>LIM</v>
      </c>
      <c r="AG227" s="1" t="str">
        <f ca="1"/>
        <v>LS_09</v>
      </c>
      <c r="AH227" s="1" t="str">
        <f ca="1"/>
        <v>L9_26</v>
      </c>
      <c r="AI227" s="1" t="str">
        <f ca="1"/>
        <v>002 / 020</v>
      </c>
      <c r="AJ227" s="3" t="str">
        <f ca="1"/>
        <v>Yes</v>
      </c>
      <c r="AK227" s="1" t="str">
        <f ca="1"/>
        <v/>
      </c>
      <c r="AL227" s="105" t="str">
        <f ca="1"/>
        <v/>
      </c>
    </row>
    <row r="228" spans="22:38" x14ac:dyDescent="0.25">
      <c r="V228" s="1" t="str">
        <v>In BR1-SH_01</v>
      </c>
      <c r="W228" s="1" t="str">
        <v>Not Picked Up</v>
      </c>
      <c r="X228" s="3" t="str">
        <v>LIM</v>
      </c>
      <c r="Y228" s="3" t="str">
        <v>L9_26</v>
      </c>
      <c r="Z228" s="1">
        <v>3</v>
      </c>
      <c r="AA228" s="1">
        <v>45</v>
      </c>
      <c r="AB228" s="93">
        <v>0.5</v>
      </c>
      <c r="AD228" s="1" t="str">
        <f ca="1"/>
        <v>46211/D|BR1/03</v>
      </c>
      <c r="AE228" s="1" t="str">
        <f ca="1"/>
        <v>STM-A40_0103</v>
      </c>
      <c r="AF228" s="1" t="str">
        <f ca="1"/>
        <v>LIM</v>
      </c>
      <c r="AG228" s="1" t="str">
        <f ca="1"/>
        <v>LS_09</v>
      </c>
      <c r="AH228" s="1" t="str">
        <f ca="1"/>
        <v>L9_26</v>
      </c>
      <c r="AI228" s="1" t="str">
        <f ca="1"/>
        <v>002 / 021</v>
      </c>
      <c r="AJ228" s="3" t="str">
        <f ca="1"/>
        <v>No</v>
      </c>
      <c r="AK228" s="1" t="str">
        <f ca="1"/>
        <v/>
      </c>
      <c r="AL228" s="105" t="str">
        <f ca="1"/>
        <v/>
      </c>
    </row>
    <row r="229" spans="22:38" x14ac:dyDescent="0.25">
      <c r="V229" s="1" t="str">
        <v>In BR1-SH_01</v>
      </c>
      <c r="W229" s="1" t="str">
        <v>Not Picked Up</v>
      </c>
      <c r="X229" s="3" t="str">
        <v>LIM</v>
      </c>
      <c r="Y229" s="3" t="str">
        <v>L9_26</v>
      </c>
      <c r="Z229" s="1">
        <v>3</v>
      </c>
      <c r="AA229" s="1">
        <v>50</v>
      </c>
      <c r="AB229" s="93">
        <v>0.5</v>
      </c>
      <c r="AD229" s="1" t="str">
        <f ca="1"/>
        <v>46211/D|BR1/03</v>
      </c>
      <c r="AE229" s="1" t="str">
        <f ca="1"/>
        <v>STM-A40_0096</v>
      </c>
      <c r="AF229" s="1" t="str">
        <f ca="1"/>
        <v>LIM</v>
      </c>
      <c r="AG229" s="1" t="str">
        <f ca="1"/>
        <v>LS_09</v>
      </c>
      <c r="AH229" s="1" t="str">
        <f ca="1"/>
        <v>L9_26</v>
      </c>
      <c r="AI229" s="1" t="str">
        <f ca="1"/>
        <v>002 / 022</v>
      </c>
      <c r="AJ229" s="3" t="str">
        <f ca="1"/>
        <v>No</v>
      </c>
      <c r="AK229" s="1" t="str">
        <f ca="1"/>
        <v/>
      </c>
      <c r="AL229" s="105" t="str">
        <f ca="1"/>
        <v/>
      </c>
    </row>
    <row r="230" spans="22:38" x14ac:dyDescent="0.25">
      <c r="AD230" s="1" t="str">
        <f ca="1"/>
        <v>46211/D|BR1/03</v>
      </c>
      <c r="AE230" s="1" t="str">
        <f ca="1"/>
        <v>STM-A40_0131</v>
      </c>
      <c r="AF230" s="1" t="str">
        <f ca="1"/>
        <v>LIM</v>
      </c>
      <c r="AG230" s="1" t="str">
        <f ca="1"/>
        <v>LS_09</v>
      </c>
      <c r="AH230" s="1" t="str">
        <f ca="1"/>
        <v>L9_26</v>
      </c>
      <c r="AI230" s="1" t="str">
        <f ca="1"/>
        <v>002 / 023</v>
      </c>
      <c r="AJ230" s="3" t="str">
        <f ca="1"/>
        <v>No</v>
      </c>
      <c r="AK230" s="1" t="str">
        <f ca="1"/>
        <v/>
      </c>
      <c r="AL230" s="105" t="str">
        <f ca="1"/>
        <v/>
      </c>
    </row>
    <row r="231" spans="22:38" x14ac:dyDescent="0.25">
      <c r="AD231" s="1" t="str">
        <f ca="1"/>
        <v>46211/D|BR1/03</v>
      </c>
      <c r="AE231" s="1" t="str">
        <f ca="1"/>
        <v>STM-A40_0095</v>
      </c>
      <c r="AF231" s="1" t="str">
        <f ca="1"/>
        <v>LIM</v>
      </c>
      <c r="AG231" s="1" t="str">
        <f ca="1"/>
        <v>LS_09</v>
      </c>
      <c r="AH231" s="1" t="str">
        <f ca="1"/>
        <v>L9_26</v>
      </c>
      <c r="AI231" s="1" t="str">
        <f ca="1"/>
        <v>002 / 024</v>
      </c>
      <c r="AJ231" s="3" t="str">
        <f ca="1"/>
        <v>No</v>
      </c>
      <c r="AK231" s="1" t="str">
        <f ca="1"/>
        <v/>
      </c>
      <c r="AL231" s="105" t="str">
        <f ca="1"/>
        <v/>
      </c>
    </row>
    <row r="232" spans="22:38" x14ac:dyDescent="0.25">
      <c r="AD232" s="1" t="str">
        <f ca="1"/>
        <v>46211/D|BR1/03</v>
      </c>
      <c r="AE232" s="1" t="str">
        <f ca="1"/>
        <v>STM-A40_0135</v>
      </c>
      <c r="AF232" s="1" t="str">
        <f ca="1"/>
        <v>LIM</v>
      </c>
      <c r="AG232" s="1" t="str">
        <f ca="1"/>
        <v>LS_09</v>
      </c>
      <c r="AH232" s="1" t="str">
        <f ca="1"/>
        <v>L9_26</v>
      </c>
      <c r="AI232" s="1" t="str">
        <f ca="1"/>
        <v>002 / 025</v>
      </c>
      <c r="AJ232" s="3" t="str">
        <f ca="1"/>
        <v>Yes</v>
      </c>
      <c r="AK232" s="1" t="str">
        <f ca="1"/>
        <v/>
      </c>
      <c r="AL232" s="105" t="str">
        <f ca="1"/>
        <v/>
      </c>
    </row>
    <row r="233" spans="22:38" x14ac:dyDescent="0.25">
      <c r="AD233" s="1" t="str">
        <f ca="1"/>
        <v>46211/D|BR1/03</v>
      </c>
      <c r="AE233" s="1" t="str">
        <f ca="1"/>
        <v>STM-A40_0103</v>
      </c>
      <c r="AF233" s="1" t="str">
        <f ca="1"/>
        <v>LIM</v>
      </c>
      <c r="AG233" s="1" t="str">
        <f ca="1"/>
        <v>LS_09</v>
      </c>
      <c r="AH233" s="1" t="str">
        <f ca="1"/>
        <v>L9_26</v>
      </c>
      <c r="AI233" s="1" t="str">
        <f ca="1"/>
        <v>002 / 026</v>
      </c>
      <c r="AJ233" s="3" t="str">
        <f ca="1"/>
        <v>No</v>
      </c>
      <c r="AK233" s="1" t="str">
        <f ca="1"/>
        <v/>
      </c>
      <c r="AL233" s="105" t="str">
        <f ca="1"/>
        <v/>
      </c>
    </row>
    <row r="234" spans="22:38" x14ac:dyDescent="0.25">
      <c r="AD234" s="1" t="str">
        <f ca="1"/>
        <v>46211/D|BR1/03</v>
      </c>
      <c r="AE234" s="1" t="str">
        <f ca="1"/>
        <v>STM-A40_0096</v>
      </c>
      <c r="AF234" s="1" t="str">
        <f ca="1"/>
        <v>LIM</v>
      </c>
      <c r="AG234" s="1" t="str">
        <f ca="1"/>
        <v>LS_09</v>
      </c>
      <c r="AH234" s="1" t="str">
        <f ca="1"/>
        <v>L9_26</v>
      </c>
      <c r="AI234" s="1" t="str">
        <f ca="1"/>
        <v>002 / 027</v>
      </c>
      <c r="AJ234" s="3" t="str">
        <f ca="1"/>
        <v>No</v>
      </c>
      <c r="AK234" s="1" t="str">
        <f ca="1"/>
        <v/>
      </c>
      <c r="AL234" s="105" t="str">
        <f ca="1"/>
        <v/>
      </c>
    </row>
    <row r="235" spans="22:38" x14ac:dyDescent="0.25">
      <c r="AD235" s="1" t="str">
        <f ca="1"/>
        <v>46211/D|BR1/03</v>
      </c>
      <c r="AE235" s="1" t="str">
        <f ca="1"/>
        <v>STM-A40_0095</v>
      </c>
      <c r="AF235" s="1" t="str">
        <f ca="1"/>
        <v>LIM</v>
      </c>
      <c r="AG235" s="1" t="str">
        <f ca="1"/>
        <v>LS_09</v>
      </c>
      <c r="AH235" s="1" t="str">
        <f ca="1"/>
        <v>L9_26</v>
      </c>
      <c r="AI235" s="1" t="str">
        <f ca="1"/>
        <v>002 / 028</v>
      </c>
      <c r="AJ235" s="3" t="str">
        <f ca="1"/>
        <v>No</v>
      </c>
      <c r="AK235" s="1" t="str">
        <f ca="1"/>
        <v/>
      </c>
      <c r="AL235" s="105" t="str">
        <f ca="1"/>
        <v/>
      </c>
    </row>
    <row r="236" spans="22:38" x14ac:dyDescent="0.25">
      <c r="AD236" s="1" t="str">
        <f ca="1"/>
        <v>46211/D|BR1/03</v>
      </c>
      <c r="AE236" s="1" t="str">
        <f ca="1"/>
        <v>STM-A40_0103</v>
      </c>
      <c r="AF236" s="1" t="str">
        <f ca="1"/>
        <v>LIM</v>
      </c>
      <c r="AG236" s="1" t="str">
        <f ca="1"/>
        <v>LS_09</v>
      </c>
      <c r="AH236" s="1" t="str">
        <f ca="1"/>
        <v>L9_26</v>
      </c>
      <c r="AI236" s="1" t="str">
        <f ca="1"/>
        <v>002 / 029</v>
      </c>
      <c r="AJ236" s="3" t="str">
        <f ca="1"/>
        <v>No</v>
      </c>
      <c r="AK236" s="1" t="str">
        <f ca="1"/>
        <v/>
      </c>
      <c r="AL236" s="105" t="str">
        <f ca="1"/>
        <v/>
      </c>
    </row>
    <row r="237" spans="22:38" x14ac:dyDescent="0.25">
      <c r="AD237" s="1" t="str">
        <f ca="1"/>
        <v>46211/D|BR1/03</v>
      </c>
      <c r="AE237" s="1" t="str">
        <f ca="1"/>
        <v>STM-A40_0131</v>
      </c>
      <c r="AF237" s="1" t="str">
        <f ca="1"/>
        <v>LIM</v>
      </c>
      <c r="AG237" s="1" t="str">
        <f ca="1"/>
        <v>LS_09</v>
      </c>
      <c r="AH237" s="1" t="str">
        <f ca="1"/>
        <v>L9_26</v>
      </c>
      <c r="AI237" s="1" t="str">
        <f ca="1"/>
        <v>002 / 030</v>
      </c>
      <c r="AJ237" s="3" t="str">
        <f ca="1"/>
        <v>Yes</v>
      </c>
      <c r="AK237" s="1" t="str">
        <f ca="1"/>
        <v/>
      </c>
      <c r="AL237" s="105" t="str">
        <f ca="1"/>
        <v/>
      </c>
    </row>
    <row r="238" spans="22:38" x14ac:dyDescent="0.25">
      <c r="AD238" s="1" t="str">
        <f ca="1"/>
        <v>46211/D|BR1/03</v>
      </c>
      <c r="AE238" s="1" t="str">
        <f ca="1"/>
        <v>STM-A40_0095</v>
      </c>
      <c r="AF238" s="1" t="str">
        <f ca="1"/>
        <v>LIM</v>
      </c>
      <c r="AG238" s="1" t="str">
        <f ca="1"/>
        <v>LS_09</v>
      </c>
      <c r="AH238" s="1" t="str">
        <f ca="1"/>
        <v>L9_26</v>
      </c>
      <c r="AI238" s="1" t="str">
        <f ca="1"/>
        <v>002 / 031</v>
      </c>
      <c r="AJ238" s="3" t="str">
        <f ca="1"/>
        <v>No</v>
      </c>
      <c r="AK238" s="1" t="str">
        <f ca="1"/>
        <v/>
      </c>
      <c r="AL238" s="105" t="str">
        <f ca="1"/>
        <v/>
      </c>
    </row>
    <row r="239" spans="22:38" x14ac:dyDescent="0.25">
      <c r="AD239" s="1" t="str">
        <f ca="1"/>
        <v>46211/D|BR1/03</v>
      </c>
      <c r="AE239" s="1" t="str">
        <f ca="1"/>
        <v>STM-A40_0096</v>
      </c>
      <c r="AF239" s="1" t="str">
        <f ca="1"/>
        <v>LIM</v>
      </c>
      <c r="AG239" s="1" t="str">
        <f ca="1"/>
        <v>LS_09</v>
      </c>
      <c r="AH239" s="1" t="str">
        <f ca="1"/>
        <v>L9_26</v>
      </c>
      <c r="AI239" s="1" t="str">
        <f ca="1"/>
        <v>002 / 032</v>
      </c>
      <c r="AJ239" s="3" t="str">
        <f ca="1"/>
        <v>No</v>
      </c>
      <c r="AK239" s="1" t="str">
        <f ca="1"/>
        <v/>
      </c>
      <c r="AL239" s="105" t="str">
        <f ca="1"/>
        <v/>
      </c>
    </row>
    <row r="240" spans="22:38" x14ac:dyDescent="0.25">
      <c r="AD240" s="1" t="str">
        <f ca="1"/>
        <v>46211/D|BR1/03</v>
      </c>
      <c r="AE240" s="1" t="str">
        <f ca="1"/>
        <v>STM-A40_0135</v>
      </c>
      <c r="AF240" s="1" t="str">
        <f ca="1"/>
        <v>LIM</v>
      </c>
      <c r="AG240" s="1" t="str">
        <f ca="1"/>
        <v>LS_09</v>
      </c>
      <c r="AH240" s="1" t="str">
        <f ca="1"/>
        <v>L9_26</v>
      </c>
      <c r="AI240" s="1" t="str">
        <f ca="1"/>
        <v>002 / 033</v>
      </c>
      <c r="AJ240" s="3" t="str">
        <f ca="1"/>
        <v>No</v>
      </c>
      <c r="AK240" s="1" t="str">
        <f ca="1"/>
        <v/>
      </c>
      <c r="AL240" s="105" t="str">
        <f ca="1"/>
        <v/>
      </c>
    </row>
    <row r="241" spans="30:38" x14ac:dyDescent="0.25">
      <c r="AD241" s="1" t="str">
        <f ca="1"/>
        <v>46211/D|BR1/03</v>
      </c>
      <c r="AE241" s="1" t="str">
        <f ca="1"/>
        <v>STM-A40_0103</v>
      </c>
      <c r="AF241" s="1" t="str">
        <f ca="1"/>
        <v>LIM</v>
      </c>
      <c r="AG241" s="1" t="str">
        <f ca="1"/>
        <v>LS_09</v>
      </c>
      <c r="AH241" s="1" t="str">
        <f ca="1"/>
        <v>L9_26</v>
      </c>
      <c r="AI241" s="1" t="str">
        <f ca="1"/>
        <v>002 / 034</v>
      </c>
      <c r="AJ241" s="3" t="str">
        <f ca="1"/>
        <v>No</v>
      </c>
      <c r="AK241" s="1" t="str">
        <f ca="1"/>
        <v/>
      </c>
      <c r="AL241" s="105" t="str">
        <f ca="1"/>
        <v/>
      </c>
    </row>
    <row r="242" spans="30:38" x14ac:dyDescent="0.25">
      <c r="AD242" s="1" t="str">
        <f ca="1"/>
        <v>46211/D|BR1/03</v>
      </c>
      <c r="AE242" s="1" t="str">
        <f ca="1"/>
        <v>STM-A40_0131</v>
      </c>
      <c r="AF242" s="1" t="str">
        <f ca="1"/>
        <v>LIM</v>
      </c>
      <c r="AG242" s="1" t="str">
        <f ca="1"/>
        <v>LS_09</v>
      </c>
      <c r="AH242" s="1" t="str">
        <f ca="1"/>
        <v>L9_26</v>
      </c>
      <c r="AI242" s="1" t="str">
        <f ca="1"/>
        <v>002 / 035</v>
      </c>
      <c r="AJ242" s="3" t="str">
        <f ca="1"/>
        <v>Yes</v>
      </c>
      <c r="AK242" s="1" t="str">
        <f ca="1"/>
        <v/>
      </c>
      <c r="AL242" s="105" t="str">
        <f ca="1"/>
        <v/>
      </c>
    </row>
    <row r="243" spans="30:38" x14ac:dyDescent="0.25">
      <c r="AD243" s="1" t="str">
        <f ca="1"/>
        <v>46211/D|BR1/03</v>
      </c>
      <c r="AE243" s="1" t="str">
        <f ca="1"/>
        <v>STM-A40_0095</v>
      </c>
      <c r="AF243" s="1" t="str">
        <f ca="1"/>
        <v>LIM</v>
      </c>
      <c r="AG243" s="1" t="str">
        <f ca="1"/>
        <v>LS_09</v>
      </c>
      <c r="AH243" s="1" t="str">
        <f ca="1"/>
        <v>L9_26</v>
      </c>
      <c r="AI243" s="1" t="str">
        <f ca="1"/>
        <v>002 / 036</v>
      </c>
      <c r="AJ243" s="3" t="str">
        <f ca="1"/>
        <v>No</v>
      </c>
      <c r="AK243" s="1" t="str">
        <f ca="1"/>
        <v/>
      </c>
      <c r="AL243" s="105" t="str">
        <f ca="1"/>
        <v/>
      </c>
    </row>
    <row r="244" spans="30:38" x14ac:dyDescent="0.25">
      <c r="AD244" s="1" t="str">
        <f ca="1"/>
        <v>46211/D|BR1/03</v>
      </c>
      <c r="AE244" s="1" t="str">
        <f ca="1"/>
        <v>STM-A40_0103</v>
      </c>
      <c r="AF244" s="1" t="str">
        <f ca="1"/>
        <v>LIM</v>
      </c>
      <c r="AG244" s="1" t="str">
        <f ca="1"/>
        <v>LS_09</v>
      </c>
      <c r="AH244" s="1" t="str">
        <f ca="1"/>
        <v>L9_26</v>
      </c>
      <c r="AI244" s="1" t="str">
        <f ca="1"/>
        <v>002 / 037</v>
      </c>
      <c r="AJ244" s="3" t="str">
        <f ca="1"/>
        <v>No</v>
      </c>
      <c r="AK244" s="1" t="str">
        <f ca="1"/>
        <v/>
      </c>
      <c r="AL244" s="105" t="str">
        <f ca="1"/>
        <v/>
      </c>
    </row>
    <row r="245" spans="30:38" x14ac:dyDescent="0.25">
      <c r="AD245" s="1" t="str">
        <f ca="1"/>
        <v>46211/D|BR1/03</v>
      </c>
      <c r="AE245" s="1" t="str">
        <f ca="1"/>
        <v>STM-A40_0135</v>
      </c>
      <c r="AF245" s="1" t="str">
        <f ca="1"/>
        <v>LIM</v>
      </c>
      <c r="AG245" s="1" t="str">
        <f ca="1"/>
        <v>LS_09</v>
      </c>
      <c r="AH245" s="1" t="str">
        <f ca="1"/>
        <v>L9_26</v>
      </c>
      <c r="AI245" s="1" t="str">
        <f ca="1"/>
        <v>002 / 038</v>
      </c>
      <c r="AJ245" s="3" t="str">
        <f ca="1"/>
        <v>No</v>
      </c>
      <c r="AK245" s="1" t="str">
        <f ca="1"/>
        <v/>
      </c>
      <c r="AL245" s="105" t="str">
        <f ca="1"/>
        <v/>
      </c>
    </row>
    <row r="246" spans="30:38" x14ac:dyDescent="0.25">
      <c r="AD246" s="1" t="str">
        <f ca="1"/>
        <v>46211/D|BR1/03</v>
      </c>
      <c r="AE246" s="1" t="str">
        <f ca="1"/>
        <v>STM-A40_0096</v>
      </c>
      <c r="AF246" s="1" t="str">
        <f ca="1"/>
        <v>LIM</v>
      </c>
      <c r="AG246" s="1" t="str">
        <f ca="1"/>
        <v>LS_09</v>
      </c>
      <c r="AH246" s="1" t="str">
        <f ca="1"/>
        <v>L9_26</v>
      </c>
      <c r="AI246" s="1" t="str">
        <f ca="1"/>
        <v>002 / 039</v>
      </c>
      <c r="AJ246" s="3" t="str">
        <f ca="1"/>
        <v>No</v>
      </c>
      <c r="AK246" s="1" t="str">
        <f ca="1"/>
        <v/>
      </c>
      <c r="AL246" s="105" t="str">
        <f ca="1"/>
        <v/>
      </c>
    </row>
    <row r="247" spans="30:38" x14ac:dyDescent="0.25">
      <c r="AD247" s="1" t="str">
        <f ca="1"/>
        <v>46211/D|BR1/03</v>
      </c>
      <c r="AE247" s="1" t="str">
        <f ca="1"/>
        <v>STM-A40_0131</v>
      </c>
      <c r="AF247" s="1" t="str">
        <f ca="1"/>
        <v>LIM</v>
      </c>
      <c r="AG247" s="1" t="str">
        <f ca="1"/>
        <v>LS_09</v>
      </c>
      <c r="AH247" s="1" t="str">
        <f ca="1"/>
        <v>L9_26</v>
      </c>
      <c r="AI247" s="1" t="str">
        <f ca="1"/>
        <v>002 / 040</v>
      </c>
      <c r="AJ247" s="3" t="str">
        <f ca="1"/>
        <v>Yes</v>
      </c>
      <c r="AK247" s="1" t="str">
        <f ca="1"/>
        <v/>
      </c>
      <c r="AL247" s="105" t="str">
        <f ca="1"/>
        <v/>
      </c>
    </row>
    <row r="248" spans="30:38" x14ac:dyDescent="0.25">
      <c r="AD248" s="1" t="str">
        <f ca="1"/>
        <v>46211/D|BR1/03</v>
      </c>
      <c r="AE248" s="1" t="str">
        <f ca="1"/>
        <v>STM-A40_0095</v>
      </c>
      <c r="AF248" s="1" t="str">
        <f ca="1"/>
        <v>LIM</v>
      </c>
      <c r="AG248" s="1" t="str">
        <f ca="1"/>
        <v>LS_09</v>
      </c>
      <c r="AH248" s="1" t="str">
        <f ca="1"/>
        <v>L9_26</v>
      </c>
      <c r="AI248" s="1" t="str">
        <f ca="1"/>
        <v>002 / 041</v>
      </c>
      <c r="AJ248" s="3" t="str">
        <f ca="1"/>
        <v>No</v>
      </c>
      <c r="AK248" s="1" t="str">
        <f ca="1"/>
        <v/>
      </c>
      <c r="AL248" s="105" t="str">
        <f ca="1"/>
        <v/>
      </c>
    </row>
    <row r="249" spans="30:38" x14ac:dyDescent="0.25">
      <c r="AD249" s="1" t="str">
        <f ca="1"/>
        <v>46211/D|BR1/03</v>
      </c>
      <c r="AE249" s="1" t="str">
        <f ca="1"/>
        <v>STM-A40_0135</v>
      </c>
      <c r="AF249" s="1" t="str">
        <f ca="1"/>
        <v>LIM</v>
      </c>
      <c r="AG249" s="1" t="str">
        <f ca="1"/>
        <v>LS_09</v>
      </c>
      <c r="AH249" s="1" t="str">
        <f ca="1"/>
        <v>L9_26</v>
      </c>
      <c r="AI249" s="1" t="str">
        <f ca="1"/>
        <v>002 / 042</v>
      </c>
      <c r="AJ249" s="3" t="str">
        <f ca="1"/>
        <v>No</v>
      </c>
      <c r="AK249" s="1" t="str">
        <f ca="1"/>
        <v/>
      </c>
      <c r="AL249" s="105" t="str">
        <f ca="1"/>
        <v/>
      </c>
    </row>
    <row r="250" spans="30:38" x14ac:dyDescent="0.25">
      <c r="AD250" s="1" t="str">
        <f ca="1"/>
        <v>46211/D|BR1/03</v>
      </c>
      <c r="AE250" s="1" t="str">
        <f ca="1"/>
        <v>STM-A40_0096</v>
      </c>
      <c r="AF250" s="1" t="str">
        <f ca="1"/>
        <v>LIM</v>
      </c>
      <c r="AG250" s="1" t="str">
        <f ca="1"/>
        <v>LS_09</v>
      </c>
      <c r="AH250" s="1" t="str">
        <f ca="1"/>
        <v>L9_26</v>
      </c>
      <c r="AI250" s="1" t="str">
        <f ca="1"/>
        <v>002 / 043</v>
      </c>
      <c r="AJ250" s="3" t="str">
        <f ca="1"/>
        <v>No</v>
      </c>
      <c r="AK250" s="1" t="str">
        <f ca="1"/>
        <v/>
      </c>
      <c r="AL250" s="105" t="str">
        <f ca="1"/>
        <v/>
      </c>
    </row>
    <row r="251" spans="30:38" x14ac:dyDescent="0.25">
      <c r="AD251" s="1" t="str">
        <f ca="1"/>
        <v>46211/D|BR1/03</v>
      </c>
      <c r="AE251" s="1" t="str">
        <f ca="1"/>
        <v>STM-A40_0103</v>
      </c>
      <c r="AF251" s="1" t="str">
        <f ca="1"/>
        <v>LIM</v>
      </c>
      <c r="AG251" s="1" t="str">
        <f ca="1"/>
        <v>LS_09</v>
      </c>
      <c r="AH251" s="1" t="str">
        <f ca="1"/>
        <v>L9_26</v>
      </c>
      <c r="AI251" s="1" t="str">
        <f ca="1"/>
        <v>002 / 044</v>
      </c>
      <c r="AJ251" s="3" t="str">
        <f ca="1"/>
        <v>No</v>
      </c>
      <c r="AK251" s="1" t="str">
        <f ca="1"/>
        <v/>
      </c>
      <c r="AL251" s="105" t="str">
        <f ca="1"/>
        <v/>
      </c>
    </row>
    <row r="252" spans="30:38" x14ac:dyDescent="0.25">
      <c r="AD252" s="1" t="str">
        <f ca="1"/>
        <v>46211/D|BR1/03</v>
      </c>
      <c r="AE252" s="1" t="str">
        <f ca="1"/>
        <v>STM-A40_0131</v>
      </c>
      <c r="AF252" s="1" t="str">
        <f ca="1"/>
        <v>LIM</v>
      </c>
      <c r="AG252" s="1" t="str">
        <f ca="1"/>
        <v>LS_09</v>
      </c>
      <c r="AH252" s="1" t="str">
        <f ca="1"/>
        <v>L9_26</v>
      </c>
      <c r="AI252" s="1" t="str">
        <f ca="1"/>
        <v>002 / 045</v>
      </c>
      <c r="AJ252" s="3" t="str">
        <f ca="1"/>
        <v>Yes</v>
      </c>
      <c r="AK252" s="1" t="str">
        <f ca="1"/>
        <v/>
      </c>
      <c r="AL252" s="105" t="str">
        <f ca="1"/>
        <v/>
      </c>
    </row>
    <row r="253" spans="30:38" x14ac:dyDescent="0.25">
      <c r="AD253" s="1" t="str">
        <f ca="1"/>
        <v>46211/D|BR1/03</v>
      </c>
      <c r="AE253" s="1" t="str">
        <f ca="1"/>
        <v>STM-A40_0095</v>
      </c>
      <c r="AF253" s="1" t="str">
        <f ca="1"/>
        <v>LIM</v>
      </c>
      <c r="AG253" s="1" t="str">
        <f ca="1"/>
        <v>LS_09</v>
      </c>
      <c r="AH253" s="1" t="str">
        <f ca="1"/>
        <v>L9_26</v>
      </c>
      <c r="AI253" s="1" t="str">
        <f ca="1"/>
        <v>002 / 046</v>
      </c>
      <c r="AJ253" s="3" t="str">
        <f ca="1"/>
        <v>No</v>
      </c>
      <c r="AK253" s="1" t="str">
        <f ca="1"/>
        <v/>
      </c>
      <c r="AL253" s="105" t="str">
        <f ca="1"/>
        <v/>
      </c>
    </row>
    <row r="254" spans="30:38" x14ac:dyDescent="0.25">
      <c r="AD254" s="1" t="str">
        <f ca="1"/>
        <v>46211/D|BR1/03</v>
      </c>
      <c r="AE254" s="1" t="str">
        <f ca="1"/>
        <v>STM-A40_0135</v>
      </c>
      <c r="AF254" s="1" t="str">
        <f ca="1"/>
        <v>LIM</v>
      </c>
      <c r="AG254" s="1" t="str">
        <f ca="1"/>
        <v>LS_09</v>
      </c>
      <c r="AH254" s="1" t="str">
        <f ca="1"/>
        <v>L9_26</v>
      </c>
      <c r="AI254" s="1" t="str">
        <f ca="1"/>
        <v>002 / 047</v>
      </c>
      <c r="AJ254" s="3" t="str">
        <f ca="1"/>
        <v>No</v>
      </c>
      <c r="AK254" s="1" t="str">
        <f ca="1"/>
        <v/>
      </c>
      <c r="AL254" s="105" t="str">
        <f ca="1"/>
        <v/>
      </c>
    </row>
    <row r="255" spans="30:38" x14ac:dyDescent="0.25">
      <c r="AD255" s="1" t="str">
        <f ca="1"/>
        <v>46211/D|BR1/03</v>
      </c>
      <c r="AE255" s="1" t="str">
        <f ca="1"/>
        <v>STM-A40_0103</v>
      </c>
      <c r="AF255" s="1" t="str">
        <f ca="1"/>
        <v>LIM</v>
      </c>
      <c r="AG255" s="1" t="str">
        <f ca="1"/>
        <v>LS_09</v>
      </c>
      <c r="AH255" s="1" t="str">
        <f ca="1"/>
        <v>L9_26</v>
      </c>
      <c r="AI255" s="1" t="str">
        <f ca="1"/>
        <v>002 / 048</v>
      </c>
      <c r="AJ255" s="3" t="str">
        <f ca="1"/>
        <v>No</v>
      </c>
      <c r="AK255" s="1" t="str">
        <f ca="1"/>
        <v/>
      </c>
      <c r="AL255" s="105" t="str">
        <f ca="1"/>
        <v/>
      </c>
    </row>
    <row r="256" spans="30:38" x14ac:dyDescent="0.25">
      <c r="AD256" s="1" t="str">
        <f ca="1"/>
        <v>46211/D|BR1/03</v>
      </c>
      <c r="AE256" s="1" t="str">
        <f ca="1"/>
        <v>STM-A40_0131</v>
      </c>
      <c r="AF256" s="1" t="str">
        <f ca="1"/>
        <v>LIM</v>
      </c>
      <c r="AG256" s="1" t="str">
        <f ca="1"/>
        <v>LS_09</v>
      </c>
      <c r="AH256" s="1" t="str">
        <f ca="1"/>
        <v>L9_26</v>
      </c>
      <c r="AI256" s="1" t="str">
        <f ca="1"/>
        <v>002 / 049</v>
      </c>
      <c r="AJ256" s="3" t="str">
        <f ca="1"/>
        <v>No</v>
      </c>
      <c r="AK256" s="1" t="str">
        <f ca="1"/>
        <v/>
      </c>
      <c r="AL256" s="105" t="str">
        <f ca="1"/>
        <v/>
      </c>
    </row>
    <row r="257" spans="30:38" x14ac:dyDescent="0.25">
      <c r="AD257" s="1" t="str">
        <f ca="1"/>
        <v>46211/D|BR1/03</v>
      </c>
      <c r="AE257" s="1" t="str">
        <f ca="1"/>
        <v>STM-A40_0103</v>
      </c>
      <c r="AF257" s="1" t="str">
        <f ca="1"/>
        <v>LIM</v>
      </c>
      <c r="AG257" s="1" t="str">
        <f ca="1"/>
        <v>LS_09</v>
      </c>
      <c r="AH257" s="1" t="str">
        <f ca="1"/>
        <v>L9_26</v>
      </c>
      <c r="AI257" s="1" t="str">
        <f ca="1"/>
        <v>002 / 050</v>
      </c>
      <c r="AJ257" s="3" t="str">
        <f ca="1"/>
        <v>Yes</v>
      </c>
      <c r="AK257" s="1" t="str">
        <f ca="1"/>
        <v/>
      </c>
      <c r="AL257" s="105" t="str">
        <f ca="1"/>
        <v/>
      </c>
    </row>
    <row r="258" spans="30:38" x14ac:dyDescent="0.25">
      <c r="AD258" s="1" t="str">
        <f ca="1"/>
        <v>46211/D|BR1/03</v>
      </c>
      <c r="AE258" s="1" t="str">
        <f ca="1"/>
        <v>STM-A40_0096</v>
      </c>
      <c r="AF258" s="1" t="str">
        <f ca="1"/>
        <v>LIM</v>
      </c>
      <c r="AG258" s="1" t="str">
        <f ca="1"/>
        <v>LS_09</v>
      </c>
      <c r="AH258" s="1" t="str">
        <f ca="1"/>
        <v>L9_26</v>
      </c>
      <c r="AI258" s="1" t="str">
        <f ca="1"/>
        <v>002 / 051</v>
      </c>
      <c r="AJ258" s="3" t="str">
        <f ca="1"/>
        <v>No</v>
      </c>
      <c r="AK258" s="1" t="str">
        <f ca="1"/>
        <v/>
      </c>
      <c r="AL258" s="105" t="str">
        <f ca="1"/>
        <v/>
      </c>
    </row>
    <row r="259" spans="30:38" x14ac:dyDescent="0.25">
      <c r="AD259" s="1" t="str">
        <f ca="1"/>
        <v>46211/D|BR1/03</v>
      </c>
      <c r="AE259" s="1" t="str">
        <f ca="1"/>
        <v>STM-A40_0131</v>
      </c>
      <c r="AF259" s="1" t="str">
        <f ca="1"/>
        <v>LIM</v>
      </c>
      <c r="AG259" s="1" t="str">
        <f ca="1"/>
        <v>LS_09</v>
      </c>
      <c r="AH259" s="1" t="str">
        <f ca="1"/>
        <v>L9_26</v>
      </c>
      <c r="AI259" s="1" t="str">
        <f ca="1"/>
        <v>002 / 052</v>
      </c>
      <c r="AJ259" s="3" t="str">
        <f ca="1"/>
        <v>No</v>
      </c>
      <c r="AK259" s="1" t="str">
        <f ca="1"/>
        <v/>
      </c>
      <c r="AL259" s="105" t="str">
        <f ca="1"/>
        <v/>
      </c>
    </row>
    <row r="260" spans="30:38" x14ac:dyDescent="0.25">
      <c r="AD260" s="1" t="str">
        <f ca="1"/>
        <v>46211/D|BR1/03</v>
      </c>
      <c r="AE260" s="1" t="str">
        <f ca="1"/>
        <v>STM-A40_0135</v>
      </c>
      <c r="AF260" s="1" t="str">
        <f ca="1"/>
        <v>LIM</v>
      </c>
      <c r="AG260" s="1" t="str">
        <f ca="1"/>
        <v>LS_09</v>
      </c>
      <c r="AH260" s="1" t="str">
        <f ca="1"/>
        <v>L9_26</v>
      </c>
      <c r="AI260" s="1" t="str">
        <f ca="1"/>
        <v>002 / 053</v>
      </c>
      <c r="AJ260" s="3" t="str">
        <f ca="1"/>
        <v>No</v>
      </c>
      <c r="AK260" s="1" t="str">
        <f ca="1"/>
        <v/>
      </c>
      <c r="AL260" s="105" t="str">
        <f ca="1"/>
        <v/>
      </c>
    </row>
    <row r="261" spans="30:38" x14ac:dyDescent="0.25">
      <c r="AD261" s="1" t="str">
        <f ca="1"/>
        <v>46211/D|BR1/03</v>
      </c>
      <c r="AE261" s="1" t="str">
        <f ca="1"/>
        <v>STM-A40_0103</v>
      </c>
      <c r="AF261" s="1" t="str">
        <f ca="1"/>
        <v>LIM</v>
      </c>
      <c r="AG261" s="1" t="str">
        <f ca="1"/>
        <v>LS_09</v>
      </c>
      <c r="AH261" s="1" t="str">
        <f ca="1"/>
        <v>L9_26</v>
      </c>
      <c r="AI261" s="1" t="str">
        <f ca="1"/>
        <v>002 / 054</v>
      </c>
      <c r="AJ261" s="3" t="str">
        <f ca="1"/>
        <v>No</v>
      </c>
      <c r="AK261" s="1" t="str">
        <f ca="1"/>
        <v/>
      </c>
      <c r="AL261" s="105" t="str">
        <f ca="1"/>
        <v/>
      </c>
    </row>
    <row r="262" spans="30:38" x14ac:dyDescent="0.25">
      <c r="AD262" s="1" t="str">
        <f ca="1"/>
        <v>46211/D|BR1/03</v>
      </c>
      <c r="AE262" s="1" t="str">
        <f ca="1"/>
        <v>STM-A40_0095</v>
      </c>
      <c r="AF262" s="1" t="str">
        <f ca="1"/>
        <v>LIM</v>
      </c>
      <c r="AG262" s="1" t="str">
        <f ca="1"/>
        <v>LS_09</v>
      </c>
      <c r="AH262" s="1" t="str">
        <f ca="1"/>
        <v>L9_26</v>
      </c>
      <c r="AI262" s="1" t="str">
        <f ca="1"/>
        <v>002 / 055</v>
      </c>
      <c r="AJ262" s="3" t="str">
        <f ca="1"/>
        <v>Yes</v>
      </c>
      <c r="AK262" s="1" t="str">
        <f ca="1"/>
        <v/>
      </c>
      <c r="AL262" s="105" t="str">
        <f ca="1"/>
        <v/>
      </c>
    </row>
    <row r="263" spans="30:38" x14ac:dyDescent="0.25">
      <c r="AD263" s="1" t="str">
        <f ca="1"/>
        <v>46211/D|BR1/03</v>
      </c>
      <c r="AE263" s="1" t="str">
        <f ca="1"/>
        <v>STM-A40_0096</v>
      </c>
      <c r="AF263" s="1" t="str">
        <f ca="1"/>
        <v>LIM</v>
      </c>
      <c r="AG263" s="1" t="str">
        <f ca="1"/>
        <v>LS_09</v>
      </c>
      <c r="AH263" s="1" t="str">
        <f ca="1"/>
        <v>L9_26</v>
      </c>
      <c r="AI263" s="1" t="str">
        <f ca="1"/>
        <v>002 / 056</v>
      </c>
      <c r="AJ263" s="3" t="str">
        <f ca="1"/>
        <v>No</v>
      </c>
      <c r="AK263" s="1" t="str">
        <f ca="1"/>
        <v/>
      </c>
      <c r="AL263" s="105" t="str">
        <f ca="1"/>
        <v/>
      </c>
    </row>
    <row r="264" spans="30:38" x14ac:dyDescent="0.25">
      <c r="AD264" s="1" t="str">
        <f ca="1"/>
        <v>46211/D|BR1/03</v>
      </c>
      <c r="AE264" s="1" t="str">
        <f ca="1"/>
        <v>STM-A40_0131</v>
      </c>
      <c r="AF264" s="1" t="str">
        <f ca="1"/>
        <v>LIM</v>
      </c>
      <c r="AG264" s="1" t="str">
        <f ca="1"/>
        <v>LS_09</v>
      </c>
      <c r="AH264" s="1" t="str">
        <f ca="1"/>
        <v>L9_26</v>
      </c>
      <c r="AI264" s="1" t="str">
        <f ca="1"/>
        <v>002 / 057</v>
      </c>
      <c r="AJ264" s="3" t="str">
        <f ca="1"/>
        <v>No</v>
      </c>
      <c r="AK264" s="1" t="str">
        <f ca="1"/>
        <v/>
      </c>
      <c r="AL264" s="105" t="str">
        <f ca="1"/>
        <v/>
      </c>
    </row>
    <row r="265" spans="30:38" x14ac:dyDescent="0.25">
      <c r="AD265" s="1" t="str">
        <f ca="1"/>
        <v>46211/D|BR1/03</v>
      </c>
      <c r="AE265" s="1" t="str">
        <f ca="1"/>
        <v>STM-A40_0095</v>
      </c>
      <c r="AF265" s="1" t="str">
        <f ca="1"/>
        <v>LIM</v>
      </c>
      <c r="AG265" s="1" t="str">
        <f ca="1"/>
        <v>LS_09</v>
      </c>
      <c r="AH265" s="1" t="str">
        <f ca="1"/>
        <v>L9_26</v>
      </c>
      <c r="AI265" s="1" t="str">
        <f ca="1"/>
        <v>002 / 058</v>
      </c>
      <c r="AJ265" s="3" t="str">
        <f ca="1"/>
        <v>No</v>
      </c>
      <c r="AK265" s="1" t="str">
        <f ca="1"/>
        <v/>
      </c>
      <c r="AL265" s="105" t="str">
        <f ca="1"/>
        <v/>
      </c>
    </row>
    <row r="266" spans="30:38" x14ac:dyDescent="0.25">
      <c r="AD266" s="1" t="str">
        <f ca="1"/>
        <v>46211/D|BR1/03</v>
      </c>
      <c r="AE266" s="1" t="str">
        <f ca="1"/>
        <v>STM-A40_0135</v>
      </c>
      <c r="AF266" s="1" t="str">
        <f ca="1"/>
        <v>LIM</v>
      </c>
      <c r="AG266" s="1" t="str">
        <f ca="1"/>
        <v>LS_09</v>
      </c>
      <c r="AH266" s="1" t="str">
        <f ca="1"/>
        <v>L9_26</v>
      </c>
      <c r="AI266" s="1" t="str">
        <f ca="1"/>
        <v>002 / 059</v>
      </c>
      <c r="AJ266" s="3" t="str">
        <f ca="1"/>
        <v>No</v>
      </c>
      <c r="AK266" s="1" t="str">
        <f ca="1"/>
        <v/>
      </c>
      <c r="AL266" s="105" t="str">
        <f ca="1"/>
        <v/>
      </c>
    </row>
    <row r="267" spans="30:38" x14ac:dyDescent="0.25">
      <c r="AD267" s="1" t="str">
        <f ca="1"/>
        <v>46211/D|BR1/03</v>
      </c>
      <c r="AE267" s="1" t="str">
        <f ca="1"/>
        <v>STM-A40_0103</v>
      </c>
      <c r="AF267" s="1" t="str">
        <f ca="1"/>
        <v>LIM</v>
      </c>
      <c r="AG267" s="1" t="str">
        <f ca="1"/>
        <v>LS_09</v>
      </c>
      <c r="AH267" s="1" t="str">
        <f ca="1"/>
        <v>L9_26</v>
      </c>
      <c r="AI267" s="1" t="str">
        <f ca="1"/>
        <v>002 / 060</v>
      </c>
      <c r="AJ267" s="3" t="str">
        <f ca="1"/>
        <v>Yes</v>
      </c>
      <c r="AK267" s="1" t="str">
        <f ca="1"/>
        <v/>
      </c>
      <c r="AL267" s="105" t="str">
        <f ca="1"/>
        <v/>
      </c>
    </row>
    <row r="268" spans="30:38" x14ac:dyDescent="0.25">
      <c r="AD268" s="1" t="str">
        <f ca="1"/>
        <v>46211/D|BR1/03</v>
      </c>
      <c r="AE268" s="1" t="str">
        <f ca="1"/>
        <v>STM-A40_0131</v>
      </c>
      <c r="AF268" s="1" t="str">
        <f ca="1"/>
        <v>LIM</v>
      </c>
      <c r="AG268" s="1" t="str">
        <f ca="1"/>
        <v>LS_09</v>
      </c>
      <c r="AH268" s="1" t="str">
        <f ca="1"/>
        <v>L9_26</v>
      </c>
      <c r="AI268" s="1" t="str">
        <f ca="1"/>
        <v>002 / 061</v>
      </c>
      <c r="AJ268" s="3" t="str">
        <f ca="1"/>
        <v>No</v>
      </c>
      <c r="AK268" s="1" t="str">
        <f ca="1"/>
        <v/>
      </c>
      <c r="AL268" s="105" t="str">
        <f ca="1"/>
        <v/>
      </c>
    </row>
    <row r="269" spans="30:38" x14ac:dyDescent="0.25">
      <c r="AD269" s="1" t="str">
        <f ca="1"/>
        <v>46211/D|BR1/03</v>
      </c>
      <c r="AE269" s="1" t="str">
        <f ca="1"/>
        <v>STM-A40_0103</v>
      </c>
      <c r="AF269" s="1" t="str">
        <f ca="1"/>
        <v>LIM</v>
      </c>
      <c r="AG269" s="1" t="str">
        <f ca="1"/>
        <v>LS_09</v>
      </c>
      <c r="AH269" s="1" t="str">
        <f ca="1"/>
        <v>L9_26</v>
      </c>
      <c r="AI269" s="1" t="str">
        <f ca="1"/>
        <v>002 / 062</v>
      </c>
      <c r="AJ269" s="3" t="str">
        <f ca="1"/>
        <v>No</v>
      </c>
      <c r="AK269" s="1" t="str">
        <f ca="1"/>
        <v/>
      </c>
      <c r="AL269" s="105" t="str">
        <f ca="1"/>
        <v/>
      </c>
    </row>
    <row r="270" spans="30:38" x14ac:dyDescent="0.25">
      <c r="AD270" s="1" t="str">
        <f ca="1"/>
        <v>46211/D|BR1/03</v>
      </c>
      <c r="AE270" s="1" t="str">
        <f ca="1"/>
        <v>STM-A40_0095</v>
      </c>
      <c r="AF270" s="1" t="str">
        <f ca="1"/>
        <v>LIM</v>
      </c>
      <c r="AG270" s="1" t="str">
        <f ca="1"/>
        <v>LS_09</v>
      </c>
      <c r="AH270" s="1" t="str">
        <f ca="1"/>
        <v>L9_26</v>
      </c>
      <c r="AI270" s="1" t="str">
        <f ca="1"/>
        <v>002 / 063</v>
      </c>
      <c r="AJ270" s="3" t="str">
        <f ca="1"/>
        <v>No</v>
      </c>
      <c r="AK270" s="1" t="str">
        <f ca="1"/>
        <v/>
      </c>
      <c r="AL270" s="105" t="str">
        <f ca="1"/>
        <v/>
      </c>
    </row>
    <row r="271" spans="30:38" x14ac:dyDescent="0.25">
      <c r="AD271" s="1" t="str">
        <f ca="1"/>
        <v>46211/D|BR1/03</v>
      </c>
      <c r="AE271" s="1" t="str">
        <f ca="1"/>
        <v>STM-A40_0096</v>
      </c>
      <c r="AF271" s="1" t="str">
        <f ca="1"/>
        <v>LIM</v>
      </c>
      <c r="AG271" s="1" t="str">
        <f ca="1"/>
        <v>LS_09</v>
      </c>
      <c r="AH271" s="1" t="str">
        <f ca="1"/>
        <v>L9_26</v>
      </c>
      <c r="AI271" s="1" t="str">
        <f ca="1"/>
        <v>002 / 064</v>
      </c>
      <c r="AJ271" s="3" t="str">
        <f ca="1"/>
        <v>No</v>
      </c>
      <c r="AK271" s="1" t="str">
        <f ca="1"/>
        <v/>
      </c>
      <c r="AL271" s="105" t="str">
        <f ca="1"/>
        <v/>
      </c>
    </row>
    <row r="272" spans="30:38" x14ac:dyDescent="0.25">
      <c r="AD272" s="1" t="str">
        <f ca="1"/>
        <v>46211/D|BR1/03</v>
      </c>
      <c r="AE272" s="1" t="str">
        <f ca="1"/>
        <v>STM-A40_0131</v>
      </c>
      <c r="AF272" s="1" t="str">
        <f ca="1"/>
        <v>LIM</v>
      </c>
      <c r="AG272" s="1" t="str">
        <f ca="1"/>
        <v>LS_09</v>
      </c>
      <c r="AH272" s="1" t="str">
        <f ca="1"/>
        <v>L9_26</v>
      </c>
      <c r="AI272" s="1" t="str">
        <f ca="1"/>
        <v>002 / 065</v>
      </c>
      <c r="AJ272" s="3" t="str">
        <f ca="1"/>
        <v>Yes</v>
      </c>
      <c r="AK272" s="1" t="str">
        <f ca="1"/>
        <v/>
      </c>
      <c r="AL272" s="105" t="str">
        <f ca="1"/>
        <v/>
      </c>
    </row>
    <row r="273" spans="30:38" x14ac:dyDescent="0.25">
      <c r="AD273" s="1" t="str">
        <f ca="1"/>
        <v>46211/D|BR1/03</v>
      </c>
      <c r="AE273" s="1" t="str">
        <f ca="1"/>
        <v>STM-A40_0095</v>
      </c>
      <c r="AF273" s="1" t="str">
        <f ca="1"/>
        <v>LIM</v>
      </c>
      <c r="AG273" s="1" t="str">
        <f ca="1"/>
        <v>LS_09</v>
      </c>
      <c r="AH273" s="1" t="str">
        <f ca="1"/>
        <v>L9_26</v>
      </c>
      <c r="AI273" s="1" t="str">
        <f ca="1"/>
        <v>002 / 066</v>
      </c>
      <c r="AJ273" s="3" t="str">
        <f ca="1"/>
        <v>No</v>
      </c>
      <c r="AK273" s="1" t="str">
        <f ca="1"/>
        <v/>
      </c>
      <c r="AL273" s="105" t="str">
        <f ca="1"/>
        <v/>
      </c>
    </row>
    <row r="274" spans="30:38" x14ac:dyDescent="0.25">
      <c r="AD274" s="1" t="str">
        <f ca="1"/>
        <v>46211/D|BR1/03</v>
      </c>
      <c r="AE274" s="1" t="str">
        <f ca="1"/>
        <v>STM-A40_0135</v>
      </c>
      <c r="AF274" s="1" t="str">
        <f ca="1"/>
        <v>LIM</v>
      </c>
      <c r="AG274" s="1" t="str">
        <f ca="1"/>
        <v>LS_09</v>
      </c>
      <c r="AH274" s="1" t="str">
        <f ca="1"/>
        <v>L9_26</v>
      </c>
      <c r="AI274" s="1" t="str">
        <f ca="1"/>
        <v>002 / 067</v>
      </c>
      <c r="AJ274" s="3" t="str">
        <f ca="1"/>
        <v>No</v>
      </c>
      <c r="AK274" s="1" t="str">
        <f ca="1"/>
        <v/>
      </c>
      <c r="AL274" s="105" t="str">
        <f ca="1"/>
        <v/>
      </c>
    </row>
    <row r="275" spans="30:38" x14ac:dyDescent="0.25">
      <c r="AD275" s="1" t="str">
        <f ca="1"/>
        <v>46211/D|BR1/03</v>
      </c>
      <c r="AE275" s="1" t="str">
        <f ca="1"/>
        <v>STM-A40_0103</v>
      </c>
      <c r="AF275" s="1" t="str">
        <f ca="1"/>
        <v>LIM</v>
      </c>
      <c r="AG275" s="1" t="str">
        <f ca="1"/>
        <v>LS_09</v>
      </c>
      <c r="AH275" s="1" t="str">
        <f ca="1"/>
        <v>L9_26</v>
      </c>
      <c r="AI275" s="1" t="str">
        <f ca="1"/>
        <v>002 / 068</v>
      </c>
      <c r="AJ275" s="3" t="str">
        <f ca="1"/>
        <v>No</v>
      </c>
      <c r="AK275" s="1" t="str">
        <f ca="1"/>
        <v/>
      </c>
      <c r="AL275" s="105" t="str">
        <f ca="1"/>
        <v/>
      </c>
    </row>
    <row r="276" spans="30:38" x14ac:dyDescent="0.25">
      <c r="AD276" s="1" t="str">
        <f ca="1"/>
        <v>46211/D|BR1/03</v>
      </c>
      <c r="AE276" s="1" t="str">
        <f ca="1"/>
        <v>STM-A40_0096</v>
      </c>
      <c r="AF276" s="1" t="str">
        <f ca="1"/>
        <v>LIM</v>
      </c>
      <c r="AG276" s="1" t="str">
        <f ca="1"/>
        <v>LS_09</v>
      </c>
      <c r="AH276" s="1" t="str">
        <f ca="1"/>
        <v>L9_26</v>
      </c>
      <c r="AI276" s="1" t="str">
        <f ca="1"/>
        <v>002 / 069</v>
      </c>
      <c r="AJ276" s="3" t="str">
        <f ca="1"/>
        <v>No</v>
      </c>
      <c r="AK276" s="1" t="str">
        <f ca="1"/>
        <v/>
      </c>
      <c r="AL276" s="105" t="str">
        <f ca="1"/>
        <v/>
      </c>
    </row>
    <row r="277" spans="30:38" x14ac:dyDescent="0.25">
      <c r="AD277" s="1" t="str">
        <f ca="1"/>
        <v>46211/D|BR1/03</v>
      </c>
      <c r="AE277" s="1" t="str">
        <f ca="1"/>
        <v>STM-A40_0131</v>
      </c>
      <c r="AF277" s="1" t="str">
        <f ca="1"/>
        <v>LIM</v>
      </c>
      <c r="AG277" s="1" t="str">
        <f ca="1"/>
        <v>LS_09</v>
      </c>
      <c r="AH277" s="1" t="str">
        <f ca="1"/>
        <v>L9_26</v>
      </c>
      <c r="AI277" s="1" t="str">
        <f ca="1"/>
        <v>002 / 070</v>
      </c>
      <c r="AJ277" s="3" t="str">
        <f ca="1"/>
        <v>Yes</v>
      </c>
      <c r="AK277" s="1" t="str">
        <f ca="1"/>
        <v/>
      </c>
      <c r="AL277" s="105" t="str">
        <f ca="1"/>
        <v/>
      </c>
    </row>
    <row r="278" spans="30:38" x14ac:dyDescent="0.25">
      <c r="AD278" s="1" t="str">
        <f ca="1"/>
        <v>46211/D|BR1/03</v>
      </c>
      <c r="AE278" s="1" t="str">
        <f ca="1"/>
        <v>STM-A40_2010</v>
      </c>
      <c r="AF278" s="1" t="str">
        <f ca="1"/>
        <v>LIM</v>
      </c>
      <c r="AG278" s="1" t="str">
        <f ca="1"/>
        <v>LS_09</v>
      </c>
      <c r="AH278" s="1" t="str">
        <f ca="1"/>
        <v>L9_26</v>
      </c>
      <c r="AI278" s="1" t="str">
        <f ca="1"/>
        <v>002 / 071</v>
      </c>
      <c r="AJ278" s="3" t="str">
        <f ca="1"/>
        <v>No</v>
      </c>
      <c r="AK278" s="1" t="str">
        <f ca="1"/>
        <v/>
      </c>
      <c r="AL278" s="105" t="str">
        <f ca="1"/>
        <v/>
      </c>
    </row>
    <row r="279" spans="30:38" x14ac:dyDescent="0.25">
      <c r="AD279" s="1" t="str">
        <f ca="1"/>
        <v>46211/D|BR1/03</v>
      </c>
      <c r="AE279" s="1" t="str">
        <f ca="1"/>
        <v>STM-A40_0103</v>
      </c>
      <c r="AF279" s="1" t="str">
        <f ca="1"/>
        <v>LIM</v>
      </c>
      <c r="AG279" s="1" t="str">
        <f ca="1"/>
        <v>LS_09</v>
      </c>
      <c r="AH279" s="1" t="str">
        <f ca="1"/>
        <v>L9_26</v>
      </c>
      <c r="AI279" s="1" t="str">
        <f ca="1"/>
        <v>002 / 072</v>
      </c>
      <c r="AJ279" s="3" t="str">
        <f ca="1"/>
        <v>No</v>
      </c>
      <c r="AK279" s="1" t="str">
        <f ca="1"/>
        <v/>
      </c>
      <c r="AL279" s="105" t="str">
        <f ca="1"/>
        <v/>
      </c>
    </row>
    <row r="280" spans="30:38" x14ac:dyDescent="0.25">
      <c r="AD280" s="1" t="str">
        <f ca="1"/>
        <v>46211/D|BR1/03</v>
      </c>
      <c r="AE280" s="1" t="str">
        <f ca="1"/>
        <v>STM-A40_0131</v>
      </c>
      <c r="AF280" s="1" t="str">
        <f ca="1"/>
        <v>LIM</v>
      </c>
      <c r="AG280" s="1" t="str">
        <f ca="1"/>
        <v>LS_09</v>
      </c>
      <c r="AH280" s="1" t="str">
        <f ca="1"/>
        <v>L9_26</v>
      </c>
      <c r="AI280" s="1" t="str">
        <f ca="1"/>
        <v>002 / 073</v>
      </c>
      <c r="AJ280" s="3" t="str">
        <f ca="1"/>
        <v>No</v>
      </c>
      <c r="AK280" s="1" t="str">
        <f ca="1"/>
        <v/>
      </c>
      <c r="AL280" s="105" t="str">
        <f ca="1"/>
        <v/>
      </c>
    </row>
    <row r="281" spans="30:38" x14ac:dyDescent="0.25">
      <c r="AD281" s="1" t="str">
        <f ca="1"/>
        <v>46211/D|BR1/03</v>
      </c>
      <c r="AE281" s="1" t="str">
        <f ca="1"/>
        <v>STM-A40_0096</v>
      </c>
      <c r="AF281" s="1" t="str">
        <f ca="1"/>
        <v>LIM</v>
      </c>
      <c r="AG281" s="1" t="str">
        <f ca="1"/>
        <v>LS_09</v>
      </c>
      <c r="AH281" s="1" t="str">
        <f ca="1"/>
        <v>L9_26</v>
      </c>
      <c r="AI281" s="1" t="str">
        <f ca="1"/>
        <v>002 / 074</v>
      </c>
      <c r="AJ281" s="3" t="str">
        <f ca="1"/>
        <v>No</v>
      </c>
      <c r="AK281" s="1" t="str">
        <f ca="1"/>
        <v/>
      </c>
      <c r="AL281" s="105" t="str">
        <f ca="1"/>
        <v/>
      </c>
    </row>
    <row r="282" spans="30:38" x14ac:dyDescent="0.25">
      <c r="AD282" s="1" t="str">
        <f ca="1"/>
        <v>46211/D|BR1/03</v>
      </c>
      <c r="AE282" s="1" t="str">
        <f ca="1"/>
        <v>STM-A40_0103</v>
      </c>
      <c r="AF282" s="1" t="str">
        <f ca="1"/>
        <v>LIM</v>
      </c>
      <c r="AG282" s="1" t="str">
        <f ca="1"/>
        <v>LS_09</v>
      </c>
      <c r="AH282" s="1" t="str">
        <f ca="1"/>
        <v>L9_26</v>
      </c>
      <c r="AI282" s="1" t="str">
        <f ca="1"/>
        <v>002 / 075</v>
      </c>
      <c r="AJ282" s="3" t="str">
        <f ca="1"/>
        <v>Yes</v>
      </c>
      <c r="AK282" s="1" t="str">
        <f ca="1"/>
        <v/>
      </c>
      <c r="AL282" s="105" t="str">
        <f ca="1"/>
        <v/>
      </c>
    </row>
    <row r="283" spans="30:38" x14ac:dyDescent="0.25">
      <c r="AD283" s="1" t="str">
        <f ca="1"/>
        <v>46211/D|BR1/03</v>
      </c>
      <c r="AE283" s="1" t="str">
        <f ca="1"/>
        <v>STM-A40_0096</v>
      </c>
      <c r="AF283" s="1" t="str">
        <f ca="1"/>
        <v>LIM</v>
      </c>
      <c r="AG283" s="1" t="str">
        <f ca="1"/>
        <v>LS_09</v>
      </c>
      <c r="AH283" s="1" t="str">
        <f ca="1"/>
        <v>L9_26</v>
      </c>
      <c r="AI283" s="1" t="str">
        <f ca="1"/>
        <v>002 / 076</v>
      </c>
      <c r="AJ283" s="3" t="str">
        <f ca="1"/>
        <v>No</v>
      </c>
      <c r="AK283" s="1" t="str">
        <f ca="1"/>
        <v/>
      </c>
      <c r="AL283" s="105" t="str">
        <f ca="1"/>
        <v/>
      </c>
    </row>
    <row r="284" spans="30:38" x14ac:dyDescent="0.25">
      <c r="AD284" s="1" t="str">
        <f ca="1"/>
        <v>46211/D|BR1/03</v>
      </c>
      <c r="AE284" s="1" t="str">
        <f ca="1"/>
        <v>STM-A40_2010</v>
      </c>
      <c r="AF284" s="1" t="str">
        <f ca="1"/>
        <v>LIM</v>
      </c>
      <c r="AG284" s="1" t="str">
        <f ca="1"/>
        <v>LS_09</v>
      </c>
      <c r="AH284" s="1" t="str">
        <f ca="1"/>
        <v>L9_26</v>
      </c>
      <c r="AI284" s="1" t="str">
        <f ca="1"/>
        <v>002 / 077</v>
      </c>
      <c r="AJ284" s="3" t="str">
        <f ca="1"/>
        <v>No</v>
      </c>
      <c r="AK284" s="1" t="str">
        <f ca="1"/>
        <v/>
      </c>
      <c r="AL284" s="105" t="str">
        <f ca="1"/>
        <v/>
      </c>
    </row>
    <row r="285" spans="30:38" x14ac:dyDescent="0.25">
      <c r="AD285" s="1" t="str">
        <f ca="1"/>
        <v>46211/D|BR1/03</v>
      </c>
      <c r="AE285" s="1" t="str">
        <f ca="1"/>
        <v>STM-A40_0131</v>
      </c>
      <c r="AF285" s="1" t="str">
        <f ca="1"/>
        <v>LIM</v>
      </c>
      <c r="AG285" s="1" t="str">
        <f ca="1"/>
        <v>LS_09</v>
      </c>
      <c r="AH285" s="1" t="str">
        <f ca="1"/>
        <v>L9_26</v>
      </c>
      <c r="AI285" s="1" t="str">
        <f ca="1"/>
        <v>002 / 078</v>
      </c>
      <c r="AJ285" s="3" t="str">
        <f ca="1"/>
        <v>No</v>
      </c>
      <c r="AK285" s="1" t="str">
        <f ca="1"/>
        <v/>
      </c>
      <c r="AL285" s="105" t="str">
        <f ca="1"/>
        <v/>
      </c>
    </row>
    <row r="286" spans="30:38" x14ac:dyDescent="0.25">
      <c r="AD286" s="1" t="str">
        <f ca="1"/>
        <v>46211/D|BR1/03</v>
      </c>
      <c r="AE286" s="1" t="str">
        <f ca="1"/>
        <v>STM-A40_0096</v>
      </c>
      <c r="AF286" s="1" t="str">
        <f ca="1"/>
        <v>LIM</v>
      </c>
      <c r="AG286" s="1" t="str">
        <f ca="1"/>
        <v>LS_09</v>
      </c>
      <c r="AH286" s="1" t="str">
        <f ca="1"/>
        <v>L9_26</v>
      </c>
      <c r="AI286" s="1" t="str">
        <f ca="1"/>
        <v>002 / 079</v>
      </c>
      <c r="AJ286" s="3" t="str">
        <f ca="1"/>
        <v>No</v>
      </c>
      <c r="AK286" s="1" t="str">
        <f ca="1"/>
        <v/>
      </c>
      <c r="AL286" s="105" t="str">
        <f ca="1"/>
        <v/>
      </c>
    </row>
    <row r="287" spans="30:38" x14ac:dyDescent="0.25">
      <c r="AD287" s="1" t="str">
        <f ca="1"/>
        <v>46211/D|BR1/03</v>
      </c>
      <c r="AE287" s="1" t="str">
        <f ca="1"/>
        <v>STM-A40_0135</v>
      </c>
      <c r="AF287" s="1" t="str">
        <f ca="1"/>
        <v>LIM</v>
      </c>
      <c r="AG287" s="1" t="str">
        <f ca="1"/>
        <v>LS_09</v>
      </c>
      <c r="AH287" s="1" t="str">
        <f ca="1"/>
        <v>L9_26</v>
      </c>
      <c r="AI287" s="1" t="str">
        <f ca="1"/>
        <v>002 / 080</v>
      </c>
      <c r="AJ287" s="3" t="str">
        <f ca="1"/>
        <v>Yes</v>
      </c>
      <c r="AK287" s="1" t="str">
        <f ca="1"/>
        <v/>
      </c>
      <c r="AL287" s="105" t="str">
        <f ca="1"/>
        <v/>
      </c>
    </row>
    <row r="288" spans="30:38" x14ac:dyDescent="0.25">
      <c r="AD288" s="1" t="str">
        <f ca="1"/>
        <v>46211/D|BR1/03</v>
      </c>
      <c r="AE288" s="1" t="str">
        <f ca="1"/>
        <v>STM-A40_2010</v>
      </c>
      <c r="AF288" s="1" t="str">
        <f ca="1"/>
        <v>LIM</v>
      </c>
      <c r="AG288" s="1" t="str">
        <f ca="1"/>
        <v>LS_09</v>
      </c>
      <c r="AH288" s="1" t="str">
        <f ca="1"/>
        <v>L9_26</v>
      </c>
      <c r="AI288" s="1" t="str">
        <f ca="1"/>
        <v>002 / 081</v>
      </c>
      <c r="AJ288" s="3" t="str">
        <f ca="1"/>
        <v>No</v>
      </c>
      <c r="AK288" s="1" t="str">
        <f ca="1"/>
        <v/>
      </c>
      <c r="AL288" s="105" t="str">
        <f ca="1"/>
        <v/>
      </c>
    </row>
    <row r="289" spans="30:38" x14ac:dyDescent="0.25">
      <c r="AD289" s="1" t="str">
        <f ca="1"/>
        <v>46211/D|BR1/03</v>
      </c>
      <c r="AE289" s="1" t="str">
        <f ca="1"/>
        <v>STM-A40_0131</v>
      </c>
      <c r="AF289" s="1" t="str">
        <f ca="1"/>
        <v>LIM</v>
      </c>
      <c r="AG289" s="1" t="str">
        <f ca="1"/>
        <v>LS_09</v>
      </c>
      <c r="AH289" s="1" t="str">
        <f ca="1"/>
        <v>L9_26</v>
      </c>
      <c r="AI289" s="1" t="str">
        <f ca="1"/>
        <v>002 / 082</v>
      </c>
      <c r="AJ289" s="3" t="str">
        <f ca="1"/>
        <v>No</v>
      </c>
      <c r="AK289" s="1" t="str">
        <f ca="1"/>
        <v/>
      </c>
      <c r="AL289" s="105" t="str">
        <f ca="1"/>
        <v/>
      </c>
    </row>
    <row r="290" spans="30:38" x14ac:dyDescent="0.25">
      <c r="AD290" s="1" t="str">
        <f ca="1"/>
        <v>46211/D|BR1/03</v>
      </c>
      <c r="AE290" s="1" t="str">
        <f ca="1"/>
        <v>STM-A40_0096</v>
      </c>
      <c r="AF290" s="1" t="str">
        <f ca="1"/>
        <v>LIM</v>
      </c>
      <c r="AG290" s="1" t="str">
        <f ca="1"/>
        <v>LS_09</v>
      </c>
      <c r="AH290" s="1" t="str">
        <f ca="1"/>
        <v>L9_26</v>
      </c>
      <c r="AI290" s="1" t="str">
        <f ca="1"/>
        <v>002 / 083</v>
      </c>
      <c r="AJ290" s="3" t="str">
        <f ca="1"/>
        <v>No</v>
      </c>
      <c r="AK290" s="1" t="str">
        <f ca="1"/>
        <v/>
      </c>
      <c r="AL290" s="105" t="str">
        <f ca="1"/>
        <v/>
      </c>
    </row>
    <row r="291" spans="30:38" x14ac:dyDescent="0.25">
      <c r="AD291" s="1" t="str">
        <f ca="1"/>
        <v>46211/D|BR1/03</v>
      </c>
      <c r="AE291" s="1" t="str">
        <f ca="1"/>
        <v>STM-A40_0097</v>
      </c>
      <c r="AF291" s="1" t="str">
        <f ca="1"/>
        <v>LIM</v>
      </c>
      <c r="AG291" s="1" t="str">
        <f ca="1"/>
        <v>LS_09</v>
      </c>
      <c r="AH291" s="1" t="str">
        <f ca="1"/>
        <v>L9_26</v>
      </c>
      <c r="AI291" s="1" t="str">
        <f ca="1"/>
        <v>002 / 084</v>
      </c>
      <c r="AJ291" s="3" t="str">
        <f ca="1"/>
        <v>No</v>
      </c>
      <c r="AK291" s="1" t="str">
        <f ca="1"/>
        <v/>
      </c>
      <c r="AL291" s="105" t="str">
        <f ca="1"/>
        <v/>
      </c>
    </row>
    <row r="292" spans="30:38" x14ac:dyDescent="0.25">
      <c r="AD292" s="1" t="str">
        <f ca="1"/>
        <v>46211/D|BR1/03</v>
      </c>
      <c r="AE292" s="1" t="str">
        <f ca="1"/>
        <v>STM-A40_0135</v>
      </c>
      <c r="AF292" s="1" t="str">
        <f ca="1"/>
        <v>LIM</v>
      </c>
      <c r="AG292" s="1" t="str">
        <f ca="1"/>
        <v>LS_09</v>
      </c>
      <c r="AH292" s="1" t="str">
        <f ca="1"/>
        <v>L9_26</v>
      </c>
      <c r="AI292" s="1" t="str">
        <f ca="1"/>
        <v>002 / 085</v>
      </c>
      <c r="AJ292" s="3" t="str">
        <f ca="1"/>
        <v>Yes</v>
      </c>
      <c r="AK292" s="1" t="str">
        <f ca="1"/>
        <v/>
      </c>
      <c r="AL292" s="105" t="str">
        <f ca="1"/>
        <v/>
      </c>
    </row>
    <row r="293" spans="30:38" x14ac:dyDescent="0.25">
      <c r="AD293" s="1" t="str">
        <f ca="1"/>
        <v>46211/D|BR1/03</v>
      </c>
      <c r="AE293" s="1" t="str">
        <f ca="1"/>
        <v>STM-A40_0103</v>
      </c>
      <c r="AF293" s="1" t="str">
        <f ca="1"/>
        <v>LIM</v>
      </c>
      <c r="AG293" s="1" t="str">
        <f ca="1"/>
        <v>LS_09</v>
      </c>
      <c r="AH293" s="1" t="str">
        <f ca="1"/>
        <v>L9_26</v>
      </c>
      <c r="AI293" s="1" t="str">
        <f ca="1"/>
        <v>002 / 086</v>
      </c>
      <c r="AJ293" s="3" t="str">
        <f ca="1"/>
        <v>No</v>
      </c>
      <c r="AK293" s="1" t="str">
        <f ca="1"/>
        <v/>
      </c>
      <c r="AL293" s="105" t="str">
        <f ca="1"/>
        <v/>
      </c>
    </row>
    <row r="294" spans="30:38" x14ac:dyDescent="0.25">
      <c r="AD294" s="1" t="str">
        <f ca="1"/>
        <v>46211/D|BR1/03</v>
      </c>
      <c r="AE294" s="1" t="str">
        <f ca="1"/>
        <v>STM-A40_0131</v>
      </c>
      <c r="AF294" s="1" t="str">
        <f ca="1"/>
        <v>LIM</v>
      </c>
      <c r="AG294" s="1" t="str">
        <f ca="1"/>
        <v>LS_09</v>
      </c>
      <c r="AH294" s="1" t="str">
        <f ca="1"/>
        <v>L9_26</v>
      </c>
      <c r="AI294" s="1" t="str">
        <f ca="1"/>
        <v>002 / 087</v>
      </c>
      <c r="AJ294" s="3" t="str">
        <f ca="1"/>
        <v>No</v>
      </c>
      <c r="AK294" s="1" t="str">
        <f ca="1"/>
        <v/>
      </c>
      <c r="AL294" s="105" t="str">
        <f ca="1"/>
        <v/>
      </c>
    </row>
    <row r="295" spans="30:38" x14ac:dyDescent="0.25">
      <c r="AD295" s="1" t="str">
        <f ca="1"/>
        <v>46211/D|BR1/03</v>
      </c>
      <c r="AE295" s="1" t="str">
        <f ca="1"/>
        <v>STM-A40_0096</v>
      </c>
      <c r="AF295" s="1" t="str">
        <f ca="1"/>
        <v>LIM</v>
      </c>
      <c r="AG295" s="1" t="str">
        <f ca="1"/>
        <v>LS_09</v>
      </c>
      <c r="AH295" s="1" t="str">
        <f ca="1"/>
        <v>L9_26</v>
      </c>
      <c r="AI295" s="1" t="str">
        <f ca="1"/>
        <v>002 / 088</v>
      </c>
      <c r="AJ295" s="3" t="str">
        <f ca="1"/>
        <v>No</v>
      </c>
      <c r="AK295" s="1" t="str">
        <f ca="1"/>
        <v/>
      </c>
      <c r="AL295" s="105" t="str">
        <f ca="1"/>
        <v/>
      </c>
    </row>
    <row r="296" spans="30:38" x14ac:dyDescent="0.25">
      <c r="AD296" s="1" t="str">
        <f ca="1"/>
        <v>46211/D|BR1/03</v>
      </c>
      <c r="AE296" s="1" t="str">
        <f ca="1"/>
        <v>STM-A40_0097</v>
      </c>
      <c r="AF296" s="1" t="str">
        <f ca="1"/>
        <v>LIM</v>
      </c>
      <c r="AG296" s="1" t="str">
        <f ca="1"/>
        <v>LS_09</v>
      </c>
      <c r="AH296" s="1" t="str">
        <f ca="1"/>
        <v>L9_26</v>
      </c>
      <c r="AI296" s="1" t="str">
        <f ca="1"/>
        <v>002 / 089</v>
      </c>
      <c r="AJ296" s="3" t="str">
        <f ca="1"/>
        <v>No</v>
      </c>
      <c r="AK296" s="1" t="str">
        <f ca="1"/>
        <v/>
      </c>
      <c r="AL296" s="105" t="str">
        <f ca="1"/>
        <v/>
      </c>
    </row>
    <row r="297" spans="30:38" x14ac:dyDescent="0.25">
      <c r="AD297" s="1" t="str">
        <f ca="1"/>
        <v>46211/D|BR1/03</v>
      </c>
      <c r="AE297" s="1" t="str">
        <f ca="1"/>
        <v>STM-A40_0135</v>
      </c>
      <c r="AF297" s="1" t="str">
        <f ca="1"/>
        <v>LIM</v>
      </c>
      <c r="AG297" s="1" t="str">
        <f ca="1"/>
        <v>LS_09</v>
      </c>
      <c r="AH297" s="1" t="str">
        <f ca="1"/>
        <v>L9_26</v>
      </c>
      <c r="AI297" s="1" t="str">
        <f ca="1"/>
        <v>002 / 090</v>
      </c>
      <c r="AJ297" s="3" t="str">
        <f ca="1"/>
        <v>Yes</v>
      </c>
      <c r="AK297" s="1" t="str">
        <f ca="1"/>
        <v/>
      </c>
      <c r="AL297" s="105" t="str">
        <f ca="1"/>
        <v/>
      </c>
    </row>
    <row r="298" spans="30:38" x14ac:dyDescent="0.25">
      <c r="AD298" s="1" t="str">
        <f ca="1"/>
        <v>46211/D|BR1/03</v>
      </c>
      <c r="AE298" s="1" t="str">
        <f ca="1"/>
        <v>STM-A40_0131</v>
      </c>
      <c r="AF298" s="1" t="str">
        <f ca="1"/>
        <v>LIM</v>
      </c>
      <c r="AG298" s="1" t="str">
        <f ca="1"/>
        <v>LS_09</v>
      </c>
      <c r="AH298" s="1" t="str">
        <f ca="1"/>
        <v>L9_26</v>
      </c>
      <c r="AI298" s="1" t="str">
        <f ca="1"/>
        <v>002 / 091</v>
      </c>
      <c r="AJ298" s="3" t="str">
        <f ca="1"/>
        <v>No</v>
      </c>
      <c r="AK298" s="1" t="str">
        <f ca="1"/>
        <v/>
      </c>
      <c r="AL298" s="105" t="str">
        <f ca="1"/>
        <v/>
      </c>
    </row>
    <row r="299" spans="30:38" x14ac:dyDescent="0.25">
      <c r="AD299" s="1" t="str">
        <f ca="1"/>
        <v>46211/D|BR1/03</v>
      </c>
      <c r="AE299" s="1" t="str">
        <f ca="1"/>
        <v>STM-A40_0103</v>
      </c>
      <c r="AF299" s="1" t="str">
        <f ca="1"/>
        <v>LIM</v>
      </c>
      <c r="AG299" s="1" t="str">
        <f ca="1"/>
        <v>LS_09</v>
      </c>
      <c r="AH299" s="1" t="str">
        <f ca="1"/>
        <v>L9_26</v>
      </c>
      <c r="AI299" s="1" t="str">
        <f ca="1"/>
        <v>002 / 092</v>
      </c>
      <c r="AJ299" s="3" t="str">
        <f ca="1"/>
        <v>No</v>
      </c>
      <c r="AK299" s="1" t="str">
        <f ca="1"/>
        <v/>
      </c>
      <c r="AL299" s="105" t="str">
        <f ca="1"/>
        <v/>
      </c>
    </row>
    <row r="300" spans="30:38" x14ac:dyDescent="0.25">
      <c r="AD300" s="1" t="str">
        <f ca="1"/>
        <v>46211/D|BR1/03</v>
      </c>
      <c r="AE300" s="1" t="str">
        <f ca="1"/>
        <v>STM-A40_2010</v>
      </c>
      <c r="AF300" s="1" t="str">
        <f ca="1"/>
        <v>LIM</v>
      </c>
      <c r="AG300" s="1" t="str">
        <f ca="1"/>
        <v>LS_09</v>
      </c>
      <c r="AH300" s="1" t="str">
        <f ca="1"/>
        <v>L9_26</v>
      </c>
      <c r="AI300" s="1" t="str">
        <f ca="1"/>
        <v>002 / 093</v>
      </c>
      <c r="AJ300" s="3" t="str">
        <f ca="1"/>
        <v>No</v>
      </c>
      <c r="AK300" s="1" t="str">
        <f ca="1"/>
        <v/>
      </c>
      <c r="AL300" s="105" t="str">
        <f ca="1"/>
        <v/>
      </c>
    </row>
    <row r="301" spans="30:38" x14ac:dyDescent="0.25">
      <c r="AD301" s="1" t="str">
        <f ca="1"/>
        <v>46211/D|BR1/03</v>
      </c>
      <c r="AE301" s="1" t="str">
        <f ca="1"/>
        <v>STM-A40_0135</v>
      </c>
      <c r="AF301" s="1" t="str">
        <f ca="1"/>
        <v>LIM</v>
      </c>
      <c r="AG301" s="1" t="str">
        <f ca="1"/>
        <v>LS_09</v>
      </c>
      <c r="AH301" s="1" t="str">
        <f ca="1"/>
        <v>L9_26</v>
      </c>
      <c r="AI301" s="1" t="str">
        <f ca="1"/>
        <v>002 / 094</v>
      </c>
      <c r="AJ301" s="3" t="str">
        <f ca="1"/>
        <v>No</v>
      </c>
      <c r="AK301" s="1" t="str">
        <f ca="1"/>
        <v/>
      </c>
      <c r="AL301" s="105" t="str">
        <f ca="1"/>
        <v/>
      </c>
    </row>
    <row r="302" spans="30:38" x14ac:dyDescent="0.25">
      <c r="AD302" s="1" t="str">
        <f ca="1"/>
        <v>46211/D|BR1/03</v>
      </c>
      <c r="AE302" s="1" t="str">
        <f ca="1"/>
        <v>STM-A40_0096</v>
      </c>
      <c r="AF302" s="1" t="str">
        <f ca="1"/>
        <v>LIM</v>
      </c>
      <c r="AG302" s="1" t="str">
        <f ca="1"/>
        <v>LS_09</v>
      </c>
      <c r="AH302" s="1" t="str">
        <f ca="1"/>
        <v>L9_26</v>
      </c>
      <c r="AI302" s="1" t="str">
        <f ca="1"/>
        <v>002 / 095</v>
      </c>
      <c r="AJ302" s="3" t="str">
        <f ca="1"/>
        <v>Yes</v>
      </c>
      <c r="AK302" s="1" t="str">
        <f ca="1"/>
        <v/>
      </c>
      <c r="AL302" s="105" t="str">
        <f ca="1"/>
        <v/>
      </c>
    </row>
    <row r="303" spans="30:38" x14ac:dyDescent="0.25">
      <c r="AD303" s="1" t="str">
        <f ca="1"/>
        <v>46211/D|BR1/03</v>
      </c>
      <c r="AE303" s="1" t="str">
        <f ca="1"/>
        <v>STM-A40_0097</v>
      </c>
      <c r="AF303" s="1" t="str">
        <f ca="1"/>
        <v>LIM</v>
      </c>
      <c r="AG303" s="1" t="str">
        <f ca="1"/>
        <v>LS_09</v>
      </c>
      <c r="AH303" s="1" t="str">
        <f ca="1"/>
        <v>L9_26</v>
      </c>
      <c r="AI303" s="1" t="str">
        <f ca="1"/>
        <v>002 / 096</v>
      </c>
      <c r="AJ303" s="3" t="str">
        <f ca="1"/>
        <v>No</v>
      </c>
      <c r="AK303" s="1" t="str">
        <f ca="1"/>
        <v/>
      </c>
      <c r="AL303" s="105" t="str">
        <f ca="1"/>
        <v/>
      </c>
    </row>
    <row r="304" spans="30:38" x14ac:dyDescent="0.25">
      <c r="AD304" s="1" t="str">
        <f ca="1"/>
        <v>46211/D|BR1/03</v>
      </c>
      <c r="AE304" s="1" t="str">
        <f ca="1"/>
        <v>STM-A40_2010</v>
      </c>
      <c r="AF304" s="1" t="str">
        <f ca="1"/>
        <v>LIM</v>
      </c>
      <c r="AG304" s="1" t="str">
        <f ca="1"/>
        <v>LS_09</v>
      </c>
      <c r="AH304" s="1" t="str">
        <f ca="1"/>
        <v>L9_26</v>
      </c>
      <c r="AI304" s="1" t="str">
        <f ca="1"/>
        <v>002 / 097</v>
      </c>
      <c r="AJ304" s="3" t="str">
        <f ca="1"/>
        <v>No</v>
      </c>
      <c r="AK304" s="1" t="str">
        <f ca="1"/>
        <v/>
      </c>
      <c r="AL304" s="105" t="str">
        <f ca="1"/>
        <v/>
      </c>
    </row>
    <row r="305" spans="30:38" x14ac:dyDescent="0.25">
      <c r="AD305" s="1" t="str">
        <f ca="1"/>
        <v>46211/D|BR1/03</v>
      </c>
      <c r="AE305" s="1" t="str">
        <f ca="1"/>
        <v>STM-A40_0103</v>
      </c>
      <c r="AF305" s="1" t="str">
        <f ca="1"/>
        <v>LIM</v>
      </c>
      <c r="AG305" s="1" t="str">
        <f ca="1"/>
        <v>LS_09</v>
      </c>
      <c r="AH305" s="1" t="str">
        <f ca="1"/>
        <v>L9_26</v>
      </c>
      <c r="AI305" s="1" t="str">
        <f ca="1"/>
        <v>002 / 098</v>
      </c>
      <c r="AJ305" s="3" t="str">
        <f ca="1"/>
        <v>No</v>
      </c>
      <c r="AK305" s="1" t="str">
        <f ca="1"/>
        <v/>
      </c>
      <c r="AL305" s="105" t="str">
        <f ca="1"/>
        <v/>
      </c>
    </row>
    <row r="306" spans="30:38" x14ac:dyDescent="0.25">
      <c r="AD306" s="1" t="str">
        <f ca="1"/>
        <v>46211/D|BR1/03</v>
      </c>
      <c r="AE306" s="1" t="str">
        <f ca="1"/>
        <v>STM-A40_0131</v>
      </c>
      <c r="AF306" s="1" t="str">
        <f ca="1"/>
        <v>LIM</v>
      </c>
      <c r="AG306" s="1" t="str">
        <f ca="1"/>
        <v>LS_09</v>
      </c>
      <c r="AH306" s="1" t="str">
        <f ca="1"/>
        <v>L9_26</v>
      </c>
      <c r="AI306" s="1" t="str">
        <f ca="1"/>
        <v>002 / 099</v>
      </c>
      <c r="AJ306" s="3" t="str">
        <f ca="1"/>
        <v>No</v>
      </c>
      <c r="AK306" s="1" t="str">
        <f ca="1"/>
        <v/>
      </c>
      <c r="AL306" s="105" t="str">
        <f ca="1"/>
        <v/>
      </c>
    </row>
    <row r="307" spans="30:38" x14ac:dyDescent="0.25">
      <c r="AD307" s="1" t="str">
        <f ca="1"/>
        <v>46211/D|BR1/03</v>
      </c>
      <c r="AE307" s="1" t="str">
        <f ca="1"/>
        <v>STM-A40_0097</v>
      </c>
      <c r="AF307" s="1" t="str">
        <f ca="1"/>
        <v>LIM</v>
      </c>
      <c r="AG307" s="1" t="str">
        <f ca="1"/>
        <v>LS_09</v>
      </c>
      <c r="AH307" s="1" t="str">
        <f ca="1"/>
        <v>L9_26</v>
      </c>
      <c r="AI307" s="1" t="str">
        <f ca="1"/>
        <v>002 / 100</v>
      </c>
      <c r="AJ307" s="3" t="str">
        <f ca="1"/>
        <v>Yes</v>
      </c>
      <c r="AK307" s="1" t="str">
        <f ca="1"/>
        <v/>
      </c>
      <c r="AL307" s="105" t="str">
        <f ca="1"/>
        <v/>
      </c>
    </row>
    <row r="308" spans="30:38" x14ac:dyDescent="0.25">
      <c r="AD308" s="1" t="str">
        <f ca="1"/>
        <v>46211/D|BR1/03</v>
      </c>
      <c r="AE308" s="1" t="str">
        <f ca="1"/>
        <v>STM-A40_0131</v>
      </c>
      <c r="AF308" s="1" t="str">
        <f ca="1"/>
        <v>LIM</v>
      </c>
      <c r="AG308" s="1" t="str">
        <f ca="1"/>
        <v>LS_09</v>
      </c>
      <c r="AH308" s="1" t="str">
        <f ca="1"/>
        <v>L9_26</v>
      </c>
      <c r="AI308" s="1" t="str">
        <f ca="1"/>
        <v>003 / 001</v>
      </c>
      <c r="AJ308" s="3" t="str">
        <f ca="1"/>
        <v>No</v>
      </c>
      <c r="AK308" s="1" t="str">
        <f ca="1"/>
        <v/>
      </c>
      <c r="AL308" s="105" t="str">
        <f ca="1"/>
        <v/>
      </c>
    </row>
    <row r="309" spans="30:38" x14ac:dyDescent="0.25">
      <c r="AD309" s="1" t="str">
        <f ca="1"/>
        <v>46211/D|BR1/03</v>
      </c>
      <c r="AE309" s="1" t="str">
        <f ca="1"/>
        <v>STM-A40_0135</v>
      </c>
      <c r="AF309" s="1" t="str">
        <f ca="1"/>
        <v>LIM</v>
      </c>
      <c r="AG309" s="1" t="str">
        <f ca="1"/>
        <v>LS_09</v>
      </c>
      <c r="AH309" s="1" t="str">
        <f ca="1"/>
        <v>L9_26</v>
      </c>
      <c r="AI309" s="1" t="str">
        <f ca="1"/>
        <v>003 / 002</v>
      </c>
      <c r="AJ309" s="3" t="str">
        <f ca="1"/>
        <v>No</v>
      </c>
      <c r="AK309" s="1" t="str">
        <f ca="1"/>
        <v/>
      </c>
      <c r="AL309" s="105" t="str">
        <f ca="1"/>
        <v/>
      </c>
    </row>
    <row r="310" spans="30:38" x14ac:dyDescent="0.25">
      <c r="AD310" s="1" t="str">
        <f ca="1"/>
        <v>46211/D|BR1/03</v>
      </c>
      <c r="AE310" s="1" t="str">
        <f ca="1"/>
        <v>STM-A40_0096</v>
      </c>
      <c r="AF310" s="1" t="str">
        <f ca="1"/>
        <v>LIM</v>
      </c>
      <c r="AG310" s="1" t="str">
        <f ca="1"/>
        <v>LS_09</v>
      </c>
      <c r="AH310" s="1" t="str">
        <f ca="1"/>
        <v>L9_26</v>
      </c>
      <c r="AI310" s="1" t="str">
        <f ca="1"/>
        <v>003 / 003</v>
      </c>
      <c r="AJ310" s="3" t="str">
        <f ca="1"/>
        <v>No</v>
      </c>
      <c r="AK310" s="1" t="str">
        <f ca="1"/>
        <v/>
      </c>
      <c r="AL310" s="105" t="str">
        <f ca="1"/>
        <v/>
      </c>
    </row>
    <row r="311" spans="30:38" x14ac:dyDescent="0.25">
      <c r="AD311" s="1" t="str">
        <f ca="1"/>
        <v>46211/D|BR1/03</v>
      </c>
      <c r="AE311" s="1" t="str">
        <f ca="1"/>
        <v>STM-A40_0096</v>
      </c>
      <c r="AF311" s="1" t="str">
        <f ca="1"/>
        <v>LIM</v>
      </c>
      <c r="AG311" s="1" t="str">
        <f ca="1"/>
        <v>LS_09</v>
      </c>
      <c r="AH311" s="1" t="str">
        <f ca="1"/>
        <v>L9_26</v>
      </c>
      <c r="AI311" s="1" t="str">
        <f ca="1"/>
        <v>003 / 004</v>
      </c>
      <c r="AJ311" s="3" t="str">
        <f ca="1"/>
        <v>No</v>
      </c>
      <c r="AK311" s="1" t="str">
        <f ca="1"/>
        <v/>
      </c>
      <c r="AL311" s="105" t="str">
        <f ca="1"/>
        <v/>
      </c>
    </row>
    <row r="312" spans="30:38" x14ac:dyDescent="0.25">
      <c r="AD312" s="1" t="str">
        <f ca="1"/>
        <v>46211/D|BR1/03</v>
      </c>
      <c r="AE312" s="1" t="str">
        <f ca="1"/>
        <v>STM-A40_0103</v>
      </c>
      <c r="AF312" s="1" t="str">
        <f ca="1"/>
        <v>LIM</v>
      </c>
      <c r="AG312" s="1" t="str">
        <f ca="1"/>
        <v>LS_09</v>
      </c>
      <c r="AH312" s="1" t="str">
        <f ca="1"/>
        <v>L9_26</v>
      </c>
      <c r="AI312" s="1" t="str">
        <f ca="1"/>
        <v>003 / 005</v>
      </c>
      <c r="AJ312" s="3" t="str">
        <f ca="1"/>
        <v>Yes</v>
      </c>
      <c r="AK312" s="1" t="str">
        <f ca="1"/>
        <v/>
      </c>
      <c r="AL312" s="105" t="str">
        <f ca="1"/>
        <v/>
      </c>
    </row>
    <row r="313" spans="30:38" x14ac:dyDescent="0.25">
      <c r="AD313" s="1" t="str">
        <f ca="1"/>
        <v>46211/D|BR1/03</v>
      </c>
      <c r="AE313" s="1" t="str">
        <f ca="1"/>
        <v>STM-A40_2010</v>
      </c>
      <c r="AF313" s="1" t="str">
        <f ca="1"/>
        <v>LIM</v>
      </c>
      <c r="AG313" s="1" t="str">
        <f ca="1"/>
        <v>LS_09</v>
      </c>
      <c r="AH313" s="1" t="str">
        <f ca="1"/>
        <v>L9_26</v>
      </c>
      <c r="AI313" s="1" t="str">
        <f ca="1"/>
        <v>003 / 006</v>
      </c>
      <c r="AJ313" s="3" t="str">
        <f ca="1"/>
        <v>No</v>
      </c>
      <c r="AK313" s="1" t="str">
        <f ca="1"/>
        <v/>
      </c>
      <c r="AL313" s="105" t="str">
        <f ca="1"/>
        <v/>
      </c>
    </row>
    <row r="314" spans="30:38" x14ac:dyDescent="0.25">
      <c r="AD314" s="1" t="str">
        <f ca="1"/>
        <v>46211/D|BR1/03</v>
      </c>
      <c r="AE314" s="1" t="str">
        <f ca="1"/>
        <v>STM-A40_0131</v>
      </c>
      <c r="AF314" s="1" t="str">
        <f ca="1"/>
        <v>LIM</v>
      </c>
      <c r="AG314" s="1" t="str">
        <f ca="1"/>
        <v>LS_09</v>
      </c>
      <c r="AH314" s="1" t="str">
        <f ca="1"/>
        <v>L9_26</v>
      </c>
      <c r="AI314" s="1" t="str">
        <f ca="1"/>
        <v>003 / 007</v>
      </c>
      <c r="AJ314" s="3" t="str">
        <f ca="1"/>
        <v>No</v>
      </c>
      <c r="AK314" s="1" t="str">
        <f ca="1"/>
        <v/>
      </c>
      <c r="AL314" s="105" t="str">
        <f ca="1"/>
        <v/>
      </c>
    </row>
    <row r="315" spans="30:38" x14ac:dyDescent="0.25">
      <c r="AD315" s="1" t="str">
        <f ca="1"/>
        <v>46211/D|BR1/03</v>
      </c>
      <c r="AE315" s="1" t="str">
        <f ca="1"/>
        <v>STM-A40_0135</v>
      </c>
      <c r="AF315" s="1" t="str">
        <f ca="1"/>
        <v>LIM</v>
      </c>
      <c r="AG315" s="1" t="str">
        <f ca="1"/>
        <v>LS_09</v>
      </c>
      <c r="AH315" s="1" t="str">
        <f ca="1"/>
        <v>L9_26</v>
      </c>
      <c r="AI315" s="1" t="str">
        <f ca="1"/>
        <v>003 / 008</v>
      </c>
      <c r="AJ315" s="3" t="str">
        <f ca="1"/>
        <v>No</v>
      </c>
      <c r="AK315" s="1" t="str">
        <f ca="1"/>
        <v/>
      </c>
      <c r="AL315" s="105" t="str">
        <f ca="1"/>
        <v/>
      </c>
    </row>
    <row r="316" spans="30:38" x14ac:dyDescent="0.25">
      <c r="AD316" s="1" t="str">
        <f ca="1"/>
        <v>46211/D|BR1/03</v>
      </c>
      <c r="AE316" s="1" t="str">
        <f ca="1"/>
        <v>STM-A40_0103</v>
      </c>
      <c r="AF316" s="1" t="str">
        <f ca="1"/>
        <v>LIM</v>
      </c>
      <c r="AG316" s="1" t="str">
        <f ca="1"/>
        <v>LS_09</v>
      </c>
      <c r="AH316" s="1" t="str">
        <f ca="1"/>
        <v>L9_26</v>
      </c>
      <c r="AI316" s="1" t="str">
        <f ca="1"/>
        <v>003 / 009</v>
      </c>
      <c r="AJ316" s="3" t="str">
        <f ca="1"/>
        <v>No</v>
      </c>
      <c r="AK316" s="1" t="str">
        <f ca="1"/>
        <v/>
      </c>
      <c r="AL316" s="105" t="str">
        <f ca="1"/>
        <v/>
      </c>
    </row>
    <row r="317" spans="30:38" x14ac:dyDescent="0.25">
      <c r="AD317" s="1" t="str">
        <f ca="1"/>
        <v>46211/D|BR1/03</v>
      </c>
      <c r="AE317" s="1" t="str">
        <f ca="1"/>
        <v>STM-A40_0135</v>
      </c>
      <c r="AF317" s="1" t="str">
        <f ca="1"/>
        <v>LIM</v>
      </c>
      <c r="AG317" s="1" t="str">
        <f ca="1"/>
        <v>LS_09</v>
      </c>
      <c r="AH317" s="1" t="str">
        <f ca="1"/>
        <v>L9_26</v>
      </c>
      <c r="AI317" s="1" t="str">
        <f ca="1"/>
        <v>003 / 010</v>
      </c>
      <c r="AJ317" s="3" t="str">
        <f ca="1"/>
        <v>Yes</v>
      </c>
      <c r="AK317" s="1" t="str">
        <f ca="1"/>
        <v/>
      </c>
      <c r="AL317" s="105" t="str">
        <f ca="1"/>
        <v/>
      </c>
    </row>
    <row r="318" spans="30:38" x14ac:dyDescent="0.25">
      <c r="AD318" s="1" t="str">
        <f ca="1"/>
        <v>46211/D|BR1/03</v>
      </c>
      <c r="AE318" s="1" t="str">
        <f ca="1"/>
        <v>STM-A40_0097</v>
      </c>
      <c r="AF318" s="1" t="str">
        <f ca="1"/>
        <v>LIM</v>
      </c>
      <c r="AG318" s="1" t="str">
        <f ca="1"/>
        <v>LS_09</v>
      </c>
      <c r="AH318" s="1" t="str">
        <f ca="1"/>
        <v>L9_26</v>
      </c>
      <c r="AI318" s="1" t="str">
        <f ca="1"/>
        <v>003 / 011</v>
      </c>
      <c r="AJ318" s="3" t="str">
        <f ca="1"/>
        <v>No</v>
      </c>
      <c r="AK318" s="1" t="str">
        <f ca="1"/>
        <v/>
      </c>
      <c r="AL318" s="105" t="str">
        <f ca="1"/>
        <v/>
      </c>
    </row>
    <row r="319" spans="30:38" x14ac:dyDescent="0.25">
      <c r="AD319" s="1" t="str">
        <f ca="1"/>
        <v>46211/D|BR1/03</v>
      </c>
      <c r="AE319" s="1" t="str">
        <f ca="1"/>
        <v>STM-A40_0096</v>
      </c>
      <c r="AF319" s="1" t="str">
        <f ca="1"/>
        <v>LIM</v>
      </c>
      <c r="AG319" s="1" t="str">
        <f ca="1"/>
        <v>LS_09</v>
      </c>
      <c r="AH319" s="1" t="str">
        <f ca="1"/>
        <v>L9_26</v>
      </c>
      <c r="AI319" s="1" t="str">
        <f ca="1"/>
        <v>003 / 012</v>
      </c>
      <c r="AJ319" s="3" t="str">
        <f ca="1"/>
        <v>No</v>
      </c>
      <c r="AK319" s="1" t="str">
        <f ca="1"/>
        <v/>
      </c>
      <c r="AL319" s="105" t="str">
        <f ca="1"/>
        <v/>
      </c>
    </row>
    <row r="320" spans="30:38" x14ac:dyDescent="0.25">
      <c r="AD320" s="1" t="str">
        <f ca="1"/>
        <v>46211/D|BR1/03</v>
      </c>
      <c r="AE320" s="1" t="str">
        <f ca="1"/>
        <v>STM-A40_0103</v>
      </c>
      <c r="AF320" s="1" t="str">
        <f ca="1"/>
        <v>LIM</v>
      </c>
      <c r="AG320" s="1" t="str">
        <f ca="1"/>
        <v>LS_09</v>
      </c>
      <c r="AH320" s="1" t="str">
        <f ca="1"/>
        <v>L9_26</v>
      </c>
      <c r="AI320" s="1" t="str">
        <f ca="1"/>
        <v>003 / 013</v>
      </c>
      <c r="AJ320" s="3" t="str">
        <f ca="1"/>
        <v>No</v>
      </c>
      <c r="AK320" s="1" t="str">
        <f ca="1"/>
        <v/>
      </c>
      <c r="AL320" s="105" t="str">
        <f ca="1"/>
        <v/>
      </c>
    </row>
    <row r="321" spans="30:38" x14ac:dyDescent="0.25">
      <c r="AD321" s="1" t="str">
        <f ca="1"/>
        <v>46211/D|BR1/03</v>
      </c>
      <c r="AE321" s="1" t="str">
        <f ca="1"/>
        <v>STM-A40_2010</v>
      </c>
      <c r="AF321" s="1" t="str">
        <f ca="1"/>
        <v>LIM</v>
      </c>
      <c r="AG321" s="1" t="str">
        <f ca="1"/>
        <v>LS_09</v>
      </c>
      <c r="AH321" s="1" t="str">
        <f ca="1"/>
        <v>L9_26</v>
      </c>
      <c r="AI321" s="1" t="str">
        <f ca="1"/>
        <v>003 / 014</v>
      </c>
      <c r="AJ321" s="3" t="str">
        <f ca="1"/>
        <v>No</v>
      </c>
      <c r="AK321" s="1" t="str">
        <f ca="1"/>
        <v/>
      </c>
      <c r="AL321" s="105" t="str">
        <f ca="1"/>
        <v/>
      </c>
    </row>
    <row r="322" spans="30:38" x14ac:dyDescent="0.25">
      <c r="AD322" s="1" t="str">
        <f ca="1"/>
        <v>46211/D|BR1/03</v>
      </c>
      <c r="AE322" s="1" t="str">
        <f ca="1"/>
        <v>STM-A40_0131</v>
      </c>
      <c r="AF322" s="1" t="str">
        <f ca="1"/>
        <v>LIM</v>
      </c>
      <c r="AG322" s="1" t="str">
        <f ca="1"/>
        <v>LS_09</v>
      </c>
      <c r="AH322" s="1" t="str">
        <f ca="1"/>
        <v>L9_26</v>
      </c>
      <c r="AI322" s="1" t="str">
        <f ca="1"/>
        <v>003 / 015</v>
      </c>
      <c r="AJ322" s="3" t="str">
        <f ca="1"/>
        <v>Yes</v>
      </c>
      <c r="AK322" s="1" t="str">
        <f ca="1"/>
        <v/>
      </c>
      <c r="AL322" s="105" t="str">
        <f ca="1"/>
        <v/>
      </c>
    </row>
    <row r="323" spans="30:38" x14ac:dyDescent="0.25">
      <c r="AD323" s="1" t="str">
        <f ca="1"/>
        <v>46211/D|BR1/03</v>
      </c>
      <c r="AE323" s="1" t="str">
        <f ca="1"/>
        <v>STM-A40_0095</v>
      </c>
      <c r="AF323" s="1" t="str">
        <f ca="1"/>
        <v>LIM</v>
      </c>
      <c r="AG323" s="1" t="str">
        <f ca="1"/>
        <v>LS_09</v>
      </c>
      <c r="AH323" s="1" t="str">
        <f ca="1"/>
        <v>L9_26</v>
      </c>
      <c r="AI323" s="1" t="str">
        <f ca="1"/>
        <v>003 / 016</v>
      </c>
      <c r="AJ323" s="3" t="str">
        <f ca="1"/>
        <v>No</v>
      </c>
      <c r="AK323" s="1" t="str">
        <f ca="1"/>
        <v/>
      </c>
      <c r="AL323" s="105" t="str">
        <f ca="1"/>
        <v/>
      </c>
    </row>
    <row r="324" spans="30:38" x14ac:dyDescent="0.25">
      <c r="AD324" s="1" t="str">
        <f ca="1"/>
        <v>46211/D|BR1/03</v>
      </c>
      <c r="AE324" s="1" t="str">
        <f ca="1"/>
        <v>STM-A40_0103</v>
      </c>
      <c r="AF324" s="1" t="str">
        <f ca="1"/>
        <v>LIM</v>
      </c>
      <c r="AG324" s="1" t="str">
        <f ca="1"/>
        <v>LS_09</v>
      </c>
      <c r="AH324" s="1" t="str">
        <f ca="1"/>
        <v>L9_26</v>
      </c>
      <c r="AI324" s="1" t="str">
        <f ca="1"/>
        <v>003 / 017</v>
      </c>
      <c r="AJ324" s="3" t="str">
        <f ca="1"/>
        <v>No</v>
      </c>
      <c r="AK324" s="1" t="str">
        <f ca="1"/>
        <v/>
      </c>
      <c r="AL324" s="105" t="str">
        <f ca="1"/>
        <v/>
      </c>
    </row>
    <row r="325" spans="30:38" x14ac:dyDescent="0.25">
      <c r="AD325" s="1" t="str">
        <f ca="1"/>
        <v>46211/D|BR1/03</v>
      </c>
      <c r="AE325" s="1" t="str">
        <f ca="1"/>
        <v>STM-A40_0096</v>
      </c>
      <c r="AF325" s="1" t="str">
        <f ca="1"/>
        <v>LIM</v>
      </c>
      <c r="AG325" s="1" t="str">
        <f ca="1"/>
        <v>LS_09</v>
      </c>
      <c r="AH325" s="1" t="str">
        <f ca="1"/>
        <v>L9_26</v>
      </c>
      <c r="AI325" s="1" t="str">
        <f ca="1"/>
        <v>003 / 018</v>
      </c>
      <c r="AJ325" s="3" t="str">
        <f ca="1"/>
        <v>No</v>
      </c>
      <c r="AK325" s="1" t="str">
        <f ca="1"/>
        <v/>
      </c>
      <c r="AL325" s="105" t="str">
        <f ca="1"/>
        <v/>
      </c>
    </row>
    <row r="326" spans="30:38" x14ac:dyDescent="0.25">
      <c r="AD326" s="1" t="str">
        <f ca="1"/>
        <v>46211/D|BR1/03</v>
      </c>
      <c r="AE326" s="1" t="str">
        <f ca="1"/>
        <v>STM-A40_2010</v>
      </c>
      <c r="AF326" s="1" t="str">
        <f ca="1"/>
        <v>LIM</v>
      </c>
      <c r="AG326" s="1" t="str">
        <f ca="1"/>
        <v>LS_09</v>
      </c>
      <c r="AH326" s="1" t="str">
        <f ca="1"/>
        <v>L9_26</v>
      </c>
      <c r="AI326" s="1" t="str">
        <f ca="1"/>
        <v>003 / 019</v>
      </c>
      <c r="AJ326" s="3" t="str">
        <f ca="1"/>
        <v>No</v>
      </c>
      <c r="AK326" s="1" t="str">
        <f ca="1"/>
        <v/>
      </c>
      <c r="AL326" s="105" t="str">
        <f ca="1"/>
        <v/>
      </c>
    </row>
    <row r="327" spans="30:38" x14ac:dyDescent="0.25">
      <c r="AD327" s="1" t="str">
        <f ca="1"/>
        <v>46211/D|BR1/03</v>
      </c>
      <c r="AE327" s="1" t="str">
        <f ca="1"/>
        <v>STM-A40_0131</v>
      </c>
      <c r="AF327" s="1" t="str">
        <f ca="1"/>
        <v>LIM</v>
      </c>
      <c r="AG327" s="1" t="str">
        <f ca="1"/>
        <v>LS_09</v>
      </c>
      <c r="AH327" s="1" t="str">
        <f ca="1"/>
        <v>L9_26</v>
      </c>
      <c r="AI327" s="1" t="str">
        <f ca="1"/>
        <v>003 / 020</v>
      </c>
      <c r="AJ327" s="3" t="str">
        <f ca="1"/>
        <v>Yes</v>
      </c>
      <c r="AK327" s="1" t="str">
        <f ca="1"/>
        <v/>
      </c>
      <c r="AL327" s="105" t="str">
        <f ca="1"/>
        <v/>
      </c>
    </row>
    <row r="328" spans="30:38" x14ac:dyDescent="0.25">
      <c r="AD328" s="1" t="str">
        <f ca="1"/>
        <v>46211/D|BR1/03</v>
      </c>
      <c r="AE328" s="1" t="str">
        <f ca="1"/>
        <v>STM-A40_0097</v>
      </c>
      <c r="AF328" s="1" t="str">
        <f ca="1"/>
        <v>LIM</v>
      </c>
      <c r="AG328" s="1" t="str">
        <f ca="1"/>
        <v>LS_09</v>
      </c>
      <c r="AH328" s="1" t="str">
        <f ca="1"/>
        <v>L9_26</v>
      </c>
      <c r="AI328" s="1" t="str">
        <f ca="1"/>
        <v>003 / 021</v>
      </c>
      <c r="AJ328" s="3" t="str">
        <f ca="1"/>
        <v>No</v>
      </c>
      <c r="AK328" s="1" t="str">
        <f ca="1"/>
        <v/>
      </c>
      <c r="AL328" s="105" t="str">
        <f ca="1"/>
        <v/>
      </c>
    </row>
    <row r="329" spans="30:38" x14ac:dyDescent="0.25">
      <c r="AD329" s="1" t="str">
        <f ca="1"/>
        <v>46211/D|BR1/03</v>
      </c>
      <c r="AE329" s="1" t="str">
        <f ca="1"/>
        <v>STM-A40_0103</v>
      </c>
      <c r="AF329" s="1" t="str">
        <f ca="1"/>
        <v>LIM</v>
      </c>
      <c r="AG329" s="1" t="str">
        <f ca="1"/>
        <v>LS_09</v>
      </c>
      <c r="AH329" s="1" t="str">
        <f ca="1"/>
        <v>L9_26</v>
      </c>
      <c r="AI329" s="1" t="str">
        <f ca="1"/>
        <v>003 / 022</v>
      </c>
      <c r="AJ329" s="3" t="str">
        <f ca="1"/>
        <v>No</v>
      </c>
      <c r="AK329" s="1" t="str">
        <f ca="1"/>
        <v/>
      </c>
      <c r="AL329" s="105" t="str">
        <f ca="1"/>
        <v/>
      </c>
    </row>
    <row r="330" spans="30:38" x14ac:dyDescent="0.25">
      <c r="AD330" s="1" t="str">
        <f ca="1"/>
        <v>46211/D|BR1/03</v>
      </c>
      <c r="AE330" s="1" t="str">
        <f ca="1"/>
        <v>STM-A40_0135</v>
      </c>
      <c r="AF330" s="1" t="str">
        <f ca="1"/>
        <v>LIM</v>
      </c>
      <c r="AG330" s="1" t="str">
        <f ca="1"/>
        <v>LS_09</v>
      </c>
      <c r="AH330" s="1" t="str">
        <f ca="1"/>
        <v>L9_26</v>
      </c>
      <c r="AI330" s="1" t="str">
        <f ca="1"/>
        <v>003 / 023</v>
      </c>
      <c r="AJ330" s="3" t="str">
        <f ca="1"/>
        <v>No</v>
      </c>
      <c r="AK330" s="1" t="str">
        <f ca="1"/>
        <v/>
      </c>
      <c r="AL330" s="105" t="str">
        <f ca="1"/>
        <v/>
      </c>
    </row>
    <row r="331" spans="30:38" x14ac:dyDescent="0.25">
      <c r="AD331" s="1" t="str">
        <f ca="1"/>
        <v>46211/D|BR1/03</v>
      </c>
      <c r="AE331" s="1" t="str">
        <f ca="1"/>
        <v>STM-A40_0131</v>
      </c>
      <c r="AF331" s="1" t="str">
        <f ca="1"/>
        <v>LIM</v>
      </c>
      <c r="AG331" s="1" t="str">
        <f ca="1"/>
        <v>LS_09</v>
      </c>
      <c r="AH331" s="1" t="str">
        <f ca="1"/>
        <v>L9_26</v>
      </c>
      <c r="AI331" s="1" t="str">
        <f ca="1"/>
        <v>003 / 024</v>
      </c>
      <c r="AJ331" s="3" t="str">
        <f ca="1"/>
        <v>No</v>
      </c>
      <c r="AK331" s="1" t="str">
        <f ca="1"/>
        <v/>
      </c>
      <c r="AL331" s="105" t="str">
        <f ca="1"/>
        <v/>
      </c>
    </row>
    <row r="332" spans="30:38" x14ac:dyDescent="0.25">
      <c r="AD332" s="1" t="str">
        <f ca="1"/>
        <v>46211/D|BR1/03</v>
      </c>
      <c r="AE332" s="1" t="str">
        <f ca="1"/>
        <v>STM-A40_2010</v>
      </c>
      <c r="AF332" s="1" t="str">
        <f ca="1"/>
        <v>LIM</v>
      </c>
      <c r="AG332" s="1" t="str">
        <f ca="1"/>
        <v>LS_09</v>
      </c>
      <c r="AH332" s="1" t="str">
        <f ca="1"/>
        <v>L9_26</v>
      </c>
      <c r="AI332" s="1" t="str">
        <f ca="1"/>
        <v>003 / 025</v>
      </c>
      <c r="AJ332" s="3" t="str">
        <f ca="1"/>
        <v>Yes</v>
      </c>
      <c r="AK332" s="1" t="str">
        <f ca="1"/>
        <v/>
      </c>
      <c r="AL332" s="105" t="str">
        <f ca="1"/>
        <v/>
      </c>
    </row>
    <row r="333" spans="30:38" x14ac:dyDescent="0.25">
      <c r="AD333" s="1" t="str">
        <f ca="1"/>
        <v>46211/D|BR1/03</v>
      </c>
      <c r="AE333" s="1" t="str">
        <f ca="1"/>
        <v>STM-A40_0097</v>
      </c>
      <c r="AF333" s="1" t="str">
        <f ca="1"/>
        <v>LIM</v>
      </c>
      <c r="AG333" s="1" t="str">
        <f ca="1"/>
        <v>LS_09</v>
      </c>
      <c r="AH333" s="1" t="str">
        <f ca="1"/>
        <v>L9_26</v>
      </c>
      <c r="AI333" s="1" t="str">
        <f ca="1"/>
        <v>003 / 026</v>
      </c>
      <c r="AJ333" s="3" t="str">
        <f ca="1"/>
        <v>No</v>
      </c>
      <c r="AK333" s="1" t="str">
        <f ca="1"/>
        <v/>
      </c>
      <c r="AL333" s="105" t="str">
        <f ca="1"/>
        <v/>
      </c>
    </row>
    <row r="334" spans="30:38" x14ac:dyDescent="0.25">
      <c r="AD334" s="1" t="str">
        <f ca="1"/>
        <v>46211/D|BR1/03</v>
      </c>
      <c r="AE334" s="1" t="str">
        <f ca="1"/>
        <v>STM-A40_0103</v>
      </c>
      <c r="AF334" s="1" t="str">
        <f ca="1"/>
        <v>LIM</v>
      </c>
      <c r="AG334" s="1" t="str">
        <f ca="1"/>
        <v>LS_09</v>
      </c>
      <c r="AH334" s="1" t="str">
        <f ca="1"/>
        <v>L9_26</v>
      </c>
      <c r="AI334" s="1" t="str">
        <f ca="1"/>
        <v>003 / 027</v>
      </c>
      <c r="AJ334" s="3" t="str">
        <f ca="1"/>
        <v>No</v>
      </c>
      <c r="AK334" s="1" t="str">
        <f ca="1"/>
        <v/>
      </c>
      <c r="AL334" s="105" t="str">
        <f ca="1"/>
        <v/>
      </c>
    </row>
    <row r="335" spans="30:38" x14ac:dyDescent="0.25">
      <c r="AD335" s="1" t="str">
        <f ca="1"/>
        <v>46211/D|BR1/03</v>
      </c>
      <c r="AE335" s="1" t="str">
        <f ca="1"/>
        <v>STM-A40_0135</v>
      </c>
      <c r="AF335" s="1" t="str">
        <f ca="1"/>
        <v>LIM</v>
      </c>
      <c r="AG335" s="1" t="str">
        <f ca="1"/>
        <v>LS_09</v>
      </c>
      <c r="AH335" s="1" t="str">
        <f ca="1"/>
        <v>L9_26</v>
      </c>
      <c r="AI335" s="1" t="str">
        <f ca="1"/>
        <v>003 / 028</v>
      </c>
      <c r="AJ335" s="3" t="str">
        <f ca="1"/>
        <v>No</v>
      </c>
      <c r="AK335" s="1" t="str">
        <f ca="1"/>
        <v/>
      </c>
      <c r="AL335" s="105" t="str">
        <f ca="1"/>
        <v/>
      </c>
    </row>
    <row r="336" spans="30:38" x14ac:dyDescent="0.25">
      <c r="AD336" s="1" t="str">
        <f ca="1"/>
        <v>46211/D|BR1/03</v>
      </c>
      <c r="AE336" s="1" t="str">
        <f ca="1"/>
        <v>STM-A40_0131</v>
      </c>
      <c r="AF336" s="1" t="str">
        <f ca="1"/>
        <v>LIM</v>
      </c>
      <c r="AG336" s="1" t="str">
        <f ca="1"/>
        <v>LS_09</v>
      </c>
      <c r="AH336" s="1" t="str">
        <f ca="1"/>
        <v>L9_26</v>
      </c>
      <c r="AI336" s="1" t="str">
        <f ca="1"/>
        <v>003 / 029</v>
      </c>
      <c r="AJ336" s="3" t="str">
        <f ca="1"/>
        <v>No</v>
      </c>
      <c r="AK336" s="1" t="str">
        <f ca="1"/>
        <v/>
      </c>
      <c r="AL336" s="105" t="str">
        <f ca="1"/>
        <v/>
      </c>
    </row>
    <row r="337" spans="30:38" x14ac:dyDescent="0.25">
      <c r="AD337" s="1" t="str">
        <f ca="1"/>
        <v>46211/D|BR1/03</v>
      </c>
      <c r="AE337" s="1" t="str">
        <f ca="1"/>
        <v>STM-A40_0103</v>
      </c>
      <c r="AF337" s="1" t="str">
        <f ca="1"/>
        <v>LIM</v>
      </c>
      <c r="AG337" s="1" t="str">
        <f ca="1"/>
        <v>LS_09</v>
      </c>
      <c r="AH337" s="1" t="str">
        <f ca="1"/>
        <v>L9_26</v>
      </c>
      <c r="AI337" s="1" t="str">
        <f ca="1"/>
        <v>003 / 030</v>
      </c>
      <c r="AJ337" s="3" t="str">
        <f ca="1"/>
        <v>Yes</v>
      </c>
      <c r="AK337" s="1" t="str">
        <f ca="1"/>
        <v/>
      </c>
      <c r="AL337" s="105" t="str">
        <f ca="1"/>
        <v/>
      </c>
    </row>
    <row r="338" spans="30:38" x14ac:dyDescent="0.25">
      <c r="AD338" s="1" t="str">
        <f ca="1"/>
        <v>46211/D|BR1/03</v>
      </c>
      <c r="AE338" s="1" t="str">
        <f ca="1"/>
        <v>STM-A40_0097</v>
      </c>
      <c r="AF338" s="1" t="str">
        <f ca="1"/>
        <v>LIM</v>
      </c>
      <c r="AG338" s="1" t="str">
        <f ca="1"/>
        <v>LS_09</v>
      </c>
      <c r="AH338" s="1" t="str">
        <f ca="1"/>
        <v>L9_26</v>
      </c>
      <c r="AI338" s="1" t="str">
        <f ca="1"/>
        <v>003 / 031</v>
      </c>
      <c r="AJ338" s="3" t="str">
        <f ca="1"/>
        <v>No</v>
      </c>
      <c r="AK338" s="1" t="str">
        <f ca="1"/>
        <v/>
      </c>
      <c r="AL338" s="105" t="str">
        <f ca="1"/>
        <v/>
      </c>
    </row>
    <row r="339" spans="30:38" x14ac:dyDescent="0.25">
      <c r="AD339" s="1" t="str">
        <f ca="1"/>
        <v>46211/D|BR1/03</v>
      </c>
      <c r="AE339" s="1" t="str">
        <f ca="1"/>
        <v>STM-A40_0135</v>
      </c>
      <c r="AF339" s="1" t="str">
        <f ca="1"/>
        <v>LIM</v>
      </c>
      <c r="AG339" s="1" t="str">
        <f ca="1"/>
        <v>LS_09</v>
      </c>
      <c r="AH339" s="1" t="str">
        <f ca="1"/>
        <v>L9_26</v>
      </c>
      <c r="AI339" s="1" t="str">
        <f ca="1"/>
        <v>003 / 032</v>
      </c>
      <c r="AJ339" s="3" t="str">
        <f ca="1"/>
        <v>No</v>
      </c>
      <c r="AK339" s="1" t="str">
        <f ca="1"/>
        <v/>
      </c>
      <c r="AL339" s="105" t="str">
        <f ca="1"/>
        <v/>
      </c>
    </row>
    <row r="340" spans="30:38" x14ac:dyDescent="0.25">
      <c r="AD340" s="1" t="str">
        <f ca="1"/>
        <v>46211/D|BR1/03</v>
      </c>
      <c r="AE340" s="1" t="str">
        <f ca="1"/>
        <v>STM-A40_2010</v>
      </c>
      <c r="AF340" s="1" t="str">
        <f ca="1"/>
        <v>LIM</v>
      </c>
      <c r="AG340" s="1" t="str">
        <f ca="1"/>
        <v>LS_09</v>
      </c>
      <c r="AH340" s="1" t="str">
        <f ca="1"/>
        <v>L9_26</v>
      </c>
      <c r="AI340" s="1" t="str">
        <f ca="1"/>
        <v>003 / 033</v>
      </c>
      <c r="AJ340" s="3" t="str">
        <f ca="1"/>
        <v>No</v>
      </c>
      <c r="AK340" s="1" t="str">
        <f ca="1"/>
        <v/>
      </c>
      <c r="AL340" s="105" t="str">
        <f ca="1"/>
        <v/>
      </c>
    </row>
    <row r="341" spans="30:38" x14ac:dyDescent="0.25">
      <c r="AD341" s="1" t="str">
        <f ca="1"/>
        <v>46211/D|BR1/03</v>
      </c>
      <c r="AE341" s="1" t="str">
        <f ca="1"/>
        <v>STM-A40_0131</v>
      </c>
      <c r="AF341" s="1" t="str">
        <f ca="1"/>
        <v>LIM</v>
      </c>
      <c r="AG341" s="1" t="str">
        <f ca="1"/>
        <v>LS_09</v>
      </c>
      <c r="AH341" s="1" t="str">
        <f ca="1"/>
        <v>L9_26</v>
      </c>
      <c r="AI341" s="1" t="str">
        <f ca="1"/>
        <v>003 / 034</v>
      </c>
      <c r="AJ341" s="3" t="str">
        <f ca="1"/>
        <v>No</v>
      </c>
      <c r="AK341" s="1" t="str">
        <f ca="1"/>
        <v/>
      </c>
      <c r="AL341" s="105" t="str">
        <f ca="1"/>
        <v/>
      </c>
    </row>
    <row r="342" spans="30:38" x14ac:dyDescent="0.25">
      <c r="AD342" s="1" t="str">
        <f ca="1"/>
        <v>46211/D|BR1/03</v>
      </c>
      <c r="AE342" s="1" t="str">
        <f ca="1"/>
        <v>STM-A40_0103</v>
      </c>
      <c r="AF342" s="1" t="str">
        <f ca="1"/>
        <v>LIM</v>
      </c>
      <c r="AG342" s="1" t="str">
        <f ca="1"/>
        <v>LS_09</v>
      </c>
      <c r="AH342" s="1" t="str">
        <f ca="1"/>
        <v>L9_26</v>
      </c>
      <c r="AI342" s="1" t="str">
        <f ca="1"/>
        <v>003 / 035</v>
      </c>
      <c r="AJ342" s="3" t="str">
        <f ca="1"/>
        <v>Yes</v>
      </c>
      <c r="AK342" s="1" t="str">
        <f ca="1"/>
        <v/>
      </c>
      <c r="AL342" s="105" t="str">
        <f ca="1"/>
        <v/>
      </c>
    </row>
    <row r="343" spans="30:38" x14ac:dyDescent="0.25">
      <c r="AD343" s="1" t="str">
        <f ca="1"/>
        <v>46211/D|BR1/03</v>
      </c>
      <c r="AE343" s="1" t="str">
        <f ca="1"/>
        <v>STM-A40_0097</v>
      </c>
      <c r="AF343" s="1" t="str">
        <f ca="1"/>
        <v>LIM</v>
      </c>
      <c r="AG343" s="1" t="str">
        <f ca="1"/>
        <v>LS_09</v>
      </c>
      <c r="AH343" s="1" t="str">
        <f ca="1"/>
        <v>L9_26</v>
      </c>
      <c r="AI343" s="1" t="str">
        <f ca="1"/>
        <v>003 / 036</v>
      </c>
      <c r="AJ343" s="3" t="str">
        <f ca="1"/>
        <v>No</v>
      </c>
      <c r="AK343" s="1" t="str">
        <f ca="1"/>
        <v/>
      </c>
      <c r="AL343" s="105" t="str">
        <f ca="1"/>
        <v/>
      </c>
    </row>
    <row r="344" spans="30:38" x14ac:dyDescent="0.25">
      <c r="AD344" s="1" t="str">
        <f ca="1"/>
        <v>46211/D|BR1/03</v>
      </c>
      <c r="AE344" s="1" t="str">
        <f ca="1"/>
        <v>STM-A40_0135</v>
      </c>
      <c r="AF344" s="1" t="str">
        <f ca="1"/>
        <v>LIM</v>
      </c>
      <c r="AG344" s="1" t="str">
        <f ca="1"/>
        <v>LS_09</v>
      </c>
      <c r="AH344" s="1" t="str">
        <f ca="1"/>
        <v>L9_26</v>
      </c>
      <c r="AI344" s="1" t="str">
        <f ca="1"/>
        <v>003 / 037</v>
      </c>
      <c r="AJ344" s="3" t="str">
        <f ca="1"/>
        <v>No</v>
      </c>
      <c r="AK344" s="1" t="str">
        <f ca="1"/>
        <v/>
      </c>
      <c r="AL344" s="105" t="str">
        <f ca="1"/>
        <v/>
      </c>
    </row>
    <row r="345" spans="30:38" x14ac:dyDescent="0.25">
      <c r="AD345" s="1" t="str">
        <f ca="1"/>
        <v>46211/D|BR1/03</v>
      </c>
      <c r="AE345" s="1" t="str">
        <f ca="1"/>
        <v>STM-A40_0103</v>
      </c>
      <c r="AF345" s="1" t="str">
        <f ca="1"/>
        <v>LIM</v>
      </c>
      <c r="AG345" s="1" t="str">
        <f ca="1"/>
        <v>LS_09</v>
      </c>
      <c r="AH345" s="1" t="str">
        <f ca="1"/>
        <v>L9_26</v>
      </c>
      <c r="AI345" s="1" t="str">
        <f ca="1"/>
        <v>003 / 038</v>
      </c>
      <c r="AJ345" s="3" t="str">
        <f ca="1"/>
        <v>No</v>
      </c>
      <c r="AK345" s="1" t="str">
        <f ca="1"/>
        <v/>
      </c>
      <c r="AL345" s="105" t="str">
        <f ca="1"/>
        <v/>
      </c>
    </row>
    <row r="346" spans="30:38" x14ac:dyDescent="0.25">
      <c r="AD346" s="1" t="str">
        <f ca="1"/>
        <v>46211/D|BR1/03</v>
      </c>
      <c r="AE346" s="1" t="str">
        <f ca="1"/>
        <v>STM-A40_2010</v>
      </c>
      <c r="AF346" s="1" t="str">
        <f ca="1"/>
        <v>LIM</v>
      </c>
      <c r="AG346" s="1" t="str">
        <f ca="1"/>
        <v>LS_09</v>
      </c>
      <c r="AH346" s="1" t="str">
        <f ca="1"/>
        <v>L9_26</v>
      </c>
      <c r="AI346" s="1" t="str">
        <f ca="1"/>
        <v>003 / 039</v>
      </c>
      <c r="AJ346" s="3" t="str">
        <f ca="1"/>
        <v>No</v>
      </c>
      <c r="AK346" s="1" t="str">
        <f ca="1"/>
        <v/>
      </c>
      <c r="AL346" s="105" t="str">
        <f ca="1"/>
        <v/>
      </c>
    </row>
    <row r="347" spans="30:38" x14ac:dyDescent="0.25">
      <c r="AD347" s="1" t="str">
        <f ca="1"/>
        <v>46211/D|BR1/03</v>
      </c>
      <c r="AE347" s="1" t="str">
        <f ca="1"/>
        <v>STM-A40_0131</v>
      </c>
      <c r="AF347" s="1" t="str">
        <f ca="1"/>
        <v>LIM</v>
      </c>
      <c r="AG347" s="1" t="str">
        <f ca="1"/>
        <v>LS_09</v>
      </c>
      <c r="AH347" s="1" t="str">
        <f ca="1"/>
        <v>L9_26</v>
      </c>
      <c r="AI347" s="1" t="str">
        <f ca="1"/>
        <v>003 / 040</v>
      </c>
      <c r="AJ347" s="3" t="str">
        <f ca="1"/>
        <v>Yes</v>
      </c>
      <c r="AK347" s="1" t="str">
        <f ca="1"/>
        <v/>
      </c>
      <c r="AL347" s="105" t="str">
        <f ca="1"/>
        <v/>
      </c>
    </row>
    <row r="348" spans="30:38" x14ac:dyDescent="0.25">
      <c r="AD348" s="1" t="str">
        <f ca="1"/>
        <v>46211/D|BR1/03</v>
      </c>
      <c r="AE348" s="1" t="str">
        <f ca="1"/>
        <v>STM-A40_0097</v>
      </c>
      <c r="AF348" s="1" t="str">
        <f ca="1"/>
        <v>LIM</v>
      </c>
      <c r="AG348" s="1" t="str">
        <f ca="1"/>
        <v>LS_09</v>
      </c>
      <c r="AH348" s="1" t="str">
        <f ca="1"/>
        <v>L9_26</v>
      </c>
      <c r="AI348" s="1" t="str">
        <f ca="1"/>
        <v>003 / 041</v>
      </c>
      <c r="AJ348" s="3" t="str">
        <f ca="1"/>
        <v>No</v>
      </c>
      <c r="AK348" s="1" t="str">
        <f ca="1"/>
        <v/>
      </c>
      <c r="AL348" s="105" t="str">
        <f ca="1"/>
        <v/>
      </c>
    </row>
    <row r="349" spans="30:38" x14ac:dyDescent="0.25">
      <c r="AD349" s="1" t="str">
        <f ca="1"/>
        <v>46211/D|BR1/03</v>
      </c>
      <c r="AE349" s="1" t="str">
        <f ca="1"/>
        <v>STM-A40_0103</v>
      </c>
      <c r="AF349" s="1" t="str">
        <f ca="1"/>
        <v>LIM</v>
      </c>
      <c r="AG349" s="1" t="str">
        <f ca="1"/>
        <v>LS_09</v>
      </c>
      <c r="AH349" s="1" t="str">
        <f ca="1"/>
        <v>L9_26</v>
      </c>
      <c r="AI349" s="1" t="str">
        <f ca="1"/>
        <v>003 / 042</v>
      </c>
      <c r="AJ349" s="3" t="str">
        <f ca="1"/>
        <v>No</v>
      </c>
      <c r="AK349" s="1" t="str">
        <f ca="1"/>
        <v/>
      </c>
      <c r="AL349" s="105" t="str">
        <f ca="1"/>
        <v/>
      </c>
    </row>
    <row r="350" spans="30:38" x14ac:dyDescent="0.25">
      <c r="AD350" s="1" t="str">
        <f ca="1"/>
        <v>46211/D|BR1/03</v>
      </c>
      <c r="AE350" s="1" t="str">
        <f ca="1"/>
        <v>STM-A40_2010</v>
      </c>
      <c r="AF350" s="1" t="str">
        <f ca="1"/>
        <v>LIM</v>
      </c>
      <c r="AG350" s="1" t="str">
        <f ca="1"/>
        <v>LS_09</v>
      </c>
      <c r="AH350" s="1" t="str">
        <f ca="1"/>
        <v>L9_26</v>
      </c>
      <c r="AI350" s="1" t="str">
        <f ca="1"/>
        <v>003 / 043</v>
      </c>
      <c r="AJ350" s="3" t="str">
        <f ca="1"/>
        <v>No</v>
      </c>
      <c r="AK350" s="1" t="str">
        <f ca="1"/>
        <v/>
      </c>
      <c r="AL350" s="105" t="str">
        <f ca="1"/>
        <v/>
      </c>
    </row>
    <row r="351" spans="30:38" x14ac:dyDescent="0.25">
      <c r="AD351" s="1" t="str">
        <f ca="1"/>
        <v>46211/D|BR1/03</v>
      </c>
      <c r="AE351" s="1" t="str">
        <f ca="1"/>
        <v>STM-A40_0131</v>
      </c>
      <c r="AF351" s="1" t="str">
        <f ca="1"/>
        <v>LIM</v>
      </c>
      <c r="AG351" s="1" t="str">
        <f ca="1"/>
        <v>LS_09</v>
      </c>
      <c r="AH351" s="1" t="str">
        <f ca="1"/>
        <v>L9_26</v>
      </c>
      <c r="AI351" s="1" t="str">
        <f ca="1"/>
        <v>003 / 044</v>
      </c>
      <c r="AJ351" s="3" t="str">
        <f ca="1"/>
        <v>No</v>
      </c>
      <c r="AK351" s="1" t="str">
        <f ca="1"/>
        <v/>
      </c>
      <c r="AL351" s="105" t="str">
        <f ca="1"/>
        <v/>
      </c>
    </row>
    <row r="352" spans="30:38" x14ac:dyDescent="0.25">
      <c r="AD352" s="1" t="str">
        <f ca="1"/>
        <v>46211/D|BR1/03</v>
      </c>
      <c r="AE352" s="1" t="str">
        <f ca="1"/>
        <v>STM-A40_0135</v>
      </c>
      <c r="AF352" s="1" t="str">
        <f ca="1"/>
        <v>LIM</v>
      </c>
      <c r="AG352" s="1" t="str">
        <f ca="1"/>
        <v>LS_09</v>
      </c>
      <c r="AH352" s="1" t="str">
        <f ca="1"/>
        <v>L9_26</v>
      </c>
      <c r="AI352" s="1" t="str">
        <f ca="1"/>
        <v>003 / 045</v>
      </c>
      <c r="AJ352" s="3" t="str">
        <f ca="1"/>
        <v>Yes</v>
      </c>
      <c r="AK352" s="1" t="str">
        <f ca="1"/>
        <v/>
      </c>
      <c r="AL352" s="105" t="str">
        <f ca="1"/>
        <v/>
      </c>
    </row>
    <row r="353" spans="30:38" x14ac:dyDescent="0.25">
      <c r="AD353" s="1" t="str">
        <f ca="1"/>
        <v>46211/D|BR1/03</v>
      </c>
      <c r="AE353" s="1" t="str">
        <f ca="1"/>
        <v>STM-A40_0103</v>
      </c>
      <c r="AF353" s="1" t="str">
        <f ca="1"/>
        <v>LIM</v>
      </c>
      <c r="AG353" s="1" t="str">
        <f ca="1"/>
        <v>LS_09</v>
      </c>
      <c r="AH353" s="1" t="str">
        <f ca="1"/>
        <v>L9_26</v>
      </c>
      <c r="AI353" s="1" t="str">
        <f ca="1"/>
        <v>003 / 046</v>
      </c>
      <c r="AJ353" s="3" t="str">
        <f ca="1"/>
        <v>No</v>
      </c>
      <c r="AK353" s="1" t="str">
        <f ca="1"/>
        <v/>
      </c>
      <c r="AL353" s="105" t="str">
        <f ca="1"/>
        <v/>
      </c>
    </row>
    <row r="354" spans="30:38" x14ac:dyDescent="0.25">
      <c r="AD354" s="1" t="str">
        <f ca="1"/>
        <v>46211/D|BR1/03</v>
      </c>
      <c r="AE354" s="1" t="str">
        <f ca="1"/>
        <v>STM-A40_2010</v>
      </c>
      <c r="AF354" s="1" t="str">
        <f ca="1"/>
        <v>LIM</v>
      </c>
      <c r="AG354" s="1" t="str">
        <f ca="1"/>
        <v>LS_09</v>
      </c>
      <c r="AH354" s="1" t="str">
        <f ca="1"/>
        <v>L9_26</v>
      </c>
      <c r="AI354" s="1" t="str">
        <f ca="1"/>
        <v>003 / 047</v>
      </c>
      <c r="AJ354" s="3" t="str">
        <f ca="1"/>
        <v>No</v>
      </c>
      <c r="AK354" s="1" t="str">
        <f ca="1"/>
        <v/>
      </c>
      <c r="AL354" s="105" t="str">
        <f ca="1"/>
        <v/>
      </c>
    </row>
    <row r="355" spans="30:38" x14ac:dyDescent="0.25">
      <c r="AD355" s="1" t="str">
        <f ca="1"/>
        <v>46211/D|BR1/03</v>
      </c>
      <c r="AE355" s="1" t="str">
        <f ca="1"/>
        <v>STM-A40_0135</v>
      </c>
      <c r="AF355" s="1" t="str">
        <f ca="1"/>
        <v>LIM</v>
      </c>
      <c r="AG355" s="1" t="str">
        <f ca="1"/>
        <v>LS_09</v>
      </c>
      <c r="AH355" s="1" t="str">
        <f ca="1"/>
        <v>L9_26</v>
      </c>
      <c r="AI355" s="1" t="str">
        <f ca="1"/>
        <v>003 / 048</v>
      </c>
      <c r="AJ355" s="3" t="str">
        <f ca="1"/>
        <v>No</v>
      </c>
      <c r="AK355" s="1" t="str">
        <f ca="1"/>
        <v/>
      </c>
      <c r="AL355" s="105" t="str">
        <f ca="1"/>
        <v/>
      </c>
    </row>
    <row r="356" spans="30:38" x14ac:dyDescent="0.25">
      <c r="AD356" s="1" t="str">
        <f ca="1"/>
        <v>46211/D|BR1/03</v>
      </c>
      <c r="AE356" s="1" t="str">
        <f ca="1"/>
        <v>STM-A40_0131</v>
      </c>
      <c r="AF356" s="1" t="str">
        <f ca="1"/>
        <v>LIM</v>
      </c>
      <c r="AG356" s="1" t="str">
        <f ca="1"/>
        <v>LS_09</v>
      </c>
      <c r="AH356" s="1" t="str">
        <f ca="1"/>
        <v>L9_26</v>
      </c>
      <c r="AI356" s="1" t="str">
        <f ca="1"/>
        <v>003 / 049</v>
      </c>
      <c r="AJ356" s="3" t="str">
        <f ca="1"/>
        <v>No</v>
      </c>
      <c r="AK356" s="1" t="str">
        <f ca="1"/>
        <v/>
      </c>
      <c r="AL356" s="105" t="str">
        <f ca="1"/>
        <v/>
      </c>
    </row>
    <row r="357" spans="30:38" x14ac:dyDescent="0.25">
      <c r="AD357" s="1" t="str">
        <f ca="1"/>
        <v>46211/D|BR1/03</v>
      </c>
      <c r="AE357" s="1" t="str">
        <f ca="1"/>
        <v>STM-A40_0097</v>
      </c>
      <c r="AF357" s="1" t="str">
        <f ca="1"/>
        <v>LIM</v>
      </c>
      <c r="AG357" s="1" t="str">
        <f ca="1"/>
        <v>LS_09</v>
      </c>
      <c r="AH357" s="1" t="str">
        <f ca="1"/>
        <v>L9_26</v>
      </c>
      <c r="AI357" s="1" t="str">
        <f ca="1"/>
        <v>003 / 050</v>
      </c>
      <c r="AJ357" s="3" t="str">
        <f ca="1"/>
        <v>Yes</v>
      </c>
      <c r="AK357" s="1" t="str">
        <f ca="1"/>
        <v/>
      </c>
      <c r="AL357" s="105" t="str">
        <f ca="1"/>
        <v/>
      </c>
    </row>
    <row r="358" spans="30:38" x14ac:dyDescent="0.25">
      <c r="AD358" s="1" t="str">
        <f ca="1"/>
        <v/>
      </c>
      <c r="AE358" s="1" t="str">
        <f ca="1"/>
        <v/>
      </c>
      <c r="AF358" s="1" t="str">
        <f ca="1"/>
        <v/>
      </c>
      <c r="AG358" s="1" t="str">
        <f ca="1"/>
        <v/>
      </c>
      <c r="AH358" s="1" t="str">
        <f ca="1"/>
        <v/>
      </c>
      <c r="AI358" s="1" t="str">
        <f ca="1"/>
        <v/>
      </c>
      <c r="AJ358" s="3" t="str">
        <f ca="1"/>
        <v/>
      </c>
      <c r="AK358" s="1" t="str">
        <f ca="1"/>
        <v/>
      </c>
      <c r="AL358" s="105" t="str">
        <f ca="1"/>
        <v/>
      </c>
    </row>
  </sheetData>
  <sheetProtection sheet="1" objects="1" scenarios="1"/>
  <phoneticPr fontId="1" type="noConversion"/>
  <conditionalFormatting sqref="J3:O99">
    <cfRule type="expression" dxfId="12" priority="95">
      <formula>AND($J3&gt;0,O3&lt;&gt;"Not Picked Up",J3=0)</formula>
    </cfRule>
  </conditionalFormatting>
  <conditionalFormatting sqref="M3:N99">
    <cfRule type="expression" dxfId="11" priority="1">
      <formula>$G3="OVERLAP!"</formula>
    </cfRule>
    <cfRule type="expression" dxfId="10" priority="3">
      <formula>$F3&gt;1</formula>
    </cfRule>
  </conditionalFormatting>
  <conditionalFormatting sqref="N3:N99">
    <cfRule type="expression" dxfId="9" priority="5">
      <formula>$M3&gt;$N3</formula>
    </cfRule>
  </conditionalFormatting>
  <conditionalFormatting sqref="P3:P99">
    <cfRule type="expression" dxfId="8" priority="121">
      <formula>AND($J3&gt;0,$O3&lt;&gt;"Not Picked Up",$P3=0)</formula>
    </cfRule>
  </conditionalFormatting>
  <conditionalFormatting sqref="R1:S1048576">
    <cfRule type="notContainsBlanks" dxfId="7" priority="11">
      <formula>LEN(TRIM(R1))&gt;0</formula>
    </cfRule>
  </conditionalFormatting>
  <conditionalFormatting sqref="S3:S101">
    <cfRule type="expression" dxfId="6" priority="8">
      <formula>AND(#REF!="Sent to Prep",S3=0)</formula>
    </cfRule>
  </conditionalFormatting>
  <dataValidations count="7">
    <dataValidation type="list" allowBlank="1" showInputMessage="1" showErrorMessage="1" sqref="K3:K99" xr:uid="{FC5D9E7D-8324-4F15-A5F3-ED66AB98717C}">
      <formula1>_xlfn.ANCHORARRAY($A$1)</formula1>
    </dataValidation>
    <dataValidation type="decimal" operator="greaterThan" allowBlank="1" showInputMessage="1" showErrorMessage="1" sqref="L3:L99" xr:uid="{A7C25D23-9A53-44BF-B0AC-19D0D60FD0A1}">
      <formula1>0</formula1>
    </dataValidation>
    <dataValidation type="list" allowBlank="1" showInputMessage="1" showErrorMessage="1" sqref="P3:P99" xr:uid="{FBD737B7-36A4-45D3-B2A5-F428228F545E}">
      <formula1>_xlfn.TAKE(_xlfn.ANCHORARRAY($C$1),,1)</formula1>
    </dataValidation>
    <dataValidation type="list" operator="greaterThan" allowBlank="1" showInputMessage="1" showErrorMessage="1" sqref="M3:M99" xr:uid="{8F3125D0-B146-42FE-BFE0-09FB604398DB}">
      <formula1>Smpl_Pos_IncrFrom</formula1>
    </dataValidation>
    <dataValidation type="list" operator="greaterThan" allowBlank="1" showInputMessage="1" showErrorMessage="1" sqref="N3:N99" xr:uid="{DE2681CE-EB6F-4FF5-B984-F83DE4B25EC6}">
      <formula1>Smpl_Pos_IncrTo</formula1>
    </dataValidation>
    <dataValidation type="whole" operator="greaterThan" allowBlank="1" showInputMessage="1" showErrorMessage="1" sqref="J3:J99" xr:uid="{8F7858C2-2B31-4CD8-A24E-E3996F3F9723}">
      <formula1>0</formula1>
    </dataValidation>
    <dataValidation type="list" operator="greaterThan" allowBlank="1" showInputMessage="1" showErrorMessage="1" sqref="O3:O99" xr:uid="{E26ED7C8-6948-4A97-95E3-52B17CB9823A}">
      <formula1>_xlfn.ANCHORARRAY($B$1)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6943E-FEA6-4890-A698-BC7314958300}">
  <sheetPr codeName="Sheet12">
    <tabColor rgb="FFFF0066"/>
  </sheetPr>
  <dimension ref="A1:Y448"/>
  <sheetViews>
    <sheetView showGridLines="0" zoomScale="145" zoomScaleNormal="145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J16" sqref="J16"/>
    </sheetView>
  </sheetViews>
  <sheetFormatPr defaultRowHeight="15" x14ac:dyDescent="0.25"/>
  <cols>
    <col min="1" max="1" width="6.42578125" style="1" hidden="1" customWidth="1"/>
    <col min="2" max="2" width="1.28515625" style="1" customWidth="1"/>
    <col min="3" max="3" width="18" style="73" customWidth="1"/>
    <col min="4" max="4" width="12.42578125" style="3" bestFit="1" customWidth="1"/>
    <col min="5" max="6" width="9.140625" style="3" customWidth="1"/>
    <col min="7" max="7" width="8.7109375" style="3" bestFit="1" customWidth="1"/>
    <col min="8" max="8" width="8" style="3" customWidth="1"/>
    <col min="9" max="9" width="8.5703125" style="3" bestFit="1" customWidth="1"/>
    <col min="10" max="10" width="11.7109375" style="3" bestFit="1" customWidth="1"/>
    <col min="11" max="11" width="12.7109375" style="1" bestFit="1" customWidth="1"/>
    <col min="12" max="12" width="7.7109375" style="1" bestFit="1" customWidth="1"/>
    <col min="13" max="27" width="9.140625" style="1"/>
    <col min="28" max="28" width="15" style="1" customWidth="1"/>
    <col min="29" max="29" width="11.7109375" style="1" customWidth="1"/>
    <col min="30" max="30" width="6.85546875" style="1" customWidth="1"/>
    <col min="31" max="31" width="6.7109375" style="1" customWidth="1"/>
    <col min="32" max="32" width="13.5703125" style="1" customWidth="1"/>
    <col min="33" max="33" width="4" style="1" customWidth="1"/>
    <col min="34" max="34" width="9.28515625" style="1" customWidth="1"/>
    <col min="35" max="35" width="6.42578125" style="1" customWidth="1"/>
    <col min="36" max="16384" width="9.140625" style="1"/>
  </cols>
  <sheetData>
    <row r="1" spans="2:25" ht="15.75" x14ac:dyDescent="0.25">
      <c r="B1" s="51"/>
      <c r="C1" s="69" t="str">
        <f ca="1">_xlfn.LET( _xlpm.cMax, CHAR(64+ COLUMNS(_xlfn.ANCHORARRAY($C$3))+2),
      _xlpm.rMax, ROWS(_xlfn.ANCHORARRAY($C$3))+2,
      "C3:"&amp;_xlpm.cMax&amp;_xlpm.rMax)</f>
        <v>C3:K402</v>
      </c>
      <c r="D1" s="52"/>
      <c r="E1" s="52"/>
      <c r="F1" s="52"/>
      <c r="G1" s="52"/>
      <c r="H1" s="52"/>
      <c r="I1" s="52"/>
      <c r="J1" s="52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2:25" ht="5.25" customHeight="1" x14ac:dyDescent="0.25">
      <c r="B2" s="51"/>
      <c r="C2" s="70"/>
      <c r="D2" s="52"/>
      <c r="E2" s="52"/>
      <c r="F2" s="52"/>
      <c r="G2" s="52"/>
      <c r="H2" s="52"/>
      <c r="I2" s="52"/>
      <c r="J2" s="52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2:25" x14ac:dyDescent="0.25">
      <c r="B3" s="51"/>
      <c r="C3" s="71" t="str" cm="1">
        <f t="array" aca="1" ref="C3:K402" ca="1">_xlfn.LET(_xlpm.header, OFFSET(_xlfn.ANCHORARRAY(Pile_01!$Z$2),-1,0,1),
     _xlpm.arr, _xlfn._xlws.SORT(_xlfn.VSTACK(_xlfn.ANCHORARRAY(Pile_01!$Z$2),_xlfn.ANCHORARRAY(Pile_02!$Z$2),_xlfn.ANCHORARRAY(Pile_03!$Z$2),_xlfn.ANCHORARRAY(Pile_04!$Z$2),_xlfn.ANCHORARRAY(Pile_05!$Z$2),_xlfn.ANCHORARRAY(Pile_06!$Z$2)),MATCH({"Pile_ID","Batch"}, _xlpm.header,0)),
     _xlpm.cln, _xlfn._xlws.FILTER(_xlpm.arr,_xlfn.TAKE(_xlpm.arr,,1)&lt;&gt;""),
     _xlpm.data, _xlfn.IFNA(_xlfn.VSTACK(_xlpm.header,_xlpm.cln,""),""),
     _xlfn.IFNA(_xlfn.VSTACK(Report_Header,_xlfn.ANCHORARRAY( Sample_Pos!$AN$3),_xlfn.ANCHORARRAY(Sample_Pos!$AT$3),_xlpm.data),""))</f>
        <v>_Dear All,_</v>
      </c>
      <c r="D3" s="52" t="str">
        <f ca="1"/>
        <v/>
      </c>
      <c r="E3" s="52" t="str">
        <f ca="1"/>
        <v/>
      </c>
      <c r="F3" s="52" t="str">
        <f ca="1"/>
        <v/>
      </c>
      <c r="G3" s="52" t="str">
        <f ca="1"/>
        <v/>
      </c>
      <c r="H3" s="52" t="str">
        <f ca="1"/>
        <v/>
      </c>
      <c r="I3" s="52" t="str">
        <f ca="1"/>
        <v/>
      </c>
      <c r="J3" s="52" t="str">
        <f ca="1"/>
        <v/>
      </c>
      <c r="K3" s="51" t="str">
        <f ca="1"/>
        <v/>
      </c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2:25" x14ac:dyDescent="0.25">
      <c r="B4" s="51"/>
      <c r="C4" s="72" t="str">
        <f ca="1"/>
        <v>*DAILY ORE QUALITY ASSURANCE REPORT*</v>
      </c>
      <c r="D4" s="52" t="str">
        <f ca="1"/>
        <v/>
      </c>
      <c r="E4" s="52" t="str">
        <f ca="1"/>
        <v/>
      </c>
      <c r="F4" s="52" t="str">
        <f ca="1"/>
        <v/>
      </c>
      <c r="G4" s="52" t="str">
        <f ca="1"/>
        <v/>
      </c>
      <c r="H4" s="52" t="str">
        <f ca="1"/>
        <v/>
      </c>
      <c r="I4" s="52" t="str">
        <f ca="1"/>
        <v/>
      </c>
      <c r="J4" s="52" t="str">
        <f ca="1"/>
        <v/>
      </c>
      <c r="K4" s="51" t="str">
        <f ca="1"/>
        <v/>
      </c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2:25" x14ac:dyDescent="0.25">
      <c r="B5" s="51"/>
      <c r="C5" s="70" t="str">
        <f ca="1"/>
        <v>_*-- Ore &amp; Sample Production --*_</v>
      </c>
      <c r="D5" s="52" t="str">
        <f ca="1"/>
        <v/>
      </c>
      <c r="E5" s="52" t="str">
        <f ca="1"/>
        <v/>
      </c>
      <c r="F5" s="52" t="str">
        <f ca="1"/>
        <v/>
      </c>
      <c r="G5" s="52" t="str">
        <f ca="1"/>
        <v/>
      </c>
      <c r="H5" s="52" t="str">
        <f ca="1"/>
        <v/>
      </c>
      <c r="I5" s="52" t="str">
        <f ca="1"/>
        <v/>
      </c>
      <c r="J5" s="52" t="str">
        <f ca="1"/>
        <v/>
      </c>
      <c r="K5" s="51" t="str">
        <f ca="1"/>
        <v/>
      </c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2:25" x14ac:dyDescent="0.25">
      <c r="B6" s="51"/>
      <c r="C6" s="71" t="str">
        <f ca="1"/>
        <v>_Date/Shift: 08-Jul-26 / D_</v>
      </c>
      <c r="D6" s="52" t="str">
        <f ca="1"/>
        <v/>
      </c>
      <c r="E6" s="52" t="str">
        <f ca="1"/>
        <v/>
      </c>
      <c r="F6" s="52" t="str">
        <f ca="1"/>
        <v/>
      </c>
      <c r="G6" s="52" t="str">
        <f ca="1"/>
        <v/>
      </c>
      <c r="H6" s="52" t="str">
        <f ca="1"/>
        <v/>
      </c>
      <c r="I6" s="52" t="str">
        <f ca="1"/>
        <v/>
      </c>
      <c r="J6" s="52" t="str">
        <f ca="1"/>
        <v/>
      </c>
      <c r="K6" s="51" t="str">
        <f ca="1"/>
        <v/>
      </c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 spans="2:25" x14ac:dyDescent="0.25">
      <c r="B7" s="51"/>
      <c r="C7" s="71" t="str">
        <f ca="1"/>
        <v>_Week: 28_</v>
      </c>
      <c r="D7" s="52" t="str">
        <f ca="1"/>
        <v/>
      </c>
      <c r="E7" s="52" t="str">
        <f ca="1"/>
        <v/>
      </c>
      <c r="F7" s="52" t="str">
        <f ca="1"/>
        <v/>
      </c>
      <c r="G7" s="52" t="str">
        <f ca="1"/>
        <v/>
      </c>
      <c r="H7" s="52" t="str">
        <f ca="1"/>
        <v/>
      </c>
      <c r="I7" s="52" t="str">
        <f ca="1"/>
        <v/>
      </c>
      <c r="J7" s="52" t="str">
        <f ca="1"/>
        <v/>
      </c>
      <c r="K7" s="51" t="str">
        <f ca="1"/>
        <v/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</row>
    <row r="8" spans="2:25" x14ac:dyDescent="0.25">
      <c r="B8" s="51"/>
      <c r="C8" s="70" t="str">
        <f ca="1"/>
        <v/>
      </c>
      <c r="D8" s="52" t="str">
        <f ca="1"/>
        <v/>
      </c>
      <c r="E8" s="52" t="str">
        <f ca="1"/>
        <v/>
      </c>
      <c r="F8" s="52" t="str">
        <f ca="1"/>
        <v/>
      </c>
      <c r="G8" s="52" t="str">
        <f ca="1"/>
        <v/>
      </c>
      <c r="H8" s="52" t="str">
        <f ca="1"/>
        <v/>
      </c>
      <c r="I8" s="52" t="str">
        <f ca="1"/>
        <v/>
      </c>
      <c r="J8" s="52" t="str">
        <f ca="1"/>
        <v/>
      </c>
      <c r="K8" s="51" t="str">
        <f ca="1"/>
        <v/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</row>
    <row r="9" spans="2:25" x14ac:dyDescent="0.25">
      <c r="B9" s="51"/>
      <c r="C9" s="72" t="str">
        <f ca="1"/>
        <v>*MANPOWER:*</v>
      </c>
      <c r="D9" s="52" t="str">
        <f ca="1"/>
        <v/>
      </c>
      <c r="E9" s="52" t="str">
        <f ca="1"/>
        <v/>
      </c>
      <c r="F9" s="52" t="str">
        <f ca="1"/>
        <v/>
      </c>
      <c r="G9" s="52" t="str">
        <f ca="1"/>
        <v/>
      </c>
      <c r="H9" s="52" t="str">
        <f ca="1"/>
        <v/>
      </c>
      <c r="I9" s="52" t="str">
        <f ca="1"/>
        <v/>
      </c>
      <c r="J9" s="52" t="str">
        <f ca="1"/>
        <v/>
      </c>
      <c r="K9" s="51" t="str">
        <f ca="1"/>
        <v/>
      </c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 spans="2:25" x14ac:dyDescent="0.25">
      <c r="B10" s="51"/>
      <c r="C10" s="70" t="str">
        <f ca="1"/>
        <v>_*Date</v>
      </c>
      <c r="D10" s="52" t="str">
        <f ca="1"/>
        <v>Shift</v>
      </c>
      <c r="E10" s="52" t="str">
        <f ca="1"/>
        <v>Location</v>
      </c>
      <c r="F10" s="52" t="str">
        <f ca="1"/>
        <v>Job Desk</v>
      </c>
      <c r="G10" s="52" t="str">
        <f ca="1"/>
        <v>NIK</v>
      </c>
      <c r="H10" s="52" t="str">
        <f ca="1"/>
        <v>Name*_</v>
      </c>
      <c r="I10" s="52" t="str">
        <f ca="1"/>
        <v/>
      </c>
      <c r="J10" s="52" t="str">
        <f ca="1"/>
        <v/>
      </c>
      <c r="K10" s="51" t="str">
        <f ca="1"/>
        <v/>
      </c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  <row r="11" spans="2:25" x14ac:dyDescent="0.25">
      <c r="B11" s="51"/>
      <c r="C11" s="70">
        <f ca="1"/>
        <v>46211</v>
      </c>
      <c r="D11" s="52" t="str">
        <f ca="1"/>
        <v>D</v>
      </c>
      <c r="E11" s="52" t="str">
        <f ca="1"/>
        <v>BR1/SH_01</v>
      </c>
      <c r="F11" s="52" t="str">
        <f ca="1"/>
        <v/>
      </c>
      <c r="G11" s="52" t="str">
        <f ca="1"/>
        <v>SCM0333</v>
      </c>
      <c r="H11" s="53" t="str">
        <f ca="1"/>
        <v>Raharjo Rahman</v>
      </c>
      <c r="I11" s="52" t="str">
        <f ca="1"/>
        <v/>
      </c>
      <c r="J11" s="52" t="str">
        <f ca="1"/>
        <v/>
      </c>
      <c r="K11" s="51" t="str">
        <f ca="1"/>
        <v/>
      </c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</row>
    <row r="12" spans="2:25" x14ac:dyDescent="0.25">
      <c r="B12" s="51"/>
      <c r="C12" s="70">
        <f ca="1"/>
        <v>46211</v>
      </c>
      <c r="D12" s="52" t="str">
        <f ca="1"/>
        <v>D</v>
      </c>
      <c r="E12" s="52" t="str">
        <f ca="1"/>
        <v>BR1/SH_01</v>
      </c>
      <c r="F12" s="52" t="str">
        <f ca="1"/>
        <v/>
      </c>
      <c r="G12" s="52" t="str">
        <f ca="1"/>
        <v>SCM0627</v>
      </c>
      <c r="H12" s="53" t="str">
        <f ca="1"/>
        <v>Wahyudin Madilao</v>
      </c>
      <c r="I12" s="52" t="str">
        <f ca="1"/>
        <v/>
      </c>
      <c r="J12" s="52" t="str">
        <f ca="1"/>
        <v/>
      </c>
      <c r="K12" s="51" t="str">
        <f ca="1"/>
        <v/>
      </c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</row>
    <row r="13" spans="2:25" x14ac:dyDescent="0.25">
      <c r="B13" s="51"/>
      <c r="C13" s="70">
        <f ca="1"/>
        <v>46211</v>
      </c>
      <c r="D13" s="52" t="str">
        <f ca="1"/>
        <v>D</v>
      </c>
      <c r="E13" s="52" t="str">
        <f ca="1"/>
        <v>BR1/SH_01</v>
      </c>
      <c r="F13" s="52" t="str">
        <f ca="1"/>
        <v>Sampler</v>
      </c>
      <c r="G13" s="52">
        <f ca="1"/>
        <v>260225</v>
      </c>
      <c r="H13" s="53" t="str">
        <f ca="1"/>
        <v>Andri Tani Kusuma</v>
      </c>
      <c r="I13" s="52" t="str">
        <f ca="1"/>
        <v/>
      </c>
      <c r="J13" s="52" t="str">
        <f ca="1"/>
        <v/>
      </c>
      <c r="K13" s="51" t="str">
        <f ca="1"/>
        <v/>
      </c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 spans="2:25" x14ac:dyDescent="0.25">
      <c r="B14" s="51"/>
      <c r="C14" s="70" t="str">
        <f ca="1"/>
        <v/>
      </c>
      <c r="D14" s="52" t="str">
        <f ca="1"/>
        <v/>
      </c>
      <c r="E14" s="52" t="str">
        <f ca="1"/>
        <v/>
      </c>
      <c r="F14" s="52" t="str">
        <f ca="1"/>
        <v/>
      </c>
      <c r="G14" s="52" t="str">
        <f ca="1"/>
        <v/>
      </c>
      <c r="H14" s="53" t="str">
        <f ca="1"/>
        <v/>
      </c>
      <c r="I14" s="52" t="str">
        <f ca="1"/>
        <v/>
      </c>
      <c r="J14" s="52" t="str">
        <f ca="1"/>
        <v/>
      </c>
      <c r="K14" s="51" t="str">
        <f ca="1"/>
        <v/>
      </c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</row>
    <row r="15" spans="2:25" x14ac:dyDescent="0.25">
      <c r="B15" s="51"/>
      <c r="C15" s="70" t="str">
        <f ca="1"/>
        <v>_*Pile_ID</v>
      </c>
      <c r="D15" s="52" t="str">
        <f ca="1"/>
        <v>Ore</v>
      </c>
      <c r="E15" s="52" t="str">
        <f ca="1"/>
        <v>Rit</v>
      </c>
      <c r="F15" s="52" t="str">
        <f ca="1"/>
        <v>Batch</v>
      </c>
      <c r="G15" s="52" t="str">
        <f ca="1"/>
        <v>Incr</v>
      </c>
      <c r="H15" s="52" t="str">
        <f ca="1"/>
        <v>Truck Salah*_</v>
      </c>
      <c r="I15" s="52" t="str">
        <f ca="1"/>
        <v/>
      </c>
      <c r="J15" s="52" t="str">
        <f ca="1"/>
        <v/>
      </c>
      <c r="K15" s="51" t="str">
        <f ca="1"/>
        <v/>
      </c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</row>
    <row r="16" spans="2:25" x14ac:dyDescent="0.25">
      <c r="B16" s="51"/>
      <c r="C16" s="70" t="str">
        <f ca="1"/>
        <v>L18_S09</v>
      </c>
      <c r="D16" s="52" t="str">
        <f ca="1"/>
        <v>SAP</v>
      </c>
      <c r="E16" s="52">
        <f ca="1"/>
        <v>214</v>
      </c>
      <c r="F16" s="52">
        <f ca="1"/>
        <v>16</v>
      </c>
      <c r="G16" s="52">
        <f ca="1"/>
        <v>107</v>
      </c>
      <c r="H16" s="52">
        <f ca="1"/>
        <v>23</v>
      </c>
      <c r="I16" s="52" t="str">
        <f ca="1"/>
        <v/>
      </c>
      <c r="J16" s="52" t="str">
        <f ca="1"/>
        <v/>
      </c>
      <c r="K16" s="51" t="str">
        <f ca="1"/>
        <v/>
      </c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</row>
    <row r="17" spans="2:25" x14ac:dyDescent="0.25">
      <c r="B17" s="51"/>
      <c r="C17" s="70" t="str">
        <f ca="1"/>
        <v>L9_26</v>
      </c>
      <c r="D17" s="52" t="str">
        <f ca="1"/>
        <v>LIM</v>
      </c>
      <c r="E17" s="52">
        <f ca="1"/>
        <v>140</v>
      </c>
      <c r="F17" s="52">
        <f ca="1"/>
        <v>2</v>
      </c>
      <c r="G17" s="52">
        <f ca="1"/>
        <v>28</v>
      </c>
      <c r="H17" s="52">
        <f ca="1"/>
        <v>0</v>
      </c>
      <c r="I17" s="52" t="str">
        <f ca="1"/>
        <v/>
      </c>
      <c r="J17" s="52" t="str">
        <f ca="1"/>
        <v/>
      </c>
      <c r="K17" s="51" t="str">
        <f ca="1"/>
        <v/>
      </c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</row>
    <row r="18" spans="2:25" x14ac:dyDescent="0.25">
      <c r="B18" s="51"/>
      <c r="C18" s="70" t="str">
        <f ca="1"/>
        <v>Total</v>
      </c>
      <c r="D18" s="52" t="str">
        <f ca="1"/>
        <v/>
      </c>
      <c r="E18" s="52">
        <f ca="1"/>
        <v>354</v>
      </c>
      <c r="F18" s="52">
        <f ca="1"/>
        <v>18</v>
      </c>
      <c r="G18" s="52">
        <f ca="1"/>
        <v>135</v>
      </c>
      <c r="H18" s="52">
        <f ca="1"/>
        <v>23</v>
      </c>
      <c r="I18" s="52" t="str">
        <f ca="1"/>
        <v/>
      </c>
      <c r="J18" s="52" t="str">
        <f ca="1"/>
        <v/>
      </c>
      <c r="K18" s="51" t="str">
        <f ca="1"/>
        <v/>
      </c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</row>
    <row r="19" spans="2:25" x14ac:dyDescent="0.25">
      <c r="B19" s="51"/>
      <c r="C19" s="70" t="str">
        <f ca="1"/>
        <v/>
      </c>
      <c r="D19" s="52" t="str">
        <f ca="1"/>
        <v/>
      </c>
      <c r="E19" s="52" t="str">
        <f ca="1"/>
        <v/>
      </c>
      <c r="F19" s="52" t="str">
        <f ca="1"/>
        <v/>
      </c>
      <c r="G19" s="52" t="str">
        <f ca="1"/>
        <v/>
      </c>
      <c r="H19" s="52" t="str">
        <f ca="1"/>
        <v/>
      </c>
      <c r="I19" s="52" t="str">
        <f ca="1"/>
        <v/>
      </c>
      <c r="J19" s="52" t="str">
        <f ca="1"/>
        <v/>
      </c>
      <c r="K19" s="51" t="str">
        <f ca="1"/>
        <v/>
      </c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</row>
    <row r="20" spans="2:25" x14ac:dyDescent="0.25">
      <c r="B20" s="51"/>
      <c r="C20" s="70" t="str">
        <f ca="1"/>
        <v>*SAMPLE HANDLING*</v>
      </c>
      <c r="D20" s="52" t="str">
        <f ca="1"/>
        <v/>
      </c>
      <c r="E20" s="52" t="str">
        <f ca="1"/>
        <v/>
      </c>
      <c r="F20" s="52" t="str">
        <f ca="1"/>
        <v/>
      </c>
      <c r="G20" s="52" t="str">
        <f ca="1"/>
        <v/>
      </c>
      <c r="H20" s="52" t="str">
        <f ca="1"/>
        <v/>
      </c>
      <c r="I20" s="52" t="str">
        <f ca="1"/>
        <v/>
      </c>
      <c r="J20" s="52" t="str">
        <f ca="1"/>
        <v/>
      </c>
      <c r="K20" s="51" t="str">
        <f ca="1"/>
        <v/>
      </c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</row>
    <row r="21" spans="2:25" x14ac:dyDescent="0.25">
      <c r="B21" s="51"/>
      <c r="C21" s="70" t="str">
        <f ca="1"/>
        <v>_*Status</v>
      </c>
      <c r="D21" s="52" t="str">
        <f ca="1"/>
        <v>Dispatcher</v>
      </c>
      <c r="E21" s="52" t="str">
        <f ca="1"/>
        <v>Ore</v>
      </c>
      <c r="F21" s="52" t="str">
        <f ca="1"/>
        <v>Pile_ID</v>
      </c>
      <c r="G21" s="52" t="str">
        <f ca="1"/>
        <v>Batch</v>
      </c>
      <c r="H21" s="52" t="str">
        <f ca="1"/>
        <v>Incr_F</v>
      </c>
      <c r="I21" s="52" t="str">
        <f ca="1"/>
        <v>Incr_T</v>
      </c>
      <c r="J21" s="52" t="str">
        <f ca="1"/>
        <v>Total Bag*_</v>
      </c>
      <c r="K21" s="51" t="str">
        <f ca="1"/>
        <v/>
      </c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</row>
    <row r="22" spans="2:25" x14ac:dyDescent="0.25">
      <c r="B22" s="51"/>
      <c r="C22" s="70" t="str">
        <f ca="1"/>
        <v>Unknown</v>
      </c>
      <c r="D22" s="52" t="str">
        <f ca="1"/>
        <v>Unknown</v>
      </c>
      <c r="E22" s="52" t="str">
        <f ca="1"/>
        <v>SAP</v>
      </c>
      <c r="F22" s="52" t="str">
        <f ca="1"/>
        <v>L18_S09</v>
      </c>
      <c r="G22" s="52">
        <f ca="1"/>
        <v>25</v>
      </c>
      <c r="H22" s="52">
        <f ca="1"/>
        <v>4</v>
      </c>
      <c r="I22" s="52">
        <f ca="1"/>
        <v>4</v>
      </c>
      <c r="J22" s="52">
        <f ca="1"/>
        <v>1</v>
      </c>
      <c r="K22" s="51" t="str">
        <f ca="1"/>
        <v/>
      </c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</row>
    <row r="23" spans="2:25" x14ac:dyDescent="0.25">
      <c r="B23" s="51"/>
      <c r="C23" s="70" t="str">
        <f ca="1"/>
        <v>SH_01/01 to BR1</v>
      </c>
      <c r="D23" s="52" t="str">
        <f ca="1"/>
        <v>SCM0899</v>
      </c>
      <c r="E23" s="52" t="str">
        <f ca="1"/>
        <v>LIM</v>
      </c>
      <c r="F23" s="52" t="str">
        <f ca="1"/>
        <v>L9_26</v>
      </c>
      <c r="G23" s="52">
        <f ca="1"/>
        <v>1</v>
      </c>
      <c r="H23" s="52">
        <f ca="1"/>
        <v>5</v>
      </c>
      <c r="I23" s="52">
        <f ca="1"/>
        <v>100</v>
      </c>
      <c r="J23" s="52">
        <f ca="1"/>
        <v>10</v>
      </c>
      <c r="K23" s="51" t="str">
        <f ca="1"/>
        <v/>
      </c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</row>
    <row r="24" spans="2:25" x14ac:dyDescent="0.25">
      <c r="B24" s="51"/>
      <c r="C24" s="70" t="str">
        <f ca="1"/>
        <v>SH_01/01 to BR1</v>
      </c>
      <c r="D24" s="52" t="str">
        <f ca="1"/>
        <v>SCM0899</v>
      </c>
      <c r="E24" s="52" t="str">
        <f ca="1"/>
        <v>LIM</v>
      </c>
      <c r="F24" s="52" t="str">
        <f ca="1"/>
        <v>L9_26</v>
      </c>
      <c r="G24" s="52">
        <f ca="1"/>
        <v>2</v>
      </c>
      <c r="H24" s="52">
        <f ca="1"/>
        <v>5</v>
      </c>
      <c r="I24" s="52">
        <f ca="1"/>
        <v>100</v>
      </c>
      <c r="J24" s="52">
        <f ca="1"/>
        <v>10</v>
      </c>
      <c r="K24" s="51" t="str">
        <f ca="1"/>
        <v/>
      </c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</row>
    <row r="25" spans="2:25" x14ac:dyDescent="0.25">
      <c r="B25" s="51"/>
      <c r="C25" s="70" t="str">
        <f ca="1"/>
        <v>SH_01/01 to BR1</v>
      </c>
      <c r="D25" s="52" t="str">
        <f ca="1"/>
        <v>SCM0899</v>
      </c>
      <c r="E25" s="52" t="str">
        <f ca="1"/>
        <v>SAP</v>
      </c>
      <c r="F25" s="52" t="str">
        <f ca="1"/>
        <v>L18_S09</v>
      </c>
      <c r="G25" s="52">
        <f ca="1"/>
        <v>19</v>
      </c>
      <c r="H25" s="52">
        <f ca="1"/>
        <v>2</v>
      </c>
      <c r="I25" s="52">
        <f ca="1"/>
        <v>20</v>
      </c>
      <c r="J25" s="52">
        <f ca="1"/>
        <v>10</v>
      </c>
      <c r="K25" s="51" t="str">
        <f ca="1"/>
        <v/>
      </c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</row>
    <row r="26" spans="2:25" x14ac:dyDescent="0.25">
      <c r="B26" s="51"/>
      <c r="C26" s="70" t="str">
        <f ca="1"/>
        <v>SH_01/01 to BR1</v>
      </c>
      <c r="D26" s="52" t="str">
        <f ca="1"/>
        <v>SCM0899</v>
      </c>
      <c r="E26" s="52" t="str">
        <f ca="1"/>
        <v>SAP</v>
      </c>
      <c r="F26" s="52" t="str">
        <f ca="1"/>
        <v>L18_S09</v>
      </c>
      <c r="G26" s="52">
        <f ca="1"/>
        <v>24</v>
      </c>
      <c r="H26" s="52">
        <f ca="1"/>
        <v>2</v>
      </c>
      <c r="I26" s="52">
        <f ca="1"/>
        <v>20</v>
      </c>
      <c r="J26" s="52">
        <f ca="1"/>
        <v>10</v>
      </c>
      <c r="K26" s="51" t="str">
        <f ca="1"/>
        <v/>
      </c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</row>
    <row r="27" spans="2:25" x14ac:dyDescent="0.25">
      <c r="B27" s="51"/>
      <c r="C27" s="70" t="str">
        <f ca="1"/>
        <v>SH_01/01 to BR1</v>
      </c>
      <c r="D27" s="52" t="str">
        <f ca="1"/>
        <v>SCM0899</v>
      </c>
      <c r="E27" s="52" t="str">
        <f ca="1"/>
        <v>SAP</v>
      </c>
      <c r="F27" s="52" t="str">
        <f ca="1"/>
        <v>L18_S09</v>
      </c>
      <c r="G27" s="52">
        <f ca="1"/>
        <v>27</v>
      </c>
      <c r="H27" s="52">
        <f ca="1"/>
        <v>2</v>
      </c>
      <c r="I27" s="52">
        <f ca="1"/>
        <v>20</v>
      </c>
      <c r="J27" s="52">
        <f ca="1"/>
        <v>10</v>
      </c>
      <c r="K27" s="51" t="str">
        <f ca="1"/>
        <v/>
      </c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</row>
    <row r="28" spans="2:25" x14ac:dyDescent="0.25">
      <c r="B28" s="51"/>
      <c r="C28" s="70" t="str">
        <f ca="1"/>
        <v>SH_01/01 to BR1</v>
      </c>
      <c r="D28" s="52" t="str">
        <f ca="1"/>
        <v>SCM0899</v>
      </c>
      <c r="E28" s="52" t="str">
        <f ca="1"/>
        <v>SAP</v>
      </c>
      <c r="F28" s="52" t="str">
        <f ca="1"/>
        <v>L18_S09</v>
      </c>
      <c r="G28" s="52">
        <f ca="1"/>
        <v>28</v>
      </c>
      <c r="H28" s="52">
        <f ca="1"/>
        <v>2</v>
      </c>
      <c r="I28" s="52">
        <f ca="1"/>
        <v>20</v>
      </c>
      <c r="J28" s="52">
        <f ca="1"/>
        <v>10</v>
      </c>
      <c r="K28" s="51" t="str">
        <f ca="1"/>
        <v/>
      </c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</row>
    <row r="29" spans="2:25" x14ac:dyDescent="0.25">
      <c r="B29" s="51"/>
      <c r="C29" s="70" t="str">
        <f ca="1"/>
        <v>SH_01/01 to BR1</v>
      </c>
      <c r="D29" s="52" t="str">
        <f ca="1"/>
        <v>SCM0899</v>
      </c>
      <c r="E29" s="52" t="str">
        <f ca="1"/>
        <v>SAP</v>
      </c>
      <c r="F29" s="52" t="str">
        <f ca="1"/>
        <v>L18_S09</v>
      </c>
      <c r="G29" s="52">
        <f ca="1"/>
        <v>29</v>
      </c>
      <c r="H29" s="52">
        <f ca="1"/>
        <v>2</v>
      </c>
      <c r="I29" s="52">
        <f ca="1"/>
        <v>20</v>
      </c>
      <c r="J29" s="52">
        <f ca="1"/>
        <v>10</v>
      </c>
      <c r="K29" s="51" t="str">
        <f ca="1"/>
        <v/>
      </c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</row>
    <row r="30" spans="2:25" x14ac:dyDescent="0.25">
      <c r="B30" s="51"/>
      <c r="C30" s="70" t="str">
        <f ca="1"/>
        <v>SH_01/01 to BR1</v>
      </c>
      <c r="D30" s="52" t="str">
        <f ca="1"/>
        <v>SCM0899</v>
      </c>
      <c r="E30" s="52" t="str">
        <f ca="1"/>
        <v>SAP</v>
      </c>
      <c r="F30" s="52" t="str">
        <f ca="1"/>
        <v>L18_S09</v>
      </c>
      <c r="G30" s="52">
        <f ca="1"/>
        <v>30</v>
      </c>
      <c r="H30" s="52">
        <f ca="1"/>
        <v>2</v>
      </c>
      <c r="I30" s="52">
        <f ca="1"/>
        <v>20</v>
      </c>
      <c r="J30" s="52">
        <f ca="1"/>
        <v>10</v>
      </c>
      <c r="K30" s="51" t="str">
        <f ca="1"/>
        <v/>
      </c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</row>
    <row r="31" spans="2:25" x14ac:dyDescent="0.25">
      <c r="B31" s="51"/>
      <c r="C31" s="70" t="str">
        <f ca="1"/>
        <v>SH_01/01 to BR1</v>
      </c>
      <c r="D31" s="52" t="str">
        <f ca="1"/>
        <v>SCM0899</v>
      </c>
      <c r="E31" s="52" t="str">
        <f ca="1"/>
        <v>SAP</v>
      </c>
      <c r="F31" s="52" t="str">
        <f ca="1"/>
        <v>L18_S09</v>
      </c>
      <c r="G31" s="52">
        <f ca="1"/>
        <v>31</v>
      </c>
      <c r="H31" s="52">
        <f ca="1"/>
        <v>2</v>
      </c>
      <c r="I31" s="52">
        <f ca="1"/>
        <v>20</v>
      </c>
      <c r="J31" s="52">
        <f ca="1"/>
        <v>10</v>
      </c>
      <c r="K31" s="51" t="str">
        <f ca="1"/>
        <v/>
      </c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</row>
    <row r="32" spans="2:25" x14ac:dyDescent="0.25">
      <c r="B32" s="51"/>
      <c r="C32" s="70" t="str">
        <f ca="1"/>
        <v>SH_01/01 to BR1</v>
      </c>
      <c r="D32" s="52" t="str">
        <f ca="1"/>
        <v>SCM0899</v>
      </c>
      <c r="E32" s="52" t="str">
        <f ca="1"/>
        <v>SAP</v>
      </c>
      <c r="F32" s="52" t="str">
        <f ca="1"/>
        <v>L18_S09</v>
      </c>
      <c r="G32" s="52">
        <f ca="1"/>
        <v>32</v>
      </c>
      <c r="H32" s="52">
        <f ca="1"/>
        <v>2</v>
      </c>
      <c r="I32" s="52">
        <f ca="1"/>
        <v>20</v>
      </c>
      <c r="J32" s="52">
        <f ca="1"/>
        <v>10</v>
      </c>
      <c r="K32" s="51" t="str">
        <f ca="1"/>
        <v/>
      </c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</row>
    <row r="33" spans="2:25" x14ac:dyDescent="0.25">
      <c r="B33" s="51"/>
      <c r="C33" s="70" t="str">
        <f ca="1"/>
        <v>SH_01/01 to BR1</v>
      </c>
      <c r="D33" s="52" t="str">
        <f ca="1"/>
        <v>SCM0899</v>
      </c>
      <c r="E33" s="52" t="str">
        <f ca="1"/>
        <v>SAP</v>
      </c>
      <c r="F33" s="52" t="str">
        <f ca="1"/>
        <v>L18_S09</v>
      </c>
      <c r="G33" s="52">
        <f ca="1"/>
        <v>33</v>
      </c>
      <c r="H33" s="52">
        <f ca="1"/>
        <v>2</v>
      </c>
      <c r="I33" s="52">
        <f ca="1"/>
        <v>20</v>
      </c>
      <c r="J33" s="52">
        <f ca="1"/>
        <v>10</v>
      </c>
      <c r="K33" s="51" t="str">
        <f ca="1"/>
        <v/>
      </c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</row>
    <row r="34" spans="2:25" x14ac:dyDescent="0.25">
      <c r="B34" s="51"/>
      <c r="C34" s="70" t="str">
        <f ca="1"/>
        <v>SH_01/01 to BR1</v>
      </c>
      <c r="D34" s="52" t="str">
        <f ca="1"/>
        <v>SCM0899</v>
      </c>
      <c r="E34" s="52" t="str">
        <f ca="1"/>
        <v>SAP</v>
      </c>
      <c r="F34" s="52" t="str">
        <f ca="1"/>
        <v>L18_S09</v>
      </c>
      <c r="G34" s="52">
        <f ca="1"/>
        <v>34</v>
      </c>
      <c r="H34" s="52">
        <f ca="1"/>
        <v>2</v>
      </c>
      <c r="I34" s="52">
        <f ca="1"/>
        <v>20</v>
      </c>
      <c r="J34" s="52">
        <f ca="1"/>
        <v>10</v>
      </c>
      <c r="K34" s="51" t="str">
        <f ca="1"/>
        <v/>
      </c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</row>
    <row r="35" spans="2:25" x14ac:dyDescent="0.25">
      <c r="B35" s="51"/>
      <c r="C35" s="70" t="str">
        <f ca="1"/>
        <v>SH_01/01 to BR1</v>
      </c>
      <c r="D35" s="52" t="str">
        <f ca="1"/>
        <v>SCM0899</v>
      </c>
      <c r="E35" s="52" t="str">
        <f ca="1"/>
        <v>SAP</v>
      </c>
      <c r="F35" s="52" t="str">
        <f ca="1"/>
        <v>L18_S09</v>
      </c>
      <c r="G35" s="52">
        <f ca="1"/>
        <v>35</v>
      </c>
      <c r="H35" s="52">
        <f ca="1"/>
        <v>2</v>
      </c>
      <c r="I35" s="52">
        <f ca="1"/>
        <v>20</v>
      </c>
      <c r="J35" s="52">
        <f ca="1"/>
        <v>10</v>
      </c>
      <c r="K35" s="51" t="str">
        <f ca="1"/>
        <v/>
      </c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 spans="2:25" x14ac:dyDescent="0.25">
      <c r="B36" s="51"/>
      <c r="C36" s="70" t="str">
        <f ca="1"/>
        <v>SH_01/01 to BR1</v>
      </c>
      <c r="D36" s="52" t="str">
        <f ca="1"/>
        <v>SCM0899</v>
      </c>
      <c r="E36" s="52" t="str">
        <f ca="1"/>
        <v>SAP</v>
      </c>
      <c r="F36" s="52" t="str">
        <f ca="1"/>
        <v>L18_S09</v>
      </c>
      <c r="G36" s="52">
        <f ca="1"/>
        <v>36</v>
      </c>
      <c r="H36" s="52">
        <f ca="1"/>
        <v>2</v>
      </c>
      <c r="I36" s="52">
        <f ca="1"/>
        <v>20</v>
      </c>
      <c r="J36" s="52">
        <f ca="1"/>
        <v>10</v>
      </c>
      <c r="K36" s="51" t="str">
        <f ca="1"/>
        <v/>
      </c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</row>
    <row r="37" spans="2:25" x14ac:dyDescent="0.25">
      <c r="B37" s="51"/>
      <c r="C37" s="70" t="str">
        <f ca="1"/>
        <v>SH_01/01 to BR1</v>
      </c>
      <c r="D37" s="52" t="str">
        <f ca="1"/>
        <v>SCM0899</v>
      </c>
      <c r="E37" s="52" t="str">
        <f ca="1"/>
        <v>SAP</v>
      </c>
      <c r="F37" s="52" t="str">
        <f ca="1"/>
        <v>L18_S09</v>
      </c>
      <c r="G37" s="52">
        <f ca="1"/>
        <v>37</v>
      </c>
      <c r="H37" s="52">
        <f ca="1"/>
        <v>2</v>
      </c>
      <c r="I37" s="52">
        <f ca="1"/>
        <v>20</v>
      </c>
      <c r="J37" s="52">
        <f ca="1"/>
        <v>10</v>
      </c>
      <c r="K37" s="51" t="str">
        <f ca="1"/>
        <v/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</row>
    <row r="38" spans="2:25" x14ac:dyDescent="0.25">
      <c r="B38" s="51"/>
      <c r="C38" s="70" t="str">
        <f ca="1"/>
        <v>SH_01/01 to BR1</v>
      </c>
      <c r="D38" s="52" t="str">
        <f ca="1"/>
        <v>SCM0899</v>
      </c>
      <c r="E38" s="52" t="str">
        <f ca="1"/>
        <v>SAP</v>
      </c>
      <c r="F38" s="52" t="str">
        <f ca="1"/>
        <v>L18_S09</v>
      </c>
      <c r="G38" s="52">
        <f ca="1"/>
        <v>38</v>
      </c>
      <c r="H38" s="52">
        <f ca="1"/>
        <v>2</v>
      </c>
      <c r="I38" s="52">
        <f ca="1"/>
        <v>20</v>
      </c>
      <c r="J38" s="52">
        <f ca="1"/>
        <v>10</v>
      </c>
      <c r="K38" s="51" t="str">
        <f ca="1"/>
        <v/>
      </c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 spans="2:25" x14ac:dyDescent="0.25">
      <c r="B39" s="51"/>
      <c r="C39" s="70" t="str">
        <f ca="1"/>
        <v>SH_01/01 to BR1</v>
      </c>
      <c r="D39" s="52" t="str">
        <f ca="1"/>
        <v>SCM0899</v>
      </c>
      <c r="E39" s="52" t="str">
        <f ca="1"/>
        <v>SAP</v>
      </c>
      <c r="F39" s="52" t="str">
        <f ca="1"/>
        <v>L18_S09</v>
      </c>
      <c r="G39" s="52">
        <f ca="1"/>
        <v>39</v>
      </c>
      <c r="H39" s="52">
        <f ca="1"/>
        <v>2</v>
      </c>
      <c r="I39" s="52">
        <f ca="1"/>
        <v>20</v>
      </c>
      <c r="J39" s="52">
        <f ca="1"/>
        <v>10</v>
      </c>
      <c r="K39" s="51" t="str">
        <f ca="1"/>
        <v/>
      </c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 spans="2:25" x14ac:dyDescent="0.25">
      <c r="B40" s="51"/>
      <c r="C40" s="70" t="str">
        <f ca="1"/>
        <v>In BR1-SH_01</v>
      </c>
      <c r="D40" s="52" t="str">
        <f ca="1"/>
        <v>Not Picked Up</v>
      </c>
      <c r="E40" s="52" t="str">
        <f ca="1"/>
        <v>LIM</v>
      </c>
      <c r="F40" s="52" t="str">
        <f ca="1"/>
        <v>L9_26</v>
      </c>
      <c r="G40" s="52">
        <f ca="1"/>
        <v>3</v>
      </c>
      <c r="H40" s="52">
        <f ca="1"/>
        <v>5</v>
      </c>
      <c r="I40" s="52">
        <f ca="1"/>
        <v>50</v>
      </c>
      <c r="J40" s="52">
        <f ca="1"/>
        <v>5</v>
      </c>
      <c r="K40" s="51" t="str">
        <f ca="1"/>
        <v/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</row>
    <row r="41" spans="2:25" x14ac:dyDescent="0.25">
      <c r="B41" s="51"/>
      <c r="C41" s="70" t="str">
        <f ca="1"/>
        <v>In BR1-SH_01</v>
      </c>
      <c r="D41" s="52" t="str">
        <f ca="1"/>
        <v>Not Picked Up</v>
      </c>
      <c r="E41" s="52" t="str">
        <f ca="1"/>
        <v>SAP</v>
      </c>
      <c r="F41" s="52" t="str">
        <f ca="1"/>
        <v>L18_S09</v>
      </c>
      <c r="G41" s="52">
        <f ca="1"/>
        <v>40</v>
      </c>
      <c r="H41" s="52">
        <f ca="1"/>
        <v>2</v>
      </c>
      <c r="I41" s="52">
        <f ca="1"/>
        <v>6</v>
      </c>
      <c r="J41" s="52">
        <f ca="1"/>
        <v>3</v>
      </c>
      <c r="K41" s="51" t="str">
        <f ca="1"/>
        <v/>
      </c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</row>
    <row r="42" spans="2:25" x14ac:dyDescent="0.25">
      <c r="B42" s="51"/>
      <c r="C42" s="70" t="str">
        <f ca="1"/>
        <v>In BR1-SH_01</v>
      </c>
      <c r="D42" s="52" t="str">
        <f ca="1"/>
        <v>Not Picked Up</v>
      </c>
      <c r="E42" s="52" t="str">
        <f ca="1"/>
        <v>SAP</v>
      </c>
      <c r="F42" s="52" t="str">
        <f ca="1"/>
        <v>L18_S09</v>
      </c>
      <c r="G42" s="52">
        <f ca="1"/>
        <v>41</v>
      </c>
      <c r="H42" s="52">
        <f ca="1"/>
        <v>2</v>
      </c>
      <c r="I42" s="52">
        <f ca="1"/>
        <v>6</v>
      </c>
      <c r="J42" s="52">
        <f ca="1"/>
        <v>3</v>
      </c>
      <c r="K42" s="51" t="str">
        <f ca="1"/>
        <v/>
      </c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</row>
    <row r="43" spans="2:25" x14ac:dyDescent="0.25">
      <c r="B43" s="51"/>
      <c r="C43" s="70" t="str">
        <f ca="1"/>
        <v>In BR1-SH_01</v>
      </c>
      <c r="D43" s="52" t="str">
        <f ca="1"/>
        <v>Not Picked Up</v>
      </c>
      <c r="E43" s="52" t="str">
        <f ca="1"/>
        <v>SAP</v>
      </c>
      <c r="F43" s="52" t="str">
        <f ca="1"/>
        <v>L18_S09</v>
      </c>
      <c r="G43" s="52">
        <f ca="1"/>
        <v>42</v>
      </c>
      <c r="H43" s="52">
        <f ca="1"/>
        <v>2</v>
      </c>
      <c r="I43" s="52">
        <f ca="1"/>
        <v>20</v>
      </c>
      <c r="J43" s="52">
        <f ca="1"/>
        <v>10</v>
      </c>
      <c r="K43" s="51" t="str">
        <f ca="1"/>
        <v/>
      </c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</row>
    <row r="44" spans="2:25" x14ac:dyDescent="0.25">
      <c r="B44" s="51"/>
      <c r="C44" s="70" t="str">
        <f ca="1"/>
        <v>In BR1-SH_01</v>
      </c>
      <c r="D44" s="52" t="str">
        <f ca="1"/>
        <v>Not Picked Up</v>
      </c>
      <c r="E44" s="52" t="str">
        <f ca="1"/>
        <v>SAP</v>
      </c>
      <c r="F44" s="52" t="str">
        <f ca="1"/>
        <v>L18_S09</v>
      </c>
      <c r="G44" s="52">
        <f ca="1"/>
        <v>43</v>
      </c>
      <c r="H44" s="52">
        <f ca="1"/>
        <v>2</v>
      </c>
      <c r="I44" s="52">
        <f ca="1"/>
        <v>20</v>
      </c>
      <c r="J44" s="52">
        <f ca="1"/>
        <v>10</v>
      </c>
      <c r="K44" s="51" t="str">
        <f ca="1"/>
        <v/>
      </c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</row>
    <row r="45" spans="2:25" x14ac:dyDescent="0.25">
      <c r="B45" s="51"/>
      <c r="C45" s="70" t="str">
        <f ca="1"/>
        <v>In BR1-SH_01</v>
      </c>
      <c r="D45" s="52" t="str">
        <f ca="1"/>
        <v>Not Picked Up</v>
      </c>
      <c r="E45" s="52" t="str">
        <f ca="1"/>
        <v>SAP</v>
      </c>
      <c r="F45" s="52" t="str">
        <f ca="1"/>
        <v>L18_S09</v>
      </c>
      <c r="G45" s="52">
        <f ca="1"/>
        <v>44</v>
      </c>
      <c r="H45" s="52">
        <f ca="1"/>
        <v>2</v>
      </c>
      <c r="I45" s="52">
        <f ca="1"/>
        <v>2</v>
      </c>
      <c r="J45" s="52">
        <f ca="1"/>
        <v>1</v>
      </c>
      <c r="K45" s="51" t="str">
        <f ca="1"/>
        <v/>
      </c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spans="2:25" x14ac:dyDescent="0.25">
      <c r="B46" s="51"/>
      <c r="C46" s="70" t="str">
        <f ca="1"/>
        <v/>
      </c>
      <c r="D46" s="52" t="str">
        <f ca="1"/>
        <v/>
      </c>
      <c r="E46" s="52" t="str">
        <f ca="1"/>
        <v/>
      </c>
      <c r="F46" s="52" t="str">
        <f ca="1"/>
        <v/>
      </c>
      <c r="G46" s="52" t="str">
        <f ca="1"/>
        <v/>
      </c>
      <c r="H46" s="52" t="str">
        <f ca="1"/>
        <v/>
      </c>
      <c r="I46" s="52" t="str">
        <f ca="1"/>
        <v/>
      </c>
      <c r="J46" s="52" t="str">
        <f ca="1"/>
        <v/>
      </c>
      <c r="K46" s="51" t="str">
        <f ca="1"/>
        <v/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</row>
    <row r="47" spans="2:25" x14ac:dyDescent="0.25">
      <c r="B47" s="51"/>
      <c r="C47" s="70" t="str">
        <f ca="1"/>
        <v>_*Haulage_ID</v>
      </c>
      <c r="D47" s="52" t="str">
        <f ca="1"/>
        <v>Truck_ID</v>
      </c>
      <c r="E47" s="52" t="str">
        <f ca="1"/>
        <v>Ore</v>
      </c>
      <c r="F47" s="52" t="str">
        <f ca="1"/>
        <v>Stockpile</v>
      </c>
      <c r="G47" s="52" t="str">
        <f ca="1"/>
        <v>Pile_ID</v>
      </c>
      <c r="H47" s="52" t="str">
        <f ca="1"/>
        <v>Batch</v>
      </c>
      <c r="I47" s="52" t="str">
        <f ca="1"/>
        <v>Sample</v>
      </c>
      <c r="J47" s="52" t="str">
        <f ca="1"/>
        <v>Status</v>
      </c>
      <c r="K47" s="51" t="str">
        <f ca="1"/>
        <v>Remark*_</v>
      </c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</row>
    <row r="48" spans="2:25" x14ac:dyDescent="0.25">
      <c r="B48" s="51"/>
      <c r="C48" s="70" t="str">
        <f ca="1"/>
        <v>46211/D|BR1/01</v>
      </c>
      <c r="D48" s="52" t="str">
        <f ca="1"/>
        <v>STM-A40_0121</v>
      </c>
      <c r="E48" s="52" t="str">
        <f ca="1"/>
        <v>SAP</v>
      </c>
      <c r="F48" s="52" t="str">
        <f ca="1"/>
        <v>LS_18</v>
      </c>
      <c r="G48" s="52" t="str">
        <f ca="1"/>
        <v>L18_S09</v>
      </c>
      <c r="H48" s="52" t="str">
        <f ca="1"/>
        <v>024 / 011</v>
      </c>
      <c r="I48" s="52" t="str">
        <f ca="1"/>
        <v>No</v>
      </c>
      <c r="J48" s="52" t="str">
        <f ca="1"/>
        <v/>
      </c>
      <c r="K48" s="51" t="str">
        <f ca="1"/>
        <v/>
      </c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</row>
    <row r="49" spans="2:25" x14ac:dyDescent="0.25">
      <c r="B49" s="51"/>
      <c r="C49" s="70" t="str">
        <f ca="1"/>
        <v>46211/D|BR1/01</v>
      </c>
      <c r="D49" s="52" t="str">
        <f ca="1"/>
        <v>STM-A40_0119</v>
      </c>
      <c r="E49" s="52" t="str">
        <f ca="1"/>
        <v>SAP</v>
      </c>
      <c r="F49" s="52" t="str">
        <f ca="1"/>
        <v>LS_18</v>
      </c>
      <c r="G49" s="52" t="str">
        <f ca="1"/>
        <v>L18_S09</v>
      </c>
      <c r="H49" s="52" t="str">
        <f ca="1"/>
        <v>024 / 012</v>
      </c>
      <c r="I49" s="52" t="str">
        <f ca="1"/>
        <v>Yes</v>
      </c>
      <c r="J49" s="52" t="str">
        <f ca="1"/>
        <v/>
      </c>
      <c r="K49" s="51" t="str">
        <f ca="1"/>
        <v/>
      </c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</row>
    <row r="50" spans="2:25" x14ac:dyDescent="0.25">
      <c r="B50" s="51"/>
      <c r="C50" s="70" t="str">
        <f ca="1"/>
        <v>46211/D|BR1/01</v>
      </c>
      <c r="D50" s="52" t="str">
        <f ca="1"/>
        <v>STM-A40_0107</v>
      </c>
      <c r="E50" s="52" t="str">
        <f ca="1"/>
        <v>SAP</v>
      </c>
      <c r="F50" s="52" t="str">
        <f ca="1"/>
        <v>LS_18</v>
      </c>
      <c r="G50" s="52" t="str">
        <f ca="1"/>
        <v>L18_S09</v>
      </c>
      <c r="H50" s="52" t="str">
        <f ca="1"/>
        <v>024 / 013</v>
      </c>
      <c r="I50" s="52" t="str">
        <f ca="1"/>
        <v>No</v>
      </c>
      <c r="J50" s="52" t="str">
        <f ca="1"/>
        <v/>
      </c>
      <c r="K50" s="51" t="str">
        <f ca="1"/>
        <v/>
      </c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</row>
    <row r="51" spans="2:25" x14ac:dyDescent="0.25">
      <c r="B51" s="51"/>
      <c r="C51" s="70" t="str">
        <f ca="1"/>
        <v>46211/D|BR1/01</v>
      </c>
      <c r="D51" s="52" t="str">
        <f ca="1"/>
        <v>STM-A40_0105</v>
      </c>
      <c r="E51" s="52" t="str">
        <f ca="1"/>
        <v>SAP</v>
      </c>
      <c r="F51" s="52" t="str">
        <f ca="1"/>
        <v>LS_18</v>
      </c>
      <c r="G51" s="52" t="str">
        <f ca="1"/>
        <v>L18_S09</v>
      </c>
      <c r="H51" s="52" t="str">
        <f ca="1"/>
        <v>024 / 014</v>
      </c>
      <c r="I51" s="52" t="str">
        <f ca="1"/>
        <v>Yes</v>
      </c>
      <c r="J51" s="52" t="str">
        <f ca="1"/>
        <v/>
      </c>
      <c r="K51" s="51" t="str">
        <f ca="1"/>
        <v/>
      </c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</row>
    <row r="52" spans="2:25" x14ac:dyDescent="0.25">
      <c r="B52" s="51"/>
      <c r="C52" s="70" t="str">
        <f ca="1"/>
        <v>46211/D|BR1/01</v>
      </c>
      <c r="D52" s="52" t="str">
        <f ca="1"/>
        <v>STM-A40_0136</v>
      </c>
      <c r="E52" s="52" t="str">
        <f ca="1"/>
        <v>SAP</v>
      </c>
      <c r="F52" s="52" t="str">
        <f ca="1"/>
        <v>LS_18</v>
      </c>
      <c r="G52" s="52" t="str">
        <f ca="1"/>
        <v>L18_S09</v>
      </c>
      <c r="H52" s="52" t="str">
        <f ca="1"/>
        <v>024 / 015</v>
      </c>
      <c r="I52" s="52" t="str">
        <f ca="1"/>
        <v>No</v>
      </c>
      <c r="J52" s="52" t="str">
        <f ca="1"/>
        <v/>
      </c>
      <c r="K52" s="51" t="str">
        <f ca="1"/>
        <v/>
      </c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</row>
    <row r="53" spans="2:25" x14ac:dyDescent="0.25">
      <c r="B53" s="51"/>
      <c r="C53" s="70" t="str">
        <f ca="1"/>
        <v>46211/D|BR1/01</v>
      </c>
      <c r="D53" s="52" t="str">
        <f ca="1"/>
        <v>STM-A40_0106</v>
      </c>
      <c r="E53" s="52" t="str">
        <f ca="1"/>
        <v>SAP</v>
      </c>
      <c r="F53" s="52" t="str">
        <f ca="1"/>
        <v>LS_18</v>
      </c>
      <c r="G53" s="52" t="str">
        <f ca="1"/>
        <v>L18_S09</v>
      </c>
      <c r="H53" s="52" t="str">
        <f ca="1"/>
        <v>024 / 016</v>
      </c>
      <c r="I53" s="52" t="str">
        <f ca="1"/>
        <v>Yes</v>
      </c>
      <c r="J53" s="52" t="str">
        <f ca="1"/>
        <v/>
      </c>
      <c r="K53" s="51" t="str">
        <f ca="1"/>
        <v/>
      </c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</row>
    <row r="54" spans="2:25" x14ac:dyDescent="0.25">
      <c r="B54" s="51"/>
      <c r="C54" s="70" t="str">
        <f ca="1"/>
        <v>46211/D|BR1/01</v>
      </c>
      <c r="D54" s="52" t="str">
        <f ca="1"/>
        <v>STM-A40_0121</v>
      </c>
      <c r="E54" s="52" t="str">
        <f ca="1"/>
        <v>SAP</v>
      </c>
      <c r="F54" s="52" t="str">
        <f ca="1"/>
        <v>LS_18</v>
      </c>
      <c r="G54" s="52" t="str">
        <f ca="1"/>
        <v>L18_S09</v>
      </c>
      <c r="H54" s="52" t="str">
        <f ca="1"/>
        <v>024 / 017</v>
      </c>
      <c r="I54" s="52" t="str">
        <f ca="1"/>
        <v>No</v>
      </c>
      <c r="J54" s="52" t="str">
        <f ca="1"/>
        <v/>
      </c>
      <c r="K54" s="51" t="str">
        <f ca="1"/>
        <v/>
      </c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</row>
    <row r="55" spans="2:25" x14ac:dyDescent="0.25">
      <c r="B55" s="51"/>
      <c r="C55" s="70" t="str">
        <f ca="1"/>
        <v>46211/D|BR1/01</v>
      </c>
      <c r="D55" s="52" t="str">
        <f ca="1"/>
        <v>STM-A40_0119</v>
      </c>
      <c r="E55" s="52" t="str">
        <f ca="1"/>
        <v>SAP</v>
      </c>
      <c r="F55" s="52" t="str">
        <f ca="1"/>
        <v>LS_18</v>
      </c>
      <c r="G55" s="52" t="str">
        <f ca="1"/>
        <v>L18_S09</v>
      </c>
      <c r="H55" s="52" t="str">
        <f ca="1"/>
        <v>024 / 018</v>
      </c>
      <c r="I55" s="52" t="str">
        <f ca="1"/>
        <v>Yes</v>
      </c>
      <c r="J55" s="52" t="str">
        <f ca="1"/>
        <v/>
      </c>
      <c r="K55" s="51" t="str">
        <f ca="1"/>
        <v/>
      </c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</row>
    <row r="56" spans="2:25" x14ac:dyDescent="0.25">
      <c r="B56" s="51"/>
      <c r="C56" s="70" t="str">
        <f ca="1"/>
        <v>46211/D|BR1/01</v>
      </c>
      <c r="D56" s="52" t="str">
        <f ca="1"/>
        <v>STM-A40_0107</v>
      </c>
      <c r="E56" s="52" t="str">
        <f ca="1"/>
        <v>SAP</v>
      </c>
      <c r="F56" s="52" t="str">
        <f ca="1"/>
        <v>LS_18</v>
      </c>
      <c r="G56" s="52" t="str">
        <f ca="1"/>
        <v>L18_S09</v>
      </c>
      <c r="H56" s="52" t="str">
        <f ca="1"/>
        <v>024 / 019</v>
      </c>
      <c r="I56" s="52" t="str">
        <f ca="1"/>
        <v>No</v>
      </c>
      <c r="J56" s="52" t="str">
        <f ca="1"/>
        <v/>
      </c>
      <c r="K56" s="51" t="str">
        <f ca="1"/>
        <v/>
      </c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</row>
    <row r="57" spans="2:25" x14ac:dyDescent="0.25">
      <c r="B57" s="51"/>
      <c r="C57" s="70" t="str">
        <f ca="1"/>
        <v>46211/D|BR1/01</v>
      </c>
      <c r="D57" s="52" t="str">
        <f ca="1"/>
        <v>STM-A40_0105</v>
      </c>
      <c r="E57" s="52" t="str">
        <f ca="1"/>
        <v>SAP</v>
      </c>
      <c r="F57" s="52" t="str">
        <f ca="1"/>
        <v>LS_18</v>
      </c>
      <c r="G57" s="52" t="str">
        <f ca="1"/>
        <v>L18_S09</v>
      </c>
      <c r="H57" s="52" t="str">
        <f ca="1"/>
        <v>024 / 020</v>
      </c>
      <c r="I57" s="52" t="str">
        <f ca="1"/>
        <v>Yes</v>
      </c>
      <c r="J57" s="52" t="str">
        <f ca="1"/>
        <v/>
      </c>
      <c r="K57" s="51" t="str">
        <f ca="1"/>
        <v/>
      </c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</row>
    <row r="58" spans="2:25" x14ac:dyDescent="0.25">
      <c r="B58" s="51"/>
      <c r="C58" s="70" t="str">
        <f ca="1"/>
        <v>46211/D|BR1/04</v>
      </c>
      <c r="D58" s="52">
        <f ca="1"/>
        <v>0</v>
      </c>
      <c r="E58" s="52" t="str">
        <f ca="1"/>
        <v>SAP</v>
      </c>
      <c r="F58" s="52" t="str">
        <f ca="1"/>
        <v>LS_18</v>
      </c>
      <c r="G58" s="52" t="str">
        <f ca="1"/>
        <v>L18_S09</v>
      </c>
      <c r="H58" s="52" t="str">
        <f ca="1"/>
        <v>025 / 004</v>
      </c>
      <c r="I58" s="52" t="str">
        <f ca="1"/>
        <v>Yes</v>
      </c>
      <c r="J58" s="52" t="str">
        <f ca="1"/>
        <v/>
      </c>
      <c r="K58" s="51" t="str">
        <f ca="1"/>
        <v>TRUCK SALAH</v>
      </c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</row>
    <row r="59" spans="2:25" x14ac:dyDescent="0.25">
      <c r="B59" s="51"/>
      <c r="C59" s="70" t="str">
        <f ca="1"/>
        <v>46211/D|BR1/02</v>
      </c>
      <c r="D59" s="52" t="str">
        <f ca="1"/>
        <v>STM-A40_0087</v>
      </c>
      <c r="E59" s="52" t="str">
        <f ca="1"/>
        <v>SAP</v>
      </c>
      <c r="F59" s="52" t="str">
        <f ca="1"/>
        <v>LS_18</v>
      </c>
      <c r="G59" s="52" t="str">
        <f ca="1"/>
        <v>L18_S09</v>
      </c>
      <c r="H59" s="52" t="str">
        <f ca="1"/>
        <v>031 / 019</v>
      </c>
      <c r="I59" s="52" t="str">
        <f ca="1"/>
        <v>No</v>
      </c>
      <c r="J59" s="52" t="str">
        <f ca="1"/>
        <v/>
      </c>
      <c r="K59" s="51" t="str">
        <f ca="1"/>
        <v/>
      </c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</row>
    <row r="60" spans="2:25" x14ac:dyDescent="0.25">
      <c r="B60" s="51"/>
      <c r="C60" s="70" t="str">
        <f ca="1"/>
        <v>46211/D|BR1/02</v>
      </c>
      <c r="D60" s="52" t="str">
        <f ca="1"/>
        <v>STM-A40_0133</v>
      </c>
      <c r="E60" s="52" t="str">
        <f ca="1"/>
        <v>SAP</v>
      </c>
      <c r="F60" s="52" t="str">
        <f ca="1"/>
        <v>LS_18</v>
      </c>
      <c r="G60" s="52" t="str">
        <f ca="1"/>
        <v>L18_S09</v>
      </c>
      <c r="H60" s="52" t="str">
        <f ca="1"/>
        <v>031 / 020</v>
      </c>
      <c r="I60" s="52" t="str">
        <f ca="1"/>
        <v>Yes</v>
      </c>
      <c r="J60" s="52" t="str">
        <f ca="1"/>
        <v/>
      </c>
      <c r="K60" s="51" t="str">
        <f ca="1"/>
        <v/>
      </c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</row>
    <row r="61" spans="2:25" x14ac:dyDescent="0.25">
      <c r="B61" s="51"/>
      <c r="C61" s="70" t="str">
        <f ca="1"/>
        <v>46211/D|BR1/04</v>
      </c>
      <c r="D61" s="52" t="str">
        <f ca="1"/>
        <v>STM-A40_0121</v>
      </c>
      <c r="E61" s="52" t="str">
        <f ca="1"/>
        <v>SAP</v>
      </c>
      <c r="F61" s="52" t="str">
        <f ca="1"/>
        <v>LS_18</v>
      </c>
      <c r="G61" s="52" t="str">
        <f ca="1"/>
        <v>L18_S09</v>
      </c>
      <c r="H61" s="52" t="str">
        <f ca="1"/>
        <v>032 / 015</v>
      </c>
      <c r="I61" s="52" t="str">
        <f ca="1"/>
        <v>No</v>
      </c>
      <c r="J61" s="52" t="str">
        <f ca="1"/>
        <v/>
      </c>
      <c r="K61" s="51" t="str">
        <f ca="1"/>
        <v>TRUCK SALAH</v>
      </c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</row>
    <row r="62" spans="2:25" x14ac:dyDescent="0.25">
      <c r="B62" s="51"/>
      <c r="C62" s="70" t="str">
        <f ca="1"/>
        <v>46211/D|BR1/04</v>
      </c>
      <c r="D62" s="52" t="str">
        <f ca="1"/>
        <v>STM-A40_0107</v>
      </c>
      <c r="E62" s="52" t="str">
        <f ca="1"/>
        <v>SAP</v>
      </c>
      <c r="F62" s="52" t="str">
        <f ca="1"/>
        <v>LS_18</v>
      </c>
      <c r="G62" s="52" t="str">
        <f ca="1"/>
        <v>L18_S09</v>
      </c>
      <c r="H62" s="52" t="str">
        <f ca="1"/>
        <v>032 / 016</v>
      </c>
      <c r="I62" s="52" t="str">
        <f ca="1"/>
        <v>Yes</v>
      </c>
      <c r="J62" s="52" t="str">
        <f ca="1"/>
        <v/>
      </c>
      <c r="K62" s="51" t="str">
        <f ca="1"/>
        <v/>
      </c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</row>
    <row r="63" spans="2:25" x14ac:dyDescent="0.25">
      <c r="B63" s="51"/>
      <c r="C63" s="70" t="str">
        <f ca="1"/>
        <v>46211/D|BR1/04</v>
      </c>
      <c r="D63" s="52" t="str">
        <f ca="1"/>
        <v>STM-A40_0106</v>
      </c>
      <c r="E63" s="52" t="str">
        <f ca="1"/>
        <v>SAP</v>
      </c>
      <c r="F63" s="52" t="str">
        <f ca="1"/>
        <v>LS_18</v>
      </c>
      <c r="G63" s="52" t="str">
        <f ca="1"/>
        <v>L18_S09</v>
      </c>
      <c r="H63" s="52" t="str">
        <f ca="1"/>
        <v>032 / 017</v>
      </c>
      <c r="I63" s="52" t="str">
        <f ca="1"/>
        <v>No</v>
      </c>
      <c r="J63" s="52" t="str">
        <f ca="1"/>
        <v/>
      </c>
      <c r="K63" s="51" t="str">
        <f ca="1"/>
        <v/>
      </c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</row>
    <row r="64" spans="2:25" x14ac:dyDescent="0.25">
      <c r="B64" s="51"/>
      <c r="C64" s="70" t="str">
        <f ca="1"/>
        <v>46211/D|BR1/04</v>
      </c>
      <c r="D64" s="52" t="str">
        <f ca="1"/>
        <v>STM-A40_0119</v>
      </c>
      <c r="E64" s="52" t="str">
        <f ca="1"/>
        <v>SAP</v>
      </c>
      <c r="F64" s="52" t="str">
        <f ca="1"/>
        <v>LS_18</v>
      </c>
      <c r="G64" s="52" t="str">
        <f ca="1"/>
        <v>L18_S09</v>
      </c>
      <c r="H64" s="52" t="str">
        <f ca="1"/>
        <v>032 / 018</v>
      </c>
      <c r="I64" s="52" t="str">
        <f ca="1"/>
        <v>Yes</v>
      </c>
      <c r="J64" s="52" t="str">
        <f ca="1"/>
        <v/>
      </c>
      <c r="K64" s="51" t="str">
        <f ca="1"/>
        <v/>
      </c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2:25" x14ac:dyDescent="0.25">
      <c r="B65" s="51"/>
      <c r="C65" s="70" t="str">
        <f ca="1"/>
        <v>46211/D|BR1/04</v>
      </c>
      <c r="D65" s="52" t="str">
        <f ca="1"/>
        <v>STM-A40_0105</v>
      </c>
      <c r="E65" s="52" t="str">
        <f ca="1"/>
        <v>SAP</v>
      </c>
      <c r="F65" s="52" t="str">
        <f ca="1"/>
        <v>LS_18</v>
      </c>
      <c r="G65" s="52" t="str">
        <f ca="1"/>
        <v>L18_S09</v>
      </c>
      <c r="H65" s="52" t="str">
        <f ca="1"/>
        <v>032 / 019</v>
      </c>
      <c r="I65" s="52" t="str">
        <f ca="1"/>
        <v>No</v>
      </c>
      <c r="J65" s="52" t="str">
        <f ca="1"/>
        <v/>
      </c>
      <c r="K65" s="51" t="str">
        <f ca="1"/>
        <v/>
      </c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</row>
    <row r="66" spans="2:25" x14ac:dyDescent="0.25">
      <c r="B66" s="51"/>
      <c r="C66" s="70" t="str">
        <f ca="1"/>
        <v>46211/D|BR1/04</v>
      </c>
      <c r="D66" s="52" t="str">
        <f ca="1"/>
        <v>STM-A40_0121</v>
      </c>
      <c r="E66" s="52" t="str">
        <f ca="1"/>
        <v>SAP</v>
      </c>
      <c r="F66" s="52" t="str">
        <f ca="1"/>
        <v>LS_18</v>
      </c>
      <c r="G66" s="52" t="str">
        <f ca="1"/>
        <v>L18_S09</v>
      </c>
      <c r="H66" s="52" t="str">
        <f ca="1"/>
        <v>032 / 020</v>
      </c>
      <c r="I66" s="52" t="str">
        <f ca="1"/>
        <v>Yes</v>
      </c>
      <c r="J66" s="52" t="str">
        <f ca="1"/>
        <v/>
      </c>
      <c r="K66" s="51" t="str">
        <f ca="1"/>
        <v>TRUCK SALAH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</row>
    <row r="67" spans="2:25" x14ac:dyDescent="0.25">
      <c r="B67" s="51"/>
      <c r="C67" s="70" t="str">
        <f ca="1"/>
        <v>46211/D|BR1/02</v>
      </c>
      <c r="D67" s="52" t="str">
        <f ca="1"/>
        <v>STM-A40_0132</v>
      </c>
      <c r="E67" s="52" t="str">
        <f ca="1"/>
        <v>SAP</v>
      </c>
      <c r="F67" s="52" t="str">
        <f ca="1"/>
        <v>LS_18</v>
      </c>
      <c r="G67" s="52" t="str">
        <f ca="1"/>
        <v>L18_S09</v>
      </c>
      <c r="H67" s="52" t="str">
        <f ca="1"/>
        <v>033 / 001</v>
      </c>
      <c r="I67" s="52" t="str">
        <f ca="1"/>
        <v>No</v>
      </c>
      <c r="J67" s="52" t="str">
        <f ca="1"/>
        <v/>
      </c>
      <c r="K67" s="51" t="str">
        <f ca="1"/>
        <v/>
      </c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</row>
    <row r="68" spans="2:25" x14ac:dyDescent="0.25">
      <c r="B68" s="51"/>
      <c r="C68" s="70" t="str">
        <f ca="1"/>
        <v>46211/D|BR1/02</v>
      </c>
      <c r="D68" s="52" t="str">
        <f ca="1"/>
        <v>STM-A40_0097</v>
      </c>
      <c r="E68" s="52" t="str">
        <f ca="1"/>
        <v>SAP</v>
      </c>
      <c r="F68" s="52" t="str">
        <f ca="1"/>
        <v>LS_18</v>
      </c>
      <c r="G68" s="52" t="str">
        <f ca="1"/>
        <v>L18_S09</v>
      </c>
      <c r="H68" s="52" t="str">
        <f ca="1"/>
        <v>033 / 002</v>
      </c>
      <c r="I68" s="52" t="str">
        <f ca="1"/>
        <v>Yes</v>
      </c>
      <c r="J68" s="52" t="str">
        <f ca="1"/>
        <v/>
      </c>
      <c r="K68" s="51" t="str">
        <f ca="1"/>
        <v/>
      </c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</row>
    <row r="69" spans="2:25" x14ac:dyDescent="0.25">
      <c r="B69" s="51"/>
      <c r="C69" s="70" t="str">
        <f ca="1"/>
        <v>46211/D|BR1/02</v>
      </c>
      <c r="D69" s="52" t="str">
        <f ca="1"/>
        <v>STM-A40_0068</v>
      </c>
      <c r="E69" s="52" t="str">
        <f ca="1"/>
        <v>SAP</v>
      </c>
      <c r="F69" s="52" t="str">
        <f ca="1"/>
        <v>LS_18</v>
      </c>
      <c r="G69" s="52" t="str">
        <f ca="1"/>
        <v>L18_S09</v>
      </c>
      <c r="H69" s="52" t="str">
        <f ca="1"/>
        <v>033 / 003</v>
      </c>
      <c r="I69" s="52" t="str">
        <f ca="1"/>
        <v>No</v>
      </c>
      <c r="J69" s="52" t="str">
        <f ca="1"/>
        <v/>
      </c>
      <c r="K69" s="51" t="str">
        <f ca="1"/>
        <v/>
      </c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2:25" x14ac:dyDescent="0.25">
      <c r="B70" s="51"/>
      <c r="C70" s="70" t="str">
        <f ca="1"/>
        <v>46211/D|BR1/02</v>
      </c>
      <c r="D70" s="52" t="str">
        <f ca="1"/>
        <v>STM-A40_0087</v>
      </c>
      <c r="E70" s="52" t="str">
        <f ca="1"/>
        <v>SAP</v>
      </c>
      <c r="F70" s="52" t="str">
        <f ca="1"/>
        <v>LS_18</v>
      </c>
      <c r="G70" s="52" t="str">
        <f ca="1"/>
        <v>L18_S09</v>
      </c>
      <c r="H70" s="52" t="str">
        <f ca="1"/>
        <v>033 / 004</v>
      </c>
      <c r="I70" s="52" t="str">
        <f ca="1"/>
        <v>Yes</v>
      </c>
      <c r="J70" s="52" t="str">
        <f ca="1"/>
        <v/>
      </c>
      <c r="K70" s="51" t="str">
        <f ca="1"/>
        <v/>
      </c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</row>
    <row r="71" spans="2:25" x14ac:dyDescent="0.25">
      <c r="B71" s="51"/>
      <c r="C71" s="70" t="str">
        <f ca="1"/>
        <v>46211/D|BR1/02</v>
      </c>
      <c r="D71" s="52" t="str">
        <f ca="1"/>
        <v>STM-A40_0136</v>
      </c>
      <c r="E71" s="52" t="str">
        <f ca="1"/>
        <v>SAP</v>
      </c>
      <c r="F71" s="52" t="str">
        <f ca="1"/>
        <v>LS_18</v>
      </c>
      <c r="G71" s="52" t="str">
        <f ca="1"/>
        <v>L18_S09</v>
      </c>
      <c r="H71" s="52" t="str">
        <f ca="1"/>
        <v>033 / 005</v>
      </c>
      <c r="I71" s="52" t="str">
        <f ca="1"/>
        <v>No</v>
      </c>
      <c r="J71" s="52" t="str">
        <f ca="1"/>
        <v/>
      </c>
      <c r="K71" s="51" t="str">
        <f ca="1"/>
        <v/>
      </c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</row>
    <row r="72" spans="2:25" x14ac:dyDescent="0.25">
      <c r="B72" s="51"/>
      <c r="C72" s="70" t="str">
        <f ca="1"/>
        <v>46211/D|BR1/02</v>
      </c>
      <c r="D72" s="52" t="str">
        <f ca="1"/>
        <v>STM-A40_0133</v>
      </c>
      <c r="E72" s="52" t="str">
        <f ca="1"/>
        <v>SAP</v>
      </c>
      <c r="F72" s="52" t="str">
        <f ca="1"/>
        <v>LS_18</v>
      </c>
      <c r="G72" s="52" t="str">
        <f ca="1"/>
        <v>L18_S09</v>
      </c>
      <c r="H72" s="52" t="str">
        <f ca="1"/>
        <v>033 / 006</v>
      </c>
      <c r="I72" s="52" t="str">
        <f ca="1"/>
        <v>Yes</v>
      </c>
      <c r="J72" s="52" t="str">
        <f ca="1"/>
        <v/>
      </c>
      <c r="K72" s="51" t="str">
        <f ca="1"/>
        <v/>
      </c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</row>
    <row r="73" spans="2:25" x14ac:dyDescent="0.25">
      <c r="B73" s="51"/>
      <c r="C73" s="70" t="str">
        <f ca="1"/>
        <v>46211/D|BR1/02</v>
      </c>
      <c r="D73" s="52" t="str">
        <f ca="1"/>
        <v>STM-A40_0132</v>
      </c>
      <c r="E73" s="52" t="str">
        <f ca="1"/>
        <v>SAP</v>
      </c>
      <c r="F73" s="52" t="str">
        <f ca="1"/>
        <v>LS_18</v>
      </c>
      <c r="G73" s="52" t="str">
        <f ca="1"/>
        <v>L18_S09</v>
      </c>
      <c r="H73" s="52" t="str">
        <f ca="1"/>
        <v>033 / 007</v>
      </c>
      <c r="I73" s="52" t="str">
        <f ca="1"/>
        <v>No</v>
      </c>
      <c r="J73" s="52" t="str">
        <f ca="1"/>
        <v/>
      </c>
      <c r="K73" s="51" t="str">
        <f ca="1"/>
        <v/>
      </c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</row>
    <row r="74" spans="2:25" x14ac:dyDescent="0.25">
      <c r="B74" s="51"/>
      <c r="C74" s="70" t="str">
        <f ca="1"/>
        <v>46211/D|BR1/02</v>
      </c>
      <c r="D74" s="52" t="str">
        <f ca="1"/>
        <v>STM-A40_0097</v>
      </c>
      <c r="E74" s="52" t="str">
        <f ca="1"/>
        <v>SAP</v>
      </c>
      <c r="F74" s="52" t="str">
        <f ca="1"/>
        <v>LS_18</v>
      </c>
      <c r="G74" s="52" t="str">
        <f ca="1"/>
        <v>L18_S09</v>
      </c>
      <c r="H74" s="52" t="str">
        <f ca="1"/>
        <v>033 / 008</v>
      </c>
      <c r="I74" s="52" t="str">
        <f ca="1"/>
        <v>Yes</v>
      </c>
      <c r="J74" s="52" t="str">
        <f ca="1"/>
        <v/>
      </c>
      <c r="K74" s="51" t="str">
        <f ca="1"/>
        <v/>
      </c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2:25" x14ac:dyDescent="0.25">
      <c r="B75" s="51"/>
      <c r="C75" s="70" t="str">
        <f ca="1"/>
        <v>46211/D|BR1/02</v>
      </c>
      <c r="D75" s="52" t="str">
        <f ca="1"/>
        <v>STM-A40_0087</v>
      </c>
      <c r="E75" s="52" t="str">
        <f ca="1"/>
        <v>SAP</v>
      </c>
      <c r="F75" s="52" t="str">
        <f ca="1"/>
        <v>LS_18</v>
      </c>
      <c r="G75" s="52" t="str">
        <f ca="1"/>
        <v>L18_S09</v>
      </c>
      <c r="H75" s="52" t="str">
        <f ca="1"/>
        <v>033 / 009</v>
      </c>
      <c r="I75" s="52" t="str">
        <f ca="1"/>
        <v>No</v>
      </c>
      <c r="J75" s="52" t="str">
        <f ca="1"/>
        <v/>
      </c>
      <c r="K75" s="51" t="str">
        <f ca="1"/>
        <v/>
      </c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</row>
    <row r="76" spans="2:25" x14ac:dyDescent="0.25">
      <c r="B76" s="51"/>
      <c r="C76" s="70" t="str">
        <f ca="1"/>
        <v>46211/D|BR1/02</v>
      </c>
      <c r="D76" s="52" t="str">
        <f ca="1"/>
        <v>STM-A40_0069</v>
      </c>
      <c r="E76" s="52" t="str">
        <f ca="1"/>
        <v>SAP</v>
      </c>
      <c r="F76" s="52" t="str">
        <f ca="1"/>
        <v>LS_18</v>
      </c>
      <c r="G76" s="52" t="str">
        <f ca="1"/>
        <v>L18_S09</v>
      </c>
      <c r="H76" s="52" t="str">
        <f ca="1"/>
        <v>033 / 010</v>
      </c>
      <c r="I76" s="52" t="str">
        <f ca="1"/>
        <v>Yes</v>
      </c>
      <c r="J76" s="52" t="str">
        <f ca="1"/>
        <v/>
      </c>
      <c r="K76" s="51" t="str">
        <f ca="1"/>
        <v/>
      </c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</row>
    <row r="77" spans="2:25" x14ac:dyDescent="0.25">
      <c r="B77" s="51"/>
      <c r="C77" s="70" t="str">
        <f ca="1"/>
        <v>46211/D|BR1/02</v>
      </c>
      <c r="D77" s="52" t="str">
        <f ca="1"/>
        <v>STM-A40_0133</v>
      </c>
      <c r="E77" s="52" t="str">
        <f ca="1"/>
        <v>SAP</v>
      </c>
      <c r="F77" s="52" t="str">
        <f ca="1"/>
        <v>LS_18</v>
      </c>
      <c r="G77" s="52" t="str">
        <f ca="1"/>
        <v>L18_S09</v>
      </c>
      <c r="H77" s="52" t="str">
        <f ca="1"/>
        <v>033 / 011</v>
      </c>
      <c r="I77" s="52" t="str">
        <f ca="1"/>
        <v>No</v>
      </c>
      <c r="J77" s="52" t="str">
        <f ca="1"/>
        <v/>
      </c>
      <c r="K77" s="51" t="str">
        <f ca="1"/>
        <v/>
      </c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</row>
    <row r="78" spans="2:25" x14ac:dyDescent="0.25">
      <c r="B78" s="51"/>
      <c r="C78" s="70" t="str">
        <f ca="1"/>
        <v>46211/D|BR1/02</v>
      </c>
      <c r="D78" s="52" t="str">
        <f ca="1"/>
        <v>STM-A40_0136</v>
      </c>
      <c r="E78" s="52" t="str">
        <f ca="1"/>
        <v>SAP</v>
      </c>
      <c r="F78" s="52" t="str">
        <f ca="1"/>
        <v>LS_18</v>
      </c>
      <c r="G78" s="52" t="str">
        <f ca="1"/>
        <v>L18_S09</v>
      </c>
      <c r="H78" s="52" t="str">
        <f ca="1"/>
        <v>033 / 012</v>
      </c>
      <c r="I78" s="52" t="str">
        <f ca="1"/>
        <v>Yes</v>
      </c>
      <c r="J78" s="52" t="str">
        <f ca="1"/>
        <v/>
      </c>
      <c r="K78" s="51" t="str">
        <f ca="1"/>
        <v/>
      </c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</row>
    <row r="79" spans="2:25" x14ac:dyDescent="0.25">
      <c r="B79" s="51"/>
      <c r="C79" s="70" t="str">
        <f ca="1"/>
        <v>46211/D|BR1/02</v>
      </c>
      <c r="D79" s="52" t="str">
        <f ca="1"/>
        <v>STM-A40_0132</v>
      </c>
      <c r="E79" s="52" t="str">
        <f ca="1"/>
        <v>SAP</v>
      </c>
      <c r="F79" s="52" t="str">
        <f ca="1"/>
        <v>LS_18</v>
      </c>
      <c r="G79" s="52" t="str">
        <f ca="1"/>
        <v>L18_S09</v>
      </c>
      <c r="H79" s="52" t="str">
        <f ca="1"/>
        <v>033 / 013</v>
      </c>
      <c r="I79" s="52" t="str">
        <f ca="1"/>
        <v>No</v>
      </c>
      <c r="J79" s="52" t="str">
        <f ca="1"/>
        <v/>
      </c>
      <c r="K79" s="51" t="str">
        <f ca="1"/>
        <v/>
      </c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2:25" x14ac:dyDescent="0.25">
      <c r="B80" s="51"/>
      <c r="C80" s="70" t="str">
        <f ca="1"/>
        <v>46211/D|BR1/02</v>
      </c>
      <c r="D80" s="52" t="str">
        <f ca="1"/>
        <v>STM-A40_0097</v>
      </c>
      <c r="E80" s="52" t="str">
        <f ca="1"/>
        <v>SAP</v>
      </c>
      <c r="F80" s="52" t="str">
        <f ca="1"/>
        <v>LS_18</v>
      </c>
      <c r="G80" s="52" t="str">
        <f ca="1"/>
        <v>L18_S09</v>
      </c>
      <c r="H80" s="52" t="str">
        <f ca="1"/>
        <v>033 / 014</v>
      </c>
      <c r="I80" s="52" t="str">
        <f ca="1"/>
        <v>Yes</v>
      </c>
      <c r="J80" s="52" t="str">
        <f ca="1"/>
        <v/>
      </c>
      <c r="K80" s="51" t="str">
        <f ca="1"/>
        <v/>
      </c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</row>
    <row r="81" spans="2:25" x14ac:dyDescent="0.25">
      <c r="B81" s="51"/>
      <c r="C81" s="70" t="str">
        <f ca="1"/>
        <v>46211/D|BR1/02</v>
      </c>
      <c r="D81" s="52" t="str">
        <f ca="1"/>
        <v>STM-A40_0087</v>
      </c>
      <c r="E81" s="52" t="str">
        <f ca="1"/>
        <v>SAP</v>
      </c>
      <c r="F81" s="52" t="str">
        <f ca="1"/>
        <v>LS_18</v>
      </c>
      <c r="G81" s="52" t="str">
        <f ca="1"/>
        <v>L18_S09</v>
      </c>
      <c r="H81" s="52" t="str">
        <f ca="1"/>
        <v>033 / 015</v>
      </c>
      <c r="I81" s="52" t="str">
        <f ca="1"/>
        <v>No</v>
      </c>
      <c r="J81" s="52" t="str">
        <f ca="1"/>
        <v/>
      </c>
      <c r="K81" s="51" t="str">
        <f ca="1"/>
        <v/>
      </c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</row>
    <row r="82" spans="2:25" x14ac:dyDescent="0.25">
      <c r="B82" s="51"/>
      <c r="C82" s="70" t="str">
        <f ca="1"/>
        <v>46211/D|BR1/02</v>
      </c>
      <c r="D82" s="52" t="str">
        <f ca="1"/>
        <v>STM-A40_0069</v>
      </c>
      <c r="E82" s="52" t="str">
        <f ca="1"/>
        <v>SAP</v>
      </c>
      <c r="F82" s="52" t="str">
        <f ca="1"/>
        <v>LS_18</v>
      </c>
      <c r="G82" s="52" t="str">
        <f ca="1"/>
        <v>L18_S09</v>
      </c>
      <c r="H82" s="52" t="str">
        <f ca="1"/>
        <v>033 / 016</v>
      </c>
      <c r="I82" s="52" t="str">
        <f ca="1"/>
        <v>Yes</v>
      </c>
      <c r="J82" s="52" t="str">
        <f ca="1"/>
        <v/>
      </c>
      <c r="K82" s="51" t="str">
        <f ca="1"/>
        <v/>
      </c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</row>
    <row r="83" spans="2:25" x14ac:dyDescent="0.25">
      <c r="B83" s="51"/>
      <c r="C83" s="70" t="str">
        <f ca="1"/>
        <v>46211/D|BR1/02</v>
      </c>
      <c r="D83" s="52" t="str">
        <f ca="1"/>
        <v>STM-A40_0133</v>
      </c>
      <c r="E83" s="52" t="str">
        <f ca="1"/>
        <v>SAP</v>
      </c>
      <c r="F83" s="52" t="str">
        <f ca="1"/>
        <v>LS_18</v>
      </c>
      <c r="G83" s="52" t="str">
        <f ca="1"/>
        <v>L18_S09</v>
      </c>
      <c r="H83" s="52" t="str">
        <f ca="1"/>
        <v>033 / 017</v>
      </c>
      <c r="I83" s="52" t="str">
        <f ca="1"/>
        <v>No</v>
      </c>
      <c r="J83" s="52" t="str">
        <f ca="1"/>
        <v/>
      </c>
      <c r="K83" s="51" t="str">
        <f ca="1"/>
        <v/>
      </c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</row>
    <row r="84" spans="2:25" x14ac:dyDescent="0.25">
      <c r="B84" s="51"/>
      <c r="C84" s="70" t="str">
        <f ca="1"/>
        <v>46211/D|BR1/02</v>
      </c>
      <c r="D84" s="52" t="str">
        <f ca="1"/>
        <v>STM-A40_0136</v>
      </c>
      <c r="E84" s="52" t="str">
        <f ca="1"/>
        <v>SAP</v>
      </c>
      <c r="F84" s="52" t="str">
        <f ca="1"/>
        <v>LS_18</v>
      </c>
      <c r="G84" s="52" t="str">
        <f ca="1"/>
        <v>L18_S09</v>
      </c>
      <c r="H84" s="52" t="str">
        <f ca="1"/>
        <v>033 / 018</v>
      </c>
      <c r="I84" s="52" t="str">
        <f ca="1"/>
        <v>Yes</v>
      </c>
      <c r="J84" s="52" t="str">
        <f ca="1"/>
        <v/>
      </c>
      <c r="K84" s="51" t="str">
        <f ca="1"/>
        <v/>
      </c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2:25" x14ac:dyDescent="0.25">
      <c r="B85" s="51"/>
      <c r="C85" s="70" t="str">
        <f ca="1"/>
        <v>46211/D|BR1/02</v>
      </c>
      <c r="D85" s="52" t="str">
        <f ca="1"/>
        <v>STM-A40_0097</v>
      </c>
      <c r="E85" s="52" t="str">
        <f ca="1"/>
        <v>SAP</v>
      </c>
      <c r="F85" s="52" t="str">
        <f ca="1"/>
        <v>LS_18</v>
      </c>
      <c r="G85" s="52" t="str">
        <f ca="1"/>
        <v>L18_S09</v>
      </c>
      <c r="H85" s="52" t="str">
        <f ca="1"/>
        <v>033 / 019</v>
      </c>
      <c r="I85" s="52" t="str">
        <f ca="1"/>
        <v>No</v>
      </c>
      <c r="J85" s="52" t="str">
        <f ca="1"/>
        <v/>
      </c>
      <c r="K85" s="51" t="str">
        <f ca="1"/>
        <v/>
      </c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</row>
    <row r="86" spans="2:25" x14ac:dyDescent="0.25">
      <c r="B86" s="51"/>
      <c r="C86" s="70" t="str">
        <f ca="1"/>
        <v>46211/D|BR1/02</v>
      </c>
      <c r="D86" s="52" t="str">
        <f ca="1"/>
        <v>STM-A40_0132</v>
      </c>
      <c r="E86" s="52" t="str">
        <f ca="1"/>
        <v>SAP</v>
      </c>
      <c r="F86" s="52" t="str">
        <f ca="1"/>
        <v>LS_18</v>
      </c>
      <c r="G86" s="52" t="str">
        <f ca="1"/>
        <v>L18_S09</v>
      </c>
      <c r="H86" s="52" t="str">
        <f ca="1"/>
        <v>033 / 020</v>
      </c>
      <c r="I86" s="52" t="str">
        <f ca="1"/>
        <v>Yes</v>
      </c>
      <c r="J86" s="52" t="str">
        <f ca="1"/>
        <v/>
      </c>
      <c r="K86" s="51" t="str">
        <f ca="1"/>
        <v/>
      </c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</row>
    <row r="87" spans="2:25" x14ac:dyDescent="0.25">
      <c r="B87" s="51"/>
      <c r="C87" s="70" t="str">
        <f ca="1"/>
        <v>46211/D|BR1/01</v>
      </c>
      <c r="D87" s="52" t="str">
        <f ca="1"/>
        <v>STM-A40_0106</v>
      </c>
      <c r="E87" s="52" t="str">
        <f ca="1"/>
        <v>SAP</v>
      </c>
      <c r="F87" s="52" t="str">
        <f ca="1"/>
        <v>LS_18</v>
      </c>
      <c r="G87" s="52" t="str">
        <f ca="1"/>
        <v>L18_S09</v>
      </c>
      <c r="H87" s="52" t="str">
        <f ca="1"/>
        <v>034 / 001</v>
      </c>
      <c r="I87" s="52" t="str">
        <f ca="1"/>
        <v>No</v>
      </c>
      <c r="J87" s="52" t="str">
        <f ca="1"/>
        <v/>
      </c>
      <c r="K87" s="51" t="str">
        <f ca="1"/>
        <v/>
      </c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</row>
    <row r="88" spans="2:25" x14ac:dyDescent="0.25">
      <c r="B88" s="51"/>
      <c r="C88" s="70" t="str">
        <f ca="1"/>
        <v>46211/D|BR1/01</v>
      </c>
      <c r="D88" s="52" t="str">
        <f ca="1"/>
        <v>STM-A40_0121</v>
      </c>
      <c r="E88" s="52" t="str">
        <f ca="1"/>
        <v>SAP</v>
      </c>
      <c r="F88" s="52" t="str">
        <f ca="1"/>
        <v>LS_18</v>
      </c>
      <c r="G88" s="52" t="str">
        <f ca="1"/>
        <v>L18_S09</v>
      </c>
      <c r="H88" s="52" t="str">
        <f ca="1"/>
        <v>034 / 002</v>
      </c>
      <c r="I88" s="52" t="str">
        <f ca="1"/>
        <v>Yes</v>
      </c>
      <c r="J88" s="52" t="str">
        <f ca="1"/>
        <v/>
      </c>
      <c r="K88" s="51" t="str">
        <f ca="1"/>
        <v/>
      </c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</row>
    <row r="89" spans="2:25" x14ac:dyDescent="0.25">
      <c r="B89" s="51"/>
      <c r="C89" s="70" t="str">
        <f ca="1"/>
        <v>46211/D|BR1/01</v>
      </c>
      <c r="D89" s="52" t="str">
        <f ca="1"/>
        <v>STM-A40_0107</v>
      </c>
      <c r="E89" s="52" t="str">
        <f ca="1"/>
        <v>SAP</v>
      </c>
      <c r="F89" s="52" t="str">
        <f ca="1"/>
        <v>LS_18</v>
      </c>
      <c r="G89" s="52" t="str">
        <f ca="1"/>
        <v>L18_S09</v>
      </c>
      <c r="H89" s="52" t="str">
        <f ca="1"/>
        <v>034 / 003</v>
      </c>
      <c r="I89" s="52" t="str">
        <f ca="1"/>
        <v>No</v>
      </c>
      <c r="J89" s="52" t="str">
        <f ca="1"/>
        <v/>
      </c>
      <c r="K89" s="51" t="str">
        <f ca="1"/>
        <v/>
      </c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</row>
    <row r="90" spans="2:25" x14ac:dyDescent="0.25">
      <c r="B90" s="51"/>
      <c r="C90" s="70" t="str">
        <f ca="1"/>
        <v>46211/D|BR1/01</v>
      </c>
      <c r="D90" s="52" t="str">
        <f ca="1"/>
        <v>STM-A40_0119</v>
      </c>
      <c r="E90" s="52" t="str">
        <f ca="1"/>
        <v>SAP</v>
      </c>
      <c r="F90" s="52" t="str">
        <f ca="1"/>
        <v>LS_18</v>
      </c>
      <c r="G90" s="52" t="str">
        <f ca="1"/>
        <v>L18_S09</v>
      </c>
      <c r="H90" s="52" t="str">
        <f ca="1"/>
        <v>034 / 004</v>
      </c>
      <c r="I90" s="52" t="str">
        <f ca="1"/>
        <v>Yes</v>
      </c>
      <c r="J90" s="52" t="str">
        <f ca="1"/>
        <v/>
      </c>
      <c r="K90" s="51" t="str">
        <f ca="1"/>
        <v/>
      </c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</row>
    <row r="91" spans="2:25" x14ac:dyDescent="0.25">
      <c r="B91" s="51"/>
      <c r="C91" s="70" t="str">
        <f ca="1"/>
        <v>46211/D|BR1/01</v>
      </c>
      <c r="D91" s="52" t="str">
        <f ca="1"/>
        <v>STM-A40_0105</v>
      </c>
      <c r="E91" s="52" t="str">
        <f ca="1"/>
        <v>SAP</v>
      </c>
      <c r="F91" s="52" t="str">
        <f ca="1"/>
        <v>LS_18</v>
      </c>
      <c r="G91" s="52" t="str">
        <f ca="1"/>
        <v>L18_S09</v>
      </c>
      <c r="H91" s="52" t="str">
        <f ca="1"/>
        <v>034 / 005</v>
      </c>
      <c r="I91" s="52" t="str">
        <f ca="1"/>
        <v>No</v>
      </c>
      <c r="J91" s="52" t="str">
        <f ca="1"/>
        <v/>
      </c>
      <c r="K91" s="51" t="str">
        <f ca="1"/>
        <v/>
      </c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</row>
    <row r="92" spans="2:25" x14ac:dyDescent="0.25">
      <c r="B92" s="51"/>
      <c r="C92" s="70" t="str">
        <f ca="1"/>
        <v>46211/D|BR1/01</v>
      </c>
      <c r="D92" s="52" t="str">
        <f ca="1"/>
        <v>STM-A40_0121</v>
      </c>
      <c r="E92" s="52" t="str">
        <f ca="1"/>
        <v>SAP</v>
      </c>
      <c r="F92" s="52" t="str">
        <f ca="1"/>
        <v>LS_18</v>
      </c>
      <c r="G92" s="52" t="str">
        <f ca="1"/>
        <v>L18_S09</v>
      </c>
      <c r="H92" s="52" t="str">
        <f ca="1"/>
        <v>034 / 006</v>
      </c>
      <c r="I92" s="52" t="str">
        <f ca="1"/>
        <v>Yes</v>
      </c>
      <c r="J92" s="52" t="str">
        <f ca="1"/>
        <v/>
      </c>
      <c r="K92" s="51" t="str">
        <f ca="1"/>
        <v/>
      </c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</row>
    <row r="93" spans="2:25" x14ac:dyDescent="0.25">
      <c r="B93" s="51"/>
      <c r="C93" s="70" t="str">
        <f ca="1"/>
        <v>46211/D|BR1/01</v>
      </c>
      <c r="D93" s="52" t="str">
        <f ca="1"/>
        <v>STM-A40_0106</v>
      </c>
      <c r="E93" s="52" t="str">
        <f ca="1"/>
        <v>SAP</v>
      </c>
      <c r="F93" s="52" t="str">
        <f ca="1"/>
        <v>LS_18</v>
      </c>
      <c r="G93" s="52" t="str">
        <f ca="1"/>
        <v>L18_S09</v>
      </c>
      <c r="H93" s="52" t="str">
        <f ca="1"/>
        <v>034 / 007</v>
      </c>
      <c r="I93" s="52" t="str">
        <f ca="1"/>
        <v>No</v>
      </c>
      <c r="J93" s="52" t="str">
        <f ca="1"/>
        <v/>
      </c>
      <c r="K93" s="51" t="str">
        <f ca="1"/>
        <v/>
      </c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</row>
    <row r="94" spans="2:25" x14ac:dyDescent="0.25">
      <c r="B94" s="51"/>
      <c r="C94" s="70" t="str">
        <f ca="1"/>
        <v>46211/D|BR1/01</v>
      </c>
      <c r="D94" s="52" t="str">
        <f ca="1"/>
        <v>STM-A40_0107</v>
      </c>
      <c r="E94" s="52" t="str">
        <f ca="1"/>
        <v>SAP</v>
      </c>
      <c r="F94" s="52" t="str">
        <f ca="1"/>
        <v>LS_18</v>
      </c>
      <c r="G94" s="52" t="str">
        <f ca="1"/>
        <v>L18_S09</v>
      </c>
      <c r="H94" s="52" t="str">
        <f ca="1"/>
        <v>034 / 008</v>
      </c>
      <c r="I94" s="52" t="str">
        <f ca="1"/>
        <v>Yes</v>
      </c>
      <c r="J94" s="52" t="str">
        <f ca="1"/>
        <v/>
      </c>
      <c r="K94" s="51" t="str">
        <f ca="1"/>
        <v/>
      </c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</row>
    <row r="95" spans="2:25" x14ac:dyDescent="0.25">
      <c r="B95" s="51"/>
      <c r="C95" s="70" t="str">
        <f ca="1"/>
        <v>46211/D|BR1/01</v>
      </c>
      <c r="D95" s="52" t="str">
        <f ca="1"/>
        <v>STM-A40_0119</v>
      </c>
      <c r="E95" s="52" t="str">
        <f ca="1"/>
        <v>SAP</v>
      </c>
      <c r="F95" s="52" t="str">
        <f ca="1"/>
        <v>LS_18</v>
      </c>
      <c r="G95" s="52" t="str">
        <f ca="1"/>
        <v>L18_S09</v>
      </c>
      <c r="H95" s="52" t="str">
        <f ca="1"/>
        <v>034 / 009</v>
      </c>
      <c r="I95" s="52" t="str">
        <f ca="1"/>
        <v>No</v>
      </c>
      <c r="J95" s="52" t="str">
        <f ca="1"/>
        <v/>
      </c>
      <c r="K95" s="51" t="str">
        <f ca="1"/>
        <v/>
      </c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</row>
    <row r="96" spans="2:25" x14ac:dyDescent="0.25">
      <c r="B96" s="51"/>
      <c r="C96" s="70" t="str">
        <f ca="1"/>
        <v>46211/D|BR1/01</v>
      </c>
      <c r="D96" s="52" t="str">
        <f ca="1"/>
        <v>STM-A40_0105</v>
      </c>
      <c r="E96" s="52" t="str">
        <f ca="1"/>
        <v>SAP</v>
      </c>
      <c r="F96" s="52" t="str">
        <f ca="1"/>
        <v>LS_18</v>
      </c>
      <c r="G96" s="52" t="str">
        <f ca="1"/>
        <v>L18_S09</v>
      </c>
      <c r="H96" s="52" t="str">
        <f ca="1"/>
        <v>034 / 010</v>
      </c>
      <c r="I96" s="52" t="str">
        <f ca="1"/>
        <v>Yes</v>
      </c>
      <c r="J96" s="52" t="str">
        <f ca="1"/>
        <v/>
      </c>
      <c r="K96" s="51" t="str">
        <f ca="1"/>
        <v/>
      </c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</row>
    <row r="97" spans="2:25" x14ac:dyDescent="0.25">
      <c r="B97" s="51"/>
      <c r="C97" s="70" t="str">
        <f ca="1"/>
        <v>46211/D|BR1/01</v>
      </c>
      <c r="D97" s="52" t="str">
        <f ca="1"/>
        <v>STM-A40_0106</v>
      </c>
      <c r="E97" s="52" t="str">
        <f ca="1"/>
        <v>SAP</v>
      </c>
      <c r="F97" s="52" t="str">
        <f ca="1"/>
        <v>LS_18</v>
      </c>
      <c r="G97" s="52" t="str">
        <f ca="1"/>
        <v>L18_S09</v>
      </c>
      <c r="H97" s="52" t="str">
        <f ca="1"/>
        <v>034 / 011</v>
      </c>
      <c r="I97" s="52" t="str">
        <f ca="1"/>
        <v>No</v>
      </c>
      <c r="J97" s="52" t="str">
        <f ca="1"/>
        <v/>
      </c>
      <c r="K97" s="51" t="str">
        <f ca="1"/>
        <v/>
      </c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</row>
    <row r="98" spans="2:25" x14ac:dyDescent="0.25">
      <c r="B98" s="51"/>
      <c r="C98" s="70" t="str">
        <f ca="1"/>
        <v>46211/D|BR1/01</v>
      </c>
      <c r="D98" s="52" t="str">
        <f ca="1"/>
        <v>STM-A40_0121</v>
      </c>
      <c r="E98" s="52" t="str">
        <f ca="1"/>
        <v>SAP</v>
      </c>
      <c r="F98" s="52" t="str">
        <f ca="1"/>
        <v>LS_18</v>
      </c>
      <c r="G98" s="52" t="str">
        <f ca="1"/>
        <v>L18_S09</v>
      </c>
      <c r="H98" s="52" t="str">
        <f ca="1"/>
        <v>034 / 012</v>
      </c>
      <c r="I98" s="52" t="str">
        <f ca="1"/>
        <v>Yes</v>
      </c>
      <c r="J98" s="52" t="str">
        <f ca="1"/>
        <v/>
      </c>
      <c r="K98" s="51" t="str">
        <f ca="1"/>
        <v/>
      </c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</row>
    <row r="99" spans="2:25" x14ac:dyDescent="0.25">
      <c r="B99" s="51"/>
      <c r="C99" s="70" t="str">
        <f ca="1"/>
        <v>46211/D|BR1/01</v>
      </c>
      <c r="D99" s="52" t="str">
        <f ca="1"/>
        <v>STM-A40_0107</v>
      </c>
      <c r="E99" s="52" t="str">
        <f ca="1"/>
        <v>SAP</v>
      </c>
      <c r="F99" s="52" t="str">
        <f ca="1"/>
        <v>LS_18</v>
      </c>
      <c r="G99" s="52" t="str">
        <f ca="1"/>
        <v>L18_S09</v>
      </c>
      <c r="H99" s="52" t="str">
        <f ca="1"/>
        <v>034 / 013</v>
      </c>
      <c r="I99" s="52" t="str">
        <f ca="1"/>
        <v>No</v>
      </c>
      <c r="J99" s="52" t="str">
        <f ca="1"/>
        <v/>
      </c>
      <c r="K99" s="51" t="str">
        <f ca="1"/>
        <v/>
      </c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</row>
    <row r="100" spans="2:25" x14ac:dyDescent="0.25">
      <c r="B100" s="51"/>
      <c r="C100" s="70" t="str">
        <f ca="1"/>
        <v>46211/D|BR1/01</v>
      </c>
      <c r="D100" s="52" t="str">
        <f ca="1"/>
        <v>STM-A40_0119</v>
      </c>
      <c r="E100" s="52" t="str">
        <f ca="1"/>
        <v>SAP</v>
      </c>
      <c r="F100" s="52" t="str">
        <f ca="1"/>
        <v>LS_18</v>
      </c>
      <c r="G100" s="52" t="str">
        <f ca="1"/>
        <v>L18_S09</v>
      </c>
      <c r="H100" s="52" t="str">
        <f ca="1"/>
        <v>034 / 014</v>
      </c>
      <c r="I100" s="52" t="str">
        <f ca="1"/>
        <v>Yes</v>
      </c>
      <c r="J100" s="52" t="str">
        <f ca="1"/>
        <v/>
      </c>
      <c r="K100" s="51" t="str">
        <f ca="1"/>
        <v/>
      </c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</row>
    <row r="101" spans="2:25" x14ac:dyDescent="0.25">
      <c r="B101" s="51"/>
      <c r="C101" s="70" t="str">
        <f ca="1"/>
        <v>46211/D|BR1/01</v>
      </c>
      <c r="D101" s="52" t="str">
        <f ca="1"/>
        <v>STM-A40_0106</v>
      </c>
      <c r="E101" s="52" t="str">
        <f ca="1"/>
        <v>SAP</v>
      </c>
      <c r="F101" s="52" t="str">
        <f ca="1"/>
        <v>LS_18</v>
      </c>
      <c r="G101" s="52" t="str">
        <f ca="1"/>
        <v>L18_S09</v>
      </c>
      <c r="H101" s="52" t="str">
        <f ca="1"/>
        <v>034 / 015</v>
      </c>
      <c r="I101" s="52" t="str">
        <f ca="1"/>
        <v>No</v>
      </c>
      <c r="J101" s="52" t="str">
        <f ca="1"/>
        <v/>
      </c>
      <c r="K101" s="51" t="str">
        <f ca="1"/>
        <v/>
      </c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</row>
    <row r="102" spans="2:25" x14ac:dyDescent="0.25">
      <c r="B102" s="51"/>
      <c r="C102" s="70" t="str">
        <f ca="1"/>
        <v>46211/D|BR1/05</v>
      </c>
      <c r="D102" s="52" t="str">
        <f ca="1"/>
        <v>STM-A40_0106</v>
      </c>
      <c r="E102" s="52" t="str">
        <f ca="1"/>
        <v>SAP</v>
      </c>
      <c r="F102" s="52" t="str">
        <f ca="1"/>
        <v>LS_18</v>
      </c>
      <c r="G102" s="52" t="str">
        <f ca="1"/>
        <v>L18_S09</v>
      </c>
      <c r="H102" s="52" t="str">
        <f ca="1"/>
        <v>034 / 016</v>
      </c>
      <c r="I102" s="52" t="str">
        <f ca="1"/>
        <v>Yes</v>
      </c>
      <c r="J102" s="52" t="str">
        <f ca="1"/>
        <v/>
      </c>
      <c r="K102" s="51" t="str">
        <f ca="1"/>
        <v/>
      </c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</row>
    <row r="103" spans="2:25" x14ac:dyDescent="0.25">
      <c r="B103" s="51"/>
      <c r="C103" s="70" t="str">
        <f ca="1"/>
        <v>46211/D|BR1/05</v>
      </c>
      <c r="D103" s="52" t="str">
        <f ca="1"/>
        <v>STM-A40_0098</v>
      </c>
      <c r="E103" s="52" t="str">
        <f ca="1"/>
        <v>SAP</v>
      </c>
      <c r="F103" s="52" t="str">
        <f ca="1"/>
        <v>LS_18</v>
      </c>
      <c r="G103" s="52" t="str">
        <f ca="1"/>
        <v>L18_S09</v>
      </c>
      <c r="H103" s="52" t="str">
        <f ca="1"/>
        <v>034 / 017</v>
      </c>
      <c r="I103" s="52" t="str">
        <f ca="1"/>
        <v>No</v>
      </c>
      <c r="J103" s="52" t="str">
        <f ca="1"/>
        <v/>
      </c>
      <c r="K103" s="51" t="str">
        <f ca="1"/>
        <v/>
      </c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</row>
    <row r="104" spans="2:25" x14ac:dyDescent="0.25">
      <c r="B104" s="51"/>
      <c r="C104" s="70" t="str">
        <f ca="1"/>
        <v>46211/D|BR1/05</v>
      </c>
      <c r="D104" s="52" t="str">
        <f ca="1"/>
        <v>STM-A40_0106</v>
      </c>
      <c r="E104" s="52" t="str">
        <f ca="1"/>
        <v>SAP</v>
      </c>
      <c r="F104" s="52" t="str">
        <f ca="1"/>
        <v>LS_18</v>
      </c>
      <c r="G104" s="52" t="str">
        <f ca="1"/>
        <v>L18_S09</v>
      </c>
      <c r="H104" s="52" t="str">
        <f ca="1"/>
        <v>034 / 018</v>
      </c>
      <c r="I104" s="52" t="str">
        <f ca="1"/>
        <v>Yes</v>
      </c>
      <c r="J104" s="52" t="str">
        <f ca="1"/>
        <v/>
      </c>
      <c r="K104" s="51" t="str">
        <f ca="1"/>
        <v/>
      </c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</row>
    <row r="105" spans="2:25" x14ac:dyDescent="0.25">
      <c r="B105" s="51"/>
      <c r="C105" s="70" t="str">
        <f ca="1"/>
        <v>46211/D|BR1/05</v>
      </c>
      <c r="D105" s="52" t="str">
        <f ca="1"/>
        <v>STM-A40_0121</v>
      </c>
      <c r="E105" s="52" t="str">
        <f ca="1"/>
        <v>SAP</v>
      </c>
      <c r="F105" s="52" t="str">
        <f ca="1"/>
        <v>LS_18</v>
      </c>
      <c r="G105" s="52" t="str">
        <f ca="1"/>
        <v>L18_S09</v>
      </c>
      <c r="H105" s="52" t="str">
        <f ca="1"/>
        <v>034 / 019</v>
      </c>
      <c r="I105" s="52" t="str">
        <f ca="1"/>
        <v>No</v>
      </c>
      <c r="J105" s="52" t="str">
        <f ca="1"/>
        <v/>
      </c>
      <c r="K105" s="51" t="str">
        <f ca="1"/>
        <v>TRUCK SALAH</v>
      </c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</row>
    <row r="106" spans="2:25" x14ac:dyDescent="0.25">
      <c r="B106" s="51"/>
      <c r="C106" s="70" t="str">
        <f ca="1"/>
        <v>46211/D|BR1/05</v>
      </c>
      <c r="D106" s="52" t="str">
        <f ca="1"/>
        <v>STM-A40_0105</v>
      </c>
      <c r="E106" s="52" t="str">
        <f ca="1"/>
        <v>SAP</v>
      </c>
      <c r="F106" s="52" t="str">
        <f ca="1"/>
        <v>LS_18</v>
      </c>
      <c r="G106" s="52" t="str">
        <f ca="1"/>
        <v>L18_S09</v>
      </c>
      <c r="H106" s="52" t="str">
        <f ca="1"/>
        <v>034 / 020</v>
      </c>
      <c r="I106" s="52" t="str">
        <f ca="1"/>
        <v>Yes</v>
      </c>
      <c r="J106" s="52" t="str">
        <f ca="1"/>
        <v/>
      </c>
      <c r="K106" s="51" t="str">
        <f ca="1"/>
        <v/>
      </c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</row>
    <row r="107" spans="2:25" x14ac:dyDescent="0.25">
      <c r="B107" s="51"/>
      <c r="C107" s="70" t="str">
        <f ca="1"/>
        <v>46211/D|BR1/02</v>
      </c>
      <c r="D107" s="52" t="str">
        <f ca="1"/>
        <v>STM-A40_0087</v>
      </c>
      <c r="E107" s="52" t="str">
        <f ca="1"/>
        <v>SAP</v>
      </c>
      <c r="F107" s="52" t="str">
        <f ca="1"/>
        <v>LS_18</v>
      </c>
      <c r="G107" s="52" t="str">
        <f ca="1"/>
        <v>L18_S09</v>
      </c>
      <c r="H107" s="52" t="str">
        <f ca="1"/>
        <v>035 / 001</v>
      </c>
      <c r="I107" s="52" t="str">
        <f ca="1"/>
        <v>No</v>
      </c>
      <c r="J107" s="52" t="str">
        <f ca="1"/>
        <v/>
      </c>
      <c r="K107" s="51" t="str">
        <f ca="1"/>
        <v/>
      </c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</row>
    <row r="108" spans="2:25" x14ac:dyDescent="0.25">
      <c r="B108" s="51"/>
      <c r="C108" s="70" t="str">
        <f ca="1"/>
        <v>46211/D|BR1/02</v>
      </c>
      <c r="D108" s="52" t="str">
        <f ca="1"/>
        <v>STM-A40_0069</v>
      </c>
      <c r="E108" s="52" t="str">
        <f ca="1"/>
        <v>SAP</v>
      </c>
      <c r="F108" s="52" t="str">
        <f ca="1"/>
        <v>LS_18</v>
      </c>
      <c r="G108" s="52" t="str">
        <f ca="1"/>
        <v>L18_S09</v>
      </c>
      <c r="H108" s="52" t="str">
        <f ca="1"/>
        <v>035 / 002</v>
      </c>
      <c r="I108" s="52" t="str">
        <f ca="1"/>
        <v>Yes</v>
      </c>
      <c r="J108" s="52" t="str">
        <f ca="1"/>
        <v/>
      </c>
      <c r="K108" s="51" t="str">
        <f ca="1"/>
        <v/>
      </c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</row>
    <row r="109" spans="2:25" x14ac:dyDescent="0.25">
      <c r="B109" s="51"/>
      <c r="C109" s="70" t="str">
        <f ca="1"/>
        <v>46211/D|BR1/02</v>
      </c>
      <c r="D109" s="52" t="str">
        <f ca="1"/>
        <v>STM-A40_0133</v>
      </c>
      <c r="E109" s="52" t="str">
        <f ca="1"/>
        <v>SAP</v>
      </c>
      <c r="F109" s="52" t="str">
        <f ca="1"/>
        <v>LS_18</v>
      </c>
      <c r="G109" s="52" t="str">
        <f ca="1"/>
        <v>L18_S09</v>
      </c>
      <c r="H109" s="52" t="str">
        <f ca="1"/>
        <v>035 / 003</v>
      </c>
      <c r="I109" s="52" t="str">
        <f ca="1"/>
        <v>No</v>
      </c>
      <c r="J109" s="52" t="str">
        <f ca="1"/>
        <v/>
      </c>
      <c r="K109" s="51" t="str">
        <f ca="1"/>
        <v/>
      </c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</row>
    <row r="110" spans="2:25" x14ac:dyDescent="0.25">
      <c r="B110" s="51"/>
      <c r="C110" s="70" t="str">
        <f ca="1"/>
        <v>46211/D|BR1/02</v>
      </c>
      <c r="D110" s="52" t="str">
        <f ca="1"/>
        <v>STM-A40_0097</v>
      </c>
      <c r="E110" s="52" t="str">
        <f ca="1"/>
        <v>SAP</v>
      </c>
      <c r="F110" s="52" t="str">
        <f ca="1"/>
        <v>LS_18</v>
      </c>
      <c r="G110" s="52" t="str">
        <f ca="1"/>
        <v>L18_S09</v>
      </c>
      <c r="H110" s="52" t="str">
        <f ca="1"/>
        <v>035 / 004</v>
      </c>
      <c r="I110" s="52" t="str">
        <f ca="1"/>
        <v>Yes</v>
      </c>
      <c r="J110" s="52" t="str">
        <f ca="1"/>
        <v/>
      </c>
      <c r="K110" s="51" t="str">
        <f ca="1"/>
        <v/>
      </c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</row>
    <row r="111" spans="2:25" x14ac:dyDescent="0.25">
      <c r="B111" s="51"/>
      <c r="C111" s="70" t="str">
        <f ca="1"/>
        <v>46211/D|BR1/02</v>
      </c>
      <c r="D111" s="52" t="str">
        <f ca="1"/>
        <v>STM-A40_0136</v>
      </c>
      <c r="E111" s="52" t="str">
        <f ca="1"/>
        <v>SAP</v>
      </c>
      <c r="F111" s="52" t="str">
        <f ca="1"/>
        <v>LS_18</v>
      </c>
      <c r="G111" s="52" t="str">
        <f ca="1"/>
        <v>L18_S09</v>
      </c>
      <c r="H111" s="52" t="str">
        <f ca="1"/>
        <v>035 / 005</v>
      </c>
      <c r="I111" s="52" t="str">
        <f ca="1"/>
        <v>No</v>
      </c>
      <c r="J111" s="52" t="str">
        <f ca="1"/>
        <v/>
      </c>
      <c r="K111" s="51" t="str">
        <f ca="1"/>
        <v/>
      </c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</row>
    <row r="112" spans="2:25" x14ac:dyDescent="0.25">
      <c r="B112" s="51"/>
      <c r="C112" s="70" t="str">
        <f ca="1"/>
        <v>46211/D|BR1/02</v>
      </c>
      <c r="D112" s="52" t="str">
        <f ca="1"/>
        <v>STM-A40_0087</v>
      </c>
      <c r="E112" s="52" t="str">
        <f ca="1"/>
        <v>SAP</v>
      </c>
      <c r="F112" s="52" t="str">
        <f ca="1"/>
        <v>LS_18</v>
      </c>
      <c r="G112" s="52" t="str">
        <f ca="1"/>
        <v>L18_S09</v>
      </c>
      <c r="H112" s="52" t="str">
        <f ca="1"/>
        <v>035 / 006</v>
      </c>
      <c r="I112" s="52" t="str">
        <f ca="1"/>
        <v>Yes</v>
      </c>
      <c r="J112" s="52" t="str">
        <f ca="1"/>
        <v/>
      </c>
      <c r="K112" s="51" t="str">
        <f ca="1"/>
        <v/>
      </c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</row>
    <row r="113" spans="2:25" x14ac:dyDescent="0.25">
      <c r="B113" s="51"/>
      <c r="C113" s="70" t="str">
        <f ca="1"/>
        <v>46211/D|BR1/02</v>
      </c>
      <c r="D113" s="52" t="str">
        <f ca="1"/>
        <v>STM-A40_0069</v>
      </c>
      <c r="E113" s="52" t="str">
        <f ca="1"/>
        <v>SAP</v>
      </c>
      <c r="F113" s="52" t="str">
        <f ca="1"/>
        <v>LS_18</v>
      </c>
      <c r="G113" s="52" t="str">
        <f ca="1"/>
        <v>L18_S09</v>
      </c>
      <c r="H113" s="52" t="str">
        <f ca="1"/>
        <v>035 / 007</v>
      </c>
      <c r="I113" s="52" t="str">
        <f ca="1"/>
        <v>No</v>
      </c>
      <c r="J113" s="52" t="str">
        <f ca="1"/>
        <v/>
      </c>
      <c r="K113" s="51" t="str">
        <f ca="1"/>
        <v/>
      </c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</row>
    <row r="114" spans="2:25" x14ac:dyDescent="0.25">
      <c r="B114" s="51"/>
      <c r="C114" s="70" t="str">
        <f ca="1"/>
        <v>46211/D|BR1/02</v>
      </c>
      <c r="D114" s="52" t="str">
        <f ca="1"/>
        <v>STM-A40_0097</v>
      </c>
      <c r="E114" s="52" t="str">
        <f ca="1"/>
        <v>SAP</v>
      </c>
      <c r="F114" s="52" t="str">
        <f ca="1"/>
        <v>LS_18</v>
      </c>
      <c r="G114" s="52" t="str">
        <f ca="1"/>
        <v>L18_S09</v>
      </c>
      <c r="H114" s="52" t="str">
        <f ca="1"/>
        <v>035 / 008</v>
      </c>
      <c r="I114" s="52" t="str">
        <f ca="1"/>
        <v>Yes</v>
      </c>
      <c r="J114" s="52" t="str">
        <f ca="1"/>
        <v/>
      </c>
      <c r="K114" s="51" t="str">
        <f ca="1"/>
        <v/>
      </c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</row>
    <row r="115" spans="2:25" x14ac:dyDescent="0.25">
      <c r="B115" s="51"/>
      <c r="C115" s="70" t="str">
        <f ca="1"/>
        <v>46211/D|BR1/02</v>
      </c>
      <c r="D115" s="52" t="str">
        <f ca="1"/>
        <v>STM-A40_0132</v>
      </c>
      <c r="E115" s="52" t="str">
        <f ca="1"/>
        <v>SAP</v>
      </c>
      <c r="F115" s="52" t="str">
        <f ca="1"/>
        <v>LS_18</v>
      </c>
      <c r="G115" s="52" t="str">
        <f ca="1"/>
        <v>L18_S09</v>
      </c>
      <c r="H115" s="52" t="str">
        <f ca="1"/>
        <v>035 / 009</v>
      </c>
      <c r="I115" s="52" t="str">
        <f ca="1"/>
        <v>No</v>
      </c>
      <c r="J115" s="52" t="str">
        <f ca="1"/>
        <v/>
      </c>
      <c r="K115" s="51" t="str">
        <f ca="1"/>
        <v/>
      </c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</row>
    <row r="116" spans="2:25" x14ac:dyDescent="0.25">
      <c r="B116" s="51"/>
      <c r="C116" s="70" t="str">
        <f ca="1"/>
        <v>46211/D|BR1/02</v>
      </c>
      <c r="D116" s="52" t="str">
        <f ca="1"/>
        <v>STM-A40_0133</v>
      </c>
      <c r="E116" s="52" t="str">
        <f ca="1"/>
        <v>SAP</v>
      </c>
      <c r="F116" s="52" t="str">
        <f ca="1"/>
        <v>LS_18</v>
      </c>
      <c r="G116" s="52" t="str">
        <f ca="1"/>
        <v>L18_S09</v>
      </c>
      <c r="H116" s="52" t="str">
        <f ca="1"/>
        <v>035 / 010</v>
      </c>
      <c r="I116" s="52" t="str">
        <f ca="1"/>
        <v>Yes</v>
      </c>
      <c r="J116" s="52" t="str">
        <f ca="1"/>
        <v/>
      </c>
      <c r="K116" s="51" t="str">
        <f ca="1"/>
        <v/>
      </c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</row>
    <row r="117" spans="2:25" x14ac:dyDescent="0.25">
      <c r="B117" s="51"/>
      <c r="C117" s="70" t="str">
        <f ca="1"/>
        <v>46211/D|BR1/02</v>
      </c>
      <c r="D117" s="52" t="str">
        <f ca="1"/>
        <v>STM-A40_0136</v>
      </c>
      <c r="E117" s="52" t="str">
        <f ca="1"/>
        <v>SAP</v>
      </c>
      <c r="F117" s="52" t="str">
        <f ca="1"/>
        <v>LS_18</v>
      </c>
      <c r="G117" s="52" t="str">
        <f ca="1"/>
        <v>L18_S09</v>
      </c>
      <c r="H117" s="52" t="str">
        <f ca="1"/>
        <v>035 / 011</v>
      </c>
      <c r="I117" s="52" t="str">
        <f ca="1"/>
        <v>No</v>
      </c>
      <c r="J117" s="52" t="str">
        <f ca="1"/>
        <v/>
      </c>
      <c r="K117" s="51" t="str">
        <f ca="1"/>
        <v/>
      </c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</row>
    <row r="118" spans="2:25" x14ac:dyDescent="0.25">
      <c r="B118" s="51"/>
      <c r="C118" s="70" t="str">
        <f ca="1"/>
        <v>46211/D|BR1/02</v>
      </c>
      <c r="D118" s="52" t="str">
        <f ca="1"/>
        <v>STM-A40_0069</v>
      </c>
      <c r="E118" s="52" t="str">
        <f ca="1"/>
        <v>SAP</v>
      </c>
      <c r="F118" s="52" t="str">
        <f ca="1"/>
        <v>LS_18</v>
      </c>
      <c r="G118" s="52" t="str">
        <f ca="1"/>
        <v>L18_S09</v>
      </c>
      <c r="H118" s="52" t="str">
        <f ca="1"/>
        <v>035 / 012</v>
      </c>
      <c r="I118" s="52" t="str">
        <f ca="1"/>
        <v>Yes</v>
      </c>
      <c r="J118" s="52" t="str">
        <f ca="1"/>
        <v/>
      </c>
      <c r="K118" s="51" t="str">
        <f ca="1"/>
        <v/>
      </c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</row>
    <row r="119" spans="2:25" x14ac:dyDescent="0.25">
      <c r="B119" s="51"/>
      <c r="C119" s="70" t="str">
        <f ca="1"/>
        <v>46211/D|BR1/02</v>
      </c>
      <c r="D119" s="52" t="str">
        <f ca="1"/>
        <v>STM-A40_0087</v>
      </c>
      <c r="E119" s="52" t="str">
        <f ca="1"/>
        <v>SAP</v>
      </c>
      <c r="F119" s="52" t="str">
        <f ca="1"/>
        <v>LS_18</v>
      </c>
      <c r="G119" s="52" t="str">
        <f ca="1"/>
        <v>L18_S09</v>
      </c>
      <c r="H119" s="52" t="str">
        <f ca="1"/>
        <v>035 / 013</v>
      </c>
      <c r="I119" s="52" t="str">
        <f ca="1"/>
        <v>No</v>
      </c>
      <c r="J119" s="52" t="str">
        <f ca="1"/>
        <v/>
      </c>
      <c r="K119" s="51" t="str">
        <f ca="1"/>
        <v/>
      </c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</row>
    <row r="120" spans="2:25" x14ac:dyDescent="0.25">
      <c r="B120" s="51"/>
      <c r="C120" s="70" t="str">
        <f ca="1"/>
        <v>46211/D|BR1/02</v>
      </c>
      <c r="D120" s="52" t="str">
        <f ca="1"/>
        <v>STM-A40_0132</v>
      </c>
      <c r="E120" s="52" t="str">
        <f ca="1"/>
        <v>SAP</v>
      </c>
      <c r="F120" s="52" t="str">
        <f ca="1"/>
        <v>LS_18</v>
      </c>
      <c r="G120" s="52" t="str">
        <f ca="1"/>
        <v>L18_S09</v>
      </c>
      <c r="H120" s="52" t="str">
        <f ca="1"/>
        <v>035 / 014</v>
      </c>
      <c r="I120" s="52" t="str">
        <f ca="1"/>
        <v>Yes</v>
      </c>
      <c r="J120" s="52" t="str">
        <f ca="1"/>
        <v/>
      </c>
      <c r="K120" s="51" t="str">
        <f ca="1"/>
        <v/>
      </c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</row>
    <row r="121" spans="2:25" x14ac:dyDescent="0.25">
      <c r="B121" s="51"/>
      <c r="C121" s="70" t="str">
        <f ca="1"/>
        <v>46211/D|BR1/02</v>
      </c>
      <c r="D121" s="52" t="str">
        <f ca="1"/>
        <v>STM-A40_0097</v>
      </c>
      <c r="E121" s="52" t="str">
        <f ca="1"/>
        <v>SAP</v>
      </c>
      <c r="F121" s="52" t="str">
        <f ca="1"/>
        <v>LS_18</v>
      </c>
      <c r="G121" s="52" t="str">
        <f ca="1"/>
        <v>L18_S09</v>
      </c>
      <c r="H121" s="52" t="str">
        <f ca="1"/>
        <v>035 / 015</v>
      </c>
      <c r="I121" s="52" t="str">
        <f ca="1"/>
        <v>No</v>
      </c>
      <c r="J121" s="52" t="str">
        <f ca="1"/>
        <v/>
      </c>
      <c r="K121" s="51" t="str">
        <f ca="1"/>
        <v/>
      </c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</row>
    <row r="122" spans="2:25" x14ac:dyDescent="0.25">
      <c r="B122" s="51"/>
      <c r="C122" s="70" t="str">
        <f ca="1"/>
        <v>46211/D|BR1/02</v>
      </c>
      <c r="D122" s="52" t="str">
        <f ca="1"/>
        <v>STM-A40_0133</v>
      </c>
      <c r="E122" s="52" t="str">
        <f ca="1"/>
        <v>SAP</v>
      </c>
      <c r="F122" s="52" t="str">
        <f ca="1"/>
        <v>LS_18</v>
      </c>
      <c r="G122" s="52" t="str">
        <f ca="1"/>
        <v>L18_S09</v>
      </c>
      <c r="H122" s="52" t="str">
        <f ca="1"/>
        <v>035 / 016</v>
      </c>
      <c r="I122" s="52" t="str">
        <f ca="1"/>
        <v>Yes</v>
      </c>
      <c r="J122" s="52" t="str">
        <f ca="1"/>
        <v/>
      </c>
      <c r="K122" s="51" t="str">
        <f ca="1"/>
        <v/>
      </c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</row>
    <row r="123" spans="2:25" x14ac:dyDescent="0.25">
      <c r="B123" s="51"/>
      <c r="C123" s="70" t="str">
        <f ca="1"/>
        <v>46211/D|BR1/02</v>
      </c>
      <c r="D123" s="52" t="str">
        <f ca="1"/>
        <v>STM-A40_0136</v>
      </c>
      <c r="E123" s="52" t="str">
        <f ca="1"/>
        <v>SAP</v>
      </c>
      <c r="F123" s="52" t="str">
        <f ca="1"/>
        <v>LS_18</v>
      </c>
      <c r="G123" s="52" t="str">
        <f ca="1"/>
        <v>L18_S09</v>
      </c>
      <c r="H123" s="52" t="str">
        <f ca="1"/>
        <v>035 / 017</v>
      </c>
      <c r="I123" s="52" t="str">
        <f ca="1"/>
        <v>No</v>
      </c>
      <c r="J123" s="52" t="str">
        <f ca="1"/>
        <v/>
      </c>
      <c r="K123" s="51" t="str">
        <f ca="1"/>
        <v/>
      </c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</row>
    <row r="124" spans="2:25" x14ac:dyDescent="0.25">
      <c r="B124" s="51"/>
      <c r="C124" s="70" t="str">
        <f ca="1"/>
        <v>46211/D|BR1/02</v>
      </c>
      <c r="D124" s="52" t="str">
        <f ca="1"/>
        <v>STM-A40_0087</v>
      </c>
      <c r="E124" s="52" t="str">
        <f ca="1"/>
        <v>SAP</v>
      </c>
      <c r="F124" s="52" t="str">
        <f ca="1"/>
        <v>LS_18</v>
      </c>
      <c r="G124" s="52" t="str">
        <f ca="1"/>
        <v>L18_S09</v>
      </c>
      <c r="H124" s="52" t="str">
        <f ca="1"/>
        <v>035 / 018</v>
      </c>
      <c r="I124" s="52" t="str">
        <f ca="1"/>
        <v>Yes</v>
      </c>
      <c r="J124" s="52" t="str">
        <f ca="1"/>
        <v/>
      </c>
      <c r="K124" s="51" t="str">
        <f ca="1"/>
        <v/>
      </c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</row>
    <row r="125" spans="2:25" x14ac:dyDescent="0.25">
      <c r="B125" s="51"/>
      <c r="C125" s="70" t="str">
        <f ca="1"/>
        <v>46211/D|BR1/02</v>
      </c>
      <c r="D125" s="52" t="str">
        <f ca="1"/>
        <v>STM-A40_0069</v>
      </c>
      <c r="E125" s="52" t="str">
        <f ca="1"/>
        <v>SAP</v>
      </c>
      <c r="F125" s="52" t="str">
        <f ca="1"/>
        <v>LS_18</v>
      </c>
      <c r="G125" s="52" t="str">
        <f ca="1"/>
        <v>L18_S09</v>
      </c>
      <c r="H125" s="52" t="str">
        <f ca="1"/>
        <v>035 / 019</v>
      </c>
      <c r="I125" s="52" t="str">
        <f ca="1"/>
        <v>No</v>
      </c>
      <c r="J125" s="52" t="str">
        <f ca="1"/>
        <v/>
      </c>
      <c r="K125" s="51" t="str">
        <f ca="1"/>
        <v/>
      </c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</row>
    <row r="126" spans="2:25" x14ac:dyDescent="0.25">
      <c r="B126" s="51"/>
      <c r="C126" s="70" t="str">
        <f ca="1"/>
        <v>46211/D|BR1/02</v>
      </c>
      <c r="D126" s="52" t="str">
        <f ca="1"/>
        <v>STM-A40_0132</v>
      </c>
      <c r="E126" s="52" t="str">
        <f ca="1"/>
        <v>SAP</v>
      </c>
      <c r="F126" s="52" t="str">
        <f ca="1"/>
        <v>LS_18</v>
      </c>
      <c r="G126" s="52" t="str">
        <f ca="1"/>
        <v>L18_S09</v>
      </c>
      <c r="H126" s="52" t="str">
        <f ca="1"/>
        <v>035 / 020</v>
      </c>
      <c r="I126" s="52" t="str">
        <f ca="1"/>
        <v>Yes</v>
      </c>
      <c r="J126" s="52" t="str">
        <f ca="1"/>
        <v/>
      </c>
      <c r="K126" s="51" t="str">
        <f ca="1"/>
        <v/>
      </c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</row>
    <row r="127" spans="2:25" x14ac:dyDescent="0.25">
      <c r="B127" s="51"/>
      <c r="C127" s="70" t="str">
        <f ca="1"/>
        <v>46211/D|BR1/01</v>
      </c>
      <c r="D127" s="52" t="str">
        <f ca="1"/>
        <v>STM-A40_0119</v>
      </c>
      <c r="E127" s="52" t="str">
        <f ca="1"/>
        <v>SAP</v>
      </c>
      <c r="F127" s="52" t="str">
        <f ca="1"/>
        <v>LS_18</v>
      </c>
      <c r="G127" s="52" t="str">
        <f ca="1"/>
        <v>L18_S09</v>
      </c>
      <c r="H127" s="52" t="str">
        <f ca="1"/>
        <v>036 / 001</v>
      </c>
      <c r="I127" s="52" t="str">
        <f ca="1"/>
        <v>No</v>
      </c>
      <c r="J127" s="52" t="str">
        <f ca="1"/>
        <v/>
      </c>
      <c r="K127" s="51" t="str">
        <f ca="1"/>
        <v/>
      </c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</row>
    <row r="128" spans="2:25" x14ac:dyDescent="0.25">
      <c r="B128" s="51"/>
      <c r="C128" s="70" t="str">
        <f ca="1"/>
        <v>46211/D|BR1/04</v>
      </c>
      <c r="D128" s="52" t="str">
        <f ca="1"/>
        <v>STM-A40_0121</v>
      </c>
      <c r="E128" s="52" t="str">
        <f ca="1"/>
        <v>SAP</v>
      </c>
      <c r="F128" s="52" t="str">
        <f ca="1"/>
        <v>LS_18</v>
      </c>
      <c r="G128" s="52" t="str">
        <f ca="1"/>
        <v>L18_S09</v>
      </c>
      <c r="H128" s="52" t="str">
        <f ca="1"/>
        <v>036 / 002</v>
      </c>
      <c r="I128" s="52" t="str">
        <f ca="1"/>
        <v>Yes</v>
      </c>
      <c r="J128" s="52" t="str">
        <f ca="1"/>
        <v/>
      </c>
      <c r="K128" s="51" t="str">
        <f ca="1"/>
        <v>TRUCK SALAH</v>
      </c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</row>
    <row r="129" spans="2:25" x14ac:dyDescent="0.25">
      <c r="B129" s="51"/>
      <c r="C129" s="70" t="str">
        <f ca="1"/>
        <v>46211/D|BR1/04</v>
      </c>
      <c r="D129" s="52" t="str">
        <f ca="1"/>
        <v>STM-A40_0105</v>
      </c>
      <c r="E129" s="52" t="str">
        <f ca="1"/>
        <v>SAP</v>
      </c>
      <c r="F129" s="52" t="str">
        <f ca="1"/>
        <v>LS_18</v>
      </c>
      <c r="G129" s="52" t="str">
        <f ca="1"/>
        <v>L18_S09</v>
      </c>
      <c r="H129" s="52" t="str">
        <f ca="1"/>
        <v>036 / 003</v>
      </c>
      <c r="I129" s="52" t="str">
        <f ca="1"/>
        <v>No</v>
      </c>
      <c r="J129" s="52" t="str">
        <f ca="1"/>
        <v/>
      </c>
      <c r="K129" s="51" t="str">
        <f ca="1"/>
        <v/>
      </c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</row>
    <row r="130" spans="2:25" x14ac:dyDescent="0.25">
      <c r="B130" s="51"/>
      <c r="C130" s="70" t="str">
        <f ca="1"/>
        <v>46211/D|BR1/04</v>
      </c>
      <c r="D130" s="52" t="str">
        <f ca="1"/>
        <v>STM-A40_0106</v>
      </c>
      <c r="E130" s="52" t="str">
        <f ca="1"/>
        <v>SAP</v>
      </c>
      <c r="F130" s="52" t="str">
        <f ca="1"/>
        <v>LS_18</v>
      </c>
      <c r="G130" s="52" t="str">
        <f ca="1"/>
        <v>L18_S09</v>
      </c>
      <c r="H130" s="52" t="str">
        <f ca="1"/>
        <v>036 / 004</v>
      </c>
      <c r="I130" s="52" t="str">
        <f ca="1"/>
        <v>Yes</v>
      </c>
      <c r="J130" s="52" t="str">
        <f ca="1"/>
        <v/>
      </c>
      <c r="K130" s="51" t="str">
        <f ca="1"/>
        <v/>
      </c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</row>
    <row r="131" spans="2:25" x14ac:dyDescent="0.25">
      <c r="B131" s="51"/>
      <c r="C131" s="70" t="str">
        <f ca="1"/>
        <v>46211/D|BR1/04</v>
      </c>
      <c r="D131" s="52" t="str">
        <f ca="1"/>
        <v>STM-A40_0098</v>
      </c>
      <c r="E131" s="52" t="str">
        <f ca="1"/>
        <v>SAP</v>
      </c>
      <c r="F131" s="52" t="str">
        <f ca="1"/>
        <v>LS_18</v>
      </c>
      <c r="G131" s="52" t="str">
        <f ca="1"/>
        <v>L18_S09</v>
      </c>
      <c r="H131" s="52" t="str">
        <f ca="1"/>
        <v>036 / 005</v>
      </c>
      <c r="I131" s="52" t="str">
        <f ca="1"/>
        <v>No</v>
      </c>
      <c r="J131" s="52" t="str">
        <f ca="1"/>
        <v/>
      </c>
      <c r="K131" s="51" t="str">
        <f ca="1"/>
        <v/>
      </c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</row>
    <row r="132" spans="2:25" x14ac:dyDescent="0.25">
      <c r="B132" s="51"/>
      <c r="C132" s="70" t="str">
        <f ca="1"/>
        <v>46211/D|BR1/04</v>
      </c>
      <c r="D132" s="52" t="str">
        <f ca="1"/>
        <v>STM-A40_0136</v>
      </c>
      <c r="E132" s="52" t="str">
        <f ca="1"/>
        <v>SAP</v>
      </c>
      <c r="F132" s="52" t="str">
        <f ca="1"/>
        <v>LS_18</v>
      </c>
      <c r="G132" s="52" t="str">
        <f ca="1"/>
        <v>L18_S09</v>
      </c>
      <c r="H132" s="52" t="str">
        <f ca="1"/>
        <v>036 / 006</v>
      </c>
      <c r="I132" s="52" t="str">
        <f ca="1"/>
        <v>Yes</v>
      </c>
      <c r="J132" s="52" t="str">
        <f ca="1"/>
        <v/>
      </c>
      <c r="K132" s="51" t="str">
        <f ca="1"/>
        <v/>
      </c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</row>
    <row r="133" spans="2:25" x14ac:dyDescent="0.25">
      <c r="B133" s="51"/>
      <c r="C133" s="70" t="str">
        <f ca="1"/>
        <v>46211/D|BR1/04</v>
      </c>
      <c r="D133" s="52" t="str">
        <f ca="1"/>
        <v>STM-A40_0107</v>
      </c>
      <c r="E133" s="52" t="str">
        <f ca="1"/>
        <v>SAP</v>
      </c>
      <c r="F133" s="52" t="str">
        <f ca="1"/>
        <v>LS_18</v>
      </c>
      <c r="G133" s="52" t="str">
        <f ca="1"/>
        <v>L18_S09</v>
      </c>
      <c r="H133" s="52" t="str">
        <f ca="1"/>
        <v>036 / 007</v>
      </c>
      <c r="I133" s="52" t="str">
        <f ca="1"/>
        <v>No</v>
      </c>
      <c r="J133" s="52" t="str">
        <f ca="1"/>
        <v/>
      </c>
      <c r="K133" s="51" t="str">
        <f ca="1"/>
        <v/>
      </c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</row>
    <row r="134" spans="2:25" x14ac:dyDescent="0.25">
      <c r="B134" s="51"/>
      <c r="C134" s="70" t="str">
        <f ca="1"/>
        <v>46211/D|BR1/04</v>
      </c>
      <c r="D134" s="52" t="str">
        <f ca="1"/>
        <v>STM-A40_0121</v>
      </c>
      <c r="E134" s="52" t="str">
        <f ca="1"/>
        <v>SAP</v>
      </c>
      <c r="F134" s="52" t="str">
        <f ca="1"/>
        <v>LS_18</v>
      </c>
      <c r="G134" s="52" t="str">
        <f ca="1"/>
        <v>L18_S09</v>
      </c>
      <c r="H134" s="52" t="str">
        <f ca="1"/>
        <v>036 / 008</v>
      </c>
      <c r="I134" s="52" t="str">
        <f ca="1"/>
        <v>Yes</v>
      </c>
      <c r="J134" s="52" t="str">
        <f ca="1"/>
        <v/>
      </c>
      <c r="K134" s="51" t="str">
        <f ca="1"/>
        <v>TRUCK SALAH</v>
      </c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</row>
    <row r="135" spans="2:25" x14ac:dyDescent="0.25">
      <c r="B135" s="51"/>
      <c r="C135" s="70" t="str">
        <f ca="1"/>
        <v>46211/D|BR1/04</v>
      </c>
      <c r="D135" s="52" t="str">
        <f ca="1"/>
        <v>STM-A40_0119</v>
      </c>
      <c r="E135" s="52" t="str">
        <f ca="1"/>
        <v>SAP</v>
      </c>
      <c r="F135" s="52" t="str">
        <f ca="1"/>
        <v>LS_18</v>
      </c>
      <c r="G135" s="52" t="str">
        <f ca="1"/>
        <v>L18_S09</v>
      </c>
      <c r="H135" s="52" t="str">
        <f ca="1"/>
        <v>036 / 009</v>
      </c>
      <c r="I135" s="52" t="str">
        <f ca="1"/>
        <v>No</v>
      </c>
      <c r="J135" s="52" t="str">
        <f ca="1"/>
        <v/>
      </c>
      <c r="K135" s="51" t="str">
        <f ca="1"/>
        <v/>
      </c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</row>
    <row r="136" spans="2:25" x14ac:dyDescent="0.25">
      <c r="B136" s="51"/>
      <c r="C136" s="70" t="str">
        <f ca="1"/>
        <v>46211/D|BR1/04</v>
      </c>
      <c r="D136" s="52" t="str">
        <f ca="1"/>
        <v>STM-A40_0105</v>
      </c>
      <c r="E136" s="52" t="str">
        <f ca="1"/>
        <v>SAP</v>
      </c>
      <c r="F136" s="52" t="str">
        <f ca="1"/>
        <v>LS_18</v>
      </c>
      <c r="G136" s="52" t="str">
        <f ca="1"/>
        <v>L18_S09</v>
      </c>
      <c r="H136" s="52" t="str">
        <f ca="1"/>
        <v>036 / 010</v>
      </c>
      <c r="I136" s="52" t="str">
        <f ca="1"/>
        <v>Yes</v>
      </c>
      <c r="J136" s="52" t="str">
        <f ca="1"/>
        <v/>
      </c>
      <c r="K136" s="51" t="str">
        <f ca="1"/>
        <v/>
      </c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</row>
    <row r="137" spans="2:25" x14ac:dyDescent="0.25">
      <c r="B137" s="51"/>
      <c r="C137" s="70" t="str">
        <f ca="1"/>
        <v>46211/D|BR1/04</v>
      </c>
      <c r="D137" s="52" t="str">
        <f ca="1"/>
        <v>STM-A40_0106</v>
      </c>
      <c r="E137" s="52" t="str">
        <f ca="1"/>
        <v>SAP</v>
      </c>
      <c r="F137" s="52" t="str">
        <f ca="1"/>
        <v>LS_18</v>
      </c>
      <c r="G137" s="52" t="str">
        <f ca="1"/>
        <v>L18_S09</v>
      </c>
      <c r="H137" s="52" t="str">
        <f ca="1"/>
        <v>036 / 011</v>
      </c>
      <c r="I137" s="52" t="str">
        <f ca="1"/>
        <v>No</v>
      </c>
      <c r="J137" s="52" t="str">
        <f ca="1"/>
        <v/>
      </c>
      <c r="K137" s="51" t="str">
        <f ca="1"/>
        <v/>
      </c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</row>
    <row r="138" spans="2:25" x14ac:dyDescent="0.25">
      <c r="B138" s="51"/>
      <c r="C138" s="70" t="str">
        <f ca="1"/>
        <v>46211/D|BR1/04</v>
      </c>
      <c r="D138" s="52" t="str">
        <f ca="1"/>
        <v>STM-A40_0098</v>
      </c>
      <c r="E138" s="52" t="str">
        <f ca="1"/>
        <v>SAP</v>
      </c>
      <c r="F138" s="52" t="str">
        <f ca="1"/>
        <v>LS_18</v>
      </c>
      <c r="G138" s="52" t="str">
        <f ca="1"/>
        <v>L18_S09</v>
      </c>
      <c r="H138" s="52" t="str">
        <f ca="1"/>
        <v>036 / 012</v>
      </c>
      <c r="I138" s="52" t="str">
        <f ca="1"/>
        <v>Yes</v>
      </c>
      <c r="J138" s="52" t="str">
        <f ca="1"/>
        <v/>
      </c>
      <c r="K138" s="51" t="str">
        <f ca="1"/>
        <v/>
      </c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</row>
    <row r="139" spans="2:25" x14ac:dyDescent="0.25">
      <c r="B139" s="51"/>
      <c r="C139" s="70" t="str">
        <f ca="1"/>
        <v>46211/D|BR1/04</v>
      </c>
      <c r="D139" s="52" t="str">
        <f ca="1"/>
        <v>STM-A40_0121</v>
      </c>
      <c r="E139" s="52" t="str">
        <f ca="1"/>
        <v>SAP</v>
      </c>
      <c r="F139" s="52" t="str">
        <f ca="1"/>
        <v>LS_18</v>
      </c>
      <c r="G139" s="52" t="str">
        <f ca="1"/>
        <v>L18_S09</v>
      </c>
      <c r="H139" s="52" t="str">
        <f ca="1"/>
        <v>036 / 013</v>
      </c>
      <c r="I139" s="52" t="str">
        <f ca="1"/>
        <v>No</v>
      </c>
      <c r="J139" s="52" t="str">
        <f ca="1"/>
        <v/>
      </c>
      <c r="K139" s="51" t="str">
        <f ca="1"/>
        <v>TRUCK SALAH</v>
      </c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</row>
    <row r="140" spans="2:25" x14ac:dyDescent="0.25">
      <c r="B140" s="51"/>
      <c r="C140" s="70" t="str">
        <f ca="1"/>
        <v>46211/D|BR1/04</v>
      </c>
      <c r="D140" s="52" t="str">
        <f ca="1"/>
        <v>STM-A40_0119</v>
      </c>
      <c r="E140" s="52" t="str">
        <f ca="1"/>
        <v>SAP</v>
      </c>
      <c r="F140" s="52" t="str">
        <f ca="1"/>
        <v>LS_18</v>
      </c>
      <c r="G140" s="52" t="str">
        <f ca="1"/>
        <v>L18_S09</v>
      </c>
      <c r="H140" s="52" t="str">
        <f ca="1"/>
        <v>036 / 014</v>
      </c>
      <c r="I140" s="52" t="str">
        <f ca="1"/>
        <v>Yes</v>
      </c>
      <c r="J140" s="52" t="str">
        <f ca="1"/>
        <v/>
      </c>
      <c r="K140" s="51" t="str">
        <f ca="1"/>
        <v/>
      </c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</row>
    <row r="141" spans="2:25" x14ac:dyDescent="0.25">
      <c r="B141" s="51"/>
      <c r="C141" s="70" t="str">
        <f ca="1"/>
        <v>46211/D|BR1/04</v>
      </c>
      <c r="D141" s="52" t="str">
        <f ca="1"/>
        <v>STM-A40_0098</v>
      </c>
      <c r="E141" s="52" t="str">
        <f ca="1"/>
        <v>SAP</v>
      </c>
      <c r="F141" s="52" t="str">
        <f ca="1"/>
        <v>LS_18</v>
      </c>
      <c r="G141" s="52" t="str">
        <f ca="1"/>
        <v>L18_S09</v>
      </c>
      <c r="H141" s="52" t="str">
        <f ca="1"/>
        <v>036 / 015</v>
      </c>
      <c r="I141" s="52" t="str">
        <f ca="1"/>
        <v>No</v>
      </c>
      <c r="J141" s="52" t="str">
        <f ca="1"/>
        <v/>
      </c>
      <c r="K141" s="51" t="str">
        <f ca="1"/>
        <v/>
      </c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</row>
    <row r="142" spans="2:25" x14ac:dyDescent="0.25">
      <c r="B142" s="51"/>
      <c r="C142" s="70" t="str">
        <f ca="1"/>
        <v>46211/D|BR1/04</v>
      </c>
      <c r="D142" s="52" t="str">
        <f ca="1"/>
        <v>STM-A40_0106</v>
      </c>
      <c r="E142" s="52" t="str">
        <f ca="1"/>
        <v>SAP</v>
      </c>
      <c r="F142" s="52" t="str">
        <f ca="1"/>
        <v>LS_18</v>
      </c>
      <c r="G142" s="52" t="str">
        <f ca="1"/>
        <v>L18_S09</v>
      </c>
      <c r="H142" s="52" t="str">
        <f ca="1"/>
        <v>036 / 016</v>
      </c>
      <c r="I142" s="52" t="str">
        <f ca="1"/>
        <v>Yes</v>
      </c>
      <c r="J142" s="52" t="str">
        <f ca="1"/>
        <v/>
      </c>
      <c r="K142" s="51" t="str">
        <f ca="1"/>
        <v/>
      </c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</row>
    <row r="143" spans="2:25" x14ac:dyDescent="0.25">
      <c r="B143" s="51"/>
      <c r="C143" s="70" t="str">
        <f ca="1"/>
        <v>46211/D|BR1/04</v>
      </c>
      <c r="D143" s="52" t="str">
        <f ca="1"/>
        <v>STM-A40_0105</v>
      </c>
      <c r="E143" s="52" t="str">
        <f ca="1"/>
        <v>SAP</v>
      </c>
      <c r="F143" s="52" t="str">
        <f ca="1"/>
        <v>LS_18</v>
      </c>
      <c r="G143" s="52" t="str">
        <f ca="1"/>
        <v>L18_S09</v>
      </c>
      <c r="H143" s="52" t="str">
        <f ca="1"/>
        <v>036 / 017</v>
      </c>
      <c r="I143" s="52" t="str">
        <f ca="1"/>
        <v>No</v>
      </c>
      <c r="J143" s="52" t="str">
        <f ca="1"/>
        <v/>
      </c>
      <c r="K143" s="51" t="str">
        <f ca="1"/>
        <v/>
      </c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</row>
    <row r="144" spans="2:25" x14ac:dyDescent="0.25">
      <c r="B144" s="51"/>
      <c r="C144" s="70" t="str">
        <f ca="1"/>
        <v>46211/D|BR1/04</v>
      </c>
      <c r="D144" s="52" t="str">
        <f ca="1"/>
        <v>STM-A40_0107</v>
      </c>
      <c r="E144" s="52" t="str">
        <f ca="1"/>
        <v>SAP</v>
      </c>
      <c r="F144" s="52" t="str">
        <f ca="1"/>
        <v>LS_18</v>
      </c>
      <c r="G144" s="52" t="str">
        <f ca="1"/>
        <v>L18_S09</v>
      </c>
      <c r="H144" s="52" t="str">
        <f ca="1"/>
        <v>036 / 018</v>
      </c>
      <c r="I144" s="52" t="str">
        <f ca="1"/>
        <v>Yes</v>
      </c>
      <c r="J144" s="52" t="str">
        <f ca="1"/>
        <v/>
      </c>
      <c r="K144" s="51" t="str">
        <f ca="1"/>
        <v/>
      </c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</row>
    <row r="145" spans="2:25" x14ac:dyDescent="0.25">
      <c r="B145" s="51"/>
      <c r="C145" s="70" t="str">
        <f ca="1"/>
        <v>46211/D|BR1/04</v>
      </c>
      <c r="D145" s="52" t="str">
        <f ca="1"/>
        <v>STM-A40_0136</v>
      </c>
      <c r="E145" s="52" t="str">
        <f ca="1"/>
        <v>SAP</v>
      </c>
      <c r="F145" s="52" t="str">
        <f ca="1"/>
        <v>LS_18</v>
      </c>
      <c r="G145" s="52" t="str">
        <f ca="1"/>
        <v>L18_S09</v>
      </c>
      <c r="H145" s="52" t="str">
        <f ca="1"/>
        <v>036 / 019</v>
      </c>
      <c r="I145" s="52" t="str">
        <f ca="1"/>
        <v>No</v>
      </c>
      <c r="J145" s="52" t="str">
        <f ca="1"/>
        <v/>
      </c>
      <c r="K145" s="51" t="str">
        <f ca="1"/>
        <v/>
      </c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</row>
    <row r="146" spans="2:25" x14ac:dyDescent="0.25">
      <c r="B146" s="51"/>
      <c r="C146" s="70" t="str">
        <f ca="1"/>
        <v>46211/D|BR1/04</v>
      </c>
      <c r="D146" s="52" t="str">
        <f ca="1"/>
        <v>STM-A40_0106</v>
      </c>
      <c r="E146" s="52" t="str">
        <f ca="1"/>
        <v>SAP</v>
      </c>
      <c r="F146" s="52" t="str">
        <f ca="1"/>
        <v>LS_18</v>
      </c>
      <c r="G146" s="52" t="str">
        <f ca="1"/>
        <v>L18_S09</v>
      </c>
      <c r="H146" s="52" t="str">
        <f ca="1"/>
        <v>036 / 020</v>
      </c>
      <c r="I146" s="52" t="str">
        <f ca="1"/>
        <v>Yes</v>
      </c>
      <c r="J146" s="52" t="str">
        <f ca="1"/>
        <v/>
      </c>
      <c r="K146" s="51" t="str">
        <f ca="1"/>
        <v/>
      </c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</row>
    <row r="147" spans="2:25" x14ac:dyDescent="0.25">
      <c r="B147" s="51"/>
      <c r="C147" s="70" t="str">
        <f ca="1"/>
        <v>46211/D|BR1/04</v>
      </c>
      <c r="D147" s="52" t="str">
        <f ca="1"/>
        <v>STM-A40_0098</v>
      </c>
      <c r="E147" s="52" t="str">
        <f ca="1"/>
        <v>SAP</v>
      </c>
      <c r="F147" s="52" t="str">
        <f ca="1"/>
        <v>LS_18</v>
      </c>
      <c r="G147" s="52" t="str">
        <f ca="1"/>
        <v>L18_S09</v>
      </c>
      <c r="H147" s="52" t="str">
        <f ca="1"/>
        <v>037 / 001</v>
      </c>
      <c r="I147" s="52" t="str">
        <f ca="1"/>
        <v>No</v>
      </c>
      <c r="J147" s="52" t="str">
        <f ca="1"/>
        <v/>
      </c>
      <c r="K147" s="51" t="str">
        <f ca="1"/>
        <v/>
      </c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</row>
    <row r="148" spans="2:25" x14ac:dyDescent="0.25">
      <c r="B148" s="51"/>
      <c r="C148" s="70" t="str">
        <f ca="1"/>
        <v>46211/D|BR1/04</v>
      </c>
      <c r="D148" s="52" t="str">
        <f ca="1"/>
        <v>STM-A40_0106</v>
      </c>
      <c r="E148" s="52" t="str">
        <f ca="1"/>
        <v>SAP</v>
      </c>
      <c r="F148" s="52" t="str">
        <f ca="1"/>
        <v>LS_18</v>
      </c>
      <c r="G148" s="52" t="str">
        <f ca="1"/>
        <v>L18_S09</v>
      </c>
      <c r="H148" s="52" t="str">
        <f ca="1"/>
        <v>037 / 002</v>
      </c>
      <c r="I148" s="52" t="str">
        <f ca="1"/>
        <v>Yes</v>
      </c>
      <c r="J148" s="52" t="str">
        <f ca="1"/>
        <v/>
      </c>
      <c r="K148" s="51" t="str">
        <f ca="1"/>
        <v/>
      </c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</row>
    <row r="149" spans="2:25" x14ac:dyDescent="0.25">
      <c r="B149" s="51"/>
      <c r="C149" s="70" t="str">
        <f ca="1"/>
        <v>46211/D|BR1/04</v>
      </c>
      <c r="D149" s="52" t="str">
        <f ca="1"/>
        <v>STM-A40_0107</v>
      </c>
      <c r="E149" s="52" t="str">
        <f ca="1"/>
        <v>SAP</v>
      </c>
      <c r="F149" s="52" t="str">
        <f ca="1"/>
        <v>LS_18</v>
      </c>
      <c r="G149" s="52" t="str">
        <f ca="1"/>
        <v>L18_S09</v>
      </c>
      <c r="H149" s="52" t="str">
        <f ca="1"/>
        <v>037 / 003</v>
      </c>
      <c r="I149" s="52" t="str">
        <f ca="1"/>
        <v>No</v>
      </c>
      <c r="J149" s="52" t="str">
        <f ca="1"/>
        <v/>
      </c>
      <c r="K149" s="51" t="str">
        <f ca="1"/>
        <v/>
      </c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</row>
    <row r="150" spans="2:25" x14ac:dyDescent="0.25">
      <c r="B150" s="51"/>
      <c r="C150" s="70" t="str">
        <f ca="1"/>
        <v>46211/D|BR1/04</v>
      </c>
      <c r="D150" s="52" t="str">
        <f ca="1"/>
        <v>STM-A40_0105</v>
      </c>
      <c r="E150" s="52" t="str">
        <f ca="1"/>
        <v>SAP</v>
      </c>
      <c r="F150" s="52" t="str">
        <f ca="1"/>
        <v>LS_18</v>
      </c>
      <c r="G150" s="52" t="str">
        <f ca="1"/>
        <v>L18_S09</v>
      </c>
      <c r="H150" s="52" t="str">
        <f ca="1"/>
        <v>037 / 004</v>
      </c>
      <c r="I150" s="52" t="str">
        <f ca="1"/>
        <v>Yes</v>
      </c>
      <c r="J150" s="52" t="str">
        <f ca="1"/>
        <v/>
      </c>
      <c r="K150" s="51" t="str">
        <f ca="1"/>
        <v/>
      </c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</row>
    <row r="151" spans="2:25" x14ac:dyDescent="0.25">
      <c r="B151" s="51"/>
      <c r="C151" s="70" t="str">
        <f ca="1"/>
        <v>46211/D|BR1/04</v>
      </c>
      <c r="D151" s="52" t="str">
        <f ca="1"/>
        <v>STM-A40_0107</v>
      </c>
      <c r="E151" s="52" t="str">
        <f ca="1"/>
        <v>SAP</v>
      </c>
      <c r="F151" s="52" t="str">
        <f ca="1"/>
        <v>LS_18</v>
      </c>
      <c r="G151" s="52" t="str">
        <f ca="1"/>
        <v>L18_S09</v>
      </c>
      <c r="H151" s="52" t="str">
        <f ca="1"/>
        <v>037 / 005</v>
      </c>
      <c r="I151" s="52" t="str">
        <f ca="1"/>
        <v>No</v>
      </c>
      <c r="J151" s="52" t="str">
        <f ca="1"/>
        <v/>
      </c>
      <c r="K151" s="51" t="str">
        <f ca="1"/>
        <v/>
      </c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</row>
    <row r="152" spans="2:25" x14ac:dyDescent="0.25">
      <c r="B152" s="51"/>
      <c r="C152" s="70" t="str">
        <f ca="1"/>
        <v>46211/D|BR1/04</v>
      </c>
      <c r="D152" s="52" t="str">
        <f ca="1"/>
        <v>STM-A40_0136</v>
      </c>
      <c r="E152" s="52" t="str">
        <f ca="1"/>
        <v>SAP</v>
      </c>
      <c r="F152" s="52" t="str">
        <f ca="1"/>
        <v>LS_18</v>
      </c>
      <c r="G152" s="52" t="str">
        <f ca="1"/>
        <v>L18_S09</v>
      </c>
      <c r="H152" s="52" t="str">
        <f ca="1"/>
        <v>037 / 006</v>
      </c>
      <c r="I152" s="52" t="str">
        <f ca="1"/>
        <v>Yes</v>
      </c>
      <c r="J152" s="52" t="str">
        <f ca="1"/>
        <v/>
      </c>
      <c r="K152" s="51" t="str">
        <f ca="1"/>
        <v/>
      </c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</row>
    <row r="153" spans="2:25" x14ac:dyDescent="0.25">
      <c r="B153" s="51"/>
      <c r="C153" s="70" t="str">
        <f ca="1"/>
        <v>46211/D|BR1/04</v>
      </c>
      <c r="D153" s="52" t="str">
        <f ca="1"/>
        <v>STM-A40_0106</v>
      </c>
      <c r="E153" s="52" t="str">
        <f ca="1"/>
        <v>SAP</v>
      </c>
      <c r="F153" s="52" t="str">
        <f ca="1"/>
        <v>LS_18</v>
      </c>
      <c r="G153" s="52" t="str">
        <f ca="1"/>
        <v>L18_S09</v>
      </c>
      <c r="H153" s="52" t="str">
        <f ca="1"/>
        <v>037 / 007</v>
      </c>
      <c r="I153" s="52" t="str">
        <f ca="1"/>
        <v>No</v>
      </c>
      <c r="J153" s="52" t="str">
        <f ca="1"/>
        <v/>
      </c>
      <c r="K153" s="51" t="str">
        <f ca="1"/>
        <v/>
      </c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</row>
    <row r="154" spans="2:25" x14ac:dyDescent="0.25">
      <c r="B154" s="51"/>
      <c r="C154" s="70" t="str">
        <f ca="1"/>
        <v>46211/D|BR1/04</v>
      </c>
      <c r="D154" s="52" t="str">
        <f ca="1"/>
        <v>STM-A40_0098</v>
      </c>
      <c r="E154" s="52" t="str">
        <f ca="1"/>
        <v>SAP</v>
      </c>
      <c r="F154" s="52" t="str">
        <f ca="1"/>
        <v>LS_18</v>
      </c>
      <c r="G154" s="52" t="str">
        <f ca="1"/>
        <v>L18_S09</v>
      </c>
      <c r="H154" s="52" t="str">
        <f ca="1"/>
        <v>037 / 008</v>
      </c>
      <c r="I154" s="52" t="str">
        <f ca="1"/>
        <v>Yes</v>
      </c>
      <c r="J154" s="52" t="str">
        <f ca="1"/>
        <v/>
      </c>
      <c r="K154" s="51" t="str">
        <f ca="1"/>
        <v/>
      </c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</row>
    <row r="155" spans="2:25" x14ac:dyDescent="0.25">
      <c r="B155" s="51"/>
      <c r="C155" s="70" t="str">
        <f ca="1"/>
        <v>46211/D|BR1/04</v>
      </c>
      <c r="D155" s="52" t="str">
        <f ca="1"/>
        <v>STM-A40_0121</v>
      </c>
      <c r="E155" s="52" t="str">
        <f ca="1"/>
        <v>SAP</v>
      </c>
      <c r="F155" s="52" t="str">
        <f ca="1"/>
        <v>LS_18</v>
      </c>
      <c r="G155" s="52" t="str">
        <f ca="1"/>
        <v>L18_S09</v>
      </c>
      <c r="H155" s="52" t="str">
        <f ca="1"/>
        <v>037 / 009</v>
      </c>
      <c r="I155" s="52" t="str">
        <f ca="1"/>
        <v>No</v>
      </c>
      <c r="J155" s="52" t="str">
        <f ca="1"/>
        <v/>
      </c>
      <c r="K155" s="51" t="str">
        <f ca="1"/>
        <v>TRUCK SALAH</v>
      </c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</row>
    <row r="156" spans="2:25" x14ac:dyDescent="0.25">
      <c r="B156" s="51"/>
      <c r="C156" s="70" t="str">
        <f ca="1"/>
        <v>46211/D|BR1/04</v>
      </c>
      <c r="D156" s="52" t="str">
        <f ca="1"/>
        <v>STM-A40_0119</v>
      </c>
      <c r="E156" s="52" t="str">
        <f ca="1"/>
        <v>SAP</v>
      </c>
      <c r="F156" s="52" t="str">
        <f ca="1"/>
        <v>LS_18</v>
      </c>
      <c r="G156" s="52" t="str">
        <f ca="1"/>
        <v>L18_S09</v>
      </c>
      <c r="H156" s="52" t="str">
        <f ca="1"/>
        <v>037 / 010</v>
      </c>
      <c r="I156" s="52" t="str">
        <f ca="1"/>
        <v>Yes</v>
      </c>
      <c r="J156" s="52" t="str">
        <f ca="1"/>
        <v/>
      </c>
      <c r="K156" s="51" t="str">
        <f ca="1"/>
        <v/>
      </c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</row>
    <row r="157" spans="2:25" x14ac:dyDescent="0.25">
      <c r="B157" s="51"/>
      <c r="C157" s="70" t="str">
        <f ca="1"/>
        <v>46211/D|BR1/04</v>
      </c>
      <c r="D157" s="52" t="str">
        <f ca="1"/>
        <v>STM-A40_0105</v>
      </c>
      <c r="E157" s="52" t="str">
        <f ca="1"/>
        <v>SAP</v>
      </c>
      <c r="F157" s="52" t="str">
        <f ca="1"/>
        <v>LS_18</v>
      </c>
      <c r="G157" s="52" t="str">
        <f ca="1"/>
        <v>L18_S09</v>
      </c>
      <c r="H157" s="52" t="str">
        <f ca="1"/>
        <v>037 / 011</v>
      </c>
      <c r="I157" s="52" t="str">
        <f ca="1"/>
        <v>No</v>
      </c>
      <c r="J157" s="52" t="str">
        <f ca="1"/>
        <v/>
      </c>
      <c r="K157" s="51" t="str">
        <f ca="1"/>
        <v/>
      </c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</row>
    <row r="158" spans="2:25" x14ac:dyDescent="0.25">
      <c r="B158" s="51"/>
      <c r="C158" s="70" t="str">
        <f ca="1"/>
        <v>46211/D|BR1/04</v>
      </c>
      <c r="D158" s="52" t="str">
        <f ca="1"/>
        <v>STM-A40_0106</v>
      </c>
      <c r="E158" s="52" t="str">
        <f ca="1"/>
        <v>SAP</v>
      </c>
      <c r="F158" s="52" t="str">
        <f ca="1"/>
        <v>LS_18</v>
      </c>
      <c r="G158" s="52" t="str">
        <f ca="1"/>
        <v>L18_S09</v>
      </c>
      <c r="H158" s="52" t="str">
        <f ca="1"/>
        <v>037 / 012</v>
      </c>
      <c r="I158" s="52" t="str">
        <f ca="1"/>
        <v>Yes</v>
      </c>
      <c r="J158" s="52" t="str">
        <f ca="1"/>
        <v/>
      </c>
      <c r="K158" s="51" t="str">
        <f ca="1"/>
        <v/>
      </c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</row>
    <row r="159" spans="2:25" x14ac:dyDescent="0.25">
      <c r="B159" s="51"/>
      <c r="C159" s="70" t="str">
        <f ca="1"/>
        <v>46211/D|BR1/04</v>
      </c>
      <c r="D159" s="52" t="str">
        <f ca="1"/>
        <v>STM-A40_0098</v>
      </c>
      <c r="E159" s="52" t="str">
        <f ca="1"/>
        <v>SAP</v>
      </c>
      <c r="F159" s="52" t="str">
        <f ca="1"/>
        <v>LS_18</v>
      </c>
      <c r="G159" s="52" t="str">
        <f ca="1"/>
        <v>L18_S09</v>
      </c>
      <c r="H159" s="52" t="str">
        <f ca="1"/>
        <v>037 / 013</v>
      </c>
      <c r="I159" s="52" t="str">
        <f ca="1"/>
        <v>No</v>
      </c>
      <c r="J159" s="52" t="str">
        <f ca="1"/>
        <v/>
      </c>
      <c r="K159" s="51" t="str">
        <f ca="1"/>
        <v/>
      </c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</row>
    <row r="160" spans="2:25" x14ac:dyDescent="0.25">
      <c r="B160" s="51"/>
      <c r="C160" s="70" t="str">
        <f ca="1"/>
        <v>46211/D|BR1/04</v>
      </c>
      <c r="D160" s="52" t="str">
        <f ca="1"/>
        <v>STM-A40_0119</v>
      </c>
      <c r="E160" s="52" t="str">
        <f ca="1"/>
        <v>SAP</v>
      </c>
      <c r="F160" s="52" t="str">
        <f ca="1"/>
        <v>LS_18</v>
      </c>
      <c r="G160" s="52" t="str">
        <f ca="1"/>
        <v>L18_S09</v>
      </c>
      <c r="H160" s="52" t="str">
        <f ca="1"/>
        <v>037 / 014</v>
      </c>
      <c r="I160" s="52" t="str">
        <f ca="1"/>
        <v>Yes</v>
      </c>
      <c r="J160" s="52" t="str">
        <f ca="1"/>
        <v/>
      </c>
      <c r="K160" s="51" t="str">
        <f ca="1"/>
        <v/>
      </c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</row>
    <row r="161" spans="2:25" x14ac:dyDescent="0.25">
      <c r="B161" s="51"/>
      <c r="C161" s="70" t="str">
        <f ca="1"/>
        <v>46211/D|BR1/04</v>
      </c>
      <c r="D161" s="52" t="str">
        <f ca="1"/>
        <v>STM-A40_0106</v>
      </c>
      <c r="E161" s="52" t="str">
        <f ca="1"/>
        <v>SAP</v>
      </c>
      <c r="F161" s="52" t="str">
        <f ca="1"/>
        <v>LS_18</v>
      </c>
      <c r="G161" s="52" t="str">
        <f ca="1"/>
        <v>L18_S09</v>
      </c>
      <c r="H161" s="52" t="str">
        <f ca="1"/>
        <v>037 / 015</v>
      </c>
      <c r="I161" s="52" t="str">
        <f ca="1"/>
        <v>No</v>
      </c>
      <c r="J161" s="52" t="str">
        <f ca="1"/>
        <v/>
      </c>
      <c r="K161" s="51" t="str">
        <f ca="1"/>
        <v/>
      </c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</row>
    <row r="162" spans="2:25" x14ac:dyDescent="0.25">
      <c r="B162" s="51"/>
      <c r="C162" s="70" t="str">
        <f ca="1"/>
        <v>46211/D|BR1/04</v>
      </c>
      <c r="D162" s="52" t="str">
        <f ca="1"/>
        <v>STM-A40_0121</v>
      </c>
      <c r="E162" s="52" t="str">
        <f ca="1"/>
        <v>SAP</v>
      </c>
      <c r="F162" s="52" t="str">
        <f ca="1"/>
        <v>LS_18</v>
      </c>
      <c r="G162" s="52" t="str">
        <f ca="1"/>
        <v>L18_S09</v>
      </c>
      <c r="H162" s="52" t="str">
        <f ca="1"/>
        <v>037 / 016</v>
      </c>
      <c r="I162" s="52" t="str">
        <f ca="1"/>
        <v>Yes</v>
      </c>
      <c r="J162" s="52" t="str">
        <f ca="1"/>
        <v/>
      </c>
      <c r="K162" s="51" t="str">
        <f ca="1"/>
        <v>TRUCK SALAH</v>
      </c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</row>
    <row r="163" spans="2:25" x14ac:dyDescent="0.25">
      <c r="B163" s="51"/>
      <c r="C163" s="70" t="str">
        <f ca="1"/>
        <v>46211/D|BR1/04</v>
      </c>
      <c r="D163" s="52" t="str">
        <f ca="1"/>
        <v>STM-A40_0119</v>
      </c>
      <c r="E163" s="52" t="str">
        <f ca="1"/>
        <v>SAP</v>
      </c>
      <c r="F163" s="52" t="str">
        <f ca="1"/>
        <v>LS_18</v>
      </c>
      <c r="G163" s="52" t="str">
        <f ca="1"/>
        <v>L18_S09</v>
      </c>
      <c r="H163" s="52" t="str">
        <f ca="1"/>
        <v>037 / 017</v>
      </c>
      <c r="I163" s="52" t="str">
        <f ca="1"/>
        <v>No</v>
      </c>
      <c r="J163" s="52" t="str">
        <f ca="1"/>
        <v/>
      </c>
      <c r="K163" s="51" t="str">
        <f ca="1"/>
        <v/>
      </c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</row>
    <row r="164" spans="2:25" x14ac:dyDescent="0.25">
      <c r="B164" s="51"/>
      <c r="C164" s="70" t="str">
        <f ca="1"/>
        <v>46211/D|BR1/04</v>
      </c>
      <c r="D164" s="52" t="str">
        <f ca="1"/>
        <v>STM-A40_0105</v>
      </c>
      <c r="E164" s="52" t="str">
        <f ca="1"/>
        <v>SAP</v>
      </c>
      <c r="F164" s="52" t="str">
        <f ca="1"/>
        <v>LS_18</v>
      </c>
      <c r="G164" s="52" t="str">
        <f ca="1"/>
        <v>L18_S09</v>
      </c>
      <c r="H164" s="52" t="str">
        <f ca="1"/>
        <v>037 / 018</v>
      </c>
      <c r="I164" s="52" t="str">
        <f ca="1"/>
        <v>Yes</v>
      </c>
      <c r="J164" s="52" t="str">
        <f ca="1"/>
        <v/>
      </c>
      <c r="K164" s="51" t="str">
        <f ca="1"/>
        <v/>
      </c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</row>
    <row r="165" spans="2:25" x14ac:dyDescent="0.25">
      <c r="B165" s="51"/>
      <c r="C165" s="70" t="str">
        <f ca="1"/>
        <v>46211/D|BR1/04</v>
      </c>
      <c r="D165" s="52" t="str">
        <f ca="1"/>
        <v>STM-A40_0106</v>
      </c>
      <c r="E165" s="52" t="str">
        <f ca="1"/>
        <v>SAP</v>
      </c>
      <c r="F165" s="52" t="str">
        <f ca="1"/>
        <v>LS_18</v>
      </c>
      <c r="G165" s="52" t="str">
        <f ca="1"/>
        <v>L18_S09</v>
      </c>
      <c r="H165" s="52" t="str">
        <f ca="1"/>
        <v>037 / 019</v>
      </c>
      <c r="I165" s="52" t="str">
        <f ca="1"/>
        <v>No</v>
      </c>
      <c r="J165" s="52" t="str">
        <f ca="1"/>
        <v/>
      </c>
      <c r="K165" s="51" t="str">
        <f ca="1"/>
        <v/>
      </c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</row>
    <row r="166" spans="2:25" x14ac:dyDescent="0.25">
      <c r="B166" s="51"/>
      <c r="C166" s="70" t="str">
        <f ca="1"/>
        <v>46211/D|BR1/04</v>
      </c>
      <c r="D166" s="52" t="str">
        <f ca="1"/>
        <v>STM-A40_0107</v>
      </c>
      <c r="E166" s="52" t="str">
        <f ca="1"/>
        <v>SAP</v>
      </c>
      <c r="F166" s="52" t="str">
        <f ca="1"/>
        <v>LS_18</v>
      </c>
      <c r="G166" s="52" t="str">
        <f ca="1"/>
        <v>L18_S09</v>
      </c>
      <c r="H166" s="52" t="str">
        <f ca="1"/>
        <v>037 / 020</v>
      </c>
      <c r="I166" s="52" t="str">
        <f ca="1"/>
        <v>Yes</v>
      </c>
      <c r="J166" s="52" t="str">
        <f ca="1"/>
        <v/>
      </c>
      <c r="K166" s="51" t="str">
        <f ca="1"/>
        <v/>
      </c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</row>
    <row r="167" spans="2:25" x14ac:dyDescent="0.25">
      <c r="B167" s="51"/>
      <c r="C167" s="70" t="str">
        <f ca="1"/>
        <v>46211/D|BR1/02</v>
      </c>
      <c r="D167" s="52" t="str">
        <f ca="1"/>
        <v>STM-A40_0097</v>
      </c>
      <c r="E167" s="52" t="str">
        <f ca="1"/>
        <v>SAP</v>
      </c>
      <c r="F167" s="52" t="str">
        <f ca="1"/>
        <v>LS_18</v>
      </c>
      <c r="G167" s="52" t="str">
        <f ca="1"/>
        <v>L18_S09</v>
      </c>
      <c r="H167" s="52" t="str">
        <f ca="1"/>
        <v>038 / 001</v>
      </c>
      <c r="I167" s="52" t="str">
        <f ca="1"/>
        <v>No</v>
      </c>
      <c r="J167" s="52" t="str">
        <f ca="1"/>
        <v/>
      </c>
      <c r="K167" s="51" t="str">
        <f ca="1"/>
        <v/>
      </c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</row>
    <row r="168" spans="2:25" x14ac:dyDescent="0.25">
      <c r="B168" s="51"/>
      <c r="C168" s="70" t="str">
        <f ca="1"/>
        <v>46211/D|BR1/02</v>
      </c>
      <c r="D168" s="52" t="str">
        <f ca="1"/>
        <v>STM-A40_0136</v>
      </c>
      <c r="E168" s="52" t="str">
        <f ca="1"/>
        <v>SAP</v>
      </c>
      <c r="F168" s="52" t="str">
        <f ca="1"/>
        <v>LS_18</v>
      </c>
      <c r="G168" s="52" t="str">
        <f ca="1"/>
        <v>L18_S09</v>
      </c>
      <c r="H168" s="52" t="str">
        <f ca="1"/>
        <v>038 / 002</v>
      </c>
      <c r="I168" s="52" t="str">
        <f ca="1"/>
        <v>Yes</v>
      </c>
      <c r="J168" s="52" t="str">
        <f ca="1"/>
        <v/>
      </c>
      <c r="K168" s="51" t="str">
        <f ca="1"/>
        <v/>
      </c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</row>
    <row r="169" spans="2:25" x14ac:dyDescent="0.25">
      <c r="B169" s="51"/>
      <c r="C169" s="70" t="str">
        <f ca="1"/>
        <v>46211/D|BR1/02</v>
      </c>
      <c r="D169" s="52" t="str">
        <f ca="1"/>
        <v>STM-A40_0087</v>
      </c>
      <c r="E169" s="52" t="str">
        <f ca="1"/>
        <v>SAP</v>
      </c>
      <c r="F169" s="52" t="str">
        <f ca="1"/>
        <v>LS_18</v>
      </c>
      <c r="G169" s="52" t="str">
        <f ca="1"/>
        <v>L18_S09</v>
      </c>
      <c r="H169" s="52" t="str">
        <f ca="1"/>
        <v>038 / 003</v>
      </c>
      <c r="I169" s="52" t="str">
        <f ca="1"/>
        <v>No</v>
      </c>
      <c r="J169" s="52" t="str">
        <f ca="1"/>
        <v/>
      </c>
      <c r="K169" s="51" t="str">
        <f ca="1"/>
        <v/>
      </c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</row>
    <row r="170" spans="2:25" x14ac:dyDescent="0.25">
      <c r="B170" s="51"/>
      <c r="C170" s="70" t="str">
        <f ca="1"/>
        <v>46211/D|BR1/02</v>
      </c>
      <c r="D170" s="52" t="str">
        <f ca="1"/>
        <v>STM-A40_0069</v>
      </c>
      <c r="E170" s="52" t="str">
        <f ca="1"/>
        <v>SAP</v>
      </c>
      <c r="F170" s="52" t="str">
        <f ca="1"/>
        <v>LS_18</v>
      </c>
      <c r="G170" s="52" t="str">
        <f ca="1"/>
        <v>L18_S09</v>
      </c>
      <c r="H170" s="52" t="str">
        <f ca="1"/>
        <v>038 / 004</v>
      </c>
      <c r="I170" s="52" t="str">
        <f ca="1"/>
        <v>Yes</v>
      </c>
      <c r="J170" s="52" t="str">
        <f ca="1"/>
        <v/>
      </c>
      <c r="K170" s="51" t="str">
        <f ca="1"/>
        <v/>
      </c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</row>
    <row r="171" spans="2:25" x14ac:dyDescent="0.25">
      <c r="B171" s="51"/>
      <c r="C171" s="70" t="str">
        <f ca="1"/>
        <v>46211/D|BR1/02</v>
      </c>
      <c r="D171" s="52" t="str">
        <f ca="1"/>
        <v>STM-A40_0132</v>
      </c>
      <c r="E171" s="52" t="str">
        <f ca="1"/>
        <v>SAP</v>
      </c>
      <c r="F171" s="52" t="str">
        <f ca="1"/>
        <v>LS_18</v>
      </c>
      <c r="G171" s="52" t="str">
        <f ca="1"/>
        <v>L18_S09</v>
      </c>
      <c r="H171" s="52" t="str">
        <f ca="1"/>
        <v>038 / 005</v>
      </c>
      <c r="I171" s="52" t="str">
        <f ca="1"/>
        <v>No</v>
      </c>
      <c r="J171" s="52" t="str">
        <f ca="1"/>
        <v/>
      </c>
      <c r="K171" s="51" t="str">
        <f ca="1"/>
        <v/>
      </c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</row>
    <row r="172" spans="2:25" x14ac:dyDescent="0.25">
      <c r="B172" s="51"/>
      <c r="C172" s="70" t="str">
        <f ca="1"/>
        <v>46211/D|BR1/02</v>
      </c>
      <c r="D172" s="52" t="str">
        <f ca="1"/>
        <v>STM-A40_0097</v>
      </c>
      <c r="E172" s="52" t="str">
        <f ca="1"/>
        <v>SAP</v>
      </c>
      <c r="F172" s="52" t="str">
        <f ca="1"/>
        <v>LS_18</v>
      </c>
      <c r="G172" s="52" t="str">
        <f ca="1"/>
        <v>L18_S09</v>
      </c>
      <c r="H172" s="52" t="str">
        <f ca="1"/>
        <v>038 / 006</v>
      </c>
      <c r="I172" s="52" t="str">
        <f ca="1"/>
        <v>Yes</v>
      </c>
      <c r="J172" s="52" t="str">
        <f ca="1"/>
        <v/>
      </c>
      <c r="K172" s="51" t="str">
        <f ca="1"/>
        <v/>
      </c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</row>
    <row r="173" spans="2:25" x14ac:dyDescent="0.25">
      <c r="B173" s="51"/>
      <c r="C173" s="70" t="str">
        <f ca="1"/>
        <v>46211/D|BR1/02</v>
      </c>
      <c r="D173" s="52" t="str">
        <f ca="1"/>
        <v>STM-A40_0133</v>
      </c>
      <c r="E173" s="52" t="str">
        <f ca="1"/>
        <v>SAP</v>
      </c>
      <c r="F173" s="52" t="str">
        <f ca="1"/>
        <v>LS_18</v>
      </c>
      <c r="G173" s="52" t="str">
        <f ca="1"/>
        <v>L18_S09</v>
      </c>
      <c r="H173" s="52" t="str">
        <f ca="1"/>
        <v>038 / 007</v>
      </c>
      <c r="I173" s="52" t="str">
        <f ca="1"/>
        <v>No</v>
      </c>
      <c r="J173" s="52" t="str">
        <f ca="1"/>
        <v/>
      </c>
      <c r="K173" s="51" t="str">
        <f ca="1"/>
        <v/>
      </c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</row>
    <row r="174" spans="2:25" x14ac:dyDescent="0.25">
      <c r="B174" s="51"/>
      <c r="C174" s="70" t="str">
        <f ca="1"/>
        <v>46211/D|BR1/02</v>
      </c>
      <c r="D174" s="52" t="str">
        <f ca="1"/>
        <v>STM-A40_0136</v>
      </c>
      <c r="E174" s="52" t="str">
        <f ca="1"/>
        <v>SAP</v>
      </c>
      <c r="F174" s="52" t="str">
        <f ca="1"/>
        <v>LS_18</v>
      </c>
      <c r="G174" s="52" t="str">
        <f ca="1"/>
        <v>L18_S09</v>
      </c>
      <c r="H174" s="52" t="str">
        <f ca="1"/>
        <v>038 / 008</v>
      </c>
      <c r="I174" s="52" t="str">
        <f ca="1"/>
        <v>Yes</v>
      </c>
      <c r="J174" s="52" t="str">
        <f ca="1"/>
        <v/>
      </c>
      <c r="K174" s="51" t="str">
        <f ca="1"/>
        <v/>
      </c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</row>
    <row r="175" spans="2:25" x14ac:dyDescent="0.25">
      <c r="B175" s="51"/>
      <c r="C175" s="70" t="str">
        <f ca="1"/>
        <v>46211/D|BR1/02</v>
      </c>
      <c r="D175" s="52" t="str">
        <f ca="1"/>
        <v>STM-A40_0087</v>
      </c>
      <c r="E175" s="52" t="str">
        <f ca="1"/>
        <v>SAP</v>
      </c>
      <c r="F175" s="52" t="str">
        <f ca="1"/>
        <v>LS_18</v>
      </c>
      <c r="G175" s="52" t="str">
        <f ca="1"/>
        <v>L18_S09</v>
      </c>
      <c r="H175" s="52" t="str">
        <f ca="1"/>
        <v>038 / 009</v>
      </c>
      <c r="I175" s="52" t="str">
        <f ca="1"/>
        <v>No</v>
      </c>
      <c r="J175" s="52" t="str">
        <f ca="1"/>
        <v/>
      </c>
      <c r="K175" s="51" t="str">
        <f ca="1"/>
        <v/>
      </c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</row>
    <row r="176" spans="2:25" x14ac:dyDescent="0.25">
      <c r="B176" s="51"/>
      <c r="C176" s="70" t="str">
        <f ca="1"/>
        <v>46211/D|BR1/02</v>
      </c>
      <c r="D176" s="52" t="str">
        <f ca="1"/>
        <v>STM-A40_0069</v>
      </c>
      <c r="E176" s="52" t="str">
        <f ca="1"/>
        <v>SAP</v>
      </c>
      <c r="F176" s="52" t="str">
        <f ca="1"/>
        <v>LS_18</v>
      </c>
      <c r="G176" s="52" t="str">
        <f ca="1"/>
        <v>L18_S09</v>
      </c>
      <c r="H176" s="52" t="str">
        <f ca="1"/>
        <v>038 / 010</v>
      </c>
      <c r="I176" s="52" t="str">
        <f ca="1"/>
        <v>Yes</v>
      </c>
      <c r="J176" s="52" t="str">
        <f ca="1"/>
        <v/>
      </c>
      <c r="K176" s="51" t="str">
        <f ca="1"/>
        <v/>
      </c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</row>
    <row r="177" spans="2:25" x14ac:dyDescent="0.25">
      <c r="B177" s="51"/>
      <c r="C177" s="70" t="str">
        <f ca="1"/>
        <v>46211/D|BR1/02</v>
      </c>
      <c r="D177" s="52" t="str">
        <f ca="1"/>
        <v>STM-A40_0132</v>
      </c>
      <c r="E177" s="52" t="str">
        <f ca="1"/>
        <v>SAP</v>
      </c>
      <c r="F177" s="52" t="str">
        <f ca="1"/>
        <v>LS_18</v>
      </c>
      <c r="G177" s="52" t="str">
        <f ca="1"/>
        <v>L18_S09</v>
      </c>
      <c r="H177" s="52" t="str">
        <f ca="1"/>
        <v>038 / 011</v>
      </c>
      <c r="I177" s="52" t="str">
        <f ca="1"/>
        <v>No</v>
      </c>
      <c r="J177" s="52" t="str">
        <f ca="1"/>
        <v/>
      </c>
      <c r="K177" s="51" t="str">
        <f ca="1"/>
        <v/>
      </c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</row>
    <row r="178" spans="2:25" x14ac:dyDescent="0.25">
      <c r="B178" s="51"/>
      <c r="C178" s="70" t="str">
        <f ca="1"/>
        <v>46211/D|BR1/02</v>
      </c>
      <c r="D178" s="52" t="str">
        <f ca="1"/>
        <v>STM-A40_0097</v>
      </c>
      <c r="E178" s="52" t="str">
        <f ca="1"/>
        <v>SAP</v>
      </c>
      <c r="F178" s="52" t="str">
        <f ca="1"/>
        <v>LS_18</v>
      </c>
      <c r="G178" s="52" t="str">
        <f ca="1"/>
        <v>L18_S09</v>
      </c>
      <c r="H178" s="52" t="str">
        <f ca="1"/>
        <v>038 / 012</v>
      </c>
      <c r="I178" s="52" t="str">
        <f ca="1"/>
        <v>Yes</v>
      </c>
      <c r="J178" s="52" t="str">
        <f ca="1"/>
        <v/>
      </c>
      <c r="K178" s="51" t="str">
        <f ca="1"/>
        <v/>
      </c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</row>
    <row r="179" spans="2:25" x14ac:dyDescent="0.25">
      <c r="B179" s="51"/>
      <c r="C179" s="70" t="str">
        <f ca="1"/>
        <v>46211/D|BR1/02</v>
      </c>
      <c r="D179" s="52" t="str">
        <f ca="1"/>
        <v>STM-A40_0133</v>
      </c>
      <c r="E179" s="52" t="str">
        <f ca="1"/>
        <v>SAP</v>
      </c>
      <c r="F179" s="52" t="str">
        <f ca="1"/>
        <v>LS_18</v>
      </c>
      <c r="G179" s="52" t="str">
        <f ca="1"/>
        <v>L18_S09</v>
      </c>
      <c r="H179" s="52" t="str">
        <f ca="1"/>
        <v>038 / 013</v>
      </c>
      <c r="I179" s="52" t="str">
        <f ca="1"/>
        <v>No</v>
      </c>
      <c r="J179" s="52" t="str">
        <f ca="1"/>
        <v/>
      </c>
      <c r="K179" s="51" t="str">
        <f ca="1"/>
        <v/>
      </c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</row>
    <row r="180" spans="2:25" x14ac:dyDescent="0.25">
      <c r="B180" s="51"/>
      <c r="C180" s="70" t="str">
        <f ca="1"/>
        <v>46211/D|BR1/02</v>
      </c>
      <c r="D180" s="52" t="str">
        <f ca="1"/>
        <v>STM-A40_0136</v>
      </c>
      <c r="E180" s="52" t="str">
        <f ca="1"/>
        <v>SAP</v>
      </c>
      <c r="F180" s="52" t="str">
        <f ca="1"/>
        <v>LS_18</v>
      </c>
      <c r="G180" s="52" t="str">
        <f ca="1"/>
        <v>L18_S09</v>
      </c>
      <c r="H180" s="52" t="str">
        <f ca="1"/>
        <v>038 / 014</v>
      </c>
      <c r="I180" s="52" t="str">
        <f ca="1"/>
        <v>Yes</v>
      </c>
      <c r="J180" s="52" t="str">
        <f ca="1"/>
        <v/>
      </c>
      <c r="K180" s="51" t="str">
        <f ca="1"/>
        <v/>
      </c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</row>
    <row r="181" spans="2:25" x14ac:dyDescent="0.25">
      <c r="B181" s="51"/>
      <c r="C181" s="70" t="str">
        <f ca="1"/>
        <v>46211/D|BR1/02</v>
      </c>
      <c r="D181" s="52" t="str">
        <f ca="1"/>
        <v>STM-A40_0132</v>
      </c>
      <c r="E181" s="52" t="str">
        <f ca="1"/>
        <v>SAP</v>
      </c>
      <c r="F181" s="52" t="str">
        <f ca="1"/>
        <v>LS_18</v>
      </c>
      <c r="G181" s="52" t="str">
        <f ca="1"/>
        <v>L18_S09</v>
      </c>
      <c r="H181" s="52" t="str">
        <f ca="1"/>
        <v>038 / 015</v>
      </c>
      <c r="I181" s="52" t="str">
        <f ca="1"/>
        <v>No</v>
      </c>
      <c r="J181" s="52" t="str">
        <f ca="1"/>
        <v/>
      </c>
      <c r="K181" s="51" t="str">
        <f ca="1"/>
        <v/>
      </c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</row>
    <row r="182" spans="2:25" x14ac:dyDescent="0.25">
      <c r="B182" s="51"/>
      <c r="C182" s="70" t="str">
        <f ca="1"/>
        <v>46211/D|BR1/02</v>
      </c>
      <c r="D182" s="52" t="str">
        <f ca="1"/>
        <v>STM-A40_0136</v>
      </c>
      <c r="E182" s="52" t="str">
        <f ca="1"/>
        <v>SAP</v>
      </c>
      <c r="F182" s="52" t="str">
        <f ca="1"/>
        <v>LS_18</v>
      </c>
      <c r="G182" s="52" t="str">
        <f ca="1"/>
        <v>L18_S09</v>
      </c>
      <c r="H182" s="52" t="str">
        <f ca="1"/>
        <v>038 / 016</v>
      </c>
      <c r="I182" s="52" t="str">
        <f ca="1"/>
        <v>Yes</v>
      </c>
      <c r="J182" s="52" t="str">
        <f ca="1"/>
        <v/>
      </c>
      <c r="K182" s="51" t="str">
        <f ca="1"/>
        <v/>
      </c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</row>
    <row r="183" spans="2:25" x14ac:dyDescent="0.25">
      <c r="B183" s="51"/>
      <c r="C183" s="70" t="str">
        <f ca="1"/>
        <v>46211/D|BR1/02</v>
      </c>
      <c r="D183" s="52" t="str">
        <f ca="1"/>
        <v>STM-A40_0097</v>
      </c>
      <c r="E183" s="52" t="str">
        <f ca="1"/>
        <v>SAP</v>
      </c>
      <c r="F183" s="52" t="str">
        <f ca="1"/>
        <v>LS_18</v>
      </c>
      <c r="G183" s="52" t="str">
        <f ca="1"/>
        <v>L18_S09</v>
      </c>
      <c r="H183" s="52" t="str">
        <f ca="1"/>
        <v>038 / 017</v>
      </c>
      <c r="I183" s="52" t="str">
        <f ca="1"/>
        <v>No</v>
      </c>
      <c r="J183" s="52" t="str">
        <f ca="1"/>
        <v/>
      </c>
      <c r="K183" s="51" t="str">
        <f ca="1"/>
        <v/>
      </c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</row>
    <row r="184" spans="2:25" x14ac:dyDescent="0.25">
      <c r="B184" s="51"/>
      <c r="C184" s="70" t="str">
        <f ca="1"/>
        <v>46211/D|BR1/02</v>
      </c>
      <c r="D184" s="52" t="str">
        <f ca="1"/>
        <v>STM-A40_0069</v>
      </c>
      <c r="E184" s="52" t="str">
        <f ca="1"/>
        <v>SAP</v>
      </c>
      <c r="F184" s="52" t="str">
        <f ca="1"/>
        <v>LS_18</v>
      </c>
      <c r="G184" s="52" t="str">
        <f ca="1"/>
        <v>L18_S09</v>
      </c>
      <c r="H184" s="52" t="str">
        <f ca="1"/>
        <v>038 / 018</v>
      </c>
      <c r="I184" s="52" t="str">
        <f ca="1"/>
        <v>Yes</v>
      </c>
      <c r="J184" s="52" t="str">
        <f ca="1"/>
        <v/>
      </c>
      <c r="K184" s="51" t="str">
        <f ca="1"/>
        <v/>
      </c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</row>
    <row r="185" spans="2:25" x14ac:dyDescent="0.25">
      <c r="B185" s="51"/>
      <c r="C185" s="70" t="str">
        <f ca="1"/>
        <v>46211/D|BR1/02</v>
      </c>
      <c r="D185" s="52" t="str">
        <f ca="1"/>
        <v>STM-A40_0087</v>
      </c>
      <c r="E185" s="52" t="str">
        <f ca="1"/>
        <v>SAP</v>
      </c>
      <c r="F185" s="52" t="str">
        <f ca="1"/>
        <v>LS_18</v>
      </c>
      <c r="G185" s="52" t="str">
        <f ca="1"/>
        <v>L18_S09</v>
      </c>
      <c r="H185" s="52" t="str">
        <f ca="1"/>
        <v>038 / 019</v>
      </c>
      <c r="I185" s="52" t="str">
        <f ca="1"/>
        <v>No</v>
      </c>
      <c r="J185" s="52" t="str">
        <f ca="1"/>
        <v/>
      </c>
      <c r="K185" s="51" t="str">
        <f ca="1"/>
        <v/>
      </c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</row>
    <row r="186" spans="2:25" x14ac:dyDescent="0.25">
      <c r="B186" s="51"/>
      <c r="C186" s="70" t="str">
        <f ca="1"/>
        <v>46211/D|BR1/02</v>
      </c>
      <c r="D186" s="52" t="str">
        <f ca="1"/>
        <v>STM-A40_0133</v>
      </c>
      <c r="E186" s="52" t="str">
        <f ca="1"/>
        <v>SAP</v>
      </c>
      <c r="F186" s="52" t="str">
        <f ca="1"/>
        <v>LS_18</v>
      </c>
      <c r="G186" s="52" t="str">
        <f ca="1"/>
        <v>L18_S09</v>
      </c>
      <c r="H186" s="52" t="str">
        <f ca="1"/>
        <v>038 / 020</v>
      </c>
      <c r="I186" s="52" t="str">
        <f ca="1"/>
        <v>Yes</v>
      </c>
      <c r="J186" s="52" t="str">
        <f ca="1"/>
        <v/>
      </c>
      <c r="K186" s="51" t="str">
        <f ca="1"/>
        <v/>
      </c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</row>
    <row r="187" spans="2:25" x14ac:dyDescent="0.25">
      <c r="B187" s="51"/>
      <c r="C187" s="70" t="str">
        <f ca="1"/>
        <v>46211/D|BR1/04</v>
      </c>
      <c r="D187" s="52" t="str">
        <f ca="1"/>
        <v>STM-A40_0098</v>
      </c>
      <c r="E187" s="52" t="str">
        <f ca="1"/>
        <v>SAP</v>
      </c>
      <c r="F187" s="52" t="str">
        <f ca="1"/>
        <v>LS_18</v>
      </c>
      <c r="G187" s="52" t="str">
        <f ca="1"/>
        <v>L18_S09</v>
      </c>
      <c r="H187" s="52" t="str">
        <f ca="1"/>
        <v>039 / 001</v>
      </c>
      <c r="I187" s="52" t="str">
        <f ca="1"/>
        <v>No</v>
      </c>
      <c r="J187" s="52" t="str">
        <f ca="1"/>
        <v/>
      </c>
      <c r="K187" s="51" t="str">
        <f ca="1"/>
        <v/>
      </c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</row>
    <row r="188" spans="2:25" x14ac:dyDescent="0.25">
      <c r="B188" s="51"/>
      <c r="C188" s="70" t="str">
        <f ca="1"/>
        <v>46211/D|BR1/04</v>
      </c>
      <c r="D188" s="52" t="str">
        <f ca="1"/>
        <v>STM-A40_0105</v>
      </c>
      <c r="E188" s="52" t="str">
        <f ca="1"/>
        <v>SAP</v>
      </c>
      <c r="F188" s="52" t="str">
        <f ca="1"/>
        <v>LS_18</v>
      </c>
      <c r="G188" s="52" t="str">
        <f ca="1"/>
        <v>L18_S09</v>
      </c>
      <c r="H188" s="52" t="str">
        <f ca="1"/>
        <v>039 / 002</v>
      </c>
      <c r="I188" s="52" t="str">
        <f ca="1"/>
        <v>Yes</v>
      </c>
      <c r="J188" s="52" t="str">
        <f ca="1"/>
        <v/>
      </c>
      <c r="K188" s="51" t="str">
        <f ca="1"/>
        <v/>
      </c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</row>
    <row r="189" spans="2:25" x14ac:dyDescent="0.25">
      <c r="B189" s="51"/>
      <c r="C189" s="70" t="str">
        <f ca="1"/>
        <v>46211/D|BR1/04</v>
      </c>
      <c r="D189" s="52" t="str">
        <f ca="1"/>
        <v>STM-A40_0106</v>
      </c>
      <c r="E189" s="52" t="str">
        <f ca="1"/>
        <v>SAP</v>
      </c>
      <c r="F189" s="52" t="str">
        <f ca="1"/>
        <v>LS_18</v>
      </c>
      <c r="G189" s="52" t="str">
        <f ca="1"/>
        <v>L18_S09</v>
      </c>
      <c r="H189" s="52" t="str">
        <f ca="1"/>
        <v>039 / 003</v>
      </c>
      <c r="I189" s="52" t="str">
        <f ca="1"/>
        <v>No</v>
      </c>
      <c r="J189" s="52" t="str">
        <f ca="1"/>
        <v/>
      </c>
      <c r="K189" s="51" t="str">
        <f ca="1"/>
        <v/>
      </c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</row>
    <row r="190" spans="2:25" x14ac:dyDescent="0.25">
      <c r="B190" s="51"/>
      <c r="C190" s="70" t="str">
        <f ca="1"/>
        <v>46211/D|BR1/04</v>
      </c>
      <c r="D190" s="52" t="str">
        <f ca="1"/>
        <v>STM-A40_0105</v>
      </c>
      <c r="E190" s="52" t="str">
        <f ca="1"/>
        <v>SAP</v>
      </c>
      <c r="F190" s="52" t="str">
        <f ca="1"/>
        <v>LS_18</v>
      </c>
      <c r="G190" s="52" t="str">
        <f ca="1"/>
        <v>L18_S09</v>
      </c>
      <c r="H190" s="52" t="str">
        <f ca="1"/>
        <v>039 / 004</v>
      </c>
      <c r="I190" s="52" t="str">
        <f ca="1"/>
        <v>Yes</v>
      </c>
      <c r="J190" s="52" t="str">
        <f ca="1"/>
        <v/>
      </c>
      <c r="K190" s="51" t="str">
        <f ca="1"/>
        <v/>
      </c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</row>
    <row r="191" spans="2:25" x14ac:dyDescent="0.25">
      <c r="B191" s="51"/>
      <c r="C191" s="70" t="str">
        <f ca="1"/>
        <v>46211/D|BR1/04</v>
      </c>
      <c r="D191" s="52" t="str">
        <f ca="1"/>
        <v>STM-A40_0121</v>
      </c>
      <c r="E191" s="52" t="str">
        <f ca="1"/>
        <v>SAP</v>
      </c>
      <c r="F191" s="52" t="str">
        <f ca="1"/>
        <v>LS_18</v>
      </c>
      <c r="G191" s="52" t="str">
        <f ca="1"/>
        <v>L18_S09</v>
      </c>
      <c r="H191" s="52" t="str">
        <f ca="1"/>
        <v>039 / 005</v>
      </c>
      <c r="I191" s="52" t="str">
        <f ca="1"/>
        <v>No</v>
      </c>
      <c r="J191" s="52" t="str">
        <f ca="1"/>
        <v/>
      </c>
      <c r="K191" s="51" t="str">
        <f ca="1"/>
        <v>TRUCK SALAH</v>
      </c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</row>
    <row r="192" spans="2:25" x14ac:dyDescent="0.25">
      <c r="B192" s="51"/>
      <c r="C192" s="70" t="str">
        <f ca="1"/>
        <v>46211/D|BR1/04</v>
      </c>
      <c r="D192" s="52" t="str">
        <f ca="1"/>
        <v>STM-A40_0106</v>
      </c>
      <c r="E192" s="52" t="str">
        <f ca="1"/>
        <v>SAP</v>
      </c>
      <c r="F192" s="52" t="str">
        <f ca="1"/>
        <v>LS_18</v>
      </c>
      <c r="G192" s="52" t="str">
        <f ca="1"/>
        <v>L18_S09</v>
      </c>
      <c r="H192" s="52" t="str">
        <f ca="1"/>
        <v>039 / 006</v>
      </c>
      <c r="I192" s="52" t="str">
        <f ca="1"/>
        <v>Yes</v>
      </c>
      <c r="J192" s="52" t="str">
        <f ca="1"/>
        <v/>
      </c>
      <c r="K192" s="51" t="str">
        <f ca="1"/>
        <v/>
      </c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</row>
    <row r="193" spans="2:25" x14ac:dyDescent="0.25">
      <c r="B193" s="51"/>
      <c r="C193" s="70" t="str">
        <f ca="1"/>
        <v>46211/D|BR1/04</v>
      </c>
      <c r="D193" s="52" t="str">
        <f ca="1"/>
        <v>STM-A40_0098</v>
      </c>
      <c r="E193" s="52" t="str">
        <f ca="1"/>
        <v>SAP</v>
      </c>
      <c r="F193" s="52" t="str">
        <f ca="1"/>
        <v>LS_18</v>
      </c>
      <c r="G193" s="52" t="str">
        <f ca="1"/>
        <v>L18_S09</v>
      </c>
      <c r="H193" s="52" t="str">
        <f ca="1"/>
        <v>039 / 007</v>
      </c>
      <c r="I193" s="52" t="str">
        <f ca="1"/>
        <v>No</v>
      </c>
      <c r="J193" s="52" t="str">
        <f ca="1"/>
        <v/>
      </c>
      <c r="K193" s="51" t="str">
        <f ca="1"/>
        <v/>
      </c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</row>
    <row r="194" spans="2:25" x14ac:dyDescent="0.25">
      <c r="B194" s="51"/>
      <c r="C194" s="70" t="str">
        <f ca="1"/>
        <v>46211/D|BR1/04</v>
      </c>
      <c r="D194" s="52" t="str">
        <f ca="1"/>
        <v>STM-A40_0105</v>
      </c>
      <c r="E194" s="52" t="str">
        <f ca="1"/>
        <v>SAP</v>
      </c>
      <c r="F194" s="52" t="str">
        <f ca="1"/>
        <v>LS_18</v>
      </c>
      <c r="G194" s="52" t="str">
        <f ca="1"/>
        <v>L18_S09</v>
      </c>
      <c r="H194" s="52" t="str">
        <f ca="1"/>
        <v>039 / 008</v>
      </c>
      <c r="I194" s="52" t="str">
        <f ca="1"/>
        <v>Yes</v>
      </c>
      <c r="J194" s="52" t="str">
        <f ca="1"/>
        <v/>
      </c>
      <c r="K194" s="51" t="str">
        <f ca="1"/>
        <v/>
      </c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</row>
    <row r="195" spans="2:25" x14ac:dyDescent="0.25">
      <c r="B195" s="51"/>
      <c r="C195" s="70" t="str">
        <f ca="1"/>
        <v>46211/D|BR1/04</v>
      </c>
      <c r="D195" s="52" t="str">
        <f ca="1"/>
        <v>STM-A40_0121</v>
      </c>
      <c r="E195" s="52" t="str">
        <f ca="1"/>
        <v>SAP</v>
      </c>
      <c r="F195" s="52" t="str">
        <f ca="1"/>
        <v>LS_18</v>
      </c>
      <c r="G195" s="52" t="str">
        <f ca="1"/>
        <v>L18_S09</v>
      </c>
      <c r="H195" s="52" t="str">
        <f ca="1"/>
        <v>039 / 009</v>
      </c>
      <c r="I195" s="52" t="str">
        <f ca="1"/>
        <v>No</v>
      </c>
      <c r="J195" s="52" t="str">
        <f ca="1"/>
        <v/>
      </c>
      <c r="K195" s="51" t="str">
        <f ca="1"/>
        <v>TRUCK SALAH</v>
      </c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</row>
    <row r="196" spans="2:25" x14ac:dyDescent="0.25">
      <c r="B196" s="51"/>
      <c r="C196" s="70" t="str">
        <f ca="1"/>
        <v>46211/D|BR1/04</v>
      </c>
      <c r="D196" s="52" t="str">
        <f ca="1"/>
        <v>STM-A40_0106</v>
      </c>
      <c r="E196" s="52" t="str">
        <f ca="1"/>
        <v>SAP</v>
      </c>
      <c r="F196" s="52" t="str">
        <f ca="1"/>
        <v>LS_18</v>
      </c>
      <c r="G196" s="52" t="str">
        <f ca="1"/>
        <v>L18_S09</v>
      </c>
      <c r="H196" s="52" t="str">
        <f ca="1"/>
        <v>039 / 010</v>
      </c>
      <c r="I196" s="52" t="str">
        <f ca="1"/>
        <v>Yes</v>
      </c>
      <c r="J196" s="52" t="str">
        <f ca="1"/>
        <v/>
      </c>
      <c r="K196" s="51" t="str">
        <f ca="1"/>
        <v/>
      </c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</row>
    <row r="197" spans="2:25" x14ac:dyDescent="0.25">
      <c r="B197" s="51"/>
      <c r="C197" s="70" t="str">
        <f ca="1"/>
        <v>46211/D|BR1/04</v>
      </c>
      <c r="D197" s="52" t="str">
        <f ca="1"/>
        <v>STM-A40_0107</v>
      </c>
      <c r="E197" s="52" t="str">
        <f ca="1"/>
        <v>SAP</v>
      </c>
      <c r="F197" s="52" t="str">
        <f ca="1"/>
        <v>LS_18</v>
      </c>
      <c r="G197" s="52" t="str">
        <f ca="1"/>
        <v>L18_S09</v>
      </c>
      <c r="H197" s="52" t="str">
        <f ca="1"/>
        <v>039 / 011</v>
      </c>
      <c r="I197" s="52" t="str">
        <f ca="1"/>
        <v>No</v>
      </c>
      <c r="J197" s="52" t="str">
        <f ca="1"/>
        <v/>
      </c>
      <c r="K197" s="51" t="str">
        <f ca="1"/>
        <v/>
      </c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</row>
    <row r="198" spans="2:25" x14ac:dyDescent="0.25">
      <c r="B198" s="51"/>
      <c r="C198" s="70" t="str">
        <f ca="1"/>
        <v>46211/D|BR1/04</v>
      </c>
      <c r="D198" s="52" t="str">
        <f ca="1"/>
        <v>STM-A40_0098</v>
      </c>
      <c r="E198" s="52" t="str">
        <f ca="1"/>
        <v>SAP</v>
      </c>
      <c r="F198" s="52" t="str">
        <f ca="1"/>
        <v>LS_18</v>
      </c>
      <c r="G198" s="52" t="str">
        <f ca="1"/>
        <v>L18_S09</v>
      </c>
      <c r="H198" s="52" t="str">
        <f ca="1"/>
        <v>039 / 012</v>
      </c>
      <c r="I198" s="52" t="str">
        <f ca="1"/>
        <v>Yes</v>
      </c>
      <c r="J198" s="52" t="str">
        <f ca="1"/>
        <v/>
      </c>
      <c r="K198" s="51" t="str">
        <f ca="1"/>
        <v/>
      </c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</row>
    <row r="199" spans="2:25" x14ac:dyDescent="0.25">
      <c r="B199" s="51"/>
      <c r="C199" s="70" t="str">
        <f ca="1"/>
        <v>46211/D|BR1/04</v>
      </c>
      <c r="D199" s="52" t="str">
        <f ca="1"/>
        <v>STM-A40_0105</v>
      </c>
      <c r="E199" s="52" t="str">
        <f ca="1"/>
        <v>SAP</v>
      </c>
      <c r="F199" s="52" t="str">
        <f ca="1"/>
        <v>LS_18</v>
      </c>
      <c r="G199" s="52" t="str">
        <f ca="1"/>
        <v>L18_S09</v>
      </c>
      <c r="H199" s="52" t="str">
        <f ca="1"/>
        <v>039 / 013</v>
      </c>
      <c r="I199" s="52" t="str">
        <f ca="1"/>
        <v>No</v>
      </c>
      <c r="J199" s="52" t="str">
        <f ca="1"/>
        <v/>
      </c>
      <c r="K199" s="51" t="str">
        <f ca="1"/>
        <v/>
      </c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</row>
    <row r="200" spans="2:25" x14ac:dyDescent="0.25">
      <c r="B200" s="51"/>
      <c r="C200" s="70" t="str">
        <f ca="1"/>
        <v>46211/D|BR1/04</v>
      </c>
      <c r="D200" s="52" t="str">
        <f ca="1"/>
        <v>STM-A40_0121</v>
      </c>
      <c r="E200" s="52" t="str">
        <f ca="1"/>
        <v>SAP</v>
      </c>
      <c r="F200" s="52" t="str">
        <f ca="1"/>
        <v>LS_18</v>
      </c>
      <c r="G200" s="52" t="str">
        <f ca="1"/>
        <v>L18_S09</v>
      </c>
      <c r="H200" s="52" t="str">
        <f ca="1"/>
        <v>039 / 014</v>
      </c>
      <c r="I200" s="52" t="str">
        <f ca="1"/>
        <v>Yes</v>
      </c>
      <c r="J200" s="52" t="str">
        <f ca="1"/>
        <v/>
      </c>
      <c r="K200" s="51" t="str">
        <f ca="1"/>
        <v>TRUCK SALAH</v>
      </c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</row>
    <row r="201" spans="2:25" x14ac:dyDescent="0.25">
      <c r="B201" s="51"/>
      <c r="C201" s="70" t="str">
        <f ca="1"/>
        <v>46211/D|BR1/04</v>
      </c>
      <c r="D201" s="52" t="str">
        <f ca="1"/>
        <v>STM-A40_0106</v>
      </c>
      <c r="E201" s="52" t="str">
        <f ca="1"/>
        <v>SAP</v>
      </c>
      <c r="F201" s="52" t="str">
        <f ca="1"/>
        <v>LS_18</v>
      </c>
      <c r="G201" s="52" t="str">
        <f ca="1"/>
        <v>L18_S09</v>
      </c>
      <c r="H201" s="52" t="str">
        <f ca="1"/>
        <v>039 / 015</v>
      </c>
      <c r="I201" s="52" t="str">
        <f ca="1"/>
        <v>No</v>
      </c>
      <c r="J201" s="52" t="str">
        <f ca="1"/>
        <v/>
      </c>
      <c r="K201" s="51" t="str">
        <f ca="1"/>
        <v/>
      </c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</row>
    <row r="202" spans="2:25" x14ac:dyDescent="0.25">
      <c r="B202" s="51"/>
      <c r="C202" s="70" t="str">
        <f ca="1"/>
        <v>46211/D|BR1/04</v>
      </c>
      <c r="D202" s="52" t="str">
        <f ca="1"/>
        <v>STM-A40_0098</v>
      </c>
      <c r="E202" s="52" t="str">
        <f ca="1"/>
        <v>SAP</v>
      </c>
      <c r="F202" s="52" t="str">
        <f ca="1"/>
        <v>LS_18</v>
      </c>
      <c r="G202" s="52" t="str">
        <f ca="1"/>
        <v>L18_S09</v>
      </c>
      <c r="H202" s="52" t="str">
        <f ca="1"/>
        <v>039 / 016</v>
      </c>
      <c r="I202" s="52" t="str">
        <f ca="1"/>
        <v>Yes</v>
      </c>
      <c r="J202" s="52" t="str">
        <f ca="1"/>
        <v/>
      </c>
      <c r="K202" s="51" t="str">
        <f ca="1"/>
        <v/>
      </c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</row>
    <row r="203" spans="2:25" x14ac:dyDescent="0.25">
      <c r="B203" s="51"/>
      <c r="C203" s="70" t="str">
        <f ca="1"/>
        <v>46211/D|BR1/04</v>
      </c>
      <c r="D203" s="52" t="str">
        <f ca="1"/>
        <v>STM-A40_0105</v>
      </c>
      <c r="E203" s="52" t="str">
        <f ca="1"/>
        <v>SAP</v>
      </c>
      <c r="F203" s="52" t="str">
        <f ca="1"/>
        <v>LS_18</v>
      </c>
      <c r="G203" s="52" t="str">
        <f ca="1"/>
        <v>L18_S09</v>
      </c>
      <c r="H203" s="52" t="str">
        <f ca="1"/>
        <v>039 / 017</v>
      </c>
      <c r="I203" s="52" t="str">
        <f ca="1"/>
        <v>No</v>
      </c>
      <c r="J203" s="52" t="str">
        <f ca="1"/>
        <v/>
      </c>
      <c r="K203" s="51" t="str">
        <f ca="1"/>
        <v/>
      </c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</row>
    <row r="204" spans="2:25" x14ac:dyDescent="0.25">
      <c r="B204" s="51"/>
      <c r="C204" s="70" t="str">
        <f ca="1"/>
        <v>46211/D|BR1/04</v>
      </c>
      <c r="D204" s="52" t="str">
        <f ca="1"/>
        <v>STM-A40_0121</v>
      </c>
      <c r="E204" s="52" t="str">
        <f ca="1"/>
        <v>SAP</v>
      </c>
      <c r="F204" s="52" t="str">
        <f ca="1"/>
        <v>LS_18</v>
      </c>
      <c r="G204" s="52" t="str">
        <f ca="1"/>
        <v>L18_S09</v>
      </c>
      <c r="H204" s="52" t="str">
        <f ca="1"/>
        <v>039 / 018</v>
      </c>
      <c r="I204" s="52" t="str">
        <f ca="1"/>
        <v>Yes</v>
      </c>
      <c r="J204" s="52" t="str">
        <f ca="1"/>
        <v/>
      </c>
      <c r="K204" s="51" t="str">
        <f ca="1"/>
        <v>TRUCK SALAH</v>
      </c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</row>
    <row r="205" spans="2:25" x14ac:dyDescent="0.25">
      <c r="B205" s="51"/>
      <c r="C205" s="70" t="str">
        <f ca="1"/>
        <v>46211/D|BR1/04</v>
      </c>
      <c r="D205" s="52" t="str">
        <f ca="1"/>
        <v>STM-A40_0106</v>
      </c>
      <c r="E205" s="52" t="str">
        <f ca="1"/>
        <v>SAP</v>
      </c>
      <c r="F205" s="52" t="str">
        <f ca="1"/>
        <v>LS_18</v>
      </c>
      <c r="G205" s="52" t="str">
        <f ca="1"/>
        <v>L18_S09</v>
      </c>
      <c r="H205" s="52" t="str">
        <f ca="1"/>
        <v>039 / 019</v>
      </c>
      <c r="I205" s="52" t="str">
        <f ca="1"/>
        <v>No</v>
      </c>
      <c r="J205" s="52" t="str">
        <f ca="1"/>
        <v/>
      </c>
      <c r="K205" s="51" t="str">
        <f ca="1"/>
        <v/>
      </c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</row>
    <row r="206" spans="2:25" x14ac:dyDescent="0.25">
      <c r="B206" s="51"/>
      <c r="C206" s="70" t="str">
        <f ca="1"/>
        <v>46211/D|BR1/04</v>
      </c>
      <c r="D206" s="52" t="str">
        <f ca="1"/>
        <v>STM-A40_0098</v>
      </c>
      <c r="E206" s="52" t="str">
        <f ca="1"/>
        <v>SAP</v>
      </c>
      <c r="F206" s="52" t="str">
        <f ca="1"/>
        <v>LS_18</v>
      </c>
      <c r="G206" s="52" t="str">
        <f ca="1"/>
        <v>L18_S09</v>
      </c>
      <c r="H206" s="52" t="str">
        <f ca="1"/>
        <v>039 / 020</v>
      </c>
      <c r="I206" s="52" t="str">
        <f ca="1"/>
        <v>Yes</v>
      </c>
      <c r="J206" s="52" t="str">
        <f ca="1"/>
        <v/>
      </c>
      <c r="K206" s="51" t="str">
        <f ca="1"/>
        <v/>
      </c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</row>
    <row r="207" spans="2:25" x14ac:dyDescent="0.25">
      <c r="B207" s="51"/>
      <c r="C207" s="70" t="str">
        <f ca="1"/>
        <v>46211/D|BR1/02</v>
      </c>
      <c r="D207" s="52" t="str">
        <f ca="1"/>
        <v>STM-A40_0136</v>
      </c>
      <c r="E207" s="52" t="str">
        <f ca="1"/>
        <v>SAP</v>
      </c>
      <c r="F207" s="52" t="str">
        <f ca="1"/>
        <v>LS_18</v>
      </c>
      <c r="G207" s="52" t="str">
        <f ca="1"/>
        <v>L18_S09</v>
      </c>
      <c r="H207" s="52" t="str">
        <f ca="1"/>
        <v>040 / 001</v>
      </c>
      <c r="I207" s="52" t="str">
        <f ca="1"/>
        <v>No</v>
      </c>
      <c r="J207" s="52" t="str">
        <f ca="1"/>
        <v/>
      </c>
      <c r="K207" s="51" t="str">
        <f ca="1"/>
        <v/>
      </c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</row>
    <row r="208" spans="2:25" x14ac:dyDescent="0.25">
      <c r="B208" s="51"/>
      <c r="C208" s="70" t="str">
        <f ca="1"/>
        <v>46211/D|BR1/02</v>
      </c>
      <c r="D208" s="52" t="str">
        <f ca="1"/>
        <v>STM-A40_0069</v>
      </c>
      <c r="E208" s="52" t="str">
        <f ca="1"/>
        <v>SAP</v>
      </c>
      <c r="F208" s="52" t="str">
        <f ca="1"/>
        <v>LS_18</v>
      </c>
      <c r="G208" s="52" t="str">
        <f ca="1"/>
        <v>L18_S09</v>
      </c>
      <c r="H208" s="52" t="str">
        <f ca="1"/>
        <v>040 / 002</v>
      </c>
      <c r="I208" s="52" t="str">
        <f ca="1"/>
        <v>Yes</v>
      </c>
      <c r="J208" s="52" t="str">
        <f ca="1"/>
        <v/>
      </c>
      <c r="K208" s="51" t="str">
        <f ca="1"/>
        <v/>
      </c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</row>
    <row r="209" spans="2:25" x14ac:dyDescent="0.25">
      <c r="B209" s="51"/>
      <c r="C209" s="70" t="str">
        <f ca="1"/>
        <v>46211/D|BR1/02</v>
      </c>
      <c r="D209" s="52" t="str">
        <f ca="1"/>
        <v>STM-A40_0087</v>
      </c>
      <c r="E209" s="52" t="str">
        <f ca="1"/>
        <v>SAP</v>
      </c>
      <c r="F209" s="52" t="str">
        <f ca="1"/>
        <v>LS_18</v>
      </c>
      <c r="G209" s="52" t="str">
        <f ca="1"/>
        <v>L18_S09</v>
      </c>
      <c r="H209" s="52" t="str">
        <f ca="1"/>
        <v>040 / 003</v>
      </c>
      <c r="I209" s="52" t="str">
        <f ca="1"/>
        <v>No</v>
      </c>
      <c r="J209" s="52" t="str">
        <f ca="1"/>
        <v/>
      </c>
      <c r="K209" s="51" t="str">
        <f ca="1"/>
        <v/>
      </c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</row>
    <row r="210" spans="2:25" x14ac:dyDescent="0.25">
      <c r="B210" s="51"/>
      <c r="C210" s="70" t="str">
        <f ca="1"/>
        <v>46211/D|BR1/02</v>
      </c>
      <c r="D210" s="52" t="str">
        <f ca="1"/>
        <v>STM-A40_0136</v>
      </c>
      <c r="E210" s="52" t="str">
        <f ca="1"/>
        <v>SAP</v>
      </c>
      <c r="F210" s="52" t="str">
        <f ca="1"/>
        <v>LS_18</v>
      </c>
      <c r="G210" s="52" t="str">
        <f ca="1"/>
        <v>L18_S09</v>
      </c>
      <c r="H210" s="52" t="str">
        <f ca="1"/>
        <v>040 / 004</v>
      </c>
      <c r="I210" s="52" t="str">
        <f ca="1"/>
        <v>Yes</v>
      </c>
      <c r="J210" s="52" t="str">
        <f ca="1"/>
        <v/>
      </c>
      <c r="K210" s="51" t="str">
        <f ca="1"/>
        <v/>
      </c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</row>
    <row r="211" spans="2:25" x14ac:dyDescent="0.25">
      <c r="B211" s="51"/>
      <c r="C211" s="70" t="str">
        <f ca="1"/>
        <v>46211/D|BR1/02</v>
      </c>
      <c r="D211" s="52" t="str">
        <f ca="1"/>
        <v>STM-A40_0132</v>
      </c>
      <c r="E211" s="52" t="str">
        <f ca="1"/>
        <v>SAP</v>
      </c>
      <c r="F211" s="52" t="str">
        <f ca="1"/>
        <v>LS_18</v>
      </c>
      <c r="G211" s="52" t="str">
        <f ca="1"/>
        <v>L18_S09</v>
      </c>
      <c r="H211" s="52" t="str">
        <f ca="1"/>
        <v>040 / 005</v>
      </c>
      <c r="I211" s="52" t="str">
        <f ca="1"/>
        <v>No</v>
      </c>
      <c r="J211" s="52" t="str">
        <f ca="1"/>
        <v/>
      </c>
      <c r="K211" s="51" t="str">
        <f ca="1"/>
        <v/>
      </c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</row>
    <row r="212" spans="2:25" x14ac:dyDescent="0.25">
      <c r="B212" s="51"/>
      <c r="C212" s="70" t="str">
        <f ca="1"/>
        <v>46211/D|BR1/02</v>
      </c>
      <c r="D212" s="52" t="str">
        <f ca="1"/>
        <v>STM-A40_0133</v>
      </c>
      <c r="E212" s="52" t="str">
        <f ca="1"/>
        <v>SAP</v>
      </c>
      <c r="F212" s="52" t="str">
        <f ca="1"/>
        <v>LS_18</v>
      </c>
      <c r="G212" s="52" t="str">
        <f ca="1"/>
        <v>L18_S09</v>
      </c>
      <c r="H212" s="52" t="str">
        <f ca="1"/>
        <v>040 / 006</v>
      </c>
      <c r="I212" s="52" t="str">
        <f ca="1"/>
        <v>Yes</v>
      </c>
      <c r="J212" s="52" t="str">
        <f ca="1"/>
        <v/>
      </c>
      <c r="K212" s="51" t="str">
        <f ca="1"/>
        <v/>
      </c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</row>
    <row r="213" spans="2:25" x14ac:dyDescent="0.25">
      <c r="B213" s="51"/>
      <c r="C213" s="70" t="str">
        <f ca="1"/>
        <v>46211/D|BR1/04</v>
      </c>
      <c r="D213" s="52" t="str">
        <f ca="1"/>
        <v>STM-A40_0107</v>
      </c>
      <c r="E213" s="52" t="str">
        <f ca="1"/>
        <v>SAP</v>
      </c>
      <c r="F213" s="52" t="str">
        <f ca="1"/>
        <v>LS_18</v>
      </c>
      <c r="G213" s="52" t="str">
        <f ca="1"/>
        <v>L18_S09</v>
      </c>
      <c r="H213" s="52" t="str">
        <f ca="1"/>
        <v>041 / 001</v>
      </c>
      <c r="I213" s="52" t="str">
        <f ca="1"/>
        <v>No</v>
      </c>
      <c r="J213" s="52" t="str">
        <f ca="1"/>
        <v/>
      </c>
      <c r="K213" s="51" t="str">
        <f ca="1"/>
        <v/>
      </c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</row>
    <row r="214" spans="2:25" x14ac:dyDescent="0.25">
      <c r="B214" s="51"/>
      <c r="C214" s="70" t="str">
        <f ca="1"/>
        <v>46211/D|BR1/04</v>
      </c>
      <c r="D214" s="52" t="str">
        <f ca="1"/>
        <v>STM-A40_0105</v>
      </c>
      <c r="E214" s="52" t="str">
        <f ca="1"/>
        <v>SAP</v>
      </c>
      <c r="F214" s="52" t="str">
        <f ca="1"/>
        <v>LS_18</v>
      </c>
      <c r="G214" s="52" t="str">
        <f ca="1"/>
        <v>L18_S09</v>
      </c>
      <c r="H214" s="52" t="str">
        <f ca="1"/>
        <v>041 / 002</v>
      </c>
      <c r="I214" s="52" t="str">
        <f ca="1"/>
        <v>Yes</v>
      </c>
      <c r="J214" s="52" t="str">
        <f ca="1"/>
        <v/>
      </c>
      <c r="K214" s="51" t="str">
        <f ca="1"/>
        <v/>
      </c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</row>
    <row r="215" spans="2:25" x14ac:dyDescent="0.25">
      <c r="B215" s="51"/>
      <c r="C215" s="70" t="str">
        <f ca="1"/>
        <v>46211/D|BR1/04</v>
      </c>
      <c r="D215" s="52" t="str">
        <f ca="1"/>
        <v>STM-A40_0106</v>
      </c>
      <c r="E215" s="52" t="str">
        <f ca="1"/>
        <v>SAP</v>
      </c>
      <c r="F215" s="52" t="str">
        <f ca="1"/>
        <v>LS_18</v>
      </c>
      <c r="G215" s="52" t="str">
        <f ca="1"/>
        <v>L18_S09</v>
      </c>
      <c r="H215" s="52" t="str">
        <f ca="1"/>
        <v>041 / 003</v>
      </c>
      <c r="I215" s="52" t="str">
        <f ca="1"/>
        <v>No</v>
      </c>
      <c r="J215" s="52" t="str">
        <f ca="1"/>
        <v/>
      </c>
      <c r="K215" s="51" t="str">
        <f ca="1"/>
        <v/>
      </c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</row>
    <row r="216" spans="2:25" x14ac:dyDescent="0.25">
      <c r="B216" s="51"/>
      <c r="C216" s="70" t="str">
        <f ca="1"/>
        <v>46211/D|BR1/04</v>
      </c>
      <c r="D216" s="52" t="str">
        <f ca="1"/>
        <v>STM-A40_0121</v>
      </c>
      <c r="E216" s="52" t="str">
        <f ca="1"/>
        <v>SAP</v>
      </c>
      <c r="F216" s="52" t="str">
        <f ca="1"/>
        <v>LS_18</v>
      </c>
      <c r="G216" s="52" t="str">
        <f ca="1"/>
        <v>L18_S09</v>
      </c>
      <c r="H216" s="52" t="str">
        <f ca="1"/>
        <v>041 / 004</v>
      </c>
      <c r="I216" s="52" t="str">
        <f ca="1"/>
        <v>Yes</v>
      </c>
      <c r="J216" s="52" t="str">
        <f ca="1"/>
        <v/>
      </c>
      <c r="K216" s="51" t="str">
        <f ca="1"/>
        <v>TRUCK SALAH</v>
      </c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</row>
    <row r="217" spans="2:25" x14ac:dyDescent="0.25">
      <c r="B217" s="51"/>
      <c r="C217" s="70" t="str">
        <f ca="1"/>
        <v>46211/D|BR1/04</v>
      </c>
      <c r="D217" s="52" t="str">
        <f ca="1"/>
        <v>STM-A40_0107</v>
      </c>
      <c r="E217" s="52" t="str">
        <f ca="1"/>
        <v>SAP</v>
      </c>
      <c r="F217" s="52" t="str">
        <f ca="1"/>
        <v>LS_18</v>
      </c>
      <c r="G217" s="52" t="str">
        <f ca="1"/>
        <v>L18_S09</v>
      </c>
      <c r="H217" s="52" t="str">
        <f ca="1"/>
        <v>041 / 005</v>
      </c>
      <c r="I217" s="52" t="str">
        <f ca="1"/>
        <v>No</v>
      </c>
      <c r="J217" s="52" t="str">
        <f ca="1"/>
        <v/>
      </c>
      <c r="K217" s="51" t="str">
        <f ca="1"/>
        <v/>
      </c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</row>
    <row r="218" spans="2:25" x14ac:dyDescent="0.25">
      <c r="B218" s="51"/>
      <c r="C218" s="70" t="str">
        <f ca="1"/>
        <v>46211/D|BR1/04</v>
      </c>
      <c r="D218" s="52" t="str">
        <f ca="1"/>
        <v>STM-A40_0098</v>
      </c>
      <c r="E218" s="52" t="str">
        <f ca="1"/>
        <v>SAP</v>
      </c>
      <c r="F218" s="52" t="str">
        <f ca="1"/>
        <v>LS_18</v>
      </c>
      <c r="G218" s="52" t="str">
        <f ca="1"/>
        <v>L18_S09</v>
      </c>
      <c r="H218" s="52" t="str">
        <f ca="1"/>
        <v>041 / 006</v>
      </c>
      <c r="I218" s="52" t="str">
        <f ca="1"/>
        <v>Yes</v>
      </c>
      <c r="J218" s="52" t="str">
        <f ca="1"/>
        <v/>
      </c>
      <c r="K218" s="51" t="str">
        <f ca="1"/>
        <v/>
      </c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</row>
    <row r="219" spans="2:25" x14ac:dyDescent="0.25">
      <c r="B219" s="51"/>
      <c r="C219" s="70" t="str">
        <f ca="1"/>
        <v>46211/D|BR1/05</v>
      </c>
      <c r="D219" s="52" t="str">
        <f ca="1"/>
        <v>STM-A40_0107</v>
      </c>
      <c r="E219" s="52" t="str">
        <f ca="1"/>
        <v>SAP</v>
      </c>
      <c r="F219" s="52" t="str">
        <f ca="1"/>
        <v>LS_18</v>
      </c>
      <c r="G219" s="52" t="str">
        <f ca="1"/>
        <v>L18_S09</v>
      </c>
      <c r="H219" s="52" t="str">
        <f ca="1"/>
        <v>042 / 001</v>
      </c>
      <c r="I219" s="52" t="str">
        <f ca="1"/>
        <v>No</v>
      </c>
      <c r="J219" s="52" t="str">
        <f ca="1"/>
        <v/>
      </c>
      <c r="K219" s="51" t="str">
        <f ca="1"/>
        <v/>
      </c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</row>
    <row r="220" spans="2:25" x14ac:dyDescent="0.25">
      <c r="B220" s="51"/>
      <c r="C220" s="70" t="str">
        <f ca="1"/>
        <v>46211/D|BR1/05</v>
      </c>
      <c r="D220" s="52" t="str">
        <f ca="1"/>
        <v>STM-A40_0098</v>
      </c>
      <c r="E220" s="52" t="str">
        <f ca="1"/>
        <v>SAP</v>
      </c>
      <c r="F220" s="52" t="str">
        <f ca="1"/>
        <v>LS_18</v>
      </c>
      <c r="G220" s="52" t="str">
        <f ca="1"/>
        <v>L18_S09</v>
      </c>
      <c r="H220" s="52" t="str">
        <f ca="1"/>
        <v>042 / 002</v>
      </c>
      <c r="I220" s="52" t="str">
        <f ca="1"/>
        <v>Yes</v>
      </c>
      <c r="J220" s="52" t="str">
        <f ca="1"/>
        <v/>
      </c>
      <c r="K220" s="51" t="str">
        <f ca="1"/>
        <v/>
      </c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</row>
    <row r="221" spans="2:25" x14ac:dyDescent="0.25">
      <c r="B221" s="51"/>
      <c r="C221" s="70" t="str">
        <f ca="1"/>
        <v>46211/D|BR1/05</v>
      </c>
      <c r="D221" s="52" t="str">
        <f ca="1"/>
        <v>STM-A40_0121</v>
      </c>
      <c r="E221" s="52" t="str">
        <f ca="1"/>
        <v>SAP</v>
      </c>
      <c r="F221" s="52" t="str">
        <f ca="1"/>
        <v>LS_18</v>
      </c>
      <c r="G221" s="52" t="str">
        <f ca="1"/>
        <v>L18_S09</v>
      </c>
      <c r="H221" s="52" t="str">
        <f ca="1"/>
        <v>042 / 003</v>
      </c>
      <c r="I221" s="52" t="str">
        <f ca="1"/>
        <v>No</v>
      </c>
      <c r="J221" s="52" t="str">
        <f ca="1"/>
        <v/>
      </c>
      <c r="K221" s="51" t="str">
        <f ca="1"/>
        <v>TRUCK SALAH</v>
      </c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</row>
    <row r="222" spans="2:25" x14ac:dyDescent="0.25">
      <c r="B222" s="51"/>
      <c r="C222" s="70" t="str">
        <f ca="1"/>
        <v>46211/D|BR1/05</v>
      </c>
      <c r="D222" s="52" t="str">
        <f ca="1"/>
        <v>STM-A40_0106</v>
      </c>
      <c r="E222" s="52" t="str">
        <f ca="1"/>
        <v>SAP</v>
      </c>
      <c r="F222" s="52" t="str">
        <f ca="1"/>
        <v>LS_18</v>
      </c>
      <c r="G222" s="52" t="str">
        <f ca="1"/>
        <v>L18_S09</v>
      </c>
      <c r="H222" s="52" t="str">
        <f ca="1"/>
        <v>042 / 004</v>
      </c>
      <c r="I222" s="52" t="str">
        <f ca="1"/>
        <v>Yes</v>
      </c>
      <c r="J222" s="52" t="str">
        <f ca="1"/>
        <v/>
      </c>
      <c r="K222" s="51" t="str">
        <f ca="1"/>
        <v/>
      </c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</row>
    <row r="223" spans="2:25" x14ac:dyDescent="0.25">
      <c r="B223" s="51"/>
      <c r="C223" s="70" t="str">
        <f ca="1"/>
        <v>46211/D|BR1/05</v>
      </c>
      <c r="D223" s="52" t="str">
        <f ca="1"/>
        <v>STM-A40_0107</v>
      </c>
      <c r="E223" s="52" t="str">
        <f ca="1"/>
        <v>SAP</v>
      </c>
      <c r="F223" s="52" t="str">
        <f ca="1"/>
        <v>LS_18</v>
      </c>
      <c r="G223" s="52" t="str">
        <f ca="1"/>
        <v>L18_S09</v>
      </c>
      <c r="H223" s="52" t="str">
        <f ca="1"/>
        <v>042 / 005</v>
      </c>
      <c r="I223" s="52" t="str">
        <f ca="1"/>
        <v>No</v>
      </c>
      <c r="J223" s="52" t="str">
        <f ca="1"/>
        <v/>
      </c>
      <c r="K223" s="51" t="str">
        <f ca="1"/>
        <v/>
      </c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</row>
    <row r="224" spans="2:25" x14ac:dyDescent="0.25">
      <c r="B224" s="51"/>
      <c r="C224" s="70" t="str">
        <f ca="1"/>
        <v>46211/D|BR1/05</v>
      </c>
      <c r="D224" s="52" t="str">
        <f ca="1"/>
        <v>STM-A40_0105</v>
      </c>
      <c r="E224" s="52" t="str">
        <f ca="1"/>
        <v>SAP</v>
      </c>
      <c r="F224" s="52" t="str">
        <f ca="1"/>
        <v>LS_18</v>
      </c>
      <c r="G224" s="52" t="str">
        <f ca="1"/>
        <v>L18_S09</v>
      </c>
      <c r="H224" s="52" t="str">
        <f ca="1"/>
        <v>042 / 006</v>
      </c>
      <c r="I224" s="52" t="str">
        <f ca="1"/>
        <v>Yes</v>
      </c>
      <c r="J224" s="52" t="str">
        <f ca="1"/>
        <v/>
      </c>
      <c r="K224" s="51" t="str">
        <f ca="1"/>
        <v/>
      </c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</row>
    <row r="225" spans="2:25" x14ac:dyDescent="0.25">
      <c r="B225" s="51"/>
      <c r="C225" s="70" t="str">
        <f ca="1"/>
        <v>46211/D|BR1/05</v>
      </c>
      <c r="D225" s="52" t="str">
        <f ca="1"/>
        <v>STM-A40_0106</v>
      </c>
      <c r="E225" s="52" t="str">
        <f ca="1"/>
        <v>SAP</v>
      </c>
      <c r="F225" s="52" t="str">
        <f ca="1"/>
        <v>LS_18</v>
      </c>
      <c r="G225" s="52" t="str">
        <f ca="1"/>
        <v>L18_S09</v>
      </c>
      <c r="H225" s="52" t="str">
        <f ca="1"/>
        <v>042 / 007</v>
      </c>
      <c r="I225" s="52" t="str">
        <f ca="1"/>
        <v>No</v>
      </c>
      <c r="J225" s="52" t="str">
        <f ca="1"/>
        <v/>
      </c>
      <c r="K225" s="51" t="str">
        <f ca="1"/>
        <v/>
      </c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</row>
    <row r="226" spans="2:25" x14ac:dyDescent="0.25">
      <c r="B226" s="51"/>
      <c r="C226" s="70" t="str">
        <f ca="1"/>
        <v>46211/D|BR1/05</v>
      </c>
      <c r="D226" s="52" t="str">
        <f ca="1"/>
        <v>STM-A40_0121</v>
      </c>
      <c r="E226" s="52" t="str">
        <f ca="1"/>
        <v>SAP</v>
      </c>
      <c r="F226" s="52" t="str">
        <f ca="1"/>
        <v>LS_18</v>
      </c>
      <c r="G226" s="52" t="str">
        <f ca="1"/>
        <v>L18_S09</v>
      </c>
      <c r="H226" s="52" t="str">
        <f ca="1"/>
        <v>042 / 008</v>
      </c>
      <c r="I226" s="52" t="str">
        <f ca="1"/>
        <v>Yes</v>
      </c>
      <c r="J226" s="52" t="str">
        <f ca="1"/>
        <v/>
      </c>
      <c r="K226" s="51" t="str">
        <f ca="1"/>
        <v>TRUCK SALAH</v>
      </c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</row>
    <row r="227" spans="2:25" x14ac:dyDescent="0.25">
      <c r="B227" s="51"/>
      <c r="C227" s="70" t="str">
        <f ca="1"/>
        <v>46211/D|BR1/05</v>
      </c>
      <c r="D227" s="52" t="str">
        <f ca="1"/>
        <v>STM-A40_0107</v>
      </c>
      <c r="E227" s="52" t="str">
        <f ca="1"/>
        <v>SAP</v>
      </c>
      <c r="F227" s="52" t="str">
        <f ca="1"/>
        <v>LS_18</v>
      </c>
      <c r="G227" s="52" t="str">
        <f ca="1"/>
        <v>L18_S09</v>
      </c>
      <c r="H227" s="52" t="str">
        <f ca="1"/>
        <v>042 / 009</v>
      </c>
      <c r="I227" s="52" t="str">
        <f ca="1"/>
        <v>No</v>
      </c>
      <c r="J227" s="52" t="str">
        <f ca="1"/>
        <v/>
      </c>
      <c r="K227" s="51" t="str">
        <f ca="1"/>
        <v/>
      </c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</row>
    <row r="228" spans="2:25" x14ac:dyDescent="0.25">
      <c r="B228" s="51"/>
      <c r="C228" s="70" t="str">
        <f ca="1"/>
        <v>46211/D|BR1/05</v>
      </c>
      <c r="D228" s="52" t="str">
        <f ca="1"/>
        <v>STM-A40_0098</v>
      </c>
      <c r="E228" s="52" t="str">
        <f ca="1"/>
        <v>SAP</v>
      </c>
      <c r="F228" s="52" t="str">
        <f ca="1"/>
        <v>LS_18</v>
      </c>
      <c r="G228" s="52" t="str">
        <f ca="1"/>
        <v>L18_S09</v>
      </c>
      <c r="H228" s="52" t="str">
        <f ca="1"/>
        <v>042 / 010</v>
      </c>
      <c r="I228" s="52" t="str">
        <f ca="1"/>
        <v>Yes</v>
      </c>
      <c r="J228" s="52" t="str">
        <f ca="1"/>
        <v/>
      </c>
      <c r="K228" s="51" t="str">
        <f ca="1"/>
        <v/>
      </c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</row>
    <row r="229" spans="2:25" x14ac:dyDescent="0.25">
      <c r="B229" s="51"/>
      <c r="C229" s="70" t="str">
        <f ca="1"/>
        <v>46211/D|BR1/05</v>
      </c>
      <c r="D229" s="52" t="str">
        <f ca="1"/>
        <v>STM-A40_0105</v>
      </c>
      <c r="E229" s="52" t="str">
        <f ca="1"/>
        <v>SAP</v>
      </c>
      <c r="F229" s="52" t="str">
        <f ca="1"/>
        <v>LS_18</v>
      </c>
      <c r="G229" s="52" t="str">
        <f ca="1"/>
        <v>L18_S09</v>
      </c>
      <c r="H229" s="52" t="str">
        <f ca="1"/>
        <v>042 / 011</v>
      </c>
      <c r="I229" s="52" t="str">
        <f ca="1"/>
        <v>No</v>
      </c>
      <c r="J229" s="52" t="str">
        <f ca="1"/>
        <v/>
      </c>
      <c r="K229" s="51" t="str">
        <f ca="1"/>
        <v/>
      </c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</row>
    <row r="230" spans="2:25" x14ac:dyDescent="0.25">
      <c r="B230" s="51"/>
      <c r="C230" s="70" t="str">
        <f ca="1"/>
        <v>46211/D|BR1/05</v>
      </c>
      <c r="D230" s="52" t="str">
        <f ca="1"/>
        <v>STM-A40_0098</v>
      </c>
      <c r="E230" s="52" t="str">
        <f ca="1"/>
        <v>SAP</v>
      </c>
      <c r="F230" s="52" t="str">
        <f ca="1"/>
        <v>LS_18</v>
      </c>
      <c r="G230" s="52" t="str">
        <f ca="1"/>
        <v>L18_S09</v>
      </c>
      <c r="H230" s="52" t="str">
        <f ca="1"/>
        <v>042 / 012</v>
      </c>
      <c r="I230" s="52" t="str">
        <f ca="1"/>
        <v>Yes</v>
      </c>
      <c r="J230" s="52" t="str">
        <f ca="1"/>
        <v/>
      </c>
      <c r="K230" s="51" t="str">
        <f ca="1"/>
        <v/>
      </c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</row>
    <row r="231" spans="2:25" x14ac:dyDescent="0.25">
      <c r="B231" s="51"/>
      <c r="C231" s="70" t="str">
        <f ca="1"/>
        <v>46211/D|BR1/05</v>
      </c>
      <c r="D231" s="52" t="str">
        <f ca="1"/>
        <v>STM-A40_0121</v>
      </c>
      <c r="E231" s="52" t="str">
        <f ca="1"/>
        <v>SAP</v>
      </c>
      <c r="F231" s="52" t="str">
        <f ca="1"/>
        <v>LS_18</v>
      </c>
      <c r="G231" s="52" t="str">
        <f ca="1"/>
        <v>L18_S09</v>
      </c>
      <c r="H231" s="52" t="str">
        <f ca="1"/>
        <v>042 / 013</v>
      </c>
      <c r="I231" s="52" t="str">
        <f ca="1"/>
        <v>No</v>
      </c>
      <c r="J231" s="52" t="str">
        <f ca="1"/>
        <v/>
      </c>
      <c r="K231" s="51" t="str">
        <f ca="1"/>
        <v>TRUCK SALAH</v>
      </c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</row>
    <row r="232" spans="2:25" x14ac:dyDescent="0.25">
      <c r="B232" s="51"/>
      <c r="C232" s="70" t="str">
        <f ca="1"/>
        <v>46211/D|BR1/05</v>
      </c>
      <c r="D232" s="52" t="str">
        <f ca="1"/>
        <v>STM-A40_0106</v>
      </c>
      <c r="E232" s="52" t="str">
        <f ca="1"/>
        <v>SAP</v>
      </c>
      <c r="F232" s="52" t="str">
        <f ca="1"/>
        <v>LS_18</v>
      </c>
      <c r="G232" s="52" t="str">
        <f ca="1"/>
        <v>L18_S09</v>
      </c>
      <c r="H232" s="52" t="str">
        <f ca="1"/>
        <v>042 / 014</v>
      </c>
      <c r="I232" s="52" t="str">
        <f ca="1"/>
        <v>Yes</v>
      </c>
      <c r="J232" s="52" t="str">
        <f ca="1"/>
        <v/>
      </c>
      <c r="K232" s="51" t="str">
        <f ca="1"/>
        <v/>
      </c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</row>
    <row r="233" spans="2:25" x14ac:dyDescent="0.25">
      <c r="B233" s="51"/>
      <c r="C233" s="70" t="str">
        <f ca="1"/>
        <v>46211/D|BR1/05</v>
      </c>
      <c r="D233" s="52" t="str">
        <f ca="1"/>
        <v>STM-A40_0107</v>
      </c>
      <c r="E233" s="52" t="str">
        <f ca="1"/>
        <v>SAP</v>
      </c>
      <c r="F233" s="52" t="str">
        <f ca="1"/>
        <v>LS_18</v>
      </c>
      <c r="G233" s="52" t="str">
        <f ca="1"/>
        <v>L18_S09</v>
      </c>
      <c r="H233" s="52" t="str">
        <f ca="1"/>
        <v>042 / 015</v>
      </c>
      <c r="I233" s="52" t="str">
        <f ca="1"/>
        <v>No</v>
      </c>
      <c r="J233" s="52" t="str">
        <f ca="1"/>
        <v/>
      </c>
      <c r="K233" s="51" t="str">
        <f ca="1"/>
        <v/>
      </c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</row>
    <row r="234" spans="2:25" x14ac:dyDescent="0.25">
      <c r="B234" s="51"/>
      <c r="C234" s="70" t="str">
        <f ca="1"/>
        <v>46211/D|BR1/05</v>
      </c>
      <c r="D234" s="52" t="str">
        <f ca="1"/>
        <v>STM-A40_0121</v>
      </c>
      <c r="E234" s="52" t="str">
        <f ca="1"/>
        <v>SAP</v>
      </c>
      <c r="F234" s="52" t="str">
        <f ca="1"/>
        <v>LS_18</v>
      </c>
      <c r="G234" s="52" t="str">
        <f ca="1"/>
        <v>L18_S09</v>
      </c>
      <c r="H234" s="52" t="str">
        <f ca="1"/>
        <v>042 / 016</v>
      </c>
      <c r="I234" s="52" t="str">
        <f ca="1"/>
        <v>Yes</v>
      </c>
      <c r="J234" s="52" t="str">
        <f ca="1"/>
        <v/>
      </c>
      <c r="K234" s="51" t="str">
        <f ca="1"/>
        <v>TRUCK SALAH</v>
      </c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</row>
    <row r="235" spans="2:25" x14ac:dyDescent="0.25">
      <c r="B235" s="51"/>
      <c r="C235" s="70" t="str">
        <f ca="1"/>
        <v>46211/D|BR1/05</v>
      </c>
      <c r="D235" s="52" t="str">
        <f ca="1"/>
        <v>STM-A40_0105</v>
      </c>
      <c r="E235" s="52" t="str">
        <f ca="1"/>
        <v>SAP</v>
      </c>
      <c r="F235" s="52" t="str">
        <f ca="1"/>
        <v>LS_18</v>
      </c>
      <c r="G235" s="52" t="str">
        <f ca="1"/>
        <v>L18_S09</v>
      </c>
      <c r="H235" s="52" t="str">
        <f ca="1"/>
        <v>042 / 017</v>
      </c>
      <c r="I235" s="52" t="str">
        <f ca="1"/>
        <v>No</v>
      </c>
      <c r="J235" s="52" t="str">
        <f ca="1"/>
        <v/>
      </c>
      <c r="K235" s="51" t="str">
        <f ca="1"/>
        <v/>
      </c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</row>
    <row r="236" spans="2:25" x14ac:dyDescent="0.25">
      <c r="B236" s="51"/>
      <c r="C236" s="70" t="str">
        <f ca="1"/>
        <v>46211/D|BR1/05</v>
      </c>
      <c r="D236" s="52" t="str">
        <f ca="1"/>
        <v>STM-A40_0098</v>
      </c>
      <c r="E236" s="52" t="str">
        <f ca="1"/>
        <v>SAP</v>
      </c>
      <c r="F236" s="52" t="str">
        <f ca="1"/>
        <v>LS_18</v>
      </c>
      <c r="G236" s="52" t="str">
        <f ca="1"/>
        <v>L18_S09</v>
      </c>
      <c r="H236" s="52" t="str">
        <f ca="1"/>
        <v>042 / 018</v>
      </c>
      <c r="I236" s="52" t="str">
        <f ca="1"/>
        <v>Yes</v>
      </c>
      <c r="J236" s="52" t="str">
        <f ca="1"/>
        <v/>
      </c>
      <c r="K236" s="51" t="str">
        <f ca="1"/>
        <v/>
      </c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</row>
    <row r="237" spans="2:25" x14ac:dyDescent="0.25">
      <c r="B237" s="51"/>
      <c r="C237" s="70" t="str">
        <f ca="1"/>
        <v>46211/D|BR1/05</v>
      </c>
      <c r="D237" s="52" t="str">
        <f ca="1"/>
        <v>STM-A40_0106</v>
      </c>
      <c r="E237" s="52" t="str">
        <f ca="1"/>
        <v>SAP</v>
      </c>
      <c r="F237" s="52" t="str">
        <f ca="1"/>
        <v>LS_18</v>
      </c>
      <c r="G237" s="52" t="str">
        <f ca="1"/>
        <v>L18_S09</v>
      </c>
      <c r="H237" s="52" t="str">
        <f ca="1"/>
        <v>042 / 019</v>
      </c>
      <c r="I237" s="52" t="str">
        <f ca="1"/>
        <v>No</v>
      </c>
      <c r="J237" s="52" t="str">
        <f ca="1"/>
        <v/>
      </c>
      <c r="K237" s="51" t="str">
        <f ca="1"/>
        <v/>
      </c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</row>
    <row r="238" spans="2:25" x14ac:dyDescent="0.25">
      <c r="B238" s="51"/>
      <c r="C238" s="70" t="str">
        <f ca="1"/>
        <v>46211/D|BR1/05</v>
      </c>
      <c r="D238" s="52" t="str">
        <f ca="1"/>
        <v>STM-A40_0107</v>
      </c>
      <c r="E238" s="52" t="str">
        <f ca="1"/>
        <v>SAP</v>
      </c>
      <c r="F238" s="52" t="str">
        <f ca="1"/>
        <v>LS_18</v>
      </c>
      <c r="G238" s="52" t="str">
        <f ca="1"/>
        <v>L18_S09</v>
      </c>
      <c r="H238" s="52" t="str">
        <f ca="1"/>
        <v>042 / 020</v>
      </c>
      <c r="I238" s="52" t="str">
        <f ca="1"/>
        <v>Yes</v>
      </c>
      <c r="J238" s="52" t="str">
        <f ca="1"/>
        <v/>
      </c>
      <c r="K238" s="51" t="str">
        <f ca="1"/>
        <v/>
      </c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</row>
    <row r="239" spans="2:25" x14ac:dyDescent="0.25">
      <c r="B239" s="51"/>
      <c r="C239" s="70" t="str">
        <f ca="1"/>
        <v>46211/D|BR1/05</v>
      </c>
      <c r="D239" s="52" t="str">
        <f ca="1"/>
        <v>STM-A40_0098</v>
      </c>
      <c r="E239" s="52" t="str">
        <f ca="1"/>
        <v>SAP</v>
      </c>
      <c r="F239" s="52" t="str">
        <f ca="1"/>
        <v>LS_18</v>
      </c>
      <c r="G239" s="52" t="str">
        <f ca="1"/>
        <v>L18_S09</v>
      </c>
      <c r="H239" s="52" t="str">
        <f ca="1"/>
        <v>043 / 001</v>
      </c>
      <c r="I239" s="52" t="str">
        <f ca="1"/>
        <v>No</v>
      </c>
      <c r="J239" s="52" t="str">
        <f ca="1"/>
        <v/>
      </c>
      <c r="K239" s="51" t="str">
        <f ca="1"/>
        <v/>
      </c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</row>
    <row r="240" spans="2:25" x14ac:dyDescent="0.25">
      <c r="B240" s="51"/>
      <c r="C240" s="70" t="str">
        <f ca="1"/>
        <v>46211/D|BR1/05</v>
      </c>
      <c r="D240" s="52" t="str">
        <f ca="1"/>
        <v>STM-A40_0121</v>
      </c>
      <c r="E240" s="52" t="str">
        <f ca="1"/>
        <v>SAP</v>
      </c>
      <c r="F240" s="52" t="str">
        <f ca="1"/>
        <v>LS_18</v>
      </c>
      <c r="G240" s="52" t="str">
        <f ca="1"/>
        <v>L18_S09</v>
      </c>
      <c r="H240" s="52" t="str">
        <f ca="1"/>
        <v>043 / 002</v>
      </c>
      <c r="I240" s="52" t="str">
        <f ca="1"/>
        <v>Yes</v>
      </c>
      <c r="J240" s="52" t="str">
        <f ca="1"/>
        <v/>
      </c>
      <c r="K240" s="51" t="str">
        <f ca="1"/>
        <v>TRUCK SALAH</v>
      </c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</row>
    <row r="241" spans="2:25" x14ac:dyDescent="0.25">
      <c r="B241" s="51"/>
      <c r="C241" s="70" t="str">
        <f ca="1"/>
        <v>46211/D|BR1/05</v>
      </c>
      <c r="D241" s="52" t="str">
        <f ca="1"/>
        <v>STM-A40_0106</v>
      </c>
      <c r="E241" s="52" t="str">
        <f ca="1"/>
        <v>SAP</v>
      </c>
      <c r="F241" s="52" t="str">
        <f ca="1"/>
        <v>LS_18</v>
      </c>
      <c r="G241" s="52" t="str">
        <f ca="1"/>
        <v>L18_S09</v>
      </c>
      <c r="H241" s="52" t="str">
        <f ca="1"/>
        <v>043 / 003</v>
      </c>
      <c r="I241" s="52" t="str">
        <f ca="1"/>
        <v>No</v>
      </c>
      <c r="J241" s="52" t="str">
        <f ca="1"/>
        <v/>
      </c>
      <c r="K241" s="51" t="str">
        <f ca="1"/>
        <v/>
      </c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</row>
    <row r="242" spans="2:25" x14ac:dyDescent="0.25">
      <c r="B242" s="51"/>
      <c r="C242" s="70" t="str">
        <f ca="1"/>
        <v>46211/D|BR1/05</v>
      </c>
      <c r="D242" s="52" t="str">
        <f ca="1"/>
        <v>STM-A40_0107</v>
      </c>
      <c r="E242" s="52" t="str">
        <f ca="1"/>
        <v>SAP</v>
      </c>
      <c r="F242" s="52" t="str">
        <f ca="1"/>
        <v>LS_18</v>
      </c>
      <c r="G242" s="52" t="str">
        <f ca="1"/>
        <v>L18_S09</v>
      </c>
      <c r="H242" s="52" t="str">
        <f ca="1"/>
        <v>043 / 004</v>
      </c>
      <c r="I242" s="52" t="str">
        <f ca="1"/>
        <v>Yes</v>
      </c>
      <c r="J242" s="52" t="str">
        <f ca="1"/>
        <v/>
      </c>
      <c r="K242" s="51" t="str">
        <f ca="1"/>
        <v/>
      </c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</row>
    <row r="243" spans="2:25" x14ac:dyDescent="0.25">
      <c r="B243" s="51"/>
      <c r="C243" s="70" t="str">
        <f ca="1"/>
        <v>46211/D|BR1/05</v>
      </c>
      <c r="D243" s="52" t="str">
        <f ca="1"/>
        <v>STM-A40_0098</v>
      </c>
      <c r="E243" s="52" t="str">
        <f ca="1"/>
        <v>SAP</v>
      </c>
      <c r="F243" s="52" t="str">
        <f ca="1"/>
        <v>LS_18</v>
      </c>
      <c r="G243" s="52" t="str">
        <f ca="1"/>
        <v>L18_S09</v>
      </c>
      <c r="H243" s="52" t="str">
        <f ca="1"/>
        <v>043 / 005</v>
      </c>
      <c r="I243" s="52" t="str">
        <f ca="1"/>
        <v>No</v>
      </c>
      <c r="J243" s="52" t="str">
        <f ca="1"/>
        <v/>
      </c>
      <c r="K243" s="51" t="str">
        <f ca="1"/>
        <v/>
      </c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</row>
    <row r="244" spans="2:25" x14ac:dyDescent="0.25">
      <c r="B244" s="51"/>
      <c r="C244" s="70" t="str">
        <f ca="1"/>
        <v>46211/D|BR1/05</v>
      </c>
      <c r="D244" s="52" t="str">
        <f ca="1"/>
        <v>STM-A40_0105</v>
      </c>
      <c r="E244" s="52" t="str">
        <f ca="1"/>
        <v>SAP</v>
      </c>
      <c r="F244" s="52" t="str">
        <f ca="1"/>
        <v>LS_18</v>
      </c>
      <c r="G244" s="52" t="str">
        <f ca="1"/>
        <v>L18_S09</v>
      </c>
      <c r="H244" s="52" t="str">
        <f ca="1"/>
        <v>043 / 006</v>
      </c>
      <c r="I244" s="52" t="str">
        <f ca="1"/>
        <v>Yes</v>
      </c>
      <c r="J244" s="52" t="str">
        <f ca="1"/>
        <v/>
      </c>
      <c r="K244" s="51" t="str">
        <f ca="1"/>
        <v/>
      </c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</row>
    <row r="245" spans="2:25" x14ac:dyDescent="0.25">
      <c r="B245" s="51"/>
      <c r="C245" s="70" t="str">
        <f ca="1"/>
        <v>46211/D|BR1/05</v>
      </c>
      <c r="D245" s="52" t="str">
        <f ca="1"/>
        <v>STM-A40_0121</v>
      </c>
      <c r="E245" s="52" t="str">
        <f ca="1"/>
        <v>SAP</v>
      </c>
      <c r="F245" s="52" t="str">
        <f ca="1"/>
        <v>LS_18</v>
      </c>
      <c r="G245" s="52" t="str">
        <f ca="1"/>
        <v>L18_S09</v>
      </c>
      <c r="H245" s="52" t="str">
        <f ca="1"/>
        <v>043 / 007</v>
      </c>
      <c r="I245" s="52" t="str">
        <f ca="1"/>
        <v>No</v>
      </c>
      <c r="J245" s="52" t="str">
        <f ca="1"/>
        <v/>
      </c>
      <c r="K245" s="51" t="str">
        <f ca="1"/>
        <v>TRUCK SALAH</v>
      </c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</row>
    <row r="246" spans="2:25" x14ac:dyDescent="0.25">
      <c r="B246" s="51"/>
      <c r="C246" s="70" t="str">
        <f ca="1"/>
        <v>46211/D|BR1/05</v>
      </c>
      <c r="D246" s="52" t="str">
        <f ca="1"/>
        <v>STM-A40_0106</v>
      </c>
      <c r="E246" s="52" t="str">
        <f ca="1"/>
        <v>SAP</v>
      </c>
      <c r="F246" s="52" t="str">
        <f ca="1"/>
        <v>LS_18</v>
      </c>
      <c r="G246" s="52" t="str">
        <f ca="1"/>
        <v>L18_S09</v>
      </c>
      <c r="H246" s="52" t="str">
        <f ca="1"/>
        <v>043 / 008</v>
      </c>
      <c r="I246" s="52" t="str">
        <f ca="1"/>
        <v>Yes</v>
      </c>
      <c r="J246" s="52" t="str">
        <f ca="1"/>
        <v/>
      </c>
      <c r="K246" s="51" t="str">
        <f ca="1"/>
        <v/>
      </c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</row>
    <row r="247" spans="2:25" x14ac:dyDescent="0.25">
      <c r="B247" s="51"/>
      <c r="C247" s="70" t="str">
        <f ca="1"/>
        <v>46211/D|BR1/05</v>
      </c>
      <c r="D247" s="52" t="str">
        <f ca="1"/>
        <v>STM-A40_0107</v>
      </c>
      <c r="E247" s="52" t="str">
        <f ca="1"/>
        <v>SAP</v>
      </c>
      <c r="F247" s="52" t="str">
        <f ca="1"/>
        <v>LS_18</v>
      </c>
      <c r="G247" s="52" t="str">
        <f ca="1"/>
        <v>L18_S09</v>
      </c>
      <c r="H247" s="52" t="str">
        <f ca="1"/>
        <v>043 / 009</v>
      </c>
      <c r="I247" s="52" t="str">
        <f ca="1"/>
        <v>No</v>
      </c>
      <c r="J247" s="52" t="str">
        <f ca="1"/>
        <v/>
      </c>
      <c r="K247" s="51" t="str">
        <f ca="1"/>
        <v/>
      </c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</row>
    <row r="248" spans="2:25" x14ac:dyDescent="0.25">
      <c r="B248" s="51"/>
      <c r="C248" s="70" t="str">
        <f ca="1"/>
        <v>46211/D|BR1/05</v>
      </c>
      <c r="D248" s="52" t="str">
        <f ca="1"/>
        <v>STM-A40_0098</v>
      </c>
      <c r="E248" s="52" t="str">
        <f ca="1"/>
        <v>SAP</v>
      </c>
      <c r="F248" s="52" t="str">
        <f ca="1"/>
        <v>LS_18</v>
      </c>
      <c r="G248" s="52" t="str">
        <f ca="1"/>
        <v>L18_S09</v>
      </c>
      <c r="H248" s="52" t="str">
        <f ca="1"/>
        <v>043 / 010</v>
      </c>
      <c r="I248" s="52" t="str">
        <f ca="1"/>
        <v>Yes</v>
      </c>
      <c r="J248" s="52" t="str">
        <f ca="1"/>
        <v/>
      </c>
      <c r="K248" s="51" t="str">
        <f ca="1"/>
        <v/>
      </c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</row>
    <row r="249" spans="2:25" x14ac:dyDescent="0.25">
      <c r="B249" s="51"/>
      <c r="C249" s="70" t="str">
        <f ca="1"/>
        <v>46211/D|BR1/05</v>
      </c>
      <c r="D249" s="52" t="str">
        <f ca="1"/>
        <v>STM-A40_0105</v>
      </c>
      <c r="E249" s="52" t="str">
        <f ca="1"/>
        <v>SAP</v>
      </c>
      <c r="F249" s="52" t="str">
        <f ca="1"/>
        <v>LS_18</v>
      </c>
      <c r="G249" s="52" t="str">
        <f ca="1"/>
        <v>L18_S09</v>
      </c>
      <c r="H249" s="52" t="str">
        <f ca="1"/>
        <v>043 / 011</v>
      </c>
      <c r="I249" s="52" t="str">
        <f ca="1"/>
        <v>No</v>
      </c>
      <c r="J249" s="52" t="str">
        <f ca="1"/>
        <v/>
      </c>
      <c r="K249" s="51" t="str">
        <f ca="1"/>
        <v/>
      </c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</row>
    <row r="250" spans="2:25" x14ac:dyDescent="0.25">
      <c r="B250" s="51"/>
      <c r="C250" s="70" t="str">
        <f ca="1"/>
        <v>46211/D|BR1/05</v>
      </c>
      <c r="D250" s="52" t="str">
        <f ca="1"/>
        <v>STM-A40_0107</v>
      </c>
      <c r="E250" s="52" t="str">
        <f ca="1"/>
        <v>SAP</v>
      </c>
      <c r="F250" s="52" t="str">
        <f ca="1"/>
        <v>LS_18</v>
      </c>
      <c r="G250" s="52" t="str">
        <f ca="1"/>
        <v>L18_S09</v>
      </c>
      <c r="H250" s="52" t="str">
        <f ca="1"/>
        <v>043 / 012</v>
      </c>
      <c r="I250" s="52" t="str">
        <f ca="1"/>
        <v>Yes</v>
      </c>
      <c r="J250" s="52" t="str">
        <f ca="1"/>
        <v/>
      </c>
      <c r="K250" s="51" t="str">
        <f ca="1"/>
        <v/>
      </c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</row>
    <row r="251" spans="2:25" x14ac:dyDescent="0.25">
      <c r="B251" s="51"/>
      <c r="C251" s="70" t="str">
        <f ca="1"/>
        <v>46211/D|BR1/05</v>
      </c>
      <c r="D251" s="52" t="str">
        <f ca="1"/>
        <v>STM-A40_0121</v>
      </c>
      <c r="E251" s="52" t="str">
        <f ca="1"/>
        <v>SAP</v>
      </c>
      <c r="F251" s="52" t="str">
        <f ca="1"/>
        <v>LS_18</v>
      </c>
      <c r="G251" s="52" t="str">
        <f ca="1"/>
        <v>L18_S09</v>
      </c>
      <c r="H251" s="52" t="str">
        <f ca="1"/>
        <v>043 / 013</v>
      </c>
      <c r="I251" s="52" t="str">
        <f ca="1"/>
        <v>No</v>
      </c>
      <c r="J251" s="52" t="str">
        <f ca="1"/>
        <v/>
      </c>
      <c r="K251" s="51" t="str">
        <f ca="1"/>
        <v>TRUCK SALAH</v>
      </c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</row>
    <row r="252" spans="2:25" x14ac:dyDescent="0.25">
      <c r="B252" s="51"/>
      <c r="C252" s="70" t="str">
        <f ca="1"/>
        <v>46211/D|BR1/05</v>
      </c>
      <c r="D252" s="52" t="str">
        <f ca="1"/>
        <v>STM-A40_0106</v>
      </c>
      <c r="E252" s="52" t="str">
        <f ca="1"/>
        <v>SAP</v>
      </c>
      <c r="F252" s="52" t="str">
        <f ca="1"/>
        <v>LS_18</v>
      </c>
      <c r="G252" s="52" t="str">
        <f ca="1"/>
        <v>L18_S09</v>
      </c>
      <c r="H252" s="52" t="str">
        <f ca="1"/>
        <v>043 / 014</v>
      </c>
      <c r="I252" s="52" t="str">
        <f ca="1"/>
        <v>Yes</v>
      </c>
      <c r="J252" s="52" t="str">
        <f ca="1"/>
        <v/>
      </c>
      <c r="K252" s="51" t="str">
        <f ca="1"/>
        <v/>
      </c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</row>
    <row r="253" spans="2:25" x14ac:dyDescent="0.25">
      <c r="B253" s="51"/>
      <c r="C253" s="70" t="str">
        <f ca="1"/>
        <v>46211/D|BR1/05</v>
      </c>
      <c r="D253" s="52" t="str">
        <f ca="1"/>
        <v>STM-A40_0098</v>
      </c>
      <c r="E253" s="52" t="str">
        <f ca="1"/>
        <v>SAP</v>
      </c>
      <c r="F253" s="52" t="str">
        <f ca="1"/>
        <v>LS_18</v>
      </c>
      <c r="G253" s="52" t="str">
        <f ca="1"/>
        <v>L18_S09</v>
      </c>
      <c r="H253" s="52" t="str">
        <f ca="1"/>
        <v>043 / 015</v>
      </c>
      <c r="I253" s="52" t="str">
        <f ca="1"/>
        <v>No</v>
      </c>
      <c r="J253" s="52" t="str">
        <f ca="1"/>
        <v/>
      </c>
      <c r="K253" s="51" t="str">
        <f ca="1"/>
        <v/>
      </c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</row>
    <row r="254" spans="2:25" x14ac:dyDescent="0.25">
      <c r="B254" s="51"/>
      <c r="C254" s="70" t="str">
        <f ca="1"/>
        <v>46211/D|BR1/05</v>
      </c>
      <c r="D254" s="52" t="str">
        <f ca="1"/>
        <v>STM-A40_0121</v>
      </c>
      <c r="E254" s="52" t="str">
        <f ca="1"/>
        <v>SAP</v>
      </c>
      <c r="F254" s="52" t="str">
        <f ca="1"/>
        <v>LS_18</v>
      </c>
      <c r="G254" s="52" t="str">
        <f ca="1"/>
        <v>L18_S09</v>
      </c>
      <c r="H254" s="52" t="str">
        <f ca="1"/>
        <v>043 / 016</v>
      </c>
      <c r="I254" s="52" t="str">
        <f ca="1"/>
        <v>Yes</v>
      </c>
      <c r="J254" s="52" t="str">
        <f ca="1"/>
        <v/>
      </c>
      <c r="K254" s="51" t="str">
        <f ca="1"/>
        <v>TRUCK SALAH</v>
      </c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</row>
    <row r="255" spans="2:25" x14ac:dyDescent="0.25">
      <c r="B255" s="51"/>
      <c r="C255" s="70" t="str">
        <f ca="1"/>
        <v>46211/D|BR1/05</v>
      </c>
      <c r="D255" s="52" t="str">
        <f ca="1"/>
        <v>STM-A40_0106</v>
      </c>
      <c r="E255" s="52" t="str">
        <f ca="1"/>
        <v>SAP</v>
      </c>
      <c r="F255" s="52" t="str">
        <f ca="1"/>
        <v>LS_18</v>
      </c>
      <c r="G255" s="52" t="str">
        <f ca="1"/>
        <v>L18_S09</v>
      </c>
      <c r="H255" s="52" t="str">
        <f ca="1"/>
        <v>043 / 017</v>
      </c>
      <c r="I255" s="52" t="str">
        <f ca="1"/>
        <v>No</v>
      </c>
      <c r="J255" s="52" t="str">
        <f ca="1"/>
        <v/>
      </c>
      <c r="K255" s="51" t="str">
        <f ca="1"/>
        <v/>
      </c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</row>
    <row r="256" spans="2:25" x14ac:dyDescent="0.25">
      <c r="B256" s="51"/>
      <c r="C256" s="70" t="str">
        <f ca="1"/>
        <v>46211/D|BR1/05</v>
      </c>
      <c r="D256" s="52" t="str">
        <f ca="1"/>
        <v>STM-A40_0105</v>
      </c>
      <c r="E256" s="52" t="str">
        <f ca="1"/>
        <v>SAP</v>
      </c>
      <c r="F256" s="52" t="str">
        <f ca="1"/>
        <v>LS_18</v>
      </c>
      <c r="G256" s="52" t="str">
        <f ca="1"/>
        <v>L18_S09</v>
      </c>
      <c r="H256" s="52" t="str">
        <f ca="1"/>
        <v>043 / 018</v>
      </c>
      <c r="I256" s="52" t="str">
        <f ca="1"/>
        <v>Yes</v>
      </c>
      <c r="J256" s="52" t="str">
        <f ca="1"/>
        <v/>
      </c>
      <c r="K256" s="51" t="str">
        <f ca="1"/>
        <v/>
      </c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</row>
    <row r="257" spans="2:25" x14ac:dyDescent="0.25">
      <c r="B257" s="51"/>
      <c r="C257" s="70" t="str">
        <f ca="1"/>
        <v>46211/D|BR1/05</v>
      </c>
      <c r="D257" s="52" t="str">
        <f ca="1"/>
        <v>STM-A40_0098</v>
      </c>
      <c r="E257" s="52" t="str">
        <f ca="1"/>
        <v>SAP</v>
      </c>
      <c r="F257" s="52" t="str">
        <f ca="1"/>
        <v>LS_18</v>
      </c>
      <c r="G257" s="52" t="str">
        <f ca="1"/>
        <v>L18_S09</v>
      </c>
      <c r="H257" s="52" t="str">
        <f ca="1"/>
        <v>043 / 019</v>
      </c>
      <c r="I257" s="52" t="str">
        <f ca="1"/>
        <v>No</v>
      </c>
      <c r="J257" s="52" t="str">
        <f ca="1"/>
        <v/>
      </c>
      <c r="K257" s="51" t="str">
        <f ca="1"/>
        <v/>
      </c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</row>
    <row r="258" spans="2:25" x14ac:dyDescent="0.25">
      <c r="B258" s="51"/>
      <c r="C258" s="70" t="str">
        <f ca="1"/>
        <v>46211/D|BR1/05</v>
      </c>
      <c r="D258" s="52" t="str">
        <f ca="1"/>
        <v>STM-A40_0121</v>
      </c>
      <c r="E258" s="52" t="str">
        <f ca="1"/>
        <v>SAP</v>
      </c>
      <c r="F258" s="52" t="str">
        <f ca="1"/>
        <v>LS_18</v>
      </c>
      <c r="G258" s="52" t="str">
        <f ca="1"/>
        <v>L18_S09</v>
      </c>
      <c r="H258" s="52" t="str">
        <f ca="1"/>
        <v>043 / 020</v>
      </c>
      <c r="I258" s="52" t="str">
        <f ca="1"/>
        <v>Yes</v>
      </c>
      <c r="J258" s="52" t="str">
        <f ca="1"/>
        <v/>
      </c>
      <c r="K258" s="51" t="str">
        <f ca="1"/>
        <v>TRUCK SALAH</v>
      </c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</row>
    <row r="259" spans="2:25" x14ac:dyDescent="0.25">
      <c r="B259" s="51"/>
      <c r="C259" s="70" t="str">
        <f ca="1"/>
        <v>46211/D|BR1/05</v>
      </c>
      <c r="D259" s="52" t="str">
        <f ca="1"/>
        <v>STM-A40_0105</v>
      </c>
      <c r="E259" s="52" t="str">
        <f ca="1"/>
        <v>SAP</v>
      </c>
      <c r="F259" s="52" t="str">
        <f ca="1"/>
        <v>LS_18</v>
      </c>
      <c r="G259" s="52" t="str">
        <f ca="1"/>
        <v>L18_S09</v>
      </c>
      <c r="H259" s="52" t="str">
        <f ca="1"/>
        <v>044 / 001</v>
      </c>
      <c r="I259" s="52" t="str">
        <f ca="1"/>
        <v>No</v>
      </c>
      <c r="J259" s="52" t="str">
        <f ca="1"/>
        <v/>
      </c>
      <c r="K259" s="51" t="str">
        <f ca="1"/>
        <v/>
      </c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</row>
    <row r="260" spans="2:25" x14ac:dyDescent="0.25">
      <c r="B260" s="51"/>
      <c r="C260" s="70" t="str">
        <f ca="1"/>
        <v>46211/D|BR1/05</v>
      </c>
      <c r="D260" s="52" t="str">
        <f ca="1"/>
        <v>STM-A40_0098</v>
      </c>
      <c r="E260" s="52" t="str">
        <f ca="1"/>
        <v>SAP</v>
      </c>
      <c r="F260" s="52" t="str">
        <f ca="1"/>
        <v>LS_18</v>
      </c>
      <c r="G260" s="52" t="str">
        <f ca="1"/>
        <v>L18_S09</v>
      </c>
      <c r="H260" s="52" t="str">
        <f ca="1"/>
        <v>044 / 002</v>
      </c>
      <c r="I260" s="52" t="str">
        <f ca="1"/>
        <v>Yes</v>
      </c>
      <c r="J260" s="52" t="str">
        <f ca="1"/>
        <v/>
      </c>
      <c r="K260" s="51" t="str">
        <f ca="1"/>
        <v/>
      </c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</row>
    <row r="261" spans="2:25" x14ac:dyDescent="0.25">
      <c r="B261" s="51"/>
      <c r="C261" s="70" t="str">
        <f ca="1"/>
        <v>46211/D|BR1/05</v>
      </c>
      <c r="D261" s="52" t="str">
        <f ca="1"/>
        <v>STM-A40_0106</v>
      </c>
      <c r="E261" s="52" t="str">
        <f ca="1"/>
        <v>SAP</v>
      </c>
      <c r="F261" s="52" t="str">
        <f ca="1"/>
        <v>LS_18</v>
      </c>
      <c r="G261" s="52" t="str">
        <f ca="1"/>
        <v>L18_S09</v>
      </c>
      <c r="H261" s="52" t="str">
        <f ca="1"/>
        <v>044 / 003</v>
      </c>
      <c r="I261" s="52" t="str">
        <f ca="1"/>
        <v>No</v>
      </c>
      <c r="J261" s="52" t="str">
        <f ca="1"/>
        <v/>
      </c>
      <c r="K261" s="51" t="str">
        <f ca="1"/>
        <v/>
      </c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</row>
    <row r="262" spans="2:25" x14ac:dyDescent="0.25">
      <c r="B262" s="51"/>
      <c r="C262" s="70" t="str">
        <f ca="1"/>
        <v>46211/D|BR1/03</v>
      </c>
      <c r="D262" s="52" t="str">
        <f ca="1"/>
        <v>STM-A40_0096</v>
      </c>
      <c r="E262" s="52" t="str">
        <f ca="1"/>
        <v>LIM</v>
      </c>
      <c r="F262" s="52" t="str">
        <f ca="1"/>
        <v>LS_09</v>
      </c>
      <c r="G262" s="52" t="str">
        <f ca="1"/>
        <v>L9_26</v>
      </c>
      <c r="H262" s="52" t="str">
        <f ca="1"/>
        <v>002 / 011</v>
      </c>
      <c r="I262" s="52" t="str">
        <f ca="1"/>
        <v>No</v>
      </c>
      <c r="J262" s="52" t="str">
        <f ca="1"/>
        <v/>
      </c>
      <c r="K262" s="51" t="str">
        <f ca="1"/>
        <v/>
      </c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</row>
    <row r="263" spans="2:25" x14ac:dyDescent="0.25">
      <c r="B263" s="51"/>
      <c r="C263" s="70" t="str">
        <f ca="1"/>
        <v>46211/D|BR1/03</v>
      </c>
      <c r="D263" s="52" t="str">
        <f ca="1"/>
        <v>STM-A40_0095</v>
      </c>
      <c r="E263" s="52" t="str">
        <f ca="1"/>
        <v>LIM</v>
      </c>
      <c r="F263" s="52" t="str">
        <f ca="1"/>
        <v>LS_09</v>
      </c>
      <c r="G263" s="52" t="str">
        <f ca="1"/>
        <v>L9_26</v>
      </c>
      <c r="H263" s="52" t="str">
        <f ca="1"/>
        <v>002 / 012</v>
      </c>
      <c r="I263" s="52" t="str">
        <f ca="1"/>
        <v>No</v>
      </c>
      <c r="J263" s="52" t="str">
        <f ca="1"/>
        <v/>
      </c>
      <c r="K263" s="51" t="str">
        <f ca="1"/>
        <v/>
      </c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</row>
    <row r="264" spans="2:25" x14ac:dyDescent="0.25">
      <c r="B264" s="51"/>
      <c r="C264" s="70" t="str">
        <f ca="1"/>
        <v>46211/D|BR1/03</v>
      </c>
      <c r="D264" s="52" t="str">
        <f ca="1"/>
        <v>STM-A40_0131</v>
      </c>
      <c r="E264" s="52" t="str">
        <f ca="1"/>
        <v>LIM</v>
      </c>
      <c r="F264" s="52" t="str">
        <f ca="1"/>
        <v>LS_09</v>
      </c>
      <c r="G264" s="52" t="str">
        <f ca="1"/>
        <v>L9_26</v>
      </c>
      <c r="H264" s="52" t="str">
        <f ca="1"/>
        <v>002 / 013</v>
      </c>
      <c r="I264" s="52" t="str">
        <f ca="1"/>
        <v>No</v>
      </c>
      <c r="J264" s="52" t="str">
        <f ca="1"/>
        <v/>
      </c>
      <c r="K264" s="51" t="str">
        <f ca="1"/>
        <v/>
      </c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</row>
    <row r="265" spans="2:25" x14ac:dyDescent="0.25">
      <c r="B265" s="51"/>
      <c r="C265" s="70" t="str">
        <f ca="1"/>
        <v>46211/D|BR1/03</v>
      </c>
      <c r="D265" s="52" t="str">
        <f ca="1"/>
        <v>STM-A40_0135</v>
      </c>
      <c r="E265" s="52" t="str">
        <f ca="1"/>
        <v>LIM</v>
      </c>
      <c r="F265" s="52" t="str">
        <f ca="1"/>
        <v>LS_09</v>
      </c>
      <c r="G265" s="52" t="str">
        <f ca="1"/>
        <v>L9_26</v>
      </c>
      <c r="H265" s="52" t="str">
        <f ca="1"/>
        <v>002 / 014</v>
      </c>
      <c r="I265" s="52" t="str">
        <f ca="1"/>
        <v>No</v>
      </c>
      <c r="J265" s="52" t="str">
        <f ca="1"/>
        <v/>
      </c>
      <c r="K265" s="51" t="str">
        <f ca="1"/>
        <v/>
      </c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</row>
    <row r="266" spans="2:25" x14ac:dyDescent="0.25">
      <c r="B266" s="51"/>
      <c r="C266" s="70" t="str">
        <f ca="1"/>
        <v>46211/D|BR1/03</v>
      </c>
      <c r="D266" s="52" t="str">
        <f ca="1"/>
        <v>STM-A40_0095</v>
      </c>
      <c r="E266" s="52" t="str">
        <f ca="1"/>
        <v>LIM</v>
      </c>
      <c r="F266" s="52" t="str">
        <f ca="1"/>
        <v>LS_09</v>
      </c>
      <c r="G266" s="52" t="str">
        <f ca="1"/>
        <v>L9_26</v>
      </c>
      <c r="H266" s="52" t="str">
        <f ca="1"/>
        <v>002 / 015</v>
      </c>
      <c r="I266" s="52" t="str">
        <f ca="1"/>
        <v>Yes</v>
      </c>
      <c r="J266" s="52" t="str">
        <f ca="1"/>
        <v/>
      </c>
      <c r="K266" s="51" t="str">
        <f ca="1"/>
        <v/>
      </c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</row>
    <row r="267" spans="2:25" x14ac:dyDescent="0.25">
      <c r="B267" s="51"/>
      <c r="C267" s="70" t="str">
        <f ca="1"/>
        <v>46211/D|BR1/03</v>
      </c>
      <c r="D267" s="52" t="str">
        <f ca="1"/>
        <v>STM-A40_0096</v>
      </c>
      <c r="E267" s="52" t="str">
        <f ca="1"/>
        <v>LIM</v>
      </c>
      <c r="F267" s="52" t="str">
        <f ca="1"/>
        <v>LS_09</v>
      </c>
      <c r="G267" s="52" t="str">
        <f ca="1"/>
        <v>L9_26</v>
      </c>
      <c r="H267" s="52" t="str">
        <f ca="1"/>
        <v>002 / 016</v>
      </c>
      <c r="I267" s="52" t="str">
        <f ca="1"/>
        <v>No</v>
      </c>
      <c r="J267" s="52" t="str">
        <f ca="1"/>
        <v/>
      </c>
      <c r="K267" s="51" t="str">
        <f ca="1"/>
        <v/>
      </c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</row>
    <row r="268" spans="2:25" x14ac:dyDescent="0.25">
      <c r="B268" s="51"/>
      <c r="C268" s="70" t="str">
        <f ca="1"/>
        <v>46211/D|BR1/03</v>
      </c>
      <c r="D268" s="52" t="str">
        <f ca="1"/>
        <v>STM-A40_0103</v>
      </c>
      <c r="E268" s="52" t="str">
        <f ca="1"/>
        <v>LIM</v>
      </c>
      <c r="F268" s="52" t="str">
        <f ca="1"/>
        <v>LS_09</v>
      </c>
      <c r="G268" s="52" t="str">
        <f ca="1"/>
        <v>L9_26</v>
      </c>
      <c r="H268" s="52" t="str">
        <f ca="1"/>
        <v>002 / 017</v>
      </c>
      <c r="I268" s="52" t="str">
        <f ca="1"/>
        <v>No</v>
      </c>
      <c r="J268" s="52" t="str">
        <f ca="1"/>
        <v/>
      </c>
      <c r="K268" s="51" t="str">
        <f ca="1"/>
        <v/>
      </c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</row>
    <row r="269" spans="2:25" x14ac:dyDescent="0.25">
      <c r="B269" s="51"/>
      <c r="C269" s="70" t="str">
        <f ca="1"/>
        <v>46211/D|BR1/03</v>
      </c>
      <c r="D269" s="52" t="str">
        <f ca="1"/>
        <v>STM-A40_0131</v>
      </c>
      <c r="E269" s="52" t="str">
        <f ca="1"/>
        <v>LIM</v>
      </c>
      <c r="F269" s="52" t="str">
        <f ca="1"/>
        <v>LS_09</v>
      </c>
      <c r="G269" s="52" t="str">
        <f ca="1"/>
        <v>L9_26</v>
      </c>
      <c r="H269" s="52" t="str">
        <f ca="1"/>
        <v>002 / 018</v>
      </c>
      <c r="I269" s="52" t="str">
        <f ca="1"/>
        <v>No</v>
      </c>
      <c r="J269" s="52" t="str">
        <f ca="1"/>
        <v/>
      </c>
      <c r="K269" s="51" t="str">
        <f ca="1"/>
        <v/>
      </c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</row>
    <row r="270" spans="2:25" x14ac:dyDescent="0.25">
      <c r="B270" s="51"/>
      <c r="C270" s="70" t="str">
        <f ca="1"/>
        <v>46211/D|BR1/03</v>
      </c>
      <c r="D270" s="52" t="str">
        <f ca="1"/>
        <v>STM-A40_0095</v>
      </c>
      <c r="E270" s="52" t="str">
        <f ca="1"/>
        <v>LIM</v>
      </c>
      <c r="F270" s="52" t="str">
        <f ca="1"/>
        <v>LS_09</v>
      </c>
      <c r="G270" s="52" t="str">
        <f ca="1"/>
        <v>L9_26</v>
      </c>
      <c r="H270" s="52" t="str">
        <f ca="1"/>
        <v>002 / 019</v>
      </c>
      <c r="I270" s="52" t="str">
        <f ca="1"/>
        <v>No</v>
      </c>
      <c r="J270" s="52" t="str">
        <f ca="1"/>
        <v/>
      </c>
      <c r="K270" s="51" t="str">
        <f ca="1"/>
        <v/>
      </c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</row>
    <row r="271" spans="2:25" x14ac:dyDescent="0.25">
      <c r="B271" s="51"/>
      <c r="C271" s="70" t="str">
        <f ca="1"/>
        <v>46211/D|BR1/03</v>
      </c>
      <c r="D271" s="52" t="str">
        <f ca="1"/>
        <v>STM-A40_0135</v>
      </c>
      <c r="E271" s="52" t="str">
        <f ca="1"/>
        <v>LIM</v>
      </c>
      <c r="F271" s="52" t="str">
        <f ca="1"/>
        <v>LS_09</v>
      </c>
      <c r="G271" s="52" t="str">
        <f ca="1"/>
        <v>L9_26</v>
      </c>
      <c r="H271" s="52" t="str">
        <f ca="1"/>
        <v>002 / 020</v>
      </c>
      <c r="I271" s="52" t="str">
        <f ca="1"/>
        <v>Yes</v>
      </c>
      <c r="J271" s="52" t="str">
        <f ca="1"/>
        <v/>
      </c>
      <c r="K271" s="51" t="str">
        <f ca="1"/>
        <v/>
      </c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</row>
    <row r="272" spans="2:25" x14ac:dyDescent="0.25">
      <c r="B272" s="51"/>
      <c r="C272" s="70" t="str">
        <f ca="1"/>
        <v>46211/D|BR1/03</v>
      </c>
      <c r="D272" s="52" t="str">
        <f ca="1"/>
        <v>STM-A40_0103</v>
      </c>
      <c r="E272" s="52" t="str">
        <f ca="1"/>
        <v>LIM</v>
      </c>
      <c r="F272" s="52" t="str">
        <f ca="1"/>
        <v>LS_09</v>
      </c>
      <c r="G272" s="52" t="str">
        <f ca="1"/>
        <v>L9_26</v>
      </c>
      <c r="H272" s="52" t="str">
        <f ca="1"/>
        <v>002 / 021</v>
      </c>
      <c r="I272" s="52" t="str">
        <f ca="1"/>
        <v>No</v>
      </c>
      <c r="J272" s="52" t="str">
        <f ca="1"/>
        <v/>
      </c>
      <c r="K272" s="51" t="str">
        <f ca="1"/>
        <v/>
      </c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</row>
    <row r="273" spans="2:25" x14ac:dyDescent="0.25">
      <c r="B273" s="51"/>
      <c r="C273" s="70" t="str">
        <f ca="1"/>
        <v>46211/D|BR1/03</v>
      </c>
      <c r="D273" s="52" t="str">
        <f ca="1"/>
        <v>STM-A40_0096</v>
      </c>
      <c r="E273" s="52" t="str">
        <f ca="1"/>
        <v>LIM</v>
      </c>
      <c r="F273" s="52" t="str">
        <f ca="1"/>
        <v>LS_09</v>
      </c>
      <c r="G273" s="52" t="str">
        <f ca="1"/>
        <v>L9_26</v>
      </c>
      <c r="H273" s="52" t="str">
        <f ca="1"/>
        <v>002 / 022</v>
      </c>
      <c r="I273" s="52" t="str">
        <f ca="1"/>
        <v>No</v>
      </c>
      <c r="J273" s="52" t="str">
        <f ca="1"/>
        <v/>
      </c>
      <c r="K273" s="51" t="str">
        <f ca="1"/>
        <v/>
      </c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</row>
    <row r="274" spans="2:25" x14ac:dyDescent="0.25">
      <c r="B274" s="51"/>
      <c r="C274" s="70" t="str">
        <f ca="1"/>
        <v>46211/D|BR1/03</v>
      </c>
      <c r="D274" s="52" t="str">
        <f ca="1"/>
        <v>STM-A40_0131</v>
      </c>
      <c r="E274" s="52" t="str">
        <f ca="1"/>
        <v>LIM</v>
      </c>
      <c r="F274" s="52" t="str">
        <f ca="1"/>
        <v>LS_09</v>
      </c>
      <c r="G274" s="52" t="str">
        <f ca="1"/>
        <v>L9_26</v>
      </c>
      <c r="H274" s="52" t="str">
        <f ca="1"/>
        <v>002 / 023</v>
      </c>
      <c r="I274" s="52" t="str">
        <f ca="1"/>
        <v>No</v>
      </c>
      <c r="J274" s="52" t="str">
        <f ca="1"/>
        <v/>
      </c>
      <c r="K274" s="51" t="str">
        <f ca="1"/>
        <v/>
      </c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</row>
    <row r="275" spans="2:25" x14ac:dyDescent="0.25">
      <c r="B275" s="51"/>
      <c r="C275" s="70" t="str">
        <f ca="1"/>
        <v>46211/D|BR1/03</v>
      </c>
      <c r="D275" s="52" t="str">
        <f ca="1"/>
        <v>STM-A40_0095</v>
      </c>
      <c r="E275" s="52" t="str">
        <f ca="1"/>
        <v>LIM</v>
      </c>
      <c r="F275" s="52" t="str">
        <f ca="1"/>
        <v>LS_09</v>
      </c>
      <c r="G275" s="52" t="str">
        <f ca="1"/>
        <v>L9_26</v>
      </c>
      <c r="H275" s="52" t="str">
        <f ca="1"/>
        <v>002 / 024</v>
      </c>
      <c r="I275" s="52" t="str">
        <f ca="1"/>
        <v>No</v>
      </c>
      <c r="J275" s="52" t="str">
        <f ca="1"/>
        <v/>
      </c>
      <c r="K275" s="51" t="str">
        <f ca="1"/>
        <v/>
      </c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</row>
    <row r="276" spans="2:25" x14ac:dyDescent="0.25">
      <c r="B276" s="51"/>
      <c r="C276" s="70" t="str">
        <f ca="1"/>
        <v>46211/D|BR1/03</v>
      </c>
      <c r="D276" s="52" t="str">
        <f ca="1"/>
        <v>STM-A40_0135</v>
      </c>
      <c r="E276" s="52" t="str">
        <f ca="1"/>
        <v>LIM</v>
      </c>
      <c r="F276" s="52" t="str">
        <f ca="1"/>
        <v>LS_09</v>
      </c>
      <c r="G276" s="52" t="str">
        <f ca="1"/>
        <v>L9_26</v>
      </c>
      <c r="H276" s="52" t="str">
        <f ca="1"/>
        <v>002 / 025</v>
      </c>
      <c r="I276" s="52" t="str">
        <f ca="1"/>
        <v>Yes</v>
      </c>
      <c r="J276" s="52" t="str">
        <f ca="1"/>
        <v/>
      </c>
      <c r="K276" s="51" t="str">
        <f ca="1"/>
        <v/>
      </c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</row>
    <row r="277" spans="2:25" x14ac:dyDescent="0.25">
      <c r="B277" s="51"/>
      <c r="C277" s="70" t="str">
        <f ca="1"/>
        <v>46211/D|BR1/03</v>
      </c>
      <c r="D277" s="52" t="str">
        <f ca="1"/>
        <v>STM-A40_0103</v>
      </c>
      <c r="E277" s="52" t="str">
        <f ca="1"/>
        <v>LIM</v>
      </c>
      <c r="F277" s="52" t="str">
        <f ca="1"/>
        <v>LS_09</v>
      </c>
      <c r="G277" s="52" t="str">
        <f ca="1"/>
        <v>L9_26</v>
      </c>
      <c r="H277" s="52" t="str">
        <f ca="1"/>
        <v>002 / 026</v>
      </c>
      <c r="I277" s="52" t="str">
        <f ca="1"/>
        <v>No</v>
      </c>
      <c r="J277" s="52" t="str">
        <f ca="1"/>
        <v/>
      </c>
      <c r="K277" s="51" t="str">
        <f ca="1"/>
        <v/>
      </c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</row>
    <row r="278" spans="2:25" x14ac:dyDescent="0.25">
      <c r="B278" s="51"/>
      <c r="C278" s="70" t="str">
        <f ca="1"/>
        <v>46211/D|BR1/03</v>
      </c>
      <c r="D278" s="52" t="str">
        <f ca="1"/>
        <v>STM-A40_0096</v>
      </c>
      <c r="E278" s="52" t="str">
        <f ca="1"/>
        <v>LIM</v>
      </c>
      <c r="F278" s="52" t="str">
        <f ca="1"/>
        <v>LS_09</v>
      </c>
      <c r="G278" s="52" t="str">
        <f ca="1"/>
        <v>L9_26</v>
      </c>
      <c r="H278" s="52" t="str">
        <f ca="1"/>
        <v>002 / 027</v>
      </c>
      <c r="I278" s="52" t="str">
        <f ca="1"/>
        <v>No</v>
      </c>
      <c r="J278" s="52" t="str">
        <f ca="1"/>
        <v/>
      </c>
      <c r="K278" s="51" t="str">
        <f ca="1"/>
        <v/>
      </c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</row>
    <row r="279" spans="2:25" x14ac:dyDescent="0.25">
      <c r="B279" s="51"/>
      <c r="C279" s="70" t="str">
        <f ca="1"/>
        <v>46211/D|BR1/03</v>
      </c>
      <c r="D279" s="52" t="str">
        <f ca="1"/>
        <v>STM-A40_0095</v>
      </c>
      <c r="E279" s="52" t="str">
        <f ca="1"/>
        <v>LIM</v>
      </c>
      <c r="F279" s="52" t="str">
        <f ca="1"/>
        <v>LS_09</v>
      </c>
      <c r="G279" s="52" t="str">
        <f ca="1"/>
        <v>L9_26</v>
      </c>
      <c r="H279" s="52" t="str">
        <f ca="1"/>
        <v>002 / 028</v>
      </c>
      <c r="I279" s="52" t="str">
        <f ca="1"/>
        <v>No</v>
      </c>
      <c r="J279" s="52" t="str">
        <f ca="1"/>
        <v/>
      </c>
      <c r="K279" s="51" t="str">
        <f ca="1"/>
        <v/>
      </c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</row>
    <row r="280" spans="2:25" x14ac:dyDescent="0.25">
      <c r="B280" s="51"/>
      <c r="C280" s="70" t="str">
        <f ca="1"/>
        <v>46211/D|BR1/03</v>
      </c>
      <c r="D280" s="52" t="str">
        <f ca="1"/>
        <v>STM-A40_0103</v>
      </c>
      <c r="E280" s="52" t="str">
        <f ca="1"/>
        <v>LIM</v>
      </c>
      <c r="F280" s="52" t="str">
        <f ca="1"/>
        <v>LS_09</v>
      </c>
      <c r="G280" s="52" t="str">
        <f ca="1"/>
        <v>L9_26</v>
      </c>
      <c r="H280" s="52" t="str">
        <f ca="1"/>
        <v>002 / 029</v>
      </c>
      <c r="I280" s="52" t="str">
        <f ca="1"/>
        <v>No</v>
      </c>
      <c r="J280" s="52" t="str">
        <f ca="1"/>
        <v/>
      </c>
      <c r="K280" s="51" t="str">
        <f ca="1"/>
        <v/>
      </c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</row>
    <row r="281" spans="2:25" x14ac:dyDescent="0.25">
      <c r="B281" s="51"/>
      <c r="C281" s="70" t="str">
        <f ca="1"/>
        <v>46211/D|BR1/03</v>
      </c>
      <c r="D281" s="52" t="str">
        <f ca="1"/>
        <v>STM-A40_0131</v>
      </c>
      <c r="E281" s="52" t="str">
        <f ca="1"/>
        <v>LIM</v>
      </c>
      <c r="F281" s="52" t="str">
        <f ca="1"/>
        <v>LS_09</v>
      </c>
      <c r="G281" s="52" t="str">
        <f ca="1"/>
        <v>L9_26</v>
      </c>
      <c r="H281" s="52" t="str">
        <f ca="1"/>
        <v>002 / 030</v>
      </c>
      <c r="I281" s="52" t="str">
        <f ca="1"/>
        <v>Yes</v>
      </c>
      <c r="J281" s="52" t="str">
        <f ca="1"/>
        <v/>
      </c>
      <c r="K281" s="51" t="str">
        <f ca="1"/>
        <v/>
      </c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</row>
    <row r="282" spans="2:25" x14ac:dyDescent="0.25">
      <c r="B282" s="51"/>
      <c r="C282" s="70" t="str">
        <f ca="1"/>
        <v>46211/D|BR1/03</v>
      </c>
      <c r="D282" s="52" t="str">
        <f ca="1"/>
        <v>STM-A40_0095</v>
      </c>
      <c r="E282" s="52" t="str">
        <f ca="1"/>
        <v>LIM</v>
      </c>
      <c r="F282" s="52" t="str">
        <f ca="1"/>
        <v>LS_09</v>
      </c>
      <c r="G282" s="52" t="str">
        <f ca="1"/>
        <v>L9_26</v>
      </c>
      <c r="H282" s="52" t="str">
        <f ca="1"/>
        <v>002 / 031</v>
      </c>
      <c r="I282" s="52" t="str">
        <f ca="1"/>
        <v>No</v>
      </c>
      <c r="J282" s="52" t="str">
        <f ca="1"/>
        <v/>
      </c>
      <c r="K282" s="51" t="str">
        <f ca="1"/>
        <v/>
      </c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</row>
    <row r="283" spans="2:25" x14ac:dyDescent="0.25">
      <c r="B283" s="51"/>
      <c r="C283" s="70" t="str">
        <f ca="1"/>
        <v>46211/D|BR1/03</v>
      </c>
      <c r="D283" s="52" t="str">
        <f ca="1"/>
        <v>STM-A40_0096</v>
      </c>
      <c r="E283" s="52" t="str">
        <f ca="1"/>
        <v>LIM</v>
      </c>
      <c r="F283" s="52" t="str">
        <f ca="1"/>
        <v>LS_09</v>
      </c>
      <c r="G283" s="52" t="str">
        <f ca="1"/>
        <v>L9_26</v>
      </c>
      <c r="H283" s="52" t="str">
        <f ca="1"/>
        <v>002 / 032</v>
      </c>
      <c r="I283" s="52" t="str">
        <f ca="1"/>
        <v>No</v>
      </c>
      <c r="J283" s="52" t="str">
        <f ca="1"/>
        <v/>
      </c>
      <c r="K283" s="51" t="str">
        <f ca="1"/>
        <v/>
      </c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</row>
    <row r="284" spans="2:25" x14ac:dyDescent="0.25">
      <c r="B284" s="51"/>
      <c r="C284" s="70" t="str">
        <f ca="1"/>
        <v>46211/D|BR1/03</v>
      </c>
      <c r="D284" s="52" t="str">
        <f ca="1"/>
        <v>STM-A40_0135</v>
      </c>
      <c r="E284" s="52" t="str">
        <f ca="1"/>
        <v>LIM</v>
      </c>
      <c r="F284" s="52" t="str">
        <f ca="1"/>
        <v>LS_09</v>
      </c>
      <c r="G284" s="52" t="str">
        <f ca="1"/>
        <v>L9_26</v>
      </c>
      <c r="H284" s="52" t="str">
        <f ca="1"/>
        <v>002 / 033</v>
      </c>
      <c r="I284" s="52" t="str">
        <f ca="1"/>
        <v>No</v>
      </c>
      <c r="J284" s="52" t="str">
        <f ca="1"/>
        <v/>
      </c>
      <c r="K284" s="51" t="str">
        <f ca="1"/>
        <v/>
      </c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</row>
    <row r="285" spans="2:25" x14ac:dyDescent="0.25">
      <c r="B285" s="51"/>
      <c r="C285" s="70" t="str">
        <f ca="1"/>
        <v>46211/D|BR1/03</v>
      </c>
      <c r="D285" s="52" t="str">
        <f ca="1"/>
        <v>STM-A40_0103</v>
      </c>
      <c r="E285" s="52" t="str">
        <f ca="1"/>
        <v>LIM</v>
      </c>
      <c r="F285" s="52" t="str">
        <f ca="1"/>
        <v>LS_09</v>
      </c>
      <c r="G285" s="52" t="str">
        <f ca="1"/>
        <v>L9_26</v>
      </c>
      <c r="H285" s="52" t="str">
        <f ca="1"/>
        <v>002 / 034</v>
      </c>
      <c r="I285" s="52" t="str">
        <f ca="1"/>
        <v>No</v>
      </c>
      <c r="J285" s="52" t="str">
        <f ca="1"/>
        <v/>
      </c>
      <c r="K285" s="51" t="str">
        <f ca="1"/>
        <v/>
      </c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</row>
    <row r="286" spans="2:25" x14ac:dyDescent="0.25">
      <c r="B286" s="51"/>
      <c r="C286" s="70" t="str">
        <f ca="1"/>
        <v>46211/D|BR1/03</v>
      </c>
      <c r="D286" s="52" t="str">
        <f ca="1"/>
        <v>STM-A40_0131</v>
      </c>
      <c r="E286" s="52" t="str">
        <f ca="1"/>
        <v>LIM</v>
      </c>
      <c r="F286" s="52" t="str">
        <f ca="1"/>
        <v>LS_09</v>
      </c>
      <c r="G286" s="52" t="str">
        <f ca="1"/>
        <v>L9_26</v>
      </c>
      <c r="H286" s="52" t="str">
        <f ca="1"/>
        <v>002 / 035</v>
      </c>
      <c r="I286" s="52" t="str">
        <f ca="1"/>
        <v>Yes</v>
      </c>
      <c r="J286" s="52" t="str">
        <f ca="1"/>
        <v/>
      </c>
      <c r="K286" s="51" t="str">
        <f ca="1"/>
        <v/>
      </c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</row>
    <row r="287" spans="2:25" x14ac:dyDescent="0.25">
      <c r="B287" s="51"/>
      <c r="C287" s="70" t="str">
        <f ca="1"/>
        <v>46211/D|BR1/03</v>
      </c>
      <c r="D287" s="52" t="str">
        <f ca="1"/>
        <v>STM-A40_0095</v>
      </c>
      <c r="E287" s="52" t="str">
        <f ca="1"/>
        <v>LIM</v>
      </c>
      <c r="F287" s="52" t="str">
        <f ca="1"/>
        <v>LS_09</v>
      </c>
      <c r="G287" s="52" t="str">
        <f ca="1"/>
        <v>L9_26</v>
      </c>
      <c r="H287" s="52" t="str">
        <f ca="1"/>
        <v>002 / 036</v>
      </c>
      <c r="I287" s="52" t="str">
        <f ca="1"/>
        <v>No</v>
      </c>
      <c r="J287" s="52" t="str">
        <f ca="1"/>
        <v/>
      </c>
      <c r="K287" s="51" t="str">
        <f ca="1"/>
        <v/>
      </c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</row>
    <row r="288" spans="2:25" x14ac:dyDescent="0.25">
      <c r="B288" s="51"/>
      <c r="C288" s="70" t="str">
        <f ca="1"/>
        <v>46211/D|BR1/03</v>
      </c>
      <c r="D288" s="52" t="str">
        <f ca="1"/>
        <v>STM-A40_0103</v>
      </c>
      <c r="E288" s="52" t="str">
        <f ca="1"/>
        <v>LIM</v>
      </c>
      <c r="F288" s="52" t="str">
        <f ca="1"/>
        <v>LS_09</v>
      </c>
      <c r="G288" s="52" t="str">
        <f ca="1"/>
        <v>L9_26</v>
      </c>
      <c r="H288" s="52" t="str">
        <f ca="1"/>
        <v>002 / 037</v>
      </c>
      <c r="I288" s="52" t="str">
        <f ca="1"/>
        <v>No</v>
      </c>
      <c r="J288" s="52" t="str">
        <f ca="1"/>
        <v/>
      </c>
      <c r="K288" s="51" t="str">
        <f ca="1"/>
        <v/>
      </c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</row>
    <row r="289" spans="2:25" x14ac:dyDescent="0.25">
      <c r="B289" s="51"/>
      <c r="C289" s="70" t="str">
        <f ca="1"/>
        <v>46211/D|BR1/03</v>
      </c>
      <c r="D289" s="52" t="str">
        <f ca="1"/>
        <v>STM-A40_0135</v>
      </c>
      <c r="E289" s="52" t="str">
        <f ca="1"/>
        <v>LIM</v>
      </c>
      <c r="F289" s="52" t="str">
        <f ca="1"/>
        <v>LS_09</v>
      </c>
      <c r="G289" s="52" t="str">
        <f ca="1"/>
        <v>L9_26</v>
      </c>
      <c r="H289" s="52" t="str">
        <f ca="1"/>
        <v>002 / 038</v>
      </c>
      <c r="I289" s="52" t="str">
        <f ca="1"/>
        <v>No</v>
      </c>
      <c r="J289" s="52" t="str">
        <f ca="1"/>
        <v/>
      </c>
      <c r="K289" s="51" t="str">
        <f ca="1"/>
        <v/>
      </c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</row>
    <row r="290" spans="2:25" x14ac:dyDescent="0.25">
      <c r="B290" s="51"/>
      <c r="C290" s="70" t="str">
        <f ca="1"/>
        <v>46211/D|BR1/03</v>
      </c>
      <c r="D290" s="52" t="str">
        <f ca="1"/>
        <v>STM-A40_0096</v>
      </c>
      <c r="E290" s="52" t="str">
        <f ca="1"/>
        <v>LIM</v>
      </c>
      <c r="F290" s="52" t="str">
        <f ca="1"/>
        <v>LS_09</v>
      </c>
      <c r="G290" s="52" t="str">
        <f ca="1"/>
        <v>L9_26</v>
      </c>
      <c r="H290" s="52" t="str">
        <f ca="1"/>
        <v>002 / 039</v>
      </c>
      <c r="I290" s="52" t="str">
        <f ca="1"/>
        <v>No</v>
      </c>
      <c r="J290" s="52" t="str">
        <f ca="1"/>
        <v/>
      </c>
      <c r="K290" s="51" t="str">
        <f ca="1"/>
        <v/>
      </c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</row>
    <row r="291" spans="2:25" x14ac:dyDescent="0.25">
      <c r="B291" s="51"/>
      <c r="C291" s="70" t="str">
        <f ca="1"/>
        <v>46211/D|BR1/03</v>
      </c>
      <c r="D291" s="52" t="str">
        <f ca="1"/>
        <v>STM-A40_0131</v>
      </c>
      <c r="E291" s="52" t="str">
        <f ca="1"/>
        <v>LIM</v>
      </c>
      <c r="F291" s="52" t="str">
        <f ca="1"/>
        <v>LS_09</v>
      </c>
      <c r="G291" s="52" t="str">
        <f ca="1"/>
        <v>L9_26</v>
      </c>
      <c r="H291" s="52" t="str">
        <f ca="1"/>
        <v>002 / 040</v>
      </c>
      <c r="I291" s="52" t="str">
        <f ca="1"/>
        <v>Yes</v>
      </c>
      <c r="J291" s="52" t="str">
        <f ca="1"/>
        <v/>
      </c>
      <c r="K291" s="51" t="str">
        <f ca="1"/>
        <v/>
      </c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</row>
    <row r="292" spans="2:25" x14ac:dyDescent="0.25">
      <c r="B292" s="51"/>
      <c r="C292" s="70" t="str">
        <f ca="1"/>
        <v>46211/D|BR1/03</v>
      </c>
      <c r="D292" s="52" t="str">
        <f ca="1"/>
        <v>STM-A40_0095</v>
      </c>
      <c r="E292" s="52" t="str">
        <f ca="1"/>
        <v>LIM</v>
      </c>
      <c r="F292" s="52" t="str">
        <f ca="1"/>
        <v>LS_09</v>
      </c>
      <c r="G292" s="52" t="str">
        <f ca="1"/>
        <v>L9_26</v>
      </c>
      <c r="H292" s="52" t="str">
        <f ca="1"/>
        <v>002 / 041</v>
      </c>
      <c r="I292" s="52" t="str">
        <f ca="1"/>
        <v>No</v>
      </c>
      <c r="J292" s="52" t="str">
        <f ca="1"/>
        <v/>
      </c>
      <c r="K292" s="51" t="str">
        <f ca="1"/>
        <v/>
      </c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</row>
    <row r="293" spans="2:25" x14ac:dyDescent="0.25">
      <c r="B293" s="51"/>
      <c r="C293" s="70" t="str">
        <f ca="1"/>
        <v>46211/D|BR1/03</v>
      </c>
      <c r="D293" s="52" t="str">
        <f ca="1"/>
        <v>STM-A40_0135</v>
      </c>
      <c r="E293" s="52" t="str">
        <f ca="1"/>
        <v>LIM</v>
      </c>
      <c r="F293" s="52" t="str">
        <f ca="1"/>
        <v>LS_09</v>
      </c>
      <c r="G293" s="52" t="str">
        <f ca="1"/>
        <v>L9_26</v>
      </c>
      <c r="H293" s="52" t="str">
        <f ca="1"/>
        <v>002 / 042</v>
      </c>
      <c r="I293" s="52" t="str">
        <f ca="1"/>
        <v>No</v>
      </c>
      <c r="J293" s="52" t="str">
        <f ca="1"/>
        <v/>
      </c>
      <c r="K293" s="51" t="str">
        <f ca="1"/>
        <v/>
      </c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</row>
    <row r="294" spans="2:25" x14ac:dyDescent="0.25">
      <c r="B294" s="51"/>
      <c r="C294" s="70" t="str">
        <f ca="1"/>
        <v>46211/D|BR1/03</v>
      </c>
      <c r="D294" s="52" t="str">
        <f ca="1"/>
        <v>STM-A40_0096</v>
      </c>
      <c r="E294" s="52" t="str">
        <f ca="1"/>
        <v>LIM</v>
      </c>
      <c r="F294" s="52" t="str">
        <f ca="1"/>
        <v>LS_09</v>
      </c>
      <c r="G294" s="52" t="str">
        <f ca="1"/>
        <v>L9_26</v>
      </c>
      <c r="H294" s="52" t="str">
        <f ca="1"/>
        <v>002 / 043</v>
      </c>
      <c r="I294" s="52" t="str">
        <f ca="1"/>
        <v>No</v>
      </c>
      <c r="J294" s="52" t="str">
        <f ca="1"/>
        <v/>
      </c>
      <c r="K294" s="51" t="str">
        <f ca="1"/>
        <v/>
      </c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</row>
    <row r="295" spans="2:25" x14ac:dyDescent="0.25">
      <c r="B295" s="51"/>
      <c r="C295" s="70" t="str">
        <f ca="1"/>
        <v>46211/D|BR1/03</v>
      </c>
      <c r="D295" s="52" t="str">
        <f ca="1"/>
        <v>STM-A40_0103</v>
      </c>
      <c r="E295" s="52" t="str">
        <f ca="1"/>
        <v>LIM</v>
      </c>
      <c r="F295" s="52" t="str">
        <f ca="1"/>
        <v>LS_09</v>
      </c>
      <c r="G295" s="52" t="str">
        <f ca="1"/>
        <v>L9_26</v>
      </c>
      <c r="H295" s="52" t="str">
        <f ca="1"/>
        <v>002 / 044</v>
      </c>
      <c r="I295" s="52" t="str">
        <f ca="1"/>
        <v>No</v>
      </c>
      <c r="J295" s="52" t="str">
        <f ca="1"/>
        <v/>
      </c>
      <c r="K295" s="51" t="str">
        <f ca="1"/>
        <v/>
      </c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</row>
    <row r="296" spans="2:25" x14ac:dyDescent="0.25">
      <c r="B296" s="51"/>
      <c r="C296" s="70" t="str">
        <f ca="1"/>
        <v>46211/D|BR1/03</v>
      </c>
      <c r="D296" s="52" t="str">
        <f ca="1"/>
        <v>STM-A40_0131</v>
      </c>
      <c r="E296" s="52" t="str">
        <f ca="1"/>
        <v>LIM</v>
      </c>
      <c r="F296" s="52" t="str">
        <f ca="1"/>
        <v>LS_09</v>
      </c>
      <c r="G296" s="52" t="str">
        <f ca="1"/>
        <v>L9_26</v>
      </c>
      <c r="H296" s="52" t="str">
        <f ca="1"/>
        <v>002 / 045</v>
      </c>
      <c r="I296" s="52" t="str">
        <f ca="1"/>
        <v>Yes</v>
      </c>
      <c r="J296" s="52" t="str">
        <f ca="1"/>
        <v/>
      </c>
      <c r="K296" s="51" t="str">
        <f ca="1"/>
        <v/>
      </c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</row>
    <row r="297" spans="2:25" x14ac:dyDescent="0.25">
      <c r="B297" s="51"/>
      <c r="C297" s="70" t="str">
        <f ca="1"/>
        <v>46211/D|BR1/03</v>
      </c>
      <c r="D297" s="52" t="str">
        <f ca="1"/>
        <v>STM-A40_0095</v>
      </c>
      <c r="E297" s="52" t="str">
        <f ca="1"/>
        <v>LIM</v>
      </c>
      <c r="F297" s="52" t="str">
        <f ca="1"/>
        <v>LS_09</v>
      </c>
      <c r="G297" s="52" t="str">
        <f ca="1"/>
        <v>L9_26</v>
      </c>
      <c r="H297" s="52" t="str">
        <f ca="1"/>
        <v>002 / 046</v>
      </c>
      <c r="I297" s="52" t="str">
        <f ca="1"/>
        <v>No</v>
      </c>
      <c r="J297" s="52" t="str">
        <f ca="1"/>
        <v/>
      </c>
      <c r="K297" s="51" t="str">
        <f ca="1"/>
        <v/>
      </c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</row>
    <row r="298" spans="2:25" x14ac:dyDescent="0.25">
      <c r="B298" s="51"/>
      <c r="C298" s="70" t="str">
        <f ca="1"/>
        <v>46211/D|BR1/03</v>
      </c>
      <c r="D298" s="52" t="str">
        <f ca="1"/>
        <v>STM-A40_0135</v>
      </c>
      <c r="E298" s="52" t="str">
        <f ca="1"/>
        <v>LIM</v>
      </c>
      <c r="F298" s="52" t="str">
        <f ca="1"/>
        <v>LS_09</v>
      </c>
      <c r="G298" s="52" t="str">
        <f ca="1"/>
        <v>L9_26</v>
      </c>
      <c r="H298" s="52" t="str">
        <f ca="1"/>
        <v>002 / 047</v>
      </c>
      <c r="I298" s="52" t="str">
        <f ca="1"/>
        <v>No</v>
      </c>
      <c r="J298" s="52" t="str">
        <f ca="1"/>
        <v/>
      </c>
      <c r="K298" s="51" t="str">
        <f ca="1"/>
        <v/>
      </c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</row>
    <row r="299" spans="2:25" x14ac:dyDescent="0.25">
      <c r="B299" s="51"/>
      <c r="C299" s="70" t="str">
        <f ca="1"/>
        <v>46211/D|BR1/03</v>
      </c>
      <c r="D299" s="52" t="str">
        <f ca="1"/>
        <v>STM-A40_0103</v>
      </c>
      <c r="E299" s="52" t="str">
        <f ca="1"/>
        <v>LIM</v>
      </c>
      <c r="F299" s="52" t="str">
        <f ca="1"/>
        <v>LS_09</v>
      </c>
      <c r="G299" s="52" t="str">
        <f ca="1"/>
        <v>L9_26</v>
      </c>
      <c r="H299" s="52" t="str">
        <f ca="1"/>
        <v>002 / 048</v>
      </c>
      <c r="I299" s="52" t="str">
        <f ca="1"/>
        <v>No</v>
      </c>
      <c r="J299" s="52" t="str">
        <f ca="1"/>
        <v/>
      </c>
      <c r="K299" s="51" t="str">
        <f ca="1"/>
        <v/>
      </c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</row>
    <row r="300" spans="2:25" x14ac:dyDescent="0.25">
      <c r="B300" s="51"/>
      <c r="C300" s="70" t="str">
        <f ca="1"/>
        <v>46211/D|BR1/03</v>
      </c>
      <c r="D300" s="52" t="str">
        <f ca="1"/>
        <v>STM-A40_0131</v>
      </c>
      <c r="E300" s="52" t="str">
        <f ca="1"/>
        <v>LIM</v>
      </c>
      <c r="F300" s="52" t="str">
        <f ca="1"/>
        <v>LS_09</v>
      </c>
      <c r="G300" s="52" t="str">
        <f ca="1"/>
        <v>L9_26</v>
      </c>
      <c r="H300" s="52" t="str">
        <f ca="1"/>
        <v>002 / 049</v>
      </c>
      <c r="I300" s="52" t="str">
        <f ca="1"/>
        <v>No</v>
      </c>
      <c r="J300" s="52" t="str">
        <f ca="1"/>
        <v/>
      </c>
      <c r="K300" s="51" t="str">
        <f ca="1"/>
        <v/>
      </c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</row>
    <row r="301" spans="2:25" x14ac:dyDescent="0.25">
      <c r="B301" s="51"/>
      <c r="C301" s="70" t="str">
        <f ca="1"/>
        <v>46211/D|BR1/03</v>
      </c>
      <c r="D301" s="52" t="str">
        <f ca="1"/>
        <v>STM-A40_0103</v>
      </c>
      <c r="E301" s="52" t="str">
        <f ca="1"/>
        <v>LIM</v>
      </c>
      <c r="F301" s="52" t="str">
        <f ca="1"/>
        <v>LS_09</v>
      </c>
      <c r="G301" s="52" t="str">
        <f ca="1"/>
        <v>L9_26</v>
      </c>
      <c r="H301" s="52" t="str">
        <f ca="1"/>
        <v>002 / 050</v>
      </c>
      <c r="I301" s="52" t="str">
        <f ca="1"/>
        <v>Yes</v>
      </c>
      <c r="J301" s="52" t="str">
        <f ca="1"/>
        <v/>
      </c>
      <c r="K301" s="51" t="str">
        <f ca="1"/>
        <v/>
      </c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</row>
    <row r="302" spans="2:25" x14ac:dyDescent="0.25">
      <c r="B302" s="51"/>
      <c r="C302" s="70" t="str">
        <f ca="1"/>
        <v>46211/D|BR1/03</v>
      </c>
      <c r="D302" s="52" t="str">
        <f ca="1"/>
        <v>STM-A40_0096</v>
      </c>
      <c r="E302" s="52" t="str">
        <f ca="1"/>
        <v>LIM</v>
      </c>
      <c r="F302" s="52" t="str">
        <f ca="1"/>
        <v>LS_09</v>
      </c>
      <c r="G302" s="52" t="str">
        <f ca="1"/>
        <v>L9_26</v>
      </c>
      <c r="H302" s="52" t="str">
        <f ca="1"/>
        <v>002 / 051</v>
      </c>
      <c r="I302" s="52" t="str">
        <f ca="1"/>
        <v>No</v>
      </c>
      <c r="J302" s="52" t="str">
        <f ca="1"/>
        <v/>
      </c>
      <c r="K302" s="51" t="str">
        <f ca="1"/>
        <v/>
      </c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</row>
    <row r="303" spans="2:25" x14ac:dyDescent="0.25">
      <c r="B303" s="51"/>
      <c r="C303" s="70" t="str">
        <f ca="1"/>
        <v>46211/D|BR1/03</v>
      </c>
      <c r="D303" s="52" t="str">
        <f ca="1"/>
        <v>STM-A40_0131</v>
      </c>
      <c r="E303" s="52" t="str">
        <f ca="1"/>
        <v>LIM</v>
      </c>
      <c r="F303" s="52" t="str">
        <f ca="1"/>
        <v>LS_09</v>
      </c>
      <c r="G303" s="52" t="str">
        <f ca="1"/>
        <v>L9_26</v>
      </c>
      <c r="H303" s="52" t="str">
        <f ca="1"/>
        <v>002 / 052</v>
      </c>
      <c r="I303" s="52" t="str">
        <f ca="1"/>
        <v>No</v>
      </c>
      <c r="J303" s="52" t="str">
        <f ca="1"/>
        <v/>
      </c>
      <c r="K303" s="51" t="str">
        <f ca="1"/>
        <v/>
      </c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</row>
    <row r="304" spans="2:25" x14ac:dyDescent="0.25">
      <c r="B304" s="51"/>
      <c r="C304" s="70" t="str">
        <f ca="1"/>
        <v>46211/D|BR1/03</v>
      </c>
      <c r="D304" s="52" t="str">
        <f ca="1"/>
        <v>STM-A40_0135</v>
      </c>
      <c r="E304" s="52" t="str">
        <f ca="1"/>
        <v>LIM</v>
      </c>
      <c r="F304" s="52" t="str">
        <f ca="1"/>
        <v>LS_09</v>
      </c>
      <c r="G304" s="52" t="str">
        <f ca="1"/>
        <v>L9_26</v>
      </c>
      <c r="H304" s="52" t="str">
        <f ca="1"/>
        <v>002 / 053</v>
      </c>
      <c r="I304" s="52" t="str">
        <f ca="1"/>
        <v>No</v>
      </c>
      <c r="J304" s="52" t="str">
        <f ca="1"/>
        <v/>
      </c>
      <c r="K304" s="51" t="str">
        <f ca="1"/>
        <v/>
      </c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</row>
    <row r="305" spans="2:25" x14ac:dyDescent="0.25">
      <c r="B305" s="51"/>
      <c r="C305" s="70" t="str">
        <f ca="1"/>
        <v>46211/D|BR1/03</v>
      </c>
      <c r="D305" s="52" t="str">
        <f ca="1"/>
        <v>STM-A40_0103</v>
      </c>
      <c r="E305" s="52" t="str">
        <f ca="1"/>
        <v>LIM</v>
      </c>
      <c r="F305" s="52" t="str">
        <f ca="1"/>
        <v>LS_09</v>
      </c>
      <c r="G305" s="52" t="str">
        <f ca="1"/>
        <v>L9_26</v>
      </c>
      <c r="H305" s="52" t="str">
        <f ca="1"/>
        <v>002 / 054</v>
      </c>
      <c r="I305" s="52" t="str">
        <f ca="1"/>
        <v>No</v>
      </c>
      <c r="J305" s="52" t="str">
        <f ca="1"/>
        <v/>
      </c>
      <c r="K305" s="51" t="str">
        <f ca="1"/>
        <v/>
      </c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</row>
    <row r="306" spans="2:25" x14ac:dyDescent="0.25">
      <c r="B306" s="51"/>
      <c r="C306" s="70" t="str">
        <f ca="1"/>
        <v>46211/D|BR1/03</v>
      </c>
      <c r="D306" s="52" t="str">
        <f ca="1"/>
        <v>STM-A40_0095</v>
      </c>
      <c r="E306" s="52" t="str">
        <f ca="1"/>
        <v>LIM</v>
      </c>
      <c r="F306" s="52" t="str">
        <f ca="1"/>
        <v>LS_09</v>
      </c>
      <c r="G306" s="52" t="str">
        <f ca="1"/>
        <v>L9_26</v>
      </c>
      <c r="H306" s="52" t="str">
        <f ca="1"/>
        <v>002 / 055</v>
      </c>
      <c r="I306" s="52" t="str">
        <f ca="1"/>
        <v>Yes</v>
      </c>
      <c r="J306" s="52" t="str">
        <f ca="1"/>
        <v/>
      </c>
      <c r="K306" s="51" t="str">
        <f ca="1"/>
        <v/>
      </c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</row>
    <row r="307" spans="2:25" x14ac:dyDescent="0.25">
      <c r="B307" s="51"/>
      <c r="C307" s="70" t="str">
        <f ca="1"/>
        <v>46211/D|BR1/03</v>
      </c>
      <c r="D307" s="52" t="str">
        <f ca="1"/>
        <v>STM-A40_0096</v>
      </c>
      <c r="E307" s="52" t="str">
        <f ca="1"/>
        <v>LIM</v>
      </c>
      <c r="F307" s="52" t="str">
        <f ca="1"/>
        <v>LS_09</v>
      </c>
      <c r="G307" s="52" t="str">
        <f ca="1"/>
        <v>L9_26</v>
      </c>
      <c r="H307" s="52" t="str">
        <f ca="1"/>
        <v>002 / 056</v>
      </c>
      <c r="I307" s="52" t="str">
        <f ca="1"/>
        <v>No</v>
      </c>
      <c r="J307" s="52" t="str">
        <f ca="1"/>
        <v/>
      </c>
      <c r="K307" s="51" t="str">
        <f ca="1"/>
        <v/>
      </c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</row>
    <row r="308" spans="2:25" x14ac:dyDescent="0.25">
      <c r="B308" s="51"/>
      <c r="C308" s="70" t="str">
        <f ca="1"/>
        <v>46211/D|BR1/03</v>
      </c>
      <c r="D308" s="52" t="str">
        <f ca="1"/>
        <v>STM-A40_0131</v>
      </c>
      <c r="E308" s="52" t="str">
        <f ca="1"/>
        <v>LIM</v>
      </c>
      <c r="F308" s="52" t="str">
        <f ca="1"/>
        <v>LS_09</v>
      </c>
      <c r="G308" s="52" t="str">
        <f ca="1"/>
        <v>L9_26</v>
      </c>
      <c r="H308" s="52" t="str">
        <f ca="1"/>
        <v>002 / 057</v>
      </c>
      <c r="I308" s="52" t="str">
        <f ca="1"/>
        <v>No</v>
      </c>
      <c r="J308" s="52" t="str">
        <f ca="1"/>
        <v/>
      </c>
      <c r="K308" s="51" t="str">
        <f ca="1"/>
        <v/>
      </c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</row>
    <row r="309" spans="2:25" x14ac:dyDescent="0.25">
      <c r="B309" s="51"/>
      <c r="C309" s="70" t="str">
        <f ca="1"/>
        <v>46211/D|BR1/03</v>
      </c>
      <c r="D309" s="52" t="str">
        <f ca="1"/>
        <v>STM-A40_0095</v>
      </c>
      <c r="E309" s="52" t="str">
        <f ca="1"/>
        <v>LIM</v>
      </c>
      <c r="F309" s="52" t="str">
        <f ca="1"/>
        <v>LS_09</v>
      </c>
      <c r="G309" s="52" t="str">
        <f ca="1"/>
        <v>L9_26</v>
      </c>
      <c r="H309" s="52" t="str">
        <f ca="1"/>
        <v>002 / 058</v>
      </c>
      <c r="I309" s="52" t="str">
        <f ca="1"/>
        <v>No</v>
      </c>
      <c r="J309" s="52" t="str">
        <f ca="1"/>
        <v/>
      </c>
      <c r="K309" s="51" t="str">
        <f ca="1"/>
        <v/>
      </c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</row>
    <row r="310" spans="2:25" x14ac:dyDescent="0.25">
      <c r="B310" s="51"/>
      <c r="C310" s="70" t="str">
        <f ca="1"/>
        <v>46211/D|BR1/03</v>
      </c>
      <c r="D310" s="52" t="str">
        <f ca="1"/>
        <v>STM-A40_0135</v>
      </c>
      <c r="E310" s="52" t="str">
        <f ca="1"/>
        <v>LIM</v>
      </c>
      <c r="F310" s="52" t="str">
        <f ca="1"/>
        <v>LS_09</v>
      </c>
      <c r="G310" s="52" t="str">
        <f ca="1"/>
        <v>L9_26</v>
      </c>
      <c r="H310" s="52" t="str">
        <f ca="1"/>
        <v>002 / 059</v>
      </c>
      <c r="I310" s="52" t="str">
        <f ca="1"/>
        <v>No</v>
      </c>
      <c r="J310" s="52" t="str">
        <f ca="1"/>
        <v/>
      </c>
      <c r="K310" s="51" t="str">
        <f ca="1"/>
        <v/>
      </c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</row>
    <row r="311" spans="2:25" x14ac:dyDescent="0.25">
      <c r="B311" s="51"/>
      <c r="C311" s="70" t="str">
        <f ca="1"/>
        <v>46211/D|BR1/03</v>
      </c>
      <c r="D311" s="52" t="str">
        <f ca="1"/>
        <v>STM-A40_0103</v>
      </c>
      <c r="E311" s="52" t="str">
        <f ca="1"/>
        <v>LIM</v>
      </c>
      <c r="F311" s="52" t="str">
        <f ca="1"/>
        <v>LS_09</v>
      </c>
      <c r="G311" s="52" t="str">
        <f ca="1"/>
        <v>L9_26</v>
      </c>
      <c r="H311" s="52" t="str">
        <f ca="1"/>
        <v>002 / 060</v>
      </c>
      <c r="I311" s="52" t="str">
        <f ca="1"/>
        <v>Yes</v>
      </c>
      <c r="J311" s="52" t="str">
        <f ca="1"/>
        <v/>
      </c>
      <c r="K311" s="51" t="str">
        <f ca="1"/>
        <v/>
      </c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</row>
    <row r="312" spans="2:25" x14ac:dyDescent="0.25">
      <c r="B312" s="51"/>
      <c r="C312" s="70" t="str">
        <f ca="1"/>
        <v>46211/D|BR1/03</v>
      </c>
      <c r="D312" s="52" t="str">
        <f ca="1"/>
        <v>STM-A40_0131</v>
      </c>
      <c r="E312" s="52" t="str">
        <f ca="1"/>
        <v>LIM</v>
      </c>
      <c r="F312" s="52" t="str">
        <f ca="1"/>
        <v>LS_09</v>
      </c>
      <c r="G312" s="52" t="str">
        <f ca="1"/>
        <v>L9_26</v>
      </c>
      <c r="H312" s="52" t="str">
        <f ca="1"/>
        <v>002 / 061</v>
      </c>
      <c r="I312" s="52" t="str">
        <f ca="1"/>
        <v>No</v>
      </c>
      <c r="J312" s="52" t="str">
        <f ca="1"/>
        <v/>
      </c>
      <c r="K312" s="51" t="str">
        <f ca="1"/>
        <v/>
      </c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</row>
    <row r="313" spans="2:25" x14ac:dyDescent="0.25">
      <c r="B313" s="51"/>
      <c r="C313" s="70" t="str">
        <f ca="1"/>
        <v>46211/D|BR1/03</v>
      </c>
      <c r="D313" s="52" t="str">
        <f ca="1"/>
        <v>STM-A40_0103</v>
      </c>
      <c r="E313" s="52" t="str">
        <f ca="1"/>
        <v>LIM</v>
      </c>
      <c r="F313" s="52" t="str">
        <f ca="1"/>
        <v>LS_09</v>
      </c>
      <c r="G313" s="52" t="str">
        <f ca="1"/>
        <v>L9_26</v>
      </c>
      <c r="H313" s="52" t="str">
        <f ca="1"/>
        <v>002 / 062</v>
      </c>
      <c r="I313" s="52" t="str">
        <f ca="1"/>
        <v>No</v>
      </c>
      <c r="J313" s="52" t="str">
        <f ca="1"/>
        <v/>
      </c>
      <c r="K313" s="51" t="str">
        <f ca="1"/>
        <v/>
      </c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</row>
    <row r="314" spans="2:25" x14ac:dyDescent="0.25">
      <c r="B314" s="51"/>
      <c r="C314" s="70" t="str">
        <f ca="1"/>
        <v>46211/D|BR1/03</v>
      </c>
      <c r="D314" s="52" t="str">
        <f ca="1"/>
        <v>STM-A40_0095</v>
      </c>
      <c r="E314" s="52" t="str">
        <f ca="1"/>
        <v>LIM</v>
      </c>
      <c r="F314" s="52" t="str">
        <f ca="1"/>
        <v>LS_09</v>
      </c>
      <c r="G314" s="52" t="str">
        <f ca="1"/>
        <v>L9_26</v>
      </c>
      <c r="H314" s="52" t="str">
        <f ca="1"/>
        <v>002 / 063</v>
      </c>
      <c r="I314" s="52" t="str">
        <f ca="1"/>
        <v>No</v>
      </c>
      <c r="J314" s="52" t="str">
        <f ca="1"/>
        <v/>
      </c>
      <c r="K314" s="51" t="str">
        <f ca="1"/>
        <v/>
      </c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</row>
    <row r="315" spans="2:25" x14ac:dyDescent="0.25">
      <c r="B315" s="51"/>
      <c r="C315" s="70" t="str">
        <f ca="1"/>
        <v>46211/D|BR1/03</v>
      </c>
      <c r="D315" s="52" t="str">
        <f ca="1"/>
        <v>STM-A40_0096</v>
      </c>
      <c r="E315" s="52" t="str">
        <f ca="1"/>
        <v>LIM</v>
      </c>
      <c r="F315" s="52" t="str">
        <f ca="1"/>
        <v>LS_09</v>
      </c>
      <c r="G315" s="52" t="str">
        <f ca="1"/>
        <v>L9_26</v>
      </c>
      <c r="H315" s="52" t="str">
        <f ca="1"/>
        <v>002 / 064</v>
      </c>
      <c r="I315" s="52" t="str">
        <f ca="1"/>
        <v>No</v>
      </c>
      <c r="J315" s="52" t="str">
        <f ca="1"/>
        <v/>
      </c>
      <c r="K315" s="51" t="str">
        <f ca="1"/>
        <v/>
      </c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</row>
    <row r="316" spans="2:25" x14ac:dyDescent="0.25">
      <c r="B316" s="51"/>
      <c r="C316" s="70" t="str">
        <f ca="1"/>
        <v>46211/D|BR1/03</v>
      </c>
      <c r="D316" s="52" t="str">
        <f ca="1"/>
        <v>STM-A40_0131</v>
      </c>
      <c r="E316" s="52" t="str">
        <f ca="1"/>
        <v>LIM</v>
      </c>
      <c r="F316" s="52" t="str">
        <f ca="1"/>
        <v>LS_09</v>
      </c>
      <c r="G316" s="52" t="str">
        <f ca="1"/>
        <v>L9_26</v>
      </c>
      <c r="H316" s="52" t="str">
        <f ca="1"/>
        <v>002 / 065</v>
      </c>
      <c r="I316" s="52" t="str">
        <f ca="1"/>
        <v>Yes</v>
      </c>
      <c r="J316" s="52" t="str">
        <f ca="1"/>
        <v/>
      </c>
      <c r="K316" s="51" t="str">
        <f ca="1"/>
        <v/>
      </c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</row>
    <row r="317" spans="2:25" x14ac:dyDescent="0.25">
      <c r="B317" s="51"/>
      <c r="C317" s="70" t="str">
        <f ca="1"/>
        <v>46211/D|BR1/03</v>
      </c>
      <c r="D317" s="52" t="str">
        <f ca="1"/>
        <v>STM-A40_0095</v>
      </c>
      <c r="E317" s="52" t="str">
        <f ca="1"/>
        <v>LIM</v>
      </c>
      <c r="F317" s="52" t="str">
        <f ca="1"/>
        <v>LS_09</v>
      </c>
      <c r="G317" s="52" t="str">
        <f ca="1"/>
        <v>L9_26</v>
      </c>
      <c r="H317" s="52" t="str">
        <f ca="1"/>
        <v>002 / 066</v>
      </c>
      <c r="I317" s="52" t="str">
        <f ca="1"/>
        <v>No</v>
      </c>
      <c r="J317" s="52" t="str">
        <f ca="1"/>
        <v/>
      </c>
      <c r="K317" s="51" t="str">
        <f ca="1"/>
        <v/>
      </c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</row>
    <row r="318" spans="2:25" x14ac:dyDescent="0.25">
      <c r="B318" s="51"/>
      <c r="C318" s="70" t="str">
        <f ca="1"/>
        <v>46211/D|BR1/03</v>
      </c>
      <c r="D318" s="52" t="str">
        <f ca="1"/>
        <v>STM-A40_0135</v>
      </c>
      <c r="E318" s="52" t="str">
        <f ca="1"/>
        <v>LIM</v>
      </c>
      <c r="F318" s="52" t="str">
        <f ca="1"/>
        <v>LS_09</v>
      </c>
      <c r="G318" s="52" t="str">
        <f ca="1"/>
        <v>L9_26</v>
      </c>
      <c r="H318" s="52" t="str">
        <f ca="1"/>
        <v>002 / 067</v>
      </c>
      <c r="I318" s="52" t="str">
        <f ca="1"/>
        <v>No</v>
      </c>
      <c r="J318" s="52" t="str">
        <f ca="1"/>
        <v/>
      </c>
      <c r="K318" s="51" t="str">
        <f ca="1"/>
        <v/>
      </c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</row>
    <row r="319" spans="2:25" x14ac:dyDescent="0.25">
      <c r="B319" s="51"/>
      <c r="C319" s="70" t="str">
        <f ca="1"/>
        <v>46211/D|BR1/03</v>
      </c>
      <c r="D319" s="52" t="str">
        <f ca="1"/>
        <v>STM-A40_0103</v>
      </c>
      <c r="E319" s="52" t="str">
        <f ca="1"/>
        <v>LIM</v>
      </c>
      <c r="F319" s="52" t="str">
        <f ca="1"/>
        <v>LS_09</v>
      </c>
      <c r="G319" s="52" t="str">
        <f ca="1"/>
        <v>L9_26</v>
      </c>
      <c r="H319" s="52" t="str">
        <f ca="1"/>
        <v>002 / 068</v>
      </c>
      <c r="I319" s="52" t="str">
        <f ca="1"/>
        <v>No</v>
      </c>
      <c r="J319" s="52" t="str">
        <f ca="1"/>
        <v/>
      </c>
      <c r="K319" s="51" t="str">
        <f ca="1"/>
        <v/>
      </c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</row>
    <row r="320" spans="2:25" x14ac:dyDescent="0.25">
      <c r="B320" s="51"/>
      <c r="C320" s="70" t="str">
        <f ca="1"/>
        <v>46211/D|BR1/03</v>
      </c>
      <c r="D320" s="52" t="str">
        <f ca="1"/>
        <v>STM-A40_0096</v>
      </c>
      <c r="E320" s="52" t="str">
        <f ca="1"/>
        <v>LIM</v>
      </c>
      <c r="F320" s="52" t="str">
        <f ca="1"/>
        <v>LS_09</v>
      </c>
      <c r="G320" s="52" t="str">
        <f ca="1"/>
        <v>L9_26</v>
      </c>
      <c r="H320" s="52" t="str">
        <f ca="1"/>
        <v>002 / 069</v>
      </c>
      <c r="I320" s="52" t="str">
        <f ca="1"/>
        <v>No</v>
      </c>
      <c r="J320" s="52" t="str">
        <f ca="1"/>
        <v/>
      </c>
      <c r="K320" s="51" t="str">
        <f ca="1"/>
        <v/>
      </c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</row>
    <row r="321" spans="2:25" x14ac:dyDescent="0.25">
      <c r="B321" s="51"/>
      <c r="C321" s="70" t="str">
        <f ca="1"/>
        <v>46211/D|BR1/03</v>
      </c>
      <c r="D321" s="52" t="str">
        <f ca="1"/>
        <v>STM-A40_0131</v>
      </c>
      <c r="E321" s="52" t="str">
        <f ca="1"/>
        <v>LIM</v>
      </c>
      <c r="F321" s="52" t="str">
        <f ca="1"/>
        <v>LS_09</v>
      </c>
      <c r="G321" s="52" t="str">
        <f ca="1"/>
        <v>L9_26</v>
      </c>
      <c r="H321" s="52" t="str">
        <f ca="1"/>
        <v>002 / 070</v>
      </c>
      <c r="I321" s="52" t="str">
        <f ca="1"/>
        <v>Yes</v>
      </c>
      <c r="J321" s="52" t="str">
        <f ca="1"/>
        <v/>
      </c>
      <c r="K321" s="51" t="str">
        <f ca="1"/>
        <v/>
      </c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</row>
    <row r="322" spans="2:25" x14ac:dyDescent="0.25">
      <c r="B322" s="51"/>
      <c r="C322" s="70" t="str">
        <f ca="1"/>
        <v>46211/D|BR1/03</v>
      </c>
      <c r="D322" s="52" t="str">
        <f ca="1"/>
        <v>STM-A40_2010</v>
      </c>
      <c r="E322" s="52" t="str">
        <f ca="1"/>
        <v>LIM</v>
      </c>
      <c r="F322" s="52" t="str">
        <f ca="1"/>
        <v>LS_09</v>
      </c>
      <c r="G322" s="52" t="str">
        <f ca="1"/>
        <v>L9_26</v>
      </c>
      <c r="H322" s="52" t="str">
        <f ca="1"/>
        <v>002 / 071</v>
      </c>
      <c r="I322" s="52" t="str">
        <f ca="1"/>
        <v>No</v>
      </c>
      <c r="J322" s="52" t="str">
        <f ca="1"/>
        <v/>
      </c>
      <c r="K322" s="51" t="str">
        <f ca="1"/>
        <v/>
      </c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</row>
    <row r="323" spans="2:25" x14ac:dyDescent="0.25">
      <c r="B323" s="51"/>
      <c r="C323" s="70" t="str">
        <f ca="1"/>
        <v>46211/D|BR1/03</v>
      </c>
      <c r="D323" s="52" t="str">
        <f ca="1"/>
        <v>STM-A40_0103</v>
      </c>
      <c r="E323" s="52" t="str">
        <f ca="1"/>
        <v>LIM</v>
      </c>
      <c r="F323" s="52" t="str">
        <f ca="1"/>
        <v>LS_09</v>
      </c>
      <c r="G323" s="52" t="str">
        <f ca="1"/>
        <v>L9_26</v>
      </c>
      <c r="H323" s="52" t="str">
        <f ca="1"/>
        <v>002 / 072</v>
      </c>
      <c r="I323" s="52" t="str">
        <f ca="1"/>
        <v>No</v>
      </c>
      <c r="J323" s="52" t="str">
        <f ca="1"/>
        <v/>
      </c>
      <c r="K323" s="51" t="str">
        <f ca="1"/>
        <v/>
      </c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</row>
    <row r="324" spans="2:25" x14ac:dyDescent="0.25">
      <c r="B324" s="51"/>
      <c r="C324" s="70" t="str">
        <f ca="1"/>
        <v>46211/D|BR1/03</v>
      </c>
      <c r="D324" s="52" t="str">
        <f ca="1"/>
        <v>STM-A40_0131</v>
      </c>
      <c r="E324" s="52" t="str">
        <f ca="1"/>
        <v>LIM</v>
      </c>
      <c r="F324" s="52" t="str">
        <f ca="1"/>
        <v>LS_09</v>
      </c>
      <c r="G324" s="52" t="str">
        <f ca="1"/>
        <v>L9_26</v>
      </c>
      <c r="H324" s="52" t="str">
        <f ca="1"/>
        <v>002 / 073</v>
      </c>
      <c r="I324" s="52" t="str">
        <f ca="1"/>
        <v>No</v>
      </c>
      <c r="J324" s="52" t="str">
        <f ca="1"/>
        <v/>
      </c>
      <c r="K324" s="51" t="str">
        <f ca="1"/>
        <v/>
      </c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</row>
    <row r="325" spans="2:25" x14ac:dyDescent="0.25">
      <c r="B325" s="51"/>
      <c r="C325" s="70" t="str">
        <f ca="1"/>
        <v>46211/D|BR1/03</v>
      </c>
      <c r="D325" s="52" t="str">
        <f ca="1"/>
        <v>STM-A40_0096</v>
      </c>
      <c r="E325" s="52" t="str">
        <f ca="1"/>
        <v>LIM</v>
      </c>
      <c r="F325" s="52" t="str">
        <f ca="1"/>
        <v>LS_09</v>
      </c>
      <c r="G325" s="52" t="str">
        <f ca="1"/>
        <v>L9_26</v>
      </c>
      <c r="H325" s="52" t="str">
        <f ca="1"/>
        <v>002 / 074</v>
      </c>
      <c r="I325" s="52" t="str">
        <f ca="1"/>
        <v>No</v>
      </c>
      <c r="J325" s="52" t="str">
        <f ca="1"/>
        <v/>
      </c>
      <c r="K325" s="51" t="str">
        <f ca="1"/>
        <v/>
      </c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</row>
    <row r="326" spans="2:25" x14ac:dyDescent="0.25">
      <c r="B326" s="51"/>
      <c r="C326" s="70" t="str">
        <f ca="1"/>
        <v>46211/D|BR1/03</v>
      </c>
      <c r="D326" s="52" t="str">
        <f ca="1"/>
        <v>STM-A40_0103</v>
      </c>
      <c r="E326" s="52" t="str">
        <f ca="1"/>
        <v>LIM</v>
      </c>
      <c r="F326" s="52" t="str">
        <f ca="1"/>
        <v>LS_09</v>
      </c>
      <c r="G326" s="52" t="str">
        <f ca="1"/>
        <v>L9_26</v>
      </c>
      <c r="H326" s="52" t="str">
        <f ca="1"/>
        <v>002 / 075</v>
      </c>
      <c r="I326" s="52" t="str">
        <f ca="1"/>
        <v>Yes</v>
      </c>
      <c r="J326" s="52" t="str">
        <f ca="1"/>
        <v/>
      </c>
      <c r="K326" s="51" t="str">
        <f ca="1"/>
        <v/>
      </c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</row>
    <row r="327" spans="2:25" x14ac:dyDescent="0.25">
      <c r="B327" s="51"/>
      <c r="C327" s="70" t="str">
        <f ca="1"/>
        <v>46211/D|BR1/03</v>
      </c>
      <c r="D327" s="52" t="str">
        <f ca="1"/>
        <v>STM-A40_0096</v>
      </c>
      <c r="E327" s="52" t="str">
        <f ca="1"/>
        <v>LIM</v>
      </c>
      <c r="F327" s="52" t="str">
        <f ca="1"/>
        <v>LS_09</v>
      </c>
      <c r="G327" s="52" t="str">
        <f ca="1"/>
        <v>L9_26</v>
      </c>
      <c r="H327" s="52" t="str">
        <f ca="1"/>
        <v>002 / 076</v>
      </c>
      <c r="I327" s="52" t="str">
        <f ca="1"/>
        <v>No</v>
      </c>
      <c r="J327" s="52" t="str">
        <f ca="1"/>
        <v/>
      </c>
      <c r="K327" s="51" t="str">
        <f ca="1"/>
        <v/>
      </c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</row>
    <row r="328" spans="2:25" x14ac:dyDescent="0.25">
      <c r="B328" s="51"/>
      <c r="C328" s="70" t="str">
        <f ca="1"/>
        <v>46211/D|BR1/03</v>
      </c>
      <c r="D328" s="52" t="str">
        <f ca="1"/>
        <v>STM-A40_2010</v>
      </c>
      <c r="E328" s="52" t="str">
        <f ca="1"/>
        <v>LIM</v>
      </c>
      <c r="F328" s="52" t="str">
        <f ca="1"/>
        <v>LS_09</v>
      </c>
      <c r="G328" s="52" t="str">
        <f ca="1"/>
        <v>L9_26</v>
      </c>
      <c r="H328" s="52" t="str">
        <f ca="1"/>
        <v>002 / 077</v>
      </c>
      <c r="I328" s="52" t="str">
        <f ca="1"/>
        <v>No</v>
      </c>
      <c r="J328" s="52" t="str">
        <f ca="1"/>
        <v/>
      </c>
      <c r="K328" s="51" t="str">
        <f ca="1"/>
        <v/>
      </c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</row>
    <row r="329" spans="2:25" x14ac:dyDescent="0.25">
      <c r="B329" s="51"/>
      <c r="C329" s="70" t="str">
        <f ca="1"/>
        <v>46211/D|BR1/03</v>
      </c>
      <c r="D329" s="52" t="str">
        <f ca="1"/>
        <v>STM-A40_0131</v>
      </c>
      <c r="E329" s="52" t="str">
        <f ca="1"/>
        <v>LIM</v>
      </c>
      <c r="F329" s="52" t="str">
        <f ca="1"/>
        <v>LS_09</v>
      </c>
      <c r="G329" s="52" t="str">
        <f ca="1"/>
        <v>L9_26</v>
      </c>
      <c r="H329" s="52" t="str">
        <f ca="1"/>
        <v>002 / 078</v>
      </c>
      <c r="I329" s="52" t="str">
        <f ca="1"/>
        <v>No</v>
      </c>
      <c r="J329" s="52" t="str">
        <f ca="1"/>
        <v/>
      </c>
      <c r="K329" s="51" t="str">
        <f ca="1"/>
        <v/>
      </c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</row>
    <row r="330" spans="2:25" x14ac:dyDescent="0.25">
      <c r="B330" s="51"/>
      <c r="C330" s="70" t="str">
        <f ca="1"/>
        <v>46211/D|BR1/03</v>
      </c>
      <c r="D330" s="52" t="str">
        <f ca="1"/>
        <v>STM-A40_0096</v>
      </c>
      <c r="E330" s="52" t="str">
        <f ca="1"/>
        <v>LIM</v>
      </c>
      <c r="F330" s="52" t="str">
        <f ca="1"/>
        <v>LS_09</v>
      </c>
      <c r="G330" s="52" t="str">
        <f ca="1"/>
        <v>L9_26</v>
      </c>
      <c r="H330" s="52" t="str">
        <f ca="1"/>
        <v>002 / 079</v>
      </c>
      <c r="I330" s="52" t="str">
        <f ca="1"/>
        <v>No</v>
      </c>
      <c r="J330" s="52" t="str">
        <f ca="1"/>
        <v/>
      </c>
      <c r="K330" s="51" t="str">
        <f ca="1"/>
        <v/>
      </c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</row>
    <row r="331" spans="2:25" x14ac:dyDescent="0.25">
      <c r="B331" s="51"/>
      <c r="C331" s="70" t="str">
        <f ca="1"/>
        <v>46211/D|BR1/03</v>
      </c>
      <c r="D331" s="52" t="str">
        <f ca="1"/>
        <v>STM-A40_0135</v>
      </c>
      <c r="E331" s="52" t="str">
        <f ca="1"/>
        <v>LIM</v>
      </c>
      <c r="F331" s="52" t="str">
        <f ca="1"/>
        <v>LS_09</v>
      </c>
      <c r="G331" s="52" t="str">
        <f ca="1"/>
        <v>L9_26</v>
      </c>
      <c r="H331" s="52" t="str">
        <f ca="1"/>
        <v>002 / 080</v>
      </c>
      <c r="I331" s="52" t="str">
        <f ca="1"/>
        <v>Yes</v>
      </c>
      <c r="J331" s="52" t="str">
        <f ca="1"/>
        <v/>
      </c>
      <c r="K331" s="51" t="str">
        <f ca="1"/>
        <v/>
      </c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</row>
    <row r="332" spans="2:25" x14ac:dyDescent="0.25">
      <c r="B332" s="51"/>
      <c r="C332" s="70" t="str">
        <f ca="1"/>
        <v>46211/D|BR1/03</v>
      </c>
      <c r="D332" s="52" t="str">
        <f ca="1"/>
        <v>STM-A40_2010</v>
      </c>
      <c r="E332" s="52" t="str">
        <f ca="1"/>
        <v>LIM</v>
      </c>
      <c r="F332" s="52" t="str">
        <f ca="1"/>
        <v>LS_09</v>
      </c>
      <c r="G332" s="52" t="str">
        <f ca="1"/>
        <v>L9_26</v>
      </c>
      <c r="H332" s="52" t="str">
        <f ca="1"/>
        <v>002 / 081</v>
      </c>
      <c r="I332" s="52" t="str">
        <f ca="1"/>
        <v>No</v>
      </c>
      <c r="J332" s="52" t="str">
        <f ca="1"/>
        <v/>
      </c>
      <c r="K332" s="51" t="str">
        <f ca="1"/>
        <v/>
      </c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</row>
    <row r="333" spans="2:25" x14ac:dyDescent="0.25">
      <c r="B333" s="51"/>
      <c r="C333" s="70" t="str">
        <f ca="1"/>
        <v>46211/D|BR1/03</v>
      </c>
      <c r="D333" s="52" t="str">
        <f ca="1"/>
        <v>STM-A40_0131</v>
      </c>
      <c r="E333" s="52" t="str">
        <f ca="1"/>
        <v>LIM</v>
      </c>
      <c r="F333" s="52" t="str">
        <f ca="1"/>
        <v>LS_09</v>
      </c>
      <c r="G333" s="52" t="str">
        <f ca="1"/>
        <v>L9_26</v>
      </c>
      <c r="H333" s="52" t="str">
        <f ca="1"/>
        <v>002 / 082</v>
      </c>
      <c r="I333" s="52" t="str">
        <f ca="1"/>
        <v>No</v>
      </c>
      <c r="J333" s="52" t="str">
        <f ca="1"/>
        <v/>
      </c>
      <c r="K333" s="51" t="str">
        <f ca="1"/>
        <v/>
      </c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</row>
    <row r="334" spans="2:25" x14ac:dyDescent="0.25">
      <c r="B334" s="51"/>
      <c r="C334" s="70" t="str">
        <f ca="1"/>
        <v>46211/D|BR1/03</v>
      </c>
      <c r="D334" s="52" t="str">
        <f ca="1"/>
        <v>STM-A40_0096</v>
      </c>
      <c r="E334" s="52" t="str">
        <f ca="1"/>
        <v>LIM</v>
      </c>
      <c r="F334" s="52" t="str">
        <f ca="1"/>
        <v>LS_09</v>
      </c>
      <c r="G334" s="52" t="str">
        <f ca="1"/>
        <v>L9_26</v>
      </c>
      <c r="H334" s="52" t="str">
        <f ca="1"/>
        <v>002 / 083</v>
      </c>
      <c r="I334" s="52" t="str">
        <f ca="1"/>
        <v>No</v>
      </c>
      <c r="J334" s="52" t="str">
        <f ca="1"/>
        <v/>
      </c>
      <c r="K334" s="51" t="str">
        <f ca="1"/>
        <v/>
      </c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</row>
    <row r="335" spans="2:25" x14ac:dyDescent="0.25">
      <c r="B335" s="51"/>
      <c r="C335" s="70" t="str">
        <f ca="1"/>
        <v>46211/D|BR1/03</v>
      </c>
      <c r="D335" s="52" t="str">
        <f ca="1"/>
        <v>STM-A40_0097</v>
      </c>
      <c r="E335" s="52" t="str">
        <f ca="1"/>
        <v>LIM</v>
      </c>
      <c r="F335" s="52" t="str">
        <f ca="1"/>
        <v>LS_09</v>
      </c>
      <c r="G335" s="52" t="str">
        <f ca="1"/>
        <v>L9_26</v>
      </c>
      <c r="H335" s="52" t="str">
        <f ca="1"/>
        <v>002 / 084</v>
      </c>
      <c r="I335" s="52" t="str">
        <f ca="1"/>
        <v>No</v>
      </c>
      <c r="J335" s="52" t="str">
        <f ca="1"/>
        <v/>
      </c>
      <c r="K335" s="51" t="str">
        <f ca="1"/>
        <v/>
      </c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</row>
    <row r="336" spans="2:25" x14ac:dyDescent="0.25">
      <c r="B336" s="51"/>
      <c r="C336" s="70" t="str">
        <f ca="1"/>
        <v>46211/D|BR1/03</v>
      </c>
      <c r="D336" s="52" t="str">
        <f ca="1"/>
        <v>STM-A40_0135</v>
      </c>
      <c r="E336" s="52" t="str">
        <f ca="1"/>
        <v>LIM</v>
      </c>
      <c r="F336" s="52" t="str">
        <f ca="1"/>
        <v>LS_09</v>
      </c>
      <c r="G336" s="52" t="str">
        <f ca="1"/>
        <v>L9_26</v>
      </c>
      <c r="H336" s="52" t="str">
        <f ca="1"/>
        <v>002 / 085</v>
      </c>
      <c r="I336" s="52" t="str">
        <f ca="1"/>
        <v>Yes</v>
      </c>
      <c r="J336" s="52" t="str">
        <f ca="1"/>
        <v/>
      </c>
      <c r="K336" s="51" t="str">
        <f ca="1"/>
        <v/>
      </c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</row>
    <row r="337" spans="2:25" x14ac:dyDescent="0.25">
      <c r="B337" s="51"/>
      <c r="C337" s="70" t="str">
        <f ca="1"/>
        <v>46211/D|BR1/03</v>
      </c>
      <c r="D337" s="52" t="str">
        <f ca="1"/>
        <v>STM-A40_0103</v>
      </c>
      <c r="E337" s="52" t="str">
        <f ca="1"/>
        <v>LIM</v>
      </c>
      <c r="F337" s="52" t="str">
        <f ca="1"/>
        <v>LS_09</v>
      </c>
      <c r="G337" s="52" t="str">
        <f ca="1"/>
        <v>L9_26</v>
      </c>
      <c r="H337" s="52" t="str">
        <f ca="1"/>
        <v>002 / 086</v>
      </c>
      <c r="I337" s="52" t="str">
        <f ca="1"/>
        <v>No</v>
      </c>
      <c r="J337" s="52" t="str">
        <f ca="1"/>
        <v/>
      </c>
      <c r="K337" s="51" t="str">
        <f ca="1"/>
        <v/>
      </c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</row>
    <row r="338" spans="2:25" x14ac:dyDescent="0.25">
      <c r="B338" s="51"/>
      <c r="C338" s="70" t="str">
        <f ca="1"/>
        <v>46211/D|BR1/03</v>
      </c>
      <c r="D338" s="52" t="str">
        <f ca="1"/>
        <v>STM-A40_0131</v>
      </c>
      <c r="E338" s="52" t="str">
        <f ca="1"/>
        <v>LIM</v>
      </c>
      <c r="F338" s="52" t="str">
        <f ca="1"/>
        <v>LS_09</v>
      </c>
      <c r="G338" s="52" t="str">
        <f ca="1"/>
        <v>L9_26</v>
      </c>
      <c r="H338" s="52" t="str">
        <f ca="1"/>
        <v>002 / 087</v>
      </c>
      <c r="I338" s="52" t="str">
        <f ca="1"/>
        <v>No</v>
      </c>
      <c r="J338" s="52" t="str">
        <f ca="1"/>
        <v/>
      </c>
      <c r="K338" s="51" t="str">
        <f ca="1"/>
        <v/>
      </c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</row>
    <row r="339" spans="2:25" x14ac:dyDescent="0.25">
      <c r="B339" s="51"/>
      <c r="C339" s="70" t="str">
        <f ca="1"/>
        <v>46211/D|BR1/03</v>
      </c>
      <c r="D339" s="52" t="str">
        <f ca="1"/>
        <v>STM-A40_0096</v>
      </c>
      <c r="E339" s="52" t="str">
        <f ca="1"/>
        <v>LIM</v>
      </c>
      <c r="F339" s="52" t="str">
        <f ca="1"/>
        <v>LS_09</v>
      </c>
      <c r="G339" s="52" t="str">
        <f ca="1"/>
        <v>L9_26</v>
      </c>
      <c r="H339" s="52" t="str">
        <f ca="1"/>
        <v>002 / 088</v>
      </c>
      <c r="I339" s="52" t="str">
        <f ca="1"/>
        <v>No</v>
      </c>
      <c r="J339" s="52" t="str">
        <f ca="1"/>
        <v/>
      </c>
      <c r="K339" s="51" t="str">
        <f ca="1"/>
        <v/>
      </c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</row>
    <row r="340" spans="2:25" x14ac:dyDescent="0.25">
      <c r="B340" s="51"/>
      <c r="C340" s="70" t="str">
        <f ca="1"/>
        <v>46211/D|BR1/03</v>
      </c>
      <c r="D340" s="52" t="str">
        <f ca="1"/>
        <v>STM-A40_0097</v>
      </c>
      <c r="E340" s="52" t="str">
        <f ca="1"/>
        <v>LIM</v>
      </c>
      <c r="F340" s="52" t="str">
        <f ca="1"/>
        <v>LS_09</v>
      </c>
      <c r="G340" s="52" t="str">
        <f ca="1"/>
        <v>L9_26</v>
      </c>
      <c r="H340" s="52" t="str">
        <f ca="1"/>
        <v>002 / 089</v>
      </c>
      <c r="I340" s="52" t="str">
        <f ca="1"/>
        <v>No</v>
      </c>
      <c r="J340" s="52" t="str">
        <f ca="1"/>
        <v/>
      </c>
      <c r="K340" s="51" t="str">
        <f ca="1"/>
        <v/>
      </c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</row>
    <row r="341" spans="2:25" x14ac:dyDescent="0.25">
      <c r="B341" s="51"/>
      <c r="C341" s="70" t="str">
        <f ca="1"/>
        <v>46211/D|BR1/03</v>
      </c>
      <c r="D341" s="52" t="str">
        <f ca="1"/>
        <v>STM-A40_0135</v>
      </c>
      <c r="E341" s="52" t="str">
        <f ca="1"/>
        <v>LIM</v>
      </c>
      <c r="F341" s="52" t="str">
        <f ca="1"/>
        <v>LS_09</v>
      </c>
      <c r="G341" s="52" t="str">
        <f ca="1"/>
        <v>L9_26</v>
      </c>
      <c r="H341" s="52" t="str">
        <f ca="1"/>
        <v>002 / 090</v>
      </c>
      <c r="I341" s="52" t="str">
        <f ca="1"/>
        <v>Yes</v>
      </c>
      <c r="J341" s="52" t="str">
        <f ca="1"/>
        <v/>
      </c>
      <c r="K341" s="51" t="str">
        <f ca="1"/>
        <v/>
      </c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</row>
    <row r="342" spans="2:25" x14ac:dyDescent="0.25">
      <c r="B342" s="51"/>
      <c r="C342" s="70" t="str">
        <f ca="1"/>
        <v>46211/D|BR1/03</v>
      </c>
      <c r="D342" s="52" t="str">
        <f ca="1"/>
        <v>STM-A40_0131</v>
      </c>
      <c r="E342" s="52" t="str">
        <f ca="1"/>
        <v>LIM</v>
      </c>
      <c r="F342" s="52" t="str">
        <f ca="1"/>
        <v>LS_09</v>
      </c>
      <c r="G342" s="52" t="str">
        <f ca="1"/>
        <v>L9_26</v>
      </c>
      <c r="H342" s="52" t="str">
        <f ca="1"/>
        <v>002 / 091</v>
      </c>
      <c r="I342" s="52" t="str">
        <f ca="1"/>
        <v>No</v>
      </c>
      <c r="J342" s="52" t="str">
        <f ca="1"/>
        <v/>
      </c>
      <c r="K342" s="51" t="str">
        <f ca="1"/>
        <v/>
      </c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</row>
    <row r="343" spans="2:25" x14ac:dyDescent="0.25">
      <c r="B343" s="51"/>
      <c r="C343" s="70" t="str">
        <f ca="1"/>
        <v>46211/D|BR1/03</v>
      </c>
      <c r="D343" s="52" t="str">
        <f ca="1"/>
        <v>STM-A40_0103</v>
      </c>
      <c r="E343" s="52" t="str">
        <f ca="1"/>
        <v>LIM</v>
      </c>
      <c r="F343" s="52" t="str">
        <f ca="1"/>
        <v>LS_09</v>
      </c>
      <c r="G343" s="52" t="str">
        <f ca="1"/>
        <v>L9_26</v>
      </c>
      <c r="H343" s="52" t="str">
        <f ca="1"/>
        <v>002 / 092</v>
      </c>
      <c r="I343" s="52" t="str">
        <f ca="1"/>
        <v>No</v>
      </c>
      <c r="J343" s="52" t="str">
        <f ca="1"/>
        <v/>
      </c>
      <c r="K343" s="51" t="str">
        <f ca="1"/>
        <v/>
      </c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</row>
    <row r="344" spans="2:25" x14ac:dyDescent="0.25">
      <c r="B344" s="51"/>
      <c r="C344" s="70" t="str">
        <f ca="1"/>
        <v>46211/D|BR1/03</v>
      </c>
      <c r="D344" s="52" t="str">
        <f ca="1"/>
        <v>STM-A40_2010</v>
      </c>
      <c r="E344" s="52" t="str">
        <f ca="1"/>
        <v>LIM</v>
      </c>
      <c r="F344" s="52" t="str">
        <f ca="1"/>
        <v>LS_09</v>
      </c>
      <c r="G344" s="52" t="str">
        <f ca="1"/>
        <v>L9_26</v>
      </c>
      <c r="H344" s="52" t="str">
        <f ca="1"/>
        <v>002 / 093</v>
      </c>
      <c r="I344" s="52" t="str">
        <f ca="1"/>
        <v>No</v>
      </c>
      <c r="J344" s="52" t="str">
        <f ca="1"/>
        <v/>
      </c>
      <c r="K344" s="51" t="str">
        <f ca="1"/>
        <v/>
      </c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</row>
    <row r="345" spans="2:25" x14ac:dyDescent="0.25">
      <c r="B345" s="51"/>
      <c r="C345" s="70" t="str">
        <f ca="1"/>
        <v>46211/D|BR1/03</v>
      </c>
      <c r="D345" s="52" t="str">
        <f ca="1"/>
        <v>STM-A40_0135</v>
      </c>
      <c r="E345" s="52" t="str">
        <f ca="1"/>
        <v>LIM</v>
      </c>
      <c r="F345" s="52" t="str">
        <f ca="1"/>
        <v>LS_09</v>
      </c>
      <c r="G345" s="52" t="str">
        <f ca="1"/>
        <v>L9_26</v>
      </c>
      <c r="H345" s="52" t="str">
        <f ca="1"/>
        <v>002 / 094</v>
      </c>
      <c r="I345" s="52" t="str">
        <f ca="1"/>
        <v>No</v>
      </c>
      <c r="J345" s="52" t="str">
        <f ca="1"/>
        <v/>
      </c>
      <c r="K345" s="51" t="str">
        <f ca="1"/>
        <v/>
      </c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</row>
    <row r="346" spans="2:25" x14ac:dyDescent="0.25">
      <c r="B346" s="51"/>
      <c r="C346" s="70" t="str">
        <f ca="1"/>
        <v>46211/D|BR1/03</v>
      </c>
      <c r="D346" s="52" t="str">
        <f ca="1"/>
        <v>STM-A40_0096</v>
      </c>
      <c r="E346" s="52" t="str">
        <f ca="1"/>
        <v>LIM</v>
      </c>
      <c r="F346" s="52" t="str">
        <f ca="1"/>
        <v>LS_09</v>
      </c>
      <c r="G346" s="52" t="str">
        <f ca="1"/>
        <v>L9_26</v>
      </c>
      <c r="H346" s="52" t="str">
        <f ca="1"/>
        <v>002 / 095</v>
      </c>
      <c r="I346" s="52" t="str">
        <f ca="1"/>
        <v>Yes</v>
      </c>
      <c r="J346" s="52" t="str">
        <f ca="1"/>
        <v/>
      </c>
      <c r="K346" s="51" t="str">
        <f ca="1"/>
        <v/>
      </c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</row>
    <row r="347" spans="2:25" x14ac:dyDescent="0.25">
      <c r="B347" s="51"/>
      <c r="C347" s="70" t="str">
        <f ca="1"/>
        <v>46211/D|BR1/03</v>
      </c>
      <c r="D347" s="52" t="str">
        <f ca="1"/>
        <v>STM-A40_0097</v>
      </c>
      <c r="E347" s="52" t="str">
        <f ca="1"/>
        <v>LIM</v>
      </c>
      <c r="F347" s="52" t="str">
        <f ca="1"/>
        <v>LS_09</v>
      </c>
      <c r="G347" s="52" t="str">
        <f ca="1"/>
        <v>L9_26</v>
      </c>
      <c r="H347" s="52" t="str">
        <f ca="1"/>
        <v>002 / 096</v>
      </c>
      <c r="I347" s="52" t="str">
        <f ca="1"/>
        <v>No</v>
      </c>
      <c r="J347" s="52" t="str">
        <f ca="1"/>
        <v/>
      </c>
      <c r="K347" s="51" t="str">
        <f ca="1"/>
        <v/>
      </c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</row>
    <row r="348" spans="2:25" x14ac:dyDescent="0.25">
      <c r="B348" s="51"/>
      <c r="C348" s="70" t="str">
        <f ca="1"/>
        <v>46211/D|BR1/03</v>
      </c>
      <c r="D348" s="52" t="str">
        <f ca="1"/>
        <v>STM-A40_2010</v>
      </c>
      <c r="E348" s="52" t="str">
        <f ca="1"/>
        <v>LIM</v>
      </c>
      <c r="F348" s="52" t="str">
        <f ca="1"/>
        <v>LS_09</v>
      </c>
      <c r="G348" s="52" t="str">
        <f ca="1"/>
        <v>L9_26</v>
      </c>
      <c r="H348" s="52" t="str">
        <f ca="1"/>
        <v>002 / 097</v>
      </c>
      <c r="I348" s="52" t="str">
        <f ca="1"/>
        <v>No</v>
      </c>
      <c r="J348" s="52" t="str">
        <f ca="1"/>
        <v/>
      </c>
      <c r="K348" s="51" t="str">
        <f ca="1"/>
        <v/>
      </c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</row>
    <row r="349" spans="2:25" x14ac:dyDescent="0.25">
      <c r="B349" s="51"/>
      <c r="C349" s="70" t="str">
        <f ca="1"/>
        <v>46211/D|BR1/03</v>
      </c>
      <c r="D349" s="52" t="str">
        <f ca="1"/>
        <v>STM-A40_0103</v>
      </c>
      <c r="E349" s="52" t="str">
        <f ca="1"/>
        <v>LIM</v>
      </c>
      <c r="F349" s="52" t="str">
        <f ca="1"/>
        <v>LS_09</v>
      </c>
      <c r="G349" s="52" t="str">
        <f ca="1"/>
        <v>L9_26</v>
      </c>
      <c r="H349" s="52" t="str">
        <f ca="1"/>
        <v>002 / 098</v>
      </c>
      <c r="I349" s="52" t="str">
        <f ca="1"/>
        <v>No</v>
      </c>
      <c r="J349" s="52" t="str">
        <f ca="1"/>
        <v/>
      </c>
      <c r="K349" s="51" t="str">
        <f ca="1"/>
        <v/>
      </c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</row>
    <row r="350" spans="2:25" x14ac:dyDescent="0.25">
      <c r="B350" s="51"/>
      <c r="C350" s="70" t="str">
        <f ca="1"/>
        <v>46211/D|BR1/03</v>
      </c>
      <c r="D350" s="52" t="str">
        <f ca="1"/>
        <v>STM-A40_0131</v>
      </c>
      <c r="E350" s="52" t="str">
        <f ca="1"/>
        <v>LIM</v>
      </c>
      <c r="F350" s="52" t="str">
        <f ca="1"/>
        <v>LS_09</v>
      </c>
      <c r="G350" s="52" t="str">
        <f ca="1"/>
        <v>L9_26</v>
      </c>
      <c r="H350" s="52" t="str">
        <f ca="1"/>
        <v>002 / 099</v>
      </c>
      <c r="I350" s="52" t="str">
        <f ca="1"/>
        <v>No</v>
      </c>
      <c r="J350" s="52" t="str">
        <f ca="1"/>
        <v/>
      </c>
      <c r="K350" s="51" t="str">
        <f ca="1"/>
        <v/>
      </c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</row>
    <row r="351" spans="2:25" x14ac:dyDescent="0.25">
      <c r="B351" s="51"/>
      <c r="C351" s="70" t="str">
        <f ca="1"/>
        <v>46211/D|BR1/03</v>
      </c>
      <c r="D351" s="52" t="str">
        <f ca="1"/>
        <v>STM-A40_0097</v>
      </c>
      <c r="E351" s="52" t="str">
        <f ca="1"/>
        <v>LIM</v>
      </c>
      <c r="F351" s="52" t="str">
        <f ca="1"/>
        <v>LS_09</v>
      </c>
      <c r="G351" s="52" t="str">
        <f ca="1"/>
        <v>L9_26</v>
      </c>
      <c r="H351" s="52" t="str">
        <f ca="1"/>
        <v>002 / 100</v>
      </c>
      <c r="I351" s="52" t="str">
        <f ca="1"/>
        <v>Yes</v>
      </c>
      <c r="J351" s="52" t="str">
        <f ca="1"/>
        <v/>
      </c>
      <c r="K351" s="51" t="str">
        <f ca="1"/>
        <v/>
      </c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</row>
    <row r="352" spans="2:25" x14ac:dyDescent="0.25">
      <c r="B352" s="51"/>
      <c r="C352" s="70" t="str">
        <f ca="1"/>
        <v>46211/D|BR1/03</v>
      </c>
      <c r="D352" s="52" t="str">
        <f ca="1"/>
        <v>STM-A40_0131</v>
      </c>
      <c r="E352" s="52" t="str">
        <f ca="1"/>
        <v>LIM</v>
      </c>
      <c r="F352" s="52" t="str">
        <f ca="1"/>
        <v>LS_09</v>
      </c>
      <c r="G352" s="52" t="str">
        <f ca="1"/>
        <v>L9_26</v>
      </c>
      <c r="H352" s="52" t="str">
        <f ca="1"/>
        <v>003 / 001</v>
      </c>
      <c r="I352" s="52" t="str">
        <f ca="1"/>
        <v>No</v>
      </c>
      <c r="J352" s="52" t="str">
        <f ca="1"/>
        <v/>
      </c>
      <c r="K352" s="51" t="str">
        <f ca="1"/>
        <v/>
      </c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</row>
    <row r="353" spans="2:25" x14ac:dyDescent="0.25">
      <c r="B353" s="51"/>
      <c r="C353" s="70" t="str">
        <f ca="1"/>
        <v>46211/D|BR1/03</v>
      </c>
      <c r="D353" s="52" t="str">
        <f ca="1"/>
        <v>STM-A40_0135</v>
      </c>
      <c r="E353" s="52" t="str">
        <f ca="1"/>
        <v>LIM</v>
      </c>
      <c r="F353" s="52" t="str">
        <f ca="1"/>
        <v>LS_09</v>
      </c>
      <c r="G353" s="52" t="str">
        <f ca="1"/>
        <v>L9_26</v>
      </c>
      <c r="H353" s="52" t="str">
        <f ca="1"/>
        <v>003 / 002</v>
      </c>
      <c r="I353" s="52" t="str">
        <f ca="1"/>
        <v>No</v>
      </c>
      <c r="J353" s="52" t="str">
        <f ca="1"/>
        <v/>
      </c>
      <c r="K353" s="51" t="str">
        <f ca="1"/>
        <v/>
      </c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</row>
    <row r="354" spans="2:25" x14ac:dyDescent="0.25">
      <c r="B354" s="51"/>
      <c r="C354" s="70" t="str">
        <f ca="1"/>
        <v>46211/D|BR1/03</v>
      </c>
      <c r="D354" s="52" t="str">
        <f ca="1"/>
        <v>STM-A40_0096</v>
      </c>
      <c r="E354" s="52" t="str">
        <f ca="1"/>
        <v>LIM</v>
      </c>
      <c r="F354" s="52" t="str">
        <f ca="1"/>
        <v>LS_09</v>
      </c>
      <c r="G354" s="52" t="str">
        <f ca="1"/>
        <v>L9_26</v>
      </c>
      <c r="H354" s="52" t="str">
        <f ca="1"/>
        <v>003 / 003</v>
      </c>
      <c r="I354" s="52" t="str">
        <f ca="1"/>
        <v>No</v>
      </c>
      <c r="J354" s="52" t="str">
        <f ca="1"/>
        <v/>
      </c>
      <c r="K354" s="51" t="str">
        <f ca="1"/>
        <v/>
      </c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</row>
    <row r="355" spans="2:25" x14ac:dyDescent="0.25">
      <c r="B355" s="51"/>
      <c r="C355" s="70" t="str">
        <f ca="1"/>
        <v>46211/D|BR1/03</v>
      </c>
      <c r="D355" s="52" t="str">
        <f ca="1"/>
        <v>STM-A40_0096</v>
      </c>
      <c r="E355" s="52" t="str">
        <f ca="1"/>
        <v>LIM</v>
      </c>
      <c r="F355" s="52" t="str">
        <f ca="1"/>
        <v>LS_09</v>
      </c>
      <c r="G355" s="52" t="str">
        <f ca="1"/>
        <v>L9_26</v>
      </c>
      <c r="H355" s="52" t="str">
        <f ca="1"/>
        <v>003 / 004</v>
      </c>
      <c r="I355" s="52" t="str">
        <f ca="1"/>
        <v>No</v>
      </c>
      <c r="J355" s="52" t="str">
        <f ca="1"/>
        <v/>
      </c>
      <c r="K355" s="51" t="str">
        <f ca="1"/>
        <v/>
      </c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</row>
    <row r="356" spans="2:25" x14ac:dyDescent="0.25">
      <c r="B356" s="51"/>
      <c r="C356" s="70" t="str">
        <f ca="1"/>
        <v>46211/D|BR1/03</v>
      </c>
      <c r="D356" s="52" t="str">
        <f ca="1"/>
        <v>STM-A40_0103</v>
      </c>
      <c r="E356" s="52" t="str">
        <f ca="1"/>
        <v>LIM</v>
      </c>
      <c r="F356" s="52" t="str">
        <f ca="1"/>
        <v>LS_09</v>
      </c>
      <c r="G356" s="52" t="str">
        <f ca="1"/>
        <v>L9_26</v>
      </c>
      <c r="H356" s="52" t="str">
        <f ca="1"/>
        <v>003 / 005</v>
      </c>
      <c r="I356" s="52" t="str">
        <f ca="1"/>
        <v>Yes</v>
      </c>
      <c r="J356" s="52" t="str">
        <f ca="1"/>
        <v/>
      </c>
      <c r="K356" s="51" t="str">
        <f ca="1"/>
        <v/>
      </c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</row>
    <row r="357" spans="2:25" x14ac:dyDescent="0.25">
      <c r="B357" s="51"/>
      <c r="C357" s="70" t="str">
        <f ca="1"/>
        <v>46211/D|BR1/03</v>
      </c>
      <c r="D357" s="52" t="str">
        <f ca="1"/>
        <v>STM-A40_2010</v>
      </c>
      <c r="E357" s="52" t="str">
        <f ca="1"/>
        <v>LIM</v>
      </c>
      <c r="F357" s="52" t="str">
        <f ca="1"/>
        <v>LS_09</v>
      </c>
      <c r="G357" s="52" t="str">
        <f ca="1"/>
        <v>L9_26</v>
      </c>
      <c r="H357" s="52" t="str">
        <f ca="1"/>
        <v>003 / 006</v>
      </c>
      <c r="I357" s="52" t="str">
        <f ca="1"/>
        <v>No</v>
      </c>
      <c r="J357" s="52" t="str">
        <f ca="1"/>
        <v/>
      </c>
      <c r="K357" s="51" t="str">
        <f ca="1"/>
        <v/>
      </c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</row>
    <row r="358" spans="2:25" x14ac:dyDescent="0.25">
      <c r="B358" s="51"/>
      <c r="C358" s="70" t="str">
        <f ca="1"/>
        <v>46211/D|BR1/03</v>
      </c>
      <c r="D358" s="52" t="str">
        <f ca="1"/>
        <v>STM-A40_0131</v>
      </c>
      <c r="E358" s="52" t="str">
        <f ca="1"/>
        <v>LIM</v>
      </c>
      <c r="F358" s="52" t="str">
        <f ca="1"/>
        <v>LS_09</v>
      </c>
      <c r="G358" s="52" t="str">
        <f ca="1"/>
        <v>L9_26</v>
      </c>
      <c r="H358" s="52" t="str">
        <f ca="1"/>
        <v>003 / 007</v>
      </c>
      <c r="I358" s="52" t="str">
        <f ca="1"/>
        <v>No</v>
      </c>
      <c r="J358" s="52" t="str">
        <f ca="1"/>
        <v/>
      </c>
      <c r="K358" s="51" t="str">
        <f ca="1"/>
        <v/>
      </c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</row>
    <row r="359" spans="2:25" x14ac:dyDescent="0.25">
      <c r="B359" s="51"/>
      <c r="C359" s="70" t="str">
        <f ca="1"/>
        <v>46211/D|BR1/03</v>
      </c>
      <c r="D359" s="52" t="str">
        <f ca="1"/>
        <v>STM-A40_0135</v>
      </c>
      <c r="E359" s="52" t="str">
        <f ca="1"/>
        <v>LIM</v>
      </c>
      <c r="F359" s="52" t="str">
        <f ca="1"/>
        <v>LS_09</v>
      </c>
      <c r="G359" s="52" t="str">
        <f ca="1"/>
        <v>L9_26</v>
      </c>
      <c r="H359" s="52" t="str">
        <f ca="1"/>
        <v>003 / 008</v>
      </c>
      <c r="I359" s="52" t="str">
        <f ca="1"/>
        <v>No</v>
      </c>
      <c r="J359" s="52" t="str">
        <f ca="1"/>
        <v/>
      </c>
      <c r="K359" s="51" t="str">
        <f ca="1"/>
        <v/>
      </c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</row>
    <row r="360" spans="2:25" x14ac:dyDescent="0.25">
      <c r="B360" s="51"/>
      <c r="C360" s="70" t="str">
        <f ca="1"/>
        <v>46211/D|BR1/03</v>
      </c>
      <c r="D360" s="52" t="str">
        <f ca="1"/>
        <v>STM-A40_0103</v>
      </c>
      <c r="E360" s="52" t="str">
        <f ca="1"/>
        <v>LIM</v>
      </c>
      <c r="F360" s="52" t="str">
        <f ca="1"/>
        <v>LS_09</v>
      </c>
      <c r="G360" s="52" t="str">
        <f ca="1"/>
        <v>L9_26</v>
      </c>
      <c r="H360" s="52" t="str">
        <f ca="1"/>
        <v>003 / 009</v>
      </c>
      <c r="I360" s="52" t="str">
        <f ca="1"/>
        <v>No</v>
      </c>
      <c r="J360" s="52" t="str">
        <f ca="1"/>
        <v/>
      </c>
      <c r="K360" s="51" t="str">
        <f ca="1"/>
        <v/>
      </c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</row>
    <row r="361" spans="2:25" x14ac:dyDescent="0.25">
      <c r="B361" s="51"/>
      <c r="C361" s="70" t="str">
        <f ca="1"/>
        <v>46211/D|BR1/03</v>
      </c>
      <c r="D361" s="52" t="str">
        <f ca="1"/>
        <v>STM-A40_0135</v>
      </c>
      <c r="E361" s="52" t="str">
        <f ca="1"/>
        <v>LIM</v>
      </c>
      <c r="F361" s="52" t="str">
        <f ca="1"/>
        <v>LS_09</v>
      </c>
      <c r="G361" s="52" t="str">
        <f ca="1"/>
        <v>L9_26</v>
      </c>
      <c r="H361" s="52" t="str">
        <f ca="1"/>
        <v>003 / 010</v>
      </c>
      <c r="I361" s="52" t="str">
        <f ca="1"/>
        <v>Yes</v>
      </c>
      <c r="J361" s="52" t="str">
        <f ca="1"/>
        <v/>
      </c>
      <c r="K361" s="51" t="str">
        <f ca="1"/>
        <v/>
      </c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</row>
    <row r="362" spans="2:25" x14ac:dyDescent="0.25">
      <c r="B362" s="51"/>
      <c r="C362" s="70" t="str">
        <f ca="1"/>
        <v>46211/D|BR1/03</v>
      </c>
      <c r="D362" s="52" t="str">
        <f ca="1"/>
        <v>STM-A40_0097</v>
      </c>
      <c r="E362" s="52" t="str">
        <f ca="1"/>
        <v>LIM</v>
      </c>
      <c r="F362" s="52" t="str">
        <f ca="1"/>
        <v>LS_09</v>
      </c>
      <c r="G362" s="52" t="str">
        <f ca="1"/>
        <v>L9_26</v>
      </c>
      <c r="H362" s="52" t="str">
        <f ca="1"/>
        <v>003 / 011</v>
      </c>
      <c r="I362" s="52" t="str">
        <f ca="1"/>
        <v>No</v>
      </c>
      <c r="J362" s="52" t="str">
        <f ca="1"/>
        <v/>
      </c>
      <c r="K362" s="51" t="str">
        <f ca="1"/>
        <v/>
      </c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</row>
    <row r="363" spans="2:25" x14ac:dyDescent="0.25">
      <c r="B363" s="51"/>
      <c r="C363" s="70" t="str">
        <f ca="1"/>
        <v>46211/D|BR1/03</v>
      </c>
      <c r="D363" s="52" t="str">
        <f ca="1"/>
        <v>STM-A40_0096</v>
      </c>
      <c r="E363" s="52" t="str">
        <f ca="1"/>
        <v>LIM</v>
      </c>
      <c r="F363" s="52" t="str">
        <f ca="1"/>
        <v>LS_09</v>
      </c>
      <c r="G363" s="52" t="str">
        <f ca="1"/>
        <v>L9_26</v>
      </c>
      <c r="H363" s="52" t="str">
        <f ca="1"/>
        <v>003 / 012</v>
      </c>
      <c r="I363" s="52" t="str">
        <f ca="1"/>
        <v>No</v>
      </c>
      <c r="J363" s="52" t="str">
        <f ca="1"/>
        <v/>
      </c>
      <c r="K363" s="51" t="str">
        <f ca="1"/>
        <v/>
      </c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</row>
    <row r="364" spans="2:25" x14ac:dyDescent="0.25">
      <c r="B364" s="51"/>
      <c r="C364" s="70" t="str">
        <f ca="1"/>
        <v>46211/D|BR1/03</v>
      </c>
      <c r="D364" s="52" t="str">
        <f ca="1"/>
        <v>STM-A40_0103</v>
      </c>
      <c r="E364" s="52" t="str">
        <f ca="1"/>
        <v>LIM</v>
      </c>
      <c r="F364" s="52" t="str">
        <f ca="1"/>
        <v>LS_09</v>
      </c>
      <c r="G364" s="52" t="str">
        <f ca="1"/>
        <v>L9_26</v>
      </c>
      <c r="H364" s="52" t="str">
        <f ca="1"/>
        <v>003 / 013</v>
      </c>
      <c r="I364" s="52" t="str">
        <f ca="1"/>
        <v>No</v>
      </c>
      <c r="J364" s="52" t="str">
        <f ca="1"/>
        <v/>
      </c>
      <c r="K364" s="51" t="str">
        <f ca="1"/>
        <v/>
      </c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</row>
    <row r="365" spans="2:25" x14ac:dyDescent="0.25">
      <c r="B365" s="51"/>
      <c r="C365" s="70" t="str">
        <f ca="1"/>
        <v>46211/D|BR1/03</v>
      </c>
      <c r="D365" s="52" t="str">
        <f ca="1"/>
        <v>STM-A40_2010</v>
      </c>
      <c r="E365" s="52" t="str">
        <f ca="1"/>
        <v>LIM</v>
      </c>
      <c r="F365" s="52" t="str">
        <f ca="1"/>
        <v>LS_09</v>
      </c>
      <c r="G365" s="52" t="str">
        <f ca="1"/>
        <v>L9_26</v>
      </c>
      <c r="H365" s="52" t="str">
        <f ca="1"/>
        <v>003 / 014</v>
      </c>
      <c r="I365" s="52" t="str">
        <f ca="1"/>
        <v>No</v>
      </c>
      <c r="J365" s="52" t="str">
        <f ca="1"/>
        <v/>
      </c>
      <c r="K365" s="51" t="str">
        <f ca="1"/>
        <v/>
      </c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</row>
    <row r="366" spans="2:25" x14ac:dyDescent="0.25">
      <c r="B366" s="51"/>
      <c r="C366" s="70" t="str">
        <f ca="1"/>
        <v>46211/D|BR1/03</v>
      </c>
      <c r="D366" s="52" t="str">
        <f ca="1"/>
        <v>STM-A40_0131</v>
      </c>
      <c r="E366" s="52" t="str">
        <f ca="1"/>
        <v>LIM</v>
      </c>
      <c r="F366" s="52" t="str">
        <f ca="1"/>
        <v>LS_09</v>
      </c>
      <c r="G366" s="52" t="str">
        <f ca="1"/>
        <v>L9_26</v>
      </c>
      <c r="H366" s="52" t="str">
        <f ca="1"/>
        <v>003 / 015</v>
      </c>
      <c r="I366" s="52" t="str">
        <f ca="1"/>
        <v>Yes</v>
      </c>
      <c r="J366" s="52" t="str">
        <f ca="1"/>
        <v/>
      </c>
      <c r="K366" s="51" t="str">
        <f ca="1"/>
        <v/>
      </c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</row>
    <row r="367" spans="2:25" x14ac:dyDescent="0.25">
      <c r="B367" s="51"/>
      <c r="C367" s="70" t="str">
        <f ca="1"/>
        <v>46211/D|BR1/03</v>
      </c>
      <c r="D367" s="52" t="str">
        <f ca="1"/>
        <v>STM-A40_0095</v>
      </c>
      <c r="E367" s="52" t="str">
        <f ca="1"/>
        <v>LIM</v>
      </c>
      <c r="F367" s="52" t="str">
        <f ca="1"/>
        <v>LS_09</v>
      </c>
      <c r="G367" s="52" t="str">
        <f ca="1"/>
        <v>L9_26</v>
      </c>
      <c r="H367" s="52" t="str">
        <f ca="1"/>
        <v>003 / 016</v>
      </c>
      <c r="I367" s="52" t="str">
        <f ca="1"/>
        <v>No</v>
      </c>
      <c r="J367" s="52" t="str">
        <f ca="1"/>
        <v/>
      </c>
      <c r="K367" s="51" t="str">
        <f ca="1"/>
        <v/>
      </c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</row>
    <row r="368" spans="2:25" x14ac:dyDescent="0.25">
      <c r="B368" s="51"/>
      <c r="C368" s="70" t="str">
        <f ca="1"/>
        <v>46211/D|BR1/03</v>
      </c>
      <c r="D368" s="52" t="str">
        <f ca="1"/>
        <v>STM-A40_0103</v>
      </c>
      <c r="E368" s="52" t="str">
        <f ca="1"/>
        <v>LIM</v>
      </c>
      <c r="F368" s="52" t="str">
        <f ca="1"/>
        <v>LS_09</v>
      </c>
      <c r="G368" s="52" t="str">
        <f ca="1"/>
        <v>L9_26</v>
      </c>
      <c r="H368" s="52" t="str">
        <f ca="1"/>
        <v>003 / 017</v>
      </c>
      <c r="I368" s="52" t="str">
        <f ca="1"/>
        <v>No</v>
      </c>
      <c r="J368" s="52" t="str">
        <f ca="1"/>
        <v/>
      </c>
      <c r="K368" s="51" t="str">
        <f ca="1"/>
        <v/>
      </c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</row>
    <row r="369" spans="2:25" x14ac:dyDescent="0.25">
      <c r="B369" s="51"/>
      <c r="C369" s="70" t="str">
        <f ca="1"/>
        <v>46211/D|BR1/03</v>
      </c>
      <c r="D369" s="52" t="str">
        <f ca="1"/>
        <v>STM-A40_0096</v>
      </c>
      <c r="E369" s="52" t="str">
        <f ca="1"/>
        <v>LIM</v>
      </c>
      <c r="F369" s="52" t="str">
        <f ca="1"/>
        <v>LS_09</v>
      </c>
      <c r="G369" s="52" t="str">
        <f ca="1"/>
        <v>L9_26</v>
      </c>
      <c r="H369" s="52" t="str">
        <f ca="1"/>
        <v>003 / 018</v>
      </c>
      <c r="I369" s="52" t="str">
        <f ca="1"/>
        <v>No</v>
      </c>
      <c r="J369" s="52" t="str">
        <f ca="1"/>
        <v/>
      </c>
      <c r="K369" s="51" t="str">
        <f ca="1"/>
        <v/>
      </c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</row>
    <row r="370" spans="2:25" x14ac:dyDescent="0.25">
      <c r="B370" s="51"/>
      <c r="C370" s="70" t="str">
        <f ca="1"/>
        <v>46211/D|BR1/03</v>
      </c>
      <c r="D370" s="52" t="str">
        <f ca="1"/>
        <v>STM-A40_2010</v>
      </c>
      <c r="E370" s="52" t="str">
        <f ca="1"/>
        <v>LIM</v>
      </c>
      <c r="F370" s="52" t="str">
        <f ca="1"/>
        <v>LS_09</v>
      </c>
      <c r="G370" s="52" t="str">
        <f ca="1"/>
        <v>L9_26</v>
      </c>
      <c r="H370" s="52" t="str">
        <f ca="1"/>
        <v>003 / 019</v>
      </c>
      <c r="I370" s="52" t="str">
        <f ca="1"/>
        <v>No</v>
      </c>
      <c r="J370" s="52" t="str">
        <f ca="1"/>
        <v/>
      </c>
      <c r="K370" s="51" t="str">
        <f ca="1"/>
        <v/>
      </c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</row>
    <row r="371" spans="2:25" x14ac:dyDescent="0.25">
      <c r="B371" s="51"/>
      <c r="C371" s="70" t="str">
        <f ca="1"/>
        <v>46211/D|BR1/03</v>
      </c>
      <c r="D371" s="52" t="str">
        <f ca="1"/>
        <v>STM-A40_0131</v>
      </c>
      <c r="E371" s="52" t="str">
        <f ca="1"/>
        <v>LIM</v>
      </c>
      <c r="F371" s="52" t="str">
        <f ca="1"/>
        <v>LS_09</v>
      </c>
      <c r="G371" s="52" t="str">
        <f ca="1"/>
        <v>L9_26</v>
      </c>
      <c r="H371" s="52" t="str">
        <f ca="1"/>
        <v>003 / 020</v>
      </c>
      <c r="I371" s="52" t="str">
        <f ca="1"/>
        <v>Yes</v>
      </c>
      <c r="J371" s="52" t="str">
        <f ca="1"/>
        <v/>
      </c>
      <c r="K371" s="51" t="str">
        <f ca="1"/>
        <v/>
      </c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</row>
    <row r="372" spans="2:25" x14ac:dyDescent="0.25">
      <c r="B372" s="51"/>
      <c r="C372" s="70" t="str">
        <f ca="1"/>
        <v>46211/D|BR1/03</v>
      </c>
      <c r="D372" s="52" t="str">
        <f ca="1"/>
        <v>STM-A40_0097</v>
      </c>
      <c r="E372" s="52" t="str">
        <f ca="1"/>
        <v>LIM</v>
      </c>
      <c r="F372" s="52" t="str">
        <f ca="1"/>
        <v>LS_09</v>
      </c>
      <c r="G372" s="52" t="str">
        <f ca="1"/>
        <v>L9_26</v>
      </c>
      <c r="H372" s="52" t="str">
        <f ca="1"/>
        <v>003 / 021</v>
      </c>
      <c r="I372" s="52" t="str">
        <f ca="1"/>
        <v>No</v>
      </c>
      <c r="J372" s="52" t="str">
        <f ca="1"/>
        <v/>
      </c>
      <c r="K372" s="51" t="str">
        <f ca="1"/>
        <v/>
      </c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</row>
    <row r="373" spans="2:25" x14ac:dyDescent="0.25">
      <c r="B373" s="51"/>
      <c r="C373" s="70" t="str">
        <f ca="1"/>
        <v>46211/D|BR1/03</v>
      </c>
      <c r="D373" s="52" t="str">
        <f ca="1"/>
        <v>STM-A40_0103</v>
      </c>
      <c r="E373" s="52" t="str">
        <f ca="1"/>
        <v>LIM</v>
      </c>
      <c r="F373" s="52" t="str">
        <f ca="1"/>
        <v>LS_09</v>
      </c>
      <c r="G373" s="52" t="str">
        <f ca="1"/>
        <v>L9_26</v>
      </c>
      <c r="H373" s="52" t="str">
        <f ca="1"/>
        <v>003 / 022</v>
      </c>
      <c r="I373" s="52" t="str">
        <f ca="1"/>
        <v>No</v>
      </c>
      <c r="J373" s="52" t="str">
        <f ca="1"/>
        <v/>
      </c>
      <c r="K373" s="51" t="str">
        <f ca="1"/>
        <v/>
      </c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</row>
    <row r="374" spans="2:25" x14ac:dyDescent="0.25">
      <c r="B374" s="51"/>
      <c r="C374" s="70" t="str">
        <f ca="1"/>
        <v>46211/D|BR1/03</v>
      </c>
      <c r="D374" s="52" t="str">
        <f ca="1"/>
        <v>STM-A40_0135</v>
      </c>
      <c r="E374" s="52" t="str">
        <f ca="1"/>
        <v>LIM</v>
      </c>
      <c r="F374" s="52" t="str">
        <f ca="1"/>
        <v>LS_09</v>
      </c>
      <c r="G374" s="52" t="str">
        <f ca="1"/>
        <v>L9_26</v>
      </c>
      <c r="H374" s="52" t="str">
        <f ca="1"/>
        <v>003 / 023</v>
      </c>
      <c r="I374" s="52" t="str">
        <f ca="1"/>
        <v>No</v>
      </c>
      <c r="J374" s="52" t="str">
        <f ca="1"/>
        <v/>
      </c>
      <c r="K374" s="51" t="str">
        <f ca="1"/>
        <v/>
      </c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</row>
    <row r="375" spans="2:25" x14ac:dyDescent="0.25">
      <c r="B375" s="51"/>
      <c r="C375" s="70" t="str">
        <f ca="1"/>
        <v>46211/D|BR1/03</v>
      </c>
      <c r="D375" s="52" t="str">
        <f ca="1"/>
        <v>STM-A40_0131</v>
      </c>
      <c r="E375" s="52" t="str">
        <f ca="1"/>
        <v>LIM</v>
      </c>
      <c r="F375" s="52" t="str">
        <f ca="1"/>
        <v>LS_09</v>
      </c>
      <c r="G375" s="52" t="str">
        <f ca="1"/>
        <v>L9_26</v>
      </c>
      <c r="H375" s="52" t="str">
        <f ca="1"/>
        <v>003 / 024</v>
      </c>
      <c r="I375" s="52" t="str">
        <f ca="1"/>
        <v>No</v>
      </c>
      <c r="J375" s="52" t="str">
        <f ca="1"/>
        <v/>
      </c>
      <c r="K375" s="51" t="str">
        <f ca="1"/>
        <v/>
      </c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</row>
    <row r="376" spans="2:25" x14ac:dyDescent="0.25">
      <c r="B376" s="51"/>
      <c r="C376" s="70" t="str">
        <f ca="1"/>
        <v>46211/D|BR1/03</v>
      </c>
      <c r="D376" s="52" t="str">
        <f ca="1"/>
        <v>STM-A40_2010</v>
      </c>
      <c r="E376" s="52" t="str">
        <f ca="1"/>
        <v>LIM</v>
      </c>
      <c r="F376" s="52" t="str">
        <f ca="1"/>
        <v>LS_09</v>
      </c>
      <c r="G376" s="52" t="str">
        <f ca="1"/>
        <v>L9_26</v>
      </c>
      <c r="H376" s="52" t="str">
        <f ca="1"/>
        <v>003 / 025</v>
      </c>
      <c r="I376" s="52" t="str">
        <f ca="1"/>
        <v>Yes</v>
      </c>
      <c r="J376" s="52" t="str">
        <f ca="1"/>
        <v/>
      </c>
      <c r="K376" s="51" t="str">
        <f ca="1"/>
        <v/>
      </c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</row>
    <row r="377" spans="2:25" x14ac:dyDescent="0.25">
      <c r="B377" s="51"/>
      <c r="C377" s="70" t="str">
        <f ca="1"/>
        <v>46211/D|BR1/03</v>
      </c>
      <c r="D377" s="52" t="str">
        <f ca="1"/>
        <v>STM-A40_0097</v>
      </c>
      <c r="E377" s="52" t="str">
        <f ca="1"/>
        <v>LIM</v>
      </c>
      <c r="F377" s="52" t="str">
        <f ca="1"/>
        <v>LS_09</v>
      </c>
      <c r="G377" s="52" t="str">
        <f ca="1"/>
        <v>L9_26</v>
      </c>
      <c r="H377" s="52" t="str">
        <f ca="1"/>
        <v>003 / 026</v>
      </c>
      <c r="I377" s="52" t="str">
        <f ca="1"/>
        <v>No</v>
      </c>
      <c r="J377" s="52" t="str">
        <f ca="1"/>
        <v/>
      </c>
      <c r="K377" s="51" t="str">
        <f ca="1"/>
        <v/>
      </c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</row>
    <row r="378" spans="2:25" x14ac:dyDescent="0.25">
      <c r="B378" s="51"/>
      <c r="C378" s="70" t="str">
        <f ca="1"/>
        <v>46211/D|BR1/03</v>
      </c>
      <c r="D378" s="52" t="str">
        <f ca="1"/>
        <v>STM-A40_0103</v>
      </c>
      <c r="E378" s="52" t="str">
        <f ca="1"/>
        <v>LIM</v>
      </c>
      <c r="F378" s="52" t="str">
        <f ca="1"/>
        <v>LS_09</v>
      </c>
      <c r="G378" s="52" t="str">
        <f ca="1"/>
        <v>L9_26</v>
      </c>
      <c r="H378" s="52" t="str">
        <f ca="1"/>
        <v>003 / 027</v>
      </c>
      <c r="I378" s="52" t="str">
        <f ca="1"/>
        <v>No</v>
      </c>
      <c r="J378" s="52" t="str">
        <f ca="1"/>
        <v/>
      </c>
      <c r="K378" s="51" t="str">
        <f ca="1"/>
        <v/>
      </c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</row>
    <row r="379" spans="2:25" x14ac:dyDescent="0.25">
      <c r="B379" s="51"/>
      <c r="C379" s="70" t="str">
        <f ca="1"/>
        <v>46211/D|BR1/03</v>
      </c>
      <c r="D379" s="52" t="str">
        <f ca="1"/>
        <v>STM-A40_0135</v>
      </c>
      <c r="E379" s="52" t="str">
        <f ca="1"/>
        <v>LIM</v>
      </c>
      <c r="F379" s="52" t="str">
        <f ca="1"/>
        <v>LS_09</v>
      </c>
      <c r="G379" s="52" t="str">
        <f ca="1"/>
        <v>L9_26</v>
      </c>
      <c r="H379" s="52" t="str">
        <f ca="1"/>
        <v>003 / 028</v>
      </c>
      <c r="I379" s="52" t="str">
        <f ca="1"/>
        <v>No</v>
      </c>
      <c r="J379" s="52" t="str">
        <f ca="1"/>
        <v/>
      </c>
      <c r="K379" s="51" t="str">
        <f ca="1"/>
        <v/>
      </c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</row>
    <row r="380" spans="2:25" x14ac:dyDescent="0.25">
      <c r="B380" s="51"/>
      <c r="C380" s="70" t="str">
        <f ca="1"/>
        <v>46211/D|BR1/03</v>
      </c>
      <c r="D380" s="52" t="str">
        <f ca="1"/>
        <v>STM-A40_0131</v>
      </c>
      <c r="E380" s="52" t="str">
        <f ca="1"/>
        <v>LIM</v>
      </c>
      <c r="F380" s="52" t="str">
        <f ca="1"/>
        <v>LS_09</v>
      </c>
      <c r="G380" s="52" t="str">
        <f ca="1"/>
        <v>L9_26</v>
      </c>
      <c r="H380" s="52" t="str">
        <f ca="1"/>
        <v>003 / 029</v>
      </c>
      <c r="I380" s="52" t="str">
        <f ca="1"/>
        <v>No</v>
      </c>
      <c r="J380" s="52" t="str">
        <f ca="1"/>
        <v/>
      </c>
      <c r="K380" s="51" t="str">
        <f ca="1"/>
        <v/>
      </c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</row>
    <row r="381" spans="2:25" x14ac:dyDescent="0.25">
      <c r="B381" s="51"/>
      <c r="C381" s="70" t="str">
        <f ca="1"/>
        <v>46211/D|BR1/03</v>
      </c>
      <c r="D381" s="52" t="str">
        <f ca="1"/>
        <v>STM-A40_0103</v>
      </c>
      <c r="E381" s="52" t="str">
        <f ca="1"/>
        <v>LIM</v>
      </c>
      <c r="F381" s="52" t="str">
        <f ca="1"/>
        <v>LS_09</v>
      </c>
      <c r="G381" s="52" t="str">
        <f ca="1"/>
        <v>L9_26</v>
      </c>
      <c r="H381" s="52" t="str">
        <f ca="1"/>
        <v>003 / 030</v>
      </c>
      <c r="I381" s="52" t="str">
        <f ca="1"/>
        <v>Yes</v>
      </c>
      <c r="J381" s="52" t="str">
        <f ca="1"/>
        <v/>
      </c>
      <c r="K381" s="51" t="str">
        <f ca="1"/>
        <v/>
      </c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</row>
    <row r="382" spans="2:25" x14ac:dyDescent="0.25">
      <c r="B382" s="51"/>
      <c r="C382" s="70" t="str">
        <f ca="1"/>
        <v>46211/D|BR1/03</v>
      </c>
      <c r="D382" s="52" t="str">
        <f ca="1"/>
        <v>STM-A40_0097</v>
      </c>
      <c r="E382" s="52" t="str">
        <f ca="1"/>
        <v>LIM</v>
      </c>
      <c r="F382" s="52" t="str">
        <f ca="1"/>
        <v>LS_09</v>
      </c>
      <c r="G382" s="52" t="str">
        <f ca="1"/>
        <v>L9_26</v>
      </c>
      <c r="H382" s="52" t="str">
        <f ca="1"/>
        <v>003 / 031</v>
      </c>
      <c r="I382" s="52" t="str">
        <f ca="1"/>
        <v>No</v>
      </c>
      <c r="J382" s="52" t="str">
        <f ca="1"/>
        <v/>
      </c>
      <c r="K382" s="51" t="str">
        <f ca="1"/>
        <v/>
      </c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</row>
    <row r="383" spans="2:25" x14ac:dyDescent="0.25">
      <c r="B383" s="51"/>
      <c r="C383" s="70" t="str">
        <f ca="1"/>
        <v>46211/D|BR1/03</v>
      </c>
      <c r="D383" s="52" t="str">
        <f ca="1"/>
        <v>STM-A40_0135</v>
      </c>
      <c r="E383" s="52" t="str">
        <f ca="1"/>
        <v>LIM</v>
      </c>
      <c r="F383" s="52" t="str">
        <f ca="1"/>
        <v>LS_09</v>
      </c>
      <c r="G383" s="52" t="str">
        <f ca="1"/>
        <v>L9_26</v>
      </c>
      <c r="H383" s="52" t="str">
        <f ca="1"/>
        <v>003 / 032</v>
      </c>
      <c r="I383" s="52" t="str">
        <f ca="1"/>
        <v>No</v>
      </c>
      <c r="J383" s="52" t="str">
        <f ca="1"/>
        <v/>
      </c>
      <c r="K383" s="51" t="str">
        <f ca="1"/>
        <v/>
      </c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</row>
    <row r="384" spans="2:25" x14ac:dyDescent="0.25">
      <c r="B384" s="51"/>
      <c r="C384" s="70" t="str">
        <f ca="1"/>
        <v>46211/D|BR1/03</v>
      </c>
      <c r="D384" s="52" t="str">
        <f ca="1"/>
        <v>STM-A40_2010</v>
      </c>
      <c r="E384" s="52" t="str">
        <f ca="1"/>
        <v>LIM</v>
      </c>
      <c r="F384" s="52" t="str">
        <f ca="1"/>
        <v>LS_09</v>
      </c>
      <c r="G384" s="52" t="str">
        <f ca="1"/>
        <v>L9_26</v>
      </c>
      <c r="H384" s="52" t="str">
        <f ca="1"/>
        <v>003 / 033</v>
      </c>
      <c r="I384" s="52" t="str">
        <f ca="1"/>
        <v>No</v>
      </c>
      <c r="J384" s="52" t="str">
        <f ca="1"/>
        <v/>
      </c>
      <c r="K384" s="51" t="str">
        <f ca="1"/>
        <v/>
      </c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</row>
    <row r="385" spans="2:25" x14ac:dyDescent="0.25">
      <c r="B385" s="51"/>
      <c r="C385" s="70" t="str">
        <f ca="1"/>
        <v>46211/D|BR1/03</v>
      </c>
      <c r="D385" s="52" t="str">
        <f ca="1"/>
        <v>STM-A40_0131</v>
      </c>
      <c r="E385" s="52" t="str">
        <f ca="1"/>
        <v>LIM</v>
      </c>
      <c r="F385" s="52" t="str">
        <f ca="1"/>
        <v>LS_09</v>
      </c>
      <c r="G385" s="52" t="str">
        <f ca="1"/>
        <v>L9_26</v>
      </c>
      <c r="H385" s="52" t="str">
        <f ca="1"/>
        <v>003 / 034</v>
      </c>
      <c r="I385" s="52" t="str">
        <f ca="1"/>
        <v>No</v>
      </c>
      <c r="J385" s="52" t="str">
        <f ca="1"/>
        <v/>
      </c>
      <c r="K385" s="51" t="str">
        <f ca="1"/>
        <v/>
      </c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</row>
    <row r="386" spans="2:25" x14ac:dyDescent="0.25">
      <c r="B386" s="51"/>
      <c r="C386" s="70" t="str">
        <f ca="1"/>
        <v>46211/D|BR1/03</v>
      </c>
      <c r="D386" s="52" t="str">
        <f ca="1"/>
        <v>STM-A40_0103</v>
      </c>
      <c r="E386" s="52" t="str">
        <f ca="1"/>
        <v>LIM</v>
      </c>
      <c r="F386" s="52" t="str">
        <f ca="1"/>
        <v>LS_09</v>
      </c>
      <c r="G386" s="52" t="str">
        <f ca="1"/>
        <v>L9_26</v>
      </c>
      <c r="H386" s="52" t="str">
        <f ca="1"/>
        <v>003 / 035</v>
      </c>
      <c r="I386" s="52" t="str">
        <f ca="1"/>
        <v>Yes</v>
      </c>
      <c r="J386" s="52" t="str">
        <f ca="1"/>
        <v/>
      </c>
      <c r="K386" s="51" t="str">
        <f ca="1"/>
        <v/>
      </c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</row>
    <row r="387" spans="2:25" x14ac:dyDescent="0.25">
      <c r="B387" s="51"/>
      <c r="C387" s="70" t="str">
        <f ca="1"/>
        <v>46211/D|BR1/03</v>
      </c>
      <c r="D387" s="52" t="str">
        <f ca="1"/>
        <v>STM-A40_0097</v>
      </c>
      <c r="E387" s="52" t="str">
        <f ca="1"/>
        <v>LIM</v>
      </c>
      <c r="F387" s="52" t="str">
        <f ca="1"/>
        <v>LS_09</v>
      </c>
      <c r="G387" s="52" t="str">
        <f ca="1"/>
        <v>L9_26</v>
      </c>
      <c r="H387" s="52" t="str">
        <f ca="1"/>
        <v>003 / 036</v>
      </c>
      <c r="I387" s="52" t="str">
        <f ca="1"/>
        <v>No</v>
      </c>
      <c r="J387" s="52" t="str">
        <f ca="1"/>
        <v/>
      </c>
      <c r="K387" s="51" t="str">
        <f ca="1"/>
        <v/>
      </c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</row>
    <row r="388" spans="2:25" x14ac:dyDescent="0.25">
      <c r="B388" s="51"/>
      <c r="C388" s="70" t="str">
        <f ca="1"/>
        <v>46211/D|BR1/03</v>
      </c>
      <c r="D388" s="52" t="str">
        <f ca="1"/>
        <v>STM-A40_0135</v>
      </c>
      <c r="E388" s="52" t="str">
        <f ca="1"/>
        <v>LIM</v>
      </c>
      <c r="F388" s="52" t="str">
        <f ca="1"/>
        <v>LS_09</v>
      </c>
      <c r="G388" s="52" t="str">
        <f ca="1"/>
        <v>L9_26</v>
      </c>
      <c r="H388" s="52" t="str">
        <f ca="1"/>
        <v>003 / 037</v>
      </c>
      <c r="I388" s="52" t="str">
        <f ca="1"/>
        <v>No</v>
      </c>
      <c r="J388" s="52" t="str">
        <f ca="1"/>
        <v/>
      </c>
      <c r="K388" s="51" t="str">
        <f ca="1"/>
        <v/>
      </c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</row>
    <row r="389" spans="2:25" x14ac:dyDescent="0.25">
      <c r="B389" s="51"/>
      <c r="C389" s="70" t="str">
        <f ca="1"/>
        <v>46211/D|BR1/03</v>
      </c>
      <c r="D389" s="52" t="str">
        <f ca="1"/>
        <v>STM-A40_0103</v>
      </c>
      <c r="E389" s="52" t="str">
        <f ca="1"/>
        <v>LIM</v>
      </c>
      <c r="F389" s="52" t="str">
        <f ca="1"/>
        <v>LS_09</v>
      </c>
      <c r="G389" s="52" t="str">
        <f ca="1"/>
        <v>L9_26</v>
      </c>
      <c r="H389" s="52" t="str">
        <f ca="1"/>
        <v>003 / 038</v>
      </c>
      <c r="I389" s="52" t="str">
        <f ca="1"/>
        <v>No</v>
      </c>
      <c r="J389" s="52" t="str">
        <f ca="1"/>
        <v/>
      </c>
      <c r="K389" s="51" t="str">
        <f ca="1"/>
        <v/>
      </c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</row>
    <row r="390" spans="2:25" x14ac:dyDescent="0.25">
      <c r="B390" s="51"/>
      <c r="C390" s="70" t="str">
        <f ca="1"/>
        <v>46211/D|BR1/03</v>
      </c>
      <c r="D390" s="52" t="str">
        <f ca="1"/>
        <v>STM-A40_2010</v>
      </c>
      <c r="E390" s="52" t="str">
        <f ca="1"/>
        <v>LIM</v>
      </c>
      <c r="F390" s="52" t="str">
        <f ca="1"/>
        <v>LS_09</v>
      </c>
      <c r="G390" s="52" t="str">
        <f ca="1"/>
        <v>L9_26</v>
      </c>
      <c r="H390" s="52" t="str">
        <f ca="1"/>
        <v>003 / 039</v>
      </c>
      <c r="I390" s="52" t="str">
        <f ca="1"/>
        <v>No</v>
      </c>
      <c r="J390" s="52" t="str">
        <f ca="1"/>
        <v/>
      </c>
      <c r="K390" s="51" t="str">
        <f ca="1"/>
        <v/>
      </c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</row>
    <row r="391" spans="2:25" x14ac:dyDescent="0.25">
      <c r="B391" s="51"/>
      <c r="C391" s="70" t="str">
        <f ca="1"/>
        <v>46211/D|BR1/03</v>
      </c>
      <c r="D391" s="52" t="str">
        <f ca="1"/>
        <v>STM-A40_0131</v>
      </c>
      <c r="E391" s="52" t="str">
        <f ca="1"/>
        <v>LIM</v>
      </c>
      <c r="F391" s="52" t="str">
        <f ca="1"/>
        <v>LS_09</v>
      </c>
      <c r="G391" s="52" t="str">
        <f ca="1"/>
        <v>L9_26</v>
      </c>
      <c r="H391" s="52" t="str">
        <f ca="1"/>
        <v>003 / 040</v>
      </c>
      <c r="I391" s="52" t="str">
        <f ca="1"/>
        <v>Yes</v>
      </c>
      <c r="J391" s="52" t="str">
        <f ca="1"/>
        <v/>
      </c>
      <c r="K391" s="51" t="str">
        <f ca="1"/>
        <v/>
      </c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</row>
    <row r="392" spans="2:25" x14ac:dyDescent="0.25">
      <c r="B392" s="51"/>
      <c r="C392" s="70" t="str">
        <f ca="1"/>
        <v>46211/D|BR1/03</v>
      </c>
      <c r="D392" s="52" t="str">
        <f ca="1"/>
        <v>STM-A40_0097</v>
      </c>
      <c r="E392" s="52" t="str">
        <f ca="1"/>
        <v>LIM</v>
      </c>
      <c r="F392" s="52" t="str">
        <f ca="1"/>
        <v>LS_09</v>
      </c>
      <c r="G392" s="52" t="str">
        <f ca="1"/>
        <v>L9_26</v>
      </c>
      <c r="H392" s="52" t="str">
        <f ca="1"/>
        <v>003 / 041</v>
      </c>
      <c r="I392" s="52" t="str">
        <f ca="1"/>
        <v>No</v>
      </c>
      <c r="J392" s="52" t="str">
        <f ca="1"/>
        <v/>
      </c>
      <c r="K392" s="51" t="str">
        <f ca="1"/>
        <v/>
      </c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</row>
    <row r="393" spans="2:25" x14ac:dyDescent="0.25">
      <c r="B393" s="51"/>
      <c r="C393" s="70" t="str">
        <f ca="1"/>
        <v>46211/D|BR1/03</v>
      </c>
      <c r="D393" s="52" t="str">
        <f ca="1"/>
        <v>STM-A40_0103</v>
      </c>
      <c r="E393" s="52" t="str">
        <f ca="1"/>
        <v>LIM</v>
      </c>
      <c r="F393" s="52" t="str">
        <f ca="1"/>
        <v>LS_09</v>
      </c>
      <c r="G393" s="52" t="str">
        <f ca="1"/>
        <v>L9_26</v>
      </c>
      <c r="H393" s="52" t="str">
        <f ca="1"/>
        <v>003 / 042</v>
      </c>
      <c r="I393" s="52" t="str">
        <f ca="1"/>
        <v>No</v>
      </c>
      <c r="J393" s="52" t="str">
        <f ca="1"/>
        <v/>
      </c>
      <c r="K393" s="51" t="str">
        <f ca="1"/>
        <v/>
      </c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</row>
    <row r="394" spans="2:25" x14ac:dyDescent="0.25">
      <c r="B394" s="51"/>
      <c r="C394" s="70" t="str">
        <f ca="1"/>
        <v>46211/D|BR1/03</v>
      </c>
      <c r="D394" s="52" t="str">
        <f ca="1"/>
        <v>STM-A40_2010</v>
      </c>
      <c r="E394" s="52" t="str">
        <f ca="1"/>
        <v>LIM</v>
      </c>
      <c r="F394" s="52" t="str">
        <f ca="1"/>
        <v>LS_09</v>
      </c>
      <c r="G394" s="52" t="str">
        <f ca="1"/>
        <v>L9_26</v>
      </c>
      <c r="H394" s="52" t="str">
        <f ca="1"/>
        <v>003 / 043</v>
      </c>
      <c r="I394" s="52" t="str">
        <f ca="1"/>
        <v>No</v>
      </c>
      <c r="J394" s="52" t="str">
        <f ca="1"/>
        <v/>
      </c>
      <c r="K394" s="51" t="str">
        <f ca="1"/>
        <v/>
      </c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</row>
    <row r="395" spans="2:25" x14ac:dyDescent="0.25">
      <c r="B395" s="51"/>
      <c r="C395" s="70" t="str">
        <f ca="1"/>
        <v>46211/D|BR1/03</v>
      </c>
      <c r="D395" s="52" t="str">
        <f ca="1"/>
        <v>STM-A40_0131</v>
      </c>
      <c r="E395" s="52" t="str">
        <f ca="1"/>
        <v>LIM</v>
      </c>
      <c r="F395" s="52" t="str">
        <f ca="1"/>
        <v>LS_09</v>
      </c>
      <c r="G395" s="52" t="str">
        <f ca="1"/>
        <v>L9_26</v>
      </c>
      <c r="H395" s="52" t="str">
        <f ca="1"/>
        <v>003 / 044</v>
      </c>
      <c r="I395" s="52" t="str">
        <f ca="1"/>
        <v>No</v>
      </c>
      <c r="J395" s="52" t="str">
        <f ca="1"/>
        <v/>
      </c>
      <c r="K395" s="51" t="str">
        <f ca="1"/>
        <v/>
      </c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</row>
    <row r="396" spans="2:25" x14ac:dyDescent="0.25">
      <c r="B396" s="51"/>
      <c r="C396" s="70" t="str">
        <f ca="1"/>
        <v>46211/D|BR1/03</v>
      </c>
      <c r="D396" s="52" t="str">
        <f ca="1"/>
        <v>STM-A40_0135</v>
      </c>
      <c r="E396" s="52" t="str">
        <f ca="1"/>
        <v>LIM</v>
      </c>
      <c r="F396" s="52" t="str">
        <f ca="1"/>
        <v>LS_09</v>
      </c>
      <c r="G396" s="52" t="str">
        <f ca="1"/>
        <v>L9_26</v>
      </c>
      <c r="H396" s="52" t="str">
        <f ca="1"/>
        <v>003 / 045</v>
      </c>
      <c r="I396" s="52" t="str">
        <f ca="1"/>
        <v>Yes</v>
      </c>
      <c r="J396" s="52" t="str">
        <f ca="1"/>
        <v/>
      </c>
      <c r="K396" s="51" t="str">
        <f ca="1"/>
        <v/>
      </c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</row>
    <row r="397" spans="2:25" x14ac:dyDescent="0.25">
      <c r="B397" s="51"/>
      <c r="C397" s="70" t="str">
        <f ca="1"/>
        <v>46211/D|BR1/03</v>
      </c>
      <c r="D397" s="52" t="str">
        <f ca="1"/>
        <v>STM-A40_0103</v>
      </c>
      <c r="E397" s="52" t="str">
        <f ca="1"/>
        <v>LIM</v>
      </c>
      <c r="F397" s="52" t="str">
        <f ca="1"/>
        <v>LS_09</v>
      </c>
      <c r="G397" s="52" t="str">
        <f ca="1"/>
        <v>L9_26</v>
      </c>
      <c r="H397" s="52" t="str">
        <f ca="1"/>
        <v>003 / 046</v>
      </c>
      <c r="I397" s="52" t="str">
        <f ca="1"/>
        <v>No</v>
      </c>
      <c r="J397" s="52" t="str">
        <f ca="1"/>
        <v/>
      </c>
      <c r="K397" s="51" t="str">
        <f ca="1"/>
        <v/>
      </c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</row>
    <row r="398" spans="2:25" x14ac:dyDescent="0.25">
      <c r="B398" s="51"/>
      <c r="C398" s="70" t="str">
        <f ca="1"/>
        <v>46211/D|BR1/03</v>
      </c>
      <c r="D398" s="52" t="str">
        <f ca="1"/>
        <v>STM-A40_2010</v>
      </c>
      <c r="E398" s="52" t="str">
        <f ca="1"/>
        <v>LIM</v>
      </c>
      <c r="F398" s="52" t="str">
        <f ca="1"/>
        <v>LS_09</v>
      </c>
      <c r="G398" s="52" t="str">
        <f ca="1"/>
        <v>L9_26</v>
      </c>
      <c r="H398" s="52" t="str">
        <f ca="1"/>
        <v>003 / 047</v>
      </c>
      <c r="I398" s="52" t="str">
        <f ca="1"/>
        <v>No</v>
      </c>
      <c r="J398" s="52" t="str">
        <f ca="1"/>
        <v/>
      </c>
      <c r="K398" s="51" t="str">
        <f ca="1"/>
        <v/>
      </c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</row>
    <row r="399" spans="2:25" x14ac:dyDescent="0.25">
      <c r="B399" s="51"/>
      <c r="C399" s="70" t="str">
        <f ca="1"/>
        <v>46211/D|BR1/03</v>
      </c>
      <c r="D399" s="52" t="str">
        <f ca="1"/>
        <v>STM-A40_0135</v>
      </c>
      <c r="E399" s="52" t="str">
        <f ca="1"/>
        <v>LIM</v>
      </c>
      <c r="F399" s="52" t="str">
        <f ca="1"/>
        <v>LS_09</v>
      </c>
      <c r="G399" s="52" t="str">
        <f ca="1"/>
        <v>L9_26</v>
      </c>
      <c r="H399" s="52" t="str">
        <f ca="1"/>
        <v>003 / 048</v>
      </c>
      <c r="I399" s="52" t="str">
        <f ca="1"/>
        <v>No</v>
      </c>
      <c r="J399" s="52" t="str">
        <f ca="1"/>
        <v/>
      </c>
      <c r="K399" s="51" t="str">
        <f ca="1"/>
        <v/>
      </c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</row>
    <row r="400" spans="2:25" x14ac:dyDescent="0.25">
      <c r="B400" s="51"/>
      <c r="C400" s="70" t="str">
        <f ca="1"/>
        <v>46211/D|BR1/03</v>
      </c>
      <c r="D400" s="52" t="str">
        <f ca="1"/>
        <v>STM-A40_0131</v>
      </c>
      <c r="E400" s="52" t="str">
        <f ca="1"/>
        <v>LIM</v>
      </c>
      <c r="F400" s="52" t="str">
        <f ca="1"/>
        <v>LS_09</v>
      </c>
      <c r="G400" s="52" t="str">
        <f ca="1"/>
        <v>L9_26</v>
      </c>
      <c r="H400" s="52" t="str">
        <f ca="1"/>
        <v>003 / 049</v>
      </c>
      <c r="I400" s="52" t="str">
        <f ca="1"/>
        <v>No</v>
      </c>
      <c r="J400" s="52" t="str">
        <f ca="1"/>
        <v/>
      </c>
      <c r="K400" s="51" t="str">
        <f ca="1"/>
        <v/>
      </c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</row>
    <row r="401" spans="2:25" x14ac:dyDescent="0.25">
      <c r="B401" s="51"/>
      <c r="C401" s="70" t="str">
        <f ca="1"/>
        <v>46211/D|BR1/03</v>
      </c>
      <c r="D401" s="52" t="str">
        <f ca="1"/>
        <v>STM-A40_0097</v>
      </c>
      <c r="E401" s="52" t="str">
        <f ca="1"/>
        <v>LIM</v>
      </c>
      <c r="F401" s="52" t="str">
        <f ca="1"/>
        <v>LS_09</v>
      </c>
      <c r="G401" s="52" t="str">
        <f ca="1"/>
        <v>L9_26</v>
      </c>
      <c r="H401" s="52" t="str">
        <f ca="1"/>
        <v>003 / 050</v>
      </c>
      <c r="I401" s="52" t="str">
        <f ca="1"/>
        <v>Yes</v>
      </c>
      <c r="J401" s="52" t="str">
        <f ca="1"/>
        <v/>
      </c>
      <c r="K401" s="51" t="str">
        <f ca="1"/>
        <v/>
      </c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</row>
    <row r="402" spans="2:25" x14ac:dyDescent="0.25">
      <c r="B402" s="51"/>
      <c r="C402" s="70" t="str">
        <f ca="1"/>
        <v/>
      </c>
      <c r="D402" s="52" t="str">
        <f ca="1"/>
        <v/>
      </c>
      <c r="E402" s="52" t="str">
        <f ca="1"/>
        <v/>
      </c>
      <c r="F402" s="52" t="str">
        <f ca="1"/>
        <v/>
      </c>
      <c r="G402" s="52" t="str">
        <f ca="1"/>
        <v/>
      </c>
      <c r="H402" s="52" t="str">
        <f ca="1"/>
        <v/>
      </c>
      <c r="I402" s="52" t="str">
        <f ca="1"/>
        <v/>
      </c>
      <c r="J402" s="52" t="str">
        <f ca="1"/>
        <v/>
      </c>
      <c r="K402" s="51" t="str">
        <f ca="1"/>
        <v/>
      </c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</row>
    <row r="403" spans="2:25" x14ac:dyDescent="0.25">
      <c r="B403" s="51"/>
      <c r="C403" s="70"/>
      <c r="D403" s="52"/>
      <c r="E403" s="52"/>
      <c r="F403" s="52"/>
      <c r="G403" s="52"/>
      <c r="H403" s="52"/>
      <c r="I403" s="52"/>
      <c r="J403" s="52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</row>
    <row r="404" spans="2:25" x14ac:dyDescent="0.25">
      <c r="B404" s="51"/>
      <c r="C404" s="70"/>
      <c r="D404" s="52"/>
      <c r="E404" s="52"/>
      <c r="F404" s="52"/>
      <c r="G404" s="52"/>
      <c r="H404" s="52"/>
      <c r="I404" s="52"/>
      <c r="J404" s="52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</row>
    <row r="405" spans="2:25" x14ac:dyDescent="0.25">
      <c r="B405" s="51"/>
      <c r="C405" s="70"/>
      <c r="D405" s="52"/>
      <c r="E405" s="52"/>
      <c r="F405" s="52"/>
      <c r="G405" s="52"/>
      <c r="H405" s="52"/>
      <c r="I405" s="52"/>
      <c r="J405" s="52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</row>
    <row r="406" spans="2:25" x14ac:dyDescent="0.25">
      <c r="B406" s="51"/>
      <c r="C406" s="70"/>
      <c r="D406" s="52"/>
      <c r="E406" s="52"/>
      <c r="F406" s="52"/>
      <c r="G406" s="52"/>
      <c r="H406" s="52"/>
      <c r="I406" s="52"/>
      <c r="J406" s="52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</row>
    <row r="407" spans="2:25" x14ac:dyDescent="0.25">
      <c r="B407" s="51"/>
      <c r="C407" s="70"/>
      <c r="D407" s="52"/>
      <c r="E407" s="52"/>
      <c r="F407" s="52"/>
      <c r="G407" s="52"/>
      <c r="H407" s="52"/>
      <c r="I407" s="52"/>
      <c r="J407" s="52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</row>
    <row r="408" spans="2:25" x14ac:dyDescent="0.25">
      <c r="B408" s="51"/>
      <c r="C408" s="70"/>
      <c r="D408" s="52"/>
      <c r="E408" s="52"/>
      <c r="F408" s="52"/>
      <c r="G408" s="52"/>
      <c r="H408" s="52"/>
      <c r="I408" s="52"/>
      <c r="J408" s="52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</row>
    <row r="409" spans="2:25" x14ac:dyDescent="0.25">
      <c r="B409" s="51"/>
      <c r="C409" s="70"/>
      <c r="D409" s="52"/>
      <c r="E409" s="52"/>
      <c r="F409" s="52"/>
      <c r="G409" s="52"/>
      <c r="H409" s="52"/>
      <c r="I409" s="52"/>
      <c r="J409" s="52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</row>
    <row r="410" spans="2:25" x14ac:dyDescent="0.25">
      <c r="B410" s="51"/>
      <c r="C410" s="70"/>
      <c r="D410" s="52"/>
      <c r="E410" s="52"/>
      <c r="F410" s="52"/>
      <c r="G410" s="52"/>
      <c r="H410" s="52"/>
      <c r="I410" s="52"/>
      <c r="J410" s="52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</row>
    <row r="411" spans="2:25" x14ac:dyDescent="0.25">
      <c r="B411" s="51"/>
      <c r="C411" s="70"/>
      <c r="D411" s="52"/>
      <c r="E411" s="52"/>
      <c r="F411" s="52"/>
      <c r="G411" s="52"/>
      <c r="H411" s="52"/>
      <c r="I411" s="52"/>
      <c r="J411" s="52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</row>
    <row r="412" spans="2:25" x14ac:dyDescent="0.25">
      <c r="B412" s="51"/>
      <c r="C412" s="70"/>
      <c r="D412" s="52"/>
      <c r="E412" s="52"/>
      <c r="F412" s="52"/>
      <c r="G412" s="52"/>
      <c r="H412" s="52"/>
      <c r="I412" s="52"/>
      <c r="J412" s="52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</row>
    <row r="413" spans="2:25" x14ac:dyDescent="0.25">
      <c r="B413" s="51"/>
      <c r="C413" s="70"/>
      <c r="D413" s="52"/>
      <c r="E413" s="52"/>
      <c r="F413" s="52"/>
      <c r="G413" s="52"/>
      <c r="H413" s="52"/>
      <c r="I413" s="52"/>
      <c r="J413" s="52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</row>
    <row r="414" spans="2:25" x14ac:dyDescent="0.25">
      <c r="B414" s="51"/>
      <c r="C414" s="70"/>
      <c r="D414" s="52"/>
      <c r="E414" s="52"/>
      <c r="F414" s="52"/>
      <c r="G414" s="52"/>
      <c r="H414" s="52"/>
      <c r="I414" s="52"/>
      <c r="J414" s="52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</row>
    <row r="415" spans="2:25" x14ac:dyDescent="0.25">
      <c r="B415" s="51"/>
      <c r="C415" s="70"/>
      <c r="D415" s="52"/>
      <c r="E415" s="52"/>
      <c r="F415" s="52"/>
      <c r="G415" s="52"/>
      <c r="H415" s="52"/>
      <c r="I415" s="52"/>
      <c r="J415" s="52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</row>
    <row r="416" spans="2:25" x14ac:dyDescent="0.25">
      <c r="B416" s="51"/>
      <c r="C416" s="70"/>
      <c r="D416" s="52"/>
      <c r="E416" s="52"/>
      <c r="F416" s="52"/>
      <c r="G416" s="52"/>
      <c r="H416" s="52"/>
      <c r="I416" s="52"/>
      <c r="J416" s="52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</row>
    <row r="417" spans="2:25" x14ac:dyDescent="0.25">
      <c r="B417" s="51"/>
      <c r="C417" s="70"/>
      <c r="D417" s="52"/>
      <c r="E417" s="52"/>
      <c r="F417" s="52"/>
      <c r="G417" s="52"/>
      <c r="H417" s="52"/>
      <c r="I417" s="52"/>
      <c r="J417" s="52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</row>
    <row r="418" spans="2:25" x14ac:dyDescent="0.25">
      <c r="B418" s="51"/>
      <c r="C418" s="70"/>
      <c r="D418" s="52"/>
      <c r="E418" s="52"/>
      <c r="F418" s="52"/>
      <c r="G418" s="52"/>
      <c r="H418" s="52"/>
      <c r="I418" s="52"/>
      <c r="J418" s="52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</row>
    <row r="419" spans="2:25" x14ac:dyDescent="0.25">
      <c r="B419" s="51"/>
      <c r="C419" s="70"/>
      <c r="D419" s="52"/>
      <c r="E419" s="52"/>
      <c r="F419" s="52"/>
      <c r="G419" s="52"/>
      <c r="H419" s="52"/>
      <c r="I419" s="52"/>
      <c r="J419" s="52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</row>
    <row r="420" spans="2:25" x14ac:dyDescent="0.25">
      <c r="B420" s="51"/>
      <c r="C420" s="70"/>
      <c r="D420" s="52"/>
      <c r="E420" s="52"/>
      <c r="F420" s="52"/>
      <c r="G420" s="52"/>
      <c r="H420" s="52"/>
      <c r="I420" s="52"/>
      <c r="J420" s="52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</row>
    <row r="421" spans="2:25" x14ac:dyDescent="0.25">
      <c r="B421" s="51"/>
      <c r="C421" s="70"/>
      <c r="D421" s="52"/>
      <c r="E421" s="52"/>
      <c r="F421" s="52"/>
      <c r="G421" s="52"/>
      <c r="H421" s="52"/>
      <c r="I421" s="52"/>
      <c r="J421" s="52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</row>
    <row r="422" spans="2:25" x14ac:dyDescent="0.25">
      <c r="B422" s="51"/>
      <c r="C422" s="70"/>
      <c r="D422" s="52"/>
      <c r="E422" s="52"/>
      <c r="F422" s="52"/>
      <c r="G422" s="52"/>
      <c r="H422" s="52"/>
      <c r="I422" s="52"/>
      <c r="J422" s="52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</row>
    <row r="423" spans="2:25" x14ac:dyDescent="0.25">
      <c r="B423" s="51"/>
      <c r="C423" s="70"/>
      <c r="D423" s="52"/>
      <c r="E423" s="52"/>
      <c r="F423" s="52"/>
      <c r="G423" s="52"/>
      <c r="H423" s="52"/>
      <c r="I423" s="52"/>
      <c r="J423" s="52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</row>
    <row r="424" spans="2:25" x14ac:dyDescent="0.25">
      <c r="B424" s="51"/>
      <c r="C424" s="70"/>
      <c r="D424" s="52"/>
      <c r="E424" s="52"/>
      <c r="F424" s="52"/>
      <c r="G424" s="52"/>
      <c r="H424" s="52"/>
      <c r="I424" s="52"/>
      <c r="J424" s="52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</row>
    <row r="425" spans="2:25" x14ac:dyDescent="0.25">
      <c r="B425" s="51"/>
      <c r="C425" s="70"/>
      <c r="D425" s="52"/>
      <c r="E425" s="52"/>
      <c r="F425" s="52"/>
      <c r="G425" s="52"/>
      <c r="H425" s="52"/>
      <c r="I425" s="52"/>
      <c r="J425" s="52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</row>
    <row r="426" spans="2:25" x14ac:dyDescent="0.25">
      <c r="B426" s="51"/>
      <c r="C426" s="70"/>
      <c r="D426" s="52"/>
      <c r="E426" s="52"/>
      <c r="F426" s="52"/>
      <c r="G426" s="52"/>
      <c r="H426" s="52"/>
      <c r="I426" s="52"/>
      <c r="J426" s="52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</row>
    <row r="427" spans="2:25" x14ac:dyDescent="0.25">
      <c r="B427" s="51"/>
      <c r="C427" s="70"/>
      <c r="D427" s="52"/>
      <c r="E427" s="52"/>
      <c r="F427" s="52"/>
      <c r="G427" s="52"/>
      <c r="H427" s="52"/>
      <c r="I427" s="52"/>
      <c r="J427" s="52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</row>
    <row r="428" spans="2:25" x14ac:dyDescent="0.25">
      <c r="B428" s="51"/>
      <c r="C428" s="70"/>
      <c r="D428" s="52"/>
      <c r="E428" s="52"/>
      <c r="F428" s="52"/>
      <c r="G428" s="52"/>
      <c r="H428" s="52"/>
      <c r="I428" s="52"/>
      <c r="J428" s="52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</row>
    <row r="429" spans="2:25" x14ac:dyDescent="0.25">
      <c r="B429" s="51"/>
      <c r="C429" s="70"/>
      <c r="D429" s="52"/>
      <c r="E429" s="52"/>
      <c r="F429" s="52"/>
      <c r="G429" s="52"/>
      <c r="H429" s="52"/>
      <c r="I429" s="52"/>
      <c r="J429" s="52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</row>
    <row r="430" spans="2:25" x14ac:dyDescent="0.25">
      <c r="B430" s="51"/>
      <c r="C430" s="70"/>
      <c r="D430" s="52"/>
      <c r="E430" s="52"/>
      <c r="F430" s="52"/>
      <c r="G430" s="52"/>
      <c r="H430" s="52"/>
      <c r="I430" s="52"/>
      <c r="J430" s="52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</row>
    <row r="431" spans="2:25" x14ac:dyDescent="0.25">
      <c r="B431" s="51"/>
      <c r="C431" s="70"/>
      <c r="D431" s="52"/>
      <c r="E431" s="52"/>
      <c r="F431" s="52"/>
      <c r="G431" s="52"/>
      <c r="H431" s="52"/>
      <c r="I431" s="52"/>
      <c r="J431" s="52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</row>
    <row r="432" spans="2:25" x14ac:dyDescent="0.25">
      <c r="B432" s="51"/>
      <c r="C432" s="70"/>
      <c r="D432" s="52"/>
      <c r="E432" s="52"/>
      <c r="F432" s="52"/>
      <c r="G432" s="52"/>
      <c r="H432" s="52"/>
      <c r="I432" s="52"/>
      <c r="J432" s="52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</row>
    <row r="433" spans="2:25" x14ac:dyDescent="0.25">
      <c r="B433" s="51"/>
      <c r="C433" s="70"/>
      <c r="D433" s="52"/>
      <c r="E433" s="52"/>
      <c r="F433" s="52"/>
      <c r="G433" s="52"/>
      <c r="H433" s="52"/>
      <c r="I433" s="52"/>
      <c r="J433" s="52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</row>
    <row r="434" spans="2:25" x14ac:dyDescent="0.25">
      <c r="B434" s="51"/>
      <c r="C434" s="70"/>
      <c r="D434" s="52"/>
      <c r="E434" s="52"/>
      <c r="F434" s="52"/>
      <c r="G434" s="52"/>
      <c r="H434" s="52"/>
      <c r="I434" s="52"/>
      <c r="J434" s="52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</row>
    <row r="435" spans="2:25" x14ac:dyDescent="0.25">
      <c r="B435" s="51"/>
      <c r="C435" s="70"/>
      <c r="D435" s="52"/>
      <c r="E435" s="52"/>
      <c r="F435" s="52"/>
      <c r="G435" s="52"/>
      <c r="H435" s="52"/>
      <c r="I435" s="52"/>
      <c r="J435" s="52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</row>
    <row r="436" spans="2:25" x14ac:dyDescent="0.25">
      <c r="B436" s="51"/>
      <c r="C436" s="70"/>
      <c r="D436" s="52"/>
      <c r="E436" s="52"/>
      <c r="F436" s="52"/>
      <c r="G436" s="52"/>
      <c r="H436" s="52"/>
      <c r="I436" s="52"/>
      <c r="J436" s="52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</row>
    <row r="437" spans="2:25" x14ac:dyDescent="0.25">
      <c r="B437" s="51"/>
      <c r="C437" s="70"/>
      <c r="D437" s="52"/>
      <c r="E437" s="52"/>
      <c r="F437" s="52"/>
      <c r="G437" s="52"/>
      <c r="H437" s="52"/>
      <c r="I437" s="52"/>
      <c r="J437" s="52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</row>
    <row r="438" spans="2:25" x14ac:dyDescent="0.25">
      <c r="B438" s="51"/>
      <c r="C438" s="70"/>
      <c r="D438" s="52"/>
      <c r="E438" s="52"/>
      <c r="F438" s="52"/>
      <c r="G438" s="52"/>
      <c r="H438" s="52"/>
      <c r="I438" s="52"/>
      <c r="J438" s="52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</row>
    <row r="439" spans="2:25" x14ac:dyDescent="0.25">
      <c r="B439" s="51"/>
      <c r="C439" s="70"/>
      <c r="D439" s="52"/>
      <c r="E439" s="52"/>
      <c r="F439" s="52"/>
      <c r="G439" s="52"/>
      <c r="H439" s="52"/>
      <c r="I439" s="52"/>
      <c r="J439" s="52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</row>
    <row r="440" spans="2:25" x14ac:dyDescent="0.25">
      <c r="B440" s="51"/>
      <c r="C440" s="70"/>
      <c r="D440" s="52"/>
      <c r="E440" s="52"/>
      <c r="F440" s="52"/>
      <c r="G440" s="52"/>
      <c r="H440" s="52"/>
      <c r="I440" s="52"/>
      <c r="J440" s="52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</row>
    <row r="441" spans="2:25" x14ac:dyDescent="0.25">
      <c r="B441" s="51"/>
      <c r="C441" s="70"/>
      <c r="D441" s="52"/>
      <c r="E441" s="52"/>
      <c r="F441" s="52"/>
      <c r="G441" s="52"/>
      <c r="H441" s="52"/>
      <c r="I441" s="52"/>
      <c r="J441" s="52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</row>
    <row r="442" spans="2:25" x14ac:dyDescent="0.25">
      <c r="B442" s="51"/>
      <c r="C442" s="70"/>
      <c r="D442" s="52"/>
      <c r="E442" s="52"/>
      <c r="F442" s="52"/>
      <c r="G442" s="52"/>
      <c r="H442" s="52"/>
      <c r="I442" s="52"/>
      <c r="J442" s="52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</row>
    <row r="443" spans="2:25" x14ac:dyDescent="0.25">
      <c r="B443" s="51"/>
      <c r="C443" s="70"/>
      <c r="D443" s="52"/>
      <c r="E443" s="52"/>
      <c r="F443" s="52"/>
      <c r="G443" s="52"/>
      <c r="H443" s="52"/>
      <c r="I443" s="52"/>
      <c r="J443" s="52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</row>
    <row r="444" spans="2:25" x14ac:dyDescent="0.25">
      <c r="B444" s="51"/>
      <c r="C444" s="70"/>
      <c r="D444" s="52"/>
      <c r="E444" s="52"/>
      <c r="F444" s="52"/>
      <c r="G444" s="52"/>
      <c r="H444" s="52"/>
      <c r="I444" s="52"/>
      <c r="J444" s="52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</row>
    <row r="445" spans="2:25" x14ac:dyDescent="0.25">
      <c r="B445" s="51"/>
      <c r="C445" s="70"/>
      <c r="D445" s="52"/>
      <c r="E445" s="52"/>
      <c r="F445" s="52"/>
      <c r="G445" s="52"/>
      <c r="H445" s="52"/>
      <c r="I445" s="52"/>
      <c r="J445" s="52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</row>
    <row r="446" spans="2:25" x14ac:dyDescent="0.25">
      <c r="B446" s="51"/>
      <c r="C446" s="70"/>
      <c r="D446" s="52"/>
      <c r="E446" s="52"/>
      <c r="F446" s="52"/>
      <c r="G446" s="52"/>
      <c r="H446" s="52"/>
      <c r="I446" s="52"/>
      <c r="J446" s="52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</row>
    <row r="447" spans="2:25" x14ac:dyDescent="0.25">
      <c r="B447" s="51"/>
      <c r="C447" s="70"/>
      <c r="D447" s="52"/>
      <c r="E447" s="52"/>
      <c r="F447" s="52"/>
      <c r="G447" s="52"/>
      <c r="H447" s="52"/>
      <c r="I447" s="52"/>
      <c r="J447" s="52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</row>
    <row r="448" spans="2:25" x14ac:dyDescent="0.25">
      <c r="B448" s="51"/>
      <c r="C448" s="70"/>
      <c r="D448" s="52"/>
      <c r="E448" s="52"/>
      <c r="F448" s="52"/>
      <c r="G448" s="52"/>
      <c r="H448" s="52"/>
      <c r="I448" s="52"/>
      <c r="J448" s="52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</row>
  </sheetData>
  <sheetProtection sheet="1" objects="1" scenarios="1"/>
  <conditionalFormatting sqref="C1:K1048576">
    <cfRule type="containsText" dxfId="5" priority="4" operator="containsText" text="Unknwn">
      <formula>NOT(ISERROR(SEARCH("Unknwn",C1)))</formula>
    </cfRule>
  </conditionalFormatting>
  <conditionalFormatting sqref="C3:K578">
    <cfRule type="expression" dxfId="4" priority="2">
      <formula>OR(ISNUMBER($C3))</formula>
    </cfRule>
    <cfRule type="expression" dxfId="3" priority="3">
      <formula>LEFT($C3,2)="_*"</formula>
    </cfRule>
    <cfRule type="expression" dxfId="2" priority="6">
      <formula>$I3&lt;&gt;""</formula>
    </cfRule>
    <cfRule type="cellIs" dxfId="1" priority="7" operator="greaterThan">
      <formula>0</formula>
    </cfRule>
  </conditionalFormatting>
  <conditionalFormatting sqref="G1:H1048576">
    <cfRule type="expression" dxfId="0" priority="1">
      <formula>AND($G1&lt;&gt;"",COUNTIFS($H:$H,$H1,$G:$G,$G1)&gt;1)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9DBECD-E285-4763-9F91-5B7E7CC70E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Rules</vt:lpstr>
      <vt:lpstr>Truck</vt:lpstr>
      <vt:lpstr>Regist</vt:lpstr>
      <vt:lpstr>Fleet_Det</vt:lpstr>
      <vt:lpstr>Pile_01</vt:lpstr>
      <vt:lpstr>Pile_02</vt:lpstr>
      <vt:lpstr>Pile_03</vt:lpstr>
      <vt:lpstr>Pile_04</vt:lpstr>
      <vt:lpstr>Pile_05</vt:lpstr>
      <vt:lpstr>Pile_06</vt:lpstr>
      <vt:lpstr>Sample_Pos</vt:lpstr>
      <vt:lpstr>Report</vt:lpstr>
      <vt:lpstr>Date</vt:lpstr>
      <vt:lpstr>Fleet_Dest</vt:lpstr>
      <vt:lpstr>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Suhantoro</dc:creator>
  <cp:lastModifiedBy>Suhantoro</cp:lastModifiedBy>
  <dcterms:created xsi:type="dcterms:W3CDTF">2026-06-29T14:30:50Z</dcterms:created>
  <dcterms:modified xsi:type="dcterms:W3CDTF">2026-08-15T08:00:11Z</dcterms:modified>
</cp:coreProperties>
</file>